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Enforcements!$A$6:$AC$63</definedName>
    <definedName name="_xlnm._FilterDatabase" localSheetId="2" hidden="1">'Missing Trips'!$A$2:$J$95</definedName>
    <definedName name="_xlnm._FilterDatabase" localSheetId="0" hidden="1">'Train Runs'!$A$12:$AG$274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7" i="1" l="1"/>
  <c r="X188" i="1"/>
  <c r="X189" i="1"/>
  <c r="K162" i="1"/>
  <c r="L162" i="1"/>
  <c r="M162" i="1"/>
  <c r="V162" i="1"/>
  <c r="Y162" i="1"/>
  <c r="Z162" i="1"/>
  <c r="AA162" i="1" s="1"/>
  <c r="AB162" i="1"/>
  <c r="AC162" i="1"/>
  <c r="AD162" i="1"/>
  <c r="T162" i="1" s="1"/>
  <c r="AE162" i="1"/>
  <c r="AF162" i="1"/>
  <c r="AH162" i="1"/>
  <c r="AM162" i="1"/>
  <c r="AN162" i="1"/>
  <c r="X161" i="1"/>
  <c r="K160" i="1"/>
  <c r="L160" i="1"/>
  <c r="M160" i="1"/>
  <c r="P160" i="1" s="1"/>
  <c r="V160" i="1"/>
  <c r="Y160" i="1"/>
  <c r="Z160" i="1"/>
  <c r="AA160" i="1" s="1"/>
  <c r="AB160" i="1"/>
  <c r="AC160" i="1"/>
  <c r="AD160" i="1"/>
  <c r="T160" i="1" s="1"/>
  <c r="AE160" i="1"/>
  <c r="AF160" i="1"/>
  <c r="AH160" i="1"/>
  <c r="AM160" i="1"/>
  <c r="AN160" i="1"/>
  <c r="K161" i="1"/>
  <c r="L161" i="1"/>
  <c r="M161" i="1"/>
  <c r="N161" i="1"/>
  <c r="V161" i="1"/>
  <c r="Y161" i="1"/>
  <c r="Z161" i="1"/>
  <c r="AB161" i="1"/>
  <c r="AC161" i="1"/>
  <c r="AD161" i="1"/>
  <c r="T161" i="1" s="1"/>
  <c r="AE161" i="1"/>
  <c r="AF161" i="1"/>
  <c r="AH161" i="1"/>
  <c r="AM161" i="1"/>
  <c r="AN161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R20" i="3" s="1"/>
  <c r="AF16" i="1"/>
  <c r="AH16" i="1"/>
  <c r="AM16" i="1"/>
  <c r="AN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AM22" i="1"/>
  <c r="AN22" i="1"/>
  <c r="K23" i="1"/>
  <c r="L23" i="1"/>
  <c r="M23" i="1"/>
  <c r="N23" i="1" s="1"/>
  <c r="V23" i="1"/>
  <c r="S7" i="3" s="1"/>
  <c r="Y23" i="1"/>
  <c r="Z23" i="1"/>
  <c r="AB23" i="1"/>
  <c r="AC23" i="1"/>
  <c r="AD23" i="1"/>
  <c r="T23" i="1" s="1"/>
  <c r="AE23" i="1"/>
  <c r="R7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S29" i="3" s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AB38" i="1"/>
  <c r="AC38" i="1"/>
  <c r="AD38" i="1"/>
  <c r="AE38" i="1"/>
  <c r="AF38" i="1"/>
  <c r="AH38" i="1"/>
  <c r="AM38" i="1"/>
  <c r="AN38" i="1"/>
  <c r="K39" i="1"/>
  <c r="L39" i="1"/>
  <c r="M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S18" i="3" s="1"/>
  <c r="Y43" i="1"/>
  <c r="Z43" i="1"/>
  <c r="AB43" i="1"/>
  <c r="AC43" i="1"/>
  <c r="AD43" i="1"/>
  <c r="T43" i="1" s="1"/>
  <c r="AE43" i="1"/>
  <c r="R13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24" i="3" s="1"/>
  <c r="Y46" i="1"/>
  <c r="Z46" i="1"/>
  <c r="AB46" i="1"/>
  <c r="AC46" i="1"/>
  <c r="AD46" i="1"/>
  <c r="AG46" i="1" s="1"/>
  <c r="AE46" i="1"/>
  <c r="R24" i="3" s="1"/>
  <c r="AF46" i="1"/>
  <c r="AH46" i="1"/>
  <c r="AM46" i="1"/>
  <c r="AN46" i="1"/>
  <c r="K47" i="1"/>
  <c r="L47" i="1"/>
  <c r="M47" i="1"/>
  <c r="N47" i="1" s="1"/>
  <c r="V47" i="1"/>
  <c r="S31" i="3" s="1"/>
  <c r="Y47" i="1"/>
  <c r="Z47" i="1"/>
  <c r="AB47" i="1"/>
  <c r="AC47" i="1"/>
  <c r="AD47" i="1"/>
  <c r="T47" i="1" s="1"/>
  <c r="AE47" i="1"/>
  <c r="R31" i="3" s="1"/>
  <c r="AF47" i="1"/>
  <c r="AH47" i="1"/>
  <c r="AM47" i="1"/>
  <c r="AN47" i="1"/>
  <c r="K48" i="1"/>
  <c r="L48" i="1"/>
  <c r="M48" i="1"/>
  <c r="N48" i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S27" i="3" s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32" i="3" s="1"/>
  <c r="Y51" i="1"/>
  <c r="Z51" i="1"/>
  <c r="AB51" i="1"/>
  <c r="AC51" i="1"/>
  <c r="AD51" i="1"/>
  <c r="AE51" i="1"/>
  <c r="R32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S17" i="3" s="1"/>
  <c r="Y57" i="1"/>
  <c r="Z57" i="1"/>
  <c r="AB57" i="1"/>
  <c r="AC57" i="1"/>
  <c r="AD57" i="1"/>
  <c r="AG57" i="1" s="1"/>
  <c r="AE57" i="1"/>
  <c r="R17" i="3" s="1"/>
  <c r="AF57" i="1"/>
  <c r="AH57" i="1"/>
  <c r="AM57" i="1"/>
  <c r="AN57" i="1"/>
  <c r="K58" i="1"/>
  <c r="L58" i="1"/>
  <c r="M58" i="1"/>
  <c r="N58" i="1" s="1"/>
  <c r="V58" i="1"/>
  <c r="S15" i="3" s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R12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33" i="3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P83" i="1" s="1"/>
  <c r="V83" i="1"/>
  <c r="Y83" i="1"/>
  <c r="AB83" i="1"/>
  <c r="AC83" i="1"/>
  <c r="AD83" i="1"/>
  <c r="AE83" i="1"/>
  <c r="AF83" i="1"/>
  <c r="AH83" i="1"/>
  <c r="AM83" i="1"/>
  <c r="AN83" i="1"/>
  <c r="K84" i="1"/>
  <c r="L84" i="1"/>
  <c r="M84" i="1"/>
  <c r="V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S34" i="3" s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P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V98" i="1"/>
  <c r="Y98" i="1"/>
  <c r="Z98" i="1"/>
  <c r="AA98" i="1" s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P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I122" i="1" s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X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AM129" i="1"/>
  <c r="AN129" i="1"/>
  <c r="K130" i="1"/>
  <c r="L130" i="1"/>
  <c r="M130" i="1"/>
  <c r="N130" i="1" s="1"/>
  <c r="V130" i="1"/>
  <c r="S8" i="3" s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T131" i="1"/>
  <c r="V131" i="1"/>
  <c r="X131" i="1"/>
  <c r="Y131" i="1"/>
  <c r="Z131" i="1"/>
  <c r="AA131" i="1" s="1"/>
  <c r="AB131" i="1"/>
  <c r="AC131" i="1"/>
  <c r="AD131" i="1"/>
  <c r="AE131" i="1"/>
  <c r="AF131" i="1"/>
  <c r="AG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21" i="3" s="1"/>
  <c r="Y135" i="1"/>
  <c r="Z135" i="1"/>
  <c r="AB135" i="1"/>
  <c r="AC135" i="1"/>
  <c r="AD135" i="1"/>
  <c r="AE135" i="1"/>
  <c r="R21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S16" i="3" s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S14" i="3" s="1"/>
  <c r="Y147" i="1"/>
  <c r="Z147" i="1"/>
  <c r="AB147" i="1"/>
  <c r="AC147" i="1"/>
  <c r="AD147" i="1"/>
  <c r="AE147" i="1"/>
  <c r="R14" i="3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S9" i="3" s="1"/>
  <c r="Y156" i="1"/>
  <c r="Z156" i="1"/>
  <c r="AB156" i="1"/>
  <c r="AC156" i="1"/>
  <c r="AD156" i="1"/>
  <c r="T156" i="1" s="1"/>
  <c r="AE156" i="1"/>
  <c r="R9" i="3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/>
  <c r="V208" i="1"/>
  <c r="Y208" i="1"/>
  <c r="Z208" i="1"/>
  <c r="AA208" i="1"/>
  <c r="AB208" i="1"/>
  <c r="AC208" i="1"/>
  <c r="AD208" i="1"/>
  <c r="AG208" i="1" s="1"/>
  <c r="AE208" i="1"/>
  <c r="AF208" i="1"/>
  <c r="AH163" i="1"/>
  <c r="AM163" i="1"/>
  <c r="AN163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4" i="1"/>
  <c r="AM164" i="1"/>
  <c r="AN164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5" i="1"/>
  <c r="AM165" i="1"/>
  <c r="AN165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6" i="1"/>
  <c r="AM166" i="1"/>
  <c r="AN166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7" i="1"/>
  <c r="AM167" i="1"/>
  <c r="AN167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8" i="1"/>
  <c r="AM168" i="1"/>
  <c r="AN168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9" i="1"/>
  <c r="AM169" i="1"/>
  <c r="AN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AM170" i="1"/>
  <c r="AN170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71" i="1"/>
  <c r="AM171" i="1"/>
  <c r="AN171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2" i="1"/>
  <c r="AM172" i="1"/>
  <c r="AN172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3" i="1"/>
  <c r="AM173" i="1"/>
  <c r="AN173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S57" i="3" s="1"/>
  <c r="Y231" i="1"/>
  <c r="Z231" i="1"/>
  <c r="AB231" i="1"/>
  <c r="AC231" i="1"/>
  <c r="AD231" i="1"/>
  <c r="AG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S56" i="3" s="1"/>
  <c r="Y236" i="1"/>
  <c r="Z236" i="1"/>
  <c r="AB236" i="1"/>
  <c r="AC236" i="1"/>
  <c r="AD236" i="1"/>
  <c r="AG236" i="1" s="1"/>
  <c r="AE236" i="1"/>
  <c r="AF236" i="1"/>
  <c r="AH184" i="1"/>
  <c r="AM184" i="1"/>
  <c r="AN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AH186" i="1"/>
  <c r="AM186" i="1"/>
  <c r="AN186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7" i="1"/>
  <c r="AM187" i="1"/>
  <c r="AN18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9" i="1"/>
  <c r="AM189" i="1"/>
  <c r="AN18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0" i="1"/>
  <c r="AM190" i="1"/>
  <c r="AN19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1" i="1"/>
  <c r="AM191" i="1"/>
  <c r="AN19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2" i="1"/>
  <c r="AM192" i="1"/>
  <c r="AN19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3" i="1"/>
  <c r="AM193" i="1"/>
  <c r="AN193" i="1"/>
  <c r="K171" i="1"/>
  <c r="L171" i="1"/>
  <c r="M171" i="1"/>
  <c r="N171" i="1" s="1"/>
  <c r="V171" i="1"/>
  <c r="S46" i="3" s="1"/>
  <c r="Y171" i="1"/>
  <c r="Z171" i="1"/>
  <c r="AB171" i="1"/>
  <c r="AC171" i="1"/>
  <c r="AD171" i="1"/>
  <c r="AE171" i="1"/>
  <c r="R46" i="3" s="1"/>
  <c r="AF171" i="1"/>
  <c r="AH194" i="1"/>
  <c r="AM194" i="1"/>
  <c r="AN19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5" i="1"/>
  <c r="AM195" i="1"/>
  <c r="AN19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K174" i="1"/>
  <c r="L174" i="1"/>
  <c r="M174" i="1"/>
  <c r="N174" i="1" s="1"/>
  <c r="V174" i="1"/>
  <c r="Y174" i="1"/>
  <c r="AA174" i="1" s="1"/>
  <c r="Z174" i="1"/>
  <c r="AB174" i="1"/>
  <c r="AC174" i="1"/>
  <c r="AD174" i="1"/>
  <c r="T174" i="1" s="1"/>
  <c r="AE174" i="1"/>
  <c r="AF174" i="1"/>
  <c r="AH197" i="1"/>
  <c r="AM197" i="1"/>
  <c r="AN197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8" i="1"/>
  <c r="AM198" i="1"/>
  <c r="AN19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99" i="1"/>
  <c r="AM199" i="1"/>
  <c r="AN199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0" i="1"/>
  <c r="AM200" i="1"/>
  <c r="AN200" i="1"/>
  <c r="K178" i="1"/>
  <c r="L178" i="1"/>
  <c r="M178" i="1"/>
  <c r="N178" i="1" s="1"/>
  <c r="V178" i="1"/>
  <c r="S42" i="3" s="1"/>
  <c r="Y178" i="1"/>
  <c r="Z178" i="1"/>
  <c r="AB178" i="1"/>
  <c r="AC178" i="1"/>
  <c r="AD178" i="1"/>
  <c r="T178" i="1" s="1"/>
  <c r="AE178" i="1"/>
  <c r="R42" i="3" s="1"/>
  <c r="AF178" i="1"/>
  <c r="AH201" i="1"/>
  <c r="AM201" i="1"/>
  <c r="AN20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2" i="1"/>
  <c r="AM202" i="1"/>
  <c r="AN202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3" i="1"/>
  <c r="AM203" i="1"/>
  <c r="AN203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4" i="1"/>
  <c r="AM204" i="1"/>
  <c r="AN204" i="1"/>
  <c r="K182" i="1"/>
  <c r="L182" i="1"/>
  <c r="M182" i="1"/>
  <c r="N182" i="1" s="1"/>
  <c r="V182" i="1"/>
  <c r="S43" i="3" s="1"/>
  <c r="Y182" i="1"/>
  <c r="Z182" i="1"/>
  <c r="AB182" i="1"/>
  <c r="AC182" i="1"/>
  <c r="AD182" i="1"/>
  <c r="T182" i="1" s="1"/>
  <c r="AE182" i="1"/>
  <c r="R43" i="3" s="1"/>
  <c r="AF182" i="1"/>
  <c r="AH205" i="1"/>
  <c r="AM205" i="1"/>
  <c r="AN205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6" i="1"/>
  <c r="AM206" i="1"/>
  <c r="AN206" i="1"/>
  <c r="K184" i="1"/>
  <c r="L184" i="1"/>
  <c r="M184" i="1"/>
  <c r="N184" i="1" s="1"/>
  <c r="V184" i="1"/>
  <c r="S44" i="3" s="1"/>
  <c r="Y184" i="1"/>
  <c r="Z184" i="1"/>
  <c r="AB184" i="1"/>
  <c r="AC184" i="1"/>
  <c r="AD184" i="1"/>
  <c r="AE184" i="1"/>
  <c r="R44" i="3" s="1"/>
  <c r="AF184" i="1"/>
  <c r="AH207" i="1"/>
  <c r="AM207" i="1"/>
  <c r="AN20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8" i="1"/>
  <c r="AM208" i="1"/>
  <c r="AN208" i="1"/>
  <c r="K186" i="1"/>
  <c r="L186" i="1"/>
  <c r="M186" i="1"/>
  <c r="N186" i="1" s="1"/>
  <c r="V186" i="1"/>
  <c r="S37" i="3" s="1"/>
  <c r="Y186" i="1"/>
  <c r="Z186" i="1"/>
  <c r="AB186" i="1"/>
  <c r="AC186" i="1"/>
  <c r="AD186" i="1"/>
  <c r="T186" i="1" s="1"/>
  <c r="AE186" i="1"/>
  <c r="R41" i="3" s="1"/>
  <c r="AF186" i="1"/>
  <c r="AH209" i="1"/>
  <c r="AM209" i="1"/>
  <c r="AN209" i="1"/>
  <c r="AH210" i="1"/>
  <c r="AM210" i="1"/>
  <c r="AN21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2" i="1"/>
  <c r="AM212" i="1"/>
  <c r="AN212" i="1"/>
  <c r="K189" i="1"/>
  <c r="L189" i="1"/>
  <c r="M189" i="1"/>
  <c r="N189" i="1" s="1"/>
  <c r="V189" i="1"/>
  <c r="S47" i="3" s="1"/>
  <c r="Y189" i="1"/>
  <c r="Z189" i="1"/>
  <c r="AB189" i="1"/>
  <c r="AC189" i="1"/>
  <c r="AD189" i="1"/>
  <c r="T189" i="1" s="1"/>
  <c r="AE189" i="1"/>
  <c r="R47" i="3" s="1"/>
  <c r="AF189" i="1"/>
  <c r="AH213" i="1"/>
  <c r="AM213" i="1"/>
  <c r="AN213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4" i="1"/>
  <c r="AM214" i="1"/>
  <c r="AN214" i="1"/>
  <c r="K191" i="1"/>
  <c r="L191" i="1"/>
  <c r="M191" i="1"/>
  <c r="N191" i="1" s="1"/>
  <c r="V191" i="1"/>
  <c r="S49" i="3" s="1"/>
  <c r="Y191" i="1"/>
  <c r="Z191" i="1"/>
  <c r="AB191" i="1"/>
  <c r="AC191" i="1"/>
  <c r="AD191" i="1"/>
  <c r="AE191" i="1"/>
  <c r="R50" i="3" s="1"/>
  <c r="AF191" i="1"/>
  <c r="AH215" i="1"/>
  <c r="AM215" i="1"/>
  <c r="AN21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6" i="1"/>
  <c r="AM216" i="1"/>
  <c r="AN216" i="1"/>
  <c r="K193" i="1"/>
  <c r="L193" i="1"/>
  <c r="M193" i="1"/>
  <c r="N193" i="1" s="1"/>
  <c r="V193" i="1"/>
  <c r="S35" i="3" s="1"/>
  <c r="Y193" i="1"/>
  <c r="Z193" i="1"/>
  <c r="AB193" i="1"/>
  <c r="AC193" i="1"/>
  <c r="AD193" i="1"/>
  <c r="T193" i="1" s="1"/>
  <c r="AE193" i="1"/>
  <c r="R35" i="3" s="1"/>
  <c r="AF193" i="1"/>
  <c r="AH217" i="1"/>
  <c r="AM217" i="1"/>
  <c r="AN217" i="1"/>
  <c r="K194" i="1"/>
  <c r="L194" i="1"/>
  <c r="M194" i="1"/>
  <c r="N194" i="1" s="1"/>
  <c r="V194" i="1"/>
  <c r="S39" i="3" s="1"/>
  <c r="Y194" i="1"/>
  <c r="Z194" i="1"/>
  <c r="AB194" i="1"/>
  <c r="AC194" i="1"/>
  <c r="AD194" i="1"/>
  <c r="AG194" i="1" s="1"/>
  <c r="AE194" i="1"/>
  <c r="AF194" i="1"/>
  <c r="AH218" i="1"/>
  <c r="AM218" i="1"/>
  <c r="AN218" i="1"/>
  <c r="K195" i="1"/>
  <c r="L195" i="1"/>
  <c r="M195" i="1"/>
  <c r="N195" i="1" s="1"/>
  <c r="V195" i="1"/>
  <c r="S51" i="3" s="1"/>
  <c r="Y195" i="1"/>
  <c r="Z195" i="1"/>
  <c r="AB195" i="1"/>
  <c r="AC195" i="1"/>
  <c r="AD195" i="1"/>
  <c r="T195" i="1" s="1"/>
  <c r="AE195" i="1"/>
  <c r="R51" i="3" s="1"/>
  <c r="AF195" i="1"/>
  <c r="AH219" i="1"/>
  <c r="AM219" i="1"/>
  <c r="AN21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0" i="1"/>
  <c r="AM220" i="1"/>
  <c r="AN22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1" i="1"/>
  <c r="AM221" i="1"/>
  <c r="AN221" i="1"/>
  <c r="K198" i="1"/>
  <c r="L198" i="1"/>
  <c r="M198" i="1"/>
  <c r="N198" i="1" s="1"/>
  <c r="V198" i="1"/>
  <c r="S40" i="3" s="1"/>
  <c r="Y198" i="1"/>
  <c r="AB198" i="1"/>
  <c r="AC198" i="1"/>
  <c r="AD198" i="1"/>
  <c r="AG198" i="1" s="1"/>
  <c r="AE198" i="1"/>
  <c r="AF198" i="1"/>
  <c r="AH222" i="1"/>
  <c r="AM222" i="1"/>
  <c r="AN222" i="1"/>
  <c r="K199" i="1"/>
  <c r="L199" i="1"/>
  <c r="M199" i="1"/>
  <c r="N199" i="1" s="1"/>
  <c r="V199" i="1"/>
  <c r="Y199" i="1"/>
  <c r="Z199" i="1"/>
  <c r="AB199" i="1"/>
  <c r="AC199" i="1"/>
  <c r="AD199" i="1"/>
  <c r="AE199" i="1"/>
  <c r="R53" i="3" s="1"/>
  <c r="AF199" i="1"/>
  <c r="AH223" i="1"/>
  <c r="AM223" i="1"/>
  <c r="AN223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24" i="1"/>
  <c r="AM224" i="1"/>
  <c r="AN22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5" i="1"/>
  <c r="AM225" i="1"/>
  <c r="AN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AM226" i="1"/>
  <c r="AN226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L204" i="1"/>
  <c r="M204" i="1"/>
  <c r="N204" i="1"/>
  <c r="V204" i="1"/>
  <c r="Y204" i="1"/>
  <c r="Z204" i="1"/>
  <c r="AB204" i="1"/>
  <c r="AC204" i="1"/>
  <c r="AD204" i="1"/>
  <c r="AG204" i="1" s="1"/>
  <c r="AE204" i="1"/>
  <c r="AF204" i="1"/>
  <c r="AH228" i="1"/>
  <c r="AM228" i="1"/>
  <c r="AN228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9" i="1"/>
  <c r="AM229" i="1"/>
  <c r="AN229" i="1"/>
  <c r="K206" i="1"/>
  <c r="L206" i="1"/>
  <c r="M206" i="1"/>
  <c r="N206" i="1" s="1"/>
  <c r="V206" i="1"/>
  <c r="S36" i="3" s="1"/>
  <c r="Y206" i="1"/>
  <c r="Z206" i="1"/>
  <c r="AB206" i="1"/>
  <c r="AC206" i="1"/>
  <c r="AD206" i="1"/>
  <c r="AG206" i="1" s="1"/>
  <c r="AE206" i="1"/>
  <c r="R36" i="3" s="1"/>
  <c r="AF206" i="1"/>
  <c r="AH230" i="1"/>
  <c r="AM230" i="1"/>
  <c r="AN230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31" i="1"/>
  <c r="AM231" i="1"/>
  <c r="AN231" i="1"/>
  <c r="K239" i="1"/>
  <c r="L239" i="1"/>
  <c r="M239" i="1"/>
  <c r="N239" i="1" s="1"/>
  <c r="V239" i="1"/>
  <c r="S54" i="3" s="1"/>
  <c r="Y239" i="1"/>
  <c r="Z239" i="1"/>
  <c r="AB239" i="1"/>
  <c r="AC239" i="1"/>
  <c r="AD239" i="1"/>
  <c r="AG239" i="1" s="1"/>
  <c r="AE239" i="1"/>
  <c r="AF239" i="1"/>
  <c r="AH232" i="1"/>
  <c r="AM232" i="1"/>
  <c r="AN232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233" i="1"/>
  <c r="AM233" i="1"/>
  <c r="AN233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234" i="1"/>
  <c r="AM234" i="1"/>
  <c r="AN234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235" i="1"/>
  <c r="AM235" i="1"/>
  <c r="AN235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236" i="1"/>
  <c r="AM236" i="1"/>
  <c r="AN236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37" i="1"/>
  <c r="AM237" i="1"/>
  <c r="AN237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8" i="1"/>
  <c r="AM238" i="1"/>
  <c r="AN238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0" i="1"/>
  <c r="AM240" i="1"/>
  <c r="AN240" i="1"/>
  <c r="K223" i="1"/>
  <c r="L223" i="1"/>
  <c r="M223" i="1"/>
  <c r="N223" i="1" s="1"/>
  <c r="V223" i="1"/>
  <c r="S58" i="3" s="1"/>
  <c r="Y223" i="1"/>
  <c r="Z223" i="1"/>
  <c r="AB223" i="1"/>
  <c r="AC223" i="1"/>
  <c r="AD223" i="1"/>
  <c r="T223" i="1" s="1"/>
  <c r="AE223" i="1"/>
  <c r="AF223" i="1"/>
  <c r="AH241" i="1"/>
  <c r="AM241" i="1"/>
  <c r="AN24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R58" i="3" s="1"/>
  <c r="AF224" i="1"/>
  <c r="AH242" i="1"/>
  <c r="AM242" i="1"/>
  <c r="AN24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3" i="1"/>
  <c r="AM243" i="1"/>
  <c r="AN243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44" i="1"/>
  <c r="AM244" i="1"/>
  <c r="AN244" i="1"/>
  <c r="M20" i="3"/>
  <c r="S20" i="3"/>
  <c r="U20" i="3"/>
  <c r="V20" i="3"/>
  <c r="W20" i="3"/>
  <c r="X20" i="3"/>
  <c r="M7" i="3"/>
  <c r="U7" i="3"/>
  <c r="T7" i="3" s="1"/>
  <c r="V7" i="3"/>
  <c r="W7" i="3"/>
  <c r="X7" i="3"/>
  <c r="AC7" i="3"/>
  <c r="M57" i="3"/>
  <c r="R57" i="3"/>
  <c r="U57" i="3"/>
  <c r="AC57" i="3" s="1"/>
  <c r="V57" i="3"/>
  <c r="W57" i="3"/>
  <c r="X57" i="3"/>
  <c r="M29" i="3"/>
  <c r="R29" i="3"/>
  <c r="U29" i="3"/>
  <c r="AC29" i="3" s="1"/>
  <c r="V29" i="3"/>
  <c r="W29" i="3"/>
  <c r="X29" i="3"/>
  <c r="M11" i="3"/>
  <c r="R11" i="3"/>
  <c r="S11" i="3"/>
  <c r="U11" i="3"/>
  <c r="AC11" i="3" s="1"/>
  <c r="V11" i="3"/>
  <c r="W11" i="3"/>
  <c r="X11" i="3"/>
  <c r="M24" i="3"/>
  <c r="U24" i="3"/>
  <c r="AD24" i="3" s="1"/>
  <c r="V24" i="3"/>
  <c r="W24" i="3"/>
  <c r="X24" i="3"/>
  <c r="AC24" i="3"/>
  <c r="M46" i="3"/>
  <c r="U46" i="3"/>
  <c r="AC46" i="3" s="1"/>
  <c r="V46" i="3"/>
  <c r="W46" i="3"/>
  <c r="X46" i="3"/>
  <c r="M18" i="3"/>
  <c r="U18" i="3"/>
  <c r="AC18" i="3" s="1"/>
  <c r="V18" i="3"/>
  <c r="W18" i="3"/>
  <c r="X18" i="3"/>
  <c r="M13" i="3"/>
  <c r="S13" i="3"/>
  <c r="U13" i="3"/>
  <c r="AC13" i="3" s="1"/>
  <c r="V13" i="3"/>
  <c r="W13" i="3"/>
  <c r="X13" i="3"/>
  <c r="M27" i="3"/>
  <c r="R27" i="3"/>
  <c r="U27" i="3"/>
  <c r="AC27" i="3" s="1"/>
  <c r="V27" i="3"/>
  <c r="W27" i="3"/>
  <c r="X27" i="3"/>
  <c r="M30" i="3"/>
  <c r="U30" i="3"/>
  <c r="AC30" i="3" s="1"/>
  <c r="V30" i="3"/>
  <c r="W30" i="3"/>
  <c r="X30" i="3"/>
  <c r="M25" i="3"/>
  <c r="R25" i="3"/>
  <c r="S25" i="3"/>
  <c r="U25" i="3"/>
  <c r="AC25" i="3" s="1"/>
  <c r="V25" i="3"/>
  <c r="W25" i="3"/>
  <c r="X25" i="3"/>
  <c r="M31" i="3"/>
  <c r="U31" i="3"/>
  <c r="AC31" i="3" s="1"/>
  <c r="V31" i="3"/>
  <c r="W31" i="3"/>
  <c r="X31" i="3"/>
  <c r="M15" i="3"/>
  <c r="R15" i="3"/>
  <c r="U15" i="3"/>
  <c r="T15" i="3" s="1"/>
  <c r="V15" i="3"/>
  <c r="W15" i="3"/>
  <c r="X15" i="3"/>
  <c r="AC15" i="3"/>
  <c r="M19" i="3"/>
  <c r="R19" i="3"/>
  <c r="S19" i="3"/>
  <c r="U19" i="3"/>
  <c r="AC19" i="3" s="1"/>
  <c r="V19" i="3"/>
  <c r="W19" i="3"/>
  <c r="X19" i="3"/>
  <c r="M32" i="3"/>
  <c r="U32" i="3"/>
  <c r="AC32" i="3" s="1"/>
  <c r="V32" i="3"/>
  <c r="W32" i="3"/>
  <c r="X32" i="3"/>
  <c r="M17" i="3"/>
  <c r="U17" i="3"/>
  <c r="AC17" i="3" s="1"/>
  <c r="V17" i="3"/>
  <c r="W17" i="3"/>
  <c r="X17" i="3"/>
  <c r="M10" i="3"/>
  <c r="R10" i="3"/>
  <c r="U10" i="3"/>
  <c r="V10" i="3"/>
  <c r="W10" i="3"/>
  <c r="X10" i="3"/>
  <c r="AC10" i="3"/>
  <c r="M22" i="3"/>
  <c r="S22" i="3"/>
  <c r="U22" i="3"/>
  <c r="V22" i="3"/>
  <c r="W22" i="3"/>
  <c r="X22" i="3"/>
  <c r="M12" i="3"/>
  <c r="S12" i="3"/>
  <c r="U12" i="3"/>
  <c r="AC12" i="3" s="1"/>
  <c r="V12" i="3"/>
  <c r="W12" i="3"/>
  <c r="X12" i="3"/>
  <c r="M42" i="3"/>
  <c r="U42" i="3"/>
  <c r="AC42" i="3" s="1"/>
  <c r="V42" i="3"/>
  <c r="W42" i="3"/>
  <c r="X42" i="3"/>
  <c r="M33" i="3"/>
  <c r="S33" i="3"/>
  <c r="U33" i="3"/>
  <c r="V33" i="3"/>
  <c r="W33" i="3"/>
  <c r="X33" i="3"/>
  <c r="AC33" i="3"/>
  <c r="M43" i="3"/>
  <c r="U43" i="3"/>
  <c r="V43" i="3"/>
  <c r="W43" i="3"/>
  <c r="X43" i="3"/>
  <c r="AC43" i="3"/>
  <c r="M26" i="3"/>
  <c r="S26" i="3"/>
  <c r="U26" i="3"/>
  <c r="AC26" i="3" s="1"/>
  <c r="V26" i="3"/>
  <c r="W26" i="3"/>
  <c r="X26" i="3"/>
  <c r="AD30" i="3"/>
  <c r="M28" i="3"/>
  <c r="S28" i="3"/>
  <c r="U28" i="3"/>
  <c r="AC28" i="3" s="1"/>
  <c r="V28" i="3"/>
  <c r="W28" i="3"/>
  <c r="X28" i="3"/>
  <c r="M44" i="3"/>
  <c r="U44" i="3"/>
  <c r="T44" i="3" s="1"/>
  <c r="V44" i="3"/>
  <c r="W44" i="3"/>
  <c r="Y44" i="3" s="1"/>
  <c r="X44" i="3"/>
  <c r="AC44" i="3"/>
  <c r="M34" i="3"/>
  <c r="R34" i="3"/>
  <c r="U34" i="3"/>
  <c r="AD34" i="3" s="1"/>
  <c r="V34" i="3"/>
  <c r="W34" i="3"/>
  <c r="X34" i="3"/>
  <c r="M55" i="3"/>
  <c r="U55" i="3"/>
  <c r="AC55" i="3" s="1"/>
  <c r="V55" i="3"/>
  <c r="W55" i="3"/>
  <c r="X55" i="3"/>
  <c r="M41" i="3"/>
  <c r="U41" i="3"/>
  <c r="AC41" i="3" s="1"/>
  <c r="V41" i="3"/>
  <c r="W41" i="3"/>
  <c r="X41" i="3"/>
  <c r="M58" i="3"/>
  <c r="U58" i="3"/>
  <c r="V58" i="3"/>
  <c r="W58" i="3"/>
  <c r="X58" i="3"/>
  <c r="AC58" i="3"/>
  <c r="M37" i="3"/>
  <c r="U37" i="3"/>
  <c r="V37" i="3"/>
  <c r="W37" i="3"/>
  <c r="X37" i="3"/>
  <c r="AC37" i="3"/>
  <c r="M47" i="3"/>
  <c r="U47" i="3"/>
  <c r="AC47" i="3" s="1"/>
  <c r="V47" i="3"/>
  <c r="W47" i="3"/>
  <c r="X47" i="3"/>
  <c r="M49" i="3"/>
  <c r="U49" i="3"/>
  <c r="AC49" i="3" s="1"/>
  <c r="V49" i="3"/>
  <c r="W49" i="3"/>
  <c r="X49" i="3"/>
  <c r="M50" i="3"/>
  <c r="S50" i="3"/>
  <c r="U50" i="3"/>
  <c r="V50" i="3"/>
  <c r="W50" i="3"/>
  <c r="X50" i="3"/>
  <c r="AC50" i="3"/>
  <c r="M38" i="3"/>
  <c r="R38" i="3"/>
  <c r="S38" i="3"/>
  <c r="U38" i="3"/>
  <c r="V38" i="3"/>
  <c r="W38" i="3"/>
  <c r="X38" i="3"/>
  <c r="M35" i="3"/>
  <c r="U35" i="3"/>
  <c r="AC35" i="3" s="1"/>
  <c r="V35" i="3"/>
  <c r="W35" i="3"/>
  <c r="X35" i="3"/>
  <c r="M56" i="3"/>
  <c r="R56" i="3"/>
  <c r="U56" i="3"/>
  <c r="AC56" i="3" s="1"/>
  <c r="V56" i="3"/>
  <c r="W56" i="3"/>
  <c r="X56" i="3"/>
  <c r="M59" i="3"/>
  <c r="R59" i="3"/>
  <c r="U59" i="3"/>
  <c r="T59" i="3" s="1"/>
  <c r="V59" i="3"/>
  <c r="W59" i="3"/>
  <c r="X59" i="3"/>
  <c r="M39" i="3"/>
  <c r="R39" i="3"/>
  <c r="U39" i="3"/>
  <c r="AD46" i="3" s="1"/>
  <c r="V39" i="3"/>
  <c r="W39" i="3"/>
  <c r="X39" i="3"/>
  <c r="AC39" i="3"/>
  <c r="M51" i="3"/>
  <c r="U51" i="3"/>
  <c r="AC51" i="3" s="1"/>
  <c r="V51" i="3"/>
  <c r="W51" i="3"/>
  <c r="X51" i="3"/>
  <c r="M8" i="3"/>
  <c r="R8" i="3"/>
  <c r="U8" i="3"/>
  <c r="AC8" i="3" s="1"/>
  <c r="V8" i="3"/>
  <c r="W8" i="3"/>
  <c r="X8" i="3"/>
  <c r="M60" i="3"/>
  <c r="R60" i="3"/>
  <c r="S60" i="3"/>
  <c r="U60" i="3"/>
  <c r="T60" i="3" s="1"/>
  <c r="V60" i="3"/>
  <c r="W60" i="3"/>
  <c r="X60" i="3"/>
  <c r="AC60" i="3"/>
  <c r="M40" i="3"/>
  <c r="U40" i="3"/>
  <c r="V40" i="3"/>
  <c r="W40" i="3"/>
  <c r="X40" i="3"/>
  <c r="M45" i="3"/>
  <c r="U45" i="3"/>
  <c r="AC45" i="3" s="1"/>
  <c r="V45" i="3"/>
  <c r="W45" i="3"/>
  <c r="X45" i="3"/>
  <c r="M52" i="3"/>
  <c r="U52" i="3"/>
  <c r="AC52" i="3" s="1"/>
  <c r="V52" i="3"/>
  <c r="W52" i="3"/>
  <c r="X52" i="3"/>
  <c r="AD52" i="3"/>
  <c r="M53" i="3"/>
  <c r="U53" i="3"/>
  <c r="T53" i="3" s="1"/>
  <c r="V53" i="3"/>
  <c r="W53" i="3"/>
  <c r="X53" i="3"/>
  <c r="AC53" i="3"/>
  <c r="M21" i="3"/>
  <c r="U21" i="3"/>
  <c r="V21" i="3"/>
  <c r="W21" i="3"/>
  <c r="X21" i="3"/>
  <c r="AC21" i="3"/>
  <c r="M16" i="3"/>
  <c r="R16" i="3"/>
  <c r="U16" i="3"/>
  <c r="AC16" i="3" s="1"/>
  <c r="V16" i="3"/>
  <c r="W16" i="3"/>
  <c r="X16" i="3"/>
  <c r="M54" i="3"/>
  <c r="R54" i="3"/>
  <c r="U54" i="3"/>
  <c r="V54" i="3"/>
  <c r="W54" i="3"/>
  <c r="X54" i="3"/>
  <c r="M36" i="3"/>
  <c r="U36" i="3"/>
  <c r="AD57" i="3" s="1"/>
  <c r="V36" i="3"/>
  <c r="W36" i="3"/>
  <c r="X36" i="3"/>
  <c r="AC36" i="3"/>
  <c r="M48" i="3"/>
  <c r="S48" i="3"/>
  <c r="U48" i="3"/>
  <c r="V48" i="3"/>
  <c r="W48" i="3"/>
  <c r="X48" i="3"/>
  <c r="M14" i="3"/>
  <c r="U14" i="3"/>
  <c r="AC14" i="3" s="1"/>
  <c r="V14" i="3"/>
  <c r="W14" i="3"/>
  <c r="Y14" i="3" s="1"/>
  <c r="X14" i="3"/>
  <c r="M9" i="3"/>
  <c r="U9" i="3"/>
  <c r="AC9" i="3" s="1"/>
  <c r="V9" i="3"/>
  <c r="W9" i="3"/>
  <c r="X9" i="3"/>
  <c r="X160" i="1" l="1"/>
  <c r="S45" i="3"/>
  <c r="Y8" i="3"/>
  <c r="R49" i="3"/>
  <c r="R37" i="3"/>
  <c r="S10" i="3"/>
  <c r="AI206" i="1"/>
  <c r="AA206" i="1"/>
  <c r="AA182" i="1"/>
  <c r="X229" i="1"/>
  <c r="AA85" i="1"/>
  <c r="AG21" i="1"/>
  <c r="AI21" i="1" s="1"/>
  <c r="AA161" i="1"/>
  <c r="Y45" i="3"/>
  <c r="R30" i="3"/>
  <c r="Y46" i="3"/>
  <c r="AA163" i="1"/>
  <c r="AA129" i="1"/>
  <c r="AA111" i="1"/>
  <c r="AI90" i="1"/>
  <c r="AA69" i="1"/>
  <c r="X164" i="1"/>
  <c r="X163" i="1"/>
  <c r="AG162" i="1"/>
  <c r="X162" i="1"/>
  <c r="AG160" i="1"/>
  <c r="AA191" i="1"/>
  <c r="AA189" i="1"/>
  <c r="AG180" i="1"/>
  <c r="AI180" i="1" s="1"/>
  <c r="X180" i="1"/>
  <c r="AA164" i="1"/>
  <c r="AG215" i="1"/>
  <c r="AA157" i="1"/>
  <c r="AA149" i="1"/>
  <c r="AG161" i="1"/>
  <c r="W161" i="1" s="1"/>
  <c r="AC59" i="3"/>
  <c r="AD25" i="3"/>
  <c r="Y25" i="3"/>
  <c r="Y7" i="3"/>
  <c r="W206" i="1"/>
  <c r="X214" i="1"/>
  <c r="X143" i="1"/>
  <c r="X115" i="1"/>
  <c r="AD44" i="3"/>
  <c r="AD37" i="3"/>
  <c r="Y12" i="3"/>
  <c r="Y18" i="3"/>
  <c r="Y57" i="3"/>
  <c r="AA188" i="1"/>
  <c r="AA180" i="1"/>
  <c r="AA148" i="1"/>
  <c r="AA142" i="1"/>
  <c r="AA114" i="1"/>
  <c r="AA74" i="1"/>
  <c r="AA70" i="1"/>
  <c r="W70" i="1" s="1"/>
  <c r="AA36" i="1"/>
  <c r="AA32" i="1"/>
  <c r="AA24" i="1"/>
  <c r="AA22" i="1"/>
  <c r="W22" i="1" s="1"/>
  <c r="AD54" i="3"/>
  <c r="AA207" i="1"/>
  <c r="AA158" i="1"/>
  <c r="W158" i="1" s="1"/>
  <c r="AA141" i="1"/>
  <c r="W141" i="1" s="1"/>
  <c r="AA137" i="1"/>
  <c r="W137" i="1" s="1"/>
  <c r="AA127" i="1"/>
  <c r="T127" i="1"/>
  <c r="AA124" i="1"/>
  <c r="W124" i="1" s="1"/>
  <c r="T119" i="1"/>
  <c r="AA92" i="1"/>
  <c r="AA76" i="1"/>
  <c r="AA61" i="1"/>
  <c r="AG47" i="1"/>
  <c r="AI47" i="1" s="1"/>
  <c r="X47" i="1"/>
  <c r="X46" i="1"/>
  <c r="AA44" i="1"/>
  <c r="S55" i="3"/>
  <c r="Y15" i="3"/>
  <c r="X103" i="1"/>
  <c r="Y38" i="3"/>
  <c r="Y34" i="3"/>
  <c r="Y19" i="3"/>
  <c r="Y29" i="3"/>
  <c r="AE40" i="3"/>
  <c r="Y51" i="3"/>
  <c r="S59" i="3"/>
  <c r="Y35" i="3"/>
  <c r="S41" i="3"/>
  <c r="Y55" i="3"/>
  <c r="R55" i="3"/>
  <c r="AA244" i="1"/>
  <c r="AA240" i="1"/>
  <c r="AA170" i="1"/>
  <c r="AA168" i="1"/>
  <c r="X209" i="1"/>
  <c r="AA134" i="1"/>
  <c r="AG127" i="1"/>
  <c r="AA125" i="1"/>
  <c r="AA122" i="1"/>
  <c r="AG119" i="1"/>
  <c r="AA110" i="1"/>
  <c r="AA102" i="1"/>
  <c r="AA93" i="1"/>
  <c r="AA90" i="1"/>
  <c r="W90" i="1" s="1"/>
  <c r="X83" i="1"/>
  <c r="AA82" i="1"/>
  <c r="W82" i="1" s="1"/>
  <c r="AA73" i="1"/>
  <c r="AI56" i="1"/>
  <c r="AA46" i="1"/>
  <c r="T46" i="1"/>
  <c r="AA45" i="1"/>
  <c r="X37" i="1"/>
  <c r="X33" i="1"/>
  <c r="T22" i="1"/>
  <c r="X17" i="1"/>
  <c r="R48" i="3"/>
  <c r="AD50" i="3"/>
  <c r="AD40" i="3"/>
  <c r="T17" i="3"/>
  <c r="X198" i="1"/>
  <c r="AG211" i="1"/>
  <c r="AA95" i="1"/>
  <c r="AA91" i="1"/>
  <c r="AA58" i="1"/>
  <c r="AG55" i="1"/>
  <c r="AI49" i="1"/>
  <c r="AA49" i="1"/>
  <c r="W49" i="1" s="1"/>
  <c r="AG44" i="1"/>
  <c r="AI44" i="1" s="1"/>
  <c r="X44" i="1"/>
  <c r="Y9" i="3"/>
  <c r="AC54" i="3"/>
  <c r="T54" i="3"/>
  <c r="Y21" i="3"/>
  <c r="R52" i="3"/>
  <c r="Y47" i="3"/>
  <c r="AD32" i="3"/>
  <c r="R22" i="3"/>
  <c r="AG165" i="1"/>
  <c r="X165" i="1"/>
  <c r="W149" i="1"/>
  <c r="AG111" i="1"/>
  <c r="X111" i="1"/>
  <c r="X107" i="1"/>
  <c r="T83" i="1"/>
  <c r="X79" i="1"/>
  <c r="AG75" i="1"/>
  <c r="U75" i="1" s="1"/>
  <c r="S75" i="1" s="1"/>
  <c r="X75" i="1"/>
  <c r="AA66" i="1"/>
  <c r="W66" i="1" s="1"/>
  <c r="X59" i="1"/>
  <c r="AG59" i="1"/>
  <c r="T53" i="1"/>
  <c r="U53" i="1" s="1"/>
  <c r="S53" i="1" s="1"/>
  <c r="T24" i="3"/>
  <c r="AE24" i="3"/>
  <c r="T20" i="3"/>
  <c r="AE20" i="3"/>
  <c r="AA232" i="1"/>
  <c r="W232" i="1" s="1"/>
  <c r="W111" i="1"/>
  <c r="R26" i="3"/>
  <c r="R28" i="3"/>
  <c r="X91" i="1"/>
  <c r="X78" i="1"/>
  <c r="AG67" i="1"/>
  <c r="X67" i="1"/>
  <c r="W61" i="1"/>
  <c r="T33" i="3"/>
  <c r="AD33" i="3"/>
  <c r="AD20" i="3"/>
  <c r="Y30" i="3"/>
  <c r="Y20" i="3"/>
  <c r="AA205" i="1"/>
  <c r="R45" i="3"/>
  <c r="R40" i="3"/>
  <c r="AA198" i="1"/>
  <c r="W198" i="1" s="1"/>
  <c r="T198" i="1"/>
  <c r="AG170" i="1"/>
  <c r="T232" i="1"/>
  <c r="AA231" i="1"/>
  <c r="AA227" i="1"/>
  <c r="AA211" i="1"/>
  <c r="AA209" i="1"/>
  <c r="X154" i="1"/>
  <c r="AA152" i="1"/>
  <c r="AA150" i="1"/>
  <c r="AA138" i="1"/>
  <c r="AA132" i="1"/>
  <c r="AA130" i="1"/>
  <c r="W130" i="1" s="1"/>
  <c r="AA128" i="1"/>
  <c r="AA126" i="1"/>
  <c r="AG118" i="1"/>
  <c r="T118" i="1"/>
  <c r="AA106" i="1"/>
  <c r="W106" i="1" s="1"/>
  <c r="X99" i="1"/>
  <c r="AG99" i="1"/>
  <c r="X62" i="1"/>
  <c r="T61" i="1"/>
  <c r="U61" i="1" s="1"/>
  <c r="S61" i="1" s="1"/>
  <c r="T44" i="1"/>
  <c r="AA41" i="1"/>
  <c r="W41" i="1" s="1"/>
  <c r="X195" i="1"/>
  <c r="AG195" i="1"/>
  <c r="U195" i="1" s="1"/>
  <c r="S195" i="1" s="1"/>
  <c r="X34" i="1"/>
  <c r="AA28" i="1"/>
  <c r="W28" i="1" s="1"/>
  <c r="AA16" i="1"/>
  <c r="AD58" i="3"/>
  <c r="Y40" i="3"/>
  <c r="AD42" i="3"/>
  <c r="AE33" i="3"/>
  <c r="Y26" i="3"/>
  <c r="AD26" i="3"/>
  <c r="S30" i="3"/>
  <c r="AA224" i="1"/>
  <c r="AA242" i="1"/>
  <c r="X238" i="1"/>
  <c r="AA193" i="1"/>
  <c r="AA183" i="1"/>
  <c r="W183" i="1" s="1"/>
  <c r="AA179" i="1"/>
  <c r="AA175" i="1"/>
  <c r="W175" i="1" s="1"/>
  <c r="AA172" i="1"/>
  <c r="X169" i="1"/>
  <c r="AA165" i="1"/>
  <c r="X233" i="1"/>
  <c r="X217" i="1"/>
  <c r="AA215" i="1"/>
  <c r="W215" i="1" s="1"/>
  <c r="AA213" i="1"/>
  <c r="AA156" i="1"/>
  <c r="AA154" i="1"/>
  <c r="AA153" i="1"/>
  <c r="W153" i="1" s="1"/>
  <c r="AA146" i="1"/>
  <c r="X142" i="1"/>
  <c r="AA133" i="1"/>
  <c r="X123" i="1"/>
  <c r="AA109" i="1"/>
  <c r="W109" i="1" s="1"/>
  <c r="X51" i="1"/>
  <c r="AA51" i="1"/>
  <c r="X45" i="1"/>
  <c r="AA33" i="1"/>
  <c r="AA29" i="1"/>
  <c r="AA23" i="1"/>
  <c r="X22" i="1"/>
  <c r="AG17" i="1"/>
  <c r="AI17" i="1" s="1"/>
  <c r="R18" i="3"/>
  <c r="T221" i="1"/>
  <c r="X221" i="1"/>
  <c r="AG221" i="1"/>
  <c r="X242" i="1"/>
  <c r="S52" i="3"/>
  <c r="S53" i="3"/>
  <c r="AG220" i="1"/>
  <c r="X220" i="1"/>
  <c r="W133" i="1"/>
  <c r="AA79" i="1"/>
  <c r="AA60" i="1"/>
  <c r="AA53" i="1"/>
  <c r="W53" i="1" s="1"/>
  <c r="X52" i="1"/>
  <c r="AA43" i="1"/>
  <c r="X40" i="1"/>
  <c r="AA35" i="1"/>
  <c r="AA34" i="1"/>
  <c r="T34" i="1"/>
  <c r="AG33" i="1"/>
  <c r="AI33" i="1" s="1"/>
  <c r="X28" i="1"/>
  <c r="AA26" i="1"/>
  <c r="T26" i="1"/>
  <c r="U26" i="1" s="1"/>
  <c r="S26" i="1" s="1"/>
  <c r="AG25" i="1"/>
  <c r="AI25" i="1" s="1"/>
  <c r="X25" i="1"/>
  <c r="AA225" i="1"/>
  <c r="AA223" i="1"/>
  <c r="AA241" i="1"/>
  <c r="AA202" i="1"/>
  <c r="AA199" i="1"/>
  <c r="AA196" i="1"/>
  <c r="W196" i="1" s="1"/>
  <c r="AA194" i="1"/>
  <c r="W194" i="1" s="1"/>
  <c r="AA190" i="1"/>
  <c r="T187" i="1"/>
  <c r="T183" i="1"/>
  <c r="U183" i="1" s="1"/>
  <c r="S183" i="1" s="1"/>
  <c r="AA181" i="1"/>
  <c r="W181" i="1" s="1"/>
  <c r="X176" i="1"/>
  <c r="AA176" i="1"/>
  <c r="AG172" i="1"/>
  <c r="AI172" i="1" s="1"/>
  <c r="AG164" i="1"/>
  <c r="U164" i="1" s="1"/>
  <c r="S164" i="1" s="1"/>
  <c r="AA236" i="1"/>
  <c r="W236" i="1" s="1"/>
  <c r="AA233" i="1"/>
  <c r="T233" i="1"/>
  <c r="AA230" i="1"/>
  <c r="AA228" i="1"/>
  <c r="AG219" i="1"/>
  <c r="AI219" i="1" s="1"/>
  <c r="AA216" i="1"/>
  <c r="W216" i="1" s="1"/>
  <c r="AA210" i="1"/>
  <c r="X155" i="1"/>
  <c r="AA155" i="1"/>
  <c r="X150" i="1"/>
  <c r="X147" i="1"/>
  <c r="AA147" i="1"/>
  <c r="X146" i="1"/>
  <c r="AA144" i="1"/>
  <c r="T129" i="1"/>
  <c r="AA118" i="1"/>
  <c r="T115" i="1"/>
  <c r="T114" i="1"/>
  <c r="U114" i="1" s="1"/>
  <c r="S114" i="1" s="1"/>
  <c r="AG108" i="1"/>
  <c r="U108" i="1" s="1"/>
  <c r="S108" i="1" s="1"/>
  <c r="X108" i="1"/>
  <c r="T107" i="1"/>
  <c r="T106" i="1"/>
  <c r="U106" i="1" s="1"/>
  <c r="S106" i="1" s="1"/>
  <c r="AA100" i="1"/>
  <c r="AA97" i="1"/>
  <c r="W97" i="1" s="1"/>
  <c r="X94" i="1"/>
  <c r="AA87" i="1"/>
  <c r="AG83" i="1"/>
  <c r="AA78" i="1"/>
  <c r="W78" i="1" s="1"/>
  <c r="AA77" i="1"/>
  <c r="AA68" i="1"/>
  <c r="X63" i="1"/>
  <c r="AA63" i="1"/>
  <c r="X41" i="1"/>
  <c r="X38" i="1"/>
  <c r="X29" i="1"/>
  <c r="AA18" i="1"/>
  <c r="X16" i="1"/>
  <c r="X15" i="1"/>
  <c r="X213" i="1"/>
  <c r="T143" i="1"/>
  <c r="X135" i="1"/>
  <c r="X134" i="1"/>
  <c r="T123" i="1"/>
  <c r="T122" i="1"/>
  <c r="X95" i="1"/>
  <c r="AA86" i="1"/>
  <c r="W86" i="1" s="1"/>
  <c r="AA81" i="1"/>
  <c r="AA71" i="1"/>
  <c r="AA62" i="1"/>
  <c r="AG58" i="1"/>
  <c r="AI58" i="1" s="1"/>
  <c r="AA57" i="1"/>
  <c r="W57" i="1" s="1"/>
  <c r="AA55" i="1"/>
  <c r="AA52" i="1"/>
  <c r="T52" i="1"/>
  <c r="U52" i="1" s="1"/>
  <c r="S52" i="1" s="1"/>
  <c r="X49" i="1"/>
  <c r="AA40" i="1"/>
  <c r="T40" i="1"/>
  <c r="AA37" i="1"/>
  <c r="AG34" i="1"/>
  <c r="AI34" i="1" s="1"/>
  <c r="AA27" i="1"/>
  <c r="X26" i="1"/>
  <c r="AA20" i="1"/>
  <c r="AA14" i="1"/>
  <c r="AA222" i="1"/>
  <c r="W222" i="1" s="1"/>
  <c r="AA220" i="1"/>
  <c r="W220" i="1" s="1"/>
  <c r="AA239" i="1"/>
  <c r="W239" i="1" s="1"/>
  <c r="AA204" i="1"/>
  <c r="W204" i="1" s="1"/>
  <c r="X203" i="1"/>
  <c r="AA201" i="1"/>
  <c r="AA197" i="1"/>
  <c r="AG187" i="1"/>
  <c r="AA186" i="1"/>
  <c r="AG179" i="1"/>
  <c r="W179" i="1" s="1"/>
  <c r="AA178" i="1"/>
  <c r="AA171" i="1"/>
  <c r="AG233" i="1"/>
  <c r="AG230" i="1"/>
  <c r="AI230" i="1" s="1"/>
  <c r="X228" i="1"/>
  <c r="AA219" i="1"/>
  <c r="AA217" i="1"/>
  <c r="AA212" i="1"/>
  <c r="AA159" i="1"/>
  <c r="AA151" i="1"/>
  <c r="AA145" i="1"/>
  <c r="W145" i="1" s="1"/>
  <c r="AA143" i="1"/>
  <c r="X139" i="1"/>
  <c r="AG138" i="1"/>
  <c r="AI138" i="1" s="1"/>
  <c r="X138" i="1"/>
  <c r="AG115" i="1"/>
  <c r="AA108" i="1"/>
  <c r="AG107" i="1"/>
  <c r="AI107" i="1" s="1"/>
  <c r="AA103" i="1"/>
  <c r="AA101" i="1"/>
  <c r="W101" i="1" s="1"/>
  <c r="AA94" i="1"/>
  <c r="W94" i="1" s="1"/>
  <c r="AA89" i="1"/>
  <c r="W74" i="1"/>
  <c r="AA65" i="1"/>
  <c r="AA15" i="1"/>
  <c r="W15" i="1" s="1"/>
  <c r="T224" i="1"/>
  <c r="U224" i="1" s="1"/>
  <c r="S224" i="1" s="1"/>
  <c r="AG225" i="1"/>
  <c r="U225" i="1" s="1"/>
  <c r="S225" i="1" s="1"/>
  <c r="X225" i="1"/>
  <c r="AA221" i="1"/>
  <c r="W221" i="1" s="1"/>
  <c r="T220" i="1"/>
  <c r="U220" i="1" s="1"/>
  <c r="S220" i="1" s="1"/>
  <c r="AA243" i="1"/>
  <c r="T242" i="1"/>
  <c r="X206" i="1"/>
  <c r="AG203" i="1"/>
  <c r="U203" i="1" s="1"/>
  <c r="S203" i="1" s="1"/>
  <c r="W190" i="1"/>
  <c r="T190" i="1"/>
  <c r="U190" i="1" s="1"/>
  <c r="S190" i="1" s="1"/>
  <c r="T184" i="1"/>
  <c r="X184" i="1"/>
  <c r="AG184" i="1"/>
  <c r="X224" i="1"/>
  <c r="T241" i="1"/>
  <c r="U241" i="1" s="1"/>
  <c r="S241" i="1" s="1"/>
  <c r="AA226" i="1"/>
  <c r="AG242" i="1"/>
  <c r="AA238" i="1"/>
  <c r="T206" i="1"/>
  <c r="U206" i="1" s="1"/>
  <c r="S206" i="1" s="1"/>
  <c r="T199" i="1"/>
  <c r="X199" i="1"/>
  <c r="AG199" i="1"/>
  <c r="AI199" i="1" s="1"/>
  <c r="X190" i="1"/>
  <c r="X241" i="1"/>
  <c r="AG238" i="1"/>
  <c r="U238" i="1" s="1"/>
  <c r="S238" i="1" s="1"/>
  <c r="AA203" i="1"/>
  <c r="AG202" i="1"/>
  <c r="AI202" i="1" s="1"/>
  <c r="X202" i="1"/>
  <c r="X191" i="1"/>
  <c r="AG191" i="1"/>
  <c r="T191" i="1"/>
  <c r="X183" i="1"/>
  <c r="AI130" i="1"/>
  <c r="AI126" i="1"/>
  <c r="AA195" i="1"/>
  <c r="T194" i="1"/>
  <c r="U194" i="1" s="1"/>
  <c r="S194" i="1" s="1"/>
  <c r="AA192" i="1"/>
  <c r="W192" i="1" s="1"/>
  <c r="AA177" i="1"/>
  <c r="W177" i="1" s="1"/>
  <c r="T176" i="1"/>
  <c r="AG173" i="1"/>
  <c r="U173" i="1" s="1"/>
  <c r="S173" i="1" s="1"/>
  <c r="X173" i="1"/>
  <c r="AA169" i="1"/>
  <c r="T169" i="1"/>
  <c r="AG168" i="1"/>
  <c r="AG166" i="1"/>
  <c r="U166" i="1" s="1"/>
  <c r="S166" i="1" s="1"/>
  <c r="AG237" i="1"/>
  <c r="X237" i="1"/>
  <c r="T236" i="1"/>
  <c r="U236" i="1" s="1"/>
  <c r="S236" i="1" s="1"/>
  <c r="AA235" i="1"/>
  <c r="W235" i="1" s="1"/>
  <c r="AA234" i="1"/>
  <c r="AA229" i="1"/>
  <c r="T229" i="1"/>
  <c r="AG228" i="1"/>
  <c r="U228" i="1" s="1"/>
  <c r="S228" i="1" s="1"/>
  <c r="AG218" i="1"/>
  <c r="X218" i="1"/>
  <c r="AA214" i="1"/>
  <c r="T214" i="1"/>
  <c r="AG213" i="1"/>
  <c r="U213" i="1" s="1"/>
  <c r="S213" i="1" s="1"/>
  <c r="AG210" i="1"/>
  <c r="W210" i="1" s="1"/>
  <c r="X210" i="1"/>
  <c r="T159" i="1"/>
  <c r="T155" i="1"/>
  <c r="AG154" i="1"/>
  <c r="AG151" i="1"/>
  <c r="X151" i="1"/>
  <c r="T147" i="1"/>
  <c r="AG146" i="1"/>
  <c r="AG143" i="1"/>
  <c r="AA136" i="1"/>
  <c r="AA135" i="1"/>
  <c r="T135" i="1"/>
  <c r="AG134" i="1"/>
  <c r="X130" i="1"/>
  <c r="X126" i="1"/>
  <c r="AG123" i="1"/>
  <c r="AI123" i="1" s="1"/>
  <c r="U122" i="1"/>
  <c r="S122" i="1" s="1"/>
  <c r="AA121" i="1"/>
  <c r="AA120" i="1"/>
  <c r="AI41" i="1"/>
  <c r="AI29" i="1"/>
  <c r="T175" i="1"/>
  <c r="U175" i="1" s="1"/>
  <c r="S175" i="1" s="1"/>
  <c r="T217" i="1"/>
  <c r="T209" i="1"/>
  <c r="T158" i="1"/>
  <c r="U158" i="1" s="1"/>
  <c r="S158" i="1" s="1"/>
  <c r="T150" i="1"/>
  <c r="T142" i="1"/>
  <c r="AA140" i="1"/>
  <c r="AA139" i="1"/>
  <c r="T139" i="1"/>
  <c r="U138" i="1"/>
  <c r="S138" i="1" s="1"/>
  <c r="W126" i="1"/>
  <c r="T112" i="1"/>
  <c r="X112" i="1"/>
  <c r="AG112" i="1"/>
  <c r="AI112" i="1" s="1"/>
  <c r="AA200" i="1"/>
  <c r="W200" i="1" s="1"/>
  <c r="X194" i="1"/>
  <c r="AA187" i="1"/>
  <c r="AA185" i="1"/>
  <c r="W185" i="1" s="1"/>
  <c r="AA184" i="1"/>
  <c r="W184" i="1" s="1"/>
  <c r="X179" i="1"/>
  <c r="AG176" i="1"/>
  <c r="W176" i="1" s="1"/>
  <c r="AA173" i="1"/>
  <c r="AG169" i="1"/>
  <c r="AA167" i="1"/>
  <c r="W167" i="1" s="1"/>
  <c r="AA166" i="1"/>
  <c r="AA237" i="1"/>
  <c r="AG234" i="1"/>
  <c r="U234" i="1" s="1"/>
  <c r="S234" i="1" s="1"/>
  <c r="AG229" i="1"/>
  <c r="AA218" i="1"/>
  <c r="W218" i="1" s="1"/>
  <c r="AG217" i="1"/>
  <c r="AG214" i="1"/>
  <c r="AI214" i="1" s="1"/>
  <c r="AG209" i="1"/>
  <c r="AG159" i="1"/>
  <c r="AG155" i="1"/>
  <c r="AG150" i="1"/>
  <c r="AG147" i="1"/>
  <c r="W146" i="1"/>
  <c r="AG142" i="1"/>
  <c r="AG135" i="1"/>
  <c r="AI135" i="1" s="1"/>
  <c r="T130" i="1"/>
  <c r="U130" i="1" s="1"/>
  <c r="S130" i="1" s="1"/>
  <c r="T126" i="1"/>
  <c r="U126" i="1" s="1"/>
  <c r="S126" i="1" s="1"/>
  <c r="AG120" i="1"/>
  <c r="U120" i="1" s="1"/>
  <c r="S120" i="1" s="1"/>
  <c r="U180" i="1"/>
  <c r="S180" i="1" s="1"/>
  <c r="X175" i="1"/>
  <c r="U232" i="1"/>
  <c r="S232" i="1" s="1"/>
  <c r="X158" i="1"/>
  <c r="AG139" i="1"/>
  <c r="W131" i="1"/>
  <c r="W127" i="1"/>
  <c r="AA123" i="1"/>
  <c r="W123" i="1" s="1"/>
  <c r="T116" i="1"/>
  <c r="AG116" i="1"/>
  <c r="AI111" i="1"/>
  <c r="W29" i="1"/>
  <c r="T86" i="1"/>
  <c r="T70" i="1"/>
  <c r="T62" i="1"/>
  <c r="U58" i="1"/>
  <c r="S58" i="1" s="1"/>
  <c r="T57" i="1"/>
  <c r="U55" i="1"/>
  <c r="S55" i="1" s="1"/>
  <c r="T45" i="1"/>
  <c r="T37" i="1"/>
  <c r="X32" i="1"/>
  <c r="AA107" i="1"/>
  <c r="AA105" i="1"/>
  <c r="AA104" i="1"/>
  <c r="T103" i="1"/>
  <c r="T102" i="1"/>
  <c r="AA99" i="1"/>
  <c r="W99" i="1" s="1"/>
  <c r="T98" i="1"/>
  <c r="U98" i="1" s="1"/>
  <c r="AA96" i="1"/>
  <c r="T95" i="1"/>
  <c r="T91" i="1"/>
  <c r="X90" i="1"/>
  <c r="AG87" i="1"/>
  <c r="U87" i="1" s="1"/>
  <c r="X87" i="1"/>
  <c r="AA83" i="1"/>
  <c r="T82" i="1"/>
  <c r="U82" i="1" s="1"/>
  <c r="S82" i="1" s="1"/>
  <c r="AA80" i="1"/>
  <c r="T79" i="1"/>
  <c r="X74" i="1"/>
  <c r="AG71" i="1"/>
  <c r="U71" i="1" s="1"/>
  <c r="S71" i="1" s="1"/>
  <c r="X71" i="1"/>
  <c r="AA67" i="1"/>
  <c r="W67" i="1" s="1"/>
  <c r="T66" i="1"/>
  <c r="AA64" i="1"/>
  <c r="T63" i="1"/>
  <c r="AG62" i="1"/>
  <c r="X61" i="1"/>
  <c r="AA59" i="1"/>
  <c r="W59" i="1" s="1"/>
  <c r="X58" i="1"/>
  <c r="AA56" i="1"/>
  <c r="X55" i="1"/>
  <c r="X54" i="1"/>
  <c r="T51" i="1"/>
  <c r="AA50" i="1"/>
  <c r="T50" i="1"/>
  <c r="T49" i="1"/>
  <c r="U49" i="1" s="1"/>
  <c r="S49" i="1" s="1"/>
  <c r="AA48" i="1"/>
  <c r="T48" i="1"/>
  <c r="AA47" i="1"/>
  <c r="W47" i="1" s="1"/>
  <c r="AG45" i="1"/>
  <c r="AG43" i="1"/>
  <c r="X43" i="1"/>
  <c r="X42" i="1"/>
  <c r="AA39" i="1"/>
  <c r="AA38" i="1"/>
  <c r="T38" i="1"/>
  <c r="AG37" i="1"/>
  <c r="T36" i="1"/>
  <c r="U36" i="1" s="1"/>
  <c r="S36" i="1" s="1"/>
  <c r="T33" i="1"/>
  <c r="AG30" i="1"/>
  <c r="AI30" i="1" s="1"/>
  <c r="X30" i="1"/>
  <c r="AA25" i="1"/>
  <c r="W25" i="1" s="1"/>
  <c r="T24" i="1"/>
  <c r="X20" i="1"/>
  <c r="T16" i="1"/>
  <c r="T111" i="1"/>
  <c r="U111" i="1" s="1"/>
  <c r="S111" i="1" s="1"/>
  <c r="T94" i="1"/>
  <c r="X86" i="1"/>
  <c r="T78" i="1"/>
  <c r="X70" i="1"/>
  <c r="U67" i="1"/>
  <c r="S67" i="1" s="1"/>
  <c r="U59" i="1"/>
  <c r="X57" i="1"/>
  <c r="AI55" i="1"/>
  <c r="AI53" i="1"/>
  <c r="U47" i="1"/>
  <c r="S47" i="1" s="1"/>
  <c r="T41" i="1"/>
  <c r="U41" i="1" s="1"/>
  <c r="S41" i="1" s="1"/>
  <c r="T32" i="1"/>
  <c r="T29" i="1"/>
  <c r="U29" i="1" s="1"/>
  <c r="S29" i="1" s="1"/>
  <c r="W17" i="1"/>
  <c r="AG16" i="1"/>
  <c r="W16" i="1" s="1"/>
  <c r="T15" i="1"/>
  <c r="AA119" i="1"/>
  <c r="AA117" i="1"/>
  <c r="W117" i="1" s="1"/>
  <c r="AA116" i="1"/>
  <c r="AA115" i="1"/>
  <c r="AA113" i="1"/>
  <c r="W113" i="1" s="1"/>
  <c r="AA112" i="1"/>
  <c r="AG104" i="1"/>
  <c r="AI104" i="1" s="1"/>
  <c r="AG103" i="1"/>
  <c r="AI103" i="1" s="1"/>
  <c r="X98" i="1"/>
  <c r="AG95" i="1"/>
  <c r="W95" i="1" s="1"/>
  <c r="AG93" i="1"/>
  <c r="AI93" i="1" s="1"/>
  <c r="AG91" i="1"/>
  <c r="AI91" i="1" s="1"/>
  <c r="T90" i="1"/>
  <c r="AA88" i="1"/>
  <c r="X82" i="1"/>
  <c r="AG79" i="1"/>
  <c r="AA75" i="1"/>
  <c r="W75" i="1" s="1"/>
  <c r="T74" i="1"/>
  <c r="AA72" i="1"/>
  <c r="X66" i="1"/>
  <c r="AG63" i="1"/>
  <c r="U63" i="1" s="1"/>
  <c r="S63" i="1" s="1"/>
  <c r="AA54" i="1"/>
  <c r="W54" i="1" s="1"/>
  <c r="T54" i="1"/>
  <c r="U54" i="1" s="1"/>
  <c r="S54" i="1" s="1"/>
  <c r="AG51" i="1"/>
  <c r="X50" i="1"/>
  <c r="X48" i="1"/>
  <c r="AA42" i="1"/>
  <c r="W42" i="1" s="1"/>
  <c r="T42" i="1"/>
  <c r="AG39" i="1"/>
  <c r="AG38" i="1"/>
  <c r="AI38" i="1" s="1"/>
  <c r="X36" i="1"/>
  <c r="AA31" i="1"/>
  <c r="AA30" i="1"/>
  <c r="W30" i="1" s="1"/>
  <c r="T28" i="1"/>
  <c r="X24" i="1"/>
  <c r="AA21" i="1"/>
  <c r="W21" i="1" s="1"/>
  <c r="T20" i="1"/>
  <c r="U20" i="1" s="1"/>
  <c r="S20" i="1" s="1"/>
  <c r="W226" i="1"/>
  <c r="W224" i="1"/>
  <c r="AI232" i="1"/>
  <c r="W202" i="1"/>
  <c r="AI216" i="1"/>
  <c r="W188" i="1"/>
  <c r="AI200" i="1"/>
  <c r="AI198" i="1"/>
  <c r="AI226" i="1"/>
  <c r="U202" i="1"/>
  <c r="S202" i="1" s="1"/>
  <c r="AI212" i="1"/>
  <c r="AI204" i="1"/>
  <c r="AI238" i="1"/>
  <c r="W243" i="1"/>
  <c r="W241" i="1"/>
  <c r="AI224" i="1"/>
  <c r="AI222" i="1"/>
  <c r="U198" i="1"/>
  <c r="S198" i="1" s="1"/>
  <c r="AI208" i="1"/>
  <c r="AI236" i="1"/>
  <c r="AI220" i="1"/>
  <c r="AI218" i="1"/>
  <c r="X226" i="1"/>
  <c r="T226" i="1"/>
  <c r="U226" i="1" s="1"/>
  <c r="S226" i="1" s="1"/>
  <c r="AI243" i="1"/>
  <c r="AG223" i="1"/>
  <c r="X222" i="1"/>
  <c r="T222" i="1"/>
  <c r="U222" i="1" s="1"/>
  <c r="S222" i="1" s="1"/>
  <c r="AI239" i="1"/>
  <c r="AG244" i="1"/>
  <c r="W244" i="1" s="1"/>
  <c r="X243" i="1"/>
  <c r="T243" i="1"/>
  <c r="U243" i="1" s="1"/>
  <c r="S243" i="1" s="1"/>
  <c r="AI235" i="1"/>
  <c r="AG240" i="1"/>
  <c r="X239" i="1"/>
  <c r="T239" i="1"/>
  <c r="U239" i="1" s="1"/>
  <c r="S239" i="1" s="1"/>
  <c r="AI231" i="1"/>
  <c r="AG205" i="1"/>
  <c r="X204" i="1"/>
  <c r="T204" i="1"/>
  <c r="U204" i="1" s="1"/>
  <c r="S204" i="1" s="1"/>
  <c r="AI227" i="1"/>
  <c r="AG201" i="1"/>
  <c r="W201" i="1" s="1"/>
  <c r="X200" i="1"/>
  <c r="T200" i="1"/>
  <c r="U200" i="1" s="1"/>
  <c r="S200" i="1" s="1"/>
  <c r="AG197" i="1"/>
  <c r="W197" i="1" s="1"/>
  <c r="X196" i="1"/>
  <c r="T196" i="1"/>
  <c r="U196" i="1" s="1"/>
  <c r="S196" i="1" s="1"/>
  <c r="AG193" i="1"/>
  <c r="AI193" i="1" s="1"/>
  <c r="X192" i="1"/>
  <c r="T192" i="1"/>
  <c r="U192" i="1" s="1"/>
  <c r="S192" i="1" s="1"/>
  <c r="AI215" i="1"/>
  <c r="AG189" i="1"/>
  <c r="AI189" i="1" s="1"/>
  <c r="T188" i="1"/>
  <c r="U188" i="1" s="1"/>
  <c r="S188" i="1" s="1"/>
  <c r="AI211" i="1"/>
  <c r="AG186" i="1"/>
  <c r="W186" i="1" s="1"/>
  <c r="X185" i="1"/>
  <c r="T185" i="1"/>
  <c r="U185" i="1" s="1"/>
  <c r="S185" i="1" s="1"/>
  <c r="AG182" i="1"/>
  <c r="AI182" i="1" s="1"/>
  <c r="X181" i="1"/>
  <c r="T181" i="1"/>
  <c r="U181" i="1" s="1"/>
  <c r="S181" i="1" s="1"/>
  <c r="AG178" i="1"/>
  <c r="X177" i="1"/>
  <c r="T177" i="1"/>
  <c r="U177" i="1" s="1"/>
  <c r="S177" i="1" s="1"/>
  <c r="AG174" i="1"/>
  <c r="AI174" i="1" s="1"/>
  <c r="AI183" i="1"/>
  <c r="W231" i="1"/>
  <c r="U211" i="1"/>
  <c r="S211" i="1" s="1"/>
  <c r="W208" i="1"/>
  <c r="AI158" i="1"/>
  <c r="W157" i="1"/>
  <c r="AI137" i="1"/>
  <c r="X223" i="1"/>
  <c r="X244" i="1"/>
  <c r="X240" i="1"/>
  <c r="X205" i="1"/>
  <c r="X201" i="1"/>
  <c r="X197" i="1"/>
  <c r="X193" i="1"/>
  <c r="X186" i="1"/>
  <c r="X182" i="1"/>
  <c r="X178" i="1"/>
  <c r="X174" i="1"/>
  <c r="AI196" i="1"/>
  <c r="AG171" i="1"/>
  <c r="AI171" i="1" s="1"/>
  <c r="X172" i="1"/>
  <c r="T171" i="1"/>
  <c r="X171" i="1"/>
  <c r="AI179" i="1"/>
  <c r="AI163" i="1"/>
  <c r="AI157" i="1"/>
  <c r="AI149" i="1"/>
  <c r="AI141" i="1"/>
  <c r="W129" i="1"/>
  <c r="AI190" i="1"/>
  <c r="W163" i="1"/>
  <c r="U230" i="1"/>
  <c r="S230" i="1" s="1"/>
  <c r="W227" i="1"/>
  <c r="U215" i="1"/>
  <c r="S215" i="1" s="1"/>
  <c r="W212" i="1"/>
  <c r="U129" i="1"/>
  <c r="S129" i="1" s="1"/>
  <c r="AI129" i="1"/>
  <c r="AI175" i="1"/>
  <c r="AI167" i="1"/>
  <c r="AI153" i="1"/>
  <c r="AI145" i="1"/>
  <c r="AI133" i="1"/>
  <c r="X167" i="1"/>
  <c r="T167" i="1"/>
  <c r="U167" i="1" s="1"/>
  <c r="S167" i="1" s="1"/>
  <c r="T163" i="1"/>
  <c r="U163" i="1" s="1"/>
  <c r="S163" i="1" s="1"/>
  <c r="X235" i="1"/>
  <c r="T235" i="1"/>
  <c r="U235" i="1" s="1"/>
  <c r="S235" i="1" s="1"/>
  <c r="X231" i="1"/>
  <c r="T231" i="1"/>
  <c r="U231" i="1" s="1"/>
  <c r="S231" i="1" s="1"/>
  <c r="AI178" i="1"/>
  <c r="X227" i="1"/>
  <c r="T227" i="1"/>
  <c r="U227" i="1" s="1"/>
  <c r="S227" i="1" s="1"/>
  <c r="X216" i="1"/>
  <c r="T216" i="1"/>
  <c r="U216" i="1" s="1"/>
  <c r="S216" i="1" s="1"/>
  <c r="AI170" i="1"/>
  <c r="X212" i="1"/>
  <c r="T212" i="1"/>
  <c r="U212" i="1" s="1"/>
  <c r="S212" i="1" s="1"/>
  <c r="X208" i="1"/>
  <c r="T208" i="1"/>
  <c r="U208" i="1" s="1"/>
  <c r="S208" i="1" s="1"/>
  <c r="X157" i="1"/>
  <c r="T157" i="1"/>
  <c r="U157" i="1" s="1"/>
  <c r="S157" i="1" s="1"/>
  <c r="X153" i="1"/>
  <c r="T153" i="1"/>
  <c r="U153" i="1" s="1"/>
  <c r="S153" i="1" s="1"/>
  <c r="X149" i="1"/>
  <c r="T149" i="1"/>
  <c r="U149" i="1" s="1"/>
  <c r="S149" i="1" s="1"/>
  <c r="X145" i="1"/>
  <c r="T145" i="1"/>
  <c r="U145" i="1" s="1"/>
  <c r="S145" i="1" s="1"/>
  <c r="X141" i="1"/>
  <c r="T141" i="1"/>
  <c r="U141" i="1" s="1"/>
  <c r="S141" i="1" s="1"/>
  <c r="X137" i="1"/>
  <c r="T137" i="1"/>
  <c r="U137" i="1" s="1"/>
  <c r="S137" i="1" s="1"/>
  <c r="X133" i="1"/>
  <c r="T133" i="1"/>
  <c r="U133" i="1" s="1"/>
  <c r="S133" i="1" s="1"/>
  <c r="X129" i="1"/>
  <c r="AG121" i="1"/>
  <c r="X122" i="1"/>
  <c r="T121" i="1"/>
  <c r="X121" i="1"/>
  <c r="AI117" i="1"/>
  <c r="AI113" i="1"/>
  <c r="W98" i="1"/>
  <c r="X168" i="1"/>
  <c r="U165" i="1"/>
  <c r="S165" i="1" s="1"/>
  <c r="U237" i="1"/>
  <c r="S237" i="1" s="1"/>
  <c r="X236" i="1"/>
  <c r="X232" i="1"/>
  <c r="U229" i="1"/>
  <c r="S229" i="1" s="1"/>
  <c r="U218" i="1"/>
  <c r="S218" i="1" s="1"/>
  <c r="U151" i="1"/>
  <c r="S151" i="1" s="1"/>
  <c r="U147" i="1"/>
  <c r="S147" i="1" s="1"/>
  <c r="U143" i="1"/>
  <c r="S143" i="1" s="1"/>
  <c r="U131" i="1"/>
  <c r="S131" i="1" s="1"/>
  <c r="U127" i="1"/>
  <c r="S127" i="1" s="1"/>
  <c r="AI106" i="1"/>
  <c r="W105" i="1"/>
  <c r="W102" i="1"/>
  <c r="AI98" i="1"/>
  <c r="AG207" i="1"/>
  <c r="W207" i="1" s="1"/>
  <c r="AG156" i="1"/>
  <c r="AG152" i="1"/>
  <c r="AG148" i="1"/>
  <c r="AG144" i="1"/>
  <c r="AG140" i="1"/>
  <c r="W140" i="1" s="1"/>
  <c r="AG136" i="1"/>
  <c r="AG132" i="1"/>
  <c r="AG128" i="1"/>
  <c r="T125" i="1"/>
  <c r="X125" i="1"/>
  <c r="T124" i="1"/>
  <c r="U124" i="1" s="1"/>
  <c r="S124" i="1" s="1"/>
  <c r="X124" i="1"/>
  <c r="W118" i="1"/>
  <c r="W114" i="1"/>
  <c r="AI105" i="1"/>
  <c r="AI102" i="1"/>
  <c r="U102" i="1"/>
  <c r="S102" i="1" s="1"/>
  <c r="AI94" i="1"/>
  <c r="U94" i="1"/>
  <c r="S94" i="1" s="1"/>
  <c r="X170" i="1"/>
  <c r="AI192" i="1"/>
  <c r="X166" i="1"/>
  <c r="AI188" i="1"/>
  <c r="AI185" i="1"/>
  <c r="X234" i="1"/>
  <c r="AI181" i="1"/>
  <c r="X230" i="1"/>
  <c r="AI177" i="1"/>
  <c r="X219" i="1"/>
  <c r="AI173" i="1"/>
  <c r="X215" i="1"/>
  <c r="AI169" i="1"/>
  <c r="X211" i="1"/>
  <c r="AI165" i="1"/>
  <c r="X207" i="1"/>
  <c r="AI159" i="1"/>
  <c r="X156" i="1"/>
  <c r="AI155" i="1"/>
  <c r="X152" i="1"/>
  <c r="AI151" i="1"/>
  <c r="X148" i="1"/>
  <c r="AI147" i="1"/>
  <c r="X144" i="1"/>
  <c r="AI143" i="1"/>
  <c r="X140" i="1"/>
  <c r="X136" i="1"/>
  <c r="X132" i="1"/>
  <c r="AI131" i="1"/>
  <c r="X128" i="1"/>
  <c r="AI127" i="1"/>
  <c r="AG125" i="1"/>
  <c r="AI124" i="1"/>
  <c r="W122" i="1"/>
  <c r="AI118" i="1"/>
  <c r="U118" i="1"/>
  <c r="S118" i="1" s="1"/>
  <c r="AI114" i="1"/>
  <c r="AI109" i="1"/>
  <c r="AI101" i="1"/>
  <c r="AI97" i="1"/>
  <c r="AI120" i="1"/>
  <c r="X117" i="1"/>
  <c r="T117" i="1"/>
  <c r="U117" i="1" s="1"/>
  <c r="S117" i="1" s="1"/>
  <c r="AI116" i="1"/>
  <c r="X113" i="1"/>
  <c r="T113" i="1"/>
  <c r="U113" i="1" s="1"/>
  <c r="S113" i="1" s="1"/>
  <c r="AG110" i="1"/>
  <c r="X109" i="1"/>
  <c r="T109" i="1"/>
  <c r="U109" i="1" s="1"/>
  <c r="S109" i="1" s="1"/>
  <c r="AI108" i="1"/>
  <c r="X105" i="1"/>
  <c r="T105" i="1"/>
  <c r="U105" i="1" s="1"/>
  <c r="S105" i="1" s="1"/>
  <c r="X101" i="1"/>
  <c r="T101" i="1"/>
  <c r="U101" i="1" s="1"/>
  <c r="S101" i="1" s="1"/>
  <c r="X97" i="1"/>
  <c r="T97" i="1"/>
  <c r="U97" i="1" s="1"/>
  <c r="X93" i="1"/>
  <c r="U90" i="1"/>
  <c r="S90" i="1" s="1"/>
  <c r="U86" i="1"/>
  <c r="S86" i="1" s="1"/>
  <c r="AI86" i="1"/>
  <c r="U70" i="1"/>
  <c r="S70" i="1" s="1"/>
  <c r="AI70" i="1"/>
  <c r="AI57" i="1"/>
  <c r="U57" i="1"/>
  <c r="S57" i="1" s="1"/>
  <c r="X118" i="1"/>
  <c r="X114" i="1"/>
  <c r="X110" i="1"/>
  <c r="U107" i="1"/>
  <c r="S107" i="1" s="1"/>
  <c r="X106" i="1"/>
  <c r="U103" i="1"/>
  <c r="S103" i="1" s="1"/>
  <c r="X102" i="1"/>
  <c r="U99" i="1"/>
  <c r="S99" i="1" s="1"/>
  <c r="U95" i="1"/>
  <c r="S95" i="1" s="1"/>
  <c r="U91" i="1"/>
  <c r="S91" i="1" s="1"/>
  <c r="AI82" i="1"/>
  <c r="U66" i="1"/>
  <c r="S66" i="1" s="1"/>
  <c r="AI66" i="1"/>
  <c r="AI61" i="1"/>
  <c r="AG100" i="1"/>
  <c r="AG96" i="1"/>
  <c r="AG92" i="1"/>
  <c r="U78" i="1"/>
  <c r="S78" i="1" s="1"/>
  <c r="AI78" i="1"/>
  <c r="X120" i="1"/>
  <c r="X116" i="1"/>
  <c r="AI115" i="1"/>
  <c r="X104" i="1"/>
  <c r="X100" i="1"/>
  <c r="AI99" i="1"/>
  <c r="X96" i="1"/>
  <c r="AI95" i="1"/>
  <c r="X92" i="1"/>
  <c r="U74" i="1"/>
  <c r="S74" i="1" s="1"/>
  <c r="AI74" i="1"/>
  <c r="AG88" i="1"/>
  <c r="AG84" i="1"/>
  <c r="W84" i="1" s="1"/>
  <c r="AG80" i="1"/>
  <c r="AG76" i="1"/>
  <c r="AG72" i="1"/>
  <c r="AG68" i="1"/>
  <c r="AG64" i="1"/>
  <c r="AG60" i="1"/>
  <c r="W60" i="1" s="1"/>
  <c r="W56" i="1"/>
  <c r="T56" i="1"/>
  <c r="U56" i="1" s="1"/>
  <c r="S56" i="1" s="1"/>
  <c r="AI54" i="1"/>
  <c r="W46" i="1"/>
  <c r="AI42" i="1"/>
  <c r="U42" i="1"/>
  <c r="S42" i="1" s="1"/>
  <c r="W36" i="1"/>
  <c r="W24" i="1"/>
  <c r="AG89" i="1"/>
  <c r="X88" i="1"/>
  <c r="AI87" i="1"/>
  <c r="S87" i="1"/>
  <c r="AG85" i="1"/>
  <c r="X84" i="1"/>
  <c r="AI83" i="1"/>
  <c r="AG81" i="1"/>
  <c r="X80" i="1"/>
  <c r="AI79" i="1"/>
  <c r="AG77" i="1"/>
  <c r="X76" i="1"/>
  <c r="AI75" i="1"/>
  <c r="AG73" i="1"/>
  <c r="W73" i="1" s="1"/>
  <c r="X72" i="1"/>
  <c r="AG69" i="1"/>
  <c r="X68" i="1"/>
  <c r="AI67" i="1"/>
  <c r="AG65" i="1"/>
  <c r="W65" i="1" s="1"/>
  <c r="X64" i="1"/>
  <c r="X60" i="1"/>
  <c r="T60" i="1"/>
  <c r="AI59" i="1"/>
  <c r="S59" i="1"/>
  <c r="W50" i="1"/>
  <c r="W48" i="1"/>
  <c r="AI46" i="1"/>
  <c r="U46" i="1"/>
  <c r="S46" i="1" s="1"/>
  <c r="U44" i="1"/>
  <c r="S44" i="1" s="1"/>
  <c r="AI36" i="1"/>
  <c r="W32" i="1"/>
  <c r="U24" i="1"/>
  <c r="S24" i="1" s="1"/>
  <c r="AI24" i="1"/>
  <c r="AI22" i="1"/>
  <c r="U22" i="1"/>
  <c r="S22" i="1" s="1"/>
  <c r="X89" i="1"/>
  <c r="X85" i="1"/>
  <c r="X81" i="1"/>
  <c r="X77" i="1"/>
  <c r="X73" i="1"/>
  <c r="X69" i="1"/>
  <c r="X65" i="1"/>
  <c r="X56" i="1"/>
  <c r="W52" i="1"/>
  <c r="AI50" i="1"/>
  <c r="U50" i="1"/>
  <c r="S50" i="1" s="1"/>
  <c r="U48" i="1"/>
  <c r="S48" i="1" s="1"/>
  <c r="AI48" i="1"/>
  <c r="W40" i="1"/>
  <c r="U32" i="1"/>
  <c r="S32" i="1" s="1"/>
  <c r="AI32" i="1"/>
  <c r="W26" i="1"/>
  <c r="W20" i="1"/>
  <c r="U15" i="1"/>
  <c r="S15" i="1" s="1"/>
  <c r="AI15" i="1"/>
  <c r="AI52" i="1"/>
  <c r="U40" i="1"/>
  <c r="S40" i="1" s="1"/>
  <c r="AI40" i="1"/>
  <c r="U28" i="1"/>
  <c r="S28" i="1" s="1"/>
  <c r="AI28" i="1"/>
  <c r="AI26" i="1"/>
  <c r="AI20" i="1"/>
  <c r="U21" i="1"/>
  <c r="S21" i="1" s="1"/>
  <c r="U17" i="1"/>
  <c r="S17" i="1" s="1"/>
  <c r="X53" i="1"/>
  <c r="U38" i="1"/>
  <c r="S38" i="1" s="1"/>
  <c r="U34" i="1"/>
  <c r="S34" i="1" s="1"/>
  <c r="U30" i="1"/>
  <c r="S30" i="1" s="1"/>
  <c r="AG18" i="1"/>
  <c r="AG14" i="1"/>
  <c r="AG35" i="1"/>
  <c r="AG31" i="1"/>
  <c r="AG27" i="1"/>
  <c r="AG23" i="1"/>
  <c r="W23" i="1" s="1"/>
  <c r="AG19" i="1"/>
  <c r="W19" i="1" s="1"/>
  <c r="X18" i="1"/>
  <c r="X39" i="1"/>
  <c r="X35" i="1"/>
  <c r="X31" i="1"/>
  <c r="X27" i="1"/>
  <c r="X23" i="1"/>
  <c r="X19" i="1"/>
  <c r="Y48" i="3"/>
  <c r="AE56" i="3"/>
  <c r="Y16" i="3"/>
  <c r="Y60" i="3"/>
  <c r="AD48" i="3"/>
  <c r="AD45" i="3"/>
  <c r="AE45" i="3"/>
  <c r="T49" i="3"/>
  <c r="AD36" i="3"/>
  <c r="Y43" i="3"/>
  <c r="Y42" i="3"/>
  <c r="T31" i="3"/>
  <c r="AD16" i="3"/>
  <c r="AD12" i="3"/>
  <c r="AE48" i="3"/>
  <c r="Y53" i="3"/>
  <c r="AD60" i="3"/>
  <c r="AD56" i="3"/>
  <c r="AD53" i="3"/>
  <c r="AE53" i="3"/>
  <c r="T8" i="3"/>
  <c r="Y39" i="3"/>
  <c r="Y56" i="3"/>
  <c r="AD41" i="3"/>
  <c r="AD38" i="3"/>
  <c r="T41" i="3"/>
  <c r="Y22" i="3"/>
  <c r="Y32" i="3"/>
  <c r="Y31" i="3"/>
  <c r="T13" i="3"/>
  <c r="Y24" i="3"/>
  <c r="AE11" i="3"/>
  <c r="AD9" i="3"/>
  <c r="AC34" i="3"/>
  <c r="AE28" i="3"/>
  <c r="AD17" i="3"/>
  <c r="AE36" i="3"/>
  <c r="AD28" i="3"/>
  <c r="AE16" i="3"/>
  <c r="T29" i="3"/>
  <c r="AD8" i="3"/>
  <c r="AE60" i="3"/>
  <c r="AC48" i="3"/>
  <c r="T36" i="3"/>
  <c r="Y54" i="3"/>
  <c r="T52" i="3"/>
  <c r="AD49" i="3"/>
  <c r="AE49" i="3"/>
  <c r="Y59" i="3"/>
  <c r="AE44" i="3"/>
  <c r="AC38" i="3"/>
  <c r="T50" i="3"/>
  <c r="Y49" i="3"/>
  <c r="T58" i="3"/>
  <c r="Y41" i="3"/>
  <c r="T28" i="3"/>
  <c r="AD29" i="3"/>
  <c r="AE29" i="3"/>
  <c r="Y33" i="3"/>
  <c r="AC22" i="3"/>
  <c r="T10" i="3"/>
  <c r="Y17" i="3"/>
  <c r="AD21" i="3"/>
  <c r="AE21" i="3"/>
  <c r="T25" i="3"/>
  <c r="T27" i="3"/>
  <c r="Y13" i="3"/>
  <c r="AE15" i="3"/>
  <c r="AD13" i="3"/>
  <c r="T11" i="3"/>
  <c r="Y36" i="3"/>
  <c r="Y52" i="3"/>
  <c r="Y50" i="3"/>
  <c r="Y58" i="3"/>
  <c r="Y28" i="3"/>
  <c r="Y10" i="3"/>
  <c r="Y27" i="3"/>
  <c r="Y11" i="3"/>
  <c r="T9" i="3"/>
  <c r="AE57" i="3"/>
  <c r="AE52" i="3"/>
  <c r="AC40" i="3"/>
  <c r="T56" i="3"/>
  <c r="AE41" i="3"/>
  <c r="AE37" i="3"/>
  <c r="AE32" i="3"/>
  <c r="T42" i="3"/>
  <c r="AE25" i="3"/>
  <c r="T32" i="3"/>
  <c r="AE19" i="3"/>
  <c r="AE17" i="3"/>
  <c r="T18" i="3"/>
  <c r="AE12" i="3"/>
  <c r="AE39" i="3"/>
  <c r="Y37" i="3"/>
  <c r="AE31" i="3"/>
  <c r="AE35" i="3"/>
  <c r="T55" i="3"/>
  <c r="AE27" i="3"/>
  <c r="T26" i="3"/>
  <c r="T12" i="3"/>
  <c r="AD59" i="3"/>
  <c r="AE58" i="3"/>
  <c r="T48" i="3"/>
  <c r="AD55" i="3"/>
  <c r="AE54" i="3"/>
  <c r="T21" i="3"/>
  <c r="AD51" i="3"/>
  <c r="AE50" i="3"/>
  <c r="T40" i="3"/>
  <c r="AD47" i="3"/>
  <c r="AE46" i="3"/>
  <c r="T39" i="3"/>
  <c r="AD43" i="3"/>
  <c r="AE42" i="3"/>
  <c r="T38" i="3"/>
  <c r="AD39" i="3"/>
  <c r="AE38" i="3"/>
  <c r="T37" i="3"/>
  <c r="AD35" i="3"/>
  <c r="AE34" i="3"/>
  <c r="T34" i="3"/>
  <c r="AD31" i="3"/>
  <c r="AE30" i="3"/>
  <c r="AD27" i="3"/>
  <c r="T43" i="3"/>
  <c r="AE26" i="3"/>
  <c r="T22" i="3"/>
  <c r="AE22" i="3"/>
  <c r="T19" i="3"/>
  <c r="AD19" i="3"/>
  <c r="AE18" i="3"/>
  <c r="T30" i="3"/>
  <c r="AD15" i="3"/>
  <c r="AE14" i="3"/>
  <c r="T46" i="3"/>
  <c r="AD11" i="3"/>
  <c r="AE10" i="3"/>
  <c r="T57" i="3"/>
  <c r="AC20" i="3"/>
  <c r="AE59" i="3"/>
  <c r="T14" i="3"/>
  <c r="AE55" i="3"/>
  <c r="T16" i="3"/>
  <c r="AE51" i="3"/>
  <c r="T45" i="3"/>
  <c r="AE47" i="3"/>
  <c r="T51" i="3"/>
  <c r="AE43" i="3"/>
  <c r="T35" i="3"/>
  <c r="T47" i="3"/>
  <c r="AD22" i="3"/>
  <c r="AD18" i="3"/>
  <c r="AD14" i="3"/>
  <c r="AE13" i="3"/>
  <c r="AD10" i="3"/>
  <c r="AE9" i="3"/>
  <c r="AE8" i="3"/>
  <c r="U139" i="1" l="1"/>
  <c r="S139" i="1" s="1"/>
  <c r="W219" i="1"/>
  <c r="U187" i="1"/>
  <c r="S187" i="1" s="1"/>
  <c r="W211" i="1"/>
  <c r="W170" i="1"/>
  <c r="W237" i="1"/>
  <c r="W173" i="1"/>
  <c r="W154" i="1"/>
  <c r="AI186" i="1"/>
  <c r="U179" i="1"/>
  <c r="S179" i="1" s="1"/>
  <c r="W121" i="1"/>
  <c r="U242" i="1"/>
  <c r="S242" i="1" s="1"/>
  <c r="W55" i="1"/>
  <c r="U119" i="1"/>
  <c r="S119" i="1" s="1"/>
  <c r="AI162" i="1"/>
  <c r="U162" i="1"/>
  <c r="S162" i="1" s="1"/>
  <c r="W162" i="1"/>
  <c r="AI160" i="1"/>
  <c r="U160" i="1"/>
  <c r="S160" i="1" s="1"/>
  <c r="W160" i="1"/>
  <c r="W44" i="1"/>
  <c r="AI166" i="1"/>
  <c r="W223" i="1"/>
  <c r="W143" i="1"/>
  <c r="U115" i="1"/>
  <c r="S115" i="1" s="1"/>
  <c r="W233" i="1"/>
  <c r="W199" i="1"/>
  <c r="W34" i="1"/>
  <c r="W180" i="1"/>
  <c r="W178" i="1"/>
  <c r="AI228" i="1"/>
  <c r="W119" i="1"/>
  <c r="U172" i="1"/>
  <c r="S172" i="1" s="1"/>
  <c r="U159" i="1"/>
  <c r="S159" i="1" s="1"/>
  <c r="U135" i="1"/>
  <c r="S135" i="1" s="1"/>
  <c r="W165" i="1"/>
  <c r="AI161" i="1"/>
  <c r="U161" i="1"/>
  <c r="S161" i="1" s="1"/>
  <c r="U83" i="1"/>
  <c r="W77" i="1"/>
  <c r="AI119" i="1"/>
  <c r="W128" i="1"/>
  <c r="U219" i="1"/>
  <c r="S219" i="1" s="1"/>
  <c r="AI203" i="1"/>
  <c r="W240" i="1"/>
  <c r="W83" i="1"/>
  <c r="U155" i="1"/>
  <c r="S155" i="1" s="1"/>
  <c r="W195" i="1"/>
  <c r="W108" i="1"/>
  <c r="W58" i="1"/>
  <c r="W91" i="1"/>
  <c r="U123" i="1"/>
  <c r="S123" i="1" s="1"/>
  <c r="AI63" i="1"/>
  <c r="U210" i="1"/>
  <c r="S210" i="1" s="1"/>
  <c r="U170" i="1"/>
  <c r="S170" i="1" s="1"/>
  <c r="AI242" i="1"/>
  <c r="W107" i="1"/>
  <c r="W150" i="1"/>
  <c r="U169" i="1"/>
  <c r="S169" i="1" s="1"/>
  <c r="W203" i="1"/>
  <c r="AI187" i="1"/>
  <c r="AI195" i="1"/>
  <c r="U104" i="1"/>
  <c r="S104" i="1" s="1"/>
  <c r="W112" i="1"/>
  <c r="W155" i="1"/>
  <c r="U217" i="1"/>
  <c r="S217" i="1" s="1"/>
  <c r="W151" i="1"/>
  <c r="U233" i="1"/>
  <c r="S233" i="1" s="1"/>
  <c r="W14" i="1"/>
  <c r="U25" i="1"/>
  <c r="S25" i="1" s="1"/>
  <c r="W81" i="1"/>
  <c r="W64" i="1"/>
  <c r="S97" i="1"/>
  <c r="U93" i="1"/>
  <c r="S93" i="1" s="1"/>
  <c r="U214" i="1"/>
  <c r="S214" i="1" s="1"/>
  <c r="AI234" i="1"/>
  <c r="AI139" i="1"/>
  <c r="AI210" i="1"/>
  <c r="W159" i="1"/>
  <c r="AI164" i="1"/>
  <c r="AI71" i="1"/>
  <c r="W72" i="1"/>
  <c r="W144" i="1"/>
  <c r="AI223" i="1"/>
  <c r="U79" i="1"/>
  <c r="S79" i="1" s="1"/>
  <c r="W115" i="1"/>
  <c r="U33" i="1"/>
  <c r="S33" i="1" s="1"/>
  <c r="W147" i="1"/>
  <c r="U209" i="1"/>
  <c r="S209" i="1" s="1"/>
  <c r="W187" i="1"/>
  <c r="W138" i="1"/>
  <c r="W71" i="1"/>
  <c r="U116" i="1"/>
  <c r="S116" i="1" s="1"/>
  <c r="W230" i="1"/>
  <c r="U221" i="1"/>
  <c r="S221" i="1" s="1"/>
  <c r="W93" i="1"/>
  <c r="W164" i="1"/>
  <c r="AI240" i="1"/>
  <c r="W172" i="1"/>
  <c r="W38" i="1"/>
  <c r="W33" i="1"/>
  <c r="U39" i="1"/>
  <c r="AI39" i="1"/>
  <c r="U43" i="1"/>
  <c r="S43" i="1" s="1"/>
  <c r="AI43" i="1"/>
  <c r="W87" i="1"/>
  <c r="U134" i="1"/>
  <c r="S134" i="1" s="1"/>
  <c r="AI134" i="1"/>
  <c r="W217" i="1"/>
  <c r="U191" i="1"/>
  <c r="S191" i="1" s="1"/>
  <c r="AI191" i="1"/>
  <c r="AI244" i="1"/>
  <c r="U51" i="1"/>
  <c r="S51" i="1" s="1"/>
  <c r="AI51" i="1"/>
  <c r="W63" i="1"/>
  <c r="W79" i="1"/>
  <c r="W39" i="1"/>
  <c r="U45" i="1"/>
  <c r="S45" i="1" s="1"/>
  <c r="AI45" i="1"/>
  <c r="W104" i="1"/>
  <c r="W134" i="1"/>
  <c r="W166" i="1"/>
  <c r="U176" i="1"/>
  <c r="S176" i="1" s="1"/>
  <c r="AI176" i="1"/>
  <c r="W45" i="1"/>
  <c r="W139" i="1"/>
  <c r="U146" i="1"/>
  <c r="S146" i="1" s="1"/>
  <c r="AI146" i="1"/>
  <c r="U154" i="1"/>
  <c r="S154" i="1" s="1"/>
  <c r="AI154" i="1"/>
  <c r="W214" i="1"/>
  <c r="U168" i="1"/>
  <c r="S168" i="1" s="1"/>
  <c r="AI168" i="1"/>
  <c r="W209" i="1"/>
  <c r="AI207" i="1"/>
  <c r="W116" i="1"/>
  <c r="U16" i="1"/>
  <c r="S16" i="1" s="1"/>
  <c r="AI16" i="1"/>
  <c r="U37" i="1"/>
  <c r="S37" i="1" s="1"/>
  <c r="AI37" i="1"/>
  <c r="W37" i="1"/>
  <c r="U112" i="1"/>
  <c r="S112" i="1" s="1"/>
  <c r="W120" i="1"/>
  <c r="W135" i="1"/>
  <c r="W229" i="1"/>
  <c r="W191" i="1"/>
  <c r="W228" i="1"/>
  <c r="W213" i="1"/>
  <c r="W51" i="1"/>
  <c r="W103" i="1"/>
  <c r="U62" i="1"/>
  <c r="S62" i="1" s="1"/>
  <c r="AI62" i="1"/>
  <c r="W43" i="1"/>
  <c r="W62" i="1"/>
  <c r="U142" i="1"/>
  <c r="S142" i="1" s="1"/>
  <c r="AI142" i="1"/>
  <c r="U150" i="1"/>
  <c r="S150" i="1" s="1"/>
  <c r="AI150" i="1"/>
  <c r="W234" i="1"/>
  <c r="W169" i="1"/>
  <c r="W142" i="1"/>
  <c r="W168" i="1"/>
  <c r="U199" i="1"/>
  <c r="S199" i="1" s="1"/>
  <c r="W238" i="1"/>
  <c r="W242" i="1"/>
  <c r="U184" i="1"/>
  <c r="S184" i="1" s="1"/>
  <c r="AI184" i="1"/>
  <c r="W225" i="1"/>
  <c r="AI18" i="1"/>
  <c r="U18" i="1"/>
  <c r="S18" i="1" s="1"/>
  <c r="AI80" i="1"/>
  <c r="U80" i="1"/>
  <c r="S80" i="1" s="1"/>
  <c r="U31" i="1"/>
  <c r="S31" i="1" s="1"/>
  <c r="AI31" i="1"/>
  <c r="AI65" i="1"/>
  <c r="U65" i="1"/>
  <c r="S65" i="1" s="1"/>
  <c r="AI69" i="1"/>
  <c r="U69" i="1"/>
  <c r="S69" i="1" s="1"/>
  <c r="AI73" i="1"/>
  <c r="U73" i="1"/>
  <c r="S73" i="1" s="1"/>
  <c r="AI77" i="1"/>
  <c r="U77" i="1"/>
  <c r="S77" i="1" s="1"/>
  <c r="AI81" i="1"/>
  <c r="U81" i="1"/>
  <c r="S81" i="1" s="1"/>
  <c r="AI85" i="1"/>
  <c r="U85" i="1"/>
  <c r="S85" i="1" s="1"/>
  <c r="U89" i="1"/>
  <c r="S89" i="1" s="1"/>
  <c r="AI89" i="1"/>
  <c r="W89" i="1"/>
  <c r="AI68" i="1"/>
  <c r="U68" i="1"/>
  <c r="S68" i="1" s="1"/>
  <c r="AI84" i="1"/>
  <c r="U84" i="1"/>
  <c r="U96" i="1"/>
  <c r="S96" i="1" s="1"/>
  <c r="AI96" i="1"/>
  <c r="W68" i="1"/>
  <c r="U125" i="1"/>
  <c r="S125" i="1" s="1"/>
  <c r="AI125" i="1"/>
  <c r="U132" i="1"/>
  <c r="S132" i="1" s="1"/>
  <c r="AI132" i="1"/>
  <c r="U148" i="1"/>
  <c r="S148" i="1" s="1"/>
  <c r="AI148" i="1"/>
  <c r="W132" i="1"/>
  <c r="AI197" i="1"/>
  <c r="U174" i="1"/>
  <c r="S174" i="1" s="1"/>
  <c r="AI213" i="1"/>
  <c r="U189" i="1"/>
  <c r="S189" i="1" s="1"/>
  <c r="AI229" i="1"/>
  <c r="U205" i="1"/>
  <c r="S205" i="1" s="1"/>
  <c r="W174" i="1"/>
  <c r="U27" i="1"/>
  <c r="S27" i="1" s="1"/>
  <c r="AI27" i="1"/>
  <c r="U92" i="1"/>
  <c r="S92" i="1" s="1"/>
  <c r="AI92" i="1"/>
  <c r="U19" i="1"/>
  <c r="S19" i="1" s="1"/>
  <c r="AI19" i="1"/>
  <c r="U35" i="1"/>
  <c r="S35" i="1" s="1"/>
  <c r="AI35" i="1"/>
  <c r="W31" i="1"/>
  <c r="W18" i="1"/>
  <c r="W35" i="1"/>
  <c r="W27" i="1"/>
  <c r="AI72" i="1"/>
  <c r="U72" i="1"/>
  <c r="S72" i="1" s="1"/>
  <c r="AI88" i="1"/>
  <c r="U88" i="1"/>
  <c r="S88" i="1" s="1"/>
  <c r="U100" i="1"/>
  <c r="S100" i="1" s="1"/>
  <c r="AI100" i="1"/>
  <c r="W69" i="1"/>
  <c r="AI110" i="1"/>
  <c r="U110" i="1"/>
  <c r="S110" i="1" s="1"/>
  <c r="U136" i="1"/>
  <c r="S136" i="1" s="1"/>
  <c r="AI136" i="1"/>
  <c r="U152" i="1"/>
  <c r="S152" i="1" s="1"/>
  <c r="AI152" i="1"/>
  <c r="W96" i="1"/>
  <c r="W100" i="1"/>
  <c r="U171" i="1"/>
  <c r="S171" i="1" s="1"/>
  <c r="AI194" i="1"/>
  <c r="AI201" i="1"/>
  <c r="U178" i="1"/>
  <c r="S178" i="1" s="1"/>
  <c r="AI217" i="1"/>
  <c r="U193" i="1"/>
  <c r="S193" i="1" s="1"/>
  <c r="AI233" i="1"/>
  <c r="U240" i="1"/>
  <c r="S240" i="1" s="1"/>
  <c r="W193" i="1"/>
  <c r="AI60" i="1"/>
  <c r="U60" i="1"/>
  <c r="S60" i="1" s="1"/>
  <c r="AI76" i="1"/>
  <c r="U76" i="1"/>
  <c r="S76" i="1" s="1"/>
  <c r="W88" i="1"/>
  <c r="W76" i="1"/>
  <c r="W80" i="1"/>
  <c r="W85" i="1"/>
  <c r="W110" i="1"/>
  <c r="U140" i="1"/>
  <c r="S140" i="1" s="1"/>
  <c r="AI140" i="1"/>
  <c r="U156" i="1"/>
  <c r="S156" i="1" s="1"/>
  <c r="AI156" i="1"/>
  <c r="U121" i="1"/>
  <c r="S121" i="1" s="1"/>
  <c r="AI121" i="1"/>
  <c r="W148" i="1"/>
  <c r="AI205" i="1"/>
  <c r="U182" i="1"/>
  <c r="S182" i="1" s="1"/>
  <c r="AI221" i="1"/>
  <c r="U197" i="1"/>
  <c r="S197" i="1" s="1"/>
  <c r="AI237" i="1"/>
  <c r="U244" i="1"/>
  <c r="S244" i="1" s="1"/>
  <c r="W189" i="1"/>
  <c r="U23" i="1"/>
  <c r="S23" i="1" s="1"/>
  <c r="AI23" i="1"/>
  <c r="AI14" i="1"/>
  <c r="U14" i="1"/>
  <c r="S14" i="1" s="1"/>
  <c r="AI64" i="1"/>
  <c r="U64" i="1"/>
  <c r="S64" i="1" s="1"/>
  <c r="U128" i="1"/>
  <c r="S128" i="1" s="1"/>
  <c r="AI128" i="1"/>
  <c r="U144" i="1"/>
  <c r="S144" i="1" s="1"/>
  <c r="AI144" i="1"/>
  <c r="U207" i="1"/>
  <c r="S207" i="1" s="1"/>
  <c r="W92" i="1"/>
  <c r="W136" i="1"/>
  <c r="W152" i="1"/>
  <c r="W125" i="1"/>
  <c r="W156" i="1"/>
  <c r="W171" i="1"/>
  <c r="AI209" i="1"/>
  <c r="U186" i="1"/>
  <c r="S186" i="1" s="1"/>
  <c r="AI225" i="1"/>
  <c r="U201" i="1"/>
  <c r="S201" i="1" s="1"/>
  <c r="AI241" i="1"/>
  <c r="U223" i="1"/>
  <c r="S223" i="1" s="1"/>
  <c r="W182" i="1"/>
  <c r="W205" i="1"/>
  <c r="S23" i="3"/>
  <c r="R23" i="3"/>
  <c r="M23" i="3"/>
  <c r="U23" i="3"/>
  <c r="V23" i="3"/>
  <c r="W23" i="3"/>
  <c r="X23" i="3"/>
  <c r="M28" i="5"/>
  <c r="S83" i="1" l="1"/>
  <c r="AC23" i="3"/>
  <c r="AE23" i="3"/>
  <c r="AD23" i="3"/>
  <c r="T23" i="3"/>
  <c r="Y23" i="3"/>
  <c r="M23" i="5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N20" i="3" s="1"/>
  <c r="G19" i="4"/>
  <c r="G20" i="4"/>
  <c r="G21" i="4"/>
  <c r="N7" i="3" s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57" i="3" s="1"/>
  <c r="G38" i="4"/>
  <c r="G39" i="4"/>
  <c r="G40" i="4"/>
  <c r="G41" i="4"/>
  <c r="G42" i="4"/>
  <c r="G43" i="4"/>
  <c r="N29" i="3" s="1"/>
  <c r="G44" i="4"/>
  <c r="G45" i="4"/>
  <c r="G46" i="4"/>
  <c r="G47" i="4"/>
  <c r="N23" i="3" s="1"/>
  <c r="G48" i="4"/>
  <c r="G49" i="4"/>
  <c r="G50" i="4"/>
  <c r="G51" i="4"/>
  <c r="G52" i="4"/>
  <c r="G53" i="4"/>
  <c r="G54" i="4"/>
  <c r="G55" i="4"/>
  <c r="N11" i="3" s="1"/>
  <c r="G56" i="4"/>
  <c r="G57" i="4"/>
  <c r="G58" i="4"/>
  <c r="G59" i="4"/>
  <c r="G60" i="4"/>
  <c r="N24" i="3" s="1"/>
  <c r="G61" i="4"/>
  <c r="G62" i="4"/>
  <c r="G63" i="4"/>
  <c r="G64" i="4"/>
  <c r="G65" i="4"/>
  <c r="G66" i="4"/>
  <c r="N27" i="3" s="1"/>
  <c r="G67" i="4"/>
  <c r="N46" i="3" s="1"/>
  <c r="G68" i="4"/>
  <c r="G69" i="4"/>
  <c r="G70" i="4"/>
  <c r="N31" i="3" s="1"/>
  <c r="G71" i="4"/>
  <c r="G72" i="4"/>
  <c r="G73" i="4"/>
  <c r="G74" i="4"/>
  <c r="G75" i="4"/>
  <c r="N25" i="3" s="1"/>
  <c r="G76" i="4"/>
  <c r="G77" i="4"/>
  <c r="N15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42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33" i="3" s="1"/>
  <c r="G116" i="4"/>
  <c r="G117" i="4"/>
  <c r="G118" i="4"/>
  <c r="G119" i="4"/>
  <c r="G120" i="4"/>
  <c r="G121" i="4"/>
  <c r="G122" i="4"/>
  <c r="G123" i="4"/>
  <c r="N43" i="3" s="1"/>
  <c r="G124" i="4"/>
  <c r="G125" i="4"/>
  <c r="G126" i="4"/>
  <c r="G127" i="4"/>
  <c r="G128" i="4"/>
  <c r="G129" i="4"/>
  <c r="G130" i="4"/>
  <c r="G131" i="4"/>
  <c r="G132" i="4"/>
  <c r="G133" i="4"/>
  <c r="G134" i="4"/>
  <c r="N34" i="3" s="1"/>
  <c r="G135" i="4"/>
  <c r="N44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N47" i="3" s="1"/>
  <c r="G160" i="4"/>
  <c r="G161" i="4"/>
  <c r="G162" i="4"/>
  <c r="G163" i="4"/>
  <c r="G164" i="4"/>
  <c r="G165" i="4"/>
  <c r="G166" i="4"/>
  <c r="G167" i="4"/>
  <c r="G168" i="4"/>
  <c r="G169" i="4"/>
  <c r="N38" i="3" s="1"/>
  <c r="G170" i="4"/>
  <c r="N35" i="3" s="1"/>
  <c r="G171" i="4"/>
  <c r="G172" i="4"/>
  <c r="G173" i="4"/>
  <c r="G174" i="4"/>
  <c r="G175" i="4"/>
  <c r="G176" i="4"/>
  <c r="G177" i="4"/>
  <c r="G178" i="4"/>
  <c r="N39" i="3" s="1"/>
  <c r="G179" i="4"/>
  <c r="G180" i="4"/>
  <c r="G181" i="4"/>
  <c r="N51" i="3" s="1"/>
  <c r="G182" i="4"/>
  <c r="N8" i="3" s="1"/>
  <c r="G183" i="4"/>
  <c r="N60" i="3" s="1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N21" i="3" s="1"/>
  <c r="G201" i="4"/>
  <c r="G202" i="4"/>
  <c r="G203" i="4"/>
  <c r="G204" i="4"/>
  <c r="G205" i="4"/>
  <c r="G206" i="4"/>
  <c r="G207" i="4"/>
  <c r="N16" i="3" s="1"/>
  <c r="G208" i="4"/>
  <c r="N54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4" i="3" s="1"/>
  <c r="G231" i="4"/>
  <c r="G232" i="4"/>
  <c r="G233" i="4"/>
  <c r="G234" i="4"/>
  <c r="G235" i="4"/>
  <c r="G236" i="4"/>
  <c r="G237" i="4"/>
  <c r="G238" i="4"/>
  <c r="G239" i="4"/>
  <c r="G240" i="4"/>
  <c r="G241" i="4"/>
  <c r="N9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1" i="3" l="1"/>
  <c r="N37" i="3"/>
  <c r="N55" i="3"/>
  <c r="N58" i="3"/>
  <c r="N40" i="3"/>
  <c r="N45" i="3"/>
  <c r="N49" i="3"/>
  <c r="N50" i="3"/>
  <c r="N12" i="3"/>
  <c r="N22" i="3"/>
  <c r="N17" i="3"/>
  <c r="N10" i="3"/>
  <c r="N36" i="3"/>
  <c r="N48" i="3"/>
  <c r="N52" i="3"/>
  <c r="N53" i="3"/>
  <c r="N19" i="3"/>
  <c r="N32" i="3"/>
  <c r="N56" i="3"/>
  <c r="N59" i="3"/>
  <c r="N26" i="3"/>
  <c r="N28" i="3"/>
  <c r="N18" i="3"/>
  <c r="N13" i="3"/>
  <c r="N3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 l="1"/>
  <c r="I4" i="6" l="1"/>
  <c r="F4" i="6"/>
  <c r="G4" i="6"/>
  <c r="J4" i="6"/>
  <c r="H4" i="6"/>
  <c r="B5" i="6"/>
  <c r="I5" i="6" l="1"/>
  <c r="F5" i="6"/>
  <c r="J5" i="6"/>
  <c r="H5" i="6"/>
  <c r="G5" i="6"/>
  <c r="B6" i="6"/>
  <c r="I6" i="6" l="1"/>
  <c r="F6" i="6"/>
  <c r="H6" i="6"/>
  <c r="G6" i="6"/>
  <c r="J6" i="6"/>
  <c r="B7" i="6"/>
  <c r="I7" i="6" l="1"/>
  <c r="F7" i="6"/>
  <c r="B8" i="6"/>
  <c r="G7" i="6"/>
  <c r="H7" i="6"/>
  <c r="J7" i="6"/>
  <c r="I8" i="6" l="1"/>
  <c r="F8" i="6"/>
  <c r="J8" i="6"/>
  <c r="H8" i="6"/>
  <c r="G8" i="6"/>
  <c r="B9" i="6"/>
  <c r="I9" i="6" l="1"/>
  <c r="F9" i="6"/>
  <c r="H9" i="6"/>
  <c r="J9" i="6"/>
  <c r="G9" i="6"/>
  <c r="B10" i="6"/>
  <c r="I10" i="6" l="1"/>
  <c r="F10" i="6"/>
  <c r="H10" i="6"/>
  <c r="J10" i="6"/>
  <c r="G10" i="6"/>
  <c r="B11" i="6"/>
  <c r="I11" i="6" l="1"/>
  <c r="F11" i="6"/>
  <c r="H11" i="6"/>
  <c r="J11" i="6"/>
  <c r="G11" i="6"/>
  <c r="B12" i="6"/>
  <c r="I12" i="6" l="1"/>
  <c r="F12" i="6"/>
  <c r="G12" i="6"/>
  <c r="H12" i="6"/>
  <c r="J12" i="6"/>
  <c r="B13" i="6"/>
  <c r="I13" i="6" l="1"/>
  <c r="F13" i="6"/>
  <c r="B14" i="6"/>
  <c r="J13" i="6"/>
  <c r="G13" i="6"/>
  <c r="H13" i="6"/>
  <c r="I14" i="6" l="1"/>
  <c r="F14" i="6"/>
  <c r="B15" i="6"/>
  <c r="J14" i="6"/>
  <c r="G14" i="6"/>
  <c r="H14" i="6"/>
  <c r="I15" i="6" l="1"/>
  <c r="F15" i="6"/>
  <c r="H15" i="6"/>
  <c r="J15" i="6"/>
  <c r="G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/>
  <c r="I18" i="6" l="1"/>
  <c r="F18" i="6"/>
  <c r="J18" i="6"/>
  <c r="G18" i="6"/>
  <c r="H18" i="6"/>
  <c r="B19" i="6"/>
  <c r="I19" i="6" l="1"/>
  <c r="F19" i="6"/>
  <c r="G19" i="6"/>
  <c r="H19" i="6"/>
  <c r="J19" i="6"/>
  <c r="B20" i="6"/>
  <c r="I20" i="6" l="1"/>
  <c r="F20" i="6"/>
  <c r="B21" i="6"/>
  <c r="J20" i="6"/>
  <c r="H20" i="6"/>
  <c r="G20" i="6"/>
  <c r="I21" i="6" l="1"/>
  <c r="F21" i="6"/>
  <c r="J21" i="6"/>
  <c r="G21" i="6"/>
  <c r="H21" i="6"/>
  <c r="B22" i="6"/>
  <c r="I22" i="6" l="1"/>
  <c r="F22" i="6"/>
  <c r="B23" i="6"/>
  <c r="G22" i="6"/>
  <c r="J22" i="6"/>
  <c r="H22" i="6"/>
  <c r="I23" i="6" l="1"/>
  <c r="F23" i="6"/>
  <c r="G23" i="6"/>
  <c r="J23" i="6"/>
  <c r="H23" i="6"/>
  <c r="B24" i="6"/>
  <c r="I24" i="6" l="1"/>
  <c r="F24" i="6"/>
  <c r="B25" i="6"/>
  <c r="G24" i="6"/>
  <c r="J24" i="6"/>
  <c r="H24" i="6"/>
  <c r="I25" i="6" l="1"/>
  <c r="F25" i="6"/>
  <c r="G25" i="6"/>
  <c r="H25" i="6"/>
  <c r="J25" i="6"/>
  <c r="B26" i="6"/>
  <c r="I26" i="6" l="1"/>
  <c r="F26" i="6"/>
  <c r="B27" i="6"/>
  <c r="G26" i="6"/>
  <c r="H26" i="6"/>
  <c r="J26" i="6"/>
  <c r="I27" i="6" l="1"/>
  <c r="F27" i="6"/>
  <c r="G27" i="6"/>
  <c r="H27" i="6"/>
  <c r="J27" i="6"/>
  <c r="B28" i="6"/>
  <c r="I28" i="6" l="1"/>
  <c r="F28" i="6"/>
  <c r="G28" i="6"/>
  <c r="H28" i="6"/>
  <c r="J28" i="6"/>
  <c r="B29" i="6"/>
  <c r="I29" i="6" l="1"/>
  <c r="F29" i="6"/>
  <c r="B30" i="6"/>
  <c r="J29" i="6"/>
  <c r="G29" i="6"/>
  <c r="H29" i="6"/>
  <c r="I30" i="6" l="1"/>
  <c r="F30" i="6"/>
  <c r="B31" i="6"/>
  <c r="J30" i="6"/>
  <c r="G30" i="6"/>
  <c r="H30" i="6"/>
  <c r="I31" i="6" l="1"/>
  <c r="F31" i="6"/>
  <c r="H31" i="6"/>
  <c r="G31" i="6"/>
  <c r="J31" i="6"/>
  <c r="B32" i="6"/>
  <c r="I32" i="6" l="1"/>
  <c r="F32" i="6"/>
  <c r="B33" i="6"/>
  <c r="G32" i="6"/>
  <c r="J32" i="6"/>
  <c r="H32" i="6"/>
  <c r="I33" i="6" l="1"/>
  <c r="F33" i="6"/>
  <c r="B34" i="6"/>
  <c r="J33" i="6"/>
  <c r="G33" i="6"/>
  <c r="H33" i="6"/>
  <c r="I34" i="6" l="1"/>
  <c r="F34" i="6"/>
  <c r="J34" i="6"/>
  <c r="G34" i="6"/>
  <c r="H34" i="6"/>
  <c r="B35" i="6"/>
  <c r="I35" i="6" l="1"/>
  <c r="F35" i="6"/>
  <c r="H35" i="6"/>
  <c r="J35" i="6"/>
  <c r="G35" i="6"/>
  <c r="B36" i="6"/>
  <c r="I36" i="6" l="1"/>
  <c r="F36" i="6"/>
  <c r="B37" i="6"/>
  <c r="J36" i="6"/>
  <c r="H36" i="6"/>
  <c r="G36" i="6"/>
  <c r="I37" i="6" l="1"/>
  <c r="F37" i="6"/>
  <c r="J37" i="6"/>
  <c r="G37" i="6"/>
  <c r="H37" i="6"/>
  <c r="B38" i="6"/>
  <c r="I38" i="6" l="1"/>
  <c r="F38" i="6"/>
  <c r="G38" i="6"/>
  <c r="H38" i="6"/>
  <c r="J38" i="6"/>
  <c r="B39" i="6"/>
  <c r="I39" i="6" l="1"/>
  <c r="F39" i="6"/>
  <c r="G39" i="6"/>
  <c r="H39" i="6"/>
  <c r="J39" i="6"/>
  <c r="B40" i="6"/>
  <c r="I40" i="6" l="1"/>
  <c r="F40" i="6"/>
  <c r="B41" i="6"/>
  <c r="J40" i="6"/>
  <c r="H40" i="6"/>
  <c r="G40" i="6"/>
  <c r="I41" i="6" l="1"/>
  <c r="F41" i="6"/>
  <c r="B42" i="6"/>
  <c r="J41" i="6"/>
  <c r="G41" i="6"/>
  <c r="H41" i="6"/>
  <c r="I42" i="6" l="1"/>
  <c r="F42" i="6"/>
  <c r="H42" i="6"/>
  <c r="G42" i="6"/>
  <c r="J42" i="6"/>
  <c r="B43" i="6"/>
  <c r="I43" i="6" l="1"/>
  <c r="F43" i="6"/>
  <c r="G43" i="6"/>
  <c r="H43" i="6"/>
  <c r="J43" i="6"/>
  <c r="B44" i="6"/>
  <c r="I44" i="6" l="1"/>
  <c r="F44" i="6"/>
  <c r="B45" i="6"/>
  <c r="J44" i="6"/>
  <c r="H44" i="6"/>
  <c r="G44" i="6"/>
  <c r="I45" i="6" l="1"/>
  <c r="F45" i="6"/>
  <c r="B46" i="6"/>
  <c r="J45" i="6"/>
  <c r="G45" i="6"/>
  <c r="H45" i="6"/>
  <c r="I46" i="6" l="1"/>
  <c r="F46" i="6"/>
  <c r="B47" i="6"/>
  <c r="J46" i="6"/>
  <c r="G46" i="6"/>
  <c r="H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J49" i="6"/>
  <c r="G49" i="6"/>
  <c r="H49" i="6"/>
  <c r="B50" i="6"/>
  <c r="I50" i="6" l="1"/>
  <c r="F50" i="6"/>
  <c r="B51" i="6"/>
  <c r="G50" i="6"/>
  <c r="H50" i="6"/>
  <c r="J50" i="6"/>
  <c r="I51" i="6" l="1"/>
  <c r="F51" i="6"/>
  <c r="G51" i="6"/>
  <c r="H51" i="6"/>
  <c r="J51" i="6"/>
  <c r="B52" i="6"/>
  <c r="I52" i="6" l="1"/>
  <c r="F52" i="6"/>
  <c r="B53" i="6"/>
  <c r="J52" i="6"/>
  <c r="G52" i="6"/>
  <c r="H52" i="6"/>
  <c r="I53" i="6" l="1"/>
  <c r="F53" i="6"/>
  <c r="H53" i="6"/>
  <c r="G53" i="6"/>
  <c r="J53" i="6"/>
  <c r="B54" i="6"/>
  <c r="I54" i="6" l="1"/>
  <c r="F54" i="6"/>
  <c r="B55" i="6"/>
  <c r="H54" i="6"/>
  <c r="G54" i="6"/>
  <c r="J54" i="6"/>
  <c r="I55" i="6" l="1"/>
  <c r="F55" i="6"/>
  <c r="B56" i="6"/>
  <c r="J55" i="6"/>
  <c r="H55" i="6"/>
  <c r="G55" i="6"/>
  <c r="I56" i="6" l="1"/>
  <c r="F56" i="6"/>
  <c r="J56" i="6"/>
  <c r="H56" i="6"/>
  <c r="G56" i="6"/>
  <c r="B57" i="6"/>
  <c r="I57" i="6" l="1"/>
  <c r="F57" i="6"/>
  <c r="J57" i="6"/>
  <c r="H57" i="6"/>
  <c r="G57" i="6"/>
  <c r="B58" i="6"/>
  <c r="I58" i="6" l="1"/>
  <c r="F58" i="6"/>
  <c r="B59" i="6"/>
  <c r="J58" i="6"/>
  <c r="G58" i="6"/>
  <c r="H58" i="6"/>
  <c r="I59" i="6" l="1"/>
  <c r="F59" i="6"/>
  <c r="B60" i="6"/>
  <c r="G59" i="6"/>
  <c r="H59" i="6"/>
  <c r="J59" i="6"/>
  <c r="I60" i="6" l="1"/>
  <c r="F60" i="6"/>
  <c r="B61" i="6"/>
  <c r="J60" i="6"/>
  <c r="H60" i="6"/>
  <c r="G60" i="6"/>
  <c r="I61" i="6" l="1"/>
  <c r="F61" i="6"/>
  <c r="B62" i="6"/>
  <c r="H61" i="6"/>
  <c r="J61" i="6"/>
  <c r="G61" i="6"/>
  <c r="I62" i="6" l="1"/>
  <c r="F62" i="6"/>
  <c r="G62" i="6"/>
  <c r="H62" i="6"/>
  <c r="J62" i="6"/>
  <c r="B63" i="6"/>
  <c r="I63" i="6" l="1"/>
  <c r="F63" i="6"/>
  <c r="B64" i="6"/>
  <c r="G63" i="6"/>
  <c r="J63" i="6"/>
  <c r="H63" i="6"/>
  <c r="I64" i="6" l="1"/>
  <c r="F64" i="6"/>
  <c r="H64" i="6"/>
  <c r="J64" i="6"/>
  <c r="G64" i="6"/>
  <c r="B65" i="6"/>
  <c r="I65" i="6" l="1"/>
  <c r="F65" i="6"/>
  <c r="H65" i="6"/>
  <c r="G65" i="6"/>
  <c r="J65" i="6"/>
  <c r="B66" i="6"/>
  <c r="I66" i="6" l="1"/>
  <c r="F66" i="6"/>
  <c r="H66" i="6"/>
  <c r="G66" i="6"/>
  <c r="J66" i="6"/>
  <c r="B67" i="6"/>
  <c r="I67" i="6" l="1"/>
  <c r="F67" i="6"/>
  <c r="H67" i="6"/>
  <c r="J67" i="6"/>
  <c r="G67" i="6"/>
  <c r="B68" i="6"/>
  <c r="I68" i="6" l="1"/>
  <c r="F68" i="6"/>
  <c r="J68" i="6"/>
  <c r="G68" i="6"/>
  <c r="H68" i="6"/>
  <c r="B69" i="6"/>
  <c r="I69" i="6" l="1"/>
  <c r="F69" i="6"/>
  <c r="J69" i="6"/>
  <c r="H69" i="6"/>
  <c r="G69" i="6"/>
  <c r="B70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J72" i="6"/>
  <c r="H72" i="6"/>
  <c r="G72" i="6"/>
  <c r="B73" i="6"/>
  <c r="I73" i="6" l="1"/>
  <c r="F73" i="6"/>
  <c r="B74" i="6"/>
  <c r="J73" i="6"/>
  <c r="G73" i="6"/>
  <c r="H73" i="6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B77" i="6"/>
  <c r="J76" i="6"/>
  <c r="H76" i="6"/>
  <c r="G76" i="6"/>
  <c r="I77" i="6" l="1"/>
  <c r="F77" i="6"/>
  <c r="G77" i="6"/>
  <c r="H77" i="6"/>
  <c r="J77" i="6"/>
  <c r="B78" i="6"/>
  <c r="I78" i="6" l="1"/>
  <c r="F78" i="6"/>
  <c r="B79" i="6"/>
  <c r="J78" i="6"/>
  <c r="G78" i="6"/>
  <c r="H78" i="6"/>
  <c r="I79" i="6" l="1"/>
  <c r="F79" i="6"/>
  <c r="G79" i="6"/>
  <c r="H79" i="6"/>
  <c r="J79" i="6"/>
  <c r="B80" i="6"/>
  <c r="I80" i="6" l="1"/>
  <c r="F80" i="6"/>
  <c r="H80" i="6"/>
  <c r="G80" i="6"/>
  <c r="J80" i="6"/>
  <c r="B81" i="6"/>
  <c r="I81" i="6" l="1"/>
  <c r="F81" i="6"/>
  <c r="J81" i="6"/>
  <c r="H81" i="6"/>
  <c r="G81" i="6"/>
  <c r="B82" i="6"/>
  <c r="I82" i="6" l="1"/>
  <c r="F82" i="6"/>
  <c r="H82" i="6"/>
  <c r="G82" i="6"/>
  <c r="J82" i="6"/>
  <c r="B83" i="6"/>
  <c r="I83" i="6" l="1"/>
  <c r="F83" i="6"/>
  <c r="H83" i="6"/>
  <c r="G83" i="6"/>
  <c r="J83" i="6"/>
  <c r="B84" i="6"/>
  <c r="I84" i="6" l="1"/>
  <c r="F84" i="6"/>
  <c r="J84" i="6"/>
  <c r="G84" i="6"/>
  <c r="H84" i="6"/>
  <c r="B85" i="6"/>
  <c r="I85" i="6" l="1"/>
  <c r="F85" i="6"/>
  <c r="G85" i="6"/>
  <c r="H85" i="6"/>
  <c r="J85" i="6"/>
  <c r="B86" i="6"/>
  <c r="I86" i="6" l="1"/>
  <c r="F86" i="6"/>
  <c r="B87" i="6"/>
  <c r="H86" i="6"/>
  <c r="G86" i="6"/>
  <c r="J86" i="6"/>
  <c r="I87" i="6" l="1"/>
  <c r="F87" i="6"/>
  <c r="B88" i="6"/>
  <c r="J87" i="6"/>
  <c r="G87" i="6"/>
  <c r="H87" i="6"/>
  <c r="I88" i="6" l="1"/>
  <c r="F88" i="6"/>
  <c r="H88" i="6"/>
  <c r="G88" i="6"/>
  <c r="J88" i="6"/>
  <c r="B89" i="6"/>
  <c r="I89" i="6" l="1"/>
  <c r="F89" i="6"/>
  <c r="H89" i="6"/>
  <c r="J89" i="6"/>
  <c r="G89" i="6"/>
  <c r="B90" i="6"/>
  <c r="I90" i="6" l="1"/>
  <c r="F90" i="6"/>
  <c r="G90" i="6"/>
  <c r="J90" i="6"/>
  <c r="H90" i="6"/>
  <c r="B91" i="6"/>
  <c r="I91" i="6" l="1"/>
  <c r="F91" i="6"/>
  <c r="B92" i="6"/>
  <c r="H91" i="6"/>
  <c r="J91" i="6"/>
  <c r="G91" i="6"/>
  <c r="I92" i="6" l="1"/>
  <c r="F92" i="6"/>
  <c r="B93" i="6"/>
  <c r="J92" i="6"/>
  <c r="H92" i="6"/>
  <c r="G92" i="6"/>
  <c r="I93" i="6" l="1"/>
  <c r="F93" i="6"/>
  <c r="B95" i="6"/>
  <c r="B94" i="6"/>
  <c r="G93" i="6"/>
  <c r="H93" i="6"/>
  <c r="J93" i="6"/>
  <c r="I94" i="6" l="1"/>
  <c r="F94" i="6"/>
  <c r="I95" i="6"/>
  <c r="F95" i="6"/>
  <c r="G94" i="6"/>
  <c r="H94" i="6"/>
  <c r="J94" i="6"/>
  <c r="J95" i="6"/>
  <c r="G95" i="6"/>
  <c r="H9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<sst xmlns="http://schemas.openxmlformats.org/spreadsheetml/2006/main" count="3005" uniqueCount="1046">
  <si>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</si>
  <si>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</si>
  <si>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</si>
  <si>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</si>
  <si>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</si>
  <si>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</si>
  <si>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</si>
  <si>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</si>
  <si>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</si>
  <si>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</si>
  <si>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</si>
  <si>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</si>
  <si>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</si>
  <si>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</si>
  <si>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</si>
  <si>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</si>
  <si>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</si>
  <si>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</si>
  <si>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</si>
  <si>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</si>
  <si>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</si>
  <si>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</si>
  <si>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</si>
  <si>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</si>
  <si>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</si>
  <si>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</si>
  <si>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</si>
  <si>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</si>
  <si>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</si>
  <si>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</si>
  <si>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</si>
  <si>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</si>
  <si>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</si>
  <si>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</si>
  <si>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</si>
  <si>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</si>
  <si>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</si>
  <si>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</si>
  <si>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</si>
  <si>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</si>
  <si>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</si>
  <si>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</si>
  <si>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</si>
  <si>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</si>
  <si>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</si>
  <si>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</si>
  <si>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</si>
  <si>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</si>
  <si>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</si>
  <si>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</si>
  <si>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</si>
  <si>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</si>
  <si>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</si>
  <si>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</si>
  <si>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</si>
  <si>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</si>
  <si>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</si>
  <si>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</si>
  <si>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</si>
  <si>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</si>
  <si>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</si>
  <si>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</si>
  <si>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</si>
  <si>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</si>
  <si>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</si>
  <si>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</si>
  <si>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</si>
  <si>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</si>
  <si>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</si>
  <si>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</si>
  <si>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</si>
  <si>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</si>
  <si>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</si>
  <si>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</si>
  <si>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</si>
  <si>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</si>
  <si>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</si>
  <si>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</si>
  <si>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</si>
  <si>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</si>
  <si>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</si>
  <si>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</si>
  <si>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</si>
  <si>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</si>
  <si>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</si>
  <si>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</si>
  <si>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</si>
  <si>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</si>
  <si>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</si>
  <si>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</si>
  <si>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</si>
  <si>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</si>
  <si>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</si>
  <si>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</si>
  <si>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</si>
  <si>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</si>
  <si>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</si>
  <si>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</si>
  <si>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</si>
  <si>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</si>
  <si>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</si>
  <si>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</si>
  <si>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</si>
  <si>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</si>
  <si>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</si>
  <si>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</si>
  <si>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</si>
  <si>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</si>
  <si>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</si>
  <si>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</si>
  <si>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</si>
  <si>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</si>
  <si>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</si>
  <si>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</si>
  <si>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</si>
  <si>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</si>
  <si>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</si>
  <si>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</si>
  <si>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</si>
  <si>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</si>
  <si>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</si>
  <si>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</si>
  <si>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</si>
  <si>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</si>
  <si>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</si>
  <si>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</si>
  <si>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</si>
  <si>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</si>
  <si>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</si>
  <si>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</si>
  <si>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</si>
  <si>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</si>
  <si>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</si>
  <si>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</si>
  <si>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</si>
  <si>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</si>
  <si>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</si>
  <si>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</si>
  <si>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</si>
  <si>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</si>
  <si>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</si>
  <si>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</si>
  <si>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</si>
  <si>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</si>
  <si>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</si>
  <si>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</si>
  <si>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</si>
  <si>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</si>
  <si>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</si>
  <si>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</si>
  <si>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</si>
  <si>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</si>
  <si>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</si>
  <si>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</si>
  <si>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</si>
  <si>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</si>
  <si>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</si>
  <si>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</si>
  <si>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</si>
  <si>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</si>
  <si>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</si>
  <si>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</si>
  <si>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</si>
  <si>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</si>
  <si>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</si>
  <si>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</si>
  <si>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</si>
  <si>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</si>
  <si>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</si>
  <si>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</si>
  <si>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</si>
  <si>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</si>
  <si>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</si>
  <si>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</si>
  <si>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</si>
  <si>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</si>
  <si>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</si>
  <si>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</si>
  <si>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</si>
  <si>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</si>
  <si>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</si>
  <si>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</si>
  <si>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</si>
  <si>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</si>
  <si>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</si>
  <si>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</si>
  <si>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</si>
  <si>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</si>
  <si>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</si>
  <si>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</si>
  <si>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</si>
  <si>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</si>
  <si>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</si>
  <si>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</si>
  <si>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</si>
  <si>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</si>
  <si>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</si>
  <si>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</si>
  <si>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</si>
  <si>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</si>
  <si>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</si>
  <si>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</si>
  <si>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</si>
  <si>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</si>
  <si>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</si>
  <si>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</si>
  <si>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</si>
  <si>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Uncaught Wi-MAX GREP</t>
  </si>
  <si>
    <t>204:451</t>
  </si>
  <si>
    <t>204:457</t>
  </si>
  <si>
    <t>204:460</t>
  </si>
  <si>
    <t>BROWN</t>
  </si>
  <si>
    <t>JACOB</t>
  </si>
  <si>
    <t>204:453</t>
  </si>
  <si>
    <t>CHANDLER</t>
  </si>
  <si>
    <t>KELVIN</t>
  </si>
  <si>
    <t>204:455</t>
  </si>
  <si>
    <t>204:139</t>
  </si>
  <si>
    <t>204:141</t>
  </si>
  <si>
    <t>204:440</t>
  </si>
  <si>
    <t>204:156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</si>
  <si>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</si>
  <si>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</si>
  <si>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</si>
  <si>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</si>
  <si>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</si>
  <si>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</si>
  <si>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</si>
  <si>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</si>
  <si>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</si>
  <si>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204:233314</t>
  </si>
  <si>
    <t>204:233297</t>
  </si>
  <si>
    <t>204:233289</t>
  </si>
  <si>
    <t>204:233299</t>
  </si>
  <si>
    <t>204:233312</t>
  </si>
  <si>
    <t>204:467</t>
  </si>
  <si>
    <t>204:233000</t>
  </si>
  <si>
    <t>204:442</t>
  </si>
  <si>
    <t>204:161</t>
  </si>
  <si>
    <t>204:233295</t>
  </si>
  <si>
    <t>204:232971</t>
  </si>
  <si>
    <t>rtdc.l.rtdc.4020:itc</t>
  </si>
  <si>
    <t>MOSES</t>
  </si>
  <si>
    <t>BRADLEY</t>
  </si>
  <si>
    <t>204:469</t>
  </si>
  <si>
    <t>204:233303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</si>
  <si>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</si>
  <si>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</si>
  <si>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</si>
  <si>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</si>
  <si>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</si>
  <si>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</si>
  <si>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</si>
  <si>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</si>
  <si>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</si>
  <si>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</si>
  <si>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</si>
  <si>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</si>
  <si>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</si>
  <si>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</si>
  <si>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</si>
  <si>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</si>
  <si>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</si>
  <si>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</si>
  <si>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</si>
  <si>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</si>
  <si>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</si>
  <si>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</si>
  <si>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</si>
  <si>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</si>
  <si>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</si>
  <si>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</si>
  <si>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</si>
  <si>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</si>
  <si>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</si>
  <si>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</si>
  <si>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</si>
  <si>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</si>
  <si>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</si>
  <si>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</si>
  <si>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</si>
  <si>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</si>
  <si>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</si>
  <si>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</si>
  <si>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</si>
  <si>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</si>
  <si>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</si>
  <si>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</si>
  <si>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</si>
  <si>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</si>
  <si>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</si>
  <si>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</si>
  <si>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</si>
  <si>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</si>
  <si>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</si>
  <si>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</si>
  <si>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</si>
  <si>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</si>
  <si>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</si>
  <si>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</si>
  <si>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</si>
  <si>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</si>
  <si>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</si>
  <si>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</si>
  <si>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</si>
  <si>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</si>
  <si>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</si>
  <si>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</si>
  <si>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</si>
  <si>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</si>
  <si>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</si>
  <si>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</si>
  <si>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</si>
  <si>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</si>
  <si>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</si>
  <si>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</si>
  <si>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</si>
  <si>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</si>
  <si>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</si>
  <si>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</si>
  <si>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</si>
  <si>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</si>
  <si>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</si>
  <si>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</si>
  <si>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</si>
  <si>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</si>
  <si>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</si>
  <si>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</si>
  <si>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</si>
  <si>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</si>
  <si>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</si>
  <si>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</si>
  <si>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</si>
  <si>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</si>
  <si>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</si>
  <si>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</si>
  <si>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</si>
  <si>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</si>
  <si>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</si>
  <si>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</si>
  <si>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</si>
  <si>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</si>
  <si>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</si>
  <si>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</si>
  <si>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</si>
  <si>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</si>
  <si>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</si>
  <si>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</si>
  <si>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</si>
  <si>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</si>
  <si>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</si>
  <si>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</si>
  <si>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</si>
  <si>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</si>
  <si>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</si>
  <si>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</si>
  <si>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</si>
  <si>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</si>
  <si>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</si>
  <si>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</si>
  <si>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</si>
  <si>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</si>
  <si>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</si>
  <si>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</si>
  <si>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</si>
  <si>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</si>
  <si>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</si>
  <si>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</si>
  <si>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</si>
  <si>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</si>
  <si>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</si>
  <si>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</si>
  <si>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</si>
  <si>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</si>
  <si>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</si>
  <si>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</si>
  <si>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</si>
  <si>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</si>
  <si>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204:232982</t>
  </si>
  <si>
    <t>rtdc.l.rtdc.4029:itc</t>
  </si>
  <si>
    <t>rtdc.l.rtdc.4009:itc</t>
  </si>
  <si>
    <t>partly-cloudy-night</t>
  </si>
  <si>
    <t>Partly Cloudy</t>
  </si>
  <si>
    <t>partly-cloudy-day</t>
  </si>
  <si>
    <t>204:232993</t>
  </si>
  <si>
    <t>204:232989</t>
  </si>
  <si>
    <t>SIGNAL</t>
  </si>
  <si>
    <t>Signal based authority (5)</t>
  </si>
  <si>
    <t>rtdc.l.rtdc.4051:itc</t>
  </si>
  <si>
    <t>Y</t>
  </si>
  <si>
    <t>STORY</t>
  </si>
  <si>
    <t>SAMANTHA</t>
  </si>
  <si>
    <t>204:233307</t>
  </si>
  <si>
    <t>204:475</t>
  </si>
  <si>
    <t>204:232981</t>
  </si>
  <si>
    <t>204:232974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</si>
  <si>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</si>
  <si>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</si>
  <si>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</si>
  <si>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</si>
  <si>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</si>
  <si>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</si>
  <si>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</si>
  <si>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</si>
  <si>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</si>
  <si>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</si>
  <si>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</si>
  <si>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</si>
  <si>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</si>
  <si>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</si>
  <si>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</si>
  <si>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</si>
  <si>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</si>
  <si>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</si>
  <si>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</si>
  <si>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</si>
  <si>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</si>
  <si>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</si>
  <si>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</si>
  <si>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</si>
  <si>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</si>
  <si>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rtdc.l.rtdc.4039:itc</t>
  </si>
  <si>
    <t>rtdc.l.rtdc.4063:itc</t>
  </si>
  <si>
    <t>rtdc.l.rtdc.4040:itc</t>
  </si>
  <si>
    <t>SWANSON</t>
  </si>
  <si>
    <t>BRYCE</t>
  </si>
  <si>
    <t>204:464</t>
  </si>
  <si>
    <t>204:233306</t>
  </si>
  <si>
    <t>204:232996</t>
  </si>
  <si>
    <t>204:232984</t>
  </si>
  <si>
    <t>204:233293</t>
  </si>
  <si>
    <t>204:165</t>
  </si>
  <si>
    <t>204:438</t>
  </si>
  <si>
    <t>204:233323</t>
  </si>
  <si>
    <t>204:232983</t>
  </si>
  <si>
    <t>204:462</t>
  </si>
  <si>
    <t>300:23346</t>
  </si>
  <si>
    <t>204:138</t>
  </si>
  <si>
    <t>rtdc.l.rtdc.4053:itc</t>
  </si>
  <si>
    <t>rtdc.l.rtdc.4054:itc</t>
  </si>
  <si>
    <t>rtdc.l.rtdc.4028:itc</t>
  </si>
  <si>
    <t>rtdc.l.rtdc.4025:itc</t>
  </si>
  <si>
    <t>Track device (7)</t>
  </si>
  <si>
    <t>rtdc.l.rtdc.4027:itc</t>
  </si>
  <si>
    <t>STAMBAUGH</t>
  </si>
  <si>
    <t>204:232998</t>
  </si>
  <si>
    <t>204:232975</t>
  </si>
  <si>
    <t>204:232977</t>
  </si>
  <si>
    <t>204:132</t>
  </si>
  <si>
    <t>300:58939</t>
  </si>
  <si>
    <t>204:232987</t>
  </si>
  <si>
    <t>Onboard in-route failure</t>
  </si>
  <si>
    <t>rtdc.l.rtdc.4010:itc</t>
  </si>
  <si>
    <t>ROCHA</t>
  </si>
  <si>
    <t>YAOTL</t>
  </si>
  <si>
    <t>YANAI</t>
  </si>
  <si>
    <t>IAN</t>
  </si>
  <si>
    <t>CLARK</t>
  </si>
  <si>
    <t>KATHLEEN</t>
  </si>
  <si>
    <t>204:232965</t>
  </si>
  <si>
    <t>204:233291</t>
  </si>
  <si>
    <t>204:471</t>
  </si>
  <si>
    <t>204:482</t>
  </si>
  <si>
    <t>204:232968</t>
  </si>
  <si>
    <t>300:23304</t>
  </si>
  <si>
    <t>204:687</t>
  </si>
  <si>
    <t>rtdc.l.rtdc.4032:itc</t>
  </si>
  <si>
    <t>rtdc.l.rtdc.4031:itc</t>
  </si>
  <si>
    <t>236-14</t>
  </si>
  <si>
    <t>244-14</t>
  </si>
  <si>
    <t>rtdc.l.rtdc.4026:itc</t>
  </si>
  <si>
    <t>STARKS</t>
  </si>
  <si>
    <t>ANGELINA</t>
  </si>
  <si>
    <t>LOZA</t>
  </si>
  <si>
    <t>FIDEL</t>
  </si>
  <si>
    <t>rtdc.l.rtdc.4052:itc</t>
  </si>
  <si>
    <t>BEAM</t>
  </si>
  <si>
    <t>ROSS</t>
  </si>
  <si>
    <t>81-14</t>
  </si>
  <si>
    <t>82-14</t>
  </si>
  <si>
    <t>234-14</t>
  </si>
  <si>
    <t>237-14</t>
  </si>
  <si>
    <t>239-14</t>
  </si>
  <si>
    <t>241-14</t>
  </si>
  <si>
    <t>238-14</t>
  </si>
  <si>
    <t>243-14</t>
  </si>
  <si>
    <t>240-14</t>
  </si>
  <si>
    <t>242-14</t>
  </si>
  <si>
    <t>315-14</t>
  </si>
  <si>
    <t>309-14</t>
  </si>
  <si>
    <t>311-14</t>
  </si>
  <si>
    <t>313-14</t>
  </si>
  <si>
    <t>302-15</t>
  </si>
  <si>
    <t>BADERTSCHER</t>
  </si>
  <si>
    <t>DIANE</t>
  </si>
  <si>
    <t>Clear</t>
  </si>
  <si>
    <t>clear-night</t>
  </si>
  <si>
    <t>204:233276</t>
  </si>
  <si>
    <t>204:232957</t>
  </si>
  <si>
    <t>204:145</t>
  </si>
  <si>
    <t>204:163</t>
  </si>
  <si>
    <t>204:424</t>
  </si>
  <si>
    <t>204:232967</t>
  </si>
  <si>
    <t>204:233011</t>
  </si>
  <si>
    <t>204:167</t>
  </si>
  <si>
    <t>300:23308</t>
  </si>
  <si>
    <t>204:759</t>
  </si>
  <si>
    <t>300:58636</t>
  </si>
  <si>
    <t>300:58941</t>
  </si>
  <si>
    <t>300:58954</t>
  </si>
  <si>
    <t>204:986</t>
  </si>
  <si>
    <t>204:965</t>
  </si>
  <si>
    <t>rtdc.l.rtdc.4045:itc</t>
  </si>
  <si>
    <t>rtdc.l.rtdc.4046:itc</t>
  </si>
  <si>
    <t>309-15</t>
  </si>
  <si>
    <t>rtdc.l.rtdc.4001:itc</t>
  </si>
  <si>
    <t>GEBRETEKLE</t>
  </si>
  <si>
    <t>DAGNEW</t>
  </si>
  <si>
    <t>GUZMAN</t>
  </si>
  <si>
    <t>DANNY</t>
  </si>
  <si>
    <t>COOLAHAN</t>
  </si>
  <si>
    <t>JOHN</t>
  </si>
  <si>
    <t>rtdc.l.rtdc.4002:itc</t>
  </si>
  <si>
    <t>WILLIAMS</t>
  </si>
  <si>
    <t>DONTE</t>
  </si>
  <si>
    <t>HELVIE</t>
  </si>
  <si>
    <t>ADAM</t>
  </si>
  <si>
    <t>DELGADO</t>
  </si>
  <si>
    <t>DIANAH</t>
  </si>
  <si>
    <t>BRUDER</t>
  </si>
  <si>
    <t>RICHARD</t>
  </si>
  <si>
    <t>DE LA ROSA</t>
  </si>
  <si>
    <t>ALEX</t>
  </si>
  <si>
    <t>MENGES</t>
  </si>
  <si>
    <t>BRAD</t>
  </si>
  <si>
    <t>WHITED</t>
  </si>
  <si>
    <t>DUSTIN</t>
  </si>
  <si>
    <t>242-15</t>
  </si>
  <si>
    <t>244-15</t>
  </si>
  <si>
    <t>311-15</t>
  </si>
  <si>
    <t>313-15</t>
  </si>
  <si>
    <t>302-16</t>
  </si>
  <si>
    <t>Mostly Cloudy</t>
  </si>
  <si>
    <t>204:748</t>
  </si>
  <si>
    <t>204:233298</t>
  </si>
  <si>
    <t>204:233284</t>
  </si>
  <si>
    <t>204:232986</t>
  </si>
  <si>
    <t>204:143</t>
  </si>
  <si>
    <t>204:205</t>
  </si>
  <si>
    <t>204:233316</t>
  </si>
  <si>
    <t>204:232978</t>
  </si>
  <si>
    <t>204:232976</t>
  </si>
  <si>
    <t>204:500</t>
  </si>
  <si>
    <t>204:233304</t>
  </si>
  <si>
    <t>204:232959</t>
  </si>
  <si>
    <t>204:233286</t>
  </si>
  <si>
    <t>204:437</t>
  </si>
  <si>
    <t>204:233311</t>
  </si>
  <si>
    <t>204:232991</t>
  </si>
  <si>
    <t>204:491</t>
  </si>
  <si>
    <t>204:233331</t>
  </si>
  <si>
    <t>204:233013</t>
  </si>
  <si>
    <t>204:233280</t>
  </si>
  <si>
    <t>204:233328</t>
  </si>
  <si>
    <t>204:233274</t>
  </si>
  <si>
    <t>204:232972</t>
  </si>
  <si>
    <t>204:233283</t>
  </si>
  <si>
    <t>204:498</t>
  </si>
  <si>
    <t>204:233308</t>
  </si>
  <si>
    <t>204:232940</t>
  </si>
  <si>
    <t>204:174</t>
  </si>
  <si>
    <t>204:144</t>
  </si>
  <si>
    <t>204:689</t>
  </si>
  <si>
    <t>204:972</t>
  </si>
  <si>
    <t>300:58647</t>
  </si>
  <si>
    <t>204:680</t>
  </si>
  <si>
    <t>300:58624</t>
  </si>
  <si>
    <t>204:981</t>
  </si>
  <si>
    <t>204:685</t>
  </si>
  <si>
    <t>300:58958</t>
  </si>
  <si>
    <t>204:696</t>
  </si>
  <si>
    <t>300:58943</t>
  </si>
  <si>
    <t>300:58630</t>
  </si>
  <si>
    <t>204:664</t>
  </si>
  <si>
    <t>204:978</t>
  </si>
  <si>
    <t>300:58946</t>
  </si>
  <si>
    <t>300:58589</t>
  </si>
  <si>
    <t>300:58628</t>
  </si>
  <si>
    <t>start /low /b %USERPROFILE%\Documents\GitHub\eaglep3\Utilities\DownloadLogsFromS3.py --loco 4045 --day 2017-03-16</t>
  </si>
  <si>
    <t>Early arrival</t>
  </si>
  <si>
    <t>Wi-MAX data drop</t>
  </si>
  <si>
    <t>rtdc.l.rtdc.4003:itc</t>
  </si>
  <si>
    <t>105-16</t>
  </si>
  <si>
    <t>104-16</t>
  </si>
  <si>
    <t>rtdc.l.rtdc.4006:itc</t>
  </si>
  <si>
    <t>111-16</t>
  </si>
  <si>
    <t>50-16</t>
  </si>
  <si>
    <t>rtdc.l.rtdc.4004:itc</t>
  </si>
  <si>
    <t>120-16</t>
  </si>
  <si>
    <t>124-16</t>
  </si>
  <si>
    <t>133-16</t>
  </si>
  <si>
    <t>rtdc.l.rtdc.4018:itc</t>
  </si>
  <si>
    <t>811-16</t>
  </si>
  <si>
    <t>130-16</t>
  </si>
  <si>
    <t>137-16</t>
  </si>
  <si>
    <t>143-16</t>
  </si>
  <si>
    <t>134-16</t>
  </si>
  <si>
    <t>145-16</t>
  </si>
  <si>
    <t>138-16</t>
  </si>
  <si>
    <t>144-16</t>
  </si>
  <si>
    <t>157-16</t>
  </si>
  <si>
    <t>rtdc.l.rtdc.4017:itc</t>
  </si>
  <si>
    <t>818-16</t>
  </si>
  <si>
    <t>rtdc.l.rtdc.4005:itc</t>
  </si>
  <si>
    <t>168-16</t>
  </si>
  <si>
    <t>822-16</t>
  </si>
  <si>
    <t>183-16</t>
  </si>
  <si>
    <t>SWITCH ALIGNMENT</t>
  </si>
  <si>
    <t>824-16</t>
  </si>
  <si>
    <t>182-16</t>
  </si>
  <si>
    <t>904-16</t>
  </si>
  <si>
    <t>826-16</t>
  </si>
  <si>
    <t>829-16</t>
  </si>
  <si>
    <t>831-16</t>
  </si>
  <si>
    <t>832-16</t>
  </si>
  <si>
    <t>833-16</t>
  </si>
  <si>
    <t>rtdc.l.rtdc.4013:itc</t>
  </si>
  <si>
    <t>72-16</t>
  </si>
  <si>
    <t>834-16</t>
  </si>
  <si>
    <t>835-16</t>
  </si>
  <si>
    <t>215-16</t>
  </si>
  <si>
    <t>70-16</t>
  </si>
  <si>
    <t>838-16</t>
  </si>
  <si>
    <t>839-16</t>
  </si>
  <si>
    <t>220-16</t>
  </si>
  <si>
    <t>225-16</t>
  </si>
  <si>
    <t>rtdc.l.rtdc.4021:itc</t>
  </si>
  <si>
    <t>88-16</t>
  </si>
  <si>
    <t>847-16</t>
  </si>
  <si>
    <t>232-16</t>
  </si>
  <si>
    <t>241-16</t>
  </si>
  <si>
    <t>101-16</t>
  </si>
  <si>
    <t>117-16</t>
  </si>
  <si>
    <t>304-16</t>
  </si>
  <si>
    <t>103-16</t>
  </si>
  <si>
    <t>306-16</t>
  </si>
  <si>
    <t>ROBINSON</t>
  </si>
  <si>
    <t>KADDIBA</t>
  </si>
  <si>
    <t>102-16</t>
  </si>
  <si>
    <t>308-16</t>
  </si>
  <si>
    <t>107-16</t>
  </si>
  <si>
    <t>310-16</t>
  </si>
  <si>
    <t>109-16</t>
  </si>
  <si>
    <t>rtdc.l.rtdc.4022:itc</t>
  </si>
  <si>
    <t>901-16</t>
  </si>
  <si>
    <t>SHOOK</t>
  </si>
  <si>
    <t>YORK</t>
  </si>
  <si>
    <t>EDGAR</t>
  </si>
  <si>
    <t>113-16</t>
  </si>
  <si>
    <t>106-16</t>
  </si>
  <si>
    <t>108-16</t>
  </si>
  <si>
    <t>115-16</t>
  </si>
  <si>
    <t>112-16</t>
  </si>
  <si>
    <t>110-16</t>
  </si>
  <si>
    <t>801-16</t>
  </si>
  <si>
    <t>119-16</t>
  </si>
  <si>
    <t>114-16</t>
  </si>
  <si>
    <t>902-16</t>
  </si>
  <si>
    <t>121-16</t>
  </si>
  <si>
    <t>116-16</t>
  </si>
  <si>
    <t>803-16</t>
  </si>
  <si>
    <t>118-16</t>
  </si>
  <si>
    <t>123-16</t>
  </si>
  <si>
    <t>125-16</t>
  </si>
  <si>
    <t>804-16</t>
  </si>
  <si>
    <t>805-16</t>
  </si>
  <si>
    <t>51-16</t>
  </si>
  <si>
    <t>130-27</t>
  </si>
  <si>
    <t>127-16</t>
  </si>
  <si>
    <t>122-16</t>
  </si>
  <si>
    <t>806-16</t>
  </si>
  <si>
    <t>807-16</t>
  </si>
  <si>
    <t>129-16</t>
  </si>
  <si>
    <t>126-16</t>
  </si>
  <si>
    <t>131-16</t>
  </si>
  <si>
    <t>809-16</t>
  </si>
  <si>
    <t>808-16</t>
  </si>
  <si>
    <t>128-16</t>
  </si>
  <si>
    <t>135-16</t>
  </si>
  <si>
    <t>810-16</t>
  </si>
  <si>
    <t>132-16</t>
  </si>
  <si>
    <t>SULLIVAN</t>
  </si>
  <si>
    <t>BRANDON</t>
  </si>
  <si>
    <t>139-16</t>
  </si>
  <si>
    <t>903-16</t>
  </si>
  <si>
    <t>812-16</t>
  </si>
  <si>
    <t>141-16</t>
  </si>
  <si>
    <t>136-16</t>
  </si>
  <si>
    <t>140-16</t>
  </si>
  <si>
    <t>813-16</t>
  </si>
  <si>
    <t>147-16</t>
  </si>
  <si>
    <t>142-16</t>
  </si>
  <si>
    <t>149-16</t>
  </si>
  <si>
    <t>814-16</t>
  </si>
  <si>
    <t>146-16</t>
  </si>
  <si>
    <t>151-16</t>
  </si>
  <si>
    <t>153-16</t>
  </si>
  <si>
    <t>815-16</t>
  </si>
  <si>
    <t>148-16</t>
  </si>
  <si>
    <t>155-16</t>
  </si>
  <si>
    <t>150-16</t>
  </si>
  <si>
    <t>816-16</t>
  </si>
  <si>
    <t>154-16</t>
  </si>
  <si>
    <t>54-16</t>
  </si>
  <si>
    <t>SMITH</t>
  </si>
  <si>
    <t>152-16</t>
  </si>
  <si>
    <t>159-16</t>
  </si>
  <si>
    <t>161-16</t>
  </si>
  <si>
    <t>156-16</t>
  </si>
  <si>
    <t>817-16</t>
  </si>
  <si>
    <t>163-16</t>
  </si>
  <si>
    <t>158-16</t>
  </si>
  <si>
    <t>165-16</t>
  </si>
  <si>
    <t>160-16</t>
  </si>
  <si>
    <t>167-16</t>
  </si>
  <si>
    <t>BRANDNER</t>
  </si>
  <si>
    <t>MELINDA</t>
  </si>
  <si>
    <t>162-16</t>
  </si>
  <si>
    <t>819-16</t>
  </si>
  <si>
    <t>169-16</t>
  </si>
  <si>
    <t>164-16</t>
  </si>
  <si>
    <t>171-16</t>
  </si>
  <si>
    <t>166-16</t>
  </si>
  <si>
    <t>173-16</t>
  </si>
  <si>
    <t>820-16</t>
  </si>
  <si>
    <t>175-16</t>
  </si>
  <si>
    <t>821-16</t>
  </si>
  <si>
    <t>FORTUNATO</t>
  </si>
  <si>
    <t>FRANK</t>
  </si>
  <si>
    <t>170-16</t>
  </si>
  <si>
    <t>177-16</t>
  </si>
  <si>
    <t>172-16</t>
  </si>
  <si>
    <t>179-16</t>
  </si>
  <si>
    <t>174-16</t>
  </si>
  <si>
    <t>181-16</t>
  </si>
  <si>
    <t>176-16</t>
  </si>
  <si>
    <t>ARVIDSON</t>
  </si>
  <si>
    <t>DANIEL</t>
  </si>
  <si>
    <t>823-16</t>
  </si>
  <si>
    <t>185-16</t>
  </si>
  <si>
    <t>178-16</t>
  </si>
  <si>
    <t>180-16</t>
  </si>
  <si>
    <t>187-16</t>
  </si>
  <si>
    <t>189-16</t>
  </si>
  <si>
    <t>184-16</t>
  </si>
  <si>
    <t>191-16</t>
  </si>
  <si>
    <t>825-16</t>
  </si>
  <si>
    <t>186-16</t>
  </si>
  <si>
    <t>193-16</t>
  </si>
  <si>
    <t>195-16</t>
  </si>
  <si>
    <t>188-16</t>
  </si>
  <si>
    <t>190-16</t>
  </si>
  <si>
    <t>197-16</t>
  </si>
  <si>
    <t>827-16</t>
  </si>
  <si>
    <t>192-16</t>
  </si>
  <si>
    <t>199-16</t>
  </si>
  <si>
    <t>194-16</t>
  </si>
  <si>
    <t>828-16</t>
  </si>
  <si>
    <t>201-16</t>
  </si>
  <si>
    <t>196-16</t>
  </si>
  <si>
    <t>203-16</t>
  </si>
  <si>
    <t>198-16</t>
  </si>
  <si>
    <t>830-16</t>
  </si>
  <si>
    <t>205-16</t>
  </si>
  <si>
    <t>200-16</t>
  </si>
  <si>
    <t>207-16</t>
  </si>
  <si>
    <t>202-16</t>
  </si>
  <si>
    <t>209-16</t>
  </si>
  <si>
    <t>204-16</t>
  </si>
  <si>
    <t>211-16</t>
  </si>
  <si>
    <t>85-16</t>
  </si>
  <si>
    <t>206-16</t>
  </si>
  <si>
    <t>213-16</t>
  </si>
  <si>
    <t>208-16</t>
  </si>
  <si>
    <t>MACDONALD</t>
  </si>
  <si>
    <t>THOMAS</t>
  </si>
  <si>
    <t>210-16</t>
  </si>
  <si>
    <t>217-16</t>
  </si>
  <si>
    <t>836-16</t>
  </si>
  <si>
    <t>89-16</t>
  </si>
  <si>
    <t>837-16</t>
  </si>
  <si>
    <t>rtdc.l.rtdc.4014:itc</t>
  </si>
  <si>
    <t>77-16</t>
  </si>
  <si>
    <t>212-16</t>
  </si>
  <si>
    <t>219-16</t>
  </si>
  <si>
    <t>214-16</t>
  </si>
  <si>
    <t>303-16</t>
  </si>
  <si>
    <t>216-16</t>
  </si>
  <si>
    <t>221-16</t>
  </si>
  <si>
    <t>218-16</t>
  </si>
  <si>
    <t>906-16</t>
  </si>
  <si>
    <t>305-16</t>
  </si>
  <si>
    <t>841-16</t>
  </si>
  <si>
    <t>223-16</t>
  </si>
  <si>
    <t>840-16</t>
  </si>
  <si>
    <t>307-16</t>
  </si>
  <si>
    <t>222-16</t>
  </si>
  <si>
    <t>PERKINS</t>
  </si>
  <si>
    <t>DARREN</t>
  </si>
  <si>
    <t>227-16</t>
  </si>
  <si>
    <t>224-16</t>
  </si>
  <si>
    <t>843-16</t>
  </si>
  <si>
    <t>842-16</t>
  </si>
  <si>
    <t>226-16</t>
  </si>
  <si>
    <t>MCREYNOLDS</t>
  </si>
  <si>
    <t>KYLE</t>
  </si>
  <si>
    <t>229-16</t>
  </si>
  <si>
    <t>845-16</t>
  </si>
  <si>
    <t>228-16</t>
  </si>
  <si>
    <t>231-16</t>
  </si>
  <si>
    <t>844-16</t>
  </si>
  <si>
    <t>230-16</t>
  </si>
  <si>
    <t>233-16</t>
  </si>
  <si>
    <t>235-16</t>
  </si>
  <si>
    <t>908-16</t>
  </si>
  <si>
    <t>234-16</t>
  </si>
  <si>
    <t>237-16</t>
  </si>
  <si>
    <t>236-16</t>
  </si>
  <si>
    <t>4021-16</t>
  </si>
  <si>
    <t>239-16</t>
  </si>
  <si>
    <t>238-16</t>
  </si>
  <si>
    <t>243-16</t>
  </si>
  <si>
    <t>4022-16</t>
  </si>
  <si>
    <t>240-16</t>
  </si>
  <si>
    <t>315-16</t>
  </si>
  <si>
    <t>242-16</t>
  </si>
  <si>
    <t>309-16</t>
  </si>
  <si>
    <t>244-16</t>
  </si>
  <si>
    <t>311-16</t>
  </si>
  <si>
    <t>313-16</t>
  </si>
  <si>
    <t>fog</t>
  </si>
  <si>
    <t>Foggy</t>
  </si>
  <si>
    <t>204:232639</t>
  </si>
  <si>
    <t>204:763</t>
  </si>
  <si>
    <t>204:232679</t>
  </si>
  <si>
    <t>204:723</t>
  </si>
  <si>
    <t>204:233357</t>
  </si>
  <si>
    <t>204:232710</t>
  </si>
  <si>
    <t>204:233010</t>
  </si>
  <si>
    <t>204:232992</t>
  </si>
  <si>
    <t>204:777</t>
  </si>
  <si>
    <t>204:232979</t>
  </si>
  <si>
    <t>204:446</t>
  </si>
  <si>
    <t>204:772</t>
  </si>
  <si>
    <t>204:233301</t>
  </si>
  <si>
    <t>204:232980</t>
  </si>
  <si>
    <t>204:743</t>
  </si>
  <si>
    <t>204:444</t>
  </si>
  <si>
    <t>204:233023</t>
  </si>
  <si>
    <t>204:169</t>
  </si>
  <si>
    <t>204:233272</t>
  </si>
  <si>
    <t>204:220</t>
  </si>
  <si>
    <t>204:232969</t>
  </si>
  <si>
    <t>204:203</t>
  </si>
  <si>
    <t>204:449</t>
  </si>
  <si>
    <t>204:233310</t>
  </si>
  <si>
    <t>204:232953</t>
  </si>
  <si>
    <t>204:517</t>
  </si>
  <si>
    <t>204:233302</t>
  </si>
  <si>
    <t>204:539</t>
  </si>
  <si>
    <t>204:233008</t>
  </si>
  <si>
    <t>204:232994</t>
  </si>
  <si>
    <t>204:232990</t>
  </si>
  <si>
    <t>204:233327</t>
  </si>
  <si>
    <t>204:212</t>
  </si>
  <si>
    <t>204:64163</t>
  </si>
  <si>
    <t>204:36750</t>
  </si>
  <si>
    <t>204:233334</t>
  </si>
  <si>
    <t>204:233028</t>
  </si>
  <si>
    <t>204:1154</t>
  </si>
  <si>
    <t>204:178</t>
  </si>
  <si>
    <t>204:980</t>
  </si>
  <si>
    <t>204:1490</t>
  </si>
  <si>
    <t>204:1958</t>
  </si>
  <si>
    <t>204:19123</t>
  </si>
  <si>
    <t>204:232960</t>
  </si>
  <si>
    <t>204:218</t>
  </si>
  <si>
    <t>204:86374</t>
  </si>
  <si>
    <t>204:233263</t>
  </si>
  <si>
    <t>204:233309</t>
  </si>
  <si>
    <t>204:127</t>
  </si>
  <si>
    <t>204:233387</t>
  </si>
  <si>
    <t>204:233071</t>
  </si>
  <si>
    <t>204:233329</t>
  </si>
  <si>
    <t>204:522</t>
  </si>
  <si>
    <t>204:233270</t>
  </si>
  <si>
    <t>204:232963</t>
  </si>
  <si>
    <t>204:473</t>
  </si>
  <si>
    <t>204:102</t>
  </si>
  <si>
    <t>204:233282</t>
  </si>
  <si>
    <t>204:232988</t>
  </si>
  <si>
    <t>204:136</t>
  </si>
  <si>
    <t>204:176</t>
  </si>
  <si>
    <t>204:477</t>
  </si>
  <si>
    <t>204:118</t>
  </si>
  <si>
    <t>204:396</t>
  </si>
  <si>
    <t>204:232970</t>
  </si>
  <si>
    <t>204:233249</t>
  </si>
  <si>
    <t>204:232929</t>
  </si>
  <si>
    <t>204:233315</t>
  </si>
  <si>
    <t>204:722</t>
  </si>
  <si>
    <t>204:135</t>
  </si>
  <si>
    <t>300:23158</t>
  </si>
  <si>
    <t>300:23306</t>
  </si>
  <si>
    <t>300:23288</t>
  </si>
  <si>
    <t>300:23051</t>
  </si>
  <si>
    <t>300:23455</t>
  </si>
  <si>
    <t>300:23546</t>
  </si>
  <si>
    <t>300:23115</t>
  </si>
  <si>
    <t>300:23199</t>
  </si>
  <si>
    <t>204:1016</t>
  </si>
  <si>
    <t>300:23312</t>
  </si>
  <si>
    <t>204:128004</t>
  </si>
  <si>
    <t>204:131</t>
  </si>
  <si>
    <t>300:23302</t>
  </si>
  <si>
    <t>204:128272</t>
  </si>
  <si>
    <t>300:20589</t>
  </si>
  <si>
    <t>204:633</t>
  </si>
  <si>
    <t>300:21771</t>
  </si>
  <si>
    <t>204:450</t>
  </si>
  <si>
    <t>300:23544</t>
  </si>
  <si>
    <t>300:22197</t>
  </si>
  <si>
    <t>204:922</t>
  </si>
  <si>
    <t>300:23146</t>
  </si>
  <si>
    <t>204:934</t>
  </si>
  <si>
    <t>300:24252</t>
  </si>
  <si>
    <t>300:23758</t>
  </si>
  <si>
    <t>204:1021</t>
  </si>
  <si>
    <t>300:58988</t>
  </si>
  <si>
    <t>204:974</t>
  </si>
  <si>
    <t>300:58935</t>
  </si>
  <si>
    <t>204:920</t>
  </si>
  <si>
    <t>300:58993</t>
  </si>
  <si>
    <t>300:58683</t>
  </si>
  <si>
    <t>204:715</t>
  </si>
  <si>
    <t>204:1028</t>
  </si>
  <si>
    <t>300:58995</t>
  </si>
  <si>
    <t>300:58677</t>
  </si>
  <si>
    <t>204:133</t>
  </si>
  <si>
    <t>204:971</t>
  </si>
  <si>
    <t>300:58920</t>
  </si>
  <si>
    <t>300:58608</t>
  </si>
  <si>
    <t>204:691</t>
  </si>
  <si>
    <t>300:58914</t>
  </si>
  <si>
    <t>300:58134</t>
  </si>
  <si>
    <t>300:58926</t>
  </si>
  <si>
    <t>300:58600</t>
  </si>
  <si>
    <t>204:1025</t>
  </si>
  <si>
    <t>300:58626</t>
  </si>
  <si>
    <t>204:967</t>
  </si>
  <si>
    <t>300:58963</t>
  </si>
  <si>
    <t>204:754</t>
  </si>
  <si>
    <t>204:1042</t>
  </si>
  <si>
    <t>300:58986</t>
  </si>
  <si>
    <t>300:58661</t>
  </si>
  <si>
    <t>204:1048</t>
  </si>
  <si>
    <t>300:58931</t>
  </si>
  <si>
    <t>300:57329</t>
  </si>
  <si>
    <t>204:677</t>
  </si>
  <si>
    <t>204:1044</t>
  </si>
  <si>
    <t>300:58990</t>
  </si>
  <si>
    <t>300:58666</t>
  </si>
  <si>
    <t>204:643</t>
  </si>
  <si>
    <t>300:58971</t>
  </si>
  <si>
    <t>300:58653</t>
  </si>
  <si>
    <t>204:923</t>
  </si>
  <si>
    <t>300:58960</t>
  </si>
  <si>
    <t>204:778</t>
  </si>
  <si>
    <t>204:1037</t>
  </si>
  <si>
    <t>204:729</t>
  </si>
  <si>
    <t>300:58625</t>
  </si>
  <si>
    <t>300:57827</t>
  </si>
  <si>
    <t>204:1020</t>
  </si>
  <si>
    <t>300:58634</t>
  </si>
  <si>
    <t>204:1014</t>
  </si>
  <si>
    <t>300:58619</t>
  </si>
  <si>
    <t>300:58937</t>
  </si>
  <si>
    <t>300:57362</t>
  </si>
  <si>
    <t>204:666</t>
  </si>
  <si>
    <t>300:58956</t>
  </si>
  <si>
    <t>204:1294</t>
  </si>
  <si>
    <t>204:128008</t>
  </si>
  <si>
    <t>204:11960</t>
  </si>
  <si>
    <t>300:24290</t>
  </si>
  <si>
    <t>204:148</t>
  </si>
  <si>
    <t>300:25112</t>
  </si>
  <si>
    <t>204:1528</t>
  </si>
  <si>
    <t>204:441</t>
  </si>
  <si>
    <t>204:128278</t>
  </si>
  <si>
    <t>204:394</t>
  </si>
  <si>
    <t>300:30273</t>
  </si>
  <si>
    <t>300:23336</t>
  </si>
  <si>
    <t>204:675</t>
  </si>
  <si>
    <t>300:24233</t>
  </si>
  <si>
    <t>300:23285</t>
  </si>
  <si>
    <t>300:25001</t>
  </si>
  <si>
    <t>300:24589</t>
  </si>
  <si>
    <t>300:21668</t>
  </si>
  <si>
    <t>300:21990</t>
  </si>
  <si>
    <t>start /low /b %USERPROFILE%\Documents\GitHub\eaglep3\Utilities\DownloadLogsFromS3.py --loco 4005 --day 2017-03-16</t>
  </si>
  <si>
    <t>start /low /b %USERPROFILE%\Documents\GitHub\eaglep3\Utilities\DownloadLogsFromS3.py --loco 4027 --day 2017-03-16</t>
  </si>
  <si>
    <t>start /low /b %USERPROFILE%\Documents\GitHub\eaglep3\Utilities\DownloadLogsFromS3.py --loco 4025 --day 2017-03-16</t>
  </si>
  <si>
    <t>start /low /b %USERPROFILE%\Documents\GitHub\eaglep3\Utilities\DownloadLogsFromS3.py --loco 4017 --day 2017-03-16</t>
  </si>
  <si>
    <t>start /low /b %USERPROFILE%\Documents\GitHub\eaglep3\Utilities\DownloadLogsFromS3.py --loco 4006 --day 2017-03-16</t>
  </si>
  <si>
    <t>start /low /b %USERPROFILE%\Documents\GitHub\eaglep3\Utilities\DownloadLogsFromS3.py --loco 4002 --day 2017-03-17</t>
  </si>
  <si>
    <t>start /low /b %USERPROFILE%\Documents\GitHub\eaglep3\Utilities\DownloadLogsFromS3.py --loco 4031 --day 2017-03-17</t>
  </si>
  <si>
    <t>start /low /b %USERPROFILE%\Documents\GitHub\eaglep3\Utilities\DownloadLogsFromS3.py --loco 4030 --day 2017-03-16</t>
  </si>
  <si>
    <t>start /low /b %USERPROFILE%\Documents\GitHub\eaglep3\Utilities\DownloadLogsFromS3.py --loco 4039 --day 2017-03-16</t>
  </si>
  <si>
    <t>start /low /b %USERPROFILE%\Documents\GitHub\eaglep3\Utilities\DownloadLogsFromS3.py --loco 4029 --day 2017-03-16</t>
  </si>
  <si>
    <t>start /low /b %USERPROFILE%\Documents\GitHub\eaglep3\Utilities\DownloadLogsFromS3.py --loco 4045 --day 2017-03-17</t>
  </si>
  <si>
    <t>start /low /b %USERPROFILE%\Documents\GitHub\eaglep3\Utilities\DownloadLogsFromS3.py --loco 4002 --day 2017-03-16</t>
  </si>
  <si>
    <t>start /low /b %USERPROFILE%\Documents\GitHub\eaglep3\Utilities\DownloadLogsFromS3.py --loco 4001 --day 2017-03-16</t>
  </si>
  <si>
    <t>start /low /b %USERPROFILE%\Documents\GitHub\eaglep3\Utilities\DownloadLogsFromS3.py --loco 4026 --day 2017-03-17</t>
  </si>
  <si>
    <t>start /low /b %USERPROFILE%\Documents\GitHub\eaglep3\Utilities\DownloadLogsFromS3.py --loco 4003 --day 2017-03-16</t>
  </si>
  <si>
    <t>start /low /b %USERPROFILE%\Documents\GitHub\eaglep3\Utilities\DownloadLogsFromS3.py --loco 4040 --day 2017-03-16</t>
  </si>
  <si>
    <t>start /low /b %USERPROFILE%\Documents\GitHub\eaglep3\Utilities\DownloadLogsFromS3.py --loco 4004 --day 2017-03-16</t>
  </si>
  <si>
    <t>start /low /b %USERPROFILE%\Documents\GitHub\eaglep3\Utilities\DownloadLogsFromS3.py --loco 4018 --day 2017-03-16</t>
  </si>
  <si>
    <t>start /low /b %USERPROFILE%\Documents\GitHub\eaglep3\Utilities\DownloadLogsFromS3.py --loco 4018 --day 2017-03-17</t>
  </si>
  <si>
    <t>start /low /b %USERPROFILE%\Documents\GitHub\eaglep3\Utilities\DownloadLogsFromS3.py --loco 4010 --day 2017-03-16</t>
  </si>
  <si>
    <t>start /low /b %USERPROFILE%\Documents\GitHub\eaglep3\Utilities\DownloadLogsFromS3.py --loco 4017 --day 2017-03-17</t>
  </si>
  <si>
    <t>start /low /b %USERPROFILE%\Documents\GitHub\eaglep3\Utilities\DownloadLogsFromS3.py --loco 4009 --day 2017-03-16</t>
  </si>
  <si>
    <t>start /low /b %USERPROFILE%\Documents\GitHub\eaglep3\Utilities\DownloadLogsFromS3.py --loco 4009 --day 2017-03-17</t>
  </si>
  <si>
    <t>Delayed by onboard in-route failure</t>
  </si>
  <si>
    <t>CP Sable ELXS failure</t>
  </si>
  <si>
    <t>At approx 13:27, CP Sable experienced link failures, transferred to standby, and trains had to be talked past red signals. Do logs show why we had a main/standby transfer?</t>
  </si>
  <si>
    <t>Main 3 departure</t>
  </si>
  <si>
    <t>800-16</t>
  </si>
  <si>
    <t>802-16</t>
  </si>
  <si>
    <t>Did not init</t>
  </si>
  <si>
    <t>Delayed by reverser handle in neutral</t>
  </si>
  <si>
    <t>Reverser handle in neutral</t>
  </si>
  <si>
    <t>Minor onboard in-route failure (braking algorithm enforced target 2.5 mi away)</t>
  </si>
  <si>
    <t>Selected wrong track</t>
  </si>
  <si>
    <t>http://stevetu21.github.io/eaglep3/load_kml.html?kml=http://rtdc.gmaps-snips.s3.amazonaws.com/e511f67b-3ef6-4552-afef-89c0c9a59b10.kml</t>
  </si>
  <si>
    <t>No evidence of penalty found in 13:58 timeframe (ATC?)</t>
  </si>
  <si>
    <t>Selected wrong track (got SWITCH NOT ALIGNED FOR SAFE MOVEMENT prompt)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</si>
</sst>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0"/>
  <sheetViews>
    <sheetView tabSelected="1" workbookViewId="0">
      <selection activeCell="R233" sqref="R23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42810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42810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COUNTIFS($N$13:$N$9339,"&gt;0",$AG$13:$AG$9339,I1)</f>
        <v>141</v>
      </c>
      <c r="K5" s="40"/>
      <c r="L5" s="40"/>
      <c r="M5" s="41">
        <f>AVERAGEIFS($N$13:$N$9339,$AG$13:$AG$9339,I1)</f>
        <v>38.776950354767131</v>
      </c>
      <c r="N5" s="39">
        <f t="array" ref="N5">MIN(IF($AG$13:$AG$9339=I1,IF(ISNUMBER($N$13:$N$9339),IF($N$13:$N$9339&gt;0,$N$13:$N$9339))))</f>
        <v>34.73333333269693</v>
      </c>
      <c r="O5" s="3">
        <f t="array" ref="O5">MAX(IF($AG$13:$AG$9339=I1,IF(ISNUMBER($N$13:$N$9339),IF($N$13:$N$9339&gt;0,$N$13:$N$9339))))</f>
        <v>53.166666658362374</v>
      </c>
      <c r="P5" s="2"/>
      <c r="R5" s="74" t="s">
        <v>17</v>
      </c>
      <c r="S5" s="50">
        <f>COUNTIFS($N$13:$N$9339,"&gt;0",$AG$13:$AG$9339,R1)</f>
        <v>45</v>
      </c>
      <c r="T5" s="40"/>
      <c r="U5" s="177"/>
      <c r="V5" s="174">
        <f>AVERAGEIFS($N$13:$N$9339,$AG$13:$AG$9339,R1)</f>
        <v>15.369999999878928</v>
      </c>
      <c r="W5" s="175">
        <f t="array" ref="W5">MIN(IF($AG$13:$AG$9339=R1,IF(ISNUMBER($N$13:$N$9339),IF($N$13:$N$9339&gt;0,$N$13:$N$9339))))</f>
        <v>12.799999995622784</v>
      </c>
      <c r="X5" s="176">
        <f t="array" ref="X5">MAX(IF($AG$13:$AG$9339=R1,IF(ISNUMBER($N$13:$N$9339),IF($N$13:$N$9339&gt;0,$N$13:$N$9339))))</f>
        <v>19.766666666837409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COUNT($O$13:$O$119)</f>
        <v>0</v>
      </c>
      <c r="K6" s="40"/>
      <c r="L6" s="40"/>
      <c r="M6" s="41">
        <f>IFERROR(AVERAGE($O$13:$O$119),0)</f>
        <v>0</v>
      </c>
      <c r="N6" s="39">
        <f>MIN($O$13:$O$119)</f>
        <v>0</v>
      </c>
      <c r="O6" s="3">
        <f>MAX($O$13:$O$119)</f>
        <v>0</v>
      </c>
      <c r="P6" s="2"/>
      <c r="R6" s="75" t="s">
        <v>43</v>
      </c>
      <c r="S6" s="50">
        <f>COUNT($O$13:$O$119)</f>
        <v>0</v>
      </c>
      <c r="T6" s="40"/>
      <c r="U6" s="177"/>
      <c r="V6" s="174">
        <f>IFERROR(AVERAGE($O$13:$O$119),0)</f>
        <v>0</v>
      </c>
      <c r="W6" s="175">
        <f>MIN($O$13:$O$119)</f>
        <v>0</v>
      </c>
      <c r="X6" s="176">
        <f>MAX($O$13:$O$119)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COUNTIFS($P$13:$P$9339,"&gt;0",$AG$13:$AG$9339,I1)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COUNTIFS($P$13:$P$9339,"&gt;0",$AG$13:$AG$9339,R1)</f>
        <v>2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141</v>
      </c>
      <c r="K8" s="40"/>
      <c r="L8" s="40"/>
      <c r="M8" s="41">
        <f>M5</f>
        <v>38.776950354767131</v>
      </c>
      <c r="N8" s="39">
        <f>N5</f>
        <v>34.73333333269693</v>
      </c>
      <c r="O8" s="3">
        <f>O5</f>
        <v>53.166666658362374</v>
      </c>
      <c r="P8" s="2"/>
      <c r="R8" s="74" t="s">
        <v>16</v>
      </c>
      <c r="S8" s="50">
        <f>S5</f>
        <v>45</v>
      </c>
      <c r="T8" s="40"/>
      <c r="U8" s="177"/>
      <c r="V8" s="174">
        <f>V5</f>
        <v>15.369999999878928</v>
      </c>
      <c r="W8" s="175">
        <f>W5</f>
        <v>12.799999995622784</v>
      </c>
      <c r="X8" s="176">
        <f>X5</f>
        <v>19.766666666837409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0.97916666666666663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0.95744680851063835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- 2017-03-16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AVERAGE(S13:S87)</f>
        <v>0.98972602739726023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203</v>
      </c>
      <c r="AN12" s="47" t="s">
        <v>207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641</v>
      </c>
      <c r="B13" s="7">
        <v>4006</v>
      </c>
      <c r="C13" s="21" t="s">
        <v>228</v>
      </c>
      <c r="D13" s="21" t="s">
        <v>506</v>
      </c>
      <c r="E13" s="13">
        <v>42810.126342592594</v>
      </c>
      <c r="F13" s="13">
        <v>42810.135601851849</v>
      </c>
      <c r="G13" s="7">
        <v>1</v>
      </c>
      <c r="H13" s="21" t="s">
        <v>545</v>
      </c>
      <c r="I13" s="13">
        <v>42810.161956018521</v>
      </c>
      <c r="J13" s="7">
        <v>0</v>
      </c>
      <c r="K13" s="98" t="str">
        <f t="shared" ref="K13:K76" si="0">IF(ISEVEN(B13),(B13-1)&amp;"/"&amp;B13,B13&amp;"/"&amp;(B13+1))</f>
        <v>4005/4006</v>
      </c>
      <c r="L13" s="21" t="str">
        <f>VLOOKUP(A13,'Trips&amp;Operators'!$C$1:$G$99999,5,FALSE)</f>
        <v>BADERTSCHER DIANE</v>
      </c>
      <c r="M13" s="6">
        <f t="shared" ref="M13:M76" si="1">I13-F13</f>
        <v>2.6354166671808343E-2</v>
      </c>
      <c r="N13" s="7">
        <f t="shared" ref="N13:N38" si="2">24*60*SUM($M13:$M13)</f>
        <v>37.950000007404014</v>
      </c>
      <c r="O13" s="7"/>
      <c r="P13" s="7"/>
      <c r="Q13" s="22"/>
      <c r="R13" s="22"/>
      <c r="S13" s="31">
        <f t="shared" ref="S13:S38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-16T02:01:56-0600',mode:absolute,to:'2017-03-16T04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187" t="str">
        <f t="shared" ref="W13:W76" si="6">IF(AA13&lt;IF(AG13="EC",23,5.65),"Y","N")</f>
        <v>N</v>
      </c>
      <c r="X13" s="187" t="e">
        <f t="shared" ref="X13:X44" si="7">VALUE(LEFT(AD13,4))-VALUE(LEFT(AD12,4))</f>
        <v>#VALUE!</v>
      </c>
      <c r="Y13" s="62">
        <f t="shared" ref="Y13:Y76" si="8">RIGHT(D13,LEN(D13)-4)/10000</f>
        <v>7.5899999999999995E-2</v>
      </c>
      <c r="Z13" s="62">
        <f t="shared" ref="Z13:Z37" si="9">RIGHT(H13,LEN(H13)-4)/10000</f>
        <v>23.328399999999998</v>
      </c>
      <c r="AA13" s="62">
        <f t="shared" ref="AA13:AA76" si="10">ABS(Z13-Y13)</f>
        <v>23.252499999999998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0101-16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/stypes="app*4006*20170316*"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4006 --swversion DE.1.0.9.0 --startMP 204:759 --initTime 2017-03-16T03:01:56 --startdatetime 2017-03-16T03:15:16 --delay 1 --endMP 204:233284 --enddatetime 2017-03-16T03:53:13 --enforcementcount 0 &gt;&gt;C:\Users\stu\Documents\GitHub\eaglep3-reporting\EC\2017-03-16-refined-times.txt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{"issue":{"subject":"","project_id":79,"tracker_id":40,"status_id":1,"priority_id":2,"assigned_to_id":23,"start_date":"2017-03-16","description":"","custom_fields":[{"id":1,"name":"Subdivision","value":"EC"},{"id":4,"name":"Milepost","value":"23.3284"},{"id":17,"name":"Train ID","value":"101-16"},{"id":16,"name":"Locomotive ID","value":"4006"},{"id":130,"name":"Impact","value":""},{"id":150,"name":"Time of Event (Mountain Time)","value":"03:53:13"},{"id":151,"name":"Denver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4006 --day 2017-03-16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648</v>
      </c>
      <c r="B14" s="7">
        <v>4045</v>
      </c>
      <c r="C14" s="21" t="s">
        <v>228</v>
      </c>
      <c r="D14" s="21" t="s">
        <v>842</v>
      </c>
      <c r="E14" s="13">
        <v>42810.168576388889</v>
      </c>
      <c r="F14" s="13">
        <v>42810.174490740741</v>
      </c>
      <c r="G14" s="7">
        <v>1</v>
      </c>
      <c r="H14" s="21" t="s">
        <v>431</v>
      </c>
      <c r="I14" s="13">
        <v>42810.203773148147</v>
      </c>
      <c r="J14" s="7">
        <v>0</v>
      </c>
      <c r="K14" s="98" t="str">
        <f t="shared" si="0"/>
        <v>4045/4046</v>
      </c>
      <c r="L14" s="21" t="str">
        <f>VLOOKUP(A14,'Trips&amp;Operators'!$C$1:$G$99999,5,FALSE)</f>
        <v>BADERTSCHER DIANE</v>
      </c>
      <c r="M14" s="6">
        <f t="shared" si="1"/>
        <v>2.9282407405844424E-2</v>
      </c>
      <c r="N14" s="7">
        <f t="shared" si="2"/>
        <v>42.16666666441597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-16T03:02:45-0600',mode:absolute,to:'2017-03-16T05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23.2639</v>
      </c>
      <c r="Z14" s="62">
        <f t="shared" si="9"/>
        <v>1.6500000000000001E-2</v>
      </c>
      <c r="AA14" s="62">
        <f t="shared" si="10"/>
        <v>23.247399999999999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0102-16</v>
      </c>
      <c r="AE14" s="85" t="str">
        <f t="shared" si="12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4" s="82" t="str">
        <f t="shared" si="13"/>
        <v>"C:\Program Files (x86)\AstroGrep\AstroGrep.exe" /e /r /s /spath="%USERPROFILE%\AppData\Local\Temp\OnboardLogs" /stypes="app*4045*20170316*"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4045 --swversion DE.1.0.9.0 --startMP 204:232639 --initTime 2017-03-16T04:02:45 --startdatetime 2017-03-16T04:11:16 --delay 1 --endMP 204:165 --enddatetime 2017-03-16T04:53:26 --enforcementcount 0 &gt;&gt;C:\Users\stu\Documents\GitHub\eaglep3-reporting\EC\2017-03-16-refined-times.txt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{"issue":{"subject":"","project_id":79,"tracker_id":40,"status_id":1,"priority_id":2,"assigned_to_id":23,"start_date":"2017-03-16","description":"","custom_fields":[{"id":1,"name":"Subdivision","value":"EC"},{"id":4,"name":"Milepost","value":"0.0165"},{"id":17,"name":"Train ID","value":"102-16"},{"id":16,"name":"Locomotive ID","value":"4045"},{"id":130,"name":"Impact","value":""},{"id":150,"name":"Time of Event (Mountain Time)","value":"04:53:26"},{"id":151,"name":"Denver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4045 --day 2017-03-16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644</v>
      </c>
      <c r="B15" s="7">
        <v>4029</v>
      </c>
      <c r="C15" s="21" t="s">
        <v>228</v>
      </c>
      <c r="D15" s="21" t="s">
        <v>843</v>
      </c>
      <c r="E15" s="13">
        <v>42810.154004629629</v>
      </c>
      <c r="F15" s="13">
        <v>42810.156423611108</v>
      </c>
      <c r="G15" s="7">
        <v>1</v>
      </c>
      <c r="H15" s="21" t="s">
        <v>549</v>
      </c>
      <c r="I15" s="13">
        <v>42810.181504629632</v>
      </c>
      <c r="J15" s="7">
        <v>0</v>
      </c>
      <c r="K15" s="98" t="str">
        <f t="shared" si="0"/>
        <v>4029/4030</v>
      </c>
      <c r="L15" s="21" t="str">
        <f>VLOOKUP(A15,'Trips&amp;Operators'!$C$1:$G$99999,5,FALSE)</f>
        <v>YANAI IAN</v>
      </c>
      <c r="M15" s="6">
        <f t="shared" si="1"/>
        <v>2.5081018524360843E-2</v>
      </c>
      <c r="N15" s="7">
        <f t="shared" si="2"/>
        <v>36.116666675079614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-16T02:41:46-0600',mode:absolute,to:'2017-03-16T05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7.6300000000000007E-2</v>
      </c>
      <c r="Z15" s="62">
        <f t="shared" si="9"/>
        <v>23.331600000000002</v>
      </c>
      <c r="AA15" s="62">
        <f t="shared" si="10"/>
        <v>23.255300000000002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0103-16</v>
      </c>
      <c r="AE15" s="85" t="str">
        <f t="shared" si="12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5" s="82" t="str">
        <f t="shared" si="13"/>
        <v>"C:\Program Files (x86)\AstroGrep\AstroGrep.exe" /e /r /s /spath="%USERPROFILE%\AppData\Local\Temp\OnboardLogs" /stypes="app*4029*20170316*"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103-16 --locoid 4029 --swversion DE.1.0.9.0 --startMP 204:763 --initTime 2017-03-16T03:41:46 --startdatetime 2017-03-16T03:45:15 --delay 1 --endMP 204:233316 --enddatetime 2017-03-16T04:21:22 --enforcementcount 0 &gt;&gt;C:\Users\stu\Documents\GitHub\eaglep3-reporting\EC\2017-03-16-refined-times.txt</v>
      </c>
      <c r="AI1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{"issue":{"subject":"","project_id":79,"tracker_id":40,"status_id":1,"priority_id":2,"assigned_to_id":23,"start_date":"2017-03-16","description":"","custom_fields":[{"id":1,"name":"Subdivision","value":"EC"},{"id":4,"name":"Milepost","value":"23.3316"},{"id":17,"name":"Train ID","value":"103-16"},{"id":16,"name":"Locomotive ID","value":"4029"},{"id":130,"name":"Impact","value":""},{"id":150,"name":"Time of Event (Mountain Time)","value":"04:21:22"},{"id":151,"name":"Denver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4029 --day 2017-03-16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593</v>
      </c>
      <c r="B16" s="7">
        <v>4001</v>
      </c>
      <c r="C16" s="21" t="s">
        <v>228</v>
      </c>
      <c r="D16" s="21" t="s">
        <v>844</v>
      </c>
      <c r="E16" s="13">
        <v>42810.188807870371</v>
      </c>
      <c r="F16" s="13">
        <v>42810.195300925923</v>
      </c>
      <c r="G16" s="7">
        <v>1</v>
      </c>
      <c r="H16" s="21" t="s">
        <v>201</v>
      </c>
      <c r="I16" s="13">
        <v>42810.222893518519</v>
      </c>
      <c r="J16" s="7">
        <v>0</v>
      </c>
      <c r="K16" s="98" t="str">
        <f t="shared" si="0"/>
        <v>4001/4002</v>
      </c>
      <c r="L16" s="21" t="str">
        <f>VLOOKUP(A16,'Trips&amp;Operators'!$C$1:$G$99999,5,FALSE)</f>
        <v>YANAI IAN</v>
      </c>
      <c r="M16" s="6">
        <f t="shared" si="1"/>
        <v>2.7592592596192844E-2</v>
      </c>
      <c r="N16" s="7">
        <f t="shared" si="2"/>
        <v>39.733333338517696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-16T03:31:53-0600',mode:absolute,to:'2017-03-16T06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23.267900000000001</v>
      </c>
      <c r="Z16" s="62">
        <f t="shared" si="9"/>
        <v>1.5800000000000002E-2</v>
      </c>
      <c r="AA16" s="62">
        <f t="shared" si="10"/>
        <v>23.252100000000002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0104-16</v>
      </c>
      <c r="AE16" s="85" t="str">
        <f t="shared" si="12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16" s="82" t="str">
        <f t="shared" si="13"/>
        <v>"C:\Program Files (x86)\AstroGrep\AstroGrep.exe" /e /r /s /spath="%USERPROFILE%\AppData\Local\Temp\OnboardLogs" /stypes="app*4001*20170316*"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104-16 --locoid 4001 --swversion DE.1.0.9.0 --startMP 204:232679 --initTime 2017-03-16T04:31:53 --startdatetime 2017-03-16T04:41:14 --delay 1 --endMP 204:158 --enddatetime 2017-03-16T05:20:58 --enforcementcount 0 &gt;&gt;C:\Users\stu\Documents\GitHub\eaglep3-reporting\EC\2017-03-16-refined-times.txt</v>
      </c>
      <c r="AI1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{"issue":{"subject":"","project_id":79,"tracker_id":40,"status_id":1,"priority_id":2,"assigned_to_id":23,"start_date":"2017-03-16","description":"","custom_fields":[{"id":1,"name":"Subdivision","value":"EC"},{"id":4,"name":"Milepost","value":"0.0158"},{"id":17,"name":"Train ID","value":"104-16"},{"id":16,"name":"Locomotive ID","value":"4001"},{"id":130,"name":"Impact","value":""},{"id":150,"name":"Time of Event (Mountain Time)","value":"05:20:58"},{"id":151,"name":"Denver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4001 --day 2017-03-16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592</v>
      </c>
      <c r="B17" s="7">
        <v>4003</v>
      </c>
      <c r="C17" s="21" t="s">
        <v>228</v>
      </c>
      <c r="D17" s="21" t="s">
        <v>845</v>
      </c>
      <c r="E17" s="13">
        <v>42810.168206018519</v>
      </c>
      <c r="F17" s="13">
        <v>42810.177685185183</v>
      </c>
      <c r="G17" s="7">
        <v>1</v>
      </c>
      <c r="H17" s="21" t="s">
        <v>846</v>
      </c>
      <c r="I17" s="13">
        <v>42810.203969907408</v>
      </c>
      <c r="J17" s="7">
        <v>0</v>
      </c>
      <c r="K17" s="98" t="str">
        <f t="shared" si="0"/>
        <v>4003/4004</v>
      </c>
      <c r="L17" s="21" t="str">
        <f>VLOOKUP(A17,'Trips&amp;Operators'!$C$1:$G$99999,5,FALSE)</f>
        <v>ROBINSON KADDIBA</v>
      </c>
      <c r="M17" s="6">
        <f t="shared" si="1"/>
        <v>2.6284722225682344E-2</v>
      </c>
      <c r="N17" s="7">
        <f t="shared" si="2"/>
        <v>37.850000004982576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-16T03:02:13-0600',mode:absolute,to:'2017-03-16T05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7.2300000000000003E-2</v>
      </c>
      <c r="Z17" s="62">
        <f t="shared" si="9"/>
        <v>23.335699999999999</v>
      </c>
      <c r="AA17" s="62">
        <f t="shared" si="10"/>
        <v>23.263400000000001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0105-16</v>
      </c>
      <c r="AE17" s="85" t="str">
        <f t="shared" si="12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17" s="82" t="str">
        <f t="shared" si="13"/>
        <v>"C:\Program Files (x86)\AstroGrep\AstroGrep.exe" /e /r /s /spath="%USERPROFILE%\AppData\Local\Temp\OnboardLogs" /stypes="app*4003*20170316*"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105-16 --locoid 4003 --swversion DE.1.0.9.0 --startMP 204:723 --initTime 2017-03-16T04:02:13 --startdatetime 2017-03-16T04:15:52 --delay 1 --endMP 204:233357 --enddatetime 2017-03-16T04:53:43 --enforcementcount 0 &gt;&gt;C:\Users\stu\Documents\GitHub\eaglep3-reporting\EC\2017-03-16-refined-times.txt</v>
      </c>
      <c r="AI1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{"issue":{"subject":"","project_id":79,"tracker_id":40,"status_id":1,"priority_id":2,"assigned_to_id":23,"start_date":"2017-03-16","description":"","custom_fields":[{"id":1,"name":"Subdivision","value":"EC"},{"id":4,"name":"Milepost","value":"23.3357"},{"id":17,"name":"Train ID","value":"105-16"},{"id":16,"name":"Locomotive ID","value":"4003"},{"id":130,"name":"Impact","value":""},{"id":150,"name":"Time of Event (Mountain Time)","value":"04:53:43"},{"id":151,"name":"Denver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4003 --day 2017-03-16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659</v>
      </c>
      <c r="B18" s="7">
        <v>4028</v>
      </c>
      <c r="C18" s="21" t="s">
        <v>228</v>
      </c>
      <c r="D18" s="21" t="s">
        <v>847</v>
      </c>
      <c r="E18" s="13">
        <v>42810.209247685183</v>
      </c>
      <c r="F18" s="13">
        <v>42810.216134259259</v>
      </c>
      <c r="G18" s="7">
        <v>2</v>
      </c>
      <c r="H18" s="21" t="s">
        <v>191</v>
      </c>
      <c r="I18" s="13">
        <v>42810.244317129633</v>
      </c>
      <c r="J18" s="7">
        <v>0</v>
      </c>
      <c r="K18" s="98" t="str">
        <f t="shared" si="0"/>
        <v>4027/4028</v>
      </c>
      <c r="L18" s="21" t="str">
        <f>VLOOKUP(A18,'Trips&amp;Operators'!$C$1:$G$99999,5,FALSE)</f>
        <v>ROBINSON KADDIBA</v>
      </c>
      <c r="M18" s="6">
        <f t="shared" si="1"/>
        <v>2.8182870373711921E-2</v>
      </c>
      <c r="N18" s="7">
        <f t="shared" si="2"/>
        <v>40.583333338145167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-16T04:01:19-0600',mode:absolute,to:'2017-03-16T06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23.271000000000001</v>
      </c>
      <c r="Z18" s="62">
        <f t="shared" si="9"/>
        <v>1.4999999999999999E-2</v>
      </c>
      <c r="AA18" s="62">
        <f t="shared" si="10"/>
        <v>23.256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0106-16</v>
      </c>
      <c r="AE18" s="85" t="str">
        <f t="shared" si="12"/>
        <v>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 &amp; aws s3 cp s3://rtdc.mdm.uploadarchive.raw/RTDC4028/ "%USERPROFILE%\AppData\Local\Temp\OnboardLogs"\RTDC4028\2017-03-17 --exclude "*" --recursive --include "*20170317*" &amp; "%USERPROFILE%\Documents\GitHub\mrs-test-scripts\Headless Mode &amp; Sideloading\WalkAndUnGZ.bat" "%USERPROFILE%\AppData\Local\Temp\OnboardLogs"\RTDC4028\2017-03-17</v>
      </c>
      <c r="AF18" s="82" t="str">
        <f t="shared" si="13"/>
        <v>"C:\Program Files (x86)\AstroGrep\AstroGrep.exe" /e /r /s /spath="%USERPROFILE%\AppData\Local\Temp\OnboardLogs" /stypes="app*4028*20170316*"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106-16 --locoid 4028 --swversion DE.1.0.9.0 --startMP 204:232710 --initTime 2017-03-16T05:01:19 --startdatetime 2017-03-16T05:11:14 --delay 2 --endMP 204:150 --enddatetime 2017-03-16T05:51:49 --enforcementcount 0 &gt;&gt;C:\Users\stu\Documents\GitHub\eaglep3-reporting\EC\2017-03-16-refined-times.txt</v>
      </c>
      <c r="AI18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ID","value":"106-16"},{"id":16,"name":"Locomotive ID","value":"4028"},{"id":130,"name":"Impact","value":""},{"id":150,"name":"Time of Event (Mountain Time)","value":"05:51:49"},{"id":151,"name":"Denver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4028 --day 2017-03-16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"%USERPROFILE%\AppData\Local\Temp\OnboardLogs"\RTDC4028\*4028*20170316* | grep -SE "(Enforcement Action)|(\[TIMEOUT)|(CHR.+\|PRM\|1\|D.+(SWITCH|SIGNAL).+UNKNOWN)" - &gt;&gt; 2017-03-16-UncaughtWiMAX.txt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650</v>
      </c>
      <c r="B19" s="7">
        <v>4025</v>
      </c>
      <c r="C19" s="21" t="s">
        <v>228</v>
      </c>
      <c r="D19" s="21" t="s">
        <v>435</v>
      </c>
      <c r="E19" s="13">
        <v>42810.183298611111</v>
      </c>
      <c r="F19" s="13">
        <v>42810.187731481485</v>
      </c>
      <c r="G19" s="7">
        <v>1</v>
      </c>
      <c r="H19" s="21" t="s">
        <v>230</v>
      </c>
      <c r="I19" s="13">
        <v>42810.212835648148</v>
      </c>
      <c r="J19" s="7">
        <v>0</v>
      </c>
      <c r="K19" s="98" t="str">
        <f t="shared" si="0"/>
        <v>4025/4026</v>
      </c>
      <c r="L19" s="21" t="str">
        <f>VLOOKUP(A19,'Trips&amp;Operators'!$C$1:$G$99999,5,FALSE)</f>
        <v>GEBRETEKLE DAGNEW</v>
      </c>
      <c r="M19" s="6">
        <f t="shared" si="1"/>
        <v>2.5104166663368233E-2</v>
      </c>
      <c r="N19" s="7">
        <f t="shared" si="2"/>
        <v>36.149999995250255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-16T03:23:57-0600',mode:absolute,to:'2017-03-16T06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4.6199999999999998E-2</v>
      </c>
      <c r="Z19" s="62">
        <f t="shared" si="9"/>
        <v>23.331399999999999</v>
      </c>
      <c r="AA19" s="62">
        <f t="shared" si="10"/>
        <v>23.2852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0107-16</v>
      </c>
      <c r="AE19" s="85" t="str">
        <f t="shared" si="12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9" s="82" t="str">
        <f t="shared" si="13"/>
        <v>"C:\Program Files (x86)\AstroGrep\AstroGrep.exe" /e /r /s /spath="%USERPROFILE%\AppData\Local\Temp\OnboardLogs" /stypes="app*4025*20170316*"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107-16 --locoid 4025 --swversion DE.1.0.9.0 --startMP 204:462 --initTime 2017-03-16T04:23:57 --startdatetime 2017-03-16T04:30:20 --delay 1 --endMP 204:233314 --enddatetime 2017-03-16T05:06:29 --enforcementcount 0 &gt;&gt;C:\Users\stu\Documents\GitHub\eaglep3-reporting\EC\2017-03-16-refined-times.txt</v>
      </c>
      <c r="AI1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ID","value":"107-16"},{"id":16,"name":"Locomotive ID","value":"4025"},{"id":130,"name":"Impact","value":""},{"id":150,"name":"Time of Event (Mountain Time)","value":"05:06:29"},{"id":151,"name":"Denver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4025 --day 2017-03-16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660</v>
      </c>
      <c r="B20" s="7">
        <v>4026</v>
      </c>
      <c r="C20" s="21" t="s">
        <v>228</v>
      </c>
      <c r="D20" s="21" t="s">
        <v>848</v>
      </c>
      <c r="E20" s="13">
        <v>42810.222662037035</v>
      </c>
      <c r="F20" s="13">
        <v>42810.2266087963</v>
      </c>
      <c r="G20" s="7">
        <v>1</v>
      </c>
      <c r="H20" s="21" t="s">
        <v>184</v>
      </c>
      <c r="I20" s="13">
        <v>42810.254143518519</v>
      </c>
      <c r="J20" s="7">
        <v>0</v>
      </c>
      <c r="K20" s="98" t="str">
        <f t="shared" si="0"/>
        <v>4025/4026</v>
      </c>
      <c r="L20" s="21" t="str">
        <f>VLOOKUP(A20,'Trips&amp;Operators'!$C$1:$G$99999,5,FALSE)</f>
        <v>GEBRETEKLE DAGNEW</v>
      </c>
      <c r="M20" s="6">
        <f t="shared" si="1"/>
        <v>2.753472221957054E-2</v>
      </c>
      <c r="N20" s="7">
        <f t="shared" si="2"/>
        <v>39.649999996181577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-16T04:20:38-0600',mode:absolute,to:'2017-03-16T07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23.300999999999998</v>
      </c>
      <c r="Z20" s="62">
        <f t="shared" si="9"/>
        <v>1.49E-2</v>
      </c>
      <c r="AA20" s="62">
        <f t="shared" si="10"/>
        <v>23.286099999999998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0108-16</v>
      </c>
      <c r="AE20" s="85" t="str">
        <f t="shared" si="12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20" s="82" t="str">
        <f t="shared" si="13"/>
        <v>"C:\Program Files (x86)\AstroGrep\AstroGrep.exe" /e /r /s /spath="%USERPROFILE%\AppData\Local\Temp\OnboardLogs" /stypes="app*4026*20170316*"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108-16 --locoid 4026 --swversion DE.1.0.9.0 --startMP 204:233010 --initTime 2017-03-16T05:20:38 --startdatetime 2017-03-16T05:26:19 --delay 1 --endMP 204:149 --enddatetime 2017-03-16T06:05:58 --enforcementcount 0 &gt;&gt;C:\Users\stu\Documents\GitHub\eaglep3-reporting\EC\2017-03-16-refined-times.txt</v>
      </c>
      <c r="AI2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{"issue":{"subject":"","project_id":79,"tracker_id":40,"status_id":1,"priority_id":2,"assigned_to_id":23,"start_date":"2017-03-16","description":"","custom_fields":[{"id":1,"name":"Subdivision","value":"EC"},{"id":4,"name":"Milepost","value":"0.0149"},{"id":17,"name":"Train ID","value":"108-16"},{"id":16,"name":"Locomotive ID","value":"4026"},{"id":130,"name":"Impact","value":""},{"id":150,"name":"Time of Event (Mountain Time)","value":"06:05:58"},{"id":151,"name":"Denver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4026 --day 2017-03-16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652</v>
      </c>
      <c r="B21" s="7">
        <v>4040</v>
      </c>
      <c r="C21" s="21" t="s">
        <v>228</v>
      </c>
      <c r="D21" s="21" t="s">
        <v>393</v>
      </c>
      <c r="E21" s="13">
        <v>42810.196111111109</v>
      </c>
      <c r="F21" s="13">
        <v>42810.198067129626</v>
      </c>
      <c r="G21" s="7">
        <v>1</v>
      </c>
      <c r="H21" s="21" t="s">
        <v>392</v>
      </c>
      <c r="I21" s="13">
        <v>42810.22246527778</v>
      </c>
      <c r="J21" s="7">
        <v>0</v>
      </c>
      <c r="K21" s="98" t="str">
        <f t="shared" si="0"/>
        <v>4039/4040</v>
      </c>
      <c r="L21" s="21" t="str">
        <f>VLOOKUP(A21,'Trips&amp;Operators'!$C$1:$G$99999,5,FALSE)</f>
        <v>ROCHA YAOTL</v>
      </c>
      <c r="M21" s="6">
        <f t="shared" si="1"/>
        <v>2.439814815443242E-2</v>
      </c>
      <c r="N21" s="7">
        <f t="shared" si="2"/>
        <v>35.133333342382684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-16T03:42:24-0600',mode:absolute,to:'2017-03-16T06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4.7500000000000001E-2</v>
      </c>
      <c r="Z21" s="62">
        <f t="shared" si="9"/>
        <v>23.3307</v>
      </c>
      <c r="AA21" s="62">
        <f t="shared" si="10"/>
        <v>23.283200000000001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0109-16</v>
      </c>
      <c r="AE21" s="85" t="str">
        <f t="shared" si="12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21" s="82" t="str">
        <f t="shared" si="13"/>
        <v>"C:\Program Files (x86)\AstroGrep\AstroGrep.exe" /e /r /s /spath="%USERPROFILE%\AppData\Local\Temp\OnboardLogs" /stypes="app*4040*20170316*"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109-16 --locoid 4040 --swversion DE.1.0.9.0 --startMP 204:475 --initTime 2017-03-16T04:42:24 --startdatetime 2017-03-16T04:45:13 --delay 1 --endMP 204:233307 --enddatetime 2017-03-16T05:20:21 --enforcementcount 0 &gt;&gt;C:\Users\stu\Documents\GitHub\eaglep3-reporting\EC\2017-03-16-refined-times.txt</v>
      </c>
      <c r="AI2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{"issue":{"subject":"","project_id":79,"tracker_id":40,"status_id":1,"priority_id":2,"assigned_to_id":23,"start_date":"2017-03-16","description":"","custom_fields":[{"id":1,"name":"Subdivision","value":"EC"},{"id":4,"name":"Milepost","value":"23.3307"},{"id":17,"name":"Train ID","value":"109-16"},{"id":16,"name":"Locomotive ID","value":"4040"},{"id":130,"name":"Impact","value":""},{"id":150,"name":"Time of Event (Mountain Time)","value":"05:20:21"},{"id":151,"name":"Denver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4040 --day 2017-03-16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663</v>
      </c>
      <c r="B22" s="7">
        <v>4039</v>
      </c>
      <c r="C22" s="21" t="s">
        <v>228</v>
      </c>
      <c r="D22" s="21" t="s">
        <v>849</v>
      </c>
      <c r="E22" s="13">
        <v>42810.235509259262</v>
      </c>
      <c r="F22" s="13">
        <v>42810.23741898148</v>
      </c>
      <c r="G22" s="7">
        <v>1</v>
      </c>
      <c r="H22" s="21" t="s">
        <v>191</v>
      </c>
      <c r="I22" s="13">
        <v>42810.266064814816</v>
      </c>
      <c r="J22" s="7">
        <v>0</v>
      </c>
      <c r="K22" s="98" t="str">
        <f t="shared" si="0"/>
        <v>4039/4040</v>
      </c>
      <c r="L22" s="21" t="str">
        <f>VLOOKUP(A22,'Trips&amp;Operators'!$C$1:$G$99999,5,FALSE)</f>
        <v>ROCHA YAOTL</v>
      </c>
      <c r="M22" s="6">
        <f t="shared" si="1"/>
        <v>2.8645833335758653E-2</v>
      </c>
      <c r="N22" s="7">
        <f t="shared" si="2"/>
        <v>41.25000000349246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-16T04:39:08-0600',mode:absolute,to:'2017-03-16T07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23.299199999999999</v>
      </c>
      <c r="Z22" s="62">
        <f t="shared" si="9"/>
        <v>1.4999999999999999E-2</v>
      </c>
      <c r="AA22" s="62">
        <f t="shared" si="10"/>
        <v>23.284199999999998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0110-16</v>
      </c>
      <c r="AE22" s="85" t="str">
        <f t="shared" si="12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22" s="82" t="str">
        <f t="shared" si="13"/>
        <v>"C:\Program Files (x86)\AstroGrep\AstroGrep.exe" /e /r /s /spath="%USERPROFILE%\AppData\Local\Temp\OnboardLogs" /stypes="app*4039*20170316*"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110-16 --locoid 4039 --swversion DE.1.0.9.0 --startMP 204:232992 --initTime 2017-03-16T05:39:08 --startdatetime 2017-03-16T05:41:53 --delay 1 --endMP 204:150 --enddatetime 2017-03-16T06:23:08 --enforcementcount 0 &gt;&gt;C:\Users\stu\Documents\GitHub\eaglep3-reporting\EC\2017-03-16-refined-times.txt</v>
      </c>
      <c r="AI2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ID","value":"110-16"},{"id":16,"name":"Locomotive ID","value":"4039"},{"id":130,"name":"Impact","value":""},{"id":150,"name":"Time of Event (Mountain Time)","value":"06:23:08"},{"id":151,"name":"Denver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4039 --day 2017-03-16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595</v>
      </c>
      <c r="B23" s="7">
        <v>4006</v>
      </c>
      <c r="C23" s="21" t="s">
        <v>228</v>
      </c>
      <c r="D23" s="21" t="s">
        <v>850</v>
      </c>
      <c r="E23" s="13">
        <v>42810.20789351852</v>
      </c>
      <c r="F23" s="13">
        <v>42810.209155092591</v>
      </c>
      <c r="G23" s="7">
        <v>1</v>
      </c>
      <c r="H23" s="21" t="s">
        <v>562</v>
      </c>
      <c r="I23" s="13">
        <v>42810.234074074076</v>
      </c>
      <c r="J23" s="7">
        <v>0</v>
      </c>
      <c r="K23" s="98" t="str">
        <f t="shared" si="0"/>
        <v>4005/4006</v>
      </c>
      <c r="L23" s="21" t="str">
        <f>VLOOKUP(A23,'Trips&amp;Operators'!$C$1:$G$99999,5,FALSE)</f>
        <v>YORK EDGAR</v>
      </c>
      <c r="M23" s="6">
        <f t="shared" si="1"/>
        <v>2.4918981485825498E-2</v>
      </c>
      <c r="N23" s="7">
        <f t="shared" si="2"/>
        <v>35.883333339588717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-16T03:59:22-0600',mode:absolute,to:'2017-03-16T06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7.7700000000000005E-2</v>
      </c>
      <c r="Z23" s="62">
        <f t="shared" si="9"/>
        <v>23.327999999999999</v>
      </c>
      <c r="AA23" s="62">
        <f t="shared" si="10"/>
        <v>23.250299999999999</v>
      </c>
      <c r="AB23" s="59" t="str">
        <f>VLOOKUP(A23,Enforcements!$C$7:$K$13,8,0)</f>
        <v>Bulletin (2)</v>
      </c>
      <c r="AC23" s="55" t="str">
        <f>VLOOKUP(A23,Enforcements!$C$7:$E$13,3,0)</f>
        <v>GRADE CROSSING</v>
      </c>
      <c r="AD23" s="56" t="str">
        <f t="shared" si="11"/>
        <v>0111-16</v>
      </c>
      <c r="AE23" s="85" t="str">
        <f t="shared" si="12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23" s="82" t="str">
        <f t="shared" si="13"/>
        <v>"C:\Program Files (x86)\AstroGrep\AstroGrep.exe" /e /r /s /spath="%USERPROFILE%\AppData\Local\Temp\OnboardLogs" /stypes="app*4006*20170316*"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111-16 --locoid 4006 --swversion DE.1.0.9.0 --startMP 204:777 --initTime 2017-03-16T04:59:22 --startdatetime 2017-03-16T05:01:11 --delay 1 --endMP 204:233280 --enddatetime 2017-03-16T05:37:04 --enforcementcount 0 &gt;&gt;C:\Users\stu\Documents\GitHub\eaglep3-reporting\EC\2017-03-16-refined-times.txt</v>
      </c>
      <c r="AI2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{"issue":{"subject":"","project_id":79,"tracker_id":40,"status_id":1,"priority_id":2,"assigned_to_id":23,"start_date":"2017-03-16","description":"","custom_fields":[{"id":1,"name":"Subdivision","value":"EC"},{"id":4,"name":"Milepost","value":"23.328"},{"id":17,"name":"Train ID","value":"111-16"},{"id":16,"name":"Locomotive ID","value":"4006"},{"id":130,"name":"Impact","value":""},{"id":150,"name":"Time of Event (Mountain Time)","value":"05:37:04"},{"id":151,"name":"Denver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4006 --day 2017-03-16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662</v>
      </c>
      <c r="B24" s="7">
        <v>4005</v>
      </c>
      <c r="C24" s="21" t="s">
        <v>228</v>
      </c>
      <c r="D24" s="21" t="s">
        <v>851</v>
      </c>
      <c r="E24" s="13">
        <v>42810.235347222224</v>
      </c>
      <c r="F24" s="13">
        <v>42810.247453703705</v>
      </c>
      <c r="G24" s="7">
        <v>1</v>
      </c>
      <c r="H24" s="21" t="s">
        <v>437</v>
      </c>
      <c r="I24" s="13">
        <v>42810.274282407408</v>
      </c>
      <c r="J24" s="7">
        <v>0</v>
      </c>
      <c r="K24" s="98" t="str">
        <f t="shared" si="0"/>
        <v>4005/4006</v>
      </c>
      <c r="L24" s="21" t="str">
        <f>VLOOKUP(A24,'Trips&amp;Operators'!$C$1:$G$99999,5,FALSE)</f>
        <v>YORK EDGAR</v>
      </c>
      <c r="M24" s="6">
        <f t="shared" si="1"/>
        <v>2.6828703703358769E-2</v>
      </c>
      <c r="N24" s="7">
        <f t="shared" si="2"/>
        <v>38.633333332836628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-16T04:38:54-0600',mode:absolute,to:'2017-03-16T07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23.297899999999998</v>
      </c>
      <c r="Z24" s="62">
        <f t="shared" si="9"/>
        <v>1.38E-2</v>
      </c>
      <c r="AA24" s="62">
        <f t="shared" si="10"/>
        <v>23.284099999999999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0112-16</v>
      </c>
      <c r="AE24" s="85" t="str">
        <f t="shared" si="12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24" s="82" t="str">
        <f t="shared" si="13"/>
        <v>"C:\Program Files (x86)\AstroGrep\AstroGrep.exe" /e /r /s /spath="%USERPROFILE%\AppData\Local\Temp\OnboardLogs" /stypes="app*4005*20170316*"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112-16 --locoid 4005 --swversion DE.1.0.9.0 --startMP 204:232979 --initTime 2017-03-16T05:38:54 --startdatetime 2017-03-16T05:56:20 --delay 1 --endMP 204:138 --enddatetime 2017-03-16T06:34:58 --enforcementcount 0 &gt;&gt;C:\Users\stu\Documents\GitHub\eaglep3-reporting\EC\2017-03-16-refined-times.txt</v>
      </c>
      <c r="AI2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{"issue":{"subject":"","project_id":79,"tracker_id":40,"status_id":1,"priority_id":2,"assigned_to_id":23,"start_date":"2017-03-16","description":"","custom_fields":[{"id":1,"name":"Subdivision","value":"EC"},{"id":4,"name":"Milepost","value":"0.0138"},{"id":17,"name":"Train ID","value":"112-16"},{"id":16,"name":"Locomotive ID","value":"4005"},{"id":130,"name":"Impact","value":""},{"id":150,"name":"Time of Event (Mountain Time)","value":"06:34:58"},{"id":151,"name":"Denver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4005 --day 2017-03-16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658</v>
      </c>
      <c r="B25" s="7">
        <v>4046</v>
      </c>
      <c r="C25" s="21" t="s">
        <v>228</v>
      </c>
      <c r="D25" s="21" t="s">
        <v>852</v>
      </c>
      <c r="E25" s="13">
        <v>42810.207106481481</v>
      </c>
      <c r="F25" s="13">
        <v>42810.218993055554</v>
      </c>
      <c r="G25" s="7">
        <v>3</v>
      </c>
      <c r="H25" s="21" t="s">
        <v>430</v>
      </c>
      <c r="I25" s="13">
        <v>42810.245671296296</v>
      </c>
      <c r="J25" s="7">
        <v>0</v>
      </c>
      <c r="K25" s="98" t="str">
        <f t="shared" si="0"/>
        <v>4045/4046</v>
      </c>
      <c r="L25" s="21" t="str">
        <f>VLOOKUP(A25,'Trips&amp;Operators'!$C$1:$G$99999,5,FALSE)</f>
        <v>BADERTSCHER DIANE</v>
      </c>
      <c r="M25" s="6">
        <f t="shared" si="1"/>
        <v>2.6678240741603076E-2</v>
      </c>
      <c r="N25" s="7">
        <f t="shared" si="2"/>
        <v>38.41666666790843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-16T03:58:14-0600',mode:absolute,to:'2017-03-16T06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4.4600000000000001E-2</v>
      </c>
      <c r="Z25" s="62">
        <f t="shared" si="9"/>
        <v>23.3293</v>
      </c>
      <c r="AA25" s="62">
        <f t="shared" si="10"/>
        <v>23.284700000000001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0113-16</v>
      </c>
      <c r="AE25" s="85" t="str">
        <f t="shared" si="12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25" s="82" t="str">
        <f t="shared" si="13"/>
        <v>"C:\Program Files (x86)\AstroGrep\AstroGrep.exe" /e /r /s /spath="%USERPROFILE%\AppData\Local\Temp\OnboardLogs" /stypes="app*4046*20170316*"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113-16 --locoid 4046 --swversion DE.1.0.9.0 --startMP 204:446 --initTime 2017-03-16T04:58:14 --startdatetime 2017-03-16T05:15:21 --delay 3 --endMP 204:233293 --enddatetime 2017-03-16T05:53:46 --enforcementcount 0 &gt;&gt;C:\Users\stu\Documents\GitHub\eaglep3-reporting\EC\2017-03-16-refined-times.txt</v>
      </c>
      <c r="AI2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{"issue":{"subject":"","project_id":79,"tracker_id":40,"status_id":1,"priority_id":2,"assigned_to_id":23,"start_date":"2017-03-16","description":"","custom_fields":[{"id":1,"name":"Subdivision","value":"EC"},{"id":4,"name":"Milepost","value":"23.3293"},{"id":17,"name":"Train ID","value":"113-16"},{"id":16,"name":"Locomotive ID","value":"4046"},{"id":130,"name":"Impact","value":""},{"id":150,"name":"Time of Event (Mountain Time)","value":"05:53:46"},{"id":151,"name":"Denver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4046 --day 2017-03-16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666</v>
      </c>
      <c r="B26" s="7">
        <v>4045</v>
      </c>
      <c r="C26" s="21" t="s">
        <v>228</v>
      </c>
      <c r="D26" s="21" t="s">
        <v>240</v>
      </c>
      <c r="E26" s="13">
        <v>42810.25267361111</v>
      </c>
      <c r="F26" s="13">
        <v>42810.257800925923</v>
      </c>
      <c r="G26" s="7">
        <v>1</v>
      </c>
      <c r="H26" s="21" t="s">
        <v>221</v>
      </c>
      <c r="I26" s="13">
        <v>42810.287094907406</v>
      </c>
      <c r="J26" s="7">
        <v>0</v>
      </c>
      <c r="K26" s="98" t="str">
        <f t="shared" si="0"/>
        <v>4045/4046</v>
      </c>
      <c r="L26" s="21" t="str">
        <f>VLOOKUP(A26,'Trips&amp;Operators'!$C$1:$G$99999,5,FALSE)</f>
        <v>BADERTSCHER DIANE</v>
      </c>
      <c r="M26" s="6">
        <f t="shared" si="1"/>
        <v>2.9293981482624076E-2</v>
      </c>
      <c r="N26" s="7">
        <f t="shared" si="2"/>
        <v>42.18333333497867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-16T05:03:51-0600',mode:absolute,to:'2017-03-16T07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23.2971</v>
      </c>
      <c r="Z26" s="62">
        <f t="shared" si="9"/>
        <v>1.47E-2</v>
      </c>
      <c r="AA26" s="62">
        <f t="shared" si="10"/>
        <v>23.282399999999999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0114-16</v>
      </c>
      <c r="AE26" s="85" t="str">
        <f t="shared" si="12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26" s="82" t="str">
        <f t="shared" si="13"/>
        <v>"C:\Program Files (x86)\AstroGrep\AstroGrep.exe" /e /r /s /spath="%USERPROFILE%\AppData\Local\Temp\OnboardLogs" /stypes="app*4045*20170316*"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114-16 --locoid 4045 --swversion DE.1.0.9.0 --startMP 204:232971 --initTime 2017-03-16T06:03:51 --startdatetime 2017-03-16T06:11:14 --delay 1 --endMP 204:147 --enddatetime 2017-03-16T06:53:25 --enforcementcount 0 &gt;&gt;C:\Users\stu\Documents\GitHub\eaglep3-reporting\EC\2017-03-16-refined-times.txt</v>
      </c>
      <c r="AI2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{"issue":{"subject":"","project_id":79,"tracker_id":40,"status_id":1,"priority_id":2,"assigned_to_id":23,"start_date":"2017-03-16","description":"","custom_fields":[{"id":1,"name":"Subdivision","value":"EC"},{"id":4,"name":"Milepost","value":"0.0147"},{"id":17,"name":"Train ID","value":"114-16"},{"id":16,"name":"Locomotive ID","value":"4045"},{"id":130,"name":"Impact","value":""},{"id":150,"name":"Time of Event (Mountain Time)","value":"06:53:25"},{"id":151,"name":"Denver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4045 --day 2017-03-16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661</v>
      </c>
      <c r="B27" s="7">
        <v>4029</v>
      </c>
      <c r="C27" s="21" t="s">
        <v>228</v>
      </c>
      <c r="D27" s="21" t="s">
        <v>853</v>
      </c>
      <c r="E27" s="13">
        <v>42810.224733796298</v>
      </c>
      <c r="F27" s="13">
        <v>42810.229513888888</v>
      </c>
      <c r="G27" s="7">
        <v>1</v>
      </c>
      <c r="H27" s="21" t="s">
        <v>427</v>
      </c>
      <c r="I27" s="13">
        <v>42810.255370370367</v>
      </c>
      <c r="J27" s="7">
        <v>0</v>
      </c>
      <c r="K27" s="98" t="str">
        <f t="shared" si="0"/>
        <v>4029/4030</v>
      </c>
      <c r="L27" s="21" t="str">
        <f>VLOOKUP(A27,'Trips&amp;Operators'!$C$1:$G$99999,5,FALSE)</f>
        <v>STARKS ANGELINA</v>
      </c>
      <c r="M27" s="6">
        <f t="shared" si="1"/>
        <v>2.5856481479422655E-2</v>
      </c>
      <c r="N27" s="7">
        <f t="shared" si="2"/>
        <v>37.233333330368623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-16T04:23:37-0600',mode:absolute,to:'2017-03-16T07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7.7200000000000005E-2</v>
      </c>
      <c r="Z27" s="62">
        <f t="shared" si="9"/>
        <v>23.3306</v>
      </c>
      <c r="AA27" s="62">
        <f t="shared" si="10"/>
        <v>23.253399999999999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0115-16</v>
      </c>
      <c r="AE27" s="85" t="str">
        <f t="shared" si="12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27" s="82" t="str">
        <f t="shared" si="13"/>
        <v>"C:\Program Files (x86)\AstroGrep\AstroGrep.exe" /e /r /s /spath="%USERPROFILE%\AppData\Local\Temp\OnboardLogs" /stypes="app*4029*20170316*"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115-16 --locoid 4029 --swversion DE.1.0.9.0 --startMP 204:772 --initTime 2017-03-16T05:23:37 --startdatetime 2017-03-16T05:30:30 --delay 1 --endMP 204:233306 --enddatetime 2017-03-16T06:07:44 --enforcementcount 0 &gt;&gt;C:\Users\stu\Documents\GitHub\eaglep3-reporting\EC\2017-03-16-refined-times.txt</v>
      </c>
      <c r="AI2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{"issue":{"subject":"","project_id":79,"tracker_id":40,"status_id":1,"priority_id":2,"assigned_to_id":23,"start_date":"2017-03-16","description":"","custom_fields":[{"id":1,"name":"Subdivision","value":"EC"},{"id":4,"name":"Milepost","value":"23.3306"},{"id":17,"name":"Train ID","value":"115-16"},{"id":16,"name":"Locomotive ID","value":"4029"},{"id":130,"name":"Impact","value":""},{"id":150,"name":"Time of Event (Mountain Time)","value":"06:07:44"},{"id":151,"name":"Denver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4029 --day 2017-03-16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669</v>
      </c>
      <c r="B28" s="7">
        <v>4030</v>
      </c>
      <c r="C28" s="21" t="s">
        <v>228</v>
      </c>
      <c r="D28" s="21" t="s">
        <v>434</v>
      </c>
      <c r="E28" s="13">
        <v>42810.257164351853</v>
      </c>
      <c r="F28" s="13">
        <v>42810.268263888887</v>
      </c>
      <c r="G28" s="7">
        <v>1</v>
      </c>
      <c r="H28" s="21" t="s">
        <v>221</v>
      </c>
      <c r="I28" s="13">
        <v>42810.298587962963</v>
      </c>
      <c r="J28" s="7">
        <v>0</v>
      </c>
      <c r="K28" s="98" t="str">
        <f t="shared" si="0"/>
        <v>4029/4030</v>
      </c>
      <c r="L28" s="21" t="str">
        <f>VLOOKUP(A28,'Trips&amp;Operators'!$C$1:$G$99999,5,FALSE)</f>
        <v>STARKS ANGELINA</v>
      </c>
      <c r="M28" s="6">
        <f t="shared" si="1"/>
        <v>3.0324074075906537E-2</v>
      </c>
      <c r="N28" s="7">
        <f t="shared" si="2"/>
        <v>43.666666669305414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-16T05:10:19-0600',mode:absolute,to:'2017-03-16T08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23.298300000000001</v>
      </c>
      <c r="Z28" s="62">
        <f t="shared" si="9"/>
        <v>1.47E-2</v>
      </c>
      <c r="AA28" s="62">
        <f t="shared" si="10"/>
        <v>23.2836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0116-16</v>
      </c>
      <c r="AE28" s="85" t="str">
        <f t="shared" si="12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28" s="82" t="str">
        <f t="shared" si="13"/>
        <v>"C:\Program Files (x86)\AstroGrep\AstroGrep.exe" /e /r /s /spath="%USERPROFILE%\AppData\Local\Temp\OnboardLogs" /stypes="app*4030*20170316*"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116-16 --locoid 4030 --swversion DE.1.0.9.0 --startMP 204:232983 --initTime 2017-03-16T06:10:19 --startdatetime 2017-03-16T06:26:18 --delay 1 --endMP 204:147 --enddatetime 2017-03-16T07:09:58 --enforcementcount 0 &gt;&gt;C:\Users\stu\Documents\GitHub\eaglep3-reporting\EC\2017-03-16-refined-times.txt</v>
      </c>
      <c r="AI28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{"issue":{"subject":"","project_id":79,"tracker_id":40,"status_id":1,"priority_id":2,"assigned_to_id":23,"start_date":"2017-03-16","description":"","custom_fields":[{"id":1,"name":"Subdivision","value":"EC"},{"id":4,"name":"Milepost","value":"0.0147"},{"id":17,"name":"Train ID","value":"116-16"},{"id":16,"name":"Locomotive ID","value":"4030"},{"id":130,"name":"Impact","value":""},{"id":150,"name":"Time of Event (Mountain Time)","value":"07:09:58"},{"id":151,"name":"Denver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4030 --day 2017-03-16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642</v>
      </c>
      <c r="B29" s="7">
        <v>4002</v>
      </c>
      <c r="C29" s="21" t="s">
        <v>228</v>
      </c>
      <c r="D29" s="21" t="s">
        <v>237</v>
      </c>
      <c r="E29" s="13">
        <v>42810.232048611113</v>
      </c>
      <c r="F29" s="13">
        <v>42810.239837962959</v>
      </c>
      <c r="G29" s="7">
        <v>1</v>
      </c>
      <c r="H29" s="21" t="s">
        <v>854</v>
      </c>
      <c r="I29" s="13">
        <v>42810.265833333331</v>
      </c>
      <c r="J29" s="7">
        <v>0</v>
      </c>
      <c r="K29" s="98" t="str">
        <f t="shared" si="0"/>
        <v>4001/4002</v>
      </c>
      <c r="L29" s="21" t="str">
        <f>VLOOKUP(A29,'Trips&amp;Operators'!$C$1:$G$99999,5,FALSE)</f>
        <v>YANAI IAN</v>
      </c>
      <c r="M29" s="6">
        <f t="shared" si="1"/>
        <v>2.5995370371674653E-2</v>
      </c>
      <c r="N29" s="7">
        <f t="shared" si="2"/>
        <v>37.433333335211501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-16T04:34:09-0600',mode:absolute,to:'2017-03-16T07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4.4200000000000003E-2</v>
      </c>
      <c r="Z29" s="62">
        <f t="shared" si="9"/>
        <v>23.330100000000002</v>
      </c>
      <c r="AA29" s="62">
        <f t="shared" si="10"/>
        <v>23.285900000000002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0117-16</v>
      </c>
      <c r="AE29" s="85" t="str">
        <f t="shared" si="12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29" s="82" t="str">
        <f t="shared" si="13"/>
        <v>"C:\Program Files (x86)\AstroGrep\AstroGrep.exe" /e /r /s /spath="%USERPROFILE%\AppData\Local\Temp\OnboardLogs" /stypes="app*4002*20170316*"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117-16 --locoid 4002 --swversion DE.1.0.9.0 --startMP 204:442 --initTime 2017-03-16T05:34:09 --startdatetime 2017-03-16T05:45:22 --delay 1 --endMP 204:233301 --enddatetime 2017-03-16T06:22:48 --enforcementcount 0 &gt;&gt;C:\Users\stu\Documents\GitHub\eaglep3-reporting\EC\2017-03-16-refined-times.txt</v>
      </c>
      <c r="AI2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{"issue":{"subject":"","project_id":79,"tracker_id":40,"status_id":1,"priority_id":2,"assigned_to_id":23,"start_date":"2017-03-16","description":"","custom_fields":[{"id":1,"name":"Subdivision","value":"EC"},{"id":4,"name":"Milepost","value":"23.3301"},{"id":17,"name":"Train ID","value":"117-16"},{"id":16,"name":"Locomotive ID","value":"4002"},{"id":130,"name":"Impact","value":""},{"id":150,"name":"Time of Event (Mountain Time)","value":"06:22:48"},{"id":151,"name":"Denver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4002 --day 2017-03-16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671</v>
      </c>
      <c r="B30" s="7">
        <v>4001</v>
      </c>
      <c r="C30" s="21" t="s">
        <v>228</v>
      </c>
      <c r="D30" s="21" t="s">
        <v>855</v>
      </c>
      <c r="E30" s="13">
        <v>42810.266898148147</v>
      </c>
      <c r="F30" s="13">
        <v>42810.278645833336</v>
      </c>
      <c r="G30" s="7">
        <v>1</v>
      </c>
      <c r="H30" s="21" t="s">
        <v>191</v>
      </c>
      <c r="I30" s="13">
        <v>42810.305474537039</v>
      </c>
      <c r="J30" s="7">
        <v>0</v>
      </c>
      <c r="K30" s="98" t="str">
        <f t="shared" si="0"/>
        <v>4001/4002</v>
      </c>
      <c r="L30" s="21" t="str">
        <f>VLOOKUP(A30,'Trips&amp;Operators'!$C$1:$G$99999,5,FALSE)</f>
        <v>YANAI IAN</v>
      </c>
      <c r="M30" s="6">
        <f t="shared" si="1"/>
        <v>2.6828703703358769E-2</v>
      </c>
      <c r="N30" s="7">
        <f t="shared" si="2"/>
        <v>38.633333332836628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-16T05:24:20-0600',mode:absolute,to:'2017-03-16T08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23.297999999999998</v>
      </c>
      <c r="Z30" s="62">
        <f t="shared" si="9"/>
        <v>1.4999999999999999E-2</v>
      </c>
      <c r="AA30" s="62">
        <f t="shared" si="10"/>
        <v>23.282999999999998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0118-16</v>
      </c>
      <c r="AE30" s="85" t="str">
        <f t="shared" si="12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30" s="82" t="str">
        <f t="shared" si="13"/>
        <v>"C:\Program Files (x86)\AstroGrep\AstroGrep.exe" /e /r /s /spath="%USERPROFILE%\AppData\Local\Temp\OnboardLogs" /stypes="app*4001*20170316*"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118-16 --locoid 4001 --swversion DE.1.0.9.0 --startMP 204:232980 --initTime 2017-03-16T06:24:20 --startdatetime 2017-03-16T06:41:15 --delay 1 --endMP 204:150 --enddatetime 2017-03-16T07:19:53 --enforcementcount 0 &gt;&gt;C:\Users\stu\Documents\GitHub\eaglep3-reporting\EC\2017-03-16-refined-times.txt</v>
      </c>
      <c r="AI3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ID","value":"118-16"},{"id":16,"name":"Locomotive ID","value":"4001"},{"id":130,"name":"Impact","value":""},{"id":150,"name":"Time of Event (Mountain Time)","value":"07:19:53"},{"id":151,"name":"Denver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4001 --day 2017-03-16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665</v>
      </c>
      <c r="B31" s="7">
        <v>4003</v>
      </c>
      <c r="C31" s="21" t="s">
        <v>228</v>
      </c>
      <c r="D31" s="21" t="s">
        <v>856</v>
      </c>
      <c r="E31" s="13">
        <v>42810.247013888889</v>
      </c>
      <c r="F31" s="13">
        <v>42810.250196759262</v>
      </c>
      <c r="G31" s="7">
        <v>1</v>
      </c>
      <c r="H31" s="21" t="s">
        <v>234</v>
      </c>
      <c r="I31" s="13">
        <v>42810.276342592595</v>
      </c>
      <c r="J31" s="7">
        <v>0</v>
      </c>
      <c r="K31" s="98" t="str">
        <f t="shared" si="0"/>
        <v>4003/4004</v>
      </c>
      <c r="L31" s="21" t="str">
        <f>VLOOKUP(A31,'Trips&amp;Operators'!$C$1:$G$99999,5,FALSE)</f>
        <v>ROBINSON KADDIBA</v>
      </c>
      <c r="M31" s="6">
        <f t="shared" si="1"/>
        <v>2.6145833333430346E-2</v>
      </c>
      <c r="N31" s="7">
        <f t="shared" si="2"/>
        <v>37.650000000139698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-16T04:55:42-0600',mode:absolute,to:'2017-03-16T07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7.4300000000000005E-2</v>
      </c>
      <c r="Z31" s="62">
        <f t="shared" si="9"/>
        <v>23.331199999999999</v>
      </c>
      <c r="AA31" s="62">
        <f t="shared" si="10"/>
        <v>23.256899999999998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0119-16</v>
      </c>
      <c r="AE31" s="85" t="str">
        <f t="shared" si="12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31" s="82" t="str">
        <f t="shared" si="13"/>
        <v>"C:\Program Files (x86)\AstroGrep\AstroGrep.exe" /e /r /s /spath="%USERPROFILE%\AppData\Local\Temp\OnboardLogs" /stypes="app*4003*20170316*"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119-16 --locoid 4003 --swversion DE.1.0.9.0 --startMP 204:743 --initTime 2017-03-16T05:55:42 --startdatetime 2017-03-16T06:00:17 --delay 1 --endMP 204:233312 --enddatetime 2017-03-16T06:37:56 --enforcementcount 0 &gt;&gt;C:\Users\stu\Documents\GitHub\eaglep3-reporting\EC\2017-03-16-refined-times.txt</v>
      </c>
      <c r="AI3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{"issue":{"subject":"","project_id":79,"tracker_id":40,"status_id":1,"priority_id":2,"assigned_to_id":23,"start_date":"2017-03-16","description":"","custom_fields":[{"id":1,"name":"Subdivision","value":"EC"},{"id":4,"name":"Milepost","value":"23.3312"},{"id":17,"name":"Train ID","value":"119-16"},{"id":16,"name":"Locomotive ID","value":"4003"},{"id":130,"name":"Impact","value":""},{"id":150,"name":"Time of Event (Mountain Time)","value":"06:37:56"},{"id":151,"name":"Denver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4003 --day 2017-03-16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598</v>
      </c>
      <c r="B32" s="7">
        <v>4004</v>
      </c>
      <c r="C32" s="21" t="s">
        <v>228</v>
      </c>
      <c r="D32" s="21" t="s">
        <v>428</v>
      </c>
      <c r="E32" s="13">
        <v>42810.288368055553</v>
      </c>
      <c r="F32" s="13">
        <v>42810.290833333333</v>
      </c>
      <c r="G32" s="7">
        <v>1</v>
      </c>
      <c r="H32" s="21" t="s">
        <v>220</v>
      </c>
      <c r="I32" s="13">
        <v>42810.319305555553</v>
      </c>
      <c r="J32" s="7">
        <v>0</v>
      </c>
      <c r="K32" s="98" t="str">
        <f t="shared" si="0"/>
        <v>4003/4004</v>
      </c>
      <c r="L32" s="21" t="str">
        <f>VLOOKUP(A32,'Trips&amp;Operators'!$C$1:$G$99999,5,FALSE)</f>
        <v>ROBINSON KADDIBA</v>
      </c>
      <c r="M32" s="6">
        <f t="shared" si="1"/>
        <v>2.8472222220443655E-2</v>
      </c>
      <c r="N32" s="7">
        <f t="shared" si="2"/>
        <v>40.999999997438863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-16T05:55:15-0600',mode:absolute,to:'2017-03-16T08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23.299600000000002</v>
      </c>
      <c r="Z32" s="62">
        <f t="shared" si="9"/>
        <v>1.5599999999999999E-2</v>
      </c>
      <c r="AA32" s="62">
        <f t="shared" si="10"/>
        <v>23.284000000000002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0120-16</v>
      </c>
      <c r="AE32" s="85" t="str">
        <f t="shared" si="12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32" s="82" t="str">
        <f t="shared" si="13"/>
        <v>"C:\Program Files (x86)\AstroGrep\AstroGrep.exe" /e /r /s /spath="%USERPROFILE%\AppData\Local\Temp\OnboardLogs" /stypes="app*4004*20170316*"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120-16 --locoid 4004 --swversion DE.1.0.9.0 --startMP 204:232996 --initTime 2017-03-16T06:55:15 --startdatetime 2017-03-16T06:58:48 --delay 1 --endMP 204:156 --enddatetime 2017-03-16T07:39:48 --enforcementcount 0 &gt;&gt;C:\Users\stu\Documents\GitHub\eaglep3-reporting\EC\2017-03-16-refined-times.txt</v>
      </c>
      <c r="AI3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{"issue":{"subject":"","project_id":79,"tracker_id":40,"status_id":1,"priority_id":2,"assigned_to_id":23,"start_date":"2017-03-16","description":"","custom_fields":[{"id":1,"name":"Subdivision","value":"EC"},{"id":4,"name":"Milepost","value":"0.0156"},{"id":17,"name":"Train ID","value":"120-16"},{"id":16,"name":"Locomotive ID","value":"4004"},{"id":130,"name":"Impact","value":""},{"id":150,"name":"Time of Event (Mountain Time)","value":"07:39:48"},{"id":151,"name":"Denver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4004 --day 2017-03-16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668</v>
      </c>
      <c r="B33" s="7">
        <v>4025</v>
      </c>
      <c r="C33" s="21" t="s">
        <v>228</v>
      </c>
      <c r="D33" s="21" t="s">
        <v>857</v>
      </c>
      <c r="E33" s="13">
        <v>42810.256979166668</v>
      </c>
      <c r="F33" s="13">
        <v>42810.26059027778</v>
      </c>
      <c r="G33" s="7">
        <v>1</v>
      </c>
      <c r="H33" s="21" t="s">
        <v>497</v>
      </c>
      <c r="I33" s="13">
        <v>42810.285358796296</v>
      </c>
      <c r="J33" s="7">
        <v>0</v>
      </c>
      <c r="K33" s="98" t="str">
        <f t="shared" si="0"/>
        <v>4025/4026</v>
      </c>
      <c r="L33" s="21" t="str">
        <f>VLOOKUP(A33,'Trips&amp;Operators'!$C$1:$G$99999,5,FALSE)</f>
        <v>GEBRETEKLE DAGNEW</v>
      </c>
      <c r="M33" s="6">
        <f t="shared" si="1"/>
        <v>2.4768518516793847E-2</v>
      </c>
      <c r="N33" s="7">
        <f t="shared" si="2"/>
        <v>35.66666666418314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-16T05:10:03-0600',mode:absolute,to:'2017-03-16T07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4.4400000000000002E-2</v>
      </c>
      <c r="Z33" s="62">
        <f t="shared" si="9"/>
        <v>23.3276</v>
      </c>
      <c r="AA33" s="62">
        <f t="shared" si="10"/>
        <v>23.283200000000001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0121-16</v>
      </c>
      <c r="AE33" s="85" t="str">
        <f t="shared" si="12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33" s="82" t="str">
        <f t="shared" si="13"/>
        <v>"C:\Program Files (x86)\AstroGrep\AstroGrep.exe" /e /r /s /spath="%USERPROFILE%\AppData\Local\Temp\OnboardLogs" /stypes="app*4025*20170316*"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121-16 --locoid 4025 --swversion DE.1.0.9.0 --startMP 204:444 --initTime 2017-03-16T06:10:03 --startdatetime 2017-03-16T06:15:15 --delay 1 --endMP 204:233276 --enddatetime 2017-03-16T06:50:55 --enforcementcount 0 &gt;&gt;C:\Users\stu\Documents\GitHub\eaglep3-reporting\EC\2017-03-16-refined-times.txt</v>
      </c>
      <c r="AI3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{"issue":{"subject":"","project_id":79,"tracker_id":40,"status_id":1,"priority_id":2,"assigned_to_id":23,"start_date":"2017-03-16","description":"","custom_fields":[{"id":1,"name":"Subdivision","value":"EC"},{"id":4,"name":"Milepost","value":"23.3276"},{"id":17,"name":"Train ID","value":"121-16"},{"id":16,"name":"Locomotive ID","value":"4025"},{"id":130,"name":"Impact","value":""},{"id":150,"name":"Time of Event (Mountain Time)","value":"06:50:55"},{"id":151,"name":"Denver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4025 --day 2017-03-16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679</v>
      </c>
      <c r="B34" s="7">
        <v>4026</v>
      </c>
      <c r="C34" s="21" t="s">
        <v>228</v>
      </c>
      <c r="D34" s="21" t="s">
        <v>502</v>
      </c>
      <c r="E34" s="13">
        <v>42810.295266203706</v>
      </c>
      <c r="F34" s="13">
        <v>42810.299513888887</v>
      </c>
      <c r="G34" s="7">
        <v>1</v>
      </c>
      <c r="H34" s="21" t="s">
        <v>431</v>
      </c>
      <c r="I34" s="13">
        <v>42810.327106481483</v>
      </c>
      <c r="J34" s="7">
        <v>0</v>
      </c>
      <c r="K34" s="98" t="str">
        <f t="shared" si="0"/>
        <v>4025/4026</v>
      </c>
      <c r="L34" s="21" t="str">
        <f>VLOOKUP(A34,'Trips&amp;Operators'!$C$1:$G$99999,5,FALSE)</f>
        <v>GEBRETEKLE DAGNEW</v>
      </c>
      <c r="M34" s="6">
        <f t="shared" si="1"/>
        <v>2.7592592596192844E-2</v>
      </c>
      <c r="N34" s="7">
        <f t="shared" si="2"/>
        <v>39.733333338517696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-16T06:05:11-0600',mode:absolute,to:'2017-03-16T08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23.296700000000001</v>
      </c>
      <c r="Z34" s="62">
        <f t="shared" si="9"/>
        <v>1.6500000000000001E-2</v>
      </c>
      <c r="AA34" s="62">
        <f t="shared" si="10"/>
        <v>23.280200000000001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0122-16</v>
      </c>
      <c r="AE34" s="85" t="str">
        <f t="shared" si="12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34" s="82" t="str">
        <f t="shared" si="13"/>
        <v>"C:\Program Files (x86)\AstroGrep\AstroGrep.exe" /e /r /s /spath="%USERPROFILE%\AppData\Local\Temp\OnboardLogs" /stypes="app*4026*20170316*"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122-16 --locoid 4026 --swversion DE.1.0.9.0 --startMP 204:232967 --initTime 2017-03-16T07:05:11 --startdatetime 2017-03-16T07:11:18 --delay 1 --endMP 204:165 --enddatetime 2017-03-16T07:51:02 --enforcementcount 0 &gt;&gt;C:\Users\stu\Documents\GitHub\eaglep3-reporting\EC\2017-03-16-refined-times.txt</v>
      </c>
      <c r="AI3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{"issue":{"subject":"","project_id":79,"tracker_id":40,"status_id":1,"priority_id":2,"assigned_to_id":23,"start_date":"2017-03-16","description":"","custom_fields":[{"id":1,"name":"Subdivision","value":"EC"},{"id":4,"name":"Milepost","value":"0.0165"},{"id":17,"name":"Train ID","value":"122-16"},{"id":16,"name":"Locomotive ID","value":"4026"},{"id":130,"name":"Impact","value":""},{"id":150,"name":"Time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4026 --day 2017-03-16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672</v>
      </c>
      <c r="B35" s="7">
        <v>4040</v>
      </c>
      <c r="C35" s="21" t="s">
        <v>228</v>
      </c>
      <c r="D35" s="21" t="s">
        <v>208</v>
      </c>
      <c r="E35" s="13">
        <v>42810.271145833336</v>
      </c>
      <c r="F35" s="13">
        <v>42810.272256944445</v>
      </c>
      <c r="G35" s="7">
        <v>1</v>
      </c>
      <c r="H35" s="21" t="s">
        <v>553</v>
      </c>
      <c r="I35" s="13">
        <v>42810.296967592592</v>
      </c>
      <c r="J35" s="7">
        <v>0</v>
      </c>
      <c r="K35" s="98" t="str">
        <f t="shared" si="0"/>
        <v>4039/4040</v>
      </c>
      <c r="L35" s="21" t="str">
        <f>VLOOKUP(A35,'Trips&amp;Operators'!$C$1:$G$99999,5,FALSE)</f>
        <v>ROCHA YAOTL</v>
      </c>
      <c r="M35" s="6">
        <f t="shared" si="1"/>
        <v>2.47106481474475E-2</v>
      </c>
      <c r="N35" s="7">
        <f t="shared" si="2"/>
        <v>35.583333332324401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-16T05:30:27-0600',mode:absolute,to:'2017-03-16T08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4.5100000000000001E-2</v>
      </c>
      <c r="Z35" s="62">
        <f t="shared" si="9"/>
        <v>23.330400000000001</v>
      </c>
      <c r="AA35" s="62">
        <f t="shared" si="10"/>
        <v>23.285299999999999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0123-16</v>
      </c>
      <c r="AE35" s="85" t="str">
        <f t="shared" si="12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35" s="82" t="str">
        <f t="shared" si="13"/>
        <v>"C:\Program Files (x86)\AstroGrep\AstroGrep.exe" /e /r /s /spath="%USERPROFILE%\AppData\Local\Temp\OnboardLogs" /stypes="app*4040*20170316*"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123-16 --locoid 4040 --swversion DE.1.0.9.0 --startMP 204:451 --initTime 2017-03-16T06:30:27 --startdatetime 2017-03-16T06:32:03 --delay 1 --endMP 204:233304 --enddatetime 2017-03-16T07:07:38 --enforcementcount 0 &gt;&gt;C:\Users\stu\Documents\GitHub\eaglep3-reporting\EC\2017-03-16-refined-times.txt</v>
      </c>
      <c r="AI3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{"issue":{"subject":"","project_id":79,"tracker_id":40,"status_id":1,"priority_id":2,"assigned_to_id":23,"start_date":"2017-03-16","description":"","custom_fields":[{"id":1,"name":"Subdivision","value":"EC"},{"id":4,"name":"Milepost","value":"23.3304"},{"id":17,"name":"Train ID","value":"123-16"},{"id":16,"name":"Locomotive ID","value":"4040"},{"id":130,"name":"Impact","value":""},{"id":150,"name":"Time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4040 --day 2017-03-16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599</v>
      </c>
      <c r="B36" s="7">
        <v>4039</v>
      </c>
      <c r="C36" s="21" t="s">
        <v>228</v>
      </c>
      <c r="D36" s="21" t="s">
        <v>450</v>
      </c>
      <c r="E36" s="13">
        <v>42810.308796296296</v>
      </c>
      <c r="F36" s="13">
        <v>42810.310127314813</v>
      </c>
      <c r="G36" s="7">
        <v>1</v>
      </c>
      <c r="H36" s="21" t="s">
        <v>547</v>
      </c>
      <c r="I36" s="13">
        <v>42810.339768518519</v>
      </c>
      <c r="J36" s="7">
        <v>0</v>
      </c>
      <c r="K36" s="98" t="str">
        <f t="shared" si="0"/>
        <v>4039/4040</v>
      </c>
      <c r="L36" s="21" t="str">
        <f>VLOOKUP(A36,'Trips&amp;Operators'!$C$1:$G$99999,5,FALSE)</f>
        <v>ROCHA YAOTL</v>
      </c>
      <c r="M36" s="6">
        <f t="shared" si="1"/>
        <v>2.9641203705978114E-2</v>
      </c>
      <c r="N36" s="7">
        <f t="shared" si="2"/>
        <v>42.683333336608484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-16T06:24:40-0600',mode:absolute,to:'2017-03-16T09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23.2987</v>
      </c>
      <c r="Z36" s="62">
        <f t="shared" si="9"/>
        <v>1.43E-2</v>
      </c>
      <c r="AA36" s="62">
        <f t="shared" si="10"/>
        <v>23.284400000000002</v>
      </c>
      <c r="AB36" s="59" t="str">
        <f>VLOOKUP(A36,Enforcements!$C$7:$K$13,8,0)</f>
        <v>Bulletin (2)</v>
      </c>
      <c r="AC36" s="55" t="str">
        <f>VLOOKUP(A36,Enforcements!$C$7:$E$13,3,0)</f>
        <v>GRADE CROSSING</v>
      </c>
      <c r="AD36" s="56" t="str">
        <f t="shared" si="11"/>
        <v>0124-16</v>
      </c>
      <c r="AE36" s="85" t="str">
        <f t="shared" si="12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36" s="82" t="str">
        <f t="shared" si="13"/>
        <v>"C:\Program Files (x86)\AstroGrep\AstroGrep.exe" /e /r /s /spath="%USERPROFILE%\AppData\Local\Temp\OnboardLogs" /stypes="app*4039*20170316*"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124-16 --locoid 4039 --swversion DE.1.0.9.0 --startMP 204:232987 --initTime 2017-03-16T07:24:40 --startdatetime 2017-03-16T07:26:35 --delay 1 --endMP 204:143 --enddatetime 2017-03-16T08:09:16 --enforcementcount 0 &gt;&gt;C:\Users\stu\Documents\GitHub\eaglep3-reporting\EC\2017-03-16-refined-times.txt</v>
      </c>
      <c r="AI3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{"issue":{"subject":"","project_id":79,"tracker_id":40,"status_id":1,"priority_id":2,"assigned_to_id":23,"start_date":"2017-03-16","description":"","custom_fields":[{"id":1,"name":"Subdivision","value":"EC"},{"id":4,"name":"Milepost","value":"0.0143"},{"id":17,"name":"Train ID","value":"124-16"},{"id":16,"name":"Locomotive ID","value":"4039"},{"id":130,"name":"Impact","value":""},{"id":150,"name":"Time of Event (Mountain Time)","value":"08:09:16"},{"id":151,"name":"Denver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4039 --day 2017-03-16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673</v>
      </c>
      <c r="B37" s="7">
        <v>4006</v>
      </c>
      <c r="C37" s="21" t="s">
        <v>228</v>
      </c>
      <c r="D37" s="21" t="s">
        <v>208</v>
      </c>
      <c r="E37" s="13">
        <v>42810.275393518517</v>
      </c>
      <c r="F37" s="13">
        <v>42810.281481481485</v>
      </c>
      <c r="G37" s="7">
        <v>1</v>
      </c>
      <c r="H37" s="21" t="s">
        <v>497</v>
      </c>
      <c r="I37" s="13">
        <v>42810.305810185186</v>
      </c>
      <c r="J37" s="7">
        <v>0</v>
      </c>
      <c r="K37" s="98" t="str">
        <f t="shared" si="0"/>
        <v>4005/4006</v>
      </c>
      <c r="L37" s="21" t="str">
        <f>VLOOKUP(A37,'Trips&amp;Operators'!$C$1:$G$99999,5,FALSE)</f>
        <v>YORK EDGAR</v>
      </c>
      <c r="M37" s="6">
        <f t="shared" si="1"/>
        <v>2.4328703701030463E-2</v>
      </c>
      <c r="N37" s="7">
        <f t="shared" si="2"/>
        <v>35.033333329483867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-16T05:36:34-0600',mode:absolute,to:'2017-03-16T08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4.5100000000000001E-2</v>
      </c>
      <c r="Z37" s="62">
        <f t="shared" si="9"/>
        <v>23.3276</v>
      </c>
      <c r="AA37" s="62">
        <f t="shared" si="10"/>
        <v>23.282499999999999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0125-16</v>
      </c>
      <c r="AE37" s="85" t="str">
        <f t="shared" si="12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37" s="82" t="str">
        <f t="shared" si="13"/>
        <v>"C:\Program Files (x86)\AstroGrep\AstroGrep.exe" /e /r /s /spath="%USERPROFILE%\AppData\Local\Temp\OnboardLogs" /stypes="app*4006*20170316*"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125-16 --locoid 4006 --swversion DE.1.0.9.0 --startMP 204:451 --initTime 2017-03-16T06:36:34 --startdatetime 2017-03-16T06:45:20 --delay 1 --endMP 204:233276 --enddatetime 2017-03-16T07:20:22 --enforcementcount 0 &gt;&gt;C:\Users\stu\Documents\GitHub\eaglep3-reporting\EC\2017-03-16-refined-times.txt</v>
      </c>
      <c r="AI3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{"issue":{"subject":"","project_id":79,"tracker_id":40,"status_id":1,"priority_id":2,"assigned_to_id":23,"start_date":"2017-03-16","description":"","custom_fields":[{"id":1,"name":"Subdivision","value":"EC"},{"id":4,"name":"Milepost","value":"23.3276"},{"id":17,"name":"Train ID","value":"125-16"},{"id":16,"name":"Locomotive ID","value":"4006"},{"id":130,"name":"Impact","value":""},{"id":150,"name":"Time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4006 --day 2017-03-16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683</v>
      </c>
      <c r="B38" s="7">
        <v>4005</v>
      </c>
      <c r="C38" s="21" t="s">
        <v>228</v>
      </c>
      <c r="D38" s="21" t="s">
        <v>459</v>
      </c>
      <c r="E38" s="13">
        <v>42810.306770833333</v>
      </c>
      <c r="F38" s="13">
        <v>42810.320659722223</v>
      </c>
      <c r="G38" s="7">
        <v>1</v>
      </c>
      <c r="H38" s="21" t="s">
        <v>459</v>
      </c>
      <c r="I38" s="13">
        <v>42810.347025462965</v>
      </c>
      <c r="J38" s="7">
        <v>0</v>
      </c>
      <c r="K38" s="98" t="str">
        <f t="shared" si="0"/>
        <v>4005/4006</v>
      </c>
      <c r="L38" s="21" t="str">
        <f>VLOOKUP(A38,'Trips&amp;Operators'!$C$1:$G$99999,5,FALSE)</f>
        <v>YORK EDGAR</v>
      </c>
      <c r="M38" s="6">
        <f t="shared" si="1"/>
        <v>2.6365740741312038E-2</v>
      </c>
      <c r="N38" s="7">
        <f t="shared" si="2"/>
        <v>37.966666667489335</v>
      </c>
      <c r="O38" s="7"/>
      <c r="P38" s="7"/>
      <c r="Q38" s="22"/>
      <c r="R38" s="22" t="s">
        <v>1032</v>
      </c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-16T06:21:45-0600',mode:absolute,to:'2017-03-16T09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23.296500000000002</v>
      </c>
      <c r="Z38" s="62">
        <v>0.01</v>
      </c>
      <c r="AA38" s="62">
        <f t="shared" si="10"/>
        <v>23.2865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0126-16</v>
      </c>
      <c r="AE38" s="85" t="str">
        <f t="shared" si="12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38" s="82" t="str">
        <f t="shared" si="13"/>
        <v>"C:\Program Files (x86)\AstroGrep\AstroGrep.exe" /e /r /s /spath="%USERPROFILE%\AppData\Local\Temp\OnboardLogs" /stypes="app*4005*20170316*"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126-16 --locoid 4005 --swversion DE.1.0.9.0 --startMP 204:232965 --initTime 2017-03-16T07:21:45 --startdatetime 2017-03-16T07:41:45 --delay 1 --endMP 204:232965 --enddatetime 2017-03-16T08:19:43 --enforcementcount 0 &gt;&gt;C:\Users\stu\Documents\GitHub\eaglep3-reporting\EC\2017-03-16-refined-times.txt</v>
      </c>
      <c r="AI38" s="108" t="str">
        <f t="shared" si="19"/>
        <v>echo {"issue":{"subject":"Delayed by onboard in-route failure","project_id":79,"tracker_id":40,"status_id":1,"priority_id":2,"assigned_to_id":23,"start_date":"2017-03-16","description":"","custom_fields":[{"id":1,"name":"Subdivision","value":"EC"},{"id":4,"name":"Milepost","value":"0.01"},{"id":17,"name":"Train ID","value":"126-16"},{"id":16,"name":"Locomotive ID","value":"4005"},{"id":130,"name":"Impact","value":""},{"id":150,"name":"Time of Event (Mountain Time)","value":"08:19:43"},{"id":151,"name":"Denver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4005 --day 2017-03-16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683</v>
      </c>
      <c r="B39" s="7">
        <v>4005</v>
      </c>
      <c r="C39" s="21" t="s">
        <v>228</v>
      </c>
      <c r="D39" s="21" t="s">
        <v>447</v>
      </c>
      <c r="E39" s="13">
        <v>42810.306770833333</v>
      </c>
      <c r="F39" s="13">
        <v>42810.320659722223</v>
      </c>
      <c r="G39" s="7">
        <v>13</v>
      </c>
      <c r="H39" s="21" t="s">
        <v>459</v>
      </c>
      <c r="I39" s="13">
        <v>42810.347025462965</v>
      </c>
      <c r="J39" s="7">
        <v>0</v>
      </c>
      <c r="K39" s="98" t="str">
        <f t="shared" si="0"/>
        <v>4005/4006</v>
      </c>
      <c r="L39" s="21" t="str">
        <f>VLOOKUP(A39,'Trips&amp;Operators'!$C$1:$G$99999,5,FALSE)</f>
        <v>YORK EDGAR</v>
      </c>
      <c r="M39" s="6">
        <f t="shared" si="1"/>
        <v>2.6365740741312038E-2</v>
      </c>
      <c r="N39" s="7"/>
      <c r="O39" s="7"/>
      <c r="P39" s="7"/>
      <c r="Q39" s="22"/>
      <c r="R39" s="22"/>
      <c r="S39" s="31"/>
      <c r="T39" s="46" t="str">
        <f t="shared" si="4"/>
        <v>Southbound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-16T06:21:45-0600',mode:absolute,to:'2017-03-16T09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87" t="str">
        <f t="shared" si="6"/>
        <v>Y</v>
      </c>
      <c r="X39" s="187">
        <f t="shared" si="7"/>
        <v>0</v>
      </c>
      <c r="Y39" s="62">
        <f t="shared" si="8"/>
        <v>23.297699999999999</v>
      </c>
      <c r="Z39" s="62">
        <f t="shared" ref="Z39:Z82" si="21">RIGHT(H39,LEN(H39)-4)/10000</f>
        <v>23.296500000000002</v>
      </c>
      <c r="AA39" s="62">
        <f t="shared" si="10"/>
        <v>1.1999999999972033E-3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0126-16</v>
      </c>
      <c r="AE39" s="85" t="str">
        <f t="shared" si="12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39" s="82" t="str">
        <f t="shared" si="13"/>
        <v>"C:\Program Files (x86)\AstroGrep\AstroGrep.exe" /e /r /s /spath="%USERPROFILE%\AppData\Local\Temp\OnboardLogs" /stypes="app*4005*20170316*"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126-16 --locoid 4005 --swversion DE.1.0.9.0 --startMP 204:232977 --initTime 2017-03-16T07:21:45 --startdatetime 2017-03-16T07:41:45 --delay 13 --endMP 204:232965 --enddatetime 2017-03-16T08:19:43 --enforcementcount 0 &gt;&gt;C:\Users\stu\Documents\GitHub\eaglep3-reporting\EC\2017-03-16-refined-times.txt</v>
      </c>
      <c r="AI3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{"issue":{"subject":"","project_id":79,"tracker_id":40,"status_id":1,"priority_id":2,"assigned_to_id":23,"start_date":"2017-03-16","description":"","custom_fields":[{"id":1,"name":"Subdivision","value":"EC"},{"id":4,"name":"Milepost","value":"23.2965"},{"id":17,"name":"Train ID","value":"126-16"},{"id":16,"name":"Locomotive ID","value":"4005"},{"id":130,"name":"Impact","value":""},{"id":150,"name":"Time of Event (Mountain Time)","value":"08:19:43"},{"id":151,"name":"Denver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4005 --day 2017-03-16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678</v>
      </c>
      <c r="B40" s="7">
        <v>4046</v>
      </c>
      <c r="C40" s="21" t="s">
        <v>228</v>
      </c>
      <c r="D40" s="21" t="s">
        <v>219</v>
      </c>
      <c r="E40" s="13">
        <v>42810.288923611108</v>
      </c>
      <c r="F40" s="13">
        <v>42810.292071759257</v>
      </c>
      <c r="G40" s="7">
        <v>1</v>
      </c>
      <c r="H40" s="21" t="s">
        <v>230</v>
      </c>
      <c r="I40" s="13">
        <v>42810.320057870369</v>
      </c>
      <c r="J40" s="7">
        <v>0</v>
      </c>
      <c r="K40" s="98" t="str">
        <f t="shared" si="0"/>
        <v>4045/4046</v>
      </c>
      <c r="L40" s="21" t="str">
        <f>VLOOKUP(A40,'Trips&amp;Operators'!$C$1:$G$99999,5,FALSE)</f>
        <v>BADERTSCHER DIANE</v>
      </c>
      <c r="M40" s="6">
        <f t="shared" si="1"/>
        <v>2.7986111112113576E-2</v>
      </c>
      <c r="N40" s="7">
        <f t="shared" ref="N40:N82" si="22">24*60*SUM($M40:$M40)</f>
        <v>40.30000000144355</v>
      </c>
      <c r="O40" s="7"/>
      <c r="P40" s="7"/>
      <c r="Q40" s="22"/>
      <c r="R40" s="22"/>
      <c r="S40" s="31">
        <f t="shared" ref="S40:S82" si="23">SUM(U40:U40)/IF(AG40="EC",12,1)</f>
        <v>1</v>
      </c>
      <c r="T40" s="46" t="str">
        <f t="shared" si="4"/>
        <v>NorthBound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-16T05:56:03-0600',mode:absolute,to:'2017-03-16T08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4.3999999999999997E-2</v>
      </c>
      <c r="Z40" s="62">
        <f t="shared" si="21"/>
        <v>23.331399999999999</v>
      </c>
      <c r="AA40" s="62">
        <f t="shared" si="10"/>
        <v>23.287399999999998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0127-16</v>
      </c>
      <c r="AE40" s="85" t="str">
        <f t="shared" si="12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40" s="82" t="str">
        <f t="shared" si="13"/>
        <v>"C:\Program Files (x86)\AstroGrep\AstroGrep.exe" /e /r /s /spath="%USERPROFILE%\AppData\Local\Temp\OnboardLogs" /stypes="app*4046*20170316*" /stext=" 13:.+((SYSTEM_STATE.+slice.+state.+changed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127-16 --locoid 4046 --swversion DE.1.0.9.0 --startMP 204:440 --initTime 2017-03-16T06:56:03 --startdatetime 2017-03-16T07:00:35 --delay 1 --endMP 204:233314 --enddatetime 2017-03-16T07:40:53 --enforcementcount 0 &gt;&gt;C:\Users\stu\Documents\GitHub\eaglep3-reporting\EC\2017-03-16-refined-times.txt</v>
      </c>
      <c r="AI4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ID","value":"127-16"},{"id":16,"name":"Locomotive ID","value":"4046"},{"id":130,"name":"Impact","value":""},{"id":150,"name":"Time of Event (Mountain Time)","value":"07:40:53"},{"id":151,"name":"Denver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4046 --day 2017-03-16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687</v>
      </c>
      <c r="B41" s="7">
        <v>4045</v>
      </c>
      <c r="C41" s="21" t="s">
        <v>228</v>
      </c>
      <c r="D41" s="21" t="s">
        <v>858</v>
      </c>
      <c r="E41" s="13">
        <v>42810.322430555556</v>
      </c>
      <c r="F41" s="13">
        <v>42810.330717592595</v>
      </c>
      <c r="G41" s="7">
        <v>1</v>
      </c>
      <c r="H41" s="21" t="s">
        <v>859</v>
      </c>
      <c r="I41" s="13">
        <v>42810.359155092592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BADERTSCHER DIANE</v>
      </c>
      <c r="M41" s="6">
        <f t="shared" si="1"/>
        <v>2.8437499997380655E-2</v>
      </c>
      <c r="N41" s="7">
        <f t="shared" si="22"/>
        <v>40.949999996228144</v>
      </c>
      <c r="O41" s="7"/>
      <c r="P41" s="7"/>
      <c r="Q41" s="22"/>
      <c r="R41" s="22"/>
      <c r="S41" s="31">
        <f t="shared" si="23"/>
        <v>1</v>
      </c>
      <c r="T41" s="46" t="str">
        <f t="shared" si="4"/>
        <v>Southbound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-16T06:44:18-0600',mode:absolute,to:'2017-03-16T09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23.302299999999999</v>
      </c>
      <c r="Z41" s="62">
        <f t="shared" si="21"/>
        <v>1.6899999999999998E-2</v>
      </c>
      <c r="AA41" s="62">
        <f t="shared" si="10"/>
        <v>23.285399999999999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0128-16</v>
      </c>
      <c r="AE41" s="85" t="str">
        <f t="shared" si="12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41" s="82" t="str">
        <f t="shared" si="13"/>
        <v>"C:\Program Files (x86)\AstroGrep\AstroGrep.exe" /e /r /s /spath="%USERPROFILE%\AppData\Local\Temp\OnboardLogs" /stypes="app*4045*20170316*"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128-16 --locoid 4045 --swversion DE.1.0.9.0 --startMP 204:233023 --initTime 2017-03-16T07:44:18 --startdatetime 2017-03-16T07:56:14 --delay 1 --endMP 204:169 --enddatetime 2017-03-16T08:37:11 --enforcementcount 0 &gt;&gt;C:\Users\stu\Documents\GitHub\eaglep3-reporting\EC\2017-03-16-refined-times.txt</v>
      </c>
      <c r="AI4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{"issue":{"subject":"","project_id":79,"tracker_id":40,"status_id":1,"priority_id":2,"assigned_to_id":23,"start_date":"2017-03-16","description":"","custom_fields":[{"id":1,"name":"Subdivision","value":"EC"},{"id":4,"name":"Milepost","value":"0.0169"},{"id":17,"name":"Train ID","value":"128-16"},{"id":16,"name":"Locomotive ID","value":"4045"},{"id":130,"name":"Impact","value":""},{"id":150,"name":"Time of Event (Mountain Time)","value":"08:37:11"},{"id":151,"name":"Denver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4045 --day 2017-03-16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682</v>
      </c>
      <c r="B42" s="7">
        <v>4029</v>
      </c>
      <c r="C42" s="21" t="s">
        <v>228</v>
      </c>
      <c r="D42" s="21" t="s">
        <v>237</v>
      </c>
      <c r="E42" s="13">
        <v>42810.299780092595</v>
      </c>
      <c r="F42" s="13">
        <v>42810.302268518521</v>
      </c>
      <c r="G42" s="7">
        <v>1</v>
      </c>
      <c r="H42" s="21" t="s">
        <v>860</v>
      </c>
      <c r="I42" s="13">
        <v>42810.327384259261</v>
      </c>
      <c r="J42" s="7">
        <v>0</v>
      </c>
      <c r="K42" s="98" t="str">
        <f t="shared" si="0"/>
        <v>4029/4030</v>
      </c>
      <c r="L42" s="21" t="str">
        <f>VLOOKUP(A42,'Trips&amp;Operators'!$C$1:$G$99999,5,FALSE)</f>
        <v>STARKS ANGELINA</v>
      </c>
      <c r="M42" s="6">
        <f t="shared" si="1"/>
        <v>2.5115740740147885E-2</v>
      </c>
      <c r="N42" s="7">
        <f t="shared" si="22"/>
        <v>36.166666665812954</v>
      </c>
      <c r="O42" s="7"/>
      <c r="P42" s="7"/>
      <c r="Q42" s="22"/>
      <c r="R42" s="22"/>
      <c r="S42" s="31">
        <f t="shared" si="23"/>
        <v>1</v>
      </c>
      <c r="T42" s="46" t="str">
        <f t="shared" si="4"/>
        <v>NorthBound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-16T06:11:41-0600',mode:absolute,to:'2017-03-16T08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4.4200000000000003E-2</v>
      </c>
      <c r="Z42" s="62">
        <f t="shared" si="21"/>
        <v>23.327200000000001</v>
      </c>
      <c r="AA42" s="62">
        <f t="shared" si="10"/>
        <v>23.283000000000001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0129-16</v>
      </c>
      <c r="AE42" s="85" t="str">
        <f t="shared" si="12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42" s="82" t="str">
        <f t="shared" si="13"/>
        <v>"C:\Program Files (x86)\AstroGrep\AstroGrep.exe" /e /r /s /spath="%USERPROFILE%\AppData\Local\Temp\OnboardLogs" /stypes="app*4029*20170316*" /stext=" 13:.+((SYSTEM_STATE.+slice.+state.+changed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129-16 --locoid 4029 --swversion DE.1.0.9.0 --startMP 204:442 --initTime 2017-03-16T07:11:41 --startdatetime 2017-03-16T07:15:16 --delay 1 --endMP 204:233272 --enddatetime 2017-03-16T07:51:26 --enforcementcount 0 &gt;&gt;C:\Users\stu\Documents\GitHub\eaglep3-reporting\EC\2017-03-16-refined-times.txt</v>
      </c>
      <c r="AI4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{"issue":{"subject":"","project_id":79,"tracker_id":40,"status_id":1,"priority_id":2,"assigned_to_id":23,"start_date":"2017-03-16","description":"","custom_fields":[{"id":1,"name":"Subdivision","value":"EC"},{"id":4,"name":"Milepost","value":"23.3272"},{"id":17,"name":"Train ID","value":"129-16"},{"id":16,"name":"Locomotive ID","value":"4029"},{"id":130,"name":"Impact","value":""},{"id":150,"name":"Time of Event (Mountain Time)","value":"07:51:26"},{"id":151,"name":"Denver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4029 --day 2017-03-16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603</v>
      </c>
      <c r="B43" s="7">
        <v>4030</v>
      </c>
      <c r="C43" s="21" t="s">
        <v>228</v>
      </c>
      <c r="D43" s="21" t="s">
        <v>240</v>
      </c>
      <c r="E43" s="13">
        <v>42810.33734953704</v>
      </c>
      <c r="F43" s="13">
        <v>42810.341238425928</v>
      </c>
      <c r="G43" s="7">
        <v>1</v>
      </c>
      <c r="H43" s="21" t="s">
        <v>861</v>
      </c>
      <c r="I43" s="13">
        <v>42810.369317129633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STARKS ANGELINA</v>
      </c>
      <c r="M43" s="6">
        <f t="shared" si="1"/>
        <v>2.8078703704522923E-2</v>
      </c>
      <c r="N43" s="7">
        <f t="shared" si="22"/>
        <v>40.433333334513009</v>
      </c>
      <c r="O43" s="7"/>
      <c r="P43" s="7"/>
      <c r="Q43" s="22"/>
      <c r="R43" s="22"/>
      <c r="S43" s="31">
        <f t="shared" si="23"/>
        <v>1</v>
      </c>
      <c r="T43" s="46" t="str">
        <f t="shared" si="4"/>
        <v>Southbound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-16T07:05:47-0600',mode:absolute,to:'2017-03-16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23.2971</v>
      </c>
      <c r="Z43" s="62">
        <f t="shared" si="21"/>
        <v>2.1999999999999999E-2</v>
      </c>
      <c r="AA43" s="62">
        <f t="shared" si="10"/>
        <v>23.275100000000002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11"/>
        <v>0130-16</v>
      </c>
      <c r="AE43" s="85" t="str">
        <f t="shared" si="12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43" s="82" t="str">
        <f t="shared" si="13"/>
        <v>"C:\Program Files (x86)\AstroGrep\AstroGrep.exe" /e /r /s /spath="%USERPROFILE%\AppData\Local\Temp\OnboardLogs" /stypes="app*4030*20170316*"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130-16 --locoid 4030 --swversion DE.1.0.9.0 --startMP 204:232971 --initTime 2017-03-16T08:05:47 --startdatetime 2017-03-16T08:11:23 --delay 1 --endMP 204:220 --enddatetime 2017-03-16T08:51:49 --enforcementcount 0 &gt;&gt;C:\Users\stu\Documents\GitHub\eaglep3-reporting\EC\2017-03-16-refined-times.txt</v>
      </c>
      <c r="AI4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{"issue":{"subject":"","project_id":79,"tracker_id":40,"status_id":1,"priority_id":2,"assigned_to_id":23,"start_date":"2017-03-16","description":"","custom_fields":[{"id":1,"name":"Subdivision","value":"EC"},{"id":4,"name":"Milepost","value":"0.022"},{"id":17,"name":"Train ID","value":"130-16"},{"id":16,"name":"Locomotive ID","value":"4030"},{"id":130,"name":"Impact","value":""},{"id":150,"name":"Time of Event (Mountain Time)","value":"08:51:49"},{"id":151,"name":"Denver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4030 --day 2017-03-16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684</v>
      </c>
      <c r="B44" s="7">
        <v>4002</v>
      </c>
      <c r="C44" s="21" t="s">
        <v>228</v>
      </c>
      <c r="D44" s="21" t="s">
        <v>235</v>
      </c>
      <c r="E44" s="13">
        <v>42810.307488425926</v>
      </c>
      <c r="F44" s="13">
        <v>42810.312789351854</v>
      </c>
      <c r="G44" s="7">
        <v>1</v>
      </c>
      <c r="H44" s="21" t="s">
        <v>544</v>
      </c>
      <c r="I44" s="13">
        <v>42810.337581018517</v>
      </c>
      <c r="J44" s="7">
        <v>0</v>
      </c>
      <c r="K44" s="98" t="str">
        <f t="shared" si="0"/>
        <v>4001/4002</v>
      </c>
      <c r="L44" s="21" t="str">
        <f>VLOOKUP(A44,'Trips&amp;Operators'!$C$1:$G$99999,5,FALSE)</f>
        <v>YANAI IAN</v>
      </c>
      <c r="M44" s="6">
        <f t="shared" si="1"/>
        <v>2.4791666663077194E-2</v>
      </c>
      <c r="N44" s="7">
        <f t="shared" si="22"/>
        <v>35.69999999483116</v>
      </c>
      <c r="O44" s="7"/>
      <c r="P44" s="7"/>
      <c r="Q44" s="22"/>
      <c r="R44" s="22"/>
      <c r="S44" s="31">
        <f t="shared" si="23"/>
        <v>1</v>
      </c>
      <c r="T44" s="46" t="str">
        <f t="shared" si="4"/>
        <v>NorthBound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-16T06:22:47-0600',mode:absolute,to:'2017-03-16T09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4.6699999999999998E-2</v>
      </c>
      <c r="Z44" s="62">
        <f t="shared" si="21"/>
        <v>23.329799999999999</v>
      </c>
      <c r="AA44" s="62">
        <f t="shared" si="10"/>
        <v>23.283099999999997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0131-16</v>
      </c>
      <c r="AE44" s="85" t="str">
        <f t="shared" si="12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44" s="82" t="str">
        <f t="shared" si="13"/>
        <v>"C:\Program Files (x86)\AstroGrep\AstroGrep.exe" /e /r /s /spath="%USERPROFILE%\AppData\Local\Temp\OnboardLogs" /stypes="app*4002*20170316*" /stext=" 14:.+((SYSTEM_STATE.+slice.+state.+changed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131-16 --locoid 4002 --swversion DE.1.0.9.0 --startMP 204:467 --initTime 2017-03-16T07:22:47 --startdatetime 2017-03-16T07:30:25 --delay 1 --endMP 204:233298 --enddatetime 2017-03-16T08:06:07 --enforcementcount 0 &gt;&gt;C:\Users\stu\Documents\GitHub\eaglep3-reporting\EC\2017-03-16-refined-times.txt</v>
      </c>
      <c r="AI4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{"issue":{"subject":"","project_id":79,"tracker_id":40,"status_id":1,"priority_id":2,"assigned_to_id":23,"start_date":"2017-03-16","description":"","custom_fields":[{"id":1,"name":"Subdivision","value":"EC"},{"id":4,"name":"Milepost","value":"23.3298"},{"id":17,"name":"Train ID","value":"131-16"},{"id":16,"name":"Locomotive ID","value":"4002"},{"id":130,"name":"Impact","value":""},{"id":150,"name":"Time of Event (Mountain Time)","value":"08:06:07"},{"id":151,"name":"Denver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4002 --day 2017-03-16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690</v>
      </c>
      <c r="B45" s="7">
        <v>4001</v>
      </c>
      <c r="C45" s="21" t="s">
        <v>228</v>
      </c>
      <c r="D45" s="21" t="s">
        <v>551</v>
      </c>
      <c r="E45" s="13">
        <v>42810.338726851849</v>
      </c>
      <c r="F45" s="13">
        <v>42810.351736111108</v>
      </c>
      <c r="G45" s="7">
        <v>1</v>
      </c>
      <c r="H45" s="21" t="s">
        <v>191</v>
      </c>
      <c r="I45" s="13">
        <v>42810.378125000003</v>
      </c>
      <c r="J45" s="7">
        <v>0</v>
      </c>
      <c r="K45" s="98" t="str">
        <f t="shared" si="0"/>
        <v>4001/4002</v>
      </c>
      <c r="L45" s="21" t="str">
        <f>VLOOKUP(A45,'Trips&amp;Operators'!$C$1:$G$99999,5,FALSE)</f>
        <v>YANAI IAN</v>
      </c>
      <c r="M45" s="6">
        <f t="shared" si="1"/>
        <v>2.6388888894871343E-2</v>
      </c>
      <c r="N45" s="7">
        <f t="shared" si="22"/>
        <v>38.000000008614734</v>
      </c>
      <c r="O45" s="7"/>
      <c r="P45" s="7"/>
      <c r="Q45" s="22"/>
      <c r="R45" s="22"/>
      <c r="S45" s="31">
        <f t="shared" si="23"/>
        <v>1</v>
      </c>
      <c r="T45" s="46" t="str">
        <f t="shared" si="4"/>
        <v>Southbound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-16T07:07:46-0600',mode:absolute,to:'2017-03-16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5" s="187" t="str">
        <f t="shared" si="6"/>
        <v>N</v>
      </c>
      <c r="X45" s="187">
        <f t="shared" ref="X45:X76" si="24">VALUE(LEFT(AD45,4))-VALUE(LEFT(AD44,4))</f>
        <v>1</v>
      </c>
      <c r="Y45" s="62">
        <f t="shared" si="8"/>
        <v>23.297599999999999</v>
      </c>
      <c r="Z45" s="62">
        <f t="shared" si="21"/>
        <v>1.4999999999999999E-2</v>
      </c>
      <c r="AA45" s="62">
        <f t="shared" si="10"/>
        <v>23.282599999999999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0132-16</v>
      </c>
      <c r="AE45" s="85" t="str">
        <f t="shared" si="12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45" s="82" t="str">
        <f t="shared" si="13"/>
        <v>"C:\Program Files (x86)\AstroGrep\AstroGrep.exe" /e /r /s /spath="%USERPROFILE%\AppData\Local\Temp\OnboardLogs" /stypes="app*4001*20170316*"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132-16 --locoid 4001 --swversion DE.1.0.9.0 --startMP 204:232976 --initTime 2017-03-16T08:07:46 --startdatetime 2017-03-16T08:26:30 --delay 1 --endMP 204:150 --enddatetime 2017-03-16T09:04:30 --enforcementcount 0 &gt;&gt;C:\Users\stu\Documents\GitHub\eaglep3-reporting\EC\2017-03-16-refined-times.txt</v>
      </c>
      <c r="AI4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ID","value":"132-16"},{"id":16,"name":"Locomotive ID","value":"4001"},{"id":130,"name":"Impact","value":""},{"id":150,"name":"Time of Event (Mountain Time)","value":"09:04:30"},{"id":151,"name":"Denver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4001 --day 2017-03-16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600</v>
      </c>
      <c r="B46" s="7">
        <v>4003</v>
      </c>
      <c r="C46" s="21" t="s">
        <v>228</v>
      </c>
      <c r="D46" s="21" t="s">
        <v>857</v>
      </c>
      <c r="E46" s="13">
        <v>42810.320405092592</v>
      </c>
      <c r="F46" s="13">
        <v>42810.323101851849</v>
      </c>
      <c r="G46" s="7">
        <v>1</v>
      </c>
      <c r="H46" s="21" t="s">
        <v>430</v>
      </c>
      <c r="I46" s="13">
        <v>42810.348310185182</v>
      </c>
      <c r="J46" s="7">
        <v>0</v>
      </c>
      <c r="K46" s="98" t="str">
        <f t="shared" si="0"/>
        <v>4003/4004</v>
      </c>
      <c r="L46" s="21" t="str">
        <f>VLOOKUP(A46,'Trips&amp;Operators'!$C$1:$G$99999,5,FALSE)</f>
        <v>ROBINSON KADDIBA</v>
      </c>
      <c r="M46" s="6">
        <f t="shared" si="1"/>
        <v>2.5208333332557231E-2</v>
      </c>
      <c r="N46" s="7">
        <f t="shared" si="22"/>
        <v>36.299999998882413</v>
      </c>
      <c r="O46" s="7"/>
      <c r="P46" s="7"/>
      <c r="Q46" s="22"/>
      <c r="R46" s="22"/>
      <c r="S46" s="31">
        <f t="shared" si="23"/>
        <v>1</v>
      </c>
      <c r="T46" s="46" t="str">
        <f t="shared" si="4"/>
        <v>NorthBound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-16T06:41:23-0600',mode:absolute,to:'2017-03-16T09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6" s="187" t="str">
        <f t="shared" si="6"/>
        <v>N</v>
      </c>
      <c r="X46" s="187">
        <f t="shared" si="24"/>
        <v>1</v>
      </c>
      <c r="Y46" s="62">
        <f t="shared" si="8"/>
        <v>4.4400000000000002E-2</v>
      </c>
      <c r="Z46" s="62">
        <f t="shared" si="21"/>
        <v>23.3293</v>
      </c>
      <c r="AA46" s="62">
        <f t="shared" si="10"/>
        <v>23.2849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0133-16</v>
      </c>
      <c r="AE46" s="85" t="str">
        <f t="shared" si="12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46" s="82" t="str">
        <f t="shared" si="13"/>
        <v>"C:\Program Files (x86)\AstroGrep\AstroGrep.exe" /e /r /s /spath="%USERPROFILE%\AppData\Local\Temp\OnboardLogs" /stypes="app*4003*20170316*" /stext=" 14:.+((SYSTEM_STATE.+slice.+state.+changed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133-16 --locoid 4003 --swversion DE.1.0.9.0 --startMP 204:444 --initTime 2017-03-16T07:41:23 --startdatetime 2017-03-16T07:45:16 --delay 1 --endMP 204:233293 --enddatetime 2017-03-16T08:21:34 --enforcementcount 0 &gt;&gt;C:\Users\stu\Documents\GitHub\eaglep3-reporting\EC\2017-03-16-refined-times.txt</v>
      </c>
      <c r="AI4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{"issue":{"subject":"","project_id":79,"tracker_id":40,"status_id":1,"priority_id":2,"assigned_to_id":23,"start_date":"2017-03-16","description":"","custom_fields":[{"id":1,"name":"Subdivision","value":"EC"},{"id":4,"name":"Milepost","value":"23.3293"},{"id":17,"name":"Train ID","value":"133-16"},{"id":16,"name":"Locomotive ID","value":"4003"},{"id":130,"name":"Impact","value":""},{"id":150,"name":"Time of Event (Mountain Time)","value":"08:21:34"},{"id":151,"name":"Denver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4003 --day 2017-03-16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606</v>
      </c>
      <c r="B47" s="7">
        <v>4004</v>
      </c>
      <c r="C47" s="21" t="s">
        <v>228</v>
      </c>
      <c r="D47" s="21" t="s">
        <v>862</v>
      </c>
      <c r="E47" s="13">
        <v>42810.355034722219</v>
      </c>
      <c r="F47" s="13">
        <v>42810.361967592595</v>
      </c>
      <c r="G47" s="7">
        <v>1</v>
      </c>
      <c r="H47" s="21" t="s">
        <v>863</v>
      </c>
      <c r="I47" s="13">
        <v>42810.390613425923</v>
      </c>
      <c r="J47" s="7">
        <v>0</v>
      </c>
      <c r="K47" s="98" t="str">
        <f t="shared" si="0"/>
        <v>4003/4004</v>
      </c>
      <c r="L47" s="21" t="str">
        <f>VLOOKUP(A47,'Trips&amp;Operators'!$C$1:$G$99999,5,FALSE)</f>
        <v>GUZMAN DANNY</v>
      </c>
      <c r="M47" s="6">
        <f t="shared" si="1"/>
        <v>2.8645833328482695E-2</v>
      </c>
      <c r="N47" s="7">
        <f t="shared" si="22"/>
        <v>41.249999993015081</v>
      </c>
      <c r="O47" s="7"/>
      <c r="P47" s="7"/>
      <c r="Q47" s="22"/>
      <c r="R47" s="22"/>
      <c r="S47" s="31">
        <f t="shared" si="23"/>
        <v>1</v>
      </c>
      <c r="T47" s="46" t="str">
        <f t="shared" si="4"/>
        <v>Southbound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-16T07:31:15-0600',mode:absolute,to:'2017-03-16T10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187" t="str">
        <f t="shared" si="6"/>
        <v>N</v>
      </c>
      <c r="X47" s="187">
        <f t="shared" si="24"/>
        <v>1</v>
      </c>
      <c r="Y47" s="62">
        <f t="shared" si="8"/>
        <v>23.296900000000001</v>
      </c>
      <c r="Z47" s="62">
        <f t="shared" si="21"/>
        <v>2.0299999999999999E-2</v>
      </c>
      <c r="AA47" s="62">
        <f t="shared" si="10"/>
        <v>23.276600000000002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0134-16</v>
      </c>
      <c r="AE47" s="85" t="str">
        <f t="shared" si="12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47" s="82" t="str">
        <f t="shared" si="13"/>
        <v>"C:\Program Files (x86)\AstroGrep\AstroGrep.exe" /e /r /s /spath="%USERPROFILE%\AppData\Local\Temp\OnboardLogs" /stypes="app*4004*20170316*"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134-16 --locoid 4004 --swversion DE.1.0.9.0 --startMP 204:232969 --initTime 2017-03-16T08:31:15 --startdatetime 2017-03-16T08:41:14 --delay 1 --endMP 204:203 --enddatetime 2017-03-16T09:22:29 --enforcementcount 0 &gt;&gt;C:\Users\stu\Documents\GitHub\eaglep3-reporting\EC\2017-03-16-refined-times.txt</v>
      </c>
      <c r="AI4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{"issue":{"subject":"","project_id":79,"tracker_id":40,"status_id":1,"priority_id":2,"assigned_to_id":23,"start_date":"2017-03-16","description":"","custom_fields":[{"id":1,"name":"Subdivision","value":"EC"},{"id":4,"name":"Milepost","value":"0.0203"},{"id":17,"name":"Train ID","value":"134-16"},{"id":16,"name":"Locomotive ID","value":"4004"},{"id":130,"name":"Impact","value":""},{"id":150,"name":"Time of Event (Mountain Time)","value":"09:22:29"},{"id":151,"name":"Denver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4004 --day 2017-03-16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688</v>
      </c>
      <c r="B48" s="7">
        <v>4025</v>
      </c>
      <c r="C48" s="21" t="s">
        <v>228</v>
      </c>
      <c r="D48" s="21" t="s">
        <v>864</v>
      </c>
      <c r="E48" s="13">
        <v>42810.329131944447</v>
      </c>
      <c r="F48" s="13">
        <v>42810.333518518521</v>
      </c>
      <c r="G48" s="7">
        <v>1</v>
      </c>
      <c r="H48" s="21" t="s">
        <v>865</v>
      </c>
      <c r="I48" s="13">
        <v>42810.35837962963</v>
      </c>
      <c r="J48" s="7">
        <v>0</v>
      </c>
      <c r="K48" s="98" t="str">
        <f t="shared" si="0"/>
        <v>4025/4026</v>
      </c>
      <c r="L48" s="21" t="str">
        <f>VLOOKUP(A48,'Trips&amp;Operators'!$C$1:$G$99999,5,FALSE)</f>
        <v>GEBRETEKLE DAGNEW</v>
      </c>
      <c r="M48" s="6">
        <f t="shared" si="1"/>
        <v>2.4861111109203193E-2</v>
      </c>
      <c r="N48" s="7">
        <f t="shared" si="22"/>
        <v>35.799999997252598</v>
      </c>
      <c r="O48" s="7"/>
      <c r="P48" s="7"/>
      <c r="Q48" s="22"/>
      <c r="R48" s="22"/>
      <c r="S48" s="31">
        <f t="shared" si="23"/>
        <v>1</v>
      </c>
      <c r="T48" s="46" t="str">
        <f t="shared" si="4"/>
        <v>NorthBound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-16T06:53:57-0600',mode:absolute,to:'2017-03-16T09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187" t="str">
        <f t="shared" si="6"/>
        <v>N</v>
      </c>
      <c r="X48" s="187">
        <f t="shared" si="24"/>
        <v>1</v>
      </c>
      <c r="Y48" s="62">
        <f t="shared" si="8"/>
        <v>4.4900000000000002E-2</v>
      </c>
      <c r="Z48" s="62">
        <f t="shared" si="21"/>
        <v>23.331</v>
      </c>
      <c r="AA48" s="62">
        <f t="shared" si="10"/>
        <v>23.286100000000001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0135-16</v>
      </c>
      <c r="AE48" s="85" t="str">
        <f t="shared" si="12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48" s="82" t="str">
        <f t="shared" si="13"/>
        <v>"C:\Program Files (x86)\AstroGrep\AstroGrep.exe" /e /r /s /spath="%USERPROFILE%\AppData\Local\Temp\OnboardLogs" /stypes="app*4025*20170316*" /stext=" 14:.+((SYSTEM_STATE.+slice.+state.+changed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135-16 --locoid 4025 --swversion DE.1.0.9.0 --startMP 204:449 --initTime 2017-03-16T07:53:57 --startdatetime 2017-03-16T08:00:16 --delay 1 --endMP 204:233310 --enddatetime 2017-03-16T08:36:04 --enforcementcount 0 &gt;&gt;C:\Users\stu\Documents\GitHub\eaglep3-reporting\EC\2017-03-16-refined-times.txt</v>
      </c>
      <c r="AI48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{"issue":{"subject":"","project_id":79,"tracker_id":40,"status_id":1,"priority_id":2,"assigned_to_id":23,"start_date":"2017-03-16","description":"","custom_fields":[{"id":1,"name":"Subdivision","value":"EC"},{"id":4,"name":"Milepost","value":"23.331"},{"id":17,"name":"Train ID","value":"135-16"},{"id":16,"name":"Locomotive ID","value":"4025"},{"id":130,"name":"Impact","value":""},{"id":150,"name":"Time of Event (Mountain Time)","value":"08:36:04"},{"id":151,"name":"Denver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4025 --day 2017-03-16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697</v>
      </c>
      <c r="B49" s="7">
        <v>4026</v>
      </c>
      <c r="C49" s="21" t="s">
        <v>228</v>
      </c>
      <c r="D49" s="21" t="s">
        <v>558</v>
      </c>
      <c r="E49" s="13">
        <v>42810.367291666669</v>
      </c>
      <c r="F49" s="13">
        <v>42810.372418981482</v>
      </c>
      <c r="G49" s="7">
        <v>1</v>
      </c>
      <c r="H49" s="21" t="s">
        <v>220</v>
      </c>
      <c r="I49" s="13">
        <v>42810.399618055555</v>
      </c>
      <c r="J49" s="7">
        <v>0</v>
      </c>
      <c r="K49" s="98" t="str">
        <f t="shared" si="0"/>
        <v>4025/4026</v>
      </c>
      <c r="L49" s="21" t="str">
        <f>VLOOKUP(A49,'Trips&amp;Operators'!$C$1:$G$99999,5,FALSE)</f>
        <v>GEBRETEKLE DAGNEW</v>
      </c>
      <c r="M49" s="6">
        <f t="shared" si="1"/>
        <v>2.7199074072996154E-2</v>
      </c>
      <c r="N49" s="7">
        <f t="shared" si="22"/>
        <v>39.166666665114462</v>
      </c>
      <c r="O49" s="7"/>
      <c r="P49" s="7"/>
      <c r="Q49" s="22"/>
      <c r="R49" s="22"/>
      <c r="S49" s="31">
        <f t="shared" si="23"/>
        <v>1</v>
      </c>
      <c r="T49" s="46" t="str">
        <f t="shared" si="4"/>
        <v>Southbound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-16T07:48:54-0600',mode:absolute,to:'2017-03-16T10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87" t="str">
        <f t="shared" si="6"/>
        <v>N</v>
      </c>
      <c r="X49" s="187">
        <f t="shared" si="24"/>
        <v>1</v>
      </c>
      <c r="Y49" s="62">
        <f t="shared" si="8"/>
        <v>23.299099999999999</v>
      </c>
      <c r="Z49" s="62">
        <f t="shared" si="21"/>
        <v>1.5599999999999999E-2</v>
      </c>
      <c r="AA49" s="62">
        <f t="shared" si="10"/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0136-16</v>
      </c>
      <c r="AE49" s="85" t="str">
        <f t="shared" si="12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49" s="82" t="str">
        <f t="shared" si="13"/>
        <v>"C:\Program Files (x86)\AstroGrep\AstroGrep.exe" /e /r /s /spath="%USERPROFILE%\AppData\Local\Temp\OnboardLogs" /stypes="app*4026*20170316*"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136-16 --locoid 4026 --swversion DE.1.0.9.0 --startMP 204:232991 --initTime 2017-03-16T08:48:54 --startdatetime 2017-03-16T08:56:17 --delay 1 --endMP 204:156 --enddatetime 2017-03-16T09:35:27 --enforcementcount 0 &gt;&gt;C:\Users\stu\Documents\GitHub\eaglep3-reporting\EC\2017-03-16-refined-times.txt</v>
      </c>
      <c r="AI4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{"issue":{"subject":"","project_id":79,"tracker_id":40,"status_id":1,"priority_id":2,"assigned_to_id":23,"start_date":"2017-03-16","description":"","custom_fields":[{"id":1,"name":"Subdivision","value":"EC"},{"id":4,"name":"Milepost","value":"0.0156"},{"id":17,"name":"Train ID","value":"136-16"},{"id":16,"name":"Locomotive ID","value":"4026"},{"id":130,"name":"Impact","value":""},{"id":150,"name":"Time of Event (Mountain Time)","value":"09:35:27"},{"id":151,"name":"Denver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4026 --day 2017-03-16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604</v>
      </c>
      <c r="B50" s="7">
        <v>4040</v>
      </c>
      <c r="C50" s="21" t="s">
        <v>228</v>
      </c>
      <c r="D50" s="21" t="s">
        <v>864</v>
      </c>
      <c r="E50" s="13">
        <v>42810.34238425926</v>
      </c>
      <c r="F50" s="13">
        <v>42810.344178240739</v>
      </c>
      <c r="G50" s="7">
        <v>1</v>
      </c>
      <c r="H50" s="21" t="s">
        <v>564</v>
      </c>
      <c r="I50" s="13">
        <v>42810.370578703703</v>
      </c>
      <c r="J50" s="7">
        <v>0</v>
      </c>
      <c r="K50" s="98" t="str">
        <f t="shared" si="0"/>
        <v>4039/4040</v>
      </c>
      <c r="L50" s="21" t="str">
        <f>VLOOKUP(A50,'Trips&amp;Operators'!$C$1:$G$99999,5,FALSE)</f>
        <v>SULLIVAN BRANDON</v>
      </c>
      <c r="M50" s="6">
        <f t="shared" si="1"/>
        <v>2.6400462964375038E-2</v>
      </c>
      <c r="N50" s="7">
        <f t="shared" si="22"/>
        <v>38.016666668700054</v>
      </c>
      <c r="O50" s="7"/>
      <c r="P50" s="7"/>
      <c r="Q50" s="22"/>
      <c r="R50" s="22"/>
      <c r="S50" s="31">
        <f t="shared" si="23"/>
        <v>1</v>
      </c>
      <c r="T50" s="46" t="str">
        <f t="shared" si="4"/>
        <v>NorthBound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-16T07:13:02-0600',mode:absolute,to:'2017-03-16T09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0" s="187" t="str">
        <f t="shared" si="6"/>
        <v>N</v>
      </c>
      <c r="X50" s="187">
        <f t="shared" si="24"/>
        <v>1</v>
      </c>
      <c r="Y50" s="62">
        <f t="shared" si="8"/>
        <v>4.4900000000000002E-2</v>
      </c>
      <c r="Z50" s="62">
        <f t="shared" si="21"/>
        <v>23.327400000000001</v>
      </c>
      <c r="AA50" s="62">
        <f t="shared" si="10"/>
        <v>23.282500000000002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0137-16</v>
      </c>
      <c r="AE50" s="85" t="str">
        <f t="shared" si="12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50" s="82" t="str">
        <f t="shared" si="13"/>
        <v>"C:\Program Files (x86)\AstroGrep\AstroGrep.exe" /e /r /s /spath="%USERPROFILE%\AppData\Local\Temp\OnboardLogs" /stypes="app*4040*20170316*" /stext=" 14:.+((SYSTEM_STATE.+slice.+state.+changed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137-16 --locoid 4040 --swversion DE.1.0.9.0 --startMP 204:449 --initTime 2017-03-16T08:13:02 --startdatetime 2017-03-16T08:15:37 --delay 1 --endMP 204:233274 --enddatetime 2017-03-16T08:53:38 --enforcementcount 0 &gt;&gt;C:\Users\stu\Documents\GitHub\eaglep3-reporting\EC\2017-03-16-refined-times.txt</v>
      </c>
      <c r="AI5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{"issue":{"subject":"","project_id":79,"tracker_id":40,"status_id":1,"priority_id":2,"assigned_to_id":23,"start_date":"2017-03-16","description":"","custom_fields":[{"id":1,"name":"Subdivision","value":"EC"},{"id":4,"name":"Milepost","value":"23.3274"},{"id":17,"name":"Train ID","value":"137-16"},{"id":16,"name":"Locomotive ID","value":"4040"},{"id":130,"name":"Impact","value":""},{"id":150,"name":"Time of Event (Mountain Time)","value":"08:53:38"},{"id":151,"name":"Denver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4040 --day 2017-03-16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608</v>
      </c>
      <c r="B51" s="7">
        <v>4039</v>
      </c>
      <c r="C51" s="21" t="s">
        <v>228</v>
      </c>
      <c r="D51" s="21" t="s">
        <v>554</v>
      </c>
      <c r="E51" s="13">
        <v>42810.372731481482</v>
      </c>
      <c r="F51" s="13">
        <v>42810.383090277777</v>
      </c>
      <c r="G51" s="7">
        <v>5</v>
      </c>
      <c r="H51" s="21" t="s">
        <v>548</v>
      </c>
      <c r="I51" s="13">
        <v>42810.411712962959</v>
      </c>
      <c r="J51" s="7">
        <v>0</v>
      </c>
      <c r="K51" s="98" t="str">
        <f t="shared" si="0"/>
        <v>4039/4040</v>
      </c>
      <c r="L51" s="21" t="str">
        <f>VLOOKUP(A51,'Trips&amp;Operators'!$C$1:$G$99999,5,FALSE)</f>
        <v>SULLIVAN BRANDON</v>
      </c>
      <c r="M51" s="6">
        <f t="shared" si="1"/>
        <v>2.8622685182199348E-2</v>
      </c>
      <c r="N51" s="7">
        <f t="shared" si="22"/>
        <v>41.216666662367061</v>
      </c>
      <c r="O51" s="7"/>
      <c r="P51" s="7"/>
      <c r="Q51" s="22"/>
      <c r="R51" s="22"/>
      <c r="S51" s="31">
        <f t="shared" si="23"/>
        <v>1</v>
      </c>
      <c r="T51" s="46" t="str">
        <f t="shared" si="4"/>
        <v>Southbound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-16T07:56:44-0600',mode:absolute,to:'2017-03-16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1" s="187" t="str">
        <f t="shared" si="6"/>
        <v>N</v>
      </c>
      <c r="X51" s="187">
        <f t="shared" si="24"/>
        <v>1</v>
      </c>
      <c r="Y51" s="62">
        <f t="shared" si="8"/>
        <v>23.2959</v>
      </c>
      <c r="Z51" s="62">
        <f t="shared" si="21"/>
        <v>2.0500000000000001E-2</v>
      </c>
      <c r="AA51" s="62">
        <f t="shared" si="10"/>
        <v>23.275400000000001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0138-16</v>
      </c>
      <c r="AE51" s="85" t="str">
        <f t="shared" si="12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51" s="82" t="str">
        <f t="shared" si="13"/>
        <v>"C:\Program Files (x86)\AstroGrep\AstroGrep.exe" /e /r /s /spath="%USERPROFILE%\AppData\Local\Temp\OnboardLogs" /stypes="app*4039*20170316*"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138-16 --locoid 4039 --swversion DE.1.0.9.0 --startMP 204:232959 --initTime 2017-03-16T08:56:44 --startdatetime 2017-03-16T09:11:39 --delay 5 --endMP 204:205 --enddatetime 2017-03-16T09:52:52 --enforcementcount 0 &gt;&gt;C:\Users\stu\Documents\GitHub\eaglep3-reporting\EC\2017-03-16-refined-times.txt</v>
      </c>
      <c r="AI5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{"issue":{"subject":"","project_id":79,"tracker_id":40,"status_id":1,"priority_id":2,"assigned_to_id":23,"start_date":"2017-03-16","description":"","custom_fields":[{"id":1,"name":"Subdivision","value":"EC"},{"id":4,"name":"Milepost","value":"0.0205"},{"id":17,"name":"Train ID","value":"138-16"},{"id":16,"name":"Locomotive ID","value":"4039"},{"id":130,"name":"Impact","value":""},{"id":150,"name":"Time of Event (Mountain Time)","value":"09:52:52"},{"id":151,"name":"Denver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4039 --day 2017-03-16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693</v>
      </c>
      <c r="B52" s="7">
        <v>4006</v>
      </c>
      <c r="C52" s="21" t="s">
        <v>228</v>
      </c>
      <c r="D52" s="21" t="s">
        <v>857</v>
      </c>
      <c r="E52" s="13">
        <v>42810.348680555559</v>
      </c>
      <c r="F52" s="13">
        <v>42810.35460648148</v>
      </c>
      <c r="G52" s="7">
        <v>1</v>
      </c>
      <c r="H52" s="21" t="s">
        <v>566</v>
      </c>
      <c r="I52" s="13">
        <v>42810.380254629628</v>
      </c>
      <c r="J52" s="7">
        <v>0</v>
      </c>
      <c r="K52" s="98" t="str">
        <f t="shared" si="0"/>
        <v>4005/4006</v>
      </c>
      <c r="L52" s="21" t="str">
        <f>VLOOKUP(A52,'Trips&amp;Operators'!$C$1:$G$99999,5,FALSE)</f>
        <v>YORK EDGAR</v>
      </c>
      <c r="M52" s="6">
        <f t="shared" si="1"/>
        <v>2.5648148148320615E-2</v>
      </c>
      <c r="N52" s="7">
        <f t="shared" si="22"/>
        <v>36.933333333581686</v>
      </c>
      <c r="O52" s="7"/>
      <c r="P52" s="7"/>
      <c r="Q52" s="22"/>
      <c r="R52" s="22"/>
      <c r="S52" s="31">
        <f t="shared" si="23"/>
        <v>1</v>
      </c>
      <c r="T52" s="46" t="str">
        <f t="shared" si="4"/>
        <v>NorthBound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-16T07:22:06-0600',mode:absolute,to:'2017-03-16T10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87" t="str">
        <f t="shared" si="6"/>
        <v>N</v>
      </c>
      <c r="X52" s="187">
        <f t="shared" si="24"/>
        <v>1</v>
      </c>
      <c r="Y52" s="62">
        <f t="shared" si="8"/>
        <v>4.4400000000000002E-2</v>
      </c>
      <c r="Z52" s="62">
        <f t="shared" si="21"/>
        <v>23.328299999999999</v>
      </c>
      <c r="AA52" s="62">
        <f t="shared" si="10"/>
        <v>23.283899999999999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0139-16</v>
      </c>
      <c r="AE52" s="85" t="str">
        <f t="shared" si="12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52" s="82" t="str">
        <f t="shared" si="13"/>
        <v>"C:\Program Files (x86)\AstroGrep\AstroGrep.exe" /e /r /s /spath="%USERPROFILE%\AppData\Local\Temp\OnboardLogs" /stypes="app*4006*20170316*" /stext=" 15:.+((SYSTEM_STATE.+slice.+state.+changed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139-16 --locoid 4006 --swversion DE.1.0.9.0 --startMP 204:444 --initTime 2017-03-16T08:22:06 --startdatetime 2017-03-16T08:30:38 --delay 1 --endMP 204:233283 --enddatetime 2017-03-16T09:07:34 --enforcementcount 0 &gt;&gt;C:\Users\stu\Documents\GitHub\eaglep3-reporting\EC\2017-03-16-refined-times.txt</v>
      </c>
      <c r="AI5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{"issue":{"subject":"","project_id":79,"tracker_id":40,"status_id":1,"priority_id":2,"assigned_to_id":23,"start_date":"2017-03-16","description":"","custom_fields":[{"id":1,"name":"Subdivision","value":"EC"},{"id":4,"name":"Milepost","value":"23.3283"},{"id":17,"name":"Train ID","value":"139-16"},{"id":16,"name":"Locomotive ID","value":"4006"},{"id":130,"name":"Impact","value":""},{"id":150,"name":"Time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4006 --day 2017-03-16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698</v>
      </c>
      <c r="B53" s="7">
        <v>4005</v>
      </c>
      <c r="C53" s="21" t="s">
        <v>228</v>
      </c>
      <c r="D53" s="21" t="s">
        <v>866</v>
      </c>
      <c r="E53" s="13">
        <v>42810.382581018515</v>
      </c>
      <c r="F53" s="13">
        <v>42810.39340277778</v>
      </c>
      <c r="G53" s="7">
        <v>5</v>
      </c>
      <c r="H53" s="21" t="s">
        <v>221</v>
      </c>
      <c r="I53" s="13">
        <v>42810.420347222222</v>
      </c>
      <c r="J53" s="7">
        <v>0</v>
      </c>
      <c r="K53" s="98" t="str">
        <f t="shared" si="0"/>
        <v>4005/4006</v>
      </c>
      <c r="L53" s="21" t="str">
        <f>VLOOKUP(A53,'Trips&amp;Operators'!$C$1:$G$99999,5,FALSE)</f>
        <v>YORK EDGAR</v>
      </c>
      <c r="M53" s="6">
        <f t="shared" si="1"/>
        <v>2.6944444442051463E-2</v>
      </c>
      <c r="N53" s="7">
        <f t="shared" si="22"/>
        <v>38.799999996554106</v>
      </c>
      <c r="O53" s="7"/>
      <c r="P53" s="7"/>
      <c r="Q53" s="22"/>
      <c r="R53" s="22"/>
      <c r="S53" s="31">
        <f t="shared" si="23"/>
        <v>1</v>
      </c>
      <c r="T53" s="46" t="str">
        <f t="shared" si="4"/>
        <v>Southbound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-16T08:10:55-0600',mode:absolute,to:'2017-03-16T11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87" t="str">
        <f t="shared" si="6"/>
        <v>N</v>
      </c>
      <c r="X53" s="187">
        <f t="shared" si="24"/>
        <v>1</v>
      </c>
      <c r="Y53" s="62">
        <f t="shared" si="8"/>
        <v>23.295300000000001</v>
      </c>
      <c r="Z53" s="62">
        <f t="shared" si="21"/>
        <v>1.47E-2</v>
      </c>
      <c r="AA53" s="62">
        <f t="shared" si="10"/>
        <v>23.2806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0140-16</v>
      </c>
      <c r="AE53" s="85" t="str">
        <f t="shared" si="12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53" s="82" t="str">
        <f t="shared" si="13"/>
        <v>"C:\Program Files (x86)\AstroGrep\AstroGrep.exe" /e /r /s /spath="%USERPROFILE%\AppData\Local\Temp\OnboardLogs" /stypes="app*4005*20170316*"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140-16 --locoid 4005 --swversion DE.1.0.9.0 --startMP 204:232953 --initTime 2017-03-16T09:10:55 --startdatetime 2017-03-16T09:26:30 --delay 5 --endMP 204:147 --enddatetime 2017-03-16T10:05:18 --enforcementcount 0 &gt;&gt;C:\Users\stu\Documents\GitHub\eaglep3-reporting\EC\2017-03-16-refined-times.txt</v>
      </c>
      <c r="AI5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{"issue":{"subject":"","project_id":79,"tracker_id":40,"status_id":1,"priority_id":2,"assigned_to_id":23,"start_date":"2017-03-16","description":"","custom_fields":[{"id":1,"name":"Subdivision","value":"EC"},{"id":4,"name":"Milepost","value":"0.0147"},{"id":17,"name":"Train ID","value":"140-16"},{"id":16,"name":"Locomotive ID","value":"4005"},{"id":130,"name":"Impact","value":""},{"id":150,"name":"Time of Event (Mountain Time)","value":"10:05:18"},{"id":151,"name":"Denver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4005 --day 2017-03-16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696</v>
      </c>
      <c r="B54" s="7">
        <v>4046</v>
      </c>
      <c r="C54" s="21" t="s">
        <v>228</v>
      </c>
      <c r="D54" s="21" t="s">
        <v>213</v>
      </c>
      <c r="E54" s="13">
        <v>42810.360960648148</v>
      </c>
      <c r="F54" s="13">
        <v>42810.364745370367</v>
      </c>
      <c r="G54" s="7">
        <v>1</v>
      </c>
      <c r="H54" s="21" t="s">
        <v>562</v>
      </c>
      <c r="I54" s="13">
        <v>42810.390393518515</v>
      </c>
      <c r="J54" s="7">
        <v>0</v>
      </c>
      <c r="K54" s="98" t="str">
        <f t="shared" si="0"/>
        <v>4045/4046</v>
      </c>
      <c r="L54" s="21" t="str">
        <f>VLOOKUP(A54,'Trips&amp;Operators'!$C$1:$G$99999,5,FALSE)</f>
        <v>BADERTSCHER DIANE</v>
      </c>
      <c r="M54" s="6">
        <f t="shared" si="1"/>
        <v>2.5648148148320615E-2</v>
      </c>
      <c r="N54" s="7">
        <f t="shared" si="22"/>
        <v>36.933333333581686</v>
      </c>
      <c r="O54" s="7"/>
      <c r="P54" s="7"/>
      <c r="Q54" s="22"/>
      <c r="R54" s="22"/>
      <c r="S54" s="31">
        <f t="shared" si="23"/>
        <v>1</v>
      </c>
      <c r="T54" s="46" t="str">
        <f t="shared" si="4"/>
        <v>NorthBound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-16T07:39:47-0600',mode:absolute,to:'2017-03-16T10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4" s="187" t="str">
        <f t="shared" si="6"/>
        <v>N</v>
      </c>
      <c r="X54" s="187">
        <f t="shared" si="24"/>
        <v>1</v>
      </c>
      <c r="Y54" s="62">
        <f t="shared" si="8"/>
        <v>4.53E-2</v>
      </c>
      <c r="Z54" s="62">
        <f t="shared" si="21"/>
        <v>23.327999999999999</v>
      </c>
      <c r="AA54" s="62">
        <f t="shared" si="10"/>
        <v>23.282699999999998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0141-16</v>
      </c>
      <c r="AE54" s="85" t="str">
        <f t="shared" si="12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54" s="82" t="str">
        <f t="shared" si="13"/>
        <v>"C:\Program Files (x86)\AstroGrep\AstroGrep.exe" /e /r /s /spath="%USERPROFILE%\AppData\Local\Temp\OnboardLogs" /stypes="app*4046*20170316*" /stext=" 15:.+((SYSTEM_STATE.+slice.+state.+changed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141-16 --locoid 4046 --swversion DE.1.0.9.0 --startMP 204:453 --initTime 2017-03-16T08:39:47 --startdatetime 2017-03-16T08:45:14 --delay 1 --endMP 204:233280 --enddatetime 2017-03-16T09:22:10 --enforcementcount 0 &gt;&gt;C:\Users\stu\Documents\GitHub\eaglep3-reporting\EC\2017-03-16-refined-times.txt</v>
      </c>
      <c r="AI5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{"issue":{"subject":"","project_id":79,"tracker_id":40,"status_id":1,"priority_id":2,"assigned_to_id":23,"start_date":"2017-03-16","description":"","custom_fields":[{"id":1,"name":"Subdivision","value":"EC"},{"id":4,"name":"Milepost","value":"23.328"},{"id":17,"name":"Train ID","value":"141-16"},{"id":16,"name":"Locomotive ID","value":"4046"},{"id":130,"name":"Impact","value":""},{"id":150,"name":"Time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4046 --day 2017-03-16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701</v>
      </c>
      <c r="B55" s="7">
        <v>4045</v>
      </c>
      <c r="C55" s="21" t="s">
        <v>228</v>
      </c>
      <c r="D55" s="21" t="s">
        <v>240</v>
      </c>
      <c r="E55" s="13">
        <v>42810.393043981479</v>
      </c>
      <c r="F55" s="13">
        <v>42810.404097222221</v>
      </c>
      <c r="G55" s="7">
        <v>1</v>
      </c>
      <c r="H55" s="21" t="s">
        <v>191</v>
      </c>
      <c r="I55" s="13">
        <v>42810.432627314818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BADERTSCHER DIANE</v>
      </c>
      <c r="M55" s="6">
        <f t="shared" si="1"/>
        <v>2.8530092597065959E-2</v>
      </c>
      <c r="N55" s="7">
        <f t="shared" si="22"/>
        <v>41.083333339774981</v>
      </c>
      <c r="O55" s="7"/>
      <c r="P55" s="7"/>
      <c r="Q55" s="22"/>
      <c r="R55" s="22"/>
      <c r="S55" s="31">
        <f t="shared" si="23"/>
        <v>1</v>
      </c>
      <c r="T55" s="46" t="str">
        <f t="shared" si="4"/>
        <v>Southbound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-16T08:25:59-0600',mode:absolute,to:'2017-03-16T11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5" s="187" t="str">
        <f t="shared" si="6"/>
        <v>N</v>
      </c>
      <c r="X55" s="187">
        <f t="shared" si="24"/>
        <v>1</v>
      </c>
      <c r="Y55" s="62">
        <f t="shared" si="8"/>
        <v>23.2971</v>
      </c>
      <c r="Z55" s="62">
        <f t="shared" si="21"/>
        <v>1.4999999999999999E-2</v>
      </c>
      <c r="AA55" s="62">
        <f t="shared" si="10"/>
        <v>23.2821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0142-16</v>
      </c>
      <c r="AE55" s="85" t="str">
        <f t="shared" si="12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55" s="82" t="str">
        <f t="shared" si="13"/>
        <v>"C:\Program Files (x86)\AstroGrep\AstroGrep.exe" /e /r /s /spath="%USERPROFILE%\AppData\Local\Temp\OnboardLogs" /stypes="app*4045*20170316*"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142-16 --locoid 4045 --swversion DE.1.0.9.0 --startMP 204:232971 --initTime 2017-03-16T09:25:59 --startdatetime 2017-03-16T09:41:54 --delay 1 --endMP 204:150 --enddatetime 2017-03-16T10:22:59 --enforcementcount 0 &gt;&gt;C:\Users\stu\Documents\GitHub\eaglep3-reporting\EC\2017-03-16-refined-times.txt</v>
      </c>
      <c r="AI5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ID","value":"142-16"},{"id":16,"name":"Locomotive ID","value":"4045"},{"id":130,"name":"Impact","value":""},{"id":150,"name":"Time of Event (Mountain Time)","value":"10:22:59"},{"id":151,"name":"Denver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4045 --day 2017-03-16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605</v>
      </c>
      <c r="B56" s="7">
        <v>4029</v>
      </c>
      <c r="C56" s="21" t="s">
        <v>228</v>
      </c>
      <c r="D56" s="21" t="s">
        <v>867</v>
      </c>
      <c r="E56" s="13">
        <v>42810.373530092591</v>
      </c>
      <c r="F56" s="13">
        <v>42810.375173611108</v>
      </c>
      <c r="G56" s="7">
        <v>1</v>
      </c>
      <c r="H56" s="21" t="s">
        <v>868</v>
      </c>
      <c r="I56" s="13">
        <v>42810.400567129633</v>
      </c>
      <c r="J56" s="7">
        <v>0</v>
      </c>
      <c r="K56" s="98" t="str">
        <f t="shared" si="0"/>
        <v>4029/4030</v>
      </c>
      <c r="L56" s="21" t="str">
        <f>VLOOKUP(A56,'Trips&amp;Operators'!$C$1:$G$99999,5,FALSE)</f>
        <v>STARKS ANGELINA</v>
      </c>
      <c r="M56" s="6">
        <f t="shared" si="1"/>
        <v>2.5393518524651881E-2</v>
      </c>
      <c r="N56" s="7">
        <f t="shared" si="22"/>
        <v>36.566666675498709</v>
      </c>
      <c r="O56" s="7"/>
      <c r="P56" s="7"/>
      <c r="Q56" s="22"/>
      <c r="R56" s="22"/>
      <c r="S56" s="31">
        <f t="shared" si="23"/>
        <v>1</v>
      </c>
      <c r="T56" s="46" t="str">
        <f t="shared" si="4"/>
        <v>NorthBound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-16T07:57:53-0600',mode:absolute,to:'2017-03-16T10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7" t="str">
        <f t="shared" si="6"/>
        <v>N</v>
      </c>
      <c r="X56" s="187">
        <f t="shared" si="24"/>
        <v>1</v>
      </c>
      <c r="Y56" s="62">
        <f t="shared" si="8"/>
        <v>5.1700000000000003E-2</v>
      </c>
      <c r="Z56" s="62">
        <f t="shared" si="21"/>
        <v>23.330200000000001</v>
      </c>
      <c r="AA56" s="62">
        <f t="shared" si="10"/>
        <v>23.278500000000001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0143-16</v>
      </c>
      <c r="AE56" s="85" t="str">
        <f t="shared" si="12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56" s="82" t="str">
        <f t="shared" si="13"/>
        <v>"C:\Program Files (x86)\AstroGrep\AstroGrep.exe" /e /r /s /spath="%USERPROFILE%\AppData\Local\Temp\OnboardLogs" /stypes="app*4029*20170316*" /stext=" 15:.+((SYSTEM_STATE.+slice.+state.+changed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143-16 --locoid 4029 --swversion DE.1.0.9.0 --startMP 204:517 --initTime 2017-03-16T08:57:53 --startdatetime 2017-03-16T09:00:15 --delay 1 --endMP 204:233302 --enddatetime 2017-03-16T09:36:49 --enforcementcount 0 &gt;&gt;C:\Users\stu\Documents\GitHub\eaglep3-reporting\EC\2017-03-16-refined-times.txt</v>
      </c>
      <c r="AI5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{"issue":{"subject":"","project_id":79,"tracker_id":40,"status_id":1,"priority_id":2,"assigned_to_id":23,"start_date":"2017-03-16","description":"","custom_fields":[{"id":1,"name":"Subdivision","value":"EC"},{"id":4,"name":"Milepost","value":"23.3302"},{"id":17,"name":"Train ID","value":"143-16"},{"id":16,"name":"Locomotive ID","value":"4029"},{"id":130,"name":"Impact","value":""},{"id":150,"name":"Time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4029 --day 2017-03-16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609</v>
      </c>
      <c r="B57" s="7">
        <v>4030</v>
      </c>
      <c r="C57" s="21" t="s">
        <v>228</v>
      </c>
      <c r="D57" s="21" t="s">
        <v>558</v>
      </c>
      <c r="E57" s="13">
        <v>42810.412569444445</v>
      </c>
      <c r="F57" s="13">
        <v>42810.414201388892</v>
      </c>
      <c r="G57" s="7">
        <v>1</v>
      </c>
      <c r="H57" s="21" t="s">
        <v>191</v>
      </c>
      <c r="I57" s="13">
        <v>42810.44222222222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STARKS ANGELINA</v>
      </c>
      <c r="M57" s="6">
        <f t="shared" si="1"/>
        <v>2.8020833327900618E-2</v>
      </c>
      <c r="N57" s="7">
        <f t="shared" si="22"/>
        <v>40.34999999217689</v>
      </c>
      <c r="O57" s="7"/>
      <c r="P57" s="7"/>
      <c r="Q57" s="22"/>
      <c r="R57" s="22"/>
      <c r="S57" s="31">
        <f t="shared" si="23"/>
        <v>1</v>
      </c>
      <c r="T57" s="46" t="str">
        <f t="shared" si="4"/>
        <v>Southbound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-16T08:54:06-0600',mode:absolute,to:'2017-03-16T11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7" t="str">
        <f t="shared" si="6"/>
        <v>N</v>
      </c>
      <c r="X57" s="187">
        <f t="shared" si="24"/>
        <v>1</v>
      </c>
      <c r="Y57" s="62">
        <f t="shared" si="8"/>
        <v>23.299099999999999</v>
      </c>
      <c r="Z57" s="62">
        <f t="shared" si="21"/>
        <v>1.4999999999999999E-2</v>
      </c>
      <c r="AA57" s="62">
        <f t="shared" si="10"/>
        <v>23.284099999999999</v>
      </c>
      <c r="AB57" s="59" t="str">
        <f>VLOOKUP(A57,Enforcements!$C$7:$K$13,8,0)</f>
        <v>Bulletin (2)</v>
      </c>
      <c r="AC57" s="55" t="str">
        <f>VLOOKUP(A57,Enforcements!$C$7:$E$13,3,0)</f>
        <v>GRADE CROSSING</v>
      </c>
      <c r="AD57" s="56" t="str">
        <f t="shared" si="11"/>
        <v>0144-16</v>
      </c>
      <c r="AE57" s="85" t="str">
        <f t="shared" si="12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57" s="82" t="str">
        <f t="shared" si="13"/>
        <v>"C:\Program Files (x86)\AstroGrep\AstroGrep.exe" /e /r /s /spath="%USERPROFILE%\AppData\Local\Temp\OnboardLogs" /stypes="app*4030*20170316*" /stext=" 16:.+((SYSTEM_STATE.+slice.+state.+changed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144-16 --locoid 4030 --swversion DE.1.0.9.0 --startMP 204:232991 --initTime 2017-03-16T09:54:06 --startdatetime 2017-03-16T09:56:27 --delay 1 --endMP 204:150 --enddatetime 2017-03-16T10:36:48 --enforcementcount 0 &gt;&gt;C:\Users\stu\Documents\GitHub\eaglep3-reporting\EC\2017-03-16-refined-times.txt</v>
      </c>
      <c r="AI5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ID","value":"144-16"},{"id":16,"name":"Locomotive ID","value":"4030"},{"id":130,"name":"Impact","value":""},{"id":150,"name":"Time of Event (Mountain Time)","value":"10:36:48"},{"id":151,"name":"Denver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4030 --day 2017-03-16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607</v>
      </c>
      <c r="B58" s="7">
        <v>4002</v>
      </c>
      <c r="C58" s="21" t="s">
        <v>228</v>
      </c>
      <c r="D58" s="21" t="s">
        <v>864</v>
      </c>
      <c r="E58" s="13">
        <v>42810.381215277775</v>
      </c>
      <c r="F58" s="13">
        <v>42810.385659722226</v>
      </c>
      <c r="G58" s="7">
        <v>1</v>
      </c>
      <c r="H58" s="21" t="s">
        <v>557</v>
      </c>
      <c r="I58" s="13">
        <v>42810.411226851851</v>
      </c>
      <c r="J58" s="7">
        <v>0</v>
      </c>
      <c r="K58" s="98" t="str">
        <f t="shared" si="0"/>
        <v>4001/4002</v>
      </c>
      <c r="L58" s="21" t="str">
        <f>VLOOKUP(A58,'Trips&amp;Operators'!$C$1:$G$99999,5,FALSE)</f>
        <v>YANAI IAN</v>
      </c>
      <c r="M58" s="6">
        <f t="shared" si="1"/>
        <v>2.5567129625414964E-2</v>
      </c>
      <c r="N58" s="7">
        <f t="shared" si="22"/>
        <v>36.816666660597548</v>
      </c>
      <c r="O58" s="7"/>
      <c r="P58" s="7"/>
      <c r="Q58" s="22"/>
      <c r="R58" s="22"/>
      <c r="S58" s="31">
        <f t="shared" si="23"/>
        <v>1</v>
      </c>
      <c r="T58" s="46" t="str">
        <f t="shared" si="4"/>
        <v>NorthBound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-16T08:08:57-0600',mode:absolute,to:'2017-03-16T10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8" s="187" t="str">
        <f t="shared" si="6"/>
        <v>N</v>
      </c>
      <c r="X58" s="187">
        <f t="shared" si="24"/>
        <v>1</v>
      </c>
      <c r="Y58" s="62">
        <f t="shared" si="8"/>
        <v>4.4900000000000002E-2</v>
      </c>
      <c r="Z58" s="62">
        <f t="shared" si="21"/>
        <v>23.331099999999999</v>
      </c>
      <c r="AA58" s="62">
        <f t="shared" si="10"/>
        <v>23.286200000000001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0145-16</v>
      </c>
      <c r="AE58" s="85" t="str">
        <f t="shared" si="12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58" s="82" t="str">
        <f t="shared" si="13"/>
        <v>"C:\Program Files (x86)\AstroGrep\AstroGrep.exe" /e /r /s /spath="%USERPROFILE%\AppData\Local\Temp\OnboardLogs" /stypes="app*4002*20170316*" /stext=" 15:.+((SYSTEM_STATE.+slice.+state.+changed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145-16 --locoid 4002 --swversion DE.1.0.9.0 --startMP 204:449 --initTime 2017-03-16T09:08:57 --startdatetime 2017-03-16T09:15:21 --delay 1 --endMP 204:233311 --enddatetime 2017-03-16T09:52:10 --enforcementcount 0 &gt;&gt;C:\Users\stu\Documents\GitHub\eaglep3-reporting\EC\2017-03-16-refined-times.txt</v>
      </c>
      <c r="AI58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{"issue":{"subject":"","project_id":79,"tracker_id":40,"status_id":1,"priority_id":2,"assigned_to_id":23,"start_date":"2017-03-16","description":"","custom_fields":[{"id":1,"name":"Subdivision","value":"EC"},{"id":4,"name":"Milepost","value":"23.3311"},{"id":17,"name":"Train ID","value":"145-16"},{"id":16,"name":"Locomotive ID","value":"4002"},{"id":130,"name":"Impact","value":""},{"id":150,"name":"Time of Event (Mountain Time)","value":"09:52:10"},{"id":151,"name":"Denver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4002 --day 2017-03-16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704</v>
      </c>
      <c r="B59" s="7">
        <v>4001</v>
      </c>
      <c r="C59" s="21" t="s">
        <v>228</v>
      </c>
      <c r="D59" s="21" t="s">
        <v>429</v>
      </c>
      <c r="E59" s="13">
        <v>42810.412280092591</v>
      </c>
      <c r="F59" s="13">
        <v>42810.424479166664</v>
      </c>
      <c r="G59" s="7">
        <v>1</v>
      </c>
      <c r="H59" s="21" t="s">
        <v>547</v>
      </c>
      <c r="I59" s="13">
        <v>42810.451307870368</v>
      </c>
      <c r="J59" s="7">
        <v>0</v>
      </c>
      <c r="K59" s="98" t="str">
        <f t="shared" si="0"/>
        <v>4001/4002</v>
      </c>
      <c r="L59" s="21" t="str">
        <f>VLOOKUP(A59,'Trips&amp;Operators'!$C$1:$G$99999,5,FALSE)</f>
        <v>YANAI IAN</v>
      </c>
      <c r="M59" s="6">
        <f t="shared" si="1"/>
        <v>2.6828703703358769E-2</v>
      </c>
      <c r="N59" s="7">
        <f t="shared" si="22"/>
        <v>38.633333332836628</v>
      </c>
      <c r="O59" s="7"/>
      <c r="P59" s="7"/>
      <c r="Q59" s="22"/>
      <c r="R59" s="22"/>
      <c r="S59" s="31">
        <f t="shared" si="23"/>
        <v>1</v>
      </c>
      <c r="T59" s="46" t="str">
        <f t="shared" si="4"/>
        <v>Southbound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-16T08:53:41-0600',mode:absolute,to:'2017-03-16T11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9" s="187" t="str">
        <f t="shared" si="6"/>
        <v>N</v>
      </c>
      <c r="X59" s="187">
        <f t="shared" si="24"/>
        <v>1</v>
      </c>
      <c r="Y59" s="62">
        <f t="shared" si="8"/>
        <v>23.298400000000001</v>
      </c>
      <c r="Z59" s="62">
        <f t="shared" si="21"/>
        <v>1.43E-2</v>
      </c>
      <c r="AA59" s="62">
        <f t="shared" si="10"/>
        <v>23.284100000000002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0146-16</v>
      </c>
      <c r="AE59" s="85" t="str">
        <f t="shared" si="12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59" s="82" t="str">
        <f t="shared" si="13"/>
        <v>"C:\Program Files (x86)\AstroGrep\AstroGrep.exe" /e /r /s /spath="%USERPROFILE%\AppData\Local\Temp\OnboardLogs" /stypes="app*4001*20170316*"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146-16 --locoid 4001 --swversion DE.1.0.9.0 --startMP 204:232984 --initTime 2017-03-16T09:53:41 --startdatetime 2017-03-16T10:11:15 --delay 1 --endMP 204:143 --enddatetime 2017-03-16T10:49:53 --enforcementcount 0 &gt;&gt;C:\Users\stu\Documents\GitHub\eaglep3-reporting\EC\2017-03-16-refined-times.txt</v>
      </c>
      <c r="AI5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{"issue":{"subject":"","project_id":79,"tracker_id":40,"status_id":1,"priority_id":2,"assigned_to_id":23,"start_date":"2017-03-16","description":"","custom_fields":[{"id":1,"name":"Subdivision","value":"EC"},{"id":4,"name":"Milepost","value":"0.0143"},{"id":17,"name":"Train ID","value":"146-16"},{"id":16,"name":"Locomotive ID","value":"4001"},{"id":130,"name":"Impact","value":""},{"id":150,"name":"Time of Event (Mountain Time)","value":"10:49:53"},{"id":151,"name":"Denver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4001 --day 2017-03-16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700</v>
      </c>
      <c r="B60" s="7">
        <v>4003</v>
      </c>
      <c r="C60" s="21" t="s">
        <v>228</v>
      </c>
      <c r="D60" s="21" t="s">
        <v>867</v>
      </c>
      <c r="E60" s="13">
        <v>42810.392442129632</v>
      </c>
      <c r="F60" s="13">
        <v>42810.396006944444</v>
      </c>
      <c r="G60" s="7">
        <v>1</v>
      </c>
      <c r="H60" s="21" t="s">
        <v>239</v>
      </c>
      <c r="I60" s="13">
        <v>42810.422152777777</v>
      </c>
      <c r="J60" s="7">
        <v>0</v>
      </c>
      <c r="K60" s="98" t="str">
        <f t="shared" si="0"/>
        <v>4003/4004</v>
      </c>
      <c r="L60" s="21" t="str">
        <f>VLOOKUP(A60,'Trips&amp;Operators'!$C$1:$G$99999,5,FALSE)</f>
        <v>ROBINSON KADDIBA</v>
      </c>
      <c r="M60" s="6">
        <f t="shared" si="1"/>
        <v>2.6145833333430346E-2</v>
      </c>
      <c r="N60" s="7">
        <f t="shared" si="22"/>
        <v>37.650000000139698</v>
      </c>
      <c r="O60" s="7"/>
      <c r="P60" s="7"/>
      <c r="Q60" s="22"/>
      <c r="R60" s="22"/>
      <c r="S60" s="31">
        <f t="shared" si="23"/>
        <v>1</v>
      </c>
      <c r="T60" s="46" t="str">
        <f t="shared" si="4"/>
        <v>NorthBound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-16T08:25:07-0600',mode:absolute,to:'2017-03-16T11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0" s="187" t="str">
        <f t="shared" si="6"/>
        <v>N</v>
      </c>
      <c r="X60" s="187">
        <f t="shared" si="24"/>
        <v>1</v>
      </c>
      <c r="Y60" s="62">
        <f t="shared" si="8"/>
        <v>5.1700000000000003E-2</v>
      </c>
      <c r="Z60" s="62">
        <f t="shared" si="21"/>
        <v>23.329499999999999</v>
      </c>
      <c r="AA60" s="62">
        <f t="shared" si="10"/>
        <v>23.277799999999999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0147-16</v>
      </c>
      <c r="AE60" s="85" t="str">
        <f t="shared" si="12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60" s="82" t="str">
        <f t="shared" si="13"/>
        <v>"C:\Program Files (x86)\AstroGrep\AstroGrep.exe" /e /r /s /spath="%USERPROFILE%\AppData\Local\Temp\OnboardLogs" /stypes="app*4003*20170316*" /stext=" 16:.+((SYSTEM_STATE.+slice.+state.+changed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147-16 --locoid 4003 --swversion DE.1.0.9.0 --startMP 204:517 --initTime 2017-03-16T09:25:07 --startdatetime 2017-03-16T09:30:15 --delay 1 --endMP 204:233295 --enddatetime 2017-03-16T10:07:54 --enforcementcount 0 &gt;&gt;C:\Users\stu\Documents\GitHub\eaglep3-reporting\EC\2017-03-16-refined-times.txt</v>
      </c>
      <c r="AI6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{"issue":{"subject":"","project_id":79,"tracker_id":40,"status_id":1,"priority_id":2,"assigned_to_id":23,"start_date":"2017-03-16","description":"","custom_fields":[{"id":1,"name":"Subdivision","value":"EC"},{"id":4,"name":"Milepost","value":"23.3295"},{"id":17,"name":"Train ID","value":"147-16"},{"id":16,"name":"Locomotive ID","value":"4003"},{"id":130,"name":"Impact","value":""},{"id":150,"name":"Time of Event (Mountain Time)","value":"10:07:54"},{"id":151,"name":"Denver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4003 --day 2017-03-16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708</v>
      </c>
      <c r="B61" s="7">
        <v>4004</v>
      </c>
      <c r="C61" s="21" t="s">
        <v>228</v>
      </c>
      <c r="D61" s="21" t="s">
        <v>450</v>
      </c>
      <c r="E61" s="13">
        <v>42810.428703703707</v>
      </c>
      <c r="F61" s="13">
        <v>42810.434999999998</v>
      </c>
      <c r="G61" s="7">
        <v>1</v>
      </c>
      <c r="H61" s="21" t="s">
        <v>200</v>
      </c>
      <c r="I61" s="13">
        <v>42810.461377314816</v>
      </c>
      <c r="J61" s="7">
        <v>0</v>
      </c>
      <c r="K61" s="98" t="str">
        <f t="shared" si="0"/>
        <v>4003/4004</v>
      </c>
      <c r="L61" s="21" t="str">
        <f>VLOOKUP(A61,'Trips&amp;Operators'!$C$1:$G$99999,5,FALSE)</f>
        <v>GUZMAN DANNY</v>
      </c>
      <c r="M61" s="6">
        <f t="shared" si="1"/>
        <v>2.6377314818091691E-2</v>
      </c>
      <c r="N61" s="7">
        <f t="shared" si="22"/>
        <v>37.983333338052034</v>
      </c>
      <c r="O61" s="7"/>
      <c r="P61" s="7"/>
      <c r="Q61" s="22"/>
      <c r="R61" s="22"/>
      <c r="S61" s="31">
        <f t="shared" si="23"/>
        <v>1</v>
      </c>
      <c r="T61" s="46" t="str">
        <f t="shared" si="4"/>
        <v>Southbound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-16T09:17:20-0600',mode:absolute,to:'2017-03-16T12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1" s="187" t="str">
        <f t="shared" si="6"/>
        <v>N</v>
      </c>
      <c r="X61" s="187">
        <f t="shared" si="24"/>
        <v>1</v>
      </c>
      <c r="Y61" s="62">
        <f t="shared" si="8"/>
        <v>23.2987</v>
      </c>
      <c r="Z61" s="62">
        <f t="shared" si="21"/>
        <v>1.52E-2</v>
      </c>
      <c r="AA61" s="62">
        <f t="shared" si="10"/>
        <v>23.2835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0148-16</v>
      </c>
      <c r="AE61" s="85" t="str">
        <f t="shared" si="12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61" s="82" t="str">
        <f t="shared" si="13"/>
        <v>"C:\Program Files (x86)\AstroGrep\AstroGrep.exe" /e /r /s /spath="%USERPROFILE%\AppData\Local\Temp\OnboardLogs" /stypes="app*4004*20170316*"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148-16 --locoid 4004 --swversion DE.1.0.9.0 --startMP 204:232987 --initTime 2017-03-16T10:17:20 --startdatetime 2017-03-16T10:26:24 --delay 1 --endMP 204:152 --enddatetime 2017-03-16T11:04:23 --enforcementcount 0 &gt;&gt;C:\Users\stu\Documents\GitHub\eaglep3-reporting\EC\2017-03-16-refined-times.txt</v>
      </c>
      <c r="AI6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{"issue":{"subject":"","project_id":79,"tracker_id":40,"status_id":1,"priority_id":2,"assigned_to_id":23,"start_date":"2017-03-16","description":"","custom_fields":[{"id":1,"name":"Subdivision","value":"EC"},{"id":4,"name":"Milepost","value":"0.0152"},{"id":17,"name":"Train ID","value":"148-16"},{"id":16,"name":"Locomotive ID","value":"4004"},{"id":130,"name":"Impact","value":""},{"id":150,"name":"Time of Event (Mountain Time)","value":"11:04:23"},{"id":151,"name":"Denver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4004 --day 2017-03-16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702</v>
      </c>
      <c r="B62" s="7">
        <v>4025</v>
      </c>
      <c r="C62" s="21" t="s">
        <v>228</v>
      </c>
      <c r="D62" s="21" t="s">
        <v>852</v>
      </c>
      <c r="E62" s="13">
        <v>42810.402002314811</v>
      </c>
      <c r="F62" s="13">
        <v>42810.406423611108</v>
      </c>
      <c r="G62" s="7">
        <v>1</v>
      </c>
      <c r="H62" s="21" t="s">
        <v>239</v>
      </c>
      <c r="I62" s="13">
        <v>42810.430775462963</v>
      </c>
      <c r="J62" s="7">
        <v>0</v>
      </c>
      <c r="K62" s="98" t="str">
        <f t="shared" si="0"/>
        <v>4025/4026</v>
      </c>
      <c r="L62" s="21" t="str">
        <f>VLOOKUP(A62,'Trips&amp;Operators'!$C$1:$G$99999,5,FALSE)</f>
        <v>GEBRETEKLE DAGNEW</v>
      </c>
      <c r="M62" s="6">
        <f t="shared" si="1"/>
        <v>2.4351851854589768E-2</v>
      </c>
      <c r="N62" s="7">
        <f t="shared" si="22"/>
        <v>35.066666670609266</v>
      </c>
      <c r="O62" s="7"/>
      <c r="P62" s="7"/>
      <c r="Q62" s="22"/>
      <c r="R62" s="22"/>
      <c r="S62" s="31">
        <f t="shared" si="23"/>
        <v>1</v>
      </c>
      <c r="T62" s="46" t="str">
        <f t="shared" si="4"/>
        <v>NorthBound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-16T08:38:53-0600',mode:absolute,to:'2017-03-16T11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87" t="str">
        <f t="shared" si="6"/>
        <v>N</v>
      </c>
      <c r="X62" s="187">
        <f t="shared" si="24"/>
        <v>1</v>
      </c>
      <c r="Y62" s="62">
        <f t="shared" si="8"/>
        <v>4.4600000000000001E-2</v>
      </c>
      <c r="Z62" s="62">
        <f t="shared" si="21"/>
        <v>23.329499999999999</v>
      </c>
      <c r="AA62" s="62">
        <f t="shared" si="10"/>
        <v>23.2849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0149-16</v>
      </c>
      <c r="AE62" s="85" t="str">
        <f t="shared" si="12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62" s="82" t="str">
        <f t="shared" si="13"/>
        <v>"C:\Program Files (x86)\AstroGrep\AstroGrep.exe" /e /r /s /spath="%USERPROFILE%\AppData\Local\Temp\OnboardLogs" /stypes="app*4025*20170316*" /stext=" 16:.+((SYSTEM_STATE.+slice.+state.+changed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149-16 --locoid 4025 --swversion DE.1.0.9.0 --startMP 204:446 --initTime 2017-03-16T09:38:53 --startdatetime 2017-03-16T09:45:15 --delay 1 --endMP 204:233295 --enddatetime 2017-03-16T10:20:19 --enforcementcount 0 &gt;&gt;C:\Users\stu\Documents\GitHub\eaglep3-reporting\EC\2017-03-16-refined-times.txt</v>
      </c>
      <c r="AI6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{"issue":{"subject":"","project_id":79,"tracker_id":40,"status_id":1,"priority_id":2,"assigned_to_id":23,"start_date":"2017-03-16","description":"","custom_fields":[{"id":1,"name":"Subdivision","value":"EC"},{"id":4,"name":"Milepost","value":"23.3295"},{"id":17,"name":"Train ID","value":"149-16"},{"id":16,"name":"Locomotive ID","value":"4025"},{"id":130,"name":"Impact","value":""},{"id":150,"name":"Time of Event (Mountain Time)","value":"10:20:19"},{"id":151,"name":"Denver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4025 --day 2017-03-16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710</v>
      </c>
      <c r="B63" s="7">
        <v>4026</v>
      </c>
      <c r="C63" s="21" t="s">
        <v>228</v>
      </c>
      <c r="D63" s="21" t="s">
        <v>862</v>
      </c>
      <c r="E63" s="13">
        <v>42810.440023148149</v>
      </c>
      <c r="F63" s="13">
        <v>42810.445324074077</v>
      </c>
      <c r="G63" s="7">
        <v>1</v>
      </c>
      <c r="H63" s="21" t="s">
        <v>220</v>
      </c>
      <c r="I63" s="13">
        <v>42810.473240740743</v>
      </c>
      <c r="J63" s="7">
        <v>0</v>
      </c>
      <c r="K63" s="98" t="str">
        <f t="shared" si="0"/>
        <v>4025/4026</v>
      </c>
      <c r="L63" s="21" t="str">
        <f>VLOOKUP(A63,'Trips&amp;Operators'!$C$1:$G$99999,5,FALSE)</f>
        <v>GEBRETEKLE DAGNEW</v>
      </c>
      <c r="M63" s="6">
        <f t="shared" si="1"/>
        <v>2.7916666665987577E-2</v>
      </c>
      <c r="N63" s="7">
        <f t="shared" si="22"/>
        <v>40.199999999022111</v>
      </c>
      <c r="O63" s="7"/>
      <c r="P63" s="7"/>
      <c r="Q63" s="22"/>
      <c r="R63" s="22"/>
      <c r="S63" s="31">
        <f t="shared" si="23"/>
        <v>1</v>
      </c>
      <c r="T63" s="46" t="str">
        <f t="shared" si="4"/>
        <v>Southbound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-16T09:33:38-0600',mode:absolute,to:'2017-03-16T12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87" t="str">
        <f t="shared" si="6"/>
        <v>N</v>
      </c>
      <c r="X63" s="187">
        <f t="shared" si="24"/>
        <v>1</v>
      </c>
      <c r="Y63" s="62">
        <f t="shared" si="8"/>
        <v>23.296900000000001</v>
      </c>
      <c r="Z63" s="62">
        <f t="shared" si="21"/>
        <v>1.5599999999999999E-2</v>
      </c>
      <c r="AA63" s="62">
        <f t="shared" si="10"/>
        <v>23.281300000000002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0150-16</v>
      </c>
      <c r="AE63" s="85" t="str">
        <f t="shared" si="12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63" s="82" t="str">
        <f t="shared" si="13"/>
        <v>"C:\Program Files (x86)\AstroGrep\AstroGrep.exe" /e /r /s /spath="%USERPROFILE%\AppData\Local\Temp\OnboardLogs" /stypes="app*4026*20170316*"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150-16 --locoid 4026 --swversion DE.1.0.9.0 --startMP 204:232969 --initTime 2017-03-16T10:33:38 --startdatetime 2017-03-16T10:41:16 --delay 1 --endMP 204:156 --enddatetime 2017-03-16T11:21:28 --enforcementcount 0 &gt;&gt;C:\Users\stu\Documents\GitHub\eaglep3-reporting\EC\2017-03-16-refined-times.txt</v>
      </c>
      <c r="AI6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{"issue":{"subject":"","project_id":79,"tracker_id":40,"status_id":1,"priority_id":2,"assigned_to_id":23,"start_date":"2017-03-16","description":"","custom_fields":[{"id":1,"name":"Subdivision","value":"EC"},{"id":4,"name":"Milepost","value":"0.0156"},{"id":17,"name":"Train ID","value":"150-16"},{"id":16,"name":"Locomotive ID","value":"4026"},{"id":130,"name":"Impact","value":""},{"id":150,"name":"Time of Event (Mountain Time)","value":"11:21:28"},{"id":151,"name":"Denver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4026 --day 2017-03-16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705</v>
      </c>
      <c r="B64" s="7">
        <v>4040</v>
      </c>
      <c r="C64" s="21" t="s">
        <v>228</v>
      </c>
      <c r="D64" s="21" t="s">
        <v>869</v>
      </c>
      <c r="E64" s="13">
        <v>42810.415370370371</v>
      </c>
      <c r="F64" s="13">
        <v>42810.416990740741</v>
      </c>
      <c r="G64" s="7">
        <v>1</v>
      </c>
      <c r="H64" s="21" t="s">
        <v>433</v>
      </c>
      <c r="I64" s="13">
        <v>42810.441805555558</v>
      </c>
      <c r="J64" s="7">
        <v>0</v>
      </c>
      <c r="K64" s="98" t="str">
        <f t="shared" si="0"/>
        <v>4039/4040</v>
      </c>
      <c r="L64" s="21" t="str">
        <f>VLOOKUP(A64,'Trips&amp;Operators'!$C$1:$G$99999,5,FALSE)</f>
        <v>ROCHA YAOTL</v>
      </c>
      <c r="M64" s="6">
        <f t="shared" si="1"/>
        <v>2.4814814816636499E-2</v>
      </c>
      <c r="N64" s="7">
        <f t="shared" si="22"/>
        <v>35.733333335956559</v>
      </c>
      <c r="O64" s="7"/>
      <c r="P64" s="7"/>
      <c r="Q64" s="22"/>
      <c r="R64" s="22"/>
      <c r="S64" s="31">
        <f t="shared" si="23"/>
        <v>1</v>
      </c>
      <c r="T64" s="46" t="str">
        <f t="shared" si="4"/>
        <v>NorthBound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-16T08:58:08-0600',mode:absolute,to:'2017-03-16T11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4" s="187" t="str">
        <f t="shared" si="6"/>
        <v>N</v>
      </c>
      <c r="X64" s="187">
        <f t="shared" si="24"/>
        <v>1</v>
      </c>
      <c r="Y64" s="62">
        <f t="shared" si="8"/>
        <v>5.3900000000000003E-2</v>
      </c>
      <c r="Z64" s="62">
        <f t="shared" si="21"/>
        <v>23.3323</v>
      </c>
      <c r="AA64" s="62">
        <f t="shared" si="10"/>
        <v>23.278400000000001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0151-16</v>
      </c>
      <c r="AE64" s="85" t="str">
        <f t="shared" si="12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64" s="82" t="str">
        <f t="shared" si="13"/>
        <v>"C:\Program Files (x86)\AstroGrep\AstroGrep.exe" /e /r /s /spath="%USERPROFILE%\AppData\Local\Temp\OnboardLogs" /stypes="app*4040*20170316*" /stext=" 16:.+((SYSTEM_STATE.+slice.+state.+changed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151-16 --locoid 4040 --swversion DE.1.0.9.0 --startMP 204:539 --initTime 2017-03-16T09:58:08 --startdatetime 2017-03-16T10:00:28 --delay 1 --endMP 204:233323 --enddatetime 2017-03-16T10:36:12 --enforcementcount 0 &gt;&gt;C:\Users\stu\Documents\GitHub\eaglep3-reporting\EC\2017-03-16-refined-times.txt</v>
      </c>
      <c r="AI6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{"issue":{"subject":"","project_id":79,"tracker_id":40,"status_id":1,"priority_id":2,"assigned_to_id":23,"start_date":"2017-03-16","description":"","custom_fields":[{"id":1,"name":"Subdivision","value":"EC"},{"id":4,"name":"Milepost","value":"23.3323"},{"id":17,"name":"Train ID","value":"151-16"},{"id":16,"name":"Locomotive ID","value":"4040"},{"id":130,"name":"Impact","value":""},{"id":150,"name":"Time of Event (Mountain Time)","value":"10:36:12"},{"id":151,"name":"Denver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4040 --day 2017-03-16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715</v>
      </c>
      <c r="B65" s="7">
        <v>4039</v>
      </c>
      <c r="C65" s="21" t="s">
        <v>228</v>
      </c>
      <c r="D65" s="21" t="s">
        <v>428</v>
      </c>
      <c r="E65" s="13">
        <v>42810.453935185185</v>
      </c>
      <c r="F65" s="13">
        <v>42810.455694444441</v>
      </c>
      <c r="G65" s="7">
        <v>1</v>
      </c>
      <c r="H65" s="21" t="s">
        <v>191</v>
      </c>
      <c r="I65" s="13">
        <v>42810.4840625</v>
      </c>
      <c r="J65" s="7">
        <v>0</v>
      </c>
      <c r="K65" s="98" t="str">
        <f t="shared" si="0"/>
        <v>4039/4040</v>
      </c>
      <c r="L65" s="21" t="str">
        <f>VLOOKUP(A65,'Trips&amp;Operators'!$C$1:$G$99999,5,FALSE)</f>
        <v>ROCHA YAOTL</v>
      </c>
      <c r="M65" s="6">
        <f t="shared" si="1"/>
        <v>2.8368055558530614E-2</v>
      </c>
      <c r="N65" s="7">
        <f t="shared" si="22"/>
        <v>40.850000004284084</v>
      </c>
      <c r="O65" s="7"/>
      <c r="P65" s="7"/>
      <c r="Q65" s="22"/>
      <c r="R65" s="22"/>
      <c r="S65" s="31">
        <f t="shared" si="23"/>
        <v>1</v>
      </c>
      <c r="T65" s="46" t="str">
        <f t="shared" si="4"/>
        <v>Southbound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-16T09:53:40-0600',mode:absolute,to:'2017-03-16T12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5" s="187" t="str">
        <f t="shared" si="6"/>
        <v>N</v>
      </c>
      <c r="X65" s="187">
        <f t="shared" si="24"/>
        <v>1</v>
      </c>
      <c r="Y65" s="62">
        <f t="shared" si="8"/>
        <v>23.299600000000002</v>
      </c>
      <c r="Z65" s="62">
        <f t="shared" si="21"/>
        <v>1.4999999999999999E-2</v>
      </c>
      <c r="AA65" s="62">
        <f t="shared" si="10"/>
        <v>23.284600000000001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0152-16</v>
      </c>
      <c r="AE65" s="85" t="str">
        <f t="shared" si="12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65" s="82" t="str">
        <f t="shared" si="13"/>
        <v>"C:\Program Files (x86)\AstroGrep\AstroGrep.exe" /e /r /s /spath="%USERPROFILE%\AppData\Local\Temp\OnboardLogs" /stypes="app*4039*20170316*"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152-16 --locoid 4039 --swversion DE.1.0.9.0 --startMP 204:232996 --initTime 2017-03-16T10:53:40 --startdatetime 2017-03-16T10:56:12 --delay 1 --endMP 204:150 --enddatetime 2017-03-16T11:37:03 --enforcementcount 0 &gt;&gt;C:\Users\stu\Documents\GitHub\eaglep3-reporting\EC\2017-03-16-refined-times.txt</v>
      </c>
      <c r="AI6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ID","value":"152-16"},{"id":16,"name":"Locomotive ID","value":"4039"},{"id":130,"name":"Impact","value":""},{"id":150,"name":"Time of Event (Mountain Time)","value":"11:37:03"},{"id":151,"name":"Denver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4039 --day 2017-03-16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706</v>
      </c>
      <c r="B66" s="7">
        <v>4006</v>
      </c>
      <c r="C66" s="21" t="s">
        <v>228</v>
      </c>
      <c r="D66" s="21" t="s">
        <v>426</v>
      </c>
      <c r="E66" s="13">
        <v>42810.422025462962</v>
      </c>
      <c r="F66" s="13">
        <v>42810.427453703705</v>
      </c>
      <c r="G66" s="7">
        <v>1</v>
      </c>
      <c r="H66" s="21" t="s">
        <v>239</v>
      </c>
      <c r="I66" s="13">
        <v>42810.451631944445</v>
      </c>
      <c r="J66" s="7">
        <v>0</v>
      </c>
      <c r="K66" s="98" t="str">
        <f t="shared" si="0"/>
        <v>4005/4006</v>
      </c>
      <c r="L66" s="21" t="str">
        <f>VLOOKUP(A66,'Trips&amp;Operators'!$C$1:$G$99999,5,FALSE)</f>
        <v>YORK EDGAR</v>
      </c>
      <c r="M66" s="6">
        <f t="shared" si="1"/>
        <v>2.417824073927477E-2</v>
      </c>
      <c r="N66" s="7">
        <f t="shared" si="22"/>
        <v>34.816666664555669</v>
      </c>
      <c r="O66" s="7"/>
      <c r="P66" s="7"/>
      <c r="Q66" s="22"/>
      <c r="R66" s="22"/>
      <c r="S66" s="31">
        <f t="shared" si="23"/>
        <v>1</v>
      </c>
      <c r="T66" s="46" t="str">
        <f t="shared" si="4"/>
        <v>NorthBound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-16T09:07:43-0600',mode:absolute,to:'2017-03-16T11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87" t="str">
        <f t="shared" si="6"/>
        <v>N</v>
      </c>
      <c r="X66" s="187">
        <f t="shared" si="24"/>
        <v>1</v>
      </c>
      <c r="Y66" s="62">
        <f t="shared" si="8"/>
        <v>4.6399999999999997E-2</v>
      </c>
      <c r="Z66" s="62">
        <f t="shared" si="21"/>
        <v>23.329499999999999</v>
      </c>
      <c r="AA66" s="62">
        <f t="shared" si="10"/>
        <v>23.283100000000001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0153-16</v>
      </c>
      <c r="AE66" s="85" t="str">
        <f t="shared" si="12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66" s="82" t="str">
        <f t="shared" si="13"/>
        <v>"C:\Program Files (x86)\AstroGrep\AstroGrep.exe" /e /r /s /spath="%USERPROFILE%\AppData\Local\Temp\OnboardLogs" /stypes="app*4006*20170316*" /stext=" 16:.+((SYSTEM_STATE.+slice.+state.+changed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153-16 --locoid 4006 --swversion DE.1.0.9.0 --startMP 204:464 --initTime 2017-03-16T10:07:43 --startdatetime 2017-03-16T10:15:32 --delay 1 --endMP 204:233295 --enddatetime 2017-03-16T10:50:21 --enforcementcount 0 &gt;&gt;C:\Users\stu\Documents\GitHub\eaglep3-reporting\EC\2017-03-16-refined-times.txt</v>
      </c>
      <c r="AI6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{"issue":{"subject":"","project_id":79,"tracker_id":40,"status_id":1,"priority_id":2,"assigned_to_id":23,"start_date":"2017-03-16","description":"","custom_fields":[{"id":1,"name":"Subdivision","value":"EC"},{"id":4,"name":"Milepost","value":"23.3295"},{"id":17,"name":"Train ID","value":"153-16"},{"id":16,"name":"Locomotive ID","value":"4006"},{"id":130,"name":"Impact","value":""},{"id":150,"name":"Time of Event (Mountain Time)","value":"10:50:21"},{"id":151,"name":"Denver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4006 --day 2017-03-16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712</v>
      </c>
      <c r="B67" s="7">
        <v>4005</v>
      </c>
      <c r="C67" s="21" t="s">
        <v>228</v>
      </c>
      <c r="D67" s="21" t="s">
        <v>446</v>
      </c>
      <c r="E67" s="13">
        <v>42810.453182870369</v>
      </c>
      <c r="F67" s="13">
        <v>42810.466203703705</v>
      </c>
      <c r="G67" s="7">
        <v>0</v>
      </c>
      <c r="H67" s="21" t="s">
        <v>218</v>
      </c>
      <c r="I67" s="13">
        <v>42810.495462962965</v>
      </c>
      <c r="J67" s="7">
        <v>0</v>
      </c>
      <c r="K67" s="98" t="str">
        <f t="shared" si="0"/>
        <v>4005/4006</v>
      </c>
      <c r="L67" s="21" t="str">
        <f>VLOOKUP(A67,'Trips&amp;Operators'!$C$1:$G$99999,5,FALSE)</f>
        <v>YORK EDGAR</v>
      </c>
      <c r="M67" s="6">
        <f t="shared" si="1"/>
        <v>2.9259259259561077E-2</v>
      </c>
      <c r="N67" s="7">
        <f t="shared" si="22"/>
        <v>42.133333333767951</v>
      </c>
      <c r="O67" s="7"/>
      <c r="P67" s="7"/>
      <c r="Q67" s="22"/>
      <c r="R67" s="22"/>
      <c r="S67" s="31">
        <f t="shared" si="23"/>
        <v>1</v>
      </c>
      <c r="T67" s="46" t="str">
        <f t="shared" si="4"/>
        <v>Southbound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-16T09:52:35-0600',mode:absolute,to:'2017-03-16T12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87" t="str">
        <f t="shared" si="6"/>
        <v>N</v>
      </c>
      <c r="X67" s="187">
        <f t="shared" si="24"/>
        <v>1</v>
      </c>
      <c r="Y67" s="62">
        <f t="shared" si="8"/>
        <v>23.297499999999999</v>
      </c>
      <c r="Z67" s="62">
        <f t="shared" si="21"/>
        <v>1.41E-2</v>
      </c>
      <c r="AA67" s="62">
        <f t="shared" si="10"/>
        <v>23.2834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0154-16</v>
      </c>
      <c r="AE67" s="85" t="str">
        <f t="shared" si="12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67" s="82" t="str">
        <f t="shared" si="13"/>
        <v>"C:\Program Files (x86)\AstroGrep\AstroGrep.exe" /e /r /s /spath="%USERPROFILE%\AppData\Local\Temp\OnboardLogs" /stypes="app*4005*20170316*"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154-16 --locoid 4005 --swversion DE.1.0.9.0 --startMP 204:232975 --initTime 2017-03-16T10:52:35 --startdatetime 2017-03-16T11:11:20 --delay 0 --endMP 204:141 --enddatetime 2017-03-16T11:53:28 --enforcementcount 0 &gt;&gt;C:\Users\stu\Documents\GitHub\eaglep3-reporting\EC\2017-03-16-refined-times.txt</v>
      </c>
      <c r="AI6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ID","value":"154-16"},{"id":16,"name":"Locomotive ID","value":"4005"},{"id":130,"name":"Impact","value":""},{"id":150,"name":"Time of Event (Mountain Time)","value":"11:53:28"},{"id":151,"name":"Denver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4005 --day 2017-03-16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709</v>
      </c>
      <c r="B68" s="7">
        <v>4046</v>
      </c>
      <c r="C68" s="21" t="s">
        <v>228</v>
      </c>
      <c r="D68" s="21" t="s">
        <v>393</v>
      </c>
      <c r="E68" s="13">
        <v>42810.43445601852</v>
      </c>
      <c r="F68" s="13">
        <v>42810.437928240739</v>
      </c>
      <c r="G68" s="7">
        <v>1</v>
      </c>
      <c r="H68" s="21" t="s">
        <v>865</v>
      </c>
      <c r="I68" s="13">
        <v>42810.465358796297</v>
      </c>
      <c r="J68" s="7">
        <v>0</v>
      </c>
      <c r="K68" s="98" t="str">
        <f t="shared" si="0"/>
        <v>4045/4046</v>
      </c>
      <c r="L68" s="21" t="str">
        <f>VLOOKUP(A68,'Trips&amp;Operators'!$C$1:$G$99999,5,FALSE)</f>
        <v>SHOOK JOHN</v>
      </c>
      <c r="M68" s="6">
        <f t="shared" si="1"/>
        <v>2.7430555557657499E-2</v>
      </c>
      <c r="N68" s="7">
        <f t="shared" si="22"/>
        <v>39.500000003026798</v>
      </c>
      <c r="O68" s="7"/>
      <c r="P68" s="7"/>
      <c r="Q68" s="22"/>
      <c r="R68" s="22"/>
      <c r="S68" s="31">
        <f t="shared" si="23"/>
        <v>1</v>
      </c>
      <c r="T68" s="46" t="str">
        <f t="shared" si="4"/>
        <v>NorthBound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-16T09:25:37-0600',mode:absolute,to:'2017-03-16T12:10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8" s="187" t="str">
        <f t="shared" si="6"/>
        <v>N</v>
      </c>
      <c r="X68" s="187">
        <f t="shared" si="24"/>
        <v>1</v>
      </c>
      <c r="Y68" s="62">
        <f t="shared" si="8"/>
        <v>4.7500000000000001E-2</v>
      </c>
      <c r="Z68" s="62">
        <f t="shared" si="21"/>
        <v>23.331</v>
      </c>
      <c r="AA68" s="62">
        <f t="shared" si="10"/>
        <v>23.2835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0155-16</v>
      </c>
      <c r="AE68" s="85" t="str">
        <f t="shared" si="12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68" s="82" t="str">
        <f t="shared" si="13"/>
        <v>"C:\Program Files (x86)\AstroGrep\AstroGrep.exe" /e /r /s /spath="%USERPROFILE%\AppData\Local\Temp\OnboardLogs" /stypes="app*4046*20170316*" /stext=" 17:.+((SYSTEM_STATE.+slice.+state.+changed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155-16 --locoid 4046 --swversion DE.1.0.9.0 --startMP 204:475 --initTime 2017-03-16T10:25:37 --startdatetime 2017-03-16T10:30:37 --delay 1 --endMP 204:233310 --enddatetime 2017-03-16T11:10:07 --enforcementcount 0 &gt;&gt;C:\Users\stu\Documents\GitHub\eaglep3-reporting\EC\2017-03-16-refined-times.txt</v>
      </c>
      <c r="AI68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{"issue":{"subject":"","project_id":79,"tracker_id":40,"status_id":1,"priority_id":2,"assigned_to_id":23,"start_date":"2017-03-16","description":"","custom_fields":[{"id":1,"name":"Subdivision","value":"EC"},{"id":4,"name":"Milepost","value":"23.331"},{"id":17,"name":"Train ID","value":"155-16"},{"id":16,"name":"Locomotive ID","value":"4046"},{"id":130,"name":"Impact","value":""},{"id":150,"name":"Time of Event (Mountain Time)","value":"11:10:07"},{"id":151,"name":"Denver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4046 --day 2017-03-16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718</v>
      </c>
      <c r="B69" s="7">
        <v>4045</v>
      </c>
      <c r="C69" s="21" t="s">
        <v>228</v>
      </c>
      <c r="D69" s="21" t="s">
        <v>384</v>
      </c>
      <c r="E69" s="13">
        <v>42810.466817129629</v>
      </c>
      <c r="F69" s="13">
        <v>42810.4765625</v>
      </c>
      <c r="G69" s="7">
        <v>1</v>
      </c>
      <c r="H69" s="21" t="s">
        <v>547</v>
      </c>
      <c r="I69" s="13">
        <v>42810.506307870368</v>
      </c>
      <c r="J69" s="7">
        <v>0</v>
      </c>
      <c r="K69" s="98" t="str">
        <f t="shared" si="0"/>
        <v>4045/4046</v>
      </c>
      <c r="L69" s="21" t="str">
        <f>VLOOKUP(A69,'Trips&amp;Operators'!$C$1:$G$99999,5,FALSE)</f>
        <v>SHOOK JOHN</v>
      </c>
      <c r="M69" s="6">
        <f t="shared" si="1"/>
        <v>2.9745370367891155E-2</v>
      </c>
      <c r="N69" s="7">
        <f t="shared" si="22"/>
        <v>42.833333329763263</v>
      </c>
      <c r="O69" s="7"/>
      <c r="P69" s="7"/>
      <c r="Q69" s="22"/>
      <c r="R69" s="22"/>
      <c r="S69" s="31">
        <f t="shared" si="23"/>
        <v>1</v>
      </c>
      <c r="T69" s="46" t="str">
        <f t="shared" si="4"/>
        <v>Southbound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-16T10:12:13-0600',mode:absolute,to:'2017-03-16T13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9" s="187" t="str">
        <f t="shared" si="6"/>
        <v>N</v>
      </c>
      <c r="X69" s="187">
        <f t="shared" si="24"/>
        <v>1</v>
      </c>
      <c r="Y69" s="62">
        <f t="shared" si="8"/>
        <v>23.299299999999999</v>
      </c>
      <c r="Z69" s="62">
        <f t="shared" si="21"/>
        <v>1.43E-2</v>
      </c>
      <c r="AA69" s="62">
        <f t="shared" si="10"/>
        <v>23.285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0156-16</v>
      </c>
      <c r="AE69" s="85" t="str">
        <f t="shared" si="12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69" s="82" t="str">
        <f t="shared" si="13"/>
        <v>"C:\Program Files (x86)\AstroGrep\AstroGrep.exe" /e /r /s /spath="%USERPROFILE%\AppData\Local\Temp\OnboardLogs" /stypes="app*4045*20170316*"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156-16 --locoid 4045 --swversion DE.1.0.9.0 --startMP 204:232993 --initTime 2017-03-16T11:12:13 --startdatetime 2017-03-16T11:26:15 --delay 1 --endMP 204:143 --enddatetime 2017-03-16T12:09:05 --enforcementcount 0 &gt;&gt;C:\Users\stu\Documents\GitHub\eaglep3-reporting\EC\2017-03-16-refined-times.txt</v>
      </c>
      <c r="AI69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{"issue":{"subject":"","project_id":79,"tracker_id":40,"status_id":1,"priority_id":2,"assigned_to_id":23,"start_date":"2017-03-16","description":"","custom_fields":[{"id":1,"name":"Subdivision","value":"EC"},{"id":4,"name":"Milepost","value":"0.0143"},{"id":17,"name":"Train ID","value":"156-16"},{"id":16,"name":"Locomotive ID","value":"4045"},{"id":130,"name":"Impact","value":""},{"id":150,"name":"Time of Event (Mountain Time)","value":"12:09:05"},{"id":151,"name":"Denver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4045 --day 2017-03-16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610</v>
      </c>
      <c r="B70" s="7">
        <v>4029</v>
      </c>
      <c r="C70" s="21" t="s">
        <v>228</v>
      </c>
      <c r="D70" s="21" t="s">
        <v>210</v>
      </c>
      <c r="E70" s="13">
        <v>42810.444664351853</v>
      </c>
      <c r="F70" s="13">
        <v>42810.44840277778</v>
      </c>
      <c r="G70" s="7">
        <v>1</v>
      </c>
      <c r="H70" s="21" t="s">
        <v>545</v>
      </c>
      <c r="I70" s="13">
        <v>42810.474351851852</v>
      </c>
      <c r="J70" s="7">
        <v>0</v>
      </c>
      <c r="K70" s="98" t="str">
        <f t="shared" si="0"/>
        <v>4029/4030</v>
      </c>
      <c r="L70" s="21" t="str">
        <f>VLOOKUP(A70,'Trips&amp;Operators'!$C$1:$G$99999,5,FALSE)</f>
        <v>STARKS ANGELINA</v>
      </c>
      <c r="M70" s="6">
        <f t="shared" si="1"/>
        <v>2.5949074071832001E-2</v>
      </c>
      <c r="N70" s="7">
        <f t="shared" si="22"/>
        <v>37.366666663438082</v>
      </c>
      <c r="O70" s="7"/>
      <c r="P70" s="7"/>
      <c r="Q70" s="22"/>
      <c r="R70" s="22"/>
      <c r="S70" s="31">
        <f t="shared" si="23"/>
        <v>1</v>
      </c>
      <c r="T70" s="46" t="str">
        <f t="shared" si="4"/>
        <v>NorthBound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-16T09:40:19-0600',mode:absolute,to:'2017-03-16T12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7" t="str">
        <f t="shared" si="6"/>
        <v>N</v>
      </c>
      <c r="X70" s="187">
        <f t="shared" si="24"/>
        <v>1</v>
      </c>
      <c r="Y70" s="62">
        <f t="shared" si="8"/>
        <v>4.5999999999999999E-2</v>
      </c>
      <c r="Z70" s="62">
        <f t="shared" si="21"/>
        <v>23.328399999999998</v>
      </c>
      <c r="AA70" s="62">
        <f t="shared" si="10"/>
        <v>23.282399999999999</v>
      </c>
      <c r="AB70" s="59" t="str">
        <f>VLOOKUP(A70,Enforcements!$C$7:$K$13,8,0)</f>
        <v>Bulletin (2)</v>
      </c>
      <c r="AC70" s="55" t="str">
        <f>VLOOKUP(A70,Enforcements!$C$7:$E$13,3,0)</f>
        <v>GRADE CROSSING</v>
      </c>
      <c r="AD70" s="56" t="str">
        <f t="shared" si="11"/>
        <v>0157-16</v>
      </c>
      <c r="AE70" s="85" t="str">
        <f t="shared" si="12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70" s="82" t="str">
        <f t="shared" si="13"/>
        <v>"C:\Program Files (x86)\AstroGrep\AstroGrep.exe" /e /r /s /spath="%USERPROFILE%\AppData\Local\Temp\OnboardLogs" /stypes="app*4029*20170316*" /stext=" 17:.+((SYSTEM_STATE.+slice.+state.+changed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157-16 --locoid 4029 --swversion DE.1.0.9.0 --startMP 204:460 --initTime 2017-03-16T10:40:19 --startdatetime 2017-03-16T10:45:42 --delay 1 --endMP 204:233284 --enddatetime 2017-03-16T11:23:04 --enforcementcount 0 &gt;&gt;C:\Users\stu\Documents\GitHub\eaglep3-reporting\EC\2017-03-16-refined-times.txt</v>
      </c>
      <c r="AI70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{"issue":{"subject":"","project_id":79,"tracker_id":40,"status_id":1,"priority_id":2,"assigned_to_id":23,"start_date":"2017-03-16","description":"","custom_fields":[{"id":1,"name":"Subdivision","value":"EC"},{"id":4,"name":"Milepost","value":"23.3284"},{"id":17,"name":"Train ID","value":"157-16"},{"id":16,"name":"Locomotive ID","value":"4029"},{"id":130,"name":"Impact","value":""},{"id":150,"name":"Time of Event (Mountain Time)","value":"11:23:04"},{"id":151,"name":"Denver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4029 --day 2017-03-16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721</v>
      </c>
      <c r="B71" s="7">
        <v>4030</v>
      </c>
      <c r="C71" s="21" t="s">
        <v>228</v>
      </c>
      <c r="D71" s="21" t="s">
        <v>550</v>
      </c>
      <c r="E71" s="13">
        <v>42810.485358796293</v>
      </c>
      <c r="F71" s="13">
        <v>42810.487164351849</v>
      </c>
      <c r="G71" s="7">
        <v>1</v>
      </c>
      <c r="H71" s="21" t="s">
        <v>218</v>
      </c>
      <c r="I71" s="13">
        <v>42810.515081018515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STARKS ANGELINA</v>
      </c>
      <c r="M71" s="6">
        <f t="shared" si="1"/>
        <v>2.7916666665987577E-2</v>
      </c>
      <c r="N71" s="7">
        <f t="shared" si="22"/>
        <v>40.199999999022111</v>
      </c>
      <c r="O71" s="7"/>
      <c r="P71" s="7"/>
      <c r="Q71" s="22"/>
      <c r="R71" s="22"/>
      <c r="S71" s="31">
        <f t="shared" si="23"/>
        <v>1</v>
      </c>
      <c r="T71" s="46" t="str">
        <f t="shared" si="4"/>
        <v>Southbound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-16T10:38:55-0600',mode:absolute,to:'2017-03-16T13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7" t="str">
        <f t="shared" si="6"/>
        <v>N</v>
      </c>
      <c r="X71" s="187">
        <f t="shared" si="24"/>
        <v>1</v>
      </c>
      <c r="Y71" s="62">
        <f t="shared" si="8"/>
        <v>23.297799999999999</v>
      </c>
      <c r="Z71" s="62">
        <f t="shared" si="21"/>
        <v>1.41E-2</v>
      </c>
      <c r="AA71" s="62">
        <f t="shared" si="10"/>
        <v>23.2837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0158-16</v>
      </c>
      <c r="AE71" s="85" t="str">
        <f t="shared" si="12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71" s="82" t="str">
        <f t="shared" si="13"/>
        <v>"C:\Program Files (x86)\AstroGrep\AstroGrep.exe" /e /r /s /spath="%USERPROFILE%\AppData\Local\Temp\OnboardLogs" /stypes="app*4030*20170316*"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158-16 --locoid 4030 --swversion DE.1.0.9.0 --startMP 204:232978 --initTime 2017-03-16T11:38:55 --startdatetime 2017-03-16T11:41:31 --delay 1 --endMP 204:141 --enddatetime 2017-03-16T12:21:43 --enforcementcount 0 &gt;&gt;C:\Users\stu\Documents\GitHub\eaglep3-reporting\EC\2017-03-16-refined-times.txt</v>
      </c>
      <c r="AI71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ID","value":"158-16"},{"id":16,"name":"Locomotive ID","value":"4030"},{"id":130,"name":"Impact","value":""},{"id":150,"name":"Time of Event (Mountain Time)","value":"12:21:43"},{"id":151,"name":"Denver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4030 --day 2017-03-16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716</v>
      </c>
      <c r="B72" s="7">
        <v>4002</v>
      </c>
      <c r="C72" s="21" t="s">
        <v>228</v>
      </c>
      <c r="D72" s="21" t="s">
        <v>229</v>
      </c>
      <c r="E72" s="13">
        <v>42810.455625000002</v>
      </c>
      <c r="F72" s="13">
        <v>42810.458506944444</v>
      </c>
      <c r="G72" s="7">
        <v>1</v>
      </c>
      <c r="H72" s="21" t="s">
        <v>230</v>
      </c>
      <c r="I72" s="13">
        <v>42810.486793981479</v>
      </c>
      <c r="J72" s="7">
        <v>0</v>
      </c>
      <c r="K72" s="98" t="str">
        <f t="shared" si="0"/>
        <v>4001/4002</v>
      </c>
      <c r="L72" s="21" t="str">
        <f>VLOOKUP(A72,'Trips&amp;Operators'!$C$1:$G$99999,5,FALSE)</f>
        <v>CLARK KATHLEEN</v>
      </c>
      <c r="M72" s="6">
        <f t="shared" si="1"/>
        <v>2.8287037035624962E-2</v>
      </c>
      <c r="N72" s="7">
        <f t="shared" si="22"/>
        <v>40.733333331299946</v>
      </c>
      <c r="O72" s="7"/>
      <c r="P72" s="7"/>
      <c r="Q72" s="22"/>
      <c r="R72" s="22"/>
      <c r="S72" s="31">
        <f t="shared" si="23"/>
        <v>1</v>
      </c>
      <c r="T72" s="46" t="str">
        <f t="shared" si="4"/>
        <v>NorthBound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-16T09:56:06-0600',mode:absolute,to:'2017-03-16T12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2" s="187" t="str">
        <f t="shared" si="6"/>
        <v>N</v>
      </c>
      <c r="X72" s="187">
        <f t="shared" si="24"/>
        <v>1</v>
      </c>
      <c r="Y72" s="62">
        <f t="shared" si="8"/>
        <v>4.58E-2</v>
      </c>
      <c r="Z72" s="62">
        <f t="shared" si="21"/>
        <v>23.331399999999999</v>
      </c>
      <c r="AA72" s="62">
        <f t="shared" si="10"/>
        <v>23.285599999999999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0159-16</v>
      </c>
      <c r="AE72" s="85" t="str">
        <f t="shared" si="12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72" s="82" t="str">
        <f t="shared" si="13"/>
        <v>"C:\Program Files (x86)\AstroGrep\AstroGrep.exe" /e /r /s /spath="%USERPROFILE%\AppData\Local\Temp\OnboardLogs" /stypes="app*4002*20170316*" /stext=" 17:.+((SYSTEM_STATE.+slice.+state.+changed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159-16 --locoid 4002 --swversion DE.1.0.9.0 --startMP 204:458 --initTime 2017-03-16T10:56:06 --startdatetime 2017-03-16T11:00:15 --delay 1 --endMP 204:233314 --enddatetime 2017-03-16T11:40:59 --enforcementcount 0 &gt;&gt;C:\Users\stu\Documents\GitHub\eaglep3-reporting\EC\2017-03-16-refined-times.txt</v>
      </c>
      <c r="AI72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ID","value":"159-16"},{"id":16,"name":"Locomotive ID","value":"4002"},{"id":130,"name":"Impact","value":""},{"id":150,"name":"Time of Event (Mountain Time)","value":"11:40:59"},{"id":151,"name":"Denver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4002 --day 2017-03-16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723</v>
      </c>
      <c r="B73" s="7">
        <v>4001</v>
      </c>
      <c r="C73" s="21" t="s">
        <v>228</v>
      </c>
      <c r="D73" s="21" t="s">
        <v>870</v>
      </c>
      <c r="E73" s="13">
        <v>42810.493923611109</v>
      </c>
      <c r="F73" s="13">
        <v>42810.497384259259</v>
      </c>
      <c r="G73" s="7">
        <v>1</v>
      </c>
      <c r="H73" s="21" t="s">
        <v>201</v>
      </c>
      <c r="I73" s="13">
        <v>42810.524872685186</v>
      </c>
      <c r="J73" s="7">
        <v>0</v>
      </c>
      <c r="K73" s="98" t="str">
        <f t="shared" si="0"/>
        <v>4001/4002</v>
      </c>
      <c r="L73" s="21" t="str">
        <f>VLOOKUP(A73,'Trips&amp;Operators'!$C$1:$G$99999,5,FALSE)</f>
        <v>CLARK KATHLEEN</v>
      </c>
      <c r="M73" s="6">
        <f t="shared" si="1"/>
        <v>2.7488425927003846E-2</v>
      </c>
      <c r="N73" s="7">
        <f t="shared" si="22"/>
        <v>39.583333334885538</v>
      </c>
      <c r="O73" s="7"/>
      <c r="P73" s="7"/>
      <c r="Q73" s="22"/>
      <c r="R73" s="22"/>
      <c r="S73" s="31">
        <f t="shared" si="23"/>
        <v>1</v>
      </c>
      <c r="T73" s="46" t="str">
        <f t="shared" si="4"/>
        <v>Southbound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-16T10:51:15-0600',mode:absolute,to:'2017-03-16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3" s="187" t="str">
        <f t="shared" si="6"/>
        <v>N</v>
      </c>
      <c r="X73" s="187">
        <f t="shared" si="24"/>
        <v>1</v>
      </c>
      <c r="Y73" s="62">
        <f t="shared" si="8"/>
        <v>23.300799999999999</v>
      </c>
      <c r="Z73" s="62">
        <f t="shared" si="21"/>
        <v>1.5800000000000002E-2</v>
      </c>
      <c r="AA73" s="62">
        <f t="shared" si="10"/>
        <v>23.285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0160-16</v>
      </c>
      <c r="AE73" s="85" t="str">
        <f t="shared" si="12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73" s="82" t="str">
        <f t="shared" si="13"/>
        <v>"C:\Program Files (x86)\AstroGrep\AstroGrep.exe" /e /r /s /spath="%USERPROFILE%\AppData\Local\Temp\OnboardLogs" /stypes="app*4001*20170316*"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160-16 --locoid 4001 --swversion DE.1.0.9.0 --startMP 204:233008 --initTime 2017-03-16T11:51:15 --startdatetime 2017-03-16T11:56:14 --delay 1 --endMP 204:158 --enddatetime 2017-03-16T12:35:49 --enforcementcount 0 &gt;&gt;C:\Users\stu\Documents\GitHub\eaglep3-reporting\EC\2017-03-16-refined-times.txt</v>
      </c>
      <c r="AI73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{"issue":{"subject":"","project_id":79,"tracker_id":40,"status_id":1,"priority_id":2,"assigned_to_id":23,"start_date":"2017-03-16","description":"","custom_fields":[{"id":1,"name":"Subdivision","value":"EC"},{"id":4,"name":"Milepost","value":"0.0158"},{"id":17,"name":"Train ID","value":"160-16"},{"id":16,"name":"Locomotive ID","value":"4001"},{"id":130,"name":"Impact","value":""},{"id":150,"name":"Time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4001 --day 2017-03-16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717</v>
      </c>
      <c r="B74" s="7">
        <v>4003</v>
      </c>
      <c r="C74" s="21" t="s">
        <v>228</v>
      </c>
      <c r="D74" s="21" t="s">
        <v>219</v>
      </c>
      <c r="E74" s="13">
        <v>42810.463680555556</v>
      </c>
      <c r="F74" s="13">
        <v>42810.468958333331</v>
      </c>
      <c r="G74" s="7">
        <v>1</v>
      </c>
      <c r="H74" s="21" t="s">
        <v>557</v>
      </c>
      <c r="I74" s="13">
        <v>42810.493622685186</v>
      </c>
      <c r="J74" s="7">
        <v>0</v>
      </c>
      <c r="K74" s="98" t="str">
        <f t="shared" si="0"/>
        <v>4003/4004</v>
      </c>
      <c r="L74" s="21" t="str">
        <f>VLOOKUP(A74,'Trips&amp;Operators'!$C$1:$G$99999,5,FALSE)</f>
        <v>MOSES BRADLEY</v>
      </c>
      <c r="M74" s="6">
        <f t="shared" si="1"/>
        <v>2.4664351854880806E-2</v>
      </c>
      <c r="N74" s="7">
        <f t="shared" si="22"/>
        <v>35.516666671028361</v>
      </c>
      <c r="O74" s="7"/>
      <c r="P74" s="7"/>
      <c r="Q74" s="22"/>
      <c r="R74" s="22"/>
      <c r="S74" s="31">
        <f t="shared" si="23"/>
        <v>1</v>
      </c>
      <c r="T74" s="46" t="str">
        <f t="shared" si="4"/>
        <v>NorthBound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-16T10:07:42-0600',mode:absolute,to:'2017-03-16T12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187" t="str">
        <f t="shared" si="6"/>
        <v>N</v>
      </c>
      <c r="X74" s="187">
        <f t="shared" si="24"/>
        <v>1</v>
      </c>
      <c r="Y74" s="62">
        <f t="shared" si="8"/>
        <v>4.3999999999999997E-2</v>
      </c>
      <c r="Z74" s="62">
        <f t="shared" si="21"/>
        <v>23.331099999999999</v>
      </c>
      <c r="AA74" s="62">
        <f t="shared" si="10"/>
        <v>23.287099999999999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0161-16</v>
      </c>
      <c r="AE74" s="85" t="str">
        <f t="shared" si="12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74" s="82" t="str">
        <f t="shared" si="13"/>
        <v>"C:\Program Files (x86)\AstroGrep\AstroGrep.exe" /e /r /s /spath="%USERPROFILE%\AppData\Local\Temp\OnboardLogs" /stypes="app*4003*20170316*" /stext=" 17:.+((SYSTEM_STATE.+slice.+state.+changed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161-16 --locoid 4003 --swversion DE.1.0.9.0 --startMP 204:440 --initTime 2017-03-16T11:07:42 --startdatetime 2017-03-16T11:15:18 --delay 1 --endMP 204:233311 --enddatetime 2017-03-16T11:50:49 --enforcementcount 0 &gt;&gt;C:\Users\stu\Documents\GitHub\eaglep3-reporting\EC\2017-03-16-refined-times.txt</v>
      </c>
      <c r="AI74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{"issue":{"subject":"","project_id":79,"tracker_id":40,"status_id":1,"priority_id":2,"assigned_to_id":23,"start_date":"2017-03-16","description":"","custom_fields":[{"id":1,"name":"Subdivision","value":"EC"},{"id":4,"name":"Milepost","value":"23.3311"},{"id":17,"name":"Train ID","value":"161-16"},{"id":16,"name":"Locomotive ID","value":"4003"},{"id":130,"name":"Impact","value":""},{"id":150,"name":"Time of Event (Mountain Time)","value":"11:50:49"},{"id":151,"name":"Denver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4003 --day 2017-03-16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727</v>
      </c>
      <c r="B75" s="7">
        <v>4004</v>
      </c>
      <c r="C75" s="21" t="s">
        <v>228</v>
      </c>
      <c r="D75" s="21" t="s">
        <v>871</v>
      </c>
      <c r="E75" s="13">
        <v>42810.504699074074</v>
      </c>
      <c r="F75" s="13">
        <v>42810.507847222223</v>
      </c>
      <c r="G75" s="7">
        <v>1</v>
      </c>
      <c r="H75" s="21" t="s">
        <v>184</v>
      </c>
      <c r="I75" s="13">
        <v>42810.534629629627</v>
      </c>
      <c r="J75" s="7">
        <v>0</v>
      </c>
      <c r="K75" s="98" t="str">
        <f t="shared" si="0"/>
        <v>4003/4004</v>
      </c>
      <c r="L75" s="21" t="str">
        <f>VLOOKUP(A75,'Trips&amp;Operators'!$C$1:$G$99999,5,FALSE)</f>
        <v>MOSES BRADLEY</v>
      </c>
      <c r="M75" s="6">
        <f t="shared" si="1"/>
        <v>2.6782407403516117E-2</v>
      </c>
      <c r="N75" s="7">
        <f t="shared" si="22"/>
        <v>38.566666661063209</v>
      </c>
      <c r="O75" s="7"/>
      <c r="P75" s="7"/>
      <c r="Q75" s="22"/>
      <c r="R75" s="22"/>
      <c r="S75" s="31">
        <f t="shared" si="23"/>
        <v>1</v>
      </c>
      <c r="T75" s="46" t="str">
        <f t="shared" si="4"/>
        <v>Southbound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-16T11:06:46-0600',mode:absolute,to:'2017-03-16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187" t="str">
        <f t="shared" si="6"/>
        <v>N</v>
      </c>
      <c r="X75" s="187">
        <f t="shared" si="24"/>
        <v>1</v>
      </c>
      <c r="Y75" s="62">
        <f t="shared" si="8"/>
        <v>23.299399999999999</v>
      </c>
      <c r="Z75" s="62">
        <f t="shared" si="21"/>
        <v>1.49E-2</v>
      </c>
      <c r="AA75" s="62">
        <f t="shared" si="10"/>
        <v>23.284499999999998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0162-16</v>
      </c>
      <c r="AE75" s="85" t="str">
        <f t="shared" si="12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75" s="82" t="str">
        <f t="shared" si="13"/>
        <v>"C:\Program Files (x86)\AstroGrep\AstroGrep.exe" /e /r /s /spath="%USERPROFILE%\AppData\Local\Temp\OnboardLogs" /stypes="app*4004*20170316*"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162-16 --locoid 4004 --swversion DE.1.0.9.0 --startMP 204:232994 --initTime 2017-03-16T12:06:46 --startdatetime 2017-03-16T12:11:18 --delay 1 --endMP 204:149 --enddatetime 2017-03-16T12:49:52 --enforcementcount 0 &gt;&gt;C:\Users\stu\Documents\GitHub\eaglep3-reporting\EC\2017-03-16-refined-times.txt</v>
      </c>
      <c r="AI75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{"issue":{"subject":"","project_id":79,"tracker_id":40,"status_id":1,"priority_id":2,"assigned_to_id":23,"start_date":"2017-03-16","description":"","custom_fields":[{"id":1,"name":"Subdivision","value":"EC"},{"id":4,"name":"Milepost","value":"0.0149"},{"id":17,"name":"Train ID","value":"162-16"},{"id":16,"name":"Locomotive ID","value":"4004"},{"id":130,"name":"Impact","value":""},{"id":150,"name":"Time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4004 --day 2017-03-16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720</v>
      </c>
      <c r="B76" s="7">
        <v>4025</v>
      </c>
      <c r="C76" s="21" t="s">
        <v>228</v>
      </c>
      <c r="D76" s="21" t="s">
        <v>222</v>
      </c>
      <c r="E76" s="13">
        <v>42810.476226851853</v>
      </c>
      <c r="F76" s="13">
        <v>42810.47934027778</v>
      </c>
      <c r="G76" s="7">
        <v>1</v>
      </c>
      <c r="H76" s="21" t="s">
        <v>560</v>
      </c>
      <c r="I76" s="13">
        <v>42810.504386574074</v>
      </c>
      <c r="J76" s="7">
        <v>0</v>
      </c>
      <c r="K76" s="98" t="str">
        <f t="shared" si="0"/>
        <v>4025/4026</v>
      </c>
      <c r="L76" s="21" t="str">
        <f>VLOOKUP(A76,'Trips&amp;Operators'!$C$1:$G$99999,5,FALSE)</f>
        <v>BRUDER RICHARD</v>
      </c>
      <c r="M76" s="6">
        <f t="shared" si="1"/>
        <v>2.5046296294021886E-2</v>
      </c>
      <c r="N76" s="7">
        <f t="shared" si="22"/>
        <v>36.066666663391516</v>
      </c>
      <c r="O76" s="7"/>
      <c r="P76" s="7"/>
      <c r="Q76" s="22"/>
      <c r="R76" s="22"/>
      <c r="S76" s="31">
        <f t="shared" si="23"/>
        <v>1</v>
      </c>
      <c r="T76" s="46" t="str">
        <f t="shared" si="4"/>
        <v>NorthBound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-16T10:25:46-0600',mode:absolute,to:'2017-03-16T13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87" t="str">
        <f t="shared" si="6"/>
        <v>N</v>
      </c>
      <c r="X76" s="187">
        <f t="shared" si="24"/>
        <v>1</v>
      </c>
      <c r="Y76" s="62">
        <f t="shared" si="8"/>
        <v>4.4699999999999997E-2</v>
      </c>
      <c r="Z76" s="62">
        <f t="shared" si="21"/>
        <v>23.333100000000002</v>
      </c>
      <c r="AA76" s="62">
        <f t="shared" si="10"/>
        <v>23.288400000000003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0163-16</v>
      </c>
      <c r="AE76" s="85" t="str">
        <f t="shared" si="12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76" s="82" t="str">
        <f t="shared" si="13"/>
        <v>"C:\Program Files (x86)\AstroGrep\AstroGrep.exe" /e /r /s /spath="%USERPROFILE%\AppData\Local\Temp\OnboardLogs" /stypes="app*4025*20170316*" /stext=" 18:.+((SYSTEM_STATE.+slice.+state.+changed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163-16 --locoid 4025 --swversion DE.1.0.9.0 --startMP 204:447 --initTime 2017-03-16T11:25:46 --startdatetime 2017-03-16T11:30:15 --delay 1 --endMP 204:233331 --enddatetime 2017-03-16T12:06:19 --enforcementcount 0 &gt;&gt;C:\Users\stu\Documents\GitHub\eaglep3-reporting\EC\2017-03-16-refined-times.txt</v>
      </c>
      <c r="AI76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{"issue":{"subject":"","project_id":79,"tracker_id":40,"status_id":1,"priority_id":2,"assigned_to_id":23,"start_date":"2017-03-16","description":"","custom_fields":[{"id":1,"name":"Subdivision","value":"EC"},{"id":4,"name":"Milepost","value":"23.3331"},{"id":17,"name":"Train ID","value":"163-16"},{"id":16,"name":"Locomotive ID","value":"4025"},{"id":130,"name":"Impact","value":""},{"id":150,"name":"Time of Event (Mountain Time)","value":"12:06:19"},{"id":151,"name":"Denver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4025 --day 2017-03-16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730</v>
      </c>
      <c r="B77" s="7">
        <v>4026</v>
      </c>
      <c r="C77" s="21" t="s">
        <v>228</v>
      </c>
      <c r="D77" s="21" t="s">
        <v>236</v>
      </c>
      <c r="E77" s="13">
        <v>42810.514120370368</v>
      </c>
      <c r="F77" s="13">
        <v>42810.518252314818</v>
      </c>
      <c r="G77" s="7">
        <v>1</v>
      </c>
      <c r="H77" s="21" t="s">
        <v>218</v>
      </c>
      <c r="I77" s="13">
        <v>42810.545520833337</v>
      </c>
      <c r="J77" s="7">
        <v>0</v>
      </c>
      <c r="K77" s="98" t="str">
        <f t="shared" ref="K77:K140" si="25">IF(ISEVEN(B77),(B77-1)&amp;"/"&amp;B77,B77&amp;"/"&amp;(B77+1))</f>
        <v>4025/4026</v>
      </c>
      <c r="L77" s="21" t="str">
        <f>VLOOKUP(A77,'Trips&amp;Operators'!$C$1:$G$99999,5,FALSE)</f>
        <v>BRUDER RICHARD</v>
      </c>
      <c r="M77" s="6">
        <f t="shared" ref="M77:M140" si="26">I77-F77</f>
        <v>2.7268518519122154E-2</v>
      </c>
      <c r="N77" s="7">
        <f t="shared" si="22"/>
        <v>39.266666667535901</v>
      </c>
      <c r="O77" s="7"/>
      <c r="P77" s="7"/>
      <c r="Q77" s="22"/>
      <c r="R77" s="22"/>
      <c r="S77" s="31">
        <f t="shared" si="23"/>
        <v>1</v>
      </c>
      <c r="T77" s="46" t="str">
        <f t="shared" ref="T77:T140" si="27">IF(ISEVEN(LEFT(AD77,4)),"Southbound","NorthBound")</f>
        <v>Southbound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-16T11:20:20-0600',mode:absolute,to:'2017-03-16T14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87" t="str">
        <f t="shared" ref="W77:W140" si="29">IF(AA77&lt;IF(AG77="EC",23,5.65),"Y","N")</f>
        <v>N</v>
      </c>
      <c r="X77" s="187">
        <f t="shared" ref="X77:X108" si="30">VALUE(LEFT(AD77,4))-VALUE(LEFT(AD76,4))</f>
        <v>1</v>
      </c>
      <c r="Y77" s="62">
        <f t="shared" ref="Y77:Y140" si="31">RIGHT(D77,LEN(D77)-4)/10000</f>
        <v>23.3</v>
      </c>
      <c r="Z77" s="62">
        <f t="shared" si="21"/>
        <v>1.41E-2</v>
      </c>
      <c r="AA77" s="62">
        <f t="shared" ref="AA77:AA140" si="32">ABS(Z77-Y77)</f>
        <v>23.285900000000002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3">IF(LEN(A77)=6,"0"&amp;A77,A77)</f>
        <v>0164-16</v>
      </c>
      <c r="AE77" s="85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77" s="82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/stypes="app*4026*20170316*" /stext=" 19:.+((SYSTEM_STATE.+slice.+state.+changed )|(ment ac)|(multiple cpu faults)|(system.+state.+changed )|(\[timeout)|(PRM\|1\|D)|(kpr)|(kdp)|(\|lc)|(penalty))"</v>
      </c>
      <c r="AG77" s="1" t="str">
        <f t="shared" ref="AG77:AG140" si="36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164-16 --locoid 4026 --swversion DE.1.0.9.0 --startMP 204:233000 --initTime 2017-03-16T12:20:20 --startdatetime 2017-03-16T12:26:17 --delay 1 --endMP 204:141 --enddatetime 2017-03-16T13:05:33 --enforcementcount 0 &gt;&gt;C:\Users\stu\Documents\GitHub\eaglep3-reporting\EC\2017-03-16-refined-times.txt</v>
      </c>
      <c r="AI77" s="108" t="str">
        <f t="shared" si="19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ID","value":"164-16"},{"id":16,"name":"Locomotive ID","value":"4026"},{"id":130,"name":"Impact","value":""},{"id":150,"name":"Time of Event (Mountain Time)","value":"13:05:33"},{"id":151,"name":"Denver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4026 --day 2017-03-16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722</v>
      </c>
      <c r="B78" s="7">
        <v>4040</v>
      </c>
      <c r="C78" s="21" t="s">
        <v>228</v>
      </c>
      <c r="D78" s="21" t="s">
        <v>556</v>
      </c>
      <c r="E78" s="13">
        <v>42810.486284722225</v>
      </c>
      <c r="F78" s="13">
        <v>42810.489756944444</v>
      </c>
      <c r="G78" s="7">
        <v>1</v>
      </c>
      <c r="H78" s="21" t="s">
        <v>563</v>
      </c>
      <c r="I78" s="13">
        <v>42810.514618055553</v>
      </c>
      <c r="J78" s="7">
        <v>0</v>
      </c>
      <c r="K78" s="98" t="str">
        <f t="shared" si="25"/>
        <v>4039/4040</v>
      </c>
      <c r="L78" s="21" t="str">
        <f>VLOOKUP(A78,'Trips&amp;Operators'!$C$1:$G$99999,5,FALSE)</f>
        <v>SMITH MICHAEL</v>
      </c>
      <c r="M78" s="6">
        <f t="shared" si="26"/>
        <v>2.4861111109203193E-2</v>
      </c>
      <c r="N78" s="7">
        <f t="shared" si="22"/>
        <v>35.799999997252598</v>
      </c>
      <c r="O78" s="7"/>
      <c r="P78" s="7"/>
      <c r="Q78" s="22"/>
      <c r="R78" s="22"/>
      <c r="S78" s="31">
        <f t="shared" si="23"/>
        <v>1</v>
      </c>
      <c r="T78" s="46" t="str">
        <f t="shared" si="27"/>
        <v>NorthBound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8"/>
        <v>https://d0f6bd738d7f1b3e5a7ca70fe4ff75f0.us-east-1.aws.found.io/app/kibana#/discover/Steve-Slow-Train-Analysis-(2080s-and-2083s)?_g=(refreshInterval:(display:Off,pause:!f,section:0,value:0),time:(from:'2017-03-16T10:40:15-0600',mode:absolute,to:'2017-03-16T13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8" s="187" t="str">
        <f t="shared" si="29"/>
        <v>N</v>
      </c>
      <c r="X78" s="187">
        <f t="shared" si="30"/>
        <v>1</v>
      </c>
      <c r="Y78" s="62">
        <f t="shared" si="31"/>
        <v>4.3700000000000003E-2</v>
      </c>
      <c r="Z78" s="62">
        <f t="shared" si="21"/>
        <v>23.332799999999999</v>
      </c>
      <c r="AA78" s="62">
        <f t="shared" si="32"/>
        <v>23.289099999999998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3"/>
        <v>0165-16</v>
      </c>
      <c r="AE78" s="85" t="str">
        <f t="shared" si="34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78" s="82" t="str">
        <f t="shared" si="35"/>
        <v>"C:\Program Files (x86)\AstroGrep\AstroGrep.exe" /e /r /s /spath="%USERPROFILE%\AppData\Local\Temp\OnboardLogs" /stypes="app*4040*20170316*" /stext=" 18:.+((SYSTEM_STATE.+slice.+state.+changed )|(ment ac)|(multiple cpu faults)|(system.+state.+changed )|(\[timeout)|(PRM\|1\|D)|(kpr)|(kdp)|(\|lc)|(penalty))"</v>
      </c>
      <c r="AG78" s="1" t="str">
        <f t="shared" si="36"/>
        <v>EC</v>
      </c>
      <c r="AH78" s="86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165-16 --locoid 4040 --swversion DE.1.0.9.0 --startMP 204:437 --initTime 2017-03-16T11:40:15 --startdatetime 2017-03-16T11:45:15 --delay 1 --endMP 204:233328 --enddatetime 2017-03-16T12:21:03 --enforcementcount 0 &gt;&gt;C:\Users\stu\Documents\GitHub\eaglep3-reporting\EC\2017-03-16-refined-times.txt</v>
      </c>
      <c r="AI78" s="108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{"issue":{"subject":"","project_id":79,"tracker_id":40,"status_id":1,"priority_id":2,"assigned_to_id":23,"start_date":"2017-03-16","description":"","custom_fields":[{"id":1,"name":"Subdivision","value":"EC"},{"id":4,"name":"Milepost","value":"23.3328"},{"id":17,"name":"Train ID","value":"165-16"},{"id":16,"name":"Locomotive ID","value":"4040"},{"id":130,"name":"Impact","value":""},{"id":150,"name":"Time of Event (Mountain Time)","value":"12:21:03"},{"id":151,"name":"Denver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9">"start /low /b "&amp;dls3logs&amp;" --loco "&amp;B78&amp;" --day "&amp;TEXT(F78,"YYYY-MM-DD")</f>
        <v>start /low /b %USERPROFILE%\Documents\GitHub\eaglep3\Utilities\DownloadLogsFromS3.py --loco 4040 --day 2017-03-16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732</v>
      </c>
      <c r="B79" s="7">
        <v>4039</v>
      </c>
      <c r="C79" s="21" t="s">
        <v>228</v>
      </c>
      <c r="D79" s="21" t="s">
        <v>872</v>
      </c>
      <c r="E79" s="13">
        <v>42810.519421296296</v>
      </c>
      <c r="F79" s="13">
        <v>42810.528668981482</v>
      </c>
      <c r="G79" s="7">
        <v>1</v>
      </c>
      <c r="H79" s="21" t="s">
        <v>221</v>
      </c>
      <c r="I79" s="13">
        <v>42810.555937500001</v>
      </c>
      <c r="J79" s="7">
        <v>0</v>
      </c>
      <c r="K79" s="98" t="str">
        <f t="shared" si="25"/>
        <v>4039/4040</v>
      </c>
      <c r="L79" s="21" t="str">
        <f>VLOOKUP(A79,'Trips&amp;Operators'!$C$1:$G$99999,5,FALSE)</f>
        <v>SMITH MICHAEL</v>
      </c>
      <c r="M79" s="6">
        <f t="shared" si="26"/>
        <v>2.7268518519122154E-2</v>
      </c>
      <c r="N79" s="7">
        <f t="shared" si="22"/>
        <v>39.266666667535901</v>
      </c>
      <c r="O79" s="7"/>
      <c r="P79" s="7"/>
      <c r="Q79" s="22"/>
      <c r="R79" s="22"/>
      <c r="S79" s="31">
        <f t="shared" si="23"/>
        <v>1</v>
      </c>
      <c r="T79" s="46" t="str">
        <f t="shared" si="27"/>
        <v>Southbound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8"/>
        <v>https://d0f6bd738d7f1b3e5a7ca70fe4ff75f0.us-east-1.aws.found.io/app/kibana#/discover/Steve-Slow-Train-Analysis-(2080s-and-2083s)?_g=(refreshInterval:(display:Off,pause:!f,section:0,value:0),time:(from:'2017-03-16T11:27:58-0600',mode:absolute,to:'2017-03-16T14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9" s="187" t="str">
        <f t="shared" si="29"/>
        <v>N</v>
      </c>
      <c r="X79" s="187">
        <f t="shared" si="30"/>
        <v>1</v>
      </c>
      <c r="Y79" s="62">
        <f t="shared" si="31"/>
        <v>23.298999999999999</v>
      </c>
      <c r="Z79" s="62">
        <f t="shared" si="21"/>
        <v>1.47E-2</v>
      </c>
      <c r="AA79" s="62">
        <f t="shared" si="32"/>
        <v>23.284299999999998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3"/>
        <v>0166-16</v>
      </c>
      <c r="AE79" s="85" t="str">
        <f t="shared" si="34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79" s="82" t="str">
        <f t="shared" si="35"/>
        <v>"C:\Program Files (x86)\AstroGrep\AstroGrep.exe" /e /r /s /spath="%USERPROFILE%\AppData\Local\Temp\OnboardLogs" /stypes="app*4039*20170316*" /stext=" 19:.+((SYSTEM_STATE.+slice.+state.+changed )|(ment ac)|(multiple cpu faults)|(system.+state.+changed )|(\[timeout)|(PRM\|1\|D)|(kpr)|(kdp)|(\|lc)|(penalty))"</v>
      </c>
      <c r="AG79" s="1" t="str">
        <f t="shared" si="36"/>
        <v>EC</v>
      </c>
      <c r="AH79" s="86" t="str">
        <f t="shared" si="37"/>
        <v>"%USERPROFILE%\Documents\GitHub\eaglep3\Utilities\RefineRTDCRunTimes.py" --tripid 166-16 --locoid 4039 --swversion DE.1.0.9.0 --startMP 204:232990 --initTime 2017-03-16T12:27:58 --startdatetime 2017-03-16T12:41:17 --delay 1 --endMP 204:147 --enddatetime 2017-03-16T13:20:33 --enforcementcount 0 &gt;&gt;C:\Users\stu\Documents\GitHub\eaglep3-reporting\EC\2017-03-16-refined-times.txt</v>
      </c>
      <c r="AI7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{"issue":{"subject":"","project_id":79,"tracker_id":40,"status_id":1,"priority_id":2,"assigned_to_id":23,"start_date":"2017-03-16","description":"","custom_fields":[{"id":1,"name":"Subdivision","value":"EC"},{"id":4,"name":"Milepost","value":"0.0147"},{"id":17,"name":"Train ID","value":"166-16"},{"id":16,"name":"Locomotive ID","value":"4039"},{"id":130,"name":"Impact","value":""},{"id":150,"name":"Time of Event (Mountain Time)","value":"13:20:33"},{"id":151,"name":"Denver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9"/>
        <v>start /low /b %USERPROFILE%\Documents\GitHub\eaglep3\Utilities\DownloadLogsFromS3.py --loco 4039 --day 2017-03-16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724</v>
      </c>
      <c r="B80" s="7">
        <v>4006</v>
      </c>
      <c r="C80" s="21" t="s">
        <v>228</v>
      </c>
      <c r="D80" s="21" t="s">
        <v>222</v>
      </c>
      <c r="E80" s="13">
        <v>42810.49759259259</v>
      </c>
      <c r="F80" s="13">
        <v>42810.500277777777</v>
      </c>
      <c r="G80" s="7">
        <v>2</v>
      </c>
      <c r="H80" s="21" t="s">
        <v>873</v>
      </c>
      <c r="I80" s="13">
        <v>42810.526250000003</v>
      </c>
      <c r="J80" s="7">
        <v>0</v>
      </c>
      <c r="K80" s="98" t="str">
        <f t="shared" si="25"/>
        <v>4005/4006</v>
      </c>
      <c r="L80" s="21" t="str">
        <f>VLOOKUP(A80,'Trips&amp;Operators'!$C$1:$G$99999,5,FALSE)</f>
        <v>BRANDNER MELINDA</v>
      </c>
      <c r="M80" s="6">
        <f t="shared" si="26"/>
        <v>2.5972222225391306E-2</v>
      </c>
      <c r="N80" s="7">
        <f t="shared" si="22"/>
        <v>37.400000004563481</v>
      </c>
      <c r="O80" s="7"/>
      <c r="P80" s="7"/>
      <c r="Q80" s="22"/>
      <c r="R80" s="22"/>
      <c r="S80" s="31">
        <f t="shared" si="23"/>
        <v>1</v>
      </c>
      <c r="T80" s="46" t="str">
        <f t="shared" si="27"/>
        <v>NorthBound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8"/>
        <v>https://d0f6bd738d7f1b3e5a7ca70fe4ff75f0.us-east-1.aws.found.io/app/kibana#/discover/Steve-Slow-Train-Analysis-(2080s-and-2083s)?_g=(refreshInterval:(display:Off,pause:!f,section:0,value:0),time:(from:'2017-03-16T10:56:32-0600',mode:absolute,to:'2017-03-16T13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87" t="str">
        <f t="shared" si="29"/>
        <v>N</v>
      </c>
      <c r="X80" s="187">
        <f t="shared" si="30"/>
        <v>1</v>
      </c>
      <c r="Y80" s="62">
        <f t="shared" si="31"/>
        <v>4.4699999999999997E-2</v>
      </c>
      <c r="Z80" s="62">
        <f t="shared" si="21"/>
        <v>23.332699999999999</v>
      </c>
      <c r="AA80" s="62">
        <f t="shared" si="32"/>
        <v>23.288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3"/>
        <v>0167-16</v>
      </c>
      <c r="AE80" s="85" t="str">
        <f t="shared" si="34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80" s="82" t="str">
        <f t="shared" si="35"/>
        <v>"C:\Program Files (x86)\AstroGrep\AstroGrep.exe" /e /r /s /spath="%USERPROFILE%\AppData\Local\Temp\OnboardLogs" /stypes="app*4006*20170316*" /stext=" 18:.+((SYSTEM_STATE.+slice.+state.+changed )|(ment ac)|(multiple cpu faults)|(system.+state.+changed )|(\[timeout)|(PRM\|1\|D)|(kpr)|(kdp)|(\|lc)|(penalty))"</v>
      </c>
      <c r="AG80" s="1" t="str">
        <f t="shared" si="36"/>
        <v>EC</v>
      </c>
      <c r="AH80" s="86" t="str">
        <f t="shared" si="37"/>
        <v>"%USERPROFILE%\Documents\GitHub\eaglep3\Utilities\RefineRTDCRunTimes.py" --tripid 167-16 --locoid 4006 --swversion DE.1.0.9.0 --startMP 204:447 --initTime 2017-03-16T11:56:32 --startdatetime 2017-03-16T12:00:24 --delay 2 --endMP 204:233327 --enddatetime 2017-03-16T12:37:48 --enforcementcount 0 &gt;&gt;C:\Users\stu\Documents\GitHub\eaglep3-reporting\EC\2017-03-16-refined-times.txt</v>
      </c>
      <c r="AI8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{"issue":{"subject":"","project_id":79,"tracker_id":40,"status_id":1,"priority_id":2,"assigned_to_id":23,"start_date":"2017-03-16","description":"","custom_fields":[{"id":1,"name":"Subdivision","value":"EC"},{"id":4,"name":"Milepost","value":"23.3327"},{"id":17,"name":"Train ID","value":"167-16"},{"id":16,"name":"Locomotive ID","value":"4006"},{"id":130,"name":"Impact","value":""},{"id":150,"name":"Time of Event (Mountain Time)","value":"12:37:48"},{"id":151,"name":"Denver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9"/>
        <v>start /low /b %USERPROFILE%\Documents\GitHub\eaglep3\Utilities\DownloadLogsFromS3.py --loco 4006 --day 2017-03-16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614</v>
      </c>
      <c r="B81" s="7">
        <v>4005</v>
      </c>
      <c r="C81" s="21" t="s">
        <v>228</v>
      </c>
      <c r="D81" s="21" t="s">
        <v>871</v>
      </c>
      <c r="E81" s="13">
        <v>42810.529166666667</v>
      </c>
      <c r="F81" s="13">
        <v>42810.5390625</v>
      </c>
      <c r="G81" s="7">
        <v>1</v>
      </c>
      <c r="H81" s="21" t="s">
        <v>874</v>
      </c>
      <c r="I81" s="13">
        <v>42810.566678240742</v>
      </c>
      <c r="J81" s="7">
        <v>0</v>
      </c>
      <c r="K81" s="98" t="str">
        <f t="shared" si="25"/>
        <v>4005/4006</v>
      </c>
      <c r="L81" s="21" t="str">
        <f>VLOOKUP(A81,'Trips&amp;Operators'!$C$1:$G$99999,5,FALSE)</f>
        <v>BRANDNER MELINDA</v>
      </c>
      <c r="M81" s="6">
        <f t="shared" si="26"/>
        <v>2.7615740742476191E-2</v>
      </c>
      <c r="N81" s="7">
        <f t="shared" si="22"/>
        <v>39.766666669165716</v>
      </c>
      <c r="O81" s="7"/>
      <c r="P81" s="7"/>
      <c r="Q81" s="22"/>
      <c r="R81" s="22"/>
      <c r="S81" s="31">
        <f t="shared" si="23"/>
        <v>1</v>
      </c>
      <c r="T81" s="46" t="str">
        <f t="shared" si="27"/>
        <v>Southbound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8"/>
        <v>https://d0f6bd738d7f1b3e5a7ca70fe4ff75f0.us-east-1.aws.found.io/app/kibana#/discover/Steve-Slow-Train-Analysis-(2080s-and-2083s)?_g=(refreshInterval:(display:Off,pause:!f,section:0,value:0),time:(from:'2017-03-16T11:42:00-0600',mode:absolute,to:'2017-03-16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87" t="str">
        <f t="shared" si="29"/>
        <v>N</v>
      </c>
      <c r="X81" s="187">
        <f t="shared" si="30"/>
        <v>1</v>
      </c>
      <c r="Y81" s="62">
        <f t="shared" si="31"/>
        <v>23.299399999999999</v>
      </c>
      <c r="Z81" s="62">
        <f t="shared" si="21"/>
        <v>2.12E-2</v>
      </c>
      <c r="AA81" s="62">
        <f t="shared" si="32"/>
        <v>23.278199999999998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3"/>
        <v>0168-16</v>
      </c>
      <c r="AE81" s="85" t="str">
        <f t="shared" si="34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81" s="82" t="str">
        <f t="shared" si="35"/>
        <v>"C:\Program Files (x86)\AstroGrep\AstroGrep.exe" /e /r /s /spath="%USERPROFILE%\AppData\Local\Temp\OnboardLogs" /stypes="app*4005*20170316*" /stext=" 19:.+((SYSTEM_STATE.+slice.+state.+changed )|(ment ac)|(multiple cpu faults)|(system.+state.+changed )|(\[timeout)|(PRM\|1\|D)|(kpr)|(kdp)|(\|lc)|(penalty))"</v>
      </c>
      <c r="AG81" s="1" t="str">
        <f t="shared" si="36"/>
        <v>EC</v>
      </c>
      <c r="AH81" s="86" t="str">
        <f t="shared" si="37"/>
        <v>"%USERPROFILE%\Documents\GitHub\eaglep3\Utilities\RefineRTDCRunTimes.py" --tripid 168-16 --locoid 4005 --swversion DE.1.0.9.0 --startMP 204:232994 --initTime 2017-03-16T12:42:00 --startdatetime 2017-03-16T12:56:15 --delay 1 --endMP 204:212 --enddatetime 2017-03-16T13:36:01 --enforcementcount 0 &gt;&gt;C:\Users\stu\Documents\GitHub\eaglep3-reporting\EC\2017-03-16-refined-times.txt</v>
      </c>
      <c r="AI8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{"issue":{"subject":"","project_id":79,"tracker_id":40,"status_id":1,"priority_id":2,"assigned_to_id":23,"start_date":"2017-03-16","description":"","custom_fields":[{"id":1,"name":"Subdivision","value":"EC"},{"id":4,"name":"Milepost","value":"0.0212"},{"id":17,"name":"Train ID","value":"168-16"},{"id":16,"name":"Locomotive ID","value":"4005"},{"id":130,"name":"Impact","value":""},{"id":150,"name":"Time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9"/>
        <v>start /low /b %USERPROFILE%\Documents\GitHub\eaglep3\Utilities\DownloadLogsFromS3.py --loco 4005 --day 2017-03-16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729</v>
      </c>
      <c r="B82" s="7">
        <v>4046</v>
      </c>
      <c r="C82" s="21" t="s">
        <v>228</v>
      </c>
      <c r="D82" s="21" t="s">
        <v>216</v>
      </c>
      <c r="E82" s="13">
        <v>42810.508553240739</v>
      </c>
      <c r="F82" s="13">
        <v>42810.510648148149</v>
      </c>
      <c r="G82" s="7">
        <v>1</v>
      </c>
      <c r="H82" s="21" t="s">
        <v>854</v>
      </c>
      <c r="I82" s="13">
        <v>42810.535185185188</v>
      </c>
      <c r="J82" s="7">
        <v>0</v>
      </c>
      <c r="K82" s="98" t="str">
        <f t="shared" si="25"/>
        <v>4045/4046</v>
      </c>
      <c r="L82" s="21" t="str">
        <f>VLOOKUP(A82,'Trips&amp;Operators'!$C$1:$G$99999,5,FALSE)</f>
        <v>HELVIE ADAM</v>
      </c>
      <c r="M82" s="6">
        <f t="shared" si="26"/>
        <v>2.453703703940846E-2</v>
      </c>
      <c r="N82" s="7">
        <f t="shared" si="22"/>
        <v>35.333333336748183</v>
      </c>
      <c r="O82" s="7"/>
      <c r="P82" s="7"/>
      <c r="Q82" s="22"/>
      <c r="R82" s="22"/>
      <c r="S82" s="31">
        <f t="shared" si="23"/>
        <v>1</v>
      </c>
      <c r="T82" s="46" t="str">
        <f t="shared" si="27"/>
        <v>NorthBound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8"/>
        <v>https://d0f6bd738d7f1b3e5a7ca70fe4ff75f0.us-east-1.aws.found.io/app/kibana#/discover/Steve-Slow-Train-Analysis-(2080s-and-2083s)?_g=(refreshInterval:(display:Off,pause:!f,section:0,value:0),time:(from:'2017-03-16T11:12:19-0600',mode:absolute,to:'2017-03-16T13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2" s="187" t="str">
        <f t="shared" si="29"/>
        <v>N</v>
      </c>
      <c r="X82" s="187">
        <f t="shared" si="30"/>
        <v>1</v>
      </c>
      <c r="Y82" s="62">
        <f t="shared" si="31"/>
        <v>4.5499999999999999E-2</v>
      </c>
      <c r="Z82" s="62">
        <f t="shared" si="21"/>
        <v>23.330100000000002</v>
      </c>
      <c r="AA82" s="62">
        <f t="shared" si="32"/>
        <v>23.284600000000001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3"/>
        <v>0169-16</v>
      </c>
      <c r="AE82" s="85" t="str">
        <f t="shared" si="34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82" s="82" t="str">
        <f t="shared" si="35"/>
        <v>"C:\Program Files (x86)\AstroGrep\AstroGrep.exe" /e /r /s /spath="%USERPROFILE%\AppData\Local\Temp\OnboardLogs" /stypes="app*4046*20170316*" /stext=" 18:.+((SYSTEM_STATE.+slice.+state.+changed )|(ment ac)|(multiple cpu faults)|(system.+state.+changed )|(\[timeout)|(PRM\|1\|D)|(kpr)|(kdp)|(\|lc)|(penalty))"</v>
      </c>
      <c r="AG82" s="1" t="str">
        <f t="shared" si="36"/>
        <v>EC</v>
      </c>
      <c r="AH82" s="86" t="str">
        <f t="shared" si="37"/>
        <v>"%USERPROFILE%\Documents\GitHub\eaglep3\Utilities\RefineRTDCRunTimes.py" --tripid 169-16 --locoid 4046 --swversion DE.1.0.9.0 --startMP 204:455 --initTime 2017-03-16T12:12:19 --startdatetime 2017-03-16T12:15:20 --delay 1 --endMP 204:233301 --enddatetime 2017-03-16T12:50:40 --enforcementcount 0 &gt;&gt;C:\Users\stu\Documents\GitHub\eaglep3-reporting\EC\2017-03-16-refined-times.txt</v>
      </c>
      <c r="AI8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{"issue":{"subject":"","project_id":79,"tracker_id":40,"status_id":1,"priority_id":2,"assigned_to_id":23,"start_date":"2017-03-16","description":"","custom_fields":[{"id":1,"name":"Subdivision","value":"EC"},{"id":4,"name":"Milepost","value":"23.3301"},{"id":17,"name":"Train ID","value":"169-16"},{"id":16,"name":"Locomotive ID","value":"4046"},{"id":130,"name":"Impact","value":""},{"id":150,"name":"Time of Event (Mountain Time)","value":"12:50:40"},{"id":151,"name":"Denver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9"/>
        <v>start /low /b %USERPROFILE%\Documents\GitHub\eaglep3\Utilities\DownloadLogsFromS3.py --loco 4046 --day 2017-03-16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739</v>
      </c>
      <c r="B83" s="7">
        <v>4045</v>
      </c>
      <c r="C83" s="21" t="s">
        <v>228</v>
      </c>
      <c r="D83" s="21" t="s">
        <v>546</v>
      </c>
      <c r="E83" s="13">
        <v>42810.547523148147</v>
      </c>
      <c r="F83" s="13">
        <v>42810.577708333331</v>
      </c>
      <c r="G83" s="7">
        <v>1</v>
      </c>
      <c r="H83" s="21" t="s">
        <v>875</v>
      </c>
      <c r="I83" s="13">
        <v>42810.585023148145</v>
      </c>
      <c r="J83" s="7">
        <v>0</v>
      </c>
      <c r="K83" s="98" t="str">
        <f t="shared" si="25"/>
        <v>4045/4046</v>
      </c>
      <c r="L83" s="21" t="str">
        <f>VLOOKUP(A83,'Trips&amp;Operators'!$C$1:$G$99999,5,FALSE)</f>
        <v>HELVIE ADAM</v>
      </c>
      <c r="M83" s="6">
        <f t="shared" si="26"/>
        <v>7.3148148148902692E-3</v>
      </c>
      <c r="N83" s="7"/>
      <c r="O83" s="7"/>
      <c r="P83" s="7">
        <f>24*60*SUM($M83:$M83)</f>
        <v>10.533333333441988</v>
      </c>
      <c r="Q83" s="22"/>
      <c r="R83" s="22" t="s">
        <v>1033</v>
      </c>
      <c r="S83" s="31">
        <f>SUM(U83:U84)/IF(AG83="EC",12,1)</f>
        <v>0.25</v>
      </c>
      <c r="T83" s="46" t="str">
        <f t="shared" si="27"/>
        <v>Southbound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86" t="str">
        <f t="shared" si="28"/>
        <v>https://d0f6bd738d7f1b3e5a7ca70fe4ff75f0.us-east-1.aws.found.io/app/kibana#/discover/Steve-Slow-Train-Analysis-(2080s-and-2083s)?_g=(refreshInterval:(display:Off,pause:!f,section:0,value:0),time:(from:'2017-03-16T12:08:26-0600',mode:absolute,to:'2017-03-16T15:02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3" s="187" t="str">
        <f t="shared" si="29"/>
        <v>Y</v>
      </c>
      <c r="X83" s="187">
        <f t="shared" si="30"/>
        <v>1</v>
      </c>
      <c r="Y83" s="62">
        <f t="shared" si="31"/>
        <v>23.2986</v>
      </c>
      <c r="Z83" s="62">
        <v>11.09</v>
      </c>
      <c r="AA83" s="62">
        <f t="shared" si="32"/>
        <v>12.208600000000001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3"/>
        <v>0170-16</v>
      </c>
      <c r="AE83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83" s="82" t="str">
        <f t="shared" si="35"/>
        <v>"C:\Program Files (x86)\AstroGrep\AstroGrep.exe" /e /r /s /spath="%USERPROFILE%\AppData\Local\Temp\OnboardLogs" /stypes="app*4045*20170316*" /stext=" 20:.+((SYSTEM_STATE.+slice.+state.+changed )|(ment ac)|(multiple cpu faults)|(system.+state.+changed )|(\[timeout)|(PRM\|1\|D)|(kpr)|(kdp)|(\|lc)|(penalty))"</v>
      </c>
      <c r="AG83" s="1" t="str">
        <f t="shared" si="36"/>
        <v>EC</v>
      </c>
      <c r="AH83" s="86" t="str">
        <f t="shared" si="37"/>
        <v>"%USERPROFILE%\Documents\GitHub\eaglep3\Utilities\RefineRTDCRunTimes.py" --tripid 170-16 --locoid 4045 --swversion DE.1.0.9.0 --startMP 204:232986 --initTime 2017-03-16T13:08:26 --startdatetime 2017-03-16T13:51:54 --delay 1 --endMP 204:64163 --enddatetime 2017-03-16T14:02:26 --enforcementcount 0 &gt;&gt;C:\Users\stu\Documents\GitHub\eaglep3-reporting\EC\2017-03-16-refined-times.txt</v>
      </c>
      <c r="AI83" s="108" t="str">
        <f t="shared" si="38"/>
        <v>echo {"issue":{"subject":"CP Sable ELXS failure","project_id":79,"tracker_id":40,"status_id":1,"priority_id":2,"assigned_to_id":23,"start_date":"2017-03-16","description":"At approx 13:27, CP Sable experienced link failures, transferred to standby, and trains had to be talked past red signals. Do logs show why we had a main/standby transfer?","custom_fields":[{"id":1,"name":"Subdivision","value":"EC"},{"id":4,"name":"Milepost","value":"11.09"},{"id":17,"name":"Train ID","value":"170-16"},{"id":16,"name":"Locomotive ID","value":"4045"},{"id":130,"name":"Impact","value":"Unexpected Cut-Out or Disengaged"},{"id":150,"name":"Time of Event (Mountain Time)","value":"14:02:26"},{"id":151,"name":"Denver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83" s="48" t="s">
        <v>1034</v>
      </c>
      <c r="AK83" s="48" t="s">
        <v>130</v>
      </c>
      <c r="AL83" s="48" t="s">
        <v>129</v>
      </c>
      <c r="AM83" s="154" t="str">
        <f t="shared" si="39"/>
        <v>start /low /b %USERPROFILE%\Documents\GitHub\eaglep3\Utilities\DownloadLogsFromS3.py --loco 4045 --day 2017-03-16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739</v>
      </c>
      <c r="B84" s="7">
        <v>4045</v>
      </c>
      <c r="C84" s="21" t="s">
        <v>228</v>
      </c>
      <c r="D84" s="21" t="s">
        <v>876</v>
      </c>
      <c r="E84" s="13">
        <v>42810.576793981483</v>
      </c>
      <c r="F84" s="13">
        <v>42810.577708333331</v>
      </c>
      <c r="G84" s="7">
        <v>0</v>
      </c>
      <c r="H84" s="21" t="s">
        <v>200</v>
      </c>
      <c r="I84" s="13">
        <v>42810.585023148145</v>
      </c>
      <c r="J84" s="7">
        <v>0</v>
      </c>
      <c r="K84" s="98" t="str">
        <f t="shared" si="25"/>
        <v>4045/4046</v>
      </c>
      <c r="L84" s="21" t="str">
        <f>VLOOKUP(A84,'Trips&amp;Operators'!$C$1:$G$99999,5,FALSE)</f>
        <v>HELVIE ADAM</v>
      </c>
      <c r="M84" s="6">
        <f t="shared" si="26"/>
        <v>7.3148148148902692E-3</v>
      </c>
      <c r="N84" s="7"/>
      <c r="O84" s="7"/>
      <c r="P84" s="7"/>
      <c r="Q84" s="22"/>
      <c r="R84" s="22"/>
      <c r="S84" s="31"/>
      <c r="T84" s="46" t="str">
        <f t="shared" si="27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3</v>
      </c>
      <c r="V84" s="186" t="str">
        <f t="shared" si="28"/>
        <v>https://d0f6bd738d7f1b3e5a7ca70fe4ff75f0.us-east-1.aws.found.io/app/kibana#/discover/Steve-Slow-Train-Analysis-(2080s-and-2083s)?_g=(refreshInterval:(display:Off,pause:!f,section:0,value:0),time:(from:'2017-03-16T12:50:35-0600',mode:absolute,to:'2017-03-16T15:02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87" t="str">
        <f t="shared" si="29"/>
        <v>Y</v>
      </c>
      <c r="X84" s="187">
        <f t="shared" si="30"/>
        <v>0</v>
      </c>
      <c r="Y84" s="62">
        <f t="shared" si="31"/>
        <v>3.6749999999999998</v>
      </c>
      <c r="Z84" s="62">
        <f t="shared" ref="Z84:Z115" si="40">RIGHT(H84,LEN(H84)-4)/10000</f>
        <v>1.52E-2</v>
      </c>
      <c r="AA84" s="62">
        <f t="shared" si="32"/>
        <v>3.6597999999999997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3"/>
        <v>0170-16</v>
      </c>
      <c r="AE84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84" s="82" t="str">
        <f t="shared" si="35"/>
        <v>"C:\Program Files (x86)\AstroGrep\AstroGrep.exe" /e /r /s /spath="%USERPROFILE%\AppData\Local\Temp\OnboardLogs" /stypes="app*4045*20170316*" /stext=" 20:.+((SYSTEM_STATE.+slice.+state.+changed )|(ment ac)|(multiple cpu faults)|(system.+state.+changed )|(\[timeout)|(PRM\|1\|D)|(kpr)|(kdp)|(\|lc)|(penalty))"</v>
      </c>
      <c r="AG84" s="1" t="str">
        <f t="shared" si="36"/>
        <v>EC</v>
      </c>
      <c r="AH84" s="86" t="str">
        <f t="shared" si="37"/>
        <v>"%USERPROFILE%\Documents\GitHub\eaglep3\Utilities\RefineRTDCRunTimes.py" --tripid 170-16 --locoid 4045 --swversion DE.1.0.9.0 --startMP 204:36750 --initTime 2017-03-16T13:50:35 --startdatetime 2017-03-16T13:51:54 --delay 0 --endMP 204:152 --enddatetime 2017-03-16T14:02:26 --enforcementcount 0 &gt;&gt;C:\Users\stu\Documents\GitHub\eaglep3-reporting\EC\2017-03-16-refined-times.txt</v>
      </c>
      <c r="AI8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{"issue":{"subject":"","project_id":79,"tracker_id":40,"status_id":1,"priority_id":2,"assigned_to_id":23,"start_date":"2017-03-16","description":"","custom_fields":[{"id":1,"name":"Subdivision","value":"EC"},{"id":4,"name":"Milepost","value":"0.0152"},{"id":17,"name":"Train ID","value":"170-16"},{"id":16,"name":"Locomotive ID","value":"4045"},{"id":130,"name":"Impact","value":""},{"id":150,"name":"Time of Event (Mountain Time)","value":"14:02:26"},{"id":151,"name":"Denver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9"/>
        <v>start /low /b %USERPROFILE%\Documents\GitHub\eaglep3\Utilities\DownloadLogsFromS3.py --loco 4045 --day 2017-03-16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731</v>
      </c>
      <c r="B85" s="7">
        <v>4029</v>
      </c>
      <c r="C85" s="21" t="s">
        <v>228</v>
      </c>
      <c r="D85" s="21" t="s">
        <v>556</v>
      </c>
      <c r="E85" s="13">
        <v>42810.51666666667</v>
      </c>
      <c r="F85" s="13">
        <v>42810.521331018521</v>
      </c>
      <c r="G85" s="7">
        <v>1</v>
      </c>
      <c r="H85" s="21" t="s">
        <v>877</v>
      </c>
      <c r="I85" s="13">
        <v>42810.546967592592</v>
      </c>
      <c r="J85" s="7">
        <v>0</v>
      </c>
      <c r="K85" s="98" t="str">
        <f t="shared" si="25"/>
        <v>4029/4030</v>
      </c>
      <c r="L85" s="21" t="str">
        <f>VLOOKUP(A85,'Trips&amp;Operators'!$C$1:$G$99999,5,FALSE)</f>
        <v>DELGADO DIANAH</v>
      </c>
      <c r="M85" s="6">
        <f t="shared" si="26"/>
        <v>2.5636574071540963E-2</v>
      </c>
      <c r="N85" s="7">
        <f t="shared" ref="N85:N96" si="41">24*60*SUM($M85:$M85)</f>
        <v>36.916666663018987</v>
      </c>
      <c r="O85" s="7"/>
      <c r="P85" s="7"/>
      <c r="Q85" s="22"/>
      <c r="R85" s="22"/>
      <c r="S85" s="31">
        <f t="shared" ref="S85:S96" si="42">SUM(U85:U85)/IF(AG85="EC",12,1)</f>
        <v>1</v>
      </c>
      <c r="T85" s="46" t="str">
        <f t="shared" si="27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8"/>
        <v>https://d0f6bd738d7f1b3e5a7ca70fe4ff75f0.us-east-1.aws.found.io/app/kibana#/discover/Steve-Slow-Train-Analysis-(2080s-and-2083s)?_g=(refreshInterval:(display:Off,pause:!f,section:0,value:0),time:(from:'2017-03-16T11:24:00-0600',mode:absolute,to:'2017-03-16T14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187" t="str">
        <f t="shared" si="29"/>
        <v>N</v>
      </c>
      <c r="X85" s="187">
        <f t="shared" si="30"/>
        <v>1</v>
      </c>
      <c r="Y85" s="62">
        <f t="shared" si="31"/>
        <v>4.3700000000000003E-2</v>
      </c>
      <c r="Z85" s="62">
        <f t="shared" si="40"/>
        <v>23.333400000000001</v>
      </c>
      <c r="AA85" s="62">
        <f t="shared" si="32"/>
        <v>23.2897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3"/>
        <v>0171-16</v>
      </c>
      <c r="AE85" s="85" t="str">
        <f t="shared" si="34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85" s="82" t="str">
        <f t="shared" si="35"/>
        <v>"C:\Program Files (x86)\AstroGrep\AstroGrep.exe" /e /r /s /spath="%USERPROFILE%\AppData\Local\Temp\OnboardLogs" /stypes="app*4029*20170316*" /stext=" 19:.+((SYSTEM_STATE.+slice.+state.+changed )|(ment ac)|(multiple cpu faults)|(system.+state.+changed )|(\[timeout)|(PRM\|1\|D)|(kpr)|(kdp)|(\|lc)|(penalty))"</v>
      </c>
      <c r="AG85" s="1" t="str">
        <f t="shared" si="36"/>
        <v>EC</v>
      </c>
      <c r="AH85" s="86" t="str">
        <f t="shared" si="37"/>
        <v>"%USERPROFILE%\Documents\GitHub\eaglep3\Utilities\RefineRTDCRunTimes.py" --tripid 171-16 --locoid 4029 --swversion DE.1.0.9.0 --startMP 204:437 --initTime 2017-03-16T12:24:00 --startdatetime 2017-03-16T12:30:43 --delay 1 --endMP 204:233334 --enddatetime 2017-03-16T13:07:38 --enforcementcount 0 &gt;&gt;C:\Users\stu\Documents\GitHub\eaglep3-reporting\EC\2017-03-16-refined-times.txt</v>
      </c>
      <c r="AI85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{"issue":{"subject":"","project_id":79,"tracker_id":40,"status_id":1,"priority_id":2,"assigned_to_id":23,"start_date":"2017-03-16","description":"","custom_fields":[{"id":1,"name":"Subdivision","value":"EC"},{"id":4,"name":"Milepost","value":"23.3334"},{"id":17,"name":"Train ID","value":"171-16"},{"id":16,"name":"Locomotive ID","value":"4029"},{"id":130,"name":"Impact","value":""},{"id":150,"name":"Time of Event (Mountain Time)","value":"13:07:38"},{"id":151,"name":"Denver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9"/>
        <v>start /low /b %USERPROFILE%\Documents\GitHub\eaglep3\Utilities\DownloadLogsFromS3.py --loco 4029 --day 2017-03-16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</row>
    <row r="86" spans="1:91" s="20" customFormat="1" x14ac:dyDescent="0.25">
      <c r="A86" s="33" t="s">
        <v>741</v>
      </c>
      <c r="B86" s="7">
        <v>4030</v>
      </c>
      <c r="C86" s="21" t="s">
        <v>228</v>
      </c>
      <c r="D86" s="21" t="s">
        <v>878</v>
      </c>
      <c r="E86" s="13">
        <v>42810.554456018515</v>
      </c>
      <c r="F86" s="13">
        <v>42810.559918981482</v>
      </c>
      <c r="G86" s="7">
        <v>1</v>
      </c>
      <c r="H86" s="21" t="s">
        <v>879</v>
      </c>
      <c r="I86" s="13">
        <v>42810.593831018516</v>
      </c>
      <c r="J86" s="7">
        <v>0</v>
      </c>
      <c r="K86" s="98" t="str">
        <f t="shared" si="25"/>
        <v>4029/4030</v>
      </c>
      <c r="L86" s="21" t="str">
        <f>VLOOKUP(A86,'Trips&amp;Operators'!$C$1:$G$99999,5,FALSE)</f>
        <v>DELGADO DIANAH</v>
      </c>
      <c r="M86" s="6">
        <f t="shared" si="26"/>
        <v>3.3912037033587694E-2</v>
      </c>
      <c r="N86" s="7">
        <f t="shared" si="41"/>
        <v>48.83333332836628</v>
      </c>
      <c r="O86" s="7"/>
      <c r="P86" s="7"/>
      <c r="Q86" s="22"/>
      <c r="R86" s="22"/>
      <c r="S86" s="31">
        <f t="shared" si="42"/>
        <v>1</v>
      </c>
      <c r="T86" s="46" t="str">
        <f t="shared" si="27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8"/>
        <v>https://d0f6bd738d7f1b3e5a7ca70fe4ff75f0.us-east-1.aws.found.io/app/kibana#/discover/Steve-Slow-Train-Analysis-(2080s-and-2083s)?_g=(refreshInterval:(display:Off,pause:!f,section:0,value:0),time:(from:'2017-03-16T12:18:25-0600',mode:absolute,to:'2017-03-16T15:15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87" t="str">
        <f t="shared" si="29"/>
        <v>N</v>
      </c>
      <c r="X86" s="187">
        <f t="shared" si="30"/>
        <v>1</v>
      </c>
      <c r="Y86" s="62">
        <f t="shared" si="31"/>
        <v>23.302800000000001</v>
      </c>
      <c r="Z86" s="62">
        <f t="shared" si="40"/>
        <v>0.1154</v>
      </c>
      <c r="AA86" s="62">
        <f t="shared" si="32"/>
        <v>23.1874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3"/>
        <v>0172-16</v>
      </c>
      <c r="AE86" s="85" t="str">
        <f t="shared" si="34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86" s="82" t="str">
        <f t="shared" si="35"/>
        <v>"C:\Program Files (x86)\AstroGrep\AstroGrep.exe" /e /r /s /spath="%USERPROFILE%\AppData\Local\Temp\OnboardLogs" /stypes="app*4030*20170316*" /stext=" 20:.+((SYSTEM_STATE.+slice.+state.+changed )|(ment ac)|(multiple cpu faults)|(system.+state.+changed )|(\[timeout)|(PRM\|1\|D)|(kpr)|(kdp)|(\|lc)|(penalty))"</v>
      </c>
      <c r="AG86" s="1" t="str">
        <f t="shared" si="36"/>
        <v>EC</v>
      </c>
      <c r="AH86" s="86" t="str">
        <f t="shared" si="37"/>
        <v>"%USERPROFILE%\Documents\GitHub\eaglep3\Utilities\RefineRTDCRunTimes.py" --tripid 172-16 --locoid 4030 --swversion DE.1.0.9.0 --startMP 204:233028 --initTime 2017-03-16T13:18:25 --startdatetime 2017-03-16T13:26:17 --delay 1 --endMP 204:1154 --enddatetime 2017-03-16T14:15:07 --enforcementcount 0 &gt;&gt;C:\Users\stu\Documents\GitHub\eaglep3-reporting\EC\2017-03-16-refined-times.txt</v>
      </c>
      <c r="AI86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{"issue":{"subject":"","project_id":79,"tracker_id":40,"status_id":1,"priority_id":2,"assigned_to_id":23,"start_date":"2017-03-16","description":"","custom_fields":[{"id":1,"name":"Subdivision","value":"EC"},{"id":4,"name":"Milepost","value":"0.1154"},{"id":17,"name":"Train ID","value":"172-16"},{"id":16,"name":"Locomotive ID","value":"4030"},{"id":130,"name":"Impact","value":""},{"id":150,"name":"Time of Event (Mountain Time)","value":"14:15:07"},{"id":151,"name":"Denver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9"/>
        <v>start /low /b %USERPROFILE%\Documents\GitHub\eaglep3\Utilities\DownloadLogsFromS3.py --loco 4030 --day 2017-03-16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733</v>
      </c>
      <c r="B87" s="7">
        <v>4002</v>
      </c>
      <c r="C87" s="21" t="s">
        <v>228</v>
      </c>
      <c r="D87" s="21" t="s">
        <v>209</v>
      </c>
      <c r="E87" s="13">
        <v>42810.526747685188</v>
      </c>
      <c r="F87" s="13">
        <v>42810.531458333331</v>
      </c>
      <c r="G87" s="7">
        <v>1</v>
      </c>
      <c r="H87" s="21" t="s">
        <v>460</v>
      </c>
      <c r="I87" s="13">
        <v>42810.557557870372</v>
      </c>
      <c r="J87" s="7">
        <v>0</v>
      </c>
      <c r="K87" s="98" t="str">
        <f t="shared" si="25"/>
        <v>4001/4002</v>
      </c>
      <c r="L87" s="21" t="str">
        <f>VLOOKUP(A87,'Trips&amp;Operators'!$C$1:$G$99999,5,FALSE)</f>
        <v>CLARK KATHLEEN</v>
      </c>
      <c r="M87" s="6">
        <f t="shared" si="26"/>
        <v>2.6099537040863652E-2</v>
      </c>
      <c r="N87" s="7">
        <f t="shared" si="41"/>
        <v>37.583333338843659</v>
      </c>
      <c r="O87" s="7"/>
      <c r="P87" s="7"/>
      <c r="Q87" s="22"/>
      <c r="R87" s="22"/>
      <c r="S87" s="31">
        <f t="shared" si="42"/>
        <v>1</v>
      </c>
      <c r="T87" s="46" t="str">
        <f t="shared" si="27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8"/>
        <v>https://d0f6bd738d7f1b3e5a7ca70fe4ff75f0.us-east-1.aws.found.io/app/kibana#/discover/Steve-Slow-Train-Analysis-(2080s-and-2083s)?_g=(refreshInterval:(display:Off,pause:!f,section:0,value:0),time:(from:'2017-03-16T11:38:31-0600',mode:absolute,to:'2017-03-16T14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187" t="str">
        <f t="shared" si="29"/>
        <v>N</v>
      </c>
      <c r="X87" s="187">
        <f t="shared" si="30"/>
        <v>1</v>
      </c>
      <c r="Y87" s="62">
        <f t="shared" si="31"/>
        <v>4.5699999999999998E-2</v>
      </c>
      <c r="Z87" s="62">
        <f t="shared" si="40"/>
        <v>23.3291</v>
      </c>
      <c r="AA87" s="62">
        <f t="shared" si="32"/>
        <v>23.2834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3"/>
        <v>0173-16</v>
      </c>
      <c r="AE87" s="85" t="str">
        <f t="shared" si="34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87" s="82" t="str">
        <f t="shared" si="35"/>
        <v>"C:\Program Files (x86)\AstroGrep\AstroGrep.exe" /e /r /s /spath="%USERPROFILE%\AppData\Local\Temp\OnboardLogs" /stypes="app*4002*20170316*" /stext=" 19:.+((SYSTEM_STATE.+slice.+state.+changed )|(ment ac)|(multiple cpu faults)|(system.+state.+changed )|(\[timeout)|(PRM\|1\|D)|(kpr)|(kdp)|(\|lc)|(penalty))"</v>
      </c>
      <c r="AG87" s="1" t="str">
        <f t="shared" si="36"/>
        <v>EC</v>
      </c>
      <c r="AH87" s="86" t="str">
        <f t="shared" si="37"/>
        <v>"%USERPROFILE%\Documents\GitHub\eaglep3\Utilities\RefineRTDCRunTimes.py" --tripid 173-16 --locoid 4002 --swversion DE.1.0.9.0 --startMP 204:457 --initTime 2017-03-16T12:38:31 --startdatetime 2017-03-16T12:45:18 --delay 1 --endMP 204:233291 --enddatetime 2017-03-16T13:22:53 --enforcementcount 0 &gt;&gt;C:\Users\stu\Documents\GitHub\eaglep3-reporting\EC\2017-03-16-refined-times.txt</v>
      </c>
      <c r="AI87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{"issue":{"subject":"","project_id":79,"tracker_id":40,"status_id":1,"priority_id":2,"assigned_to_id":23,"start_date":"2017-03-16","description":"","custom_fields":[{"id":1,"name":"Subdivision","value":"EC"},{"id":4,"name":"Milepost","value":"23.3291"},{"id":17,"name":"Train ID","value":"173-16"},{"id":16,"name":"Locomotive ID","value":"4002"},{"id":130,"name":"Impact","value":""},{"id":150,"name":"Time of Event (Mountain Time)","value":"13:22:53"},{"id":151,"name":"Denver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9"/>
        <v>start /low /b %USERPROFILE%\Documents\GitHub\eaglep3\Utilities\DownloadLogsFromS3.py --loco 4002 --day 2017-03-16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743</v>
      </c>
      <c r="B88" s="7">
        <v>4001</v>
      </c>
      <c r="C88" s="21" t="s">
        <v>228</v>
      </c>
      <c r="D88" s="21" t="s">
        <v>240</v>
      </c>
      <c r="E88" s="13">
        <v>42810.566412037035</v>
      </c>
      <c r="F88" s="13">
        <v>42810.5703125</v>
      </c>
      <c r="G88" s="7">
        <v>1</v>
      </c>
      <c r="H88" s="21" t="s">
        <v>431</v>
      </c>
      <c r="I88" s="13">
        <v>42810.600428240738</v>
      </c>
      <c r="J88" s="7">
        <v>0</v>
      </c>
      <c r="K88" s="98" t="str">
        <f t="shared" si="25"/>
        <v>4001/4002</v>
      </c>
      <c r="L88" s="21" t="str">
        <f>VLOOKUP(A88,'Trips&amp;Operators'!$C$1:$G$99999,5,FALSE)</f>
        <v>CLARK KATHLEEN</v>
      </c>
      <c r="M88" s="6">
        <f t="shared" si="26"/>
        <v>3.011574073752854E-2</v>
      </c>
      <c r="N88" s="7">
        <f t="shared" si="41"/>
        <v>43.366666662041098</v>
      </c>
      <c r="O88" s="7"/>
      <c r="P88" s="7"/>
      <c r="Q88" s="22"/>
      <c r="R88" s="22"/>
      <c r="S88" s="31">
        <f t="shared" si="42"/>
        <v>1</v>
      </c>
      <c r="T88" s="46" t="str">
        <f t="shared" si="27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8"/>
        <v>https://d0f6bd738d7f1b3e5a7ca70fe4ff75f0.us-east-1.aws.found.io/app/kibana#/discover/Steve-Slow-Train-Analysis-(2080s-and-2083s)?_g=(refreshInterval:(display:Off,pause:!f,section:0,value:0),time:(from:'2017-03-16T12:35:38-0600',mode:absolute,to:'2017-03-16T15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187" t="str">
        <f t="shared" si="29"/>
        <v>N</v>
      </c>
      <c r="X88" s="187">
        <f t="shared" si="30"/>
        <v>1</v>
      </c>
      <c r="Y88" s="62">
        <f t="shared" si="31"/>
        <v>23.2971</v>
      </c>
      <c r="Z88" s="62">
        <f t="shared" si="40"/>
        <v>1.6500000000000001E-2</v>
      </c>
      <c r="AA88" s="62">
        <f t="shared" si="32"/>
        <v>23.2806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3"/>
        <v>0174-16</v>
      </c>
      <c r="AE88" s="85" t="str">
        <f t="shared" si="34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88" s="82" t="str">
        <f t="shared" si="35"/>
        <v>"C:\Program Files (x86)\AstroGrep\AstroGrep.exe" /e /r /s /spath="%USERPROFILE%\AppData\Local\Temp\OnboardLogs" /stypes="app*4001*20170316*" /stext=" 20:.+((SYSTEM_STATE.+slice.+state.+changed )|(ment ac)|(multiple cpu faults)|(system.+state.+changed )|(\[timeout)|(PRM\|1\|D)|(kpr)|(kdp)|(\|lc)|(penalty))"</v>
      </c>
      <c r="AG88" s="1" t="str">
        <f t="shared" si="36"/>
        <v>EC</v>
      </c>
      <c r="AH88" s="86" t="str">
        <f t="shared" si="37"/>
        <v>"%USERPROFILE%\Documents\GitHub\eaglep3\Utilities\RefineRTDCRunTimes.py" --tripid 174-16 --locoid 4001 --swversion DE.1.0.9.0 --startMP 204:232971 --initTime 2017-03-16T13:35:38 --startdatetime 2017-03-16T13:41:15 --delay 1 --endMP 204:165 --enddatetime 2017-03-16T14:24:37 --enforcementcount 0 &gt;&gt;C:\Users\stu\Documents\GitHub\eaglep3-reporting\EC\2017-03-16-refined-times.txt</v>
      </c>
      <c r="AI8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{"issue":{"subject":"","project_id":79,"tracker_id":40,"status_id":1,"priority_id":2,"assigned_to_id":23,"start_date":"2017-03-16","description":"","custom_fields":[{"id":1,"name":"Subdivision","value":"EC"},{"id":4,"name":"Milepost","value":"0.0165"},{"id":17,"name":"Train ID","value":"174-16"},{"id":16,"name":"Locomotive ID","value":"4001"},{"id":130,"name":"Impact","value":""},{"id":150,"name":"Time of Event (Mountain Time)","value":"14:24:37"},{"id":151,"name":"Denver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9"/>
        <v>start /low /b %USERPROFILE%\Documents\GitHub\eaglep3\Utilities\DownloadLogsFromS3.py --loco 4001 --day 2017-03-16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735</v>
      </c>
      <c r="B89" s="7">
        <v>4003</v>
      </c>
      <c r="C89" s="21" t="s">
        <v>228</v>
      </c>
      <c r="D89" s="21" t="s">
        <v>210</v>
      </c>
      <c r="E89" s="13">
        <v>42810.538506944446</v>
      </c>
      <c r="F89" s="13">
        <v>42810.542048611111</v>
      </c>
      <c r="G89" s="7">
        <v>1</v>
      </c>
      <c r="H89" s="21" t="s">
        <v>230</v>
      </c>
      <c r="I89" s="13">
        <v>42810.567939814813</v>
      </c>
      <c r="J89" s="7">
        <v>0</v>
      </c>
      <c r="K89" s="98" t="str">
        <f t="shared" si="25"/>
        <v>4003/4004</v>
      </c>
      <c r="L89" s="21" t="str">
        <f>VLOOKUP(A89,'Trips&amp;Operators'!$C$1:$G$99999,5,FALSE)</f>
        <v>MOSES BRADLEY</v>
      </c>
      <c r="M89" s="6">
        <f t="shared" si="26"/>
        <v>2.5891203702485655E-2</v>
      </c>
      <c r="N89" s="7">
        <f t="shared" si="41"/>
        <v>37.283333331579342</v>
      </c>
      <c r="O89" s="7"/>
      <c r="P89" s="7"/>
      <c r="Q89" s="22"/>
      <c r="R89" s="22"/>
      <c r="S89" s="31">
        <f t="shared" si="42"/>
        <v>1</v>
      </c>
      <c r="T89" s="46" t="str">
        <f t="shared" si="27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8"/>
        <v>https://d0f6bd738d7f1b3e5a7ca70fe4ff75f0.us-east-1.aws.found.io/app/kibana#/discover/Steve-Slow-Train-Analysis-(2080s-and-2083s)?_g=(refreshInterval:(display:Off,pause:!f,section:0,value:0),time:(from:'2017-03-16T11:55:27-0600',mode:absolute,to:'2017-03-16T14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9" s="187" t="str">
        <f t="shared" si="29"/>
        <v>N</v>
      </c>
      <c r="X89" s="187">
        <f t="shared" si="30"/>
        <v>1</v>
      </c>
      <c r="Y89" s="62">
        <f t="shared" si="31"/>
        <v>4.5999999999999999E-2</v>
      </c>
      <c r="Z89" s="62">
        <f t="shared" si="40"/>
        <v>23.331399999999999</v>
      </c>
      <c r="AA89" s="62">
        <f t="shared" si="32"/>
        <v>23.285399999999999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3"/>
        <v>0175-16</v>
      </c>
      <c r="AE89" s="85" t="str">
        <f t="shared" si="34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89" s="82" t="str">
        <f t="shared" si="35"/>
        <v>"C:\Program Files (x86)\AstroGrep\AstroGrep.exe" /e /r /s /spath="%USERPROFILE%\AppData\Local\Temp\OnboardLogs" /stypes="app*4003*20170316*" /stext=" 19:.+((SYSTEM_STATE.+slice.+state.+changed )|(ment ac)|(multiple cpu faults)|(system.+state.+changed )|(\[timeout)|(PRM\|1\|D)|(kpr)|(kdp)|(\|lc)|(penalty))"</v>
      </c>
      <c r="AG89" s="1" t="str">
        <f t="shared" si="36"/>
        <v>EC</v>
      </c>
      <c r="AH89" s="86" t="str">
        <f t="shared" si="37"/>
        <v>"%USERPROFILE%\Documents\GitHub\eaglep3\Utilities\RefineRTDCRunTimes.py" --tripid 175-16 --locoid 4003 --swversion DE.1.0.9.0 --startMP 204:460 --initTime 2017-03-16T12:55:27 --startdatetime 2017-03-16T13:00:33 --delay 1 --endMP 204:233314 --enddatetime 2017-03-16T13:37:50 --enforcementcount 0 &gt;&gt;C:\Users\stu\Documents\GitHub\eaglep3-reporting\EC\2017-03-16-refined-times.txt</v>
      </c>
      <c r="AI8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ID","value":"175-16"},{"id":16,"name":"Locomotive ID","value":"4003"},{"id":130,"name":"Impact","value":""},{"id":150,"name":"Time of Event (Mountain Time)","value":"13:37:50"},{"id":151,"name":"Denver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9"/>
        <v>start /low /b %USERPROFILE%\Documents\GitHub\eaglep3\Utilities\DownloadLogsFromS3.py --loco 4003 --day 2017-03-16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745</v>
      </c>
      <c r="B90" s="7">
        <v>4004</v>
      </c>
      <c r="C90" s="21" t="s">
        <v>228</v>
      </c>
      <c r="D90" s="21" t="s">
        <v>385</v>
      </c>
      <c r="E90" s="13">
        <v>42810.576770833337</v>
      </c>
      <c r="F90" s="13">
        <v>42810.581180555557</v>
      </c>
      <c r="G90" s="7">
        <v>1</v>
      </c>
      <c r="H90" s="21" t="s">
        <v>880</v>
      </c>
      <c r="I90" s="13">
        <v>42810.609155092592</v>
      </c>
      <c r="J90" s="7">
        <v>0</v>
      </c>
      <c r="K90" s="98" t="str">
        <f t="shared" si="25"/>
        <v>4003/4004</v>
      </c>
      <c r="L90" s="21" t="str">
        <f>VLOOKUP(A90,'Trips&amp;Operators'!$C$1:$G$99999,5,FALSE)</f>
        <v>MOSES BRADLEY</v>
      </c>
      <c r="M90" s="6">
        <f t="shared" si="26"/>
        <v>2.7974537035333924E-2</v>
      </c>
      <c r="N90" s="7">
        <f t="shared" si="41"/>
        <v>40.283333330880851</v>
      </c>
      <c r="O90" s="7"/>
      <c r="P90" s="7"/>
      <c r="Q90" s="22"/>
      <c r="R90" s="22"/>
      <c r="S90" s="31">
        <f t="shared" si="42"/>
        <v>1</v>
      </c>
      <c r="T90" s="46" t="str">
        <f t="shared" si="27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8"/>
        <v>https://d0f6bd738d7f1b3e5a7ca70fe4ff75f0.us-east-1.aws.found.io/app/kibana#/discover/Steve-Slow-Train-Analysis-(2080s-and-2083s)?_g=(refreshInterval:(display:Off,pause:!f,section:0,value:0),time:(from:'2017-03-16T12:50:33-0600',mode:absolute,to:'2017-03-16T15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0" s="187" t="str">
        <f t="shared" si="29"/>
        <v>N</v>
      </c>
      <c r="X90" s="187">
        <f t="shared" si="30"/>
        <v>1</v>
      </c>
      <c r="Y90" s="62">
        <f t="shared" si="31"/>
        <v>23.2989</v>
      </c>
      <c r="Z90" s="62">
        <f t="shared" si="40"/>
        <v>1.78E-2</v>
      </c>
      <c r="AA90" s="62">
        <f t="shared" si="32"/>
        <v>23.281099999999999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3"/>
        <v>0176-16</v>
      </c>
      <c r="AE90" s="85" t="str">
        <f t="shared" si="34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90" s="82" t="str">
        <f t="shared" si="35"/>
        <v>"C:\Program Files (x86)\AstroGrep\AstroGrep.exe" /e /r /s /spath="%USERPROFILE%\AppData\Local\Temp\OnboardLogs" /stypes="app*4004*20170316*" /stext=" 20:.+((SYSTEM_STATE.+slice.+state.+changed )|(ment ac)|(multiple cpu faults)|(system.+state.+changed )|(\[timeout)|(PRM\|1\|D)|(kpr)|(kdp)|(\|lc)|(penalty))"</v>
      </c>
      <c r="AG90" s="1" t="str">
        <f t="shared" si="36"/>
        <v>EC</v>
      </c>
      <c r="AH90" s="86" t="str">
        <f t="shared" si="37"/>
        <v>"%USERPROFILE%\Documents\GitHub\eaglep3\Utilities\RefineRTDCRunTimes.py" --tripid 176-16 --locoid 4004 --swversion DE.1.0.9.0 --startMP 204:232989 --initTime 2017-03-16T13:50:33 --startdatetime 2017-03-16T13:56:54 --delay 1 --endMP 204:178 --enddatetime 2017-03-16T14:37:11 --enforcementcount 0 &gt;&gt;C:\Users\stu\Documents\GitHub\eaglep3-reporting\EC\2017-03-16-refined-times.txt</v>
      </c>
      <c r="AI9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{"issue":{"subject":"","project_id":79,"tracker_id":40,"status_id":1,"priority_id":2,"assigned_to_id":23,"start_date":"2017-03-16","description":"","custom_fields":[{"id":1,"name":"Subdivision","value":"EC"},{"id":4,"name":"Milepost","value":"0.0178"},{"id":17,"name":"Train ID","value":"176-16"},{"id":16,"name":"Locomotive ID","value":"4004"},{"id":130,"name":"Impact","value":""},{"id":150,"name":"Time of Event (Mountain Time)","value":"14:37:11"},{"id":151,"name":"Denver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9"/>
        <v>start /low /b %USERPROFILE%\Documents\GitHub\eaglep3\Utilities\DownloadLogsFromS3.py --loco 4004 --day 2017-03-16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</row>
    <row r="91" spans="1:91" s="20" customFormat="1" x14ac:dyDescent="0.25">
      <c r="A91" s="33" t="s">
        <v>740</v>
      </c>
      <c r="B91" s="7">
        <v>4025</v>
      </c>
      <c r="C91" s="21" t="s">
        <v>228</v>
      </c>
      <c r="D91" s="21" t="s">
        <v>852</v>
      </c>
      <c r="E91" s="13">
        <v>42810.54791666667</v>
      </c>
      <c r="F91" s="13">
        <v>42810.552303240744</v>
      </c>
      <c r="G91" s="7">
        <v>1</v>
      </c>
      <c r="H91" s="21" t="s">
        <v>239</v>
      </c>
      <c r="I91" s="13">
        <v>42810.589224537034</v>
      </c>
      <c r="J91" s="7">
        <v>0</v>
      </c>
      <c r="K91" s="98" t="str">
        <f t="shared" si="25"/>
        <v>4025/4026</v>
      </c>
      <c r="L91" s="21" t="str">
        <f>VLOOKUP(A91,'Trips&amp;Operators'!$C$1:$G$99999,5,FALSE)</f>
        <v>BRUDER RICHARD</v>
      </c>
      <c r="M91" s="6">
        <f t="shared" si="26"/>
        <v>3.6921296290529426E-2</v>
      </c>
      <c r="N91" s="7">
        <f t="shared" si="41"/>
        <v>53.166666658362374</v>
      </c>
      <c r="O91" s="7"/>
      <c r="P91" s="7"/>
      <c r="Q91" s="22"/>
      <c r="R91" s="22"/>
      <c r="S91" s="31">
        <f t="shared" si="42"/>
        <v>1</v>
      </c>
      <c r="T91" s="46" t="str">
        <f t="shared" si="27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8"/>
        <v>https://d0f6bd738d7f1b3e5a7ca70fe4ff75f0.us-east-1.aws.found.io/app/kibana#/discover/Steve-Slow-Train-Analysis-(2080s-and-2083s)?_g=(refreshInterval:(display:Off,pause:!f,section:0,value:0),time:(from:'2017-03-16T12:09:00-0600',mode:absolute,to:'2017-03-16T15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1" s="187" t="str">
        <f t="shared" si="29"/>
        <v>N</v>
      </c>
      <c r="X91" s="187">
        <f t="shared" si="30"/>
        <v>1</v>
      </c>
      <c r="Y91" s="62">
        <f t="shared" si="31"/>
        <v>4.4600000000000001E-2</v>
      </c>
      <c r="Z91" s="62">
        <f t="shared" si="40"/>
        <v>23.329499999999999</v>
      </c>
      <c r="AA91" s="62">
        <f t="shared" si="32"/>
        <v>23.2849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3"/>
        <v>0177-16</v>
      </c>
      <c r="AE91" s="85" t="str">
        <f t="shared" si="34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91" s="82" t="str">
        <f t="shared" si="35"/>
        <v>"C:\Program Files (x86)\AstroGrep\AstroGrep.exe" /e /r /s /spath="%USERPROFILE%\AppData\Local\Temp\OnboardLogs" /stypes="app*4025*20170316*" /stext=" 20:.+((SYSTEM_STATE.+slice.+state.+changed )|(ment ac)|(multiple cpu faults)|(system.+state.+changed )|(\[timeout)|(PRM\|1\|D)|(kpr)|(kdp)|(\|lc)|(penalty))"</v>
      </c>
      <c r="AG91" s="1" t="str">
        <f t="shared" si="36"/>
        <v>EC</v>
      </c>
      <c r="AH91" s="86" t="str">
        <f t="shared" si="37"/>
        <v>"%USERPROFILE%\Documents\GitHub\eaglep3\Utilities\RefineRTDCRunTimes.py" --tripid 177-16 --locoid 4025 --swversion DE.1.0.9.0 --startMP 204:446 --initTime 2017-03-16T13:09:00 --startdatetime 2017-03-16T13:15:19 --delay 1 --endMP 204:233295 --enddatetime 2017-03-16T14:08:29 --enforcementcount 0 &gt;&gt;C:\Users\stu\Documents\GitHub\eaglep3-reporting\EC\2017-03-16-refined-times.txt</v>
      </c>
      <c r="AI9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{"issue":{"subject":"","project_id":79,"tracker_id":40,"status_id":1,"priority_id":2,"assigned_to_id":23,"start_date":"2017-03-16","description":"","custom_fields":[{"id":1,"name":"Subdivision","value":"EC"},{"id":4,"name":"Milepost","value":"23.3295"},{"id":17,"name":"Train ID","value":"177-16"},{"id":16,"name":"Locomotive ID","value":"4025"},{"id":130,"name":"Impact","value":""},{"id":150,"name":"Time of Event (Mountain Time)","value":"14:08:29"},{"id":151,"name":"Denver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9"/>
        <v>start /low /b %USERPROFILE%\Documents\GitHub\eaglep3\Utilities\DownloadLogsFromS3.py --loco 4025 --day 2017-03-16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750</v>
      </c>
      <c r="B92" s="7">
        <v>4026</v>
      </c>
      <c r="C92" s="21" t="s">
        <v>228</v>
      </c>
      <c r="D92" s="21" t="s">
        <v>446</v>
      </c>
      <c r="E92" s="13">
        <v>42810.590289351851</v>
      </c>
      <c r="F92" s="13">
        <v>42810.592245370368</v>
      </c>
      <c r="G92" s="7">
        <v>1</v>
      </c>
      <c r="H92" s="21" t="s">
        <v>184</v>
      </c>
      <c r="I92" s="13">
        <v>42810.620046296295</v>
      </c>
      <c r="J92" s="7">
        <v>0</v>
      </c>
      <c r="K92" s="98" t="str">
        <f t="shared" si="25"/>
        <v>4025/4026</v>
      </c>
      <c r="L92" s="21" t="str">
        <f>VLOOKUP(A92,'Trips&amp;Operators'!$C$1:$G$99999,5,FALSE)</f>
        <v>BRUDER RICHARD</v>
      </c>
      <c r="M92" s="6">
        <f t="shared" si="26"/>
        <v>2.7800925927294884E-2</v>
      </c>
      <c r="N92" s="7">
        <f t="shared" si="41"/>
        <v>40.033333335304633</v>
      </c>
      <c r="O92" s="7"/>
      <c r="P92" s="7"/>
      <c r="Q92" s="22"/>
      <c r="R92" s="22"/>
      <c r="S92" s="31">
        <f t="shared" si="42"/>
        <v>1</v>
      </c>
      <c r="T92" s="46" t="str">
        <f t="shared" si="27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8"/>
        <v>https://d0f6bd738d7f1b3e5a7ca70fe4ff75f0.us-east-1.aws.found.io/app/kibana#/discover/Steve-Slow-Train-Analysis-(2080s-and-2083s)?_g=(refreshInterval:(display:Off,pause:!f,section:0,value:0),time:(from:'2017-03-16T13:10:01-0600',mode:absolute,to:'2017-03-16T15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2" s="187" t="str">
        <f t="shared" si="29"/>
        <v>N</v>
      </c>
      <c r="X92" s="187">
        <f t="shared" si="30"/>
        <v>1</v>
      </c>
      <c r="Y92" s="62">
        <f t="shared" si="31"/>
        <v>23.297499999999999</v>
      </c>
      <c r="Z92" s="62">
        <f t="shared" si="40"/>
        <v>1.49E-2</v>
      </c>
      <c r="AA92" s="62">
        <f t="shared" si="32"/>
        <v>23.282599999999999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3"/>
        <v>0178-16</v>
      </c>
      <c r="AE92" s="85" t="str">
        <f t="shared" si="34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92" s="82" t="str">
        <f t="shared" si="35"/>
        <v>"C:\Program Files (x86)\AstroGrep\AstroGrep.exe" /e /r /s /spath="%USERPROFILE%\AppData\Local\Temp\OnboardLogs" /stypes="app*4026*20170316*" /stext=" 20:.+((SYSTEM_STATE.+slice.+state.+changed )|(ment ac)|(multiple cpu faults)|(system.+state.+changed )|(\[timeout)|(PRM\|1\|D)|(kpr)|(kdp)|(\|lc)|(penalty))"</v>
      </c>
      <c r="AG92" s="1" t="str">
        <f t="shared" si="36"/>
        <v>EC</v>
      </c>
      <c r="AH92" s="86" t="str">
        <f t="shared" si="37"/>
        <v>"%USERPROFILE%\Documents\GitHub\eaglep3\Utilities\RefineRTDCRunTimes.py" --tripid 178-16 --locoid 4026 --swversion DE.1.0.9.0 --startMP 204:232975 --initTime 2017-03-16T14:10:01 --startdatetime 2017-03-16T14:12:50 --delay 1 --endMP 204:149 --enddatetime 2017-03-16T14:52:52 --enforcementcount 0 &gt;&gt;C:\Users\stu\Documents\GitHub\eaglep3-reporting\EC\2017-03-16-refined-times.txt</v>
      </c>
      <c r="AI9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{"issue":{"subject":"","project_id":79,"tracker_id":40,"status_id":1,"priority_id":2,"assigned_to_id":23,"start_date":"2017-03-16","description":"","custom_fields":[{"id":1,"name":"Subdivision","value":"EC"},{"id":4,"name":"Milepost","value":"0.0149"},{"id":17,"name":"Train ID","value":"178-16"},{"id":16,"name":"Locomotive ID","value":"4026"},{"id":130,"name":"Impact","value":""},{"id":150,"name":"Time of Event (Mountain Time)","value":"14:52:52"},{"id":151,"name":"Denver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9"/>
        <v>start /low /b %USERPROFILE%\Documents\GitHub\eaglep3\Utilities\DownloadLogsFromS3.py --loco 4026 --day 2017-03-16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742</v>
      </c>
      <c r="B93" s="7">
        <v>4040</v>
      </c>
      <c r="C93" s="21" t="s">
        <v>228</v>
      </c>
      <c r="D93" s="21" t="s">
        <v>223</v>
      </c>
      <c r="E93" s="13">
        <v>42810.557638888888</v>
      </c>
      <c r="F93" s="13">
        <v>42810.562685185185</v>
      </c>
      <c r="G93" s="7">
        <v>1</v>
      </c>
      <c r="H93" s="21" t="s">
        <v>868</v>
      </c>
      <c r="I93" s="13">
        <v>42810.595937500002</v>
      </c>
      <c r="J93" s="7">
        <v>0</v>
      </c>
      <c r="K93" s="98" t="str">
        <f t="shared" si="25"/>
        <v>4039/4040</v>
      </c>
      <c r="L93" s="21" t="str">
        <f>VLOOKUP(A93,'Trips&amp;Operators'!$C$1:$G$99999,5,FALSE)</f>
        <v>SMITH MICHAEL</v>
      </c>
      <c r="M93" s="6">
        <f t="shared" si="26"/>
        <v>3.3252314817218576E-2</v>
      </c>
      <c r="N93" s="7">
        <f t="shared" si="41"/>
        <v>47.883333336794749</v>
      </c>
      <c r="O93" s="7"/>
      <c r="P93" s="7"/>
      <c r="Q93" s="22"/>
      <c r="R93" s="22"/>
      <c r="S93" s="31">
        <f t="shared" si="42"/>
        <v>1</v>
      </c>
      <c r="T93" s="46" t="str">
        <f t="shared" si="27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8"/>
        <v>https://d0f6bd738d7f1b3e5a7ca70fe4ff75f0.us-east-1.aws.found.io/app/kibana#/discover/Steve-Slow-Train-Analysis-(2080s-and-2083s)?_g=(refreshInterval:(display:Off,pause:!f,section:0,value:0),time:(from:'2017-03-16T12:23:00-0600',mode:absolute,to:'2017-03-16T15:18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3" s="187" t="str">
        <f t="shared" si="29"/>
        <v>N</v>
      </c>
      <c r="X93" s="187">
        <f t="shared" si="30"/>
        <v>1</v>
      </c>
      <c r="Y93" s="62">
        <f t="shared" si="31"/>
        <v>4.6600000000000003E-2</v>
      </c>
      <c r="Z93" s="62">
        <f t="shared" si="40"/>
        <v>23.330200000000001</v>
      </c>
      <c r="AA93" s="62">
        <f t="shared" si="32"/>
        <v>23.2836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3"/>
        <v>0179-16</v>
      </c>
      <c r="AE93" s="85" t="str">
        <f t="shared" si="34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93" s="82" t="str">
        <f t="shared" si="35"/>
        <v>"C:\Program Files (x86)\AstroGrep\AstroGrep.exe" /e /r /s /spath="%USERPROFILE%\AppData\Local\Temp\OnboardLogs" /stypes="app*4040*20170316*" /stext=" 20:.+((SYSTEM_STATE.+slice.+state.+changed )|(ment ac)|(multiple cpu faults)|(system.+state.+changed )|(\[timeout)|(PRM\|1\|D)|(kpr)|(kdp)|(\|lc)|(penalty))"</v>
      </c>
      <c r="AG93" s="1" t="str">
        <f t="shared" si="36"/>
        <v>EC</v>
      </c>
      <c r="AH93" s="86" t="str">
        <f t="shared" si="37"/>
        <v>"%USERPROFILE%\Documents\GitHub\eaglep3\Utilities\RefineRTDCRunTimes.py" --tripid 179-16 --locoid 4040 --swversion DE.1.0.9.0 --startMP 204:466 --initTime 2017-03-16T13:23:00 --startdatetime 2017-03-16T13:30:16 --delay 1 --endMP 204:233302 --enddatetime 2017-03-16T14:18:09 --enforcementcount 0 &gt;&gt;C:\Users\stu\Documents\GitHub\eaglep3-reporting\EC\2017-03-16-refined-times.txt</v>
      </c>
      <c r="AI93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{"issue":{"subject":"","project_id":79,"tracker_id":40,"status_id":1,"priority_id":2,"assigned_to_id":23,"start_date":"2017-03-16","description":"","custom_fields":[{"id":1,"name":"Subdivision","value":"EC"},{"id":4,"name":"Milepost","value":"23.3302"},{"id":17,"name":"Train ID","value":"179-16"},{"id":16,"name":"Locomotive ID","value":"4040"},{"id":130,"name":"Impact","value":""},{"id":150,"name":"Time of Event (Mountain Time)","value":"14:18:09"},{"id":151,"name":"Denver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9"/>
        <v>start /low /b %USERPROFILE%\Documents\GitHub\eaglep3\Utilities\DownloadLogsFromS3.py --loco 4040 --day 2017-03-16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751</v>
      </c>
      <c r="B94" s="7">
        <v>4039</v>
      </c>
      <c r="C94" s="21" t="s">
        <v>228</v>
      </c>
      <c r="D94" s="21" t="s">
        <v>385</v>
      </c>
      <c r="E94" s="13">
        <v>42810.597511574073</v>
      </c>
      <c r="F94" s="13">
        <v>42810.601793981485</v>
      </c>
      <c r="G94" s="7">
        <v>1</v>
      </c>
      <c r="H94" s="21" t="s">
        <v>206</v>
      </c>
      <c r="I94" s="13">
        <v>42810.629791666666</v>
      </c>
      <c r="J94" s="7">
        <v>0</v>
      </c>
      <c r="K94" s="98" t="str">
        <f t="shared" si="25"/>
        <v>4039/4040</v>
      </c>
      <c r="L94" s="21" t="str">
        <f>VLOOKUP(A94,'Trips&amp;Operators'!$C$1:$G$99999,5,FALSE)</f>
        <v>SMITH MICHAEL</v>
      </c>
      <c r="M94" s="6">
        <f t="shared" si="26"/>
        <v>2.7997685181617271E-2</v>
      </c>
      <c r="N94" s="7">
        <f t="shared" si="41"/>
        <v>40.31666666152887</v>
      </c>
      <c r="O94" s="7"/>
      <c r="P94" s="7"/>
      <c r="Q94" s="22"/>
      <c r="R94" s="22"/>
      <c r="S94" s="31">
        <f t="shared" si="42"/>
        <v>1</v>
      </c>
      <c r="T94" s="46" t="str">
        <f t="shared" si="27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8"/>
        <v>https://d0f6bd738d7f1b3e5a7ca70fe4ff75f0.us-east-1.aws.found.io/app/kibana#/discover/Steve-Slow-Train-Analysis-(2080s-and-2083s)?_g=(refreshInterval:(display:Off,pause:!f,section:0,value:0),time:(from:'2017-03-16T13:20:25-0600',mode:absolute,to:'2017-03-16T16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4" s="187" t="str">
        <f t="shared" si="29"/>
        <v>N</v>
      </c>
      <c r="X94" s="187">
        <f t="shared" si="30"/>
        <v>1</v>
      </c>
      <c r="Y94" s="62">
        <f t="shared" si="31"/>
        <v>23.2989</v>
      </c>
      <c r="Z94" s="62">
        <f t="shared" si="40"/>
        <v>1.54E-2</v>
      </c>
      <c r="AA94" s="62">
        <f t="shared" si="32"/>
        <v>23.2835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3"/>
        <v>0180-16</v>
      </c>
      <c r="AE94" s="85" t="str">
        <f t="shared" si="34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94" s="82" t="str">
        <f t="shared" si="35"/>
        <v>"C:\Program Files (x86)\AstroGrep\AstroGrep.exe" /e /r /s /spath="%USERPROFILE%\AppData\Local\Temp\OnboardLogs" /stypes="app*4039*20170316*" /stext=" 21:.+((SYSTEM_STATE.+slice.+state.+changed )|(ment ac)|(multiple cpu faults)|(system.+state.+changed )|(\[timeout)|(PRM\|1\|D)|(kpr)|(kdp)|(\|lc)|(penalty))"</v>
      </c>
      <c r="AG94" s="1" t="str">
        <f t="shared" si="36"/>
        <v>EC</v>
      </c>
      <c r="AH94" s="86" t="str">
        <f t="shared" si="37"/>
        <v>"%USERPROFILE%\Documents\GitHub\eaglep3\Utilities\RefineRTDCRunTimes.py" --tripid 180-16 --locoid 4039 --swversion DE.1.0.9.0 --startMP 204:232989 --initTime 2017-03-16T14:20:25 --startdatetime 2017-03-16T14:26:35 --delay 1 --endMP 204:154 --enddatetime 2017-03-16T15:06:54 --enforcementcount 0 &gt;&gt;C:\Users\stu\Documents\GitHub\eaglep3-reporting\EC\2017-03-16-refined-times.txt</v>
      </c>
      <c r="AI9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{"issue":{"subject":"","project_id":79,"tracker_id":40,"status_id":1,"priority_id":2,"assigned_to_id":23,"start_date":"2017-03-16","description":"","custom_fields":[{"id":1,"name":"Subdivision","value":"EC"},{"id":4,"name":"Milepost","value":"0.0154"},{"id":17,"name":"Train ID","value":"180-16"},{"id":16,"name":"Locomotive ID","value":"4039"},{"id":130,"name":"Impact","value":""},{"id":150,"name":"Time of Event (Mountain Time)","value":"15:06:54"},{"id":151,"name":"Denver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9"/>
        <v>start /low /b %USERPROFILE%\Documents\GitHub\eaglep3\Utilities\DownloadLogsFromS3.py --loco 4039 --day 2017-03-16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744</v>
      </c>
      <c r="B95" s="7">
        <v>4006</v>
      </c>
      <c r="C95" s="21" t="s">
        <v>228</v>
      </c>
      <c r="D95" s="21" t="s">
        <v>552</v>
      </c>
      <c r="E95" s="13">
        <v>42810.569143518522</v>
      </c>
      <c r="F95" s="13">
        <v>42810.574050925927</v>
      </c>
      <c r="G95" s="7">
        <v>3</v>
      </c>
      <c r="H95" s="21" t="s">
        <v>234</v>
      </c>
      <c r="I95" s="13">
        <v>42810.601956018516</v>
      </c>
      <c r="J95" s="7">
        <v>0</v>
      </c>
      <c r="K95" s="98" t="str">
        <f t="shared" si="25"/>
        <v>4005/4006</v>
      </c>
      <c r="L95" s="21" t="str">
        <f>VLOOKUP(A95,'Trips&amp;Operators'!$C$1:$G$99999,5,FALSE)</f>
        <v>BRANDNER MELINDA</v>
      </c>
      <c r="M95" s="6">
        <f t="shared" si="26"/>
        <v>2.7905092589207925E-2</v>
      </c>
      <c r="N95" s="7">
        <f t="shared" si="41"/>
        <v>40.183333328459412</v>
      </c>
      <c r="O95" s="7"/>
      <c r="P95" s="7"/>
      <c r="Q95" s="22"/>
      <c r="R95" s="22" t="s">
        <v>1044</v>
      </c>
      <c r="S95" s="31">
        <f t="shared" si="42"/>
        <v>1</v>
      </c>
      <c r="T95" s="46" t="str">
        <f t="shared" si="27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8"/>
        <v>https://d0f6bd738d7f1b3e5a7ca70fe4ff75f0.us-east-1.aws.found.io/app/kibana#/discover/Steve-Slow-Train-Analysis-(2080s-and-2083s)?_g=(refreshInterval:(display:Off,pause:!f,section:0,value:0),time:(from:'2017-03-16T12:39:34-0600',mode:absolute,to:'2017-03-16T15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187" t="str">
        <f t="shared" si="29"/>
        <v>N</v>
      </c>
      <c r="X95" s="187">
        <f t="shared" si="30"/>
        <v>1</v>
      </c>
      <c r="Y95" s="62">
        <f t="shared" si="31"/>
        <v>0.05</v>
      </c>
      <c r="Z95" s="62">
        <f t="shared" si="40"/>
        <v>23.331199999999999</v>
      </c>
      <c r="AA95" s="62">
        <f t="shared" si="32"/>
        <v>23.281199999999998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3"/>
        <v>0181-16</v>
      </c>
      <c r="AE95" s="85" t="str">
        <f t="shared" si="34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95" s="82" t="str">
        <f t="shared" si="35"/>
        <v>"C:\Program Files (x86)\AstroGrep\AstroGrep.exe" /e /r /s /spath="%USERPROFILE%\AppData\Local\Temp\OnboardLogs" /stypes="app*4006*20170316*" /stext=" 20:.+((SYSTEM_STATE.+slice.+state.+changed )|(ment ac)|(multiple cpu faults)|(system.+state.+changed )|(\[timeout)|(PRM\|1\|D)|(kpr)|(kdp)|(\|lc)|(penalty))"</v>
      </c>
      <c r="AG95" s="1" t="str">
        <f t="shared" si="36"/>
        <v>EC</v>
      </c>
      <c r="AH95" s="86" t="str">
        <f t="shared" si="37"/>
        <v>"%USERPROFILE%\Documents\GitHub\eaglep3\Utilities\RefineRTDCRunTimes.py" --tripid 181-16 --locoid 4006 --swversion DE.1.0.9.0 --startMP 204:500 --initTime 2017-03-16T13:39:34 --startdatetime 2017-03-16T13:46:38 --delay 3 --endMP 204:233312 --enddatetime 2017-03-16T14:26:49 --enforcementcount 0 &gt;&gt;C:\Users\stu\Documents\GitHub\eaglep3-reporting\EC\2017-03-16-refined-times.txt</v>
      </c>
      <c r="AI95" s="108" t="str">
        <f t="shared" si="38"/>
        <v>echo {"issue":{"subject":"No evidence of penalty found in 13:58 timeframe (ATC?)","project_id":79,"tracker_id":40,"status_id":1,"priority_id":2,"assigned_to_id":23,"start_date":"2017-03-16","description":"","custom_fields":[{"id":1,"name":"Subdivision","value":"EC"},{"id":4,"name":"Milepost","value":"23.3312"},{"id":17,"name":"Train ID","value":"181-16"},{"id":16,"name":"Locomotive ID","value":"4006"},{"id":130,"name":"Impact","value":""},{"id":150,"name":"Time of Event (Mountain Time)","value":"14:26:49"},{"id":151,"name":"Denver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9"/>
        <v>start /low /b %USERPROFILE%\Documents\GitHub\eaglep3\Utilities\DownloadLogsFromS3.py --loco 4006 --day 2017-03-16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619</v>
      </c>
      <c r="B96" s="7">
        <v>4005</v>
      </c>
      <c r="C96" s="21" t="s">
        <v>228</v>
      </c>
      <c r="D96" s="21" t="s">
        <v>429</v>
      </c>
      <c r="E96" s="13">
        <v>42810.609212962961</v>
      </c>
      <c r="F96" s="13">
        <v>42810.612002314818</v>
      </c>
      <c r="G96" s="7">
        <v>2</v>
      </c>
      <c r="H96" s="21" t="s">
        <v>881</v>
      </c>
      <c r="I96" s="13">
        <v>42810.643194444441</v>
      </c>
      <c r="J96" s="7">
        <v>0</v>
      </c>
      <c r="K96" s="98" t="str">
        <f t="shared" si="25"/>
        <v>4005/4006</v>
      </c>
      <c r="L96" s="21" t="str">
        <f>VLOOKUP(A96,'Trips&amp;Operators'!$C$1:$G$99999,5,FALSE)</f>
        <v>BRANDNER MELINDA</v>
      </c>
      <c r="M96" s="6">
        <f t="shared" si="26"/>
        <v>3.1192129623377696E-2</v>
      </c>
      <c r="N96" s="7">
        <f t="shared" si="41"/>
        <v>44.916666657663882</v>
      </c>
      <c r="O96" s="7"/>
      <c r="P96" s="7"/>
      <c r="Q96" s="22"/>
      <c r="R96" s="22"/>
      <c r="S96" s="31">
        <f t="shared" si="42"/>
        <v>1</v>
      </c>
      <c r="T96" s="46" t="str">
        <f t="shared" si="27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8"/>
        <v>https://d0f6bd738d7f1b3e5a7ca70fe4ff75f0.us-east-1.aws.found.io/app/kibana#/discover/Steve-Slow-Train-Analysis-(2080s-and-2083s)?_g=(refreshInterval:(display:Off,pause:!f,section:0,value:0),time:(from:'2017-03-16T13:37:16-0600',mode:absolute,to:'2017-03-16T16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187" t="str">
        <f t="shared" si="29"/>
        <v>N</v>
      </c>
      <c r="X96" s="187">
        <f t="shared" si="30"/>
        <v>1</v>
      </c>
      <c r="Y96" s="62">
        <f t="shared" si="31"/>
        <v>23.298400000000001</v>
      </c>
      <c r="Z96" s="62">
        <f t="shared" si="40"/>
        <v>9.8000000000000004E-2</v>
      </c>
      <c r="AA96" s="62">
        <f t="shared" si="32"/>
        <v>23.200400000000002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3"/>
        <v>0182-16</v>
      </c>
      <c r="AE96" s="85" t="str">
        <f t="shared" si="34"/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AF96" s="82" t="str">
        <f t="shared" si="35"/>
        <v>"C:\Program Files (x86)\AstroGrep\AstroGrep.exe" /e /r /s /spath="%USERPROFILE%\AppData\Local\Temp\OnboardLogs" /stypes="app*4005*20170316*" /stext=" 21:.+((SYSTEM_STATE.+slice.+state.+changed )|(ment ac)|(multiple cpu faults)|(system.+state.+changed )|(\[timeout)|(PRM\|1\|D)|(kpr)|(kdp)|(\|lc)|(penalty))"</v>
      </c>
      <c r="AG96" s="1" t="str">
        <f t="shared" si="36"/>
        <v>EC</v>
      </c>
      <c r="AH96" s="86" t="str">
        <f t="shared" si="37"/>
        <v>"%USERPROFILE%\Documents\GitHub\eaglep3\Utilities\RefineRTDCRunTimes.py" --tripid 182-16 --locoid 4005 --swversion DE.1.0.9.0 --startMP 204:232984 --initTime 2017-03-16T14:37:16 --startdatetime 2017-03-16T14:41:17 --delay 2 --endMP 204:980 --enddatetime 2017-03-16T15:26:12 --enforcementcount 0 &gt;&gt;C:\Users\stu\Documents\GitHub\eaglep3-reporting\EC\2017-03-16-refined-times.txt</v>
      </c>
      <c r="AI96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{"issue":{"subject":"","project_id":79,"tracker_id":40,"status_id":1,"priority_id":2,"assigned_to_id":23,"start_date":"2017-03-16","description":"","custom_fields":[{"id":1,"name":"Subdivision","value":"EC"},{"id":4,"name":"Milepost","value":"0.098"},{"id":17,"name":"Train ID","value":"182-16"},{"id":16,"name":"Locomotive ID","value":"4005"},{"id":130,"name":"Impact","value":""},{"id":150,"name":"Time of Event (Mountain Time)","value":"15:26:12"},{"id":151,"name":"Denver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9"/>
        <v>start /low /b %USERPROFILE%\Documents\GitHub\eaglep3\Utilities\DownloadLogsFromS3.py --loco 4005 --day 2017-03-16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"%USERPROFILE%\AppData\Local\Temp\OnboardLogs"\RTDC4005\*4005*20170316* | grep -SE "(Enforcement Action)|(\[TIMEOUT)|(CHR.+\|PRM\|1\|D.+(SWITCH|SIGNAL).+UNKNOWN)" - &gt;&gt; 2017-03-16-UncaughtWiMAX.txt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616</v>
      </c>
      <c r="B97" s="7">
        <v>4027</v>
      </c>
      <c r="C97" s="21" t="s">
        <v>228</v>
      </c>
      <c r="D97" s="21" t="s">
        <v>882</v>
      </c>
      <c r="E97" s="13">
        <v>42810.579097222224</v>
      </c>
      <c r="F97" s="13">
        <v>42810.591956018521</v>
      </c>
      <c r="G97" s="7">
        <v>2</v>
      </c>
      <c r="H97" s="21" t="s">
        <v>883</v>
      </c>
      <c r="I97" s="13">
        <v>42810.618506944447</v>
      </c>
      <c r="J97" s="7">
        <v>0</v>
      </c>
      <c r="K97" s="98" t="str">
        <f t="shared" si="25"/>
        <v>4027/4028</v>
      </c>
      <c r="L97" s="21" t="str">
        <f>VLOOKUP(A97,'Trips&amp;Operators'!$C$1:$G$99999,5,FALSE)</f>
        <v>ARVIDSON DANIEL</v>
      </c>
      <c r="M97" s="6">
        <f t="shared" si="26"/>
        <v>2.6550925926130731E-2</v>
      </c>
      <c r="N97" s="7"/>
      <c r="O97" s="7"/>
      <c r="P97" s="7">
        <f>24*60*SUM($M97:$M97)</f>
        <v>38.233333333628252</v>
      </c>
      <c r="Q97" s="22"/>
      <c r="R97" s="22" t="s">
        <v>1035</v>
      </c>
      <c r="S97" s="31">
        <f>SUM(U97:U98)/IF(AG97="EC",12,1)</f>
        <v>1</v>
      </c>
      <c r="T97" s="46" t="str">
        <f t="shared" si="27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86" t="str">
        <f t="shared" si="28"/>
        <v>https://d0f6bd738d7f1b3e5a7ca70fe4ff75f0.us-east-1.aws.found.io/app/kibana#/discover/Steve-Slow-Train-Analysis-(2080s-and-2083s)?_g=(refreshInterval:(display:Off,pause:!f,section:0,value:0),time:(from:'2017-03-16T12:53:54-0600',mode:absolute,to:'2017-03-16T15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7" s="187" t="str">
        <f t="shared" si="29"/>
        <v>Y</v>
      </c>
      <c r="X97" s="187">
        <f t="shared" si="30"/>
        <v>1</v>
      </c>
      <c r="Y97" s="62">
        <f t="shared" si="31"/>
        <v>0.14899999999999999</v>
      </c>
      <c r="Z97" s="62">
        <f t="shared" si="40"/>
        <v>0.1958</v>
      </c>
      <c r="AA97" s="62">
        <f t="shared" si="32"/>
        <v>4.6800000000000008E-2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3"/>
        <v>0183-16</v>
      </c>
      <c r="AE97" s="85" t="str">
        <f t="shared" si="34"/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AF97" s="82" t="str">
        <f t="shared" si="35"/>
        <v>"C:\Program Files (x86)\AstroGrep\AstroGrep.exe" /e /r /s /spath="%USERPROFILE%\AppData\Local\Temp\OnboardLogs" /stypes="app*4027*20170316*" /stext=" 20:.+((SYSTEM_STATE.+slice.+state.+changed )|(ment ac)|(multiple cpu faults)|(system.+state.+changed )|(\[timeout)|(PRM\|1\|D)|(kpr)|(kdp)|(\|lc)|(penalty))"</v>
      </c>
      <c r="AG97" s="1" t="str">
        <f t="shared" si="36"/>
        <v>EC</v>
      </c>
      <c r="AH97" s="86" t="str">
        <f t="shared" si="37"/>
        <v>"%USERPROFILE%\Documents\GitHub\eaglep3\Utilities\RefineRTDCRunTimes.py" --tripid 183-16 --locoid 4027 --swversion DE.1.0.9.0 --startMP 204:1490 --initTime 2017-03-16T13:53:54 --startdatetime 2017-03-16T14:12:25 --delay 2 --endMP 204:1958 --enddatetime 2017-03-16T14:50:39 --enforcementcount 0 &gt;&gt;C:\Users\stu\Documents\GitHub\eaglep3-reporting\EC\2017-03-16-refined-times.txt</v>
      </c>
      <c r="AI97" s="108" t="str">
        <f t="shared" si="38"/>
        <v>echo {"issue":{"subject":"Main 3 departure","project_id":79,"tracker_id":40,"status_id":1,"priority_id":2,"assigned_to_id":23,"start_date":"2017-03-16","description":"","custom_fields":[{"id":1,"name":"Subdivision","value":"EC"},{"id":4,"name":"Milepost","value":"0.1958"},{"id":17,"name":"Train ID","value":"183-16"},{"id":16,"name":"Locomotive ID","value":"4027"},{"id":130,"name":"Impact","value":""},{"id":150,"name":"Time of Event (Mountain Time)","value":"14:50:39"},{"id":151,"name":"Denver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9"/>
        <v>start /low /b %USERPROFILE%\Documents\GitHub\eaglep3\Utilities\DownloadLogsFromS3.py --loco 4027 --day 2017-03-16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2017-03-16-UncaughtWiMAX.txt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3" t="s">
        <v>616</v>
      </c>
      <c r="B98" s="7">
        <v>4027</v>
      </c>
      <c r="C98" s="21" t="s">
        <v>228</v>
      </c>
      <c r="D98" s="21" t="s">
        <v>884</v>
      </c>
      <c r="E98" s="13">
        <v>42810.590752314813</v>
      </c>
      <c r="F98" s="13">
        <v>42810.591956018521</v>
      </c>
      <c r="G98" s="7">
        <v>1</v>
      </c>
      <c r="H98" s="21" t="s">
        <v>566</v>
      </c>
      <c r="I98" s="13">
        <v>42810.618506944447</v>
      </c>
      <c r="J98" s="7">
        <v>0</v>
      </c>
      <c r="K98" s="98" t="str">
        <f t="shared" si="25"/>
        <v>4027/4028</v>
      </c>
      <c r="L98" s="21" t="str">
        <f>VLOOKUP(A98,'Trips&amp;Operators'!$C$1:$G$99999,5,FALSE)</f>
        <v>ARVIDSON DANIEL</v>
      </c>
      <c r="M98" s="6">
        <f t="shared" si="26"/>
        <v>2.6550925926130731E-2</v>
      </c>
      <c r="N98" s="7"/>
      <c r="O98" s="7"/>
      <c r="P98" s="7"/>
      <c r="Q98" s="22"/>
      <c r="R98" s="22"/>
      <c r="S98" s="31"/>
      <c r="T98" s="46" t="str">
        <f t="shared" si="27"/>
        <v>NorthBound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8"/>
        <v>https://d0f6bd738d7f1b3e5a7ca70fe4ff75f0.us-east-1.aws.found.io/app/kibana#/discover/Steve-Slow-Train-Analysis-(2080s-and-2083s)?_g=(refreshInterval:(display:Off,pause:!f,section:0,value:0),time:(from:'2017-03-16T13:10:41-0600',mode:absolute,to:'2017-03-16T15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87" t="str">
        <f t="shared" si="29"/>
        <v>Y</v>
      </c>
      <c r="X98" s="187">
        <f t="shared" si="30"/>
        <v>0</v>
      </c>
      <c r="Y98" s="62">
        <f t="shared" si="31"/>
        <v>1.9123000000000001</v>
      </c>
      <c r="Z98" s="62">
        <f t="shared" si="40"/>
        <v>23.328299999999999</v>
      </c>
      <c r="AA98" s="62">
        <f t="shared" si="32"/>
        <v>21.415999999999997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3"/>
        <v>0183-16</v>
      </c>
      <c r="AE98" s="85" t="str">
        <f t="shared" si="34"/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AF98" s="82" t="str">
        <f t="shared" si="35"/>
        <v>"C:\Program Files (x86)\AstroGrep\AstroGrep.exe" /e /r /s /spath="%USERPROFILE%\AppData\Local\Temp\OnboardLogs" /stypes="app*4027*20170316*" /stext=" 20:.+((SYSTEM_STATE.+slice.+state.+changed )|(ment ac)|(multiple cpu faults)|(system.+state.+changed )|(\[timeout)|(PRM\|1\|D)|(kpr)|(kdp)|(\|lc)|(penalty))"</v>
      </c>
      <c r="AG98" s="1" t="str">
        <f t="shared" si="36"/>
        <v>EC</v>
      </c>
      <c r="AH98" s="86" t="str">
        <f t="shared" si="37"/>
        <v>"%USERPROFILE%\Documents\GitHub\eaglep3\Utilities\RefineRTDCRunTimes.py" --tripid 183-16 --locoid 4027 --swversion DE.1.0.9.0 --startMP 204:19123 --initTime 2017-03-16T14:10:41 --startdatetime 2017-03-16T14:12:25 --delay 1 --endMP 204:233283 --enddatetime 2017-03-16T14:50:39 --enforcementcount 0 &gt;&gt;C:\Users\stu\Documents\GitHub\eaglep3-reporting\EC\2017-03-16-refined-times.txt</v>
      </c>
      <c r="AI9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{"issue":{"subject":"","project_id":79,"tracker_id":40,"status_id":1,"priority_id":2,"assigned_to_id":23,"start_date":"2017-03-16","description":"","custom_fields":[{"id":1,"name":"Subdivision","value":"EC"},{"id":4,"name":"Milepost","value":"23.3283"},{"id":17,"name":"Train ID","value":"183-16"},{"id":16,"name":"Locomotive ID","value":"4027"},{"id":130,"name":"Impact","value":""},{"id":150,"name":"Time of Event (Mountain Time)","value":"14:50:39"},{"id":151,"name":"Denver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9"/>
        <v>start /low /b %USERPROFILE%\Documents\GitHub\eaglep3\Utilities\DownloadLogsFromS3.py --loco 4027 --day 2017-03-16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2017-03-16-UncaughtWiMAX.txt</v>
      </c>
    </row>
    <row r="99" spans="1:91" s="20" customFormat="1" x14ac:dyDescent="0.25">
      <c r="A99" s="33" t="s">
        <v>754</v>
      </c>
      <c r="B99" s="7">
        <v>4028</v>
      </c>
      <c r="C99" s="21" t="s">
        <v>228</v>
      </c>
      <c r="D99" s="21" t="s">
        <v>885</v>
      </c>
      <c r="E99" s="13">
        <v>42810.620729166665</v>
      </c>
      <c r="F99" s="13">
        <v>42810.622986111113</v>
      </c>
      <c r="G99" s="7">
        <v>1</v>
      </c>
      <c r="H99" s="21" t="s">
        <v>218</v>
      </c>
      <c r="I99" s="13">
        <v>42810.651631944442</v>
      </c>
      <c r="J99" s="7">
        <v>0</v>
      </c>
      <c r="K99" s="98" t="str">
        <f t="shared" si="25"/>
        <v>4027/4028</v>
      </c>
      <c r="L99" s="21" t="str">
        <f>VLOOKUP(A99,'Trips&amp;Operators'!$C$1:$G$99999,5,FALSE)</f>
        <v>ARVIDSON DANIEL</v>
      </c>
      <c r="M99" s="6">
        <f t="shared" si="26"/>
        <v>2.8645833328482695E-2</v>
      </c>
      <c r="N99" s="7">
        <f t="shared" ref="N99:N105" si="43">24*60*SUM($M99:$M99)</f>
        <v>41.249999993015081</v>
      </c>
      <c r="O99" s="7"/>
      <c r="P99" s="7"/>
      <c r="Q99" s="22"/>
      <c r="R99" s="22"/>
      <c r="S99" s="31">
        <f t="shared" ref="S99:S130" si="44">SUM(U99:U99)/IF(AG99="EC",12,1)</f>
        <v>1</v>
      </c>
      <c r="T99" s="46" t="str">
        <f t="shared" si="27"/>
        <v>Southbound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8"/>
        <v>https://d0f6bd738d7f1b3e5a7ca70fe4ff75f0.us-east-1.aws.found.io/app/kibana#/discover/Steve-Slow-Train-Analysis-(2080s-and-2083s)?_g=(refreshInterval:(display:Off,pause:!f,section:0,value:0),time:(from:'2017-03-16T13:53:51-0600',mode:absolute,to:'2017-03-16T16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9" s="187" t="str">
        <f t="shared" si="29"/>
        <v>N</v>
      </c>
      <c r="X99" s="187">
        <f t="shared" si="30"/>
        <v>1</v>
      </c>
      <c r="Y99" s="62">
        <f t="shared" si="31"/>
        <v>23.295999999999999</v>
      </c>
      <c r="Z99" s="62">
        <f t="shared" si="40"/>
        <v>1.41E-2</v>
      </c>
      <c r="AA99" s="62">
        <f t="shared" si="32"/>
        <v>23.2819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3"/>
        <v>0184-16</v>
      </c>
      <c r="AE99" s="85" t="str">
        <f t="shared" si="34"/>
        <v>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 &amp; aws s3 cp s3://rtdc.mdm.uploadarchive.raw/RTDC4028/ "%USERPROFILE%\AppData\Local\Temp\OnboardLogs"\RTDC4028\2017-03-17 --exclude "*" --recursive --include "*20170317*" &amp; "%USERPROFILE%\Documents\GitHub\mrs-test-scripts\Headless Mode &amp; Sideloading\WalkAndUnGZ.bat" "%USERPROFILE%\AppData\Local\Temp\OnboardLogs"\RTDC4028\2017-03-17</v>
      </c>
      <c r="AF99" s="82" t="str">
        <f t="shared" si="35"/>
        <v>"C:\Program Files (x86)\AstroGrep\AstroGrep.exe" /e /r /s /spath="%USERPROFILE%\AppData\Local\Temp\OnboardLogs" /stypes="app*4028*20170316*" /stext=" 21:.+((SYSTEM_STATE.+slice.+state.+changed )|(ment ac)|(multiple cpu faults)|(system.+state.+changed )|(\[timeout)|(PRM\|1\|D)|(kpr)|(kdp)|(\|lc)|(penalty))"</v>
      </c>
      <c r="AG99" s="1" t="str">
        <f t="shared" si="36"/>
        <v>EC</v>
      </c>
      <c r="AH99" s="86" t="str">
        <f t="shared" si="37"/>
        <v>"%USERPROFILE%\Documents\GitHub\eaglep3\Utilities\RefineRTDCRunTimes.py" --tripid 184-16 --locoid 4028 --swversion DE.1.0.9.0 --startMP 204:232960 --initTime 2017-03-16T14:53:51 --startdatetime 2017-03-16T14:57:06 --delay 1 --endMP 204:141 --enddatetime 2017-03-16T15:38:21 --enforcementcount 0 &gt;&gt;C:\Users\stu\Documents\GitHub\eaglep3-reporting\EC\2017-03-16-refined-times.txt</v>
      </c>
      <c r="AI9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ID","value":"184-16"},{"id":16,"name":"Locomotive ID","value":"4028"},{"id":130,"name":"Impact","value":""},{"id":150,"name":"Time of Event (Mountain Time)","value":"15:38:21"},{"id":151,"name":"Denver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9"/>
        <v>start /low /b %USERPROFILE%\Documents\GitHub\eaglep3\Utilities\DownloadLogsFromS3.py --loco 4028 --day 2017-03-16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"%USERPROFILE%\AppData\Local\Temp\OnboardLogs"\RTDC4028\*4028*20170316* | grep -SE "(Enforcement Action)|(\[TIMEOUT)|(CHR.+\|PRM\|1\|D.+(SWITCH|SIGNAL).+UNKNOWN)" - &gt;&gt; 2017-03-16-UncaughtWiMAX.txt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749</v>
      </c>
      <c r="B100" s="7">
        <v>4046</v>
      </c>
      <c r="C100" s="21" t="s">
        <v>228</v>
      </c>
      <c r="D100" s="21" t="s">
        <v>229</v>
      </c>
      <c r="E100" s="13">
        <v>42810.589745370373</v>
      </c>
      <c r="F100" s="13">
        <v>42810.594421296293</v>
      </c>
      <c r="G100" s="7">
        <v>1</v>
      </c>
      <c r="H100" s="21" t="s">
        <v>460</v>
      </c>
      <c r="I100" s="13">
        <v>42810.621296296296</v>
      </c>
      <c r="J100" s="7">
        <v>0</v>
      </c>
      <c r="K100" s="98" t="str">
        <f t="shared" si="25"/>
        <v>4045/4046</v>
      </c>
      <c r="L100" s="21" t="str">
        <f>VLOOKUP(A100,'Trips&amp;Operators'!$C$1:$G$99999,5,FALSE)</f>
        <v>HELVIE ADAM</v>
      </c>
      <c r="M100" s="6">
        <f t="shared" si="26"/>
        <v>2.6875000003201421E-2</v>
      </c>
      <c r="N100" s="7">
        <f t="shared" si="43"/>
        <v>38.700000004610047</v>
      </c>
      <c r="O100" s="7"/>
      <c r="P100" s="7"/>
      <c r="Q100" s="22"/>
      <c r="R100" s="22"/>
      <c r="S100" s="31">
        <f t="shared" si="44"/>
        <v>1</v>
      </c>
      <c r="T100" s="46" t="str">
        <f t="shared" si="27"/>
        <v>NorthBound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8"/>
        <v>https://d0f6bd738d7f1b3e5a7ca70fe4ff75f0.us-east-1.aws.found.io/app/kibana#/discover/Steve-Slow-Train-Analysis-(2080s-and-2083s)?_g=(refreshInterval:(display:Off,pause:!f,section:0,value:0),time:(from:'2017-03-16T13:09:14-0600',mode:absolute,to:'2017-03-16T15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187" t="str">
        <f t="shared" si="29"/>
        <v>N</v>
      </c>
      <c r="X100" s="187">
        <f t="shared" si="30"/>
        <v>1</v>
      </c>
      <c r="Y100" s="62">
        <f t="shared" si="31"/>
        <v>4.58E-2</v>
      </c>
      <c r="Z100" s="62">
        <f t="shared" si="40"/>
        <v>23.3291</v>
      </c>
      <c r="AA100" s="62">
        <f t="shared" si="32"/>
        <v>23.283300000000001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3"/>
        <v>0185-16</v>
      </c>
      <c r="AE100" s="85" t="str">
        <f t="shared" si="34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00" s="82" t="str">
        <f t="shared" si="35"/>
        <v>"C:\Program Files (x86)\AstroGrep\AstroGrep.exe" /e /r /s /spath="%USERPROFILE%\AppData\Local\Temp\OnboardLogs" /stypes="app*4046*20170316*" /stext=" 20:.+((SYSTEM_STATE.+slice.+state.+changed )|(ment ac)|(multiple cpu faults)|(system.+state.+changed )|(\[timeout)|(PRM\|1\|D)|(kpr)|(kdp)|(\|lc)|(penalty))"</v>
      </c>
      <c r="AG100" s="1" t="str">
        <f t="shared" si="36"/>
        <v>EC</v>
      </c>
      <c r="AH100" s="86" t="str">
        <f t="shared" si="37"/>
        <v>"%USERPROFILE%\Documents\GitHub\eaglep3\Utilities\RefineRTDCRunTimes.py" --tripid 185-16 --locoid 4046 --swversion DE.1.0.9.0 --startMP 204:458 --initTime 2017-03-16T14:09:14 --startdatetime 2017-03-16T14:15:58 --delay 1 --endMP 204:233291 --enddatetime 2017-03-16T14:54:40 --enforcementcount 0 &gt;&gt;C:\Users\stu\Documents\GitHub\eaglep3-reporting\EC\2017-03-16-refined-times.txt</v>
      </c>
      <c r="AI10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{"issue":{"subject":"","project_id":79,"tracker_id":40,"status_id":1,"priority_id":2,"assigned_to_id":23,"start_date":"2017-03-16","description":"","custom_fields":[{"id":1,"name":"Subdivision","value":"EC"},{"id":4,"name":"Milepost","value":"23.3291"},{"id":17,"name":"Train ID","value":"185-16"},{"id":16,"name":"Locomotive ID","value":"4046"},{"id":130,"name":"Impact","value":""},{"id":150,"name":"Time of Event (Mountain Time)","value":"14:54:40"},{"id":151,"name":"Denver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9"/>
        <v>start /low /b %USERPROFILE%\Documents\GitHub\eaglep3\Utilities\DownloadLogsFromS3.py --loco 4046 --day 2017-03-16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757</v>
      </c>
      <c r="B101" s="7">
        <v>4045</v>
      </c>
      <c r="C101" s="21" t="s">
        <v>228</v>
      </c>
      <c r="D101" s="21" t="s">
        <v>498</v>
      </c>
      <c r="E101" s="13">
        <v>42810.631053240744</v>
      </c>
      <c r="F101" s="13">
        <v>42810.6330787037</v>
      </c>
      <c r="G101" s="7">
        <v>1</v>
      </c>
      <c r="H101" s="21" t="s">
        <v>499</v>
      </c>
      <c r="I101" s="13">
        <v>42810.660358796296</v>
      </c>
      <c r="J101" s="7">
        <v>0</v>
      </c>
      <c r="K101" s="98" t="str">
        <f t="shared" si="25"/>
        <v>4045/4046</v>
      </c>
      <c r="L101" s="21" t="str">
        <f>VLOOKUP(A101,'Trips&amp;Operators'!$C$1:$G$99999,5,FALSE)</f>
        <v>HELVIE ADAM</v>
      </c>
      <c r="M101" s="6">
        <f t="shared" si="26"/>
        <v>2.7280092595901806E-2</v>
      </c>
      <c r="N101" s="7">
        <f t="shared" si="43"/>
        <v>39.283333338098601</v>
      </c>
      <c r="O101" s="7"/>
      <c r="P101" s="7"/>
      <c r="Q101" s="22"/>
      <c r="R101" s="22"/>
      <c r="S101" s="31">
        <f t="shared" si="44"/>
        <v>1</v>
      </c>
      <c r="T101" s="46" t="str">
        <f t="shared" si="27"/>
        <v>Southbound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8"/>
        <v>https://d0f6bd738d7f1b3e5a7ca70fe4ff75f0.us-east-1.aws.found.io/app/kibana#/discover/Steve-Slow-Train-Analysis-(2080s-and-2083s)?_g=(refreshInterval:(display:Off,pause:!f,section:0,value:0),time:(from:'2017-03-16T14:08:43-0600',mode:absolute,to:'2017-03-16T16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187" t="str">
        <f t="shared" si="29"/>
        <v>N</v>
      </c>
      <c r="X101" s="187">
        <f t="shared" si="30"/>
        <v>1</v>
      </c>
      <c r="Y101" s="62">
        <f t="shared" si="31"/>
        <v>23.2957</v>
      </c>
      <c r="Z101" s="62">
        <f t="shared" si="40"/>
        <v>1.4500000000000001E-2</v>
      </c>
      <c r="AA101" s="62">
        <f t="shared" si="32"/>
        <v>23.281199999999998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3"/>
        <v>0186-16</v>
      </c>
      <c r="AE101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01" s="82" t="str">
        <f t="shared" si="35"/>
        <v>"C:\Program Files (x86)\AstroGrep\AstroGrep.exe" /e /r /s /spath="%USERPROFILE%\AppData\Local\Temp\OnboardLogs" /stypes="app*4045*20170316*" /stext=" 21:.+((SYSTEM_STATE.+slice.+state.+changed )|(ment ac)|(multiple cpu faults)|(system.+state.+changed )|(\[timeout)|(PRM\|1\|D)|(kpr)|(kdp)|(\|lc)|(penalty))"</v>
      </c>
      <c r="AG101" s="1" t="str">
        <f t="shared" si="36"/>
        <v>EC</v>
      </c>
      <c r="AH101" s="86" t="str">
        <f t="shared" si="37"/>
        <v>"%USERPROFILE%\Documents\GitHub\eaglep3\Utilities\RefineRTDCRunTimes.py" --tripid 186-16 --locoid 4045 --swversion DE.1.0.9.0 --startMP 204:232957 --initTime 2017-03-16T15:08:43 --startdatetime 2017-03-16T15:11:38 --delay 1 --endMP 204:145 --enddatetime 2017-03-16T15:50:55 --enforcementcount 0 &gt;&gt;C:\Users\stu\Documents\GitHub\eaglep3-reporting\EC\2017-03-16-refined-times.txt</v>
      </c>
      <c r="AI10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{"issue":{"subject":"","project_id":79,"tracker_id":40,"status_id":1,"priority_id":2,"assigned_to_id":23,"start_date":"2017-03-16","description":"","custom_fields":[{"id":1,"name":"Subdivision","value":"EC"},{"id":4,"name":"Milepost","value":"0.0145"},{"id":17,"name":"Train ID","value":"186-16"},{"id":16,"name":"Locomotive ID","value":"4045"},{"id":130,"name":"Impact","value":""},{"id":150,"name":"Time of Event (Mountain Time)","value":"15:50:55"},{"id":151,"name":"Denver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9"/>
        <v>start /low /b %USERPROFILE%\Documents\GitHub\eaglep3\Utilities\DownloadLogsFromS3.py --loco 4045 --day 2017-03-16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752</v>
      </c>
      <c r="B102" s="7">
        <v>4002</v>
      </c>
      <c r="C102" s="21" t="s">
        <v>228</v>
      </c>
      <c r="D102" s="21" t="s">
        <v>235</v>
      </c>
      <c r="E102" s="13">
        <v>42810.601550925923</v>
      </c>
      <c r="F102" s="13">
        <v>42810.604328703703</v>
      </c>
      <c r="G102" s="7">
        <v>1</v>
      </c>
      <c r="H102" s="21" t="s">
        <v>566</v>
      </c>
      <c r="I102" s="13">
        <v>42810.630706018521</v>
      </c>
      <c r="J102" s="7">
        <v>0</v>
      </c>
      <c r="K102" s="98" t="str">
        <f t="shared" si="25"/>
        <v>4001/4002</v>
      </c>
      <c r="L102" s="21" t="str">
        <f>VLOOKUP(A102,'Trips&amp;Operators'!$C$1:$G$99999,5,FALSE)</f>
        <v>CLARK KATHLEEN</v>
      </c>
      <c r="M102" s="6">
        <f t="shared" si="26"/>
        <v>2.6377314818091691E-2</v>
      </c>
      <c r="N102" s="7">
        <f t="shared" si="43"/>
        <v>37.983333338052034</v>
      </c>
      <c r="O102" s="7"/>
      <c r="P102" s="7"/>
      <c r="Q102" s="22"/>
      <c r="R102" s="22"/>
      <c r="S102" s="31">
        <f t="shared" si="44"/>
        <v>1</v>
      </c>
      <c r="T102" s="46" t="str">
        <f t="shared" si="27"/>
        <v>NorthBound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8"/>
        <v>https://d0f6bd738d7f1b3e5a7ca70fe4ff75f0.us-east-1.aws.found.io/app/kibana#/discover/Steve-Slow-Train-Analysis-(2080s-and-2083s)?_g=(refreshInterval:(display:Off,pause:!f,section:0,value:0),time:(from:'2017-03-16T13:26:14-0600',mode:absolute,to:'2017-03-16T16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187" t="str">
        <f t="shared" si="29"/>
        <v>N</v>
      </c>
      <c r="X102" s="187">
        <f t="shared" si="30"/>
        <v>1</v>
      </c>
      <c r="Y102" s="62">
        <f t="shared" si="31"/>
        <v>4.6699999999999998E-2</v>
      </c>
      <c r="Z102" s="62">
        <f t="shared" si="40"/>
        <v>23.328299999999999</v>
      </c>
      <c r="AA102" s="62">
        <f t="shared" si="32"/>
        <v>23.281599999999997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3"/>
        <v>0187-16</v>
      </c>
      <c r="AE102" s="85" t="str">
        <f t="shared" si="34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102" s="82" t="str">
        <f t="shared" si="35"/>
        <v>"C:\Program Files (x86)\AstroGrep\AstroGrep.exe" /e /r /s /spath="%USERPROFILE%\AppData\Local\Temp\OnboardLogs" /stypes="app*4002*20170316*" /stext=" 21:.+((SYSTEM_STATE.+slice.+state.+changed )|(ment ac)|(multiple cpu faults)|(system.+state.+changed )|(\[timeout)|(PRM\|1\|D)|(kpr)|(kdp)|(\|lc)|(penalty))"</v>
      </c>
      <c r="AG102" s="1" t="str">
        <f t="shared" si="36"/>
        <v>EC</v>
      </c>
      <c r="AH102" s="86" t="str">
        <f t="shared" si="37"/>
        <v>"%USERPROFILE%\Documents\GitHub\eaglep3\Utilities\RefineRTDCRunTimes.py" --tripid 187-16 --locoid 4002 --swversion DE.1.0.9.0 --startMP 204:467 --initTime 2017-03-16T14:26:14 --startdatetime 2017-03-16T14:30:14 --delay 1 --endMP 204:233283 --enddatetime 2017-03-16T15:08:13 --enforcementcount 0 &gt;&gt;C:\Users\stu\Documents\GitHub\eaglep3-reporting\EC\2017-03-16-refined-times.txt</v>
      </c>
      <c r="AI10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{"issue":{"subject":"","project_id":79,"tracker_id":40,"status_id":1,"priority_id":2,"assigned_to_id":23,"start_date":"2017-03-16","description":"","custom_fields":[{"id":1,"name":"Subdivision","value":"EC"},{"id":4,"name":"Milepost","value":"23.3283"},{"id":17,"name":"Train ID","value":"187-16"},{"id":16,"name":"Locomotive ID","value":"4002"},{"id":130,"name":"Impact","value":""},{"id":150,"name":"Time of Event (Mountain Time)","value":"15:08:13"},{"id":151,"name":"Denver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9"/>
        <v>start /low /b %USERPROFILE%\Documents\GitHub\eaglep3\Utilities\DownloadLogsFromS3.py --loco 4002 --day 2017-03-16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760</v>
      </c>
      <c r="B103" s="7">
        <v>4001</v>
      </c>
      <c r="C103" s="21" t="s">
        <v>228</v>
      </c>
      <c r="D103" s="21" t="s">
        <v>395</v>
      </c>
      <c r="E103" s="13">
        <v>42810.639710648145</v>
      </c>
      <c r="F103" s="13">
        <v>42810.643217592595</v>
      </c>
      <c r="G103" s="7">
        <v>1</v>
      </c>
      <c r="H103" s="21" t="s">
        <v>886</v>
      </c>
      <c r="I103" s="13">
        <v>42810.67224537037</v>
      </c>
      <c r="J103" s="7">
        <v>0</v>
      </c>
      <c r="K103" s="98" t="str">
        <f t="shared" si="25"/>
        <v>4001/4002</v>
      </c>
      <c r="L103" s="21" t="str">
        <f>VLOOKUP(A103,'Trips&amp;Operators'!$C$1:$G$99999,5,FALSE)</f>
        <v>CLARK KATHLEEN</v>
      </c>
      <c r="M103" s="6">
        <f t="shared" si="26"/>
        <v>2.9027777774899732E-2</v>
      </c>
      <c r="N103" s="7">
        <f t="shared" si="43"/>
        <v>41.799999995855615</v>
      </c>
      <c r="O103" s="7"/>
      <c r="P103" s="7"/>
      <c r="Q103" s="22"/>
      <c r="R103" s="22"/>
      <c r="S103" s="31">
        <f t="shared" si="44"/>
        <v>1</v>
      </c>
      <c r="T103" s="46" t="str">
        <f t="shared" si="27"/>
        <v>Southbound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8"/>
        <v>https://d0f6bd738d7f1b3e5a7ca70fe4ff75f0.us-east-1.aws.found.io/app/kibana#/discover/Steve-Slow-Train-Analysis-(2080s-and-2083s)?_g=(refreshInterval:(display:Off,pause:!f,section:0,value:0),time:(from:'2017-03-16T14:21:11-0600',mode:absolute,to:'2017-03-16T17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187" t="str">
        <f t="shared" si="29"/>
        <v>N</v>
      </c>
      <c r="X103" s="187">
        <f t="shared" si="30"/>
        <v>1</v>
      </c>
      <c r="Y103" s="62">
        <f t="shared" si="31"/>
        <v>23.2974</v>
      </c>
      <c r="Z103" s="62">
        <f t="shared" si="40"/>
        <v>2.18E-2</v>
      </c>
      <c r="AA103" s="62">
        <f t="shared" si="32"/>
        <v>23.275600000000001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3"/>
        <v>0188-16</v>
      </c>
      <c r="AE103" s="85" t="str">
        <f t="shared" si="34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103" s="82" t="str">
        <f t="shared" si="35"/>
        <v>"C:\Program Files (x86)\AstroGrep\AstroGrep.exe" /e /r /s /spath="%USERPROFILE%\AppData\Local\Temp\OnboardLogs" /stypes="app*4001*20170316*" /stext=" 22:.+((SYSTEM_STATE.+slice.+state.+changed )|(ment ac)|(multiple cpu faults)|(system.+state.+changed )|(\[timeout)|(PRM\|1\|D)|(kpr)|(kdp)|(\|lc)|(penalty))"</v>
      </c>
      <c r="AG103" s="1" t="str">
        <f t="shared" si="36"/>
        <v>EC</v>
      </c>
      <c r="AH103" s="86" t="str">
        <f t="shared" si="37"/>
        <v>"%USERPROFILE%\Documents\GitHub\eaglep3\Utilities\RefineRTDCRunTimes.py" --tripid 188-16 --locoid 4001 --swversion DE.1.0.9.0 --startMP 204:232974 --initTime 2017-03-16T15:21:11 --startdatetime 2017-03-16T15:26:14 --delay 1 --endMP 204:218 --enddatetime 2017-03-16T16:08:02 --enforcementcount 0 &gt;&gt;C:\Users\stu\Documents\GitHub\eaglep3-reporting\EC\2017-03-16-refined-times.txt</v>
      </c>
      <c r="AI103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{"issue":{"subject":"","project_id":79,"tracker_id":40,"status_id":1,"priority_id":2,"assigned_to_id":23,"start_date":"2017-03-16","description":"","custom_fields":[{"id":1,"name":"Subdivision","value":"EC"},{"id":4,"name":"Milepost","value":"0.0218"},{"id":17,"name":"Train ID","value":"188-16"},{"id":16,"name":"Locomotive ID","value":"4001"},{"id":130,"name":"Impact","value":""},{"id":150,"name":"Time of Event (Mountain Time)","value":"16:08:02"},{"id":151,"name":"Denver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9"/>
        <v>start /low /b %USERPROFILE%\Documents\GitHub\eaglep3\Utilities\DownloadLogsFromS3.py --loco 4001 --day 2017-03-16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753</v>
      </c>
      <c r="B104" s="7">
        <v>4003</v>
      </c>
      <c r="C104" s="21" t="s">
        <v>228</v>
      </c>
      <c r="D104" s="21" t="s">
        <v>559</v>
      </c>
      <c r="E104" s="13">
        <v>42810.611226851855</v>
      </c>
      <c r="F104" s="13">
        <v>42810.614791666667</v>
      </c>
      <c r="G104" s="7">
        <v>1</v>
      </c>
      <c r="H104" s="21" t="s">
        <v>854</v>
      </c>
      <c r="I104" s="13">
        <v>42810.639525462961</v>
      </c>
      <c r="J104" s="7">
        <v>0</v>
      </c>
      <c r="K104" s="98" t="str">
        <f t="shared" si="25"/>
        <v>4003/4004</v>
      </c>
      <c r="L104" s="21" t="str">
        <f>VLOOKUP(A104,'Trips&amp;Operators'!$C$1:$G$99999,5,FALSE)</f>
        <v>MOSES BRADLEY</v>
      </c>
      <c r="M104" s="6">
        <f t="shared" si="26"/>
        <v>2.4733796293730848E-2</v>
      </c>
      <c r="N104" s="7">
        <f t="shared" si="43"/>
        <v>35.61666666297242</v>
      </c>
      <c r="O104" s="7"/>
      <c r="P104" s="7"/>
      <c r="Q104" s="22"/>
      <c r="R104" s="22"/>
      <c r="S104" s="31">
        <f t="shared" si="44"/>
        <v>1</v>
      </c>
      <c r="T104" s="46" t="str">
        <f t="shared" si="27"/>
        <v>NorthBound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8"/>
        <v>https://d0f6bd738d7f1b3e5a7ca70fe4ff75f0.us-east-1.aws.found.io/app/kibana#/discover/Steve-Slow-Train-Analysis-(2080s-and-2083s)?_g=(refreshInterval:(display:Off,pause:!f,section:0,value:0),time:(from:'2017-03-16T13:40:10-0600',mode:absolute,to:'2017-03-16T16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87" t="str">
        <f t="shared" si="29"/>
        <v>N</v>
      </c>
      <c r="X104" s="187">
        <f t="shared" si="30"/>
        <v>1</v>
      </c>
      <c r="Y104" s="62">
        <f t="shared" si="31"/>
        <v>4.9099999999999998E-2</v>
      </c>
      <c r="Z104" s="62">
        <f t="shared" si="40"/>
        <v>23.330100000000002</v>
      </c>
      <c r="AA104" s="62">
        <f t="shared" si="32"/>
        <v>23.281000000000002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3"/>
        <v>0189-16</v>
      </c>
      <c r="AE104" s="85" t="str">
        <f t="shared" si="34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104" s="82" t="str">
        <f t="shared" si="35"/>
        <v>"C:\Program Files (x86)\AstroGrep\AstroGrep.exe" /e /r /s /spath="%USERPROFILE%\AppData\Local\Temp\OnboardLogs" /stypes="app*4003*20170316*" /stext=" 21:.+((SYSTEM_STATE.+slice.+state.+changed )|(ment ac)|(multiple cpu faults)|(system.+state.+changed )|(\[timeout)|(PRM\|1\|D)|(kpr)|(kdp)|(\|lc)|(penalty))"</v>
      </c>
      <c r="AG104" s="1" t="str">
        <f t="shared" si="36"/>
        <v>EC</v>
      </c>
      <c r="AH104" s="86" t="str">
        <f t="shared" si="37"/>
        <v>"%USERPROFILE%\Documents\GitHub\eaglep3\Utilities\RefineRTDCRunTimes.py" --tripid 189-16 --locoid 4003 --swversion DE.1.0.9.0 --startMP 204:491 --initTime 2017-03-16T14:40:10 --startdatetime 2017-03-16T14:45:18 --delay 1 --endMP 204:233301 --enddatetime 2017-03-16T15:20:55 --enforcementcount 0 &gt;&gt;C:\Users\stu\Documents\GitHub\eaglep3-reporting\EC\2017-03-16-refined-times.txt</v>
      </c>
      <c r="AI10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{"issue":{"subject":"","project_id":79,"tracker_id":40,"status_id":1,"priority_id":2,"assigned_to_id":23,"start_date":"2017-03-16","description":"","custom_fields":[{"id":1,"name":"Subdivision","value":"EC"},{"id":4,"name":"Milepost","value":"23.3301"},{"id":17,"name":"Train ID","value":"189-16"},{"id":16,"name":"Locomotive ID","value":"4003"},{"id":130,"name":"Impact","value":""},{"id":150,"name":"Time of Event (Mountain Time)","value":"15:20:55"},{"id":151,"name":"Denver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9"/>
        <v>start /low /b %USERPROFILE%\Documents\GitHub\eaglep3\Utilities\DownloadLogsFromS3.py --loco 4003 --day 2017-03-16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761</v>
      </c>
      <c r="B105" s="7">
        <v>4004</v>
      </c>
      <c r="C105" s="21" t="s">
        <v>228</v>
      </c>
      <c r="D105" s="21" t="s">
        <v>378</v>
      </c>
      <c r="E105" s="13">
        <v>42810.648668981485</v>
      </c>
      <c r="F105" s="13">
        <v>42810.653692129628</v>
      </c>
      <c r="G105" s="7">
        <v>1</v>
      </c>
      <c r="H105" s="21" t="s">
        <v>504</v>
      </c>
      <c r="I105" s="13">
        <v>42810.681712962964</v>
      </c>
      <c r="J105" s="7">
        <v>0</v>
      </c>
      <c r="K105" s="98" t="str">
        <f t="shared" si="25"/>
        <v>4003/4004</v>
      </c>
      <c r="L105" s="21" t="str">
        <f>VLOOKUP(A105,'Trips&amp;Operators'!$C$1:$G$99999,5,FALSE)</f>
        <v>MOSES BRADLEY</v>
      </c>
      <c r="M105" s="6">
        <f t="shared" si="26"/>
        <v>2.8020833335176576E-2</v>
      </c>
      <c r="N105" s="7">
        <f t="shared" si="43"/>
        <v>40.350000002654269</v>
      </c>
      <c r="O105" s="7"/>
      <c r="P105" s="7"/>
      <c r="Q105" s="22"/>
      <c r="R105" s="22"/>
      <c r="S105" s="31">
        <f t="shared" si="44"/>
        <v>1</v>
      </c>
      <c r="T105" s="46" t="str">
        <f t="shared" si="27"/>
        <v>Southbound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8"/>
        <v>https://d0f6bd738d7f1b3e5a7ca70fe4ff75f0.us-east-1.aws.found.io/app/kibana#/discover/Steve-Slow-Train-Analysis-(2080s-and-2083s)?_g=(refreshInterval:(display:Off,pause:!f,section:0,value:0),time:(from:'2017-03-16T14:34:05-0600',mode:absolute,to:'2017-03-16T17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87" t="str">
        <f t="shared" si="29"/>
        <v>N</v>
      </c>
      <c r="X105" s="187">
        <f t="shared" si="30"/>
        <v>1</v>
      </c>
      <c r="Y105" s="62">
        <f t="shared" si="31"/>
        <v>23.298200000000001</v>
      </c>
      <c r="Z105" s="62">
        <f t="shared" si="40"/>
        <v>1.67E-2</v>
      </c>
      <c r="AA105" s="62">
        <f t="shared" si="32"/>
        <v>23.281500000000001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3"/>
        <v>0190-16</v>
      </c>
      <c r="AE105" s="85" t="str">
        <f t="shared" si="34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105" s="82" t="str">
        <f t="shared" si="35"/>
        <v>"C:\Program Files (x86)\AstroGrep\AstroGrep.exe" /e /r /s /spath="%USERPROFILE%\AppData\Local\Temp\OnboardLogs" /stypes="app*4004*20170316*" /stext=" 22:.+((SYSTEM_STATE.+slice.+state.+changed )|(ment ac)|(multiple cpu faults)|(system.+state.+changed )|(\[timeout)|(PRM\|1\|D)|(kpr)|(kdp)|(\|lc)|(penalty))"</v>
      </c>
      <c r="AG105" s="1" t="str">
        <f t="shared" si="36"/>
        <v>EC</v>
      </c>
      <c r="AH105" s="86" t="str">
        <f t="shared" si="37"/>
        <v>"%USERPROFILE%\Documents\GitHub\eaglep3\Utilities\RefineRTDCRunTimes.py" --tripid 190-16 --locoid 4004 --swversion DE.1.0.9.0 --startMP 204:232982 --initTime 2017-03-16T15:34:05 --startdatetime 2017-03-16T15:41:19 --delay 1 --endMP 204:167 --enddatetime 2017-03-16T16:21:40 --enforcementcount 0 &gt;&gt;C:\Users\stu\Documents\GitHub\eaglep3-reporting\EC\2017-03-16-refined-times.txt</v>
      </c>
      <c r="AI105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{"issue":{"subject":"","project_id":79,"tracker_id":40,"status_id":1,"priority_id":2,"assigned_to_id":23,"start_date":"2017-03-16","description":"","custom_fields":[{"id":1,"name":"Subdivision","value":"EC"},{"id":4,"name":"Milepost","value":"0.0167"},{"id":17,"name":"Train ID","value":"190-16"},{"id":16,"name":"Locomotive ID","value":"4004"},{"id":130,"name":"Impact","value":""},{"id":150,"name":"Time of Event (Mountain Time)","value":"16:21:40"},{"id":151,"name":"Denver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9"/>
        <v>start /low /b %USERPROFILE%\Documents\GitHub\eaglep3\Utilities\DownloadLogsFromS3.py --loco 4004 --day 2017-03-16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755</v>
      </c>
      <c r="B106" s="7">
        <v>4025</v>
      </c>
      <c r="C106" s="21" t="s">
        <v>228</v>
      </c>
      <c r="D106" s="21" t="s">
        <v>887</v>
      </c>
      <c r="E106" s="13">
        <v>42810.63722222222</v>
      </c>
      <c r="F106" s="13">
        <v>42810.63826388889</v>
      </c>
      <c r="G106" s="7">
        <v>1</v>
      </c>
      <c r="H106" s="21" t="s">
        <v>888</v>
      </c>
      <c r="I106" s="13">
        <v>42810.65115740741</v>
      </c>
      <c r="J106" s="7">
        <v>0</v>
      </c>
      <c r="K106" s="98" t="str">
        <f t="shared" si="25"/>
        <v>4025/4026</v>
      </c>
      <c r="L106" s="21" t="str">
        <f>VLOOKUP(A106,'Trips&amp;Operators'!$C$1:$G$99999,5,FALSE)</f>
        <v>BRUDER RICHARD</v>
      </c>
      <c r="M106" s="6">
        <f t="shared" si="26"/>
        <v>1.2893518520286307E-2</v>
      </c>
      <c r="N106" s="7"/>
      <c r="O106" s="7"/>
      <c r="P106" s="7">
        <f>24*60*SUM($M106:$M106)</f>
        <v>18.566666669212282</v>
      </c>
      <c r="Q106" s="22"/>
      <c r="R106" s="22" t="s">
        <v>451</v>
      </c>
      <c r="S106" s="31">
        <f t="shared" si="44"/>
        <v>0.16666666666666666</v>
      </c>
      <c r="T106" s="46" t="str">
        <f t="shared" si="27"/>
        <v>NorthBound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2</v>
      </c>
      <c r="V106" s="186" t="str">
        <f t="shared" si="28"/>
        <v>https://d0f6bd738d7f1b3e5a7ca70fe4ff75f0.us-east-1.aws.found.io/app/kibana#/discover/Steve-Slow-Train-Analysis-(2080s-and-2083s)?_g=(refreshInterval:(display:Off,pause:!f,section:0,value:0),time:(from:'2017-03-16T14:17:36-0600',mode:absolute,to:'2017-03-16T16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6" s="187" t="str">
        <f t="shared" si="29"/>
        <v>Y</v>
      </c>
      <c r="X106" s="187">
        <f t="shared" si="30"/>
        <v>1</v>
      </c>
      <c r="Y106" s="62">
        <f t="shared" si="31"/>
        <v>8.6373999999999995</v>
      </c>
      <c r="Z106" s="62">
        <f t="shared" si="40"/>
        <v>23.3263</v>
      </c>
      <c r="AA106" s="62">
        <f t="shared" si="32"/>
        <v>14.6889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3"/>
        <v>0191-16</v>
      </c>
      <c r="AE106" s="85" t="str">
        <f t="shared" si="34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06" s="82" t="str">
        <f t="shared" si="35"/>
        <v>"C:\Program Files (x86)\AstroGrep\AstroGrep.exe" /e /r /s /spath="%USERPROFILE%\AppData\Local\Temp\OnboardLogs" /stypes="app*4025*20170316*" /stext=" 21:.+((SYSTEM_STATE.+slice.+state.+changed )|(ment ac)|(multiple cpu faults)|(system.+state.+changed )|(\[timeout)|(PRM\|1\|D)|(kpr)|(kdp)|(\|lc)|(penalty))"</v>
      </c>
      <c r="AG106" s="1" t="str">
        <f t="shared" si="36"/>
        <v>EC</v>
      </c>
      <c r="AH106" s="86" t="str">
        <f t="shared" si="37"/>
        <v>"%USERPROFILE%\Documents\GitHub\eaglep3\Utilities\RefineRTDCRunTimes.py" --tripid 191-16 --locoid 4025 --swversion DE.1.0.9.0 --startMP 204:86374 --initTime 2017-03-16T15:17:36 --startdatetime 2017-03-16T15:19:06 --delay 1 --endMP 204:233263 --enddatetime 2017-03-16T15:37:40 --enforcementcount 0 &gt;&gt;C:\Users\stu\Documents\GitHub\eaglep3-reporting\EC\2017-03-16-refined-times.txt</v>
      </c>
      <c r="AI106" s="108" t="str">
        <f t="shared" si="38"/>
        <v>echo {"issue":{"subject":"Onboard in-route failure","project_id":79,"tracker_id":40,"status_id":1,"priority_id":2,"assigned_to_id":23,"start_date":"2017-03-16","description":"","custom_fields":[{"id":1,"name":"Subdivision","value":"EC"},{"id":4,"name":"Milepost","value":"23.3263"},{"id":17,"name":"Train ID","value":"191-16"},{"id":16,"name":"Locomotive ID","value":"4025"},{"id":130,"name":"Impact","value":""},{"id":150,"name":"Time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9"/>
        <v>start /low /b %USERPROFILE%\Documents\GitHub\eaglep3\Utilities\DownloadLogsFromS3.py --loco 4025 --day 2017-03-16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764</v>
      </c>
      <c r="B107" s="7">
        <v>4026</v>
      </c>
      <c r="C107" s="21" t="s">
        <v>228</v>
      </c>
      <c r="D107" s="21" t="s">
        <v>450</v>
      </c>
      <c r="E107" s="13">
        <v>42810.659189814818</v>
      </c>
      <c r="F107" s="13">
        <v>42810.664282407408</v>
      </c>
      <c r="G107" s="7">
        <v>1</v>
      </c>
      <c r="H107" s="21" t="s">
        <v>206</v>
      </c>
      <c r="I107" s="13">
        <v>42810.691400462965</v>
      </c>
      <c r="J107" s="7">
        <v>0</v>
      </c>
      <c r="K107" s="98" t="str">
        <f t="shared" si="25"/>
        <v>4025/4026</v>
      </c>
      <c r="L107" s="21" t="str">
        <f>VLOOKUP(A107,'Trips&amp;Operators'!$C$1:$G$99999,5,FALSE)</f>
        <v>BRUDER RICHARD</v>
      </c>
      <c r="M107" s="6">
        <f t="shared" si="26"/>
        <v>2.7118055557366461E-2</v>
      </c>
      <c r="N107" s="7">
        <f t="shared" ref="N107:N138" si="45">24*60*SUM($M107:$M107)</f>
        <v>39.050000002607703</v>
      </c>
      <c r="O107" s="7"/>
      <c r="P107" s="7"/>
      <c r="Q107" s="22"/>
      <c r="R107" s="22"/>
      <c r="S107" s="31">
        <f t="shared" si="44"/>
        <v>1</v>
      </c>
      <c r="T107" s="46" t="str">
        <f t="shared" si="27"/>
        <v>Southbound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8"/>
        <v>https://d0f6bd738d7f1b3e5a7ca70fe4ff75f0.us-east-1.aws.found.io/app/kibana#/discover/Steve-Slow-Train-Analysis-(2080s-and-2083s)?_g=(refreshInterval:(display:Off,pause:!f,section:0,value:0),time:(from:'2017-03-16T14:49:14-0600',mode:absolute,to:'2017-03-16T17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87" t="str">
        <f t="shared" si="29"/>
        <v>N</v>
      </c>
      <c r="X107" s="187">
        <f t="shared" si="30"/>
        <v>1</v>
      </c>
      <c r="Y107" s="62">
        <f t="shared" si="31"/>
        <v>23.2987</v>
      </c>
      <c r="Z107" s="62">
        <f t="shared" si="40"/>
        <v>1.54E-2</v>
      </c>
      <c r="AA107" s="62">
        <f t="shared" si="32"/>
        <v>23.283300000000001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3"/>
        <v>0192-16</v>
      </c>
      <c r="AE107" s="85" t="str">
        <f t="shared" si="34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107" s="82" t="str">
        <f t="shared" si="35"/>
        <v>"C:\Program Files (x86)\AstroGrep\AstroGrep.exe" /e /r /s /spath="%USERPROFILE%\AppData\Local\Temp\OnboardLogs" /stypes="app*4026*20170316*" /stext=" 22:.+((SYSTEM_STATE.+slice.+state.+changed )|(ment ac)|(multiple cpu faults)|(system.+state.+changed )|(\[timeout)|(PRM\|1\|D)|(kpr)|(kdp)|(\|lc)|(penalty))"</v>
      </c>
      <c r="AG107" s="1" t="str">
        <f t="shared" si="36"/>
        <v>EC</v>
      </c>
      <c r="AH107" s="86" t="str">
        <f t="shared" si="37"/>
        <v>"%USERPROFILE%\Documents\GitHub\eaglep3\Utilities\RefineRTDCRunTimes.py" --tripid 192-16 --locoid 4026 --swversion DE.1.0.9.0 --startMP 204:232987 --initTime 2017-03-16T15:49:14 --startdatetime 2017-03-16T15:56:34 --delay 1 --endMP 204:154 --enddatetime 2017-03-16T16:35:37 --enforcementcount 0 &gt;&gt;C:\Users\stu\Documents\GitHub\eaglep3-reporting\EC\2017-03-16-refined-times.txt</v>
      </c>
      <c r="AI107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{"issue":{"subject":"","project_id":79,"tracker_id":40,"status_id":1,"priority_id":2,"assigned_to_id":23,"start_date":"2017-03-16","description":"","custom_fields":[{"id":1,"name":"Subdivision","value":"EC"},{"id":4,"name":"Milepost","value":"0.0154"},{"id":17,"name":"Train ID","value":"192-16"},{"id":16,"name":"Locomotive ID","value":"4026"},{"id":130,"name":"Impact","value":""},{"id":150,"name":"Time of Event (Mountain Time)","value":"16:35:37"},{"id":151,"name":"Denver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9"/>
        <v>start /low /b %USERPROFILE%\Documents\GitHub\eaglep3\Utilities\DownloadLogsFromS3.py --loco 4026 --day 2017-03-16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758</v>
      </c>
      <c r="B108" s="7">
        <v>4040</v>
      </c>
      <c r="C108" s="21" t="s">
        <v>228</v>
      </c>
      <c r="D108" s="21" t="s">
        <v>208</v>
      </c>
      <c r="E108" s="13">
        <v>42810.631435185183</v>
      </c>
      <c r="F108" s="13">
        <v>42810.635625000003</v>
      </c>
      <c r="G108" s="7">
        <v>1</v>
      </c>
      <c r="H108" s="21" t="s">
        <v>889</v>
      </c>
      <c r="I108" s="13">
        <v>42810.662314814814</v>
      </c>
      <c r="J108" s="7">
        <v>0</v>
      </c>
      <c r="K108" s="98" t="str">
        <f t="shared" si="25"/>
        <v>4039/4040</v>
      </c>
      <c r="L108" s="21" t="str">
        <f>VLOOKUP(A108,'Trips&amp;Operators'!$C$1:$G$99999,5,FALSE)</f>
        <v>SMITH MICHAEL</v>
      </c>
      <c r="M108" s="6">
        <f t="shared" si="26"/>
        <v>2.6689814811106771E-2</v>
      </c>
      <c r="N108" s="7">
        <f t="shared" si="45"/>
        <v>38.433333327993751</v>
      </c>
      <c r="O108" s="7"/>
      <c r="P108" s="7"/>
      <c r="Q108" s="22"/>
      <c r="R108" s="22"/>
      <c r="S108" s="31">
        <f t="shared" si="44"/>
        <v>1</v>
      </c>
      <c r="T108" s="46" t="str">
        <f t="shared" si="27"/>
        <v>NorthBound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8"/>
        <v>https://d0f6bd738d7f1b3e5a7ca70fe4ff75f0.us-east-1.aws.found.io/app/kibana#/discover/Steve-Slow-Train-Analysis-(2080s-and-2083s)?_g=(refreshInterval:(display:Off,pause:!f,section:0,value:0),time:(from:'2017-03-16T14:09:16-0600',mode:absolute,to:'2017-03-16T16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8" s="187" t="str">
        <f t="shared" si="29"/>
        <v>N</v>
      </c>
      <c r="X108" s="187">
        <f t="shared" si="30"/>
        <v>1</v>
      </c>
      <c r="Y108" s="62">
        <f t="shared" si="31"/>
        <v>4.5100000000000001E-2</v>
      </c>
      <c r="Z108" s="62">
        <f t="shared" si="40"/>
        <v>23.3309</v>
      </c>
      <c r="AA108" s="62">
        <f t="shared" si="32"/>
        <v>23.285799999999998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3"/>
        <v>0193-16</v>
      </c>
      <c r="AE108" s="85" t="str">
        <f t="shared" si="34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108" s="82" t="str">
        <f t="shared" si="35"/>
        <v>"C:\Program Files (x86)\AstroGrep\AstroGrep.exe" /e /r /s /spath="%USERPROFILE%\AppData\Local\Temp\OnboardLogs" /stypes="app*4040*20170316*" /stext=" 21:.+((SYSTEM_STATE.+slice.+state.+changed )|(ment ac)|(multiple cpu faults)|(system.+state.+changed )|(\[timeout)|(PRM\|1\|D)|(kpr)|(kdp)|(\|lc)|(penalty))"</v>
      </c>
      <c r="AG108" s="1" t="str">
        <f t="shared" si="36"/>
        <v>EC</v>
      </c>
      <c r="AH108" s="86" t="str">
        <f t="shared" si="37"/>
        <v>"%USERPROFILE%\Documents\GitHub\eaglep3\Utilities\RefineRTDCRunTimes.py" --tripid 193-16 --locoid 4040 --swversion DE.1.0.9.0 --startMP 204:451 --initTime 2017-03-16T15:09:16 --startdatetime 2017-03-16T15:15:18 --delay 1 --endMP 204:233309 --enddatetime 2017-03-16T15:53:44 --enforcementcount 0 &gt;&gt;C:\Users\stu\Documents\GitHub\eaglep3-reporting\EC\2017-03-16-refined-times.txt</v>
      </c>
      <c r="AI10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{"issue":{"subject":"","project_id":79,"tracker_id":40,"status_id":1,"priority_id":2,"assigned_to_id":23,"start_date":"2017-03-16","description":"","custom_fields":[{"id":1,"name":"Subdivision","value":"EC"},{"id":4,"name":"Milepost","value":"23.3309"},{"id":17,"name":"Train ID","value":"193-16"},{"id":16,"name":"Locomotive ID","value":"4040"},{"id":130,"name":"Impact","value":""},{"id":150,"name":"Time of Event (Mountain Time)","value":"15:53:44"},{"id":151,"name":"Denver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9"/>
        <v>start /low /b %USERPROFILE%\Documents\GitHub\eaglep3\Utilities\DownloadLogsFromS3.py --loco 4040 --day 2017-03-16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766</v>
      </c>
      <c r="B109" s="7">
        <v>4039</v>
      </c>
      <c r="C109" s="21" t="s">
        <v>228</v>
      </c>
      <c r="D109" s="21" t="s">
        <v>446</v>
      </c>
      <c r="E109" s="13">
        <v>42810.668437499997</v>
      </c>
      <c r="F109" s="13">
        <v>42810.674490740741</v>
      </c>
      <c r="G109" s="7">
        <v>1</v>
      </c>
      <c r="H109" s="21" t="s">
        <v>890</v>
      </c>
      <c r="I109" s="13">
        <v>42810.702233796299</v>
      </c>
      <c r="J109" s="7">
        <v>0</v>
      </c>
      <c r="K109" s="98" t="str">
        <f t="shared" si="25"/>
        <v>4039/4040</v>
      </c>
      <c r="L109" s="21" t="str">
        <f>VLOOKUP(A109,'Trips&amp;Operators'!$C$1:$G$99999,5,FALSE)</f>
        <v>SMITH MICHAEL</v>
      </c>
      <c r="M109" s="6">
        <f t="shared" si="26"/>
        <v>2.7743055557948537E-2</v>
      </c>
      <c r="N109" s="7">
        <f t="shared" si="45"/>
        <v>39.950000003445894</v>
      </c>
      <c r="O109" s="7"/>
      <c r="P109" s="7"/>
      <c r="Q109" s="22"/>
      <c r="R109" s="22"/>
      <c r="S109" s="31">
        <f t="shared" si="44"/>
        <v>1</v>
      </c>
      <c r="T109" s="46" t="str">
        <f t="shared" si="27"/>
        <v>Southbound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8"/>
        <v>https://d0f6bd738d7f1b3e5a7ca70fe4ff75f0.us-east-1.aws.found.io/app/kibana#/discover/Steve-Slow-Train-Analysis-(2080s-and-2083s)?_g=(refreshInterval:(display:Off,pause:!f,section:0,value:0),time:(from:'2017-03-16T15:02:33-0600',mode:absolute,to:'2017-03-16T17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9" s="187" t="str">
        <f t="shared" si="29"/>
        <v>N</v>
      </c>
      <c r="X109" s="187">
        <f t="shared" ref="X109:X140" si="46">VALUE(LEFT(AD109,4))-VALUE(LEFT(AD108,4))</f>
        <v>1</v>
      </c>
      <c r="Y109" s="62">
        <f t="shared" si="31"/>
        <v>23.297499999999999</v>
      </c>
      <c r="Z109" s="62">
        <f t="shared" si="40"/>
        <v>1.2699999999999999E-2</v>
      </c>
      <c r="AA109" s="62">
        <f t="shared" si="32"/>
        <v>23.284800000000001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3"/>
        <v>0194-16</v>
      </c>
      <c r="AE109" s="85" t="str">
        <f t="shared" si="34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109" s="82" t="str">
        <f t="shared" si="35"/>
        <v>"C:\Program Files (x86)\AstroGrep\AstroGrep.exe" /e /r /s /spath="%USERPROFILE%\AppData\Local\Temp\OnboardLogs" /stypes="app*4039*20170316*" /stext=" 22:.+((SYSTEM_STATE.+slice.+state.+changed )|(ment ac)|(multiple cpu faults)|(system.+state.+changed )|(\[timeout)|(PRM\|1\|D)|(kpr)|(kdp)|(\|lc)|(penalty))"</v>
      </c>
      <c r="AG109" s="1" t="str">
        <f t="shared" si="36"/>
        <v>EC</v>
      </c>
      <c r="AH109" s="86" t="str">
        <f t="shared" si="37"/>
        <v>"%USERPROFILE%\Documents\GitHub\eaglep3\Utilities\RefineRTDCRunTimes.py" --tripid 194-16 --locoid 4039 --swversion DE.1.0.9.0 --startMP 204:232975 --initTime 2017-03-16T16:02:33 --startdatetime 2017-03-16T16:11:16 --delay 1 --endMP 204:127 --enddatetime 2017-03-16T16:51:13 --enforcementcount 0 &gt;&gt;C:\Users\stu\Documents\GitHub\eaglep3-reporting\EC\2017-03-16-refined-times.txt</v>
      </c>
      <c r="AI10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{"issue":{"subject":"","project_id":79,"tracker_id":40,"status_id":1,"priority_id":2,"assigned_to_id":23,"start_date":"2017-03-16","description":"","custom_fields":[{"id":1,"name":"Subdivision","value":"EC"},{"id":4,"name":"Milepost","value":"0.0127"},{"id":17,"name":"Train ID","value":"194-16"},{"id":16,"name":"Locomotive ID","value":"4039"},{"id":130,"name":"Impact","value":""},{"id":150,"name":"Time of Event (Mountain Time)","value":"16:51:13"},{"id":151,"name":"Denver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9"/>
        <v>start /low /b %USERPROFILE%\Documents\GitHub\eaglep3\Utilities\DownloadLogsFromS3.py --loco 4039 --day 2017-03-16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759</v>
      </c>
      <c r="B110" s="7">
        <v>4029</v>
      </c>
      <c r="C110" s="21" t="s">
        <v>228</v>
      </c>
      <c r="D110" s="21" t="s">
        <v>208</v>
      </c>
      <c r="E110" s="13">
        <v>42810.638043981482</v>
      </c>
      <c r="F110" s="13">
        <v>42810.646168981482</v>
      </c>
      <c r="G110" s="7">
        <v>1</v>
      </c>
      <c r="H110" s="21" t="s">
        <v>234</v>
      </c>
      <c r="I110" s="13">
        <v>42810.670601851853</v>
      </c>
      <c r="J110" s="7">
        <v>0</v>
      </c>
      <c r="K110" s="98" t="str">
        <f t="shared" si="25"/>
        <v>4029/4030</v>
      </c>
      <c r="L110" s="21" t="str">
        <f>VLOOKUP(A110,'Trips&amp;Operators'!$C$1:$G$99999,5,FALSE)</f>
        <v>BEAM ROSS</v>
      </c>
      <c r="M110" s="6">
        <f t="shared" si="26"/>
        <v>2.4432870370219462E-2</v>
      </c>
      <c r="N110" s="7">
        <f t="shared" si="45"/>
        <v>35.183333333116025</v>
      </c>
      <c r="O110" s="7"/>
      <c r="P110" s="7"/>
      <c r="Q110" s="22"/>
      <c r="R110" s="22"/>
      <c r="S110" s="31">
        <f t="shared" si="44"/>
        <v>1</v>
      </c>
      <c r="T110" s="46" t="str">
        <f t="shared" si="27"/>
        <v>NorthBound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8"/>
        <v>https://d0f6bd738d7f1b3e5a7ca70fe4ff75f0.us-east-1.aws.found.io/app/kibana#/discover/Steve-Slow-Train-Analysis-(2080s-and-2083s)?_g=(refreshInterval:(display:Off,pause:!f,section:0,value:0),time:(from:'2017-03-16T14:18:47-0600',mode:absolute,to:'2017-03-16T17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7" t="str">
        <f t="shared" si="29"/>
        <v>N</v>
      </c>
      <c r="X110" s="187">
        <f t="shared" si="46"/>
        <v>1</v>
      </c>
      <c r="Y110" s="62">
        <f t="shared" si="31"/>
        <v>4.5100000000000001E-2</v>
      </c>
      <c r="Z110" s="62">
        <f t="shared" si="40"/>
        <v>23.331199999999999</v>
      </c>
      <c r="AA110" s="62">
        <f t="shared" si="32"/>
        <v>23.286099999999998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3"/>
        <v>0195-16</v>
      </c>
      <c r="AE110" s="85" t="str">
        <f t="shared" si="34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10" s="82" t="str">
        <f t="shared" si="35"/>
        <v>"C:\Program Files (x86)\AstroGrep\AstroGrep.exe" /e /r /s /spath="%USERPROFILE%\AppData\Local\Temp\OnboardLogs" /stypes="app*4029*20170316*" /stext=" 22:.+((SYSTEM_STATE.+slice.+state.+changed )|(ment ac)|(multiple cpu faults)|(system.+state.+changed )|(\[timeout)|(PRM\|1\|D)|(kpr)|(kdp)|(\|lc)|(penalty))"</v>
      </c>
      <c r="AG110" s="1" t="str">
        <f t="shared" si="36"/>
        <v>EC</v>
      </c>
      <c r="AH110" s="86" t="str">
        <f t="shared" si="37"/>
        <v>"%USERPROFILE%\Documents\GitHub\eaglep3\Utilities\RefineRTDCRunTimes.py" --tripid 195-16 --locoid 4029 --swversion DE.1.0.9.0 --startMP 204:451 --initTime 2017-03-16T15:18:47 --startdatetime 2017-03-16T15:30:29 --delay 1 --endMP 204:233312 --enddatetime 2017-03-16T16:05:40 --enforcementcount 0 &gt;&gt;C:\Users\stu\Documents\GitHub\eaglep3-reporting\EC\2017-03-16-refined-times.txt</v>
      </c>
      <c r="AI11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{"issue":{"subject":"","project_id":79,"tracker_id":40,"status_id":1,"priority_id":2,"assigned_to_id":23,"start_date":"2017-03-16","description":"","custom_fields":[{"id":1,"name":"Subdivision","value":"EC"},{"id":4,"name":"Milepost","value":"23.3312"},{"id":17,"name":"Train ID","value":"195-16"},{"id":16,"name":"Locomotive ID","value":"4029"},{"id":130,"name":"Impact","value":""},{"id":150,"name":"Time of Event (Mountain Time)","value":"16:05:40"},{"id":151,"name":"Denver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9"/>
        <v>start /low /b %USERPROFILE%\Documents\GitHub\eaglep3\Utilities\DownloadLogsFromS3.py --loco 4029 --day 2017-03-16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769</v>
      </c>
      <c r="B111" s="7">
        <v>4030</v>
      </c>
      <c r="C111" s="21" t="s">
        <v>228</v>
      </c>
      <c r="D111" s="21" t="s">
        <v>871</v>
      </c>
      <c r="E111" s="13">
        <v>42810.679907407408</v>
      </c>
      <c r="F111" s="13">
        <v>42810.684884259259</v>
      </c>
      <c r="G111" s="7">
        <v>1</v>
      </c>
      <c r="H111" s="21" t="s">
        <v>191</v>
      </c>
      <c r="I111" s="13">
        <v>42810.712013888886</v>
      </c>
      <c r="J111" s="7">
        <v>0</v>
      </c>
      <c r="K111" s="98" t="str">
        <f t="shared" si="25"/>
        <v>4029/4030</v>
      </c>
      <c r="L111" s="21" t="str">
        <f>VLOOKUP(A111,'Trips&amp;Operators'!$C$1:$G$99999,5,FALSE)</f>
        <v>BEAM ROSS</v>
      </c>
      <c r="M111" s="6">
        <f t="shared" si="26"/>
        <v>2.7129629626870155E-2</v>
      </c>
      <c r="N111" s="7">
        <f t="shared" si="45"/>
        <v>39.066666662693024</v>
      </c>
      <c r="O111" s="7"/>
      <c r="P111" s="7"/>
      <c r="Q111" s="22"/>
      <c r="R111" s="22"/>
      <c r="S111" s="31">
        <f t="shared" si="44"/>
        <v>1</v>
      </c>
      <c r="T111" s="46" t="str">
        <f t="shared" si="27"/>
        <v>Southbound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8"/>
        <v>https://d0f6bd738d7f1b3e5a7ca70fe4ff75f0.us-east-1.aws.found.io/app/kibana#/discover/Steve-Slow-Train-Analysis-(2080s-and-2083s)?_g=(refreshInterval:(display:Off,pause:!f,section:0,value:0),time:(from:'2017-03-16T15:19:04-0600',mode:absolute,to:'2017-03-16T18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7" t="str">
        <f t="shared" si="29"/>
        <v>N</v>
      </c>
      <c r="X111" s="187">
        <f t="shared" si="46"/>
        <v>1</v>
      </c>
      <c r="Y111" s="62">
        <f t="shared" si="31"/>
        <v>23.299399999999999</v>
      </c>
      <c r="Z111" s="62">
        <f t="shared" si="40"/>
        <v>1.4999999999999999E-2</v>
      </c>
      <c r="AA111" s="62">
        <f t="shared" si="32"/>
        <v>23.284399999999998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3"/>
        <v>0196-16</v>
      </c>
      <c r="AE111" s="85" t="str">
        <f t="shared" si="34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111" s="82" t="str">
        <f t="shared" si="35"/>
        <v>"C:\Program Files (x86)\AstroGrep\AstroGrep.exe" /e /r /s /spath="%USERPROFILE%\AppData\Local\Temp\OnboardLogs" /stypes="app*4030*20170316*" /stext=" 23:.+((SYSTEM_STATE.+slice.+state.+changed )|(ment ac)|(multiple cpu faults)|(system.+state.+changed )|(\[timeout)|(PRM\|1\|D)|(kpr)|(kdp)|(\|lc)|(penalty))"</v>
      </c>
      <c r="AG111" s="1" t="str">
        <f t="shared" si="36"/>
        <v>EC</v>
      </c>
      <c r="AH111" s="86" t="str">
        <f t="shared" si="37"/>
        <v>"%USERPROFILE%\Documents\GitHub\eaglep3\Utilities\RefineRTDCRunTimes.py" --tripid 196-16 --locoid 4030 --swversion DE.1.0.9.0 --startMP 204:232994 --initTime 2017-03-16T16:19:04 --startdatetime 2017-03-16T16:26:14 --delay 1 --endMP 204:150 --enddatetime 2017-03-16T17:05:18 --enforcementcount 0 &gt;&gt;C:\Users\stu\Documents\GitHub\eaglep3-reporting\EC\2017-03-16-refined-times.txt</v>
      </c>
      <c r="AI11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{"issue":{"subject":"","project_id":79,"tracker_id":40,"status_id":1,"priority_id":2,"assigned_to_id":23,"start_date":"2017-03-16","description":"","custom_fields":[{"id":1,"name":"Subdivision","value":"EC"},{"id":4,"name":"Milepost","value":"0.015"},{"id":17,"name":"Train ID","value":"196-16"},{"id":16,"name":"Locomotive ID","value":"4030"},{"id":130,"name":"Impact","value":""},{"id":150,"name":"Time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9"/>
        <v>start /low /b %USERPROFILE%\Documents\GitHub\eaglep3\Utilities\DownloadLogsFromS3.py --loco 4030 --day 2017-03-16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"%USERPROFILE%\AppData\Local\Temp\OnboardLogs"\RTDC4030\*4030*20170316* | grep -SE "(Enforcement Action)|(\[TIMEOUT)|(CHR.+\|PRM\|1\|D.+(SWITCH|SIGNAL).+UNKNOWN)" - &gt;&gt; 2017-03-16-UncaughtWiMAX.txt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762</v>
      </c>
      <c r="B112" s="7">
        <v>4027</v>
      </c>
      <c r="C112" s="21" t="s">
        <v>228</v>
      </c>
      <c r="D112" s="21" t="s">
        <v>208</v>
      </c>
      <c r="E112" s="13">
        <v>42810.654166666667</v>
      </c>
      <c r="F112" s="13">
        <v>42810.656585648147</v>
      </c>
      <c r="G112" s="7">
        <v>1</v>
      </c>
      <c r="H112" s="21" t="s">
        <v>891</v>
      </c>
      <c r="I112" s="13">
        <v>42810.681342592594</v>
      </c>
      <c r="J112" s="7">
        <v>0</v>
      </c>
      <c r="K112" s="98" t="str">
        <f t="shared" si="25"/>
        <v>4027/4028</v>
      </c>
      <c r="L112" s="21" t="str">
        <f>VLOOKUP(A112,'Trips&amp;Operators'!$C$1:$G$99999,5,FALSE)</f>
        <v>DELGADO DIANAH</v>
      </c>
      <c r="M112" s="6">
        <f t="shared" si="26"/>
        <v>2.4756944447290152E-2</v>
      </c>
      <c r="N112" s="7">
        <f t="shared" si="45"/>
        <v>35.650000004097819</v>
      </c>
      <c r="O112" s="7"/>
      <c r="P112" s="7"/>
      <c r="Q112" s="22"/>
      <c r="R112" s="22"/>
      <c r="S112" s="31">
        <f t="shared" si="44"/>
        <v>1</v>
      </c>
      <c r="T112" s="46" t="str">
        <f t="shared" si="27"/>
        <v>NorthBound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8"/>
        <v>https://d0f6bd738d7f1b3e5a7ca70fe4ff75f0.us-east-1.aws.found.io/app/kibana#/discover/Steve-Slow-Train-Analysis-(2080s-and-2083s)?_g=(refreshInterval:(display:Off,pause:!f,section:0,value:0),time:(from:'2017-03-16T14:42:00-0600',mode:absolute,to:'2017-03-16T17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87" t="str">
        <f t="shared" si="29"/>
        <v>N</v>
      </c>
      <c r="X112" s="187">
        <f t="shared" si="46"/>
        <v>1</v>
      </c>
      <c r="Y112" s="62">
        <f t="shared" si="31"/>
        <v>4.5100000000000001E-2</v>
      </c>
      <c r="Z112" s="62">
        <f t="shared" si="40"/>
        <v>23.338699999999999</v>
      </c>
      <c r="AA112" s="62">
        <f t="shared" si="32"/>
        <v>23.293599999999998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3"/>
        <v>0197-16</v>
      </c>
      <c r="AE112" s="85" t="str">
        <f t="shared" si="34"/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AF112" s="82" t="str">
        <f t="shared" si="35"/>
        <v>"C:\Program Files (x86)\AstroGrep\AstroGrep.exe" /e /r /s /spath="%USERPROFILE%\AppData\Local\Temp\OnboardLogs" /stypes="app*4027*20170316*" /stext=" 22:.+((SYSTEM_STATE.+slice.+state.+changed )|(ment ac)|(multiple cpu faults)|(system.+state.+changed )|(\[timeout)|(PRM\|1\|D)|(kpr)|(kdp)|(\|lc)|(penalty))"</v>
      </c>
      <c r="AG112" s="1" t="str">
        <f t="shared" si="36"/>
        <v>EC</v>
      </c>
      <c r="AH112" s="86" t="str">
        <f t="shared" si="37"/>
        <v>"%USERPROFILE%\Documents\GitHub\eaglep3\Utilities\RefineRTDCRunTimes.py" --tripid 197-16 --locoid 4027 --swversion DE.1.0.9.0 --startMP 204:451 --initTime 2017-03-16T15:42:00 --startdatetime 2017-03-16T15:45:29 --delay 1 --endMP 204:233387 --enddatetime 2017-03-16T16:21:08 --enforcementcount 0 &gt;&gt;C:\Users\stu\Documents\GitHub\eaglep3-reporting\EC\2017-03-16-refined-times.txt</v>
      </c>
      <c r="AI11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{"issue":{"subject":"","project_id":79,"tracker_id":40,"status_id":1,"priority_id":2,"assigned_to_id":23,"start_date":"2017-03-16","description":"","custom_fields":[{"id":1,"name":"Subdivision","value":"EC"},{"id":4,"name":"Milepost","value":"23.3387"},{"id":17,"name":"Train ID","value":"197-16"},{"id":16,"name":"Locomotive ID","value":"4027"},{"id":130,"name":"Impact","value":""},{"id":150,"name":"Time of Event (Mountain Time)","value":"16:21:08"},{"id":151,"name":"Denver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9"/>
        <v>start /low /b %USERPROFILE%\Documents\GitHub\eaglep3\Utilities\DownloadLogsFromS3.py --loco 4027 --day 2017-03-16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2017-03-16-UncaughtWiMAX.txt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771</v>
      </c>
      <c r="B113" s="7">
        <v>4028</v>
      </c>
      <c r="C113" s="21" t="s">
        <v>228</v>
      </c>
      <c r="D113" s="21" t="s">
        <v>892</v>
      </c>
      <c r="E113" s="13">
        <v>42810.685925925929</v>
      </c>
      <c r="F113" s="13">
        <v>42810.695439814815</v>
      </c>
      <c r="G113" s="7">
        <v>1</v>
      </c>
      <c r="H113" s="21" t="s">
        <v>218</v>
      </c>
      <c r="I113" s="13">
        <v>42810.722118055557</v>
      </c>
      <c r="J113" s="7">
        <v>0</v>
      </c>
      <c r="K113" s="98" t="str">
        <f t="shared" si="25"/>
        <v>4027/4028</v>
      </c>
      <c r="L113" s="21" t="str">
        <f>VLOOKUP(A113,'Trips&amp;Operators'!$C$1:$G$99999,5,FALSE)</f>
        <v>DELGADO DIANAH</v>
      </c>
      <c r="M113" s="6">
        <f t="shared" si="26"/>
        <v>2.6678240741603076E-2</v>
      </c>
      <c r="N113" s="7">
        <f t="shared" si="45"/>
        <v>38.41666666790843</v>
      </c>
      <c r="O113" s="7"/>
      <c r="P113" s="7"/>
      <c r="Q113" s="22"/>
      <c r="R113" s="22"/>
      <c r="S113" s="31">
        <f t="shared" si="44"/>
        <v>1</v>
      </c>
      <c r="T113" s="46" t="str">
        <f t="shared" si="27"/>
        <v>Southbound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8"/>
        <v>https://d0f6bd738d7f1b3e5a7ca70fe4ff75f0.us-east-1.aws.found.io/app/kibana#/discover/Steve-Slow-Train-Analysis-(2080s-and-2083s)?_g=(refreshInterval:(display:Off,pause:!f,section:0,value:0),time:(from:'2017-03-16T15:27:44-0600',mode:absolute,to:'2017-03-16T18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3" s="187" t="str">
        <f t="shared" si="29"/>
        <v>N</v>
      </c>
      <c r="X113" s="187">
        <f t="shared" si="46"/>
        <v>1</v>
      </c>
      <c r="Y113" s="62">
        <f t="shared" si="31"/>
        <v>23.307099999999998</v>
      </c>
      <c r="Z113" s="62">
        <f t="shared" si="40"/>
        <v>1.41E-2</v>
      </c>
      <c r="AA113" s="62">
        <f t="shared" si="32"/>
        <v>23.292999999999999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3"/>
        <v>0198-16</v>
      </c>
      <c r="AE113" s="85" t="str">
        <f t="shared" si="34"/>
        <v>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 &amp; aws s3 cp s3://rtdc.mdm.uploadarchive.raw/RTDC4028/ "%USERPROFILE%\AppData\Local\Temp\OnboardLogs"\RTDC4028\2017-03-17 --exclude "*" --recursive --include "*20170317*" &amp; "%USERPROFILE%\Documents\GitHub\mrs-test-scripts\Headless Mode &amp; Sideloading\WalkAndUnGZ.bat" "%USERPROFILE%\AppData\Local\Temp\OnboardLogs"\RTDC4028\2017-03-17</v>
      </c>
      <c r="AF113" s="82" t="str">
        <f t="shared" si="35"/>
        <v>"C:\Program Files (x86)\AstroGrep\AstroGrep.exe" /e /r /s /spath="%USERPROFILE%\AppData\Local\Temp\OnboardLogs" /stypes="app*4028*20170316*" /stext=" 23:.+((SYSTEM_STATE.+slice.+state.+changed )|(ment ac)|(multiple cpu faults)|(system.+state.+changed )|(\[timeout)|(PRM\|1\|D)|(kpr)|(kdp)|(\|lc)|(penalty))"</v>
      </c>
      <c r="AG113" s="1" t="str">
        <f t="shared" si="36"/>
        <v>EC</v>
      </c>
      <c r="AH113" s="86" t="str">
        <f t="shared" si="37"/>
        <v>"%USERPROFILE%\Documents\GitHub\eaglep3\Utilities\RefineRTDCRunTimes.py" --tripid 198-16 --locoid 4028 --swversion DE.1.0.9.0 --startMP 204:233071 --initTime 2017-03-16T16:27:44 --startdatetime 2017-03-16T16:41:26 --delay 1 --endMP 204:141 --enddatetime 2017-03-16T17:19:51 --enforcementcount 0 &gt;&gt;C:\Users\stu\Documents\GitHub\eaglep3-reporting\EC\2017-03-16-refined-times.txt</v>
      </c>
      <c r="AI113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{"issue":{"subject":"","project_id":79,"tracker_id":40,"status_id":1,"priority_id":2,"assigned_to_id":23,"start_date":"2017-03-16","description":"","custom_fields":[{"id":1,"name":"Subdivision","value":"EC"},{"id":4,"name":"Milepost","value":"0.0141"},{"id":17,"name":"Train ID","value":"198-16"},{"id":16,"name":"Locomotive ID","value":"4028"},{"id":130,"name":"Impact","value":""},{"id":150,"name":"Time of Event (Mountain Time)","value":"17:19:51"},{"id":151,"name":"Denver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9"/>
        <v>start /low /b %USERPROFILE%\Documents\GitHub\eaglep3\Utilities\DownloadLogsFromS3.py --loco 4028 --day 2017-03-16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"%USERPROFILE%\AppData\Local\Temp\OnboardLogs"\RTDC4028\*4028*20170316* | grep -SE "(Enforcement Action)|(\[TIMEOUT)|(CHR.+\|PRM\|1\|D.+(SWITCH|SIGNAL).+UNKNOWN)" - &gt;&gt; 2017-03-16-UncaughtWiMAX.txt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765</v>
      </c>
      <c r="B114" s="7">
        <v>4046</v>
      </c>
      <c r="C114" s="21" t="s">
        <v>228</v>
      </c>
      <c r="D114" s="21" t="s">
        <v>461</v>
      </c>
      <c r="E114" s="13">
        <v>42810.666712962964</v>
      </c>
      <c r="F114" s="13">
        <v>42810.667974537035</v>
      </c>
      <c r="G114" s="7">
        <v>1</v>
      </c>
      <c r="H114" s="21" t="s">
        <v>893</v>
      </c>
      <c r="I114" s="13">
        <v>42810.693113425928</v>
      </c>
      <c r="J114" s="7">
        <v>0</v>
      </c>
      <c r="K114" s="98" t="str">
        <f t="shared" si="25"/>
        <v>4045/4046</v>
      </c>
      <c r="L114" s="21" t="str">
        <f>VLOOKUP(A114,'Trips&amp;Operators'!$C$1:$G$99999,5,FALSE)</f>
        <v>HELVIE ADAM</v>
      </c>
      <c r="M114" s="6">
        <f t="shared" si="26"/>
        <v>2.513888889370719E-2</v>
      </c>
      <c r="N114" s="7">
        <f t="shared" si="45"/>
        <v>36.200000006938353</v>
      </c>
      <c r="O114" s="7"/>
      <c r="P114" s="7"/>
      <c r="Q114" s="22"/>
      <c r="R114" s="22"/>
      <c r="S114" s="31">
        <f t="shared" si="44"/>
        <v>1</v>
      </c>
      <c r="T114" s="46" t="str">
        <f t="shared" si="27"/>
        <v>NorthBound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8"/>
        <v>https://d0f6bd738d7f1b3e5a7ca70fe4ff75f0.us-east-1.aws.found.io/app/kibana#/discover/Steve-Slow-Train-Analysis-(2080s-and-2083s)?_g=(refreshInterval:(display:Off,pause:!f,section:0,value:0),time:(from:'2017-03-16T15:00:04-0600',mode:absolute,to:'2017-03-16T17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187" t="str">
        <f t="shared" si="29"/>
        <v>N</v>
      </c>
      <c r="X114" s="187">
        <f t="shared" si="46"/>
        <v>1</v>
      </c>
      <c r="Y114" s="62">
        <f t="shared" si="31"/>
        <v>4.7100000000000003E-2</v>
      </c>
      <c r="Z114" s="62">
        <f t="shared" si="40"/>
        <v>23.332899999999999</v>
      </c>
      <c r="AA114" s="62">
        <f t="shared" si="32"/>
        <v>23.285799999999998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3"/>
        <v>0199-16</v>
      </c>
      <c r="AE114" s="85" t="str">
        <f t="shared" si="34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14" s="82" t="str">
        <f t="shared" si="35"/>
        <v>"C:\Program Files (x86)\AstroGrep\AstroGrep.exe" /e /r /s /spath="%USERPROFILE%\AppData\Local\Temp\OnboardLogs" /stypes="app*4046*20170316*" /stext=" 22:.+((SYSTEM_STATE.+slice.+state.+changed )|(ment ac)|(multiple cpu faults)|(system.+state.+changed )|(\[timeout)|(PRM\|1\|D)|(kpr)|(kdp)|(\|lc)|(penalty))"</v>
      </c>
      <c r="AG114" s="1" t="str">
        <f t="shared" si="36"/>
        <v>EC</v>
      </c>
      <c r="AH114" s="86" t="str">
        <f t="shared" si="37"/>
        <v>"%USERPROFILE%\Documents\GitHub\eaglep3\Utilities\RefineRTDCRunTimes.py" --tripid 199-16 --locoid 4046 --swversion DE.1.0.9.0 --startMP 204:471 --initTime 2017-03-16T16:00:04 --startdatetime 2017-03-16T16:01:53 --delay 1 --endMP 204:233329 --enddatetime 2017-03-16T16:38:05 --enforcementcount 0 &gt;&gt;C:\Users\stu\Documents\GitHub\eaglep3-reporting\EC\2017-03-16-refined-times.txt</v>
      </c>
      <c r="AI11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{"issue":{"subject":"","project_id":79,"tracker_id":40,"status_id":1,"priority_id":2,"assigned_to_id":23,"start_date":"2017-03-16","description":"","custom_fields":[{"id":1,"name":"Subdivision","value":"EC"},{"id":4,"name":"Milepost","value":"23.3329"},{"id":17,"name":"Train ID","value":"199-16"},{"id":16,"name":"Locomotive ID","value":"4046"},{"id":130,"name":"Impact","value":""},{"id":150,"name":"Time of Event (Mountain Time)","value":"16:38:05"},{"id":151,"name":"Denver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9"/>
        <v>start /low /b %USERPROFILE%\Documents\GitHub\eaglep3\Utilities\DownloadLogsFromS3.py --loco 4046 --day 2017-03-16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"%USERPROFILE%\AppData\Local\Temp\OnboardLogs"\RTDC4046\*4046*20170316* | grep -SE "(Enforcement Action)|(\[TIMEOUT)|(CHR.+\|PRM\|1\|D.+(SWITCH|SIGNAL).+UNKNOWN)" - &gt;&gt; 2017-03-16-UncaughtWiMAX.txt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774</v>
      </c>
      <c r="B115" s="7">
        <v>4045</v>
      </c>
      <c r="C115" s="21" t="s">
        <v>228</v>
      </c>
      <c r="D115" s="21" t="s">
        <v>561</v>
      </c>
      <c r="E115" s="13">
        <v>42810.703252314815</v>
      </c>
      <c r="F115" s="13">
        <v>42810.705717592595</v>
      </c>
      <c r="G115" s="7">
        <v>1</v>
      </c>
      <c r="H115" s="21" t="s">
        <v>201</v>
      </c>
      <c r="I115" s="13">
        <v>42810.732731481483</v>
      </c>
      <c r="J115" s="7">
        <v>0</v>
      </c>
      <c r="K115" s="98" t="str">
        <f t="shared" si="25"/>
        <v>4045/4046</v>
      </c>
      <c r="L115" s="21" t="str">
        <f>VLOOKUP(A115,'Trips&amp;Operators'!$C$1:$G$99999,5,FALSE)</f>
        <v>HELVIE ADAM</v>
      </c>
      <c r="M115" s="6">
        <f t="shared" si="26"/>
        <v>2.7013888888177462E-2</v>
      </c>
      <c r="N115" s="7">
        <f t="shared" si="45"/>
        <v>38.899999998975545</v>
      </c>
      <c r="O115" s="7"/>
      <c r="P115" s="7"/>
      <c r="Q115" s="22"/>
      <c r="R115" s="22"/>
      <c r="S115" s="31">
        <f t="shared" si="44"/>
        <v>1</v>
      </c>
      <c r="T115" s="46" t="str">
        <f t="shared" si="27"/>
        <v>Southbound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8"/>
        <v>https://d0f6bd738d7f1b3e5a7ca70fe4ff75f0.us-east-1.aws.found.io/app/kibana#/discover/Steve-Slow-Train-Analysis-(2080s-and-2083s)?_g=(refreshInterval:(display:Off,pause:!f,section:0,value:0),time:(from:'2017-03-16T15:52:41-0600',mode:absolute,to:'2017-03-16T18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187" t="str">
        <f t="shared" si="29"/>
        <v>N</v>
      </c>
      <c r="X115" s="187">
        <f t="shared" si="46"/>
        <v>1</v>
      </c>
      <c r="Y115" s="62">
        <f t="shared" si="31"/>
        <v>23.301300000000001</v>
      </c>
      <c r="Z115" s="62">
        <f t="shared" si="40"/>
        <v>1.5800000000000002E-2</v>
      </c>
      <c r="AA115" s="62">
        <f t="shared" si="32"/>
        <v>23.285500000000003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3"/>
        <v>0200-16</v>
      </c>
      <c r="AE115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15" s="82" t="str">
        <f t="shared" si="35"/>
        <v>"C:\Program Files (x86)\AstroGrep\AstroGrep.exe" /e /r /s /spath="%USERPROFILE%\AppData\Local\Temp\OnboardLogs" /stypes="app*4045*20170316*" /stext=" 23:.+((SYSTEM_STATE.+slice.+state.+changed )|(ment ac)|(multiple cpu faults)|(system.+state.+changed )|(\[timeout)|(PRM\|1\|D)|(kpr)|(kdp)|(\|lc)|(penalty))"</v>
      </c>
      <c r="AG115" s="1" t="str">
        <f t="shared" si="36"/>
        <v>EC</v>
      </c>
      <c r="AH115" s="86" t="str">
        <f t="shared" si="37"/>
        <v>"%USERPROFILE%\Documents\GitHub\eaglep3\Utilities\RefineRTDCRunTimes.py" --tripid 200-16 --locoid 4045 --swversion DE.1.0.9.0 --startMP 204:233013 --initTime 2017-03-16T16:52:41 --startdatetime 2017-03-16T16:56:14 --delay 1 --endMP 204:158 --enddatetime 2017-03-16T17:35:08 --enforcementcount 0 &gt;&gt;C:\Users\stu\Documents\GitHub\eaglep3-reporting\EC\2017-03-16-refined-times.txt</v>
      </c>
      <c r="AI115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{"issue":{"subject":"","project_id":79,"tracker_id":40,"status_id":1,"priority_id":2,"assigned_to_id":23,"start_date":"2017-03-16","description":"","custom_fields":[{"id":1,"name":"Subdivision","value":"EC"},{"id":4,"name":"Milepost","value":"0.0158"},{"id":17,"name":"Train ID","value":"200-16"},{"id":16,"name":"Locomotive ID","value":"4045"},{"id":130,"name":"Impact","value":""},{"id":150,"name":"Time of Event (Mountain Time)","value":"17:35:08"},{"id":151,"name":"Denver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9"/>
        <v>start /low /b %USERPROFILE%\Documents\GitHub\eaglep3\Utilities\DownloadLogsFromS3.py --loco 4045 --day 2017-03-16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3" t="s">
        <v>768</v>
      </c>
      <c r="B116" s="7">
        <v>4002</v>
      </c>
      <c r="C116" s="21" t="s">
        <v>228</v>
      </c>
      <c r="D116" s="21" t="s">
        <v>894</v>
      </c>
      <c r="E116" s="13">
        <v>42810.673379629632</v>
      </c>
      <c r="F116" s="13">
        <v>42810.677256944444</v>
      </c>
      <c r="G116" s="7">
        <v>1</v>
      </c>
      <c r="H116" s="21" t="s">
        <v>895</v>
      </c>
      <c r="I116" s="13">
        <v>42810.703113425923</v>
      </c>
      <c r="J116" s="7">
        <v>0</v>
      </c>
      <c r="K116" s="98" t="str">
        <f t="shared" si="25"/>
        <v>4001/4002</v>
      </c>
      <c r="L116" s="21" t="str">
        <f>VLOOKUP(A116,'Trips&amp;Operators'!$C$1:$G$99999,5,FALSE)</f>
        <v>CLARK KATHLEEN</v>
      </c>
      <c r="M116" s="6">
        <f t="shared" si="26"/>
        <v>2.5856481479422655E-2</v>
      </c>
      <c r="N116" s="7">
        <f t="shared" si="45"/>
        <v>37.233333330368623</v>
      </c>
      <c r="O116" s="7"/>
      <c r="P116" s="7"/>
      <c r="Q116" s="22"/>
      <c r="R116" s="22"/>
      <c r="S116" s="31">
        <f t="shared" si="44"/>
        <v>1</v>
      </c>
      <c r="T116" s="46" t="str">
        <f t="shared" si="27"/>
        <v>NorthBound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8"/>
        <v>https://d0f6bd738d7f1b3e5a7ca70fe4ff75f0.us-east-1.aws.found.io/app/kibana#/discover/Steve-Slow-Train-Analysis-(2080s-and-2083s)?_g=(refreshInterval:(display:Off,pause:!f,section:0,value:0),time:(from:'2017-03-16T15:09:40-0600',mode:absolute,to:'2017-03-16T17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187" t="str">
        <f t="shared" si="29"/>
        <v>N</v>
      </c>
      <c r="X116" s="187">
        <f t="shared" si="46"/>
        <v>1</v>
      </c>
      <c r="Y116" s="62">
        <f t="shared" si="31"/>
        <v>5.2200000000000003E-2</v>
      </c>
      <c r="Z116" s="62">
        <f t="shared" ref="Z116:Z147" si="47">RIGHT(H116,LEN(H116)-4)/10000</f>
        <v>23.327000000000002</v>
      </c>
      <c r="AA116" s="62">
        <f t="shared" si="32"/>
        <v>23.274800000000003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3"/>
        <v>0201-16</v>
      </c>
      <c r="AE116" s="85" t="str">
        <f t="shared" si="34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116" s="82" t="str">
        <f t="shared" si="35"/>
        <v>"C:\Program Files (x86)\AstroGrep\AstroGrep.exe" /e /r /s /spath="%USERPROFILE%\AppData\Local\Temp\OnboardLogs" /stypes="app*4002*20170316*" /stext=" 22:.+((SYSTEM_STATE.+slice.+state.+changed )|(ment ac)|(multiple cpu faults)|(system.+state.+changed )|(\[timeout)|(PRM\|1\|D)|(kpr)|(kdp)|(\|lc)|(penalty))"</v>
      </c>
      <c r="AG116" s="1" t="str">
        <f t="shared" si="36"/>
        <v>EC</v>
      </c>
      <c r="AH116" s="86" t="str">
        <f t="shared" si="37"/>
        <v>"%USERPROFILE%\Documents\GitHub\eaglep3\Utilities\RefineRTDCRunTimes.py" --tripid 201-16 --locoid 4002 --swversion DE.1.0.9.0 --startMP 204:522 --initTime 2017-03-16T16:09:40 --startdatetime 2017-03-16T16:15:15 --delay 1 --endMP 204:233270 --enddatetime 2017-03-16T16:52:29 --enforcementcount 0 &gt;&gt;C:\Users\stu\Documents\GitHub\eaglep3-reporting\EC\2017-03-16-refined-times.txt</v>
      </c>
      <c r="AI116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{"issue":{"subject":"","project_id":79,"tracker_id":40,"status_id":1,"priority_id":2,"assigned_to_id":23,"start_date":"2017-03-16","description":"","custom_fields":[{"id":1,"name":"Subdivision","value":"EC"},{"id":4,"name":"Milepost","value":"23.327"},{"id":17,"name":"Train ID","value":"201-16"},{"id":16,"name":"Locomotive ID","value":"4002"},{"id":130,"name":"Impact","value":""},{"id":150,"name":"Time of Event (Mountain Time)","value":"16:52:29"},{"id":151,"name":"Denver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9"/>
        <v>start /low /b %USERPROFILE%\Documents\GitHub\eaglep3\Utilities\DownloadLogsFromS3.py --loco 4002 --day 2017-03-16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"%USERPROFILE%\AppData\Local\Temp\OnboardLogs"\RTDC4002\*4002*20170316* | grep -SE "(Enforcement Action)|(\[TIMEOUT)|(CHR.+\|PRM\|1\|D.+(SWITCH|SIGNAL).+UNKNOWN)" - &gt;&gt; 2017-03-16-UncaughtWiMAX.txt</v>
      </c>
    </row>
    <row r="117" spans="1:91" s="20" customFormat="1" x14ac:dyDescent="0.25">
      <c r="A117" s="33" t="s">
        <v>776</v>
      </c>
      <c r="B117" s="7">
        <v>4001</v>
      </c>
      <c r="C117" s="21" t="s">
        <v>228</v>
      </c>
      <c r="D117" s="21" t="s">
        <v>896</v>
      </c>
      <c r="E117" s="13">
        <v>42810.710868055554</v>
      </c>
      <c r="F117" s="13">
        <v>42810.716145833336</v>
      </c>
      <c r="G117" s="7">
        <v>1</v>
      </c>
      <c r="H117" s="21" t="s">
        <v>431</v>
      </c>
      <c r="I117" s="13">
        <v>42810.744305555556</v>
      </c>
      <c r="J117" s="7">
        <v>0</v>
      </c>
      <c r="K117" s="98" t="str">
        <f t="shared" si="25"/>
        <v>4001/4002</v>
      </c>
      <c r="L117" s="21" t="str">
        <f>VLOOKUP(A117,'Trips&amp;Operators'!$C$1:$G$99999,5,FALSE)</f>
        <v>CLARK KATHLEEN</v>
      </c>
      <c r="M117" s="6">
        <f t="shared" si="26"/>
        <v>2.8159722220152617E-2</v>
      </c>
      <c r="N117" s="7">
        <f t="shared" si="45"/>
        <v>40.549999997019768</v>
      </c>
      <c r="O117" s="7"/>
      <c r="P117" s="7"/>
      <c r="Q117" s="22"/>
      <c r="R117" s="22"/>
      <c r="S117" s="31">
        <f t="shared" si="44"/>
        <v>1</v>
      </c>
      <c r="T117" s="46" t="str">
        <f t="shared" si="27"/>
        <v>Southbound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8"/>
        <v>https://d0f6bd738d7f1b3e5a7ca70fe4ff75f0.us-east-1.aws.found.io/app/kibana#/discover/Steve-Slow-Train-Analysis-(2080s-and-2083s)?_g=(refreshInterval:(display:Off,pause:!f,section:0,value:0),time:(from:'2017-03-16T16:03:39-0600',mode:absolute,to:'2017-03-16T18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187" t="str">
        <f t="shared" si="29"/>
        <v>N</v>
      </c>
      <c r="X117" s="187">
        <f t="shared" si="46"/>
        <v>1</v>
      </c>
      <c r="Y117" s="62">
        <f t="shared" si="31"/>
        <v>23.296299999999999</v>
      </c>
      <c r="Z117" s="62">
        <f t="shared" si="47"/>
        <v>1.6500000000000001E-2</v>
      </c>
      <c r="AA117" s="62">
        <f t="shared" si="32"/>
        <v>23.279799999999998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3"/>
        <v>0202-16</v>
      </c>
      <c r="AE117" s="85" t="str">
        <f t="shared" si="34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117" s="82" t="str">
        <f t="shared" si="35"/>
        <v>"C:\Program Files (x86)\AstroGrep\AstroGrep.exe" /e /r /s /spath="%USERPROFILE%\AppData\Local\Temp\OnboardLogs" /stypes="app*4001*20170316*" /stext=" 23:.+((SYSTEM_STATE.+slice.+state.+changed )|(ment ac)|(multiple cpu faults)|(system.+state.+changed )|(\[timeout)|(PRM\|1\|D)|(kpr)|(kdp)|(\|lc)|(penalty))"</v>
      </c>
      <c r="AG117" s="1" t="str">
        <f t="shared" si="36"/>
        <v>EC</v>
      </c>
      <c r="AH117" s="86" t="str">
        <f t="shared" si="37"/>
        <v>"%USERPROFILE%\Documents\GitHub\eaglep3\Utilities\RefineRTDCRunTimes.py" --tripid 202-16 --locoid 4001 --swversion DE.1.0.9.0 --startMP 204:232963 --initTime 2017-03-16T17:03:39 --startdatetime 2017-03-16T17:11:15 --delay 1 --endMP 204:165 --enddatetime 2017-03-16T17:51:48 --enforcementcount 0 &gt;&gt;C:\Users\stu\Documents\GitHub\eaglep3-reporting\EC\2017-03-16-refined-times.txt</v>
      </c>
      <c r="AI117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{"issue":{"subject":"","project_id":79,"tracker_id":40,"status_id":1,"priority_id":2,"assigned_to_id":23,"start_date":"2017-03-16","description":"","custom_fields":[{"id":1,"name":"Subdivision","value":"EC"},{"id":4,"name":"Milepost","value":"0.0165"},{"id":17,"name":"Train ID","value":"202-16"},{"id":16,"name":"Locomotive ID","value":"4001"},{"id":130,"name":"Impact","value":""},{"id":150,"name":"Time of Event (Mountain Time)","value":"17:51:48"},{"id":151,"name":"Denver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9"/>
        <v>start /low /b %USERPROFILE%\Documents\GitHub\eaglep3\Utilities\DownloadLogsFromS3.py --loco 4001 --day 2017-03-16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3" t="s">
        <v>770</v>
      </c>
      <c r="B118" s="7">
        <v>4003</v>
      </c>
      <c r="C118" s="21" t="s">
        <v>228</v>
      </c>
      <c r="D118" s="21" t="s">
        <v>897</v>
      </c>
      <c r="E118" s="13">
        <v>42810.684861111113</v>
      </c>
      <c r="F118" s="13">
        <v>42810.6877662037</v>
      </c>
      <c r="G118" s="7">
        <v>1</v>
      </c>
      <c r="H118" s="21" t="s">
        <v>231</v>
      </c>
      <c r="I118" s="13">
        <v>42810.712719907409</v>
      </c>
      <c r="J118" s="7">
        <v>0</v>
      </c>
      <c r="K118" s="98" t="str">
        <f t="shared" si="25"/>
        <v>4003/4004</v>
      </c>
      <c r="L118" s="21" t="str">
        <f>VLOOKUP(A118,'Trips&amp;Operators'!$C$1:$G$99999,5,FALSE)</f>
        <v>MOSES BRADLEY</v>
      </c>
      <c r="M118" s="6">
        <f t="shared" si="26"/>
        <v>2.4953703708888497E-2</v>
      </c>
      <c r="N118" s="7">
        <f t="shared" si="45"/>
        <v>35.933333340799436</v>
      </c>
      <c r="O118" s="7"/>
      <c r="P118" s="7"/>
      <c r="Q118" s="22"/>
      <c r="R118" s="22"/>
      <c r="S118" s="31">
        <f t="shared" si="44"/>
        <v>1</v>
      </c>
      <c r="T118" s="46" t="str">
        <f t="shared" si="27"/>
        <v>NorthBound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8"/>
        <v>https://d0f6bd738d7f1b3e5a7ca70fe4ff75f0.us-east-1.aws.found.io/app/kibana#/discover/Steve-Slow-Train-Analysis-(2080s-and-2083s)?_g=(refreshInterval:(display:Off,pause:!f,section:0,value:0),time:(from:'2017-03-16T15:26:12-0600',mode:absolute,to:'2017-03-16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7" t="str">
        <f t="shared" si="29"/>
        <v>N</v>
      </c>
      <c r="X118" s="187">
        <f t="shared" si="46"/>
        <v>1</v>
      </c>
      <c r="Y118" s="62">
        <f t="shared" si="31"/>
        <v>4.7300000000000002E-2</v>
      </c>
      <c r="Z118" s="62">
        <f t="shared" si="47"/>
        <v>23.329699999999999</v>
      </c>
      <c r="AA118" s="62">
        <f t="shared" si="32"/>
        <v>23.282399999999999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3"/>
        <v>0203-16</v>
      </c>
      <c r="AE118" s="85" t="str">
        <f t="shared" si="34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118" s="82" t="str">
        <f t="shared" si="35"/>
        <v>"C:\Program Files (x86)\AstroGrep\AstroGrep.exe" /e /r /s /spath="%USERPROFILE%\AppData\Local\Temp\OnboardLogs" /stypes="app*4003*20170316*" /stext=" 23:.+((SYSTEM_STATE.+slice.+state.+changed )|(ment ac)|(multiple cpu faults)|(system.+state.+changed )|(\[timeout)|(PRM\|1\|D)|(kpr)|(kdp)|(\|lc)|(penalty))"</v>
      </c>
      <c r="AG118" s="1" t="str">
        <f t="shared" si="36"/>
        <v>EC</v>
      </c>
      <c r="AH118" s="86" t="str">
        <f t="shared" si="37"/>
        <v>"%USERPROFILE%\Documents\GitHub\eaglep3\Utilities\RefineRTDCRunTimes.py" --tripid 203-16 --locoid 4003 --swversion DE.1.0.9.0 --startMP 204:473 --initTime 2017-03-16T16:26:12 --startdatetime 2017-03-16T16:30:23 --delay 1 --endMP 204:233297 --enddatetime 2017-03-16T17:06:19 --enforcementcount 0 &gt;&gt;C:\Users\stu\Documents\GitHub\eaglep3-reporting\EC\2017-03-16-refined-times.txt</v>
      </c>
      <c r="AI11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{"issue":{"subject":"","project_id":79,"tracker_id":40,"status_id":1,"priority_id":2,"assigned_to_id":23,"start_date":"2017-03-16","description":"","custom_fields":[{"id":1,"name":"Subdivision","value":"EC"},{"id":4,"name":"Milepost","value":"23.3297"},{"id":17,"name":"Train ID","value":"203-16"},{"id":16,"name":"Locomotive ID","value":"4003"},{"id":130,"name":"Impact","value":""},{"id":150,"name":"Time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9"/>
        <v>start /low /b %USERPROFILE%\Documents\GitHub\eaglep3\Utilities\DownloadLogsFromS3.py --loco 4003 --day 2017-03-16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"%USERPROFILE%\AppData\Local\Temp\OnboardLogs"\RTDC4003\*4003*20170316* | grep -SE "(Enforcement Action)|(\[TIMEOUT)|(CHR.+\|PRM\|1\|D.+(SWITCH|SIGNAL).+UNKNOWN)" - &gt;&gt; 2017-03-16-UncaughtWiMAX.txt</v>
      </c>
    </row>
    <row r="119" spans="1:91" s="20" customFormat="1" x14ac:dyDescent="0.25">
      <c r="A119" s="33" t="s">
        <v>778</v>
      </c>
      <c r="B119" s="7">
        <v>4004</v>
      </c>
      <c r="C119" s="21" t="s">
        <v>228</v>
      </c>
      <c r="D119" s="21" t="s">
        <v>463</v>
      </c>
      <c r="E119" s="13">
        <v>42810.722222222219</v>
      </c>
      <c r="F119" s="13">
        <v>42810.726863425924</v>
      </c>
      <c r="G119" s="7">
        <v>1</v>
      </c>
      <c r="H119" s="21" t="s">
        <v>898</v>
      </c>
      <c r="I119" s="13">
        <v>42810.75371527778</v>
      </c>
      <c r="J119" s="7">
        <v>0</v>
      </c>
      <c r="K119" s="98" t="str">
        <f t="shared" si="25"/>
        <v>4003/4004</v>
      </c>
      <c r="L119" s="21" t="str">
        <f>VLOOKUP(A119,'Trips&amp;Operators'!$C$1:$G$99999,5,FALSE)</f>
        <v>MOSES BRADLEY</v>
      </c>
      <c r="M119" s="6">
        <f t="shared" si="26"/>
        <v>2.6851851856918074E-2</v>
      </c>
      <c r="N119" s="7">
        <f t="shared" si="45"/>
        <v>38.666666673962027</v>
      </c>
      <c r="O119" s="7"/>
      <c r="P119" s="7"/>
      <c r="Q119" s="22"/>
      <c r="R119" s="22"/>
      <c r="S119" s="31">
        <f t="shared" si="44"/>
        <v>1</v>
      </c>
      <c r="T119" s="46" t="str">
        <f t="shared" si="27"/>
        <v>Southbound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8"/>
        <v>https://d0f6bd738d7f1b3e5a7ca70fe4ff75f0.us-east-1.aws.found.io/app/kibana#/discover/Steve-Slow-Train-Analysis-(2080s-and-2083s)?_g=(refreshInterval:(display:Off,pause:!f,section:0,value:0),time:(from:'2017-03-16T16:20:00-0600',mode:absolute,to:'2017-03-16T19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87" t="str">
        <f t="shared" si="29"/>
        <v>N</v>
      </c>
      <c r="X119" s="187">
        <f t="shared" si="46"/>
        <v>1</v>
      </c>
      <c r="Y119" s="62">
        <f t="shared" si="31"/>
        <v>23.296800000000001</v>
      </c>
      <c r="Z119" s="62">
        <f t="shared" si="47"/>
        <v>1.0200000000000001E-2</v>
      </c>
      <c r="AA119" s="62">
        <f t="shared" si="32"/>
        <v>23.2866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3"/>
        <v>0204-16</v>
      </c>
      <c r="AE119" s="85" t="str">
        <f t="shared" si="34"/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AF119" s="82" t="str">
        <f t="shared" si="35"/>
        <v>"C:\Program Files (x86)\AstroGrep\AstroGrep.exe" /e /r /s /spath="%USERPROFILE%\AppData\Local\Temp\OnboardLogs" /stypes="app*4004*20170317*" /stext=" 00:.+((SYSTEM_STATE.+slice.+state.+changed )|(ment ac)|(multiple cpu faults)|(system.+state.+changed )|(\[timeout)|(PRM\|1\|D)|(kpr)|(kdp)|(\|lc)|(penalty))"</v>
      </c>
      <c r="AG119" s="1" t="str">
        <f t="shared" si="36"/>
        <v>EC</v>
      </c>
      <c r="AH119" s="86" t="str">
        <f t="shared" si="37"/>
        <v>"%USERPROFILE%\Documents\GitHub\eaglep3\Utilities\RefineRTDCRunTimes.py" --tripid 204-16 --locoid 4004 --swversion DE.1.0.9.0 --startMP 204:232968 --initTime 2017-03-16T17:20:00 --startdatetime 2017-03-16T17:26:41 --delay 1 --endMP 204:102 --enddatetime 2017-03-16T18:05:21 --enforcementcount 0 &gt;&gt;C:\Users\stu\Documents\GitHub\eaglep3-reporting\EC\2017-03-16-refined-times.txt</v>
      </c>
      <c r="AI11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{"issue":{"subject":"","project_id":79,"tracker_id":40,"status_id":1,"priority_id":2,"assigned_to_id":23,"start_date":"2017-03-16","description":"","custom_fields":[{"id":1,"name":"Subdivision","value":"EC"},{"id":4,"name":"Milepost","value":"0.0102"},{"id":17,"name":"Train ID","value":"204-16"},{"id":16,"name":"Locomotive ID","value":"4004"},{"id":130,"name":"Impact","value":""},{"id":150,"name":"Time of Event (Mountain Time)","value":"18:05:21"},{"id":151,"name":"Denver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9"/>
        <v>start /low /b %USERPROFILE%\Documents\GitHub\eaglep3\Utilities\DownloadLogsFromS3.py --loco 4004 --day 2017-03-16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"%USERPROFILE%\AppData\Local\Temp\OnboardLogs"\RTDC4004\*4004*20170316* | grep -SE "(Enforcement Action)|(\[TIMEOUT)|(CHR.+\|PRM\|1\|D.+(SWITCH|SIGNAL).+UNKNOWN)" - &gt;&gt; 2017-03-16-UncaughtWiMAX.txt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773</v>
      </c>
      <c r="B120" s="7">
        <v>4025</v>
      </c>
      <c r="C120" s="21" t="s">
        <v>228</v>
      </c>
      <c r="D120" s="21" t="s">
        <v>235</v>
      </c>
      <c r="E120" s="13">
        <v>42810.694351851853</v>
      </c>
      <c r="F120" s="13">
        <v>42810.698171296295</v>
      </c>
      <c r="G120" s="7">
        <v>2</v>
      </c>
      <c r="H120" s="21" t="s">
        <v>899</v>
      </c>
      <c r="I120" s="13">
        <v>42810.722673611112</v>
      </c>
      <c r="J120" s="7">
        <v>0</v>
      </c>
      <c r="K120" s="98" t="str">
        <f t="shared" si="25"/>
        <v>4025/4026</v>
      </c>
      <c r="L120" s="21" t="str">
        <f>VLOOKUP(A120,'Trips&amp;Operators'!$C$1:$G$99999,5,FALSE)</f>
        <v>BRUDER RICHARD</v>
      </c>
      <c r="M120" s="6">
        <f t="shared" si="26"/>
        <v>2.4502314816345461E-2</v>
      </c>
      <c r="N120" s="7">
        <f t="shared" si="45"/>
        <v>35.283333335537463</v>
      </c>
      <c r="O120" s="7"/>
      <c r="P120" s="7"/>
      <c r="Q120" s="22"/>
      <c r="R120" s="22"/>
      <c r="S120" s="31">
        <f t="shared" si="44"/>
        <v>1</v>
      </c>
      <c r="T120" s="46" t="str">
        <f t="shared" si="27"/>
        <v>NorthBound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8"/>
        <v>https://d0f6bd738d7f1b3e5a7ca70fe4ff75f0.us-east-1.aws.found.io/app/kibana#/discover/Steve-Slow-Train-Analysis-(2080s-and-2083s)?_g=(refreshInterval:(display:Off,pause:!f,section:0,value:0),time:(from:'2017-03-16T15:39:52-0600',mode:absolute,to:'2017-03-16T18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0" s="187" t="str">
        <f t="shared" si="29"/>
        <v>N</v>
      </c>
      <c r="X120" s="187">
        <f t="shared" si="46"/>
        <v>1</v>
      </c>
      <c r="Y120" s="62">
        <f t="shared" si="31"/>
        <v>4.6699999999999998E-2</v>
      </c>
      <c r="Z120" s="62">
        <f t="shared" si="47"/>
        <v>23.328199999999999</v>
      </c>
      <c r="AA120" s="62">
        <f t="shared" si="32"/>
        <v>23.281499999999998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3"/>
        <v>0205-16</v>
      </c>
      <c r="AE120" s="85" t="str">
        <f t="shared" si="34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20" s="82" t="str">
        <f t="shared" si="35"/>
        <v>"C:\Program Files (x86)\AstroGrep\AstroGrep.exe" /e /r /s /spath="%USERPROFILE%\AppData\Local\Temp\OnboardLogs" /stypes="app*4025*20170316*" /stext=" 23:.+((SYSTEM_STATE.+slice.+state.+changed )|(ment ac)|(multiple cpu faults)|(system.+state.+changed )|(\[timeout)|(PRM\|1\|D)|(kpr)|(kdp)|(\|lc)|(penalty))"</v>
      </c>
      <c r="AG120" s="1" t="str">
        <f t="shared" si="36"/>
        <v>EC</v>
      </c>
      <c r="AH120" s="86" t="str">
        <f t="shared" si="37"/>
        <v>"%USERPROFILE%\Documents\GitHub\eaglep3\Utilities\RefineRTDCRunTimes.py" --tripid 205-16 --locoid 4025 --swversion DE.1.0.9.0 --startMP 204:467 --initTime 2017-03-16T16:39:52 --startdatetime 2017-03-16T16:45:22 --delay 2 --endMP 204:233282 --enddatetime 2017-03-16T17:20:39 --enforcementcount 0 &gt;&gt;C:\Users\stu\Documents\GitHub\eaglep3-reporting\EC\2017-03-16-refined-times.txt</v>
      </c>
      <c r="AI12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{"issue":{"subject":"","project_id":79,"tracker_id":40,"status_id":1,"priority_id":2,"assigned_to_id":23,"start_date":"2017-03-16","description":"","custom_fields":[{"id":1,"name":"Subdivision","value":"EC"},{"id":4,"name":"Milepost","value":"23.3282"},{"id":17,"name":"Train ID","value":"205-16"},{"id":16,"name":"Locomotive ID","value":"4025"},{"id":130,"name":"Impact","value":""},{"id":150,"name":"Time of Event (Mountain Time)","value":"17:20:39"},{"id":151,"name":"Denver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9"/>
        <v>start /low /b %USERPROFILE%\Documents\GitHub\eaglep3\Utilities\DownloadLogsFromS3.py --loco 4025 --day 2017-03-16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"%USERPROFILE%\AppData\Local\Temp\OnboardLogs"\RTDC4025\*4025*20170316* | grep -SE "(Enforcement Action)|(\[TIMEOUT)|(CHR.+\|PRM\|1\|D.+(SWITCH|SIGNAL).+UNKNOWN)" - &gt;&gt; 2017-03-16-UncaughtWiMAX.txt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781</v>
      </c>
      <c r="B121" s="7">
        <v>4026</v>
      </c>
      <c r="C121" s="21" t="s">
        <v>228</v>
      </c>
      <c r="D121" s="21" t="s">
        <v>900</v>
      </c>
      <c r="E121" s="13">
        <v>42810.732233796298</v>
      </c>
      <c r="F121" s="13">
        <v>42810.737025462964</v>
      </c>
      <c r="G121" s="7">
        <v>1</v>
      </c>
      <c r="H121" s="21" t="s">
        <v>200</v>
      </c>
      <c r="I121" s="13">
        <v>42810.763969907406</v>
      </c>
      <c r="J121" s="7">
        <v>0</v>
      </c>
      <c r="K121" s="98" t="str">
        <f t="shared" si="25"/>
        <v>4025/4026</v>
      </c>
      <c r="L121" s="21" t="str">
        <f>VLOOKUP(A121,'Trips&amp;Operators'!$C$1:$G$99999,5,FALSE)</f>
        <v>BRUDER RICHARD</v>
      </c>
      <c r="M121" s="6">
        <f t="shared" si="26"/>
        <v>2.6944444442051463E-2</v>
      </c>
      <c r="N121" s="7">
        <f t="shared" si="45"/>
        <v>38.799999996554106</v>
      </c>
      <c r="O121" s="7"/>
      <c r="P121" s="7"/>
      <c r="Q121" s="22"/>
      <c r="R121" s="22"/>
      <c r="S121" s="31">
        <f t="shared" si="44"/>
        <v>1</v>
      </c>
      <c r="T121" s="46" t="str">
        <f t="shared" si="27"/>
        <v>Southbound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8"/>
        <v>https://d0f6bd738d7f1b3e5a7ca70fe4ff75f0.us-east-1.aws.found.io/app/kibana#/discover/Steve-Slow-Train-Analysis-(2080s-and-2083s)?_g=(refreshInterval:(display:Off,pause:!f,section:0,value:0),time:(from:'2017-03-16T16:34:25-0600',mode:absolute,to:'2017-03-16T19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87" t="str">
        <f t="shared" si="29"/>
        <v>N</v>
      </c>
      <c r="X121" s="187">
        <f t="shared" si="46"/>
        <v>1</v>
      </c>
      <c r="Y121" s="62">
        <f t="shared" si="31"/>
        <v>23.2988</v>
      </c>
      <c r="Z121" s="62">
        <f t="shared" si="47"/>
        <v>1.52E-2</v>
      </c>
      <c r="AA121" s="62">
        <f t="shared" si="32"/>
        <v>23.2836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3"/>
        <v>0206-16</v>
      </c>
      <c r="AE121" s="85" t="str">
        <f t="shared" si="34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121" s="82" t="str">
        <f t="shared" si="35"/>
        <v>"C:\Program Files (x86)\AstroGrep\AstroGrep.exe" /e /r /s /spath="%USERPROFILE%\AppData\Local\Temp\OnboardLogs" /stypes="app*4026*20170317*" /stext=" 00:.+((SYSTEM_STATE.+slice.+state.+changed )|(ment ac)|(multiple cpu faults)|(system.+state.+changed )|(\[timeout)|(PRM\|1\|D)|(kpr)|(kdp)|(\|lc)|(penalty))"</v>
      </c>
      <c r="AG121" s="1" t="str">
        <f t="shared" si="36"/>
        <v>EC</v>
      </c>
      <c r="AH121" s="86" t="str">
        <f t="shared" si="37"/>
        <v>"%USERPROFILE%\Documents\GitHub\eaglep3\Utilities\RefineRTDCRunTimes.py" --tripid 206-16 --locoid 4026 --swversion DE.1.0.9.0 --startMP 204:232988 --initTime 2017-03-16T17:34:25 --startdatetime 2017-03-16T17:41:19 --delay 1 --endMP 204:152 --enddatetime 2017-03-16T18:20:07 --enforcementcount 0 &gt;&gt;C:\Users\stu\Documents\GitHub\eaglep3-reporting\EC\2017-03-16-refined-times.txt</v>
      </c>
      <c r="AI12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{"issue":{"subject":"","project_id":79,"tracker_id":40,"status_id":1,"priority_id":2,"assigned_to_id":23,"start_date":"2017-03-16","description":"","custom_fields":[{"id":1,"name":"Subdivision","value":"EC"},{"id":4,"name":"Milepost","value":"0.0152"},{"id":17,"name":"Train ID","value":"206-16"},{"id":16,"name":"Locomotive ID","value":"4026"},{"id":130,"name":"Impact","value":""},{"id":150,"name":"Time of Event (Mountain Time)","value":"18:20:07"},{"id":151,"name":"Denver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9"/>
        <v>start /low /b %USERPROFILE%\Documents\GitHub\eaglep3\Utilities\DownloadLogsFromS3.py --loco 4026 --day 2017-03-16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"%USERPROFILE%\AppData\Local\Temp\OnboardLogs"\RTDC4026\*4026*20170317* | grep -SE "(Enforcement Action)|(\[TIMEOUT)|(CHR.+\|PRM\|1\|D.+(SWITCH|SIGNAL).+UNKNOWN)" - &gt;&gt; 2017-03-16-UncaughtWiMAX.txt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775</v>
      </c>
      <c r="B122" s="7">
        <v>4040</v>
      </c>
      <c r="C122" s="21" t="s">
        <v>228</v>
      </c>
      <c r="D122" s="21" t="s">
        <v>222</v>
      </c>
      <c r="E122" s="13">
        <v>42810.704560185186</v>
      </c>
      <c r="F122" s="13">
        <v>42810.708541666667</v>
      </c>
      <c r="G122" s="7">
        <v>1</v>
      </c>
      <c r="H122" s="21" t="s">
        <v>232</v>
      </c>
      <c r="I122" s="13">
        <v>42810.733842592592</v>
      </c>
      <c r="J122" s="7">
        <v>0</v>
      </c>
      <c r="K122" s="98" t="str">
        <f t="shared" si="25"/>
        <v>4039/4040</v>
      </c>
      <c r="L122" s="21" t="str">
        <f>VLOOKUP(A122,'Trips&amp;Operators'!$C$1:$G$99999,5,FALSE)</f>
        <v>SMITH MICHAEL</v>
      </c>
      <c r="M122" s="6">
        <f t="shared" si="26"/>
        <v>2.5300925924966577E-2</v>
      </c>
      <c r="N122" s="7">
        <f t="shared" si="45"/>
        <v>36.433333331951872</v>
      </c>
      <c r="O122" s="7"/>
      <c r="P122" s="7"/>
      <c r="Q122" s="22"/>
      <c r="R122" s="22"/>
      <c r="S122" s="31">
        <f t="shared" si="44"/>
        <v>1</v>
      </c>
      <c r="T122" s="46" t="str">
        <f t="shared" si="27"/>
        <v>NorthBound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8"/>
        <v>https://d0f6bd738d7f1b3e5a7ca70fe4ff75f0.us-east-1.aws.found.io/app/kibana#/discover/Steve-Slow-Train-Analysis-(2080s-and-2083s)?_g=(refreshInterval:(display:Off,pause:!f,section:0,value:0),time:(from:'2017-03-16T15:54:34-0600',mode:absolute,to:'2017-03-16T18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2" s="187" t="str">
        <f t="shared" si="29"/>
        <v>N</v>
      </c>
      <c r="X122" s="187">
        <f t="shared" si="46"/>
        <v>1</v>
      </c>
      <c r="Y122" s="62">
        <f t="shared" si="31"/>
        <v>4.4699999999999997E-2</v>
      </c>
      <c r="Z122" s="62">
        <f t="shared" si="47"/>
        <v>23.328900000000001</v>
      </c>
      <c r="AA122" s="62">
        <f t="shared" si="32"/>
        <v>23.284200000000002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3"/>
        <v>0207-16</v>
      </c>
      <c r="AE122" s="85" t="str">
        <f t="shared" si="34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122" s="82" t="str">
        <f t="shared" si="35"/>
        <v>"C:\Program Files (x86)\AstroGrep\AstroGrep.exe" /e /r /s /spath="%USERPROFILE%\AppData\Local\Temp\OnboardLogs" /stypes="app*4040*20170316*" /stext=" 23:.+((SYSTEM_STATE.+slice.+state.+changed )|(ment ac)|(multiple cpu faults)|(system.+state.+changed )|(\[timeout)|(PRM\|1\|D)|(kpr)|(kdp)|(\|lc)|(penalty))"</v>
      </c>
      <c r="AG122" s="1" t="str">
        <f t="shared" si="36"/>
        <v>EC</v>
      </c>
      <c r="AH122" s="86" t="str">
        <f t="shared" si="37"/>
        <v>"%USERPROFILE%\Documents\GitHub\eaglep3\Utilities\RefineRTDCRunTimes.py" --tripid 207-16 --locoid 4040 --swversion DE.1.0.9.0 --startMP 204:447 --initTime 2017-03-16T16:54:34 --startdatetime 2017-03-16T17:00:18 --delay 1 --endMP 204:233289 --enddatetime 2017-03-16T17:36:44 --enforcementcount 0 &gt;&gt;C:\Users\stu\Documents\GitHub\eaglep3-reporting\EC\2017-03-16-refined-times.txt</v>
      </c>
      <c r="AI12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{"issue":{"subject":"","project_id":79,"tracker_id":40,"status_id":1,"priority_id":2,"assigned_to_id":23,"start_date":"2017-03-16","description":"","custom_fields":[{"id":1,"name":"Subdivision","value":"EC"},{"id":4,"name":"Milepost","value":"23.3289"},{"id":17,"name":"Train ID","value":"207-16"},{"id":16,"name":"Locomotive ID","value":"4040"},{"id":130,"name":"Impact","value":""},{"id":150,"name":"Time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9"/>
        <v>start /low /b %USERPROFILE%\Documents\GitHub\eaglep3\Utilities\DownloadLogsFromS3.py --loco 4040 --day 2017-03-16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"%USERPROFILE%\AppData\Local\Temp\OnboardLogs"\RTDC4040\*4040*20170316* | grep -SE "(Enforcement Action)|(\[TIMEOUT)|(CHR.+\|PRM\|1\|D.+(SWITCH|SIGNAL).+UNKNOWN)" - &gt;&gt; 2017-03-16-UncaughtWiMAX.txt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783</v>
      </c>
      <c r="B123" s="7">
        <v>4039</v>
      </c>
      <c r="C123" s="21" t="s">
        <v>228</v>
      </c>
      <c r="D123" s="21" t="s">
        <v>385</v>
      </c>
      <c r="E123" s="13">
        <v>42810.738703703704</v>
      </c>
      <c r="F123" s="13">
        <v>42810.747442129628</v>
      </c>
      <c r="G123" s="7">
        <v>1</v>
      </c>
      <c r="H123" s="21" t="s">
        <v>217</v>
      </c>
      <c r="I123" s="13">
        <v>42810.774537037039</v>
      </c>
      <c r="J123" s="7">
        <v>0</v>
      </c>
      <c r="K123" s="98" t="str">
        <f t="shared" si="25"/>
        <v>4039/4040</v>
      </c>
      <c r="L123" s="21" t="str">
        <f>VLOOKUP(A123,'Trips&amp;Operators'!$C$1:$G$99999,5,FALSE)</f>
        <v>SMITH MICHAEL</v>
      </c>
      <c r="M123" s="6">
        <f t="shared" si="26"/>
        <v>2.7094907411083113E-2</v>
      </c>
      <c r="N123" s="7">
        <f t="shared" si="45"/>
        <v>39.016666671959683</v>
      </c>
      <c r="O123" s="7"/>
      <c r="P123" s="7"/>
      <c r="Q123" s="22"/>
      <c r="R123" s="22"/>
      <c r="S123" s="31">
        <f t="shared" si="44"/>
        <v>1</v>
      </c>
      <c r="T123" s="46" t="str">
        <f t="shared" si="27"/>
        <v>Southbound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8"/>
        <v>https://d0f6bd738d7f1b3e5a7ca70fe4ff75f0.us-east-1.aws.found.io/app/kibana#/discover/Steve-Slow-Train-Analysis-(2080s-and-2083s)?_g=(refreshInterval:(display:Off,pause:!f,section:0,value:0),time:(from:'2017-03-16T16:43:44-0600',mode:absolute,to:'2017-03-16T19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3" s="187" t="str">
        <f t="shared" si="29"/>
        <v>N</v>
      </c>
      <c r="X123" s="187">
        <f t="shared" si="46"/>
        <v>1</v>
      </c>
      <c r="Y123" s="62">
        <f t="shared" si="31"/>
        <v>23.2989</v>
      </c>
      <c r="Z123" s="62">
        <f t="shared" si="47"/>
        <v>1.3899999999999999E-2</v>
      </c>
      <c r="AA123" s="62">
        <f t="shared" si="32"/>
        <v>23.285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3"/>
        <v>0208-16</v>
      </c>
      <c r="AE123" s="85" t="str">
        <f t="shared" si="34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123" s="82" t="str">
        <f t="shared" si="35"/>
        <v>"C:\Program Files (x86)\AstroGrep\AstroGrep.exe" /e /r /s /spath="%USERPROFILE%\AppData\Local\Temp\OnboardLogs" /stypes="app*4039*20170317*" /stext=" 00:.+((SYSTEM_STATE.+slice.+state.+changed )|(ment ac)|(multiple cpu faults)|(system.+state.+changed )|(\[timeout)|(PRM\|1\|D)|(kpr)|(kdp)|(\|lc)|(penalty))"</v>
      </c>
      <c r="AG123" s="1" t="str">
        <f t="shared" si="36"/>
        <v>EC</v>
      </c>
      <c r="AH123" s="86" t="str">
        <f t="shared" si="37"/>
        <v>"%USERPROFILE%\Documents\GitHub\eaglep3\Utilities\RefineRTDCRunTimes.py" --tripid 208-16 --locoid 4039 --swversion DE.1.0.9.0 --startMP 204:232989 --initTime 2017-03-16T17:43:44 --startdatetime 2017-03-16T17:56:19 --delay 1 --endMP 204:139 --enddatetime 2017-03-16T18:35:20 --enforcementcount 0 &gt;&gt;C:\Users\stu\Documents\GitHub\eaglep3-reporting\EC\2017-03-16-refined-times.txt</v>
      </c>
      <c r="AI123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{"issue":{"subject":"","project_id":79,"tracker_id":40,"status_id":1,"priority_id":2,"assigned_to_id":23,"start_date":"2017-03-16","description":"","custom_fields":[{"id":1,"name":"Subdivision","value":"EC"},{"id":4,"name":"Milepost","value":"0.0139"},{"id":17,"name":"Train ID","value":"208-16"},{"id":16,"name":"Locomotive ID","value":"4039"},{"id":130,"name":"Impact","value":""},{"id":150,"name":"Time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9"/>
        <v>start /low /b %USERPROFILE%\Documents\GitHub\eaglep3\Utilities\DownloadLogsFromS3.py --loco 4039 --day 2017-03-16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"%USERPROFILE%\AppData\Local\Temp\OnboardLogs"\RTDC4039\*4039*20170317* | grep -SE "(Enforcement Action)|(\[TIMEOUT)|(CHR.+\|PRM\|1\|D.+(SWITCH|SIGNAL).+UNKNOWN)" - &gt;&gt; 2017-03-16-UncaughtWiMAX.txt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777</v>
      </c>
      <c r="B124" s="7">
        <v>4029</v>
      </c>
      <c r="C124" s="21" t="s">
        <v>228</v>
      </c>
      <c r="D124" s="21" t="s">
        <v>567</v>
      </c>
      <c r="E124" s="13">
        <v>42810.715682870374</v>
      </c>
      <c r="F124" s="13">
        <v>42810.718981481485</v>
      </c>
      <c r="G124" s="7">
        <v>1</v>
      </c>
      <c r="H124" s="21" t="s">
        <v>430</v>
      </c>
      <c r="I124" s="13">
        <v>42810.744108796294</v>
      </c>
      <c r="J124" s="7">
        <v>0</v>
      </c>
      <c r="K124" s="98" t="str">
        <f t="shared" si="25"/>
        <v>4029/4030</v>
      </c>
      <c r="L124" s="21" t="str">
        <f>VLOOKUP(A124,'Trips&amp;Operators'!$C$1:$G$99999,5,FALSE)</f>
        <v>CHANDLER KELVIN</v>
      </c>
      <c r="M124" s="6">
        <f t="shared" si="26"/>
        <v>2.512731480965158E-2</v>
      </c>
      <c r="N124" s="7">
        <f t="shared" si="45"/>
        <v>36.183333325898275</v>
      </c>
      <c r="O124" s="7"/>
      <c r="P124" s="7"/>
      <c r="Q124" s="22"/>
      <c r="R124" s="22"/>
      <c r="S124" s="31">
        <f t="shared" si="44"/>
        <v>1</v>
      </c>
      <c r="T124" s="46" t="str">
        <f t="shared" si="27"/>
        <v>NorthBound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8"/>
        <v>https://d0f6bd738d7f1b3e5a7ca70fe4ff75f0.us-east-1.aws.found.io/app/kibana#/discover/Steve-Slow-Train-Analysis-(2080s-and-2083s)?_g=(refreshInterval:(display:Off,pause:!f,section:0,value:0),time:(from:'2017-03-16T16:10:35-0600',mode:absolute,to:'2017-03-16T18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87" t="str">
        <f t="shared" si="29"/>
        <v>N</v>
      </c>
      <c r="X124" s="187">
        <f t="shared" si="46"/>
        <v>1</v>
      </c>
      <c r="Y124" s="62">
        <f t="shared" si="31"/>
        <v>4.9799999999999997E-2</v>
      </c>
      <c r="Z124" s="62">
        <f t="shared" si="47"/>
        <v>23.3293</v>
      </c>
      <c r="AA124" s="62">
        <f t="shared" si="32"/>
        <v>23.279499999999999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3"/>
        <v>0209-16</v>
      </c>
      <c r="AE124" s="85" t="str">
        <f t="shared" si="34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24" s="82" t="str">
        <f t="shared" si="35"/>
        <v>"C:\Program Files (x86)\AstroGrep\AstroGrep.exe" /e /r /s /spath="%USERPROFILE%\AppData\Local\Temp\OnboardLogs" /stypes="app*4029*20170316*" /stext=" 23:.+((SYSTEM_STATE.+slice.+state.+changed )|(ment ac)|(multiple cpu faults)|(system.+state.+changed )|(\[timeout)|(PRM\|1\|D)|(kpr)|(kdp)|(\|lc)|(penalty))"</v>
      </c>
      <c r="AG124" s="1" t="str">
        <f t="shared" si="36"/>
        <v>EC</v>
      </c>
      <c r="AH124" s="86" t="str">
        <f t="shared" si="37"/>
        <v>"%USERPROFILE%\Documents\GitHub\eaglep3\Utilities\RefineRTDCRunTimes.py" --tripid 209-16 --locoid 4029 --swversion DE.1.0.9.0 --startMP 204:498 --initTime 2017-03-16T17:10:35 --startdatetime 2017-03-16T17:15:20 --delay 1 --endMP 204:233293 --enddatetime 2017-03-16T17:51:31 --enforcementcount 0 &gt;&gt;C:\Users\stu\Documents\GitHub\eaglep3-reporting\EC\2017-03-16-refined-times.txt</v>
      </c>
      <c r="AI12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{"issue":{"subject":"","project_id":79,"tracker_id":40,"status_id":1,"priority_id":2,"assigned_to_id":23,"start_date":"2017-03-16","description":"","custom_fields":[{"id":1,"name":"Subdivision","value":"EC"},{"id":4,"name":"Milepost","value":"23.3293"},{"id":17,"name":"Train ID","value":"209-16"},{"id":16,"name":"Locomotive ID","value":"4029"},{"id":130,"name":"Impact","value":""},{"id":150,"name":"Time of Event (Mountain Time)","value":"17:51:31"},{"id":151,"name":"Denver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9"/>
        <v>start /low /b %USERPROFILE%\Documents\GitHub\eaglep3\Utilities\DownloadLogsFromS3.py --loco 4029 --day 2017-03-16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"%USERPROFILE%\AppData\Local\Temp\OnboardLogs"\RTDC4029\*4029*20170316* | grep -SE "(Enforcement Action)|(\[TIMEOUT)|(CHR.+\|PRM\|1\|D.+(SWITCH|SIGNAL).+UNKNOWN)" - &gt;&gt; 2017-03-16-UncaughtWiMAX.txt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786</v>
      </c>
      <c r="B125" s="7">
        <v>4030</v>
      </c>
      <c r="C125" s="21" t="s">
        <v>228</v>
      </c>
      <c r="D125" s="21" t="s">
        <v>459</v>
      </c>
      <c r="E125" s="13">
        <v>42810.75513888889</v>
      </c>
      <c r="F125" s="13">
        <v>42810.758055555554</v>
      </c>
      <c r="G125" s="7">
        <v>1</v>
      </c>
      <c r="H125" s="21" t="s">
        <v>238</v>
      </c>
      <c r="I125" s="13">
        <v>42810.78633101852</v>
      </c>
      <c r="J125" s="7">
        <v>0</v>
      </c>
      <c r="K125" s="98" t="str">
        <f t="shared" si="25"/>
        <v>4029/4030</v>
      </c>
      <c r="L125" s="21" t="str">
        <f>VLOOKUP(A125,'Trips&amp;Operators'!$C$1:$G$99999,5,FALSE)</f>
        <v>CHANDLER KELVIN</v>
      </c>
      <c r="M125" s="6">
        <f t="shared" si="26"/>
        <v>2.8275462966121268E-2</v>
      </c>
      <c r="N125" s="7">
        <f t="shared" si="45"/>
        <v>40.716666671214625</v>
      </c>
      <c r="O125" s="7"/>
      <c r="P125" s="7"/>
      <c r="Q125" s="22"/>
      <c r="R125" s="22"/>
      <c r="S125" s="31">
        <f t="shared" si="44"/>
        <v>1</v>
      </c>
      <c r="T125" s="46" t="str">
        <f t="shared" si="27"/>
        <v>Southbound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8"/>
        <v>https://d0f6bd738d7f1b3e5a7ca70fe4ff75f0.us-east-1.aws.found.io/app/kibana#/discover/Steve-Slow-Train-Analysis-(2080s-and-2083s)?_g=(refreshInterval:(display:Off,pause:!f,section:0,value:0),time:(from:'2017-03-16T17:07:24-0600',mode:absolute,to:'2017-03-16T19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87" t="str">
        <f t="shared" si="29"/>
        <v>N</v>
      </c>
      <c r="X125" s="187">
        <f t="shared" si="46"/>
        <v>1</v>
      </c>
      <c r="Y125" s="62">
        <f t="shared" si="31"/>
        <v>23.296500000000002</v>
      </c>
      <c r="Z125" s="62">
        <f t="shared" si="47"/>
        <v>1.61E-2</v>
      </c>
      <c r="AA125" s="62">
        <f t="shared" si="32"/>
        <v>23.2804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3"/>
        <v>0210-16</v>
      </c>
      <c r="AE125" s="85" t="str">
        <f t="shared" si="34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125" s="82" t="str">
        <f t="shared" si="35"/>
        <v>"C:\Program Files (x86)\AstroGrep\AstroGrep.exe" /e /r /s /spath="%USERPROFILE%\AppData\Local\Temp\OnboardLogs" /stypes="app*4030*20170317*" /stext=" 00:.+((SYSTEM_STATE.+slice.+state.+changed )|(ment ac)|(multiple cpu faults)|(system.+state.+changed )|(\[timeout)|(PRM\|1\|D)|(kpr)|(kdp)|(\|lc)|(penalty))"</v>
      </c>
      <c r="AG125" s="1" t="str">
        <f t="shared" si="36"/>
        <v>EC</v>
      </c>
      <c r="AH125" s="86" t="str">
        <f t="shared" si="37"/>
        <v>"%USERPROFILE%\Documents\GitHub\eaglep3\Utilities\RefineRTDCRunTimes.py" --tripid 210-16 --locoid 4030 --swversion DE.1.0.9.0 --startMP 204:232965 --initTime 2017-03-16T18:07:24 --startdatetime 2017-03-16T18:11:36 --delay 1 --endMP 204:161 --enddatetime 2017-03-16T18:52:19 --enforcementcount 0 &gt;&gt;C:\Users\stu\Documents\GitHub\eaglep3-reporting\EC\2017-03-16-refined-times.txt</v>
      </c>
      <c r="AI125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{"issue":{"subject":"","project_id":79,"tracker_id":40,"status_id":1,"priority_id":2,"assigned_to_id":23,"start_date":"2017-03-16","description":"","custom_fields":[{"id":1,"name":"Subdivision","value":"EC"},{"id":4,"name":"Milepost","value":"0.0161"},{"id":17,"name":"Train ID","value":"210-16"},{"id":16,"name":"Locomotive ID","value":"4030"},{"id":130,"name":"Impact","value":""},{"id":150,"name":"Time of Event (Mountain Time)","value":"18:52:19"},{"id":151,"name":"Denver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9"/>
        <v>start /low /b %USERPROFILE%\Documents\GitHub\eaglep3\Utilities\DownloadLogsFromS3.py --loco 4030 --day 2017-03-16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"%USERPROFILE%\AppData\Local\Temp\OnboardLogs"\RTDC4030\*4030*20170317* | grep -SE "(Enforcement Action)|(\[TIMEOUT)|(CHR.+\|PRM\|1\|D.+(SWITCH|SIGNAL).+UNKNOWN)" - &gt;&gt; 2017-03-16-UncaughtWiMAX.txt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779</v>
      </c>
      <c r="B126" s="7">
        <v>4027</v>
      </c>
      <c r="C126" s="21" t="s">
        <v>228</v>
      </c>
      <c r="D126" s="21" t="s">
        <v>426</v>
      </c>
      <c r="E126" s="13">
        <v>42810.724444444444</v>
      </c>
      <c r="F126" s="13">
        <v>42810.729421296295</v>
      </c>
      <c r="G126" s="7">
        <v>1</v>
      </c>
      <c r="H126" s="21" t="s">
        <v>568</v>
      </c>
      <c r="I126" s="13">
        <v>42810.755173611113</v>
      </c>
      <c r="J126" s="7">
        <v>0</v>
      </c>
      <c r="K126" s="98" t="str">
        <f t="shared" si="25"/>
        <v>4027/4028</v>
      </c>
      <c r="L126" s="21" t="str">
        <f>VLOOKUP(A126,'Trips&amp;Operators'!$C$1:$G$99999,5,FALSE)</f>
        <v>BRANDNER MELINDA</v>
      </c>
      <c r="M126" s="6">
        <f t="shared" si="26"/>
        <v>2.5752314817509614E-2</v>
      </c>
      <c r="N126" s="7">
        <f t="shared" si="45"/>
        <v>37.083333337213844</v>
      </c>
      <c r="O126" s="7"/>
      <c r="P126" s="7"/>
      <c r="Q126" s="22"/>
      <c r="R126" s="22"/>
      <c r="S126" s="31">
        <f t="shared" si="44"/>
        <v>1</v>
      </c>
      <c r="T126" s="46" t="str">
        <f t="shared" si="27"/>
        <v>NorthBound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8"/>
        <v>https://d0f6bd738d7f1b3e5a7ca70fe4ff75f0.us-east-1.aws.found.io/app/kibana#/discover/Steve-Slow-Train-Analysis-(2080s-and-2083s)?_g=(refreshInterval:(display:Off,pause:!f,section:0,value:0),time:(from:'2017-03-16T16:23:12-0600',mode:absolute,to:'2017-03-16T19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87" t="str">
        <f t="shared" si="29"/>
        <v>N</v>
      </c>
      <c r="X126" s="187">
        <f t="shared" si="46"/>
        <v>1</v>
      </c>
      <c r="Y126" s="62">
        <f t="shared" si="31"/>
        <v>4.6399999999999997E-2</v>
      </c>
      <c r="Z126" s="62">
        <f t="shared" si="47"/>
        <v>23.3308</v>
      </c>
      <c r="AA126" s="62">
        <f t="shared" si="32"/>
        <v>23.284400000000002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3"/>
        <v>0211-16</v>
      </c>
      <c r="AE126" s="85" t="str">
        <f t="shared" si="34"/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AF126" s="82" t="str">
        <f t="shared" si="35"/>
        <v>"C:\Program Files (x86)\AstroGrep\AstroGrep.exe" /e /r /s /spath="%USERPROFILE%\AppData\Local\Temp\OnboardLogs" /stypes="app*4027*20170317*" /stext=" 00:.+((SYSTEM_STATE.+slice.+state.+changed )|(ment ac)|(multiple cpu faults)|(system.+state.+changed )|(\[timeout)|(PRM\|1\|D)|(kpr)|(kdp)|(\|lc)|(penalty))"</v>
      </c>
      <c r="AG126" s="1" t="str">
        <f t="shared" si="36"/>
        <v>EC</v>
      </c>
      <c r="AH126" s="86" t="str">
        <f t="shared" si="37"/>
        <v>"%USERPROFILE%\Documents\GitHub\eaglep3\Utilities\RefineRTDCRunTimes.py" --tripid 211-16 --locoid 4027 --swversion DE.1.0.9.0 --startMP 204:464 --initTime 2017-03-16T17:23:12 --startdatetime 2017-03-16T17:30:22 --delay 1 --endMP 204:233308 --enddatetime 2017-03-16T18:07:27 --enforcementcount 0 &gt;&gt;C:\Users\stu\Documents\GitHub\eaglep3-reporting\EC\2017-03-16-refined-times.txt</v>
      </c>
      <c r="AI126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{"issue":{"subject":"","project_id":79,"tracker_id":40,"status_id":1,"priority_id":2,"assigned_to_id":23,"start_date":"2017-03-16","description":"","custom_fields":[{"id":1,"name":"Subdivision","value":"EC"},{"id":4,"name":"Milepost","value":"23.3308"},{"id":17,"name":"Train ID","value":"211-16"},{"id":16,"name":"Locomotive ID","value":"4027"},{"id":130,"name":"Impact","value":""},{"id":150,"name":"Time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9"/>
        <v>start /low /b %USERPROFILE%\Documents\GitHub\eaglep3\Utilities\DownloadLogsFromS3.py --loco 4027 --day 2017-03-16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"%USERPROFILE%\AppData\Local\Temp\OnboardLogs"\RTDC4027\*4027*20170316* | grep -SE "(Enforcement Action)|(\[TIMEOUT)|(CHR.+\|PRM\|1\|D.+(SWITCH|SIGNAL).+UNKNOWN)" - &gt;&gt; 2017-03-16-UncaughtWiMAX.txt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793</v>
      </c>
      <c r="B127" s="7">
        <v>4028</v>
      </c>
      <c r="C127" s="21" t="s">
        <v>228</v>
      </c>
      <c r="D127" s="21" t="s">
        <v>445</v>
      </c>
      <c r="E127" s="13">
        <v>42810.762488425928</v>
      </c>
      <c r="F127" s="13">
        <v>42810.768310185187</v>
      </c>
      <c r="G127" s="7">
        <v>1</v>
      </c>
      <c r="H127" s="21" t="s">
        <v>901</v>
      </c>
      <c r="I127" s="13">
        <v>42810.795925925922</v>
      </c>
      <c r="J127" s="7">
        <v>0</v>
      </c>
      <c r="K127" s="98" t="str">
        <f t="shared" si="25"/>
        <v>4027/4028</v>
      </c>
      <c r="L127" s="21" t="str">
        <f>VLOOKUP(A127,'Trips&amp;Operators'!$C$1:$G$99999,5,FALSE)</f>
        <v>BRANDNER MELINDA</v>
      </c>
      <c r="M127" s="6">
        <f t="shared" si="26"/>
        <v>2.7615740735200234E-2</v>
      </c>
      <c r="N127" s="7">
        <f t="shared" si="45"/>
        <v>39.766666658688337</v>
      </c>
      <c r="O127" s="7"/>
      <c r="P127" s="7"/>
      <c r="Q127" s="22"/>
      <c r="R127" s="22"/>
      <c r="S127" s="31">
        <f t="shared" si="44"/>
        <v>1</v>
      </c>
      <c r="T127" s="46" t="str">
        <f t="shared" si="27"/>
        <v>Southbound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8"/>
        <v>https://d0f6bd738d7f1b3e5a7ca70fe4ff75f0.us-east-1.aws.found.io/app/kibana#/discover/Steve-Slow-Train-Analysis-(2080s-and-2083s)?_g=(refreshInterval:(display:Off,pause:!f,section:0,value:0),time:(from:'2017-03-16T17:17:59-0600',mode:absolute,to:'2017-03-16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7" s="187" t="str">
        <f t="shared" si="29"/>
        <v>N</v>
      </c>
      <c r="X127" s="187">
        <f t="shared" si="46"/>
        <v>1</v>
      </c>
      <c r="Y127" s="62">
        <f t="shared" si="31"/>
        <v>23.299800000000001</v>
      </c>
      <c r="Z127" s="62">
        <f t="shared" si="47"/>
        <v>1.3599999999999999E-2</v>
      </c>
      <c r="AA127" s="62">
        <f t="shared" si="32"/>
        <v>23.286200000000001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3"/>
        <v>0212-16</v>
      </c>
      <c r="AE127" s="85" t="str">
        <f t="shared" si="34"/>
        <v>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 &amp; aws s3 cp s3://rtdc.mdm.uploadarchive.raw/RTDC4028/ "%USERPROFILE%\AppData\Local\Temp\OnboardLogs"\RTDC4028\2017-03-17 --exclude "*" --recursive --include "*20170317*" &amp; "%USERPROFILE%\Documents\GitHub\mrs-test-scripts\Headless Mode &amp; Sideloading\WalkAndUnGZ.bat" "%USERPROFILE%\AppData\Local\Temp\OnboardLogs"\RTDC4028\2017-03-17</v>
      </c>
      <c r="AF127" s="82" t="str">
        <f t="shared" si="35"/>
        <v>"C:\Program Files (x86)\AstroGrep\AstroGrep.exe" /e /r /s /spath="%USERPROFILE%\AppData\Local\Temp\OnboardLogs" /stypes="app*4028*20170317*" /stext=" 01:.+((SYSTEM_STATE.+slice.+state.+changed )|(ment ac)|(multiple cpu faults)|(system.+state.+changed )|(\[timeout)|(PRM\|1\|D)|(kpr)|(kdp)|(\|lc)|(penalty))"</v>
      </c>
      <c r="AG127" s="1" t="str">
        <f t="shared" si="36"/>
        <v>EC</v>
      </c>
      <c r="AH127" s="86" t="str">
        <f t="shared" si="37"/>
        <v>"%USERPROFILE%\Documents\GitHub\eaglep3\Utilities\RefineRTDCRunTimes.py" --tripid 212-16 --locoid 4028 --swversion DE.1.0.9.0 --startMP 204:232998 --initTime 2017-03-16T18:17:59 --startdatetime 2017-03-16T18:26:22 --delay 1 --endMP 204:136 --enddatetime 2017-03-16T19:06:08 --enforcementcount 0 &gt;&gt;C:\Users\stu\Documents\GitHub\eaglep3-reporting\EC\2017-03-16-refined-times.txt</v>
      </c>
      <c r="AI127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{"issue":{"subject":"","project_id":79,"tracker_id":40,"status_id":1,"priority_id":2,"assigned_to_id":23,"start_date":"2017-03-16","description":"","custom_fields":[{"id":1,"name":"Subdivision","value":"EC"},{"id":4,"name":"Milepost","value":"0.0136"},{"id":17,"name":"Train ID","value":"212-16"},{"id":16,"name":"Locomotive ID","value":"4028"},{"id":130,"name":"Impact","value":""},{"id":150,"name":"Time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9"/>
        <v>start /low /b %USERPROFILE%\Documents\GitHub\eaglep3\Utilities\DownloadLogsFromS3.py --loco 4028 --day 2017-03-16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"%USERPROFILE%\AppData\Local\Temp\OnboardLogs"\RTDC4028\*4028*20170317* | grep -SE "(Enforcement Action)|(\[TIMEOUT)|(CHR.+\|PRM\|1\|D.+(SWITCH|SIGNAL).+UNKNOWN)" - &gt;&gt; 2017-03-16-UncaughtWiMAX.txt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782</v>
      </c>
      <c r="B128" s="7">
        <v>4046</v>
      </c>
      <c r="C128" s="21" t="s">
        <v>228</v>
      </c>
      <c r="D128" s="21" t="s">
        <v>426</v>
      </c>
      <c r="E128" s="13">
        <v>42810.735451388886</v>
      </c>
      <c r="F128" s="13">
        <v>42810.739861111113</v>
      </c>
      <c r="G128" s="7">
        <v>1</v>
      </c>
      <c r="H128" s="21" t="s">
        <v>245</v>
      </c>
      <c r="I128" s="13">
        <v>42810.763981481483</v>
      </c>
      <c r="J128" s="7">
        <v>0</v>
      </c>
      <c r="K128" s="98" t="str">
        <f t="shared" si="25"/>
        <v>4045/4046</v>
      </c>
      <c r="L128" s="21" t="str">
        <f>VLOOKUP(A128,'Trips&amp;Operators'!$C$1:$G$99999,5,FALSE)</f>
        <v>NEWELL JAMES</v>
      </c>
      <c r="M128" s="6">
        <f t="shared" si="26"/>
        <v>2.4120370369928423E-2</v>
      </c>
      <c r="N128" s="7">
        <f t="shared" si="45"/>
        <v>34.73333333269693</v>
      </c>
      <c r="O128" s="7"/>
      <c r="P128" s="7"/>
      <c r="Q128" s="22"/>
      <c r="R128" s="22"/>
      <c r="S128" s="31">
        <f t="shared" si="44"/>
        <v>1</v>
      </c>
      <c r="T128" s="46" t="str">
        <f t="shared" si="27"/>
        <v>NorthBound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8"/>
        <v>https://d0f6bd738d7f1b3e5a7ca70fe4ff75f0.us-east-1.aws.found.io/app/kibana#/discover/Steve-Slow-Train-Analysis-(2080s-and-2083s)?_g=(refreshInterval:(display:Off,pause:!f,section:0,value:0),time:(from:'2017-03-16T16:39:03-0600',mode:absolute,to:'2017-03-16T19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187" t="str">
        <f t="shared" si="29"/>
        <v>N</v>
      </c>
      <c r="X128" s="187">
        <f t="shared" si="46"/>
        <v>1</v>
      </c>
      <c r="Y128" s="62">
        <f t="shared" si="31"/>
        <v>4.6399999999999997E-2</v>
      </c>
      <c r="Z128" s="62">
        <f t="shared" si="47"/>
        <v>23.330300000000001</v>
      </c>
      <c r="AA128" s="62">
        <f t="shared" si="32"/>
        <v>23.283900000000003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3"/>
        <v>0213-16</v>
      </c>
      <c r="AE128" s="85" t="str">
        <f t="shared" si="34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28" s="82" t="str">
        <f t="shared" si="35"/>
        <v>"C:\Program Files (x86)\AstroGrep\AstroGrep.exe" /e /r /s /spath="%USERPROFILE%\AppData\Local\Temp\OnboardLogs" /stypes="app*4046*20170317*" /stext=" 00:.+((SYSTEM_STATE.+slice.+state.+changed )|(ment ac)|(multiple cpu faults)|(system.+state.+changed )|(\[timeout)|(PRM\|1\|D)|(kpr)|(kdp)|(\|lc)|(penalty))"</v>
      </c>
      <c r="AG128" s="1" t="str">
        <f t="shared" si="36"/>
        <v>EC</v>
      </c>
      <c r="AH128" s="86" t="str">
        <f t="shared" si="37"/>
        <v>"%USERPROFILE%\Documents\GitHub\eaglep3\Utilities\RefineRTDCRunTimes.py" --tripid 213-16 --locoid 4046 --swversion DE.1.0.9.0 --startMP 204:464 --initTime 2017-03-16T17:39:03 --startdatetime 2017-03-16T17:45:24 --delay 1 --endMP 204:233303 --enddatetime 2017-03-16T18:20:08 --enforcementcount 0 &gt;&gt;C:\Users\stu\Documents\GitHub\eaglep3-reporting\EC\2017-03-16-refined-times.txt</v>
      </c>
      <c r="AI12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{"issue":{"subject":"","project_id":79,"tracker_id":40,"status_id":1,"priority_id":2,"assigned_to_id":23,"start_date":"2017-03-16","description":"","custom_fields":[{"id":1,"name":"Subdivision","value":"EC"},{"id":4,"name":"Milepost","value":"23.3303"},{"id":17,"name":"Train ID","value":"213-16"},{"id":16,"name":"Locomotive ID","value":"4046"},{"id":130,"name":"Impact","value":""},{"id":150,"name":"Time of Event (Mountain Time)","value":"18:20:08"},{"id":151,"name":"Denver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9"/>
        <v>start /low /b %USERPROFILE%\Documents\GitHub\eaglep3\Utilities\DownloadLogsFromS3.py --loco 4046 --day 2017-03-16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"%USERPROFILE%\AppData\Local\Temp\OnboardLogs"\RTDC4046\*4046*20170317* | grep -SE "(Enforcement Action)|(\[TIMEOUT)|(CHR.+\|PRM\|1\|D.+(SWITCH|SIGNAL).+UNKNOWN)" - &gt;&gt; 2017-03-16-UncaughtWiMAX.txt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795</v>
      </c>
      <c r="B129" s="7">
        <v>4045</v>
      </c>
      <c r="C129" s="21" t="s">
        <v>228</v>
      </c>
      <c r="D129" s="21" t="s">
        <v>872</v>
      </c>
      <c r="E129" s="13">
        <v>42810.768807870372</v>
      </c>
      <c r="F129" s="13">
        <v>42810.778622685182</v>
      </c>
      <c r="G129" s="7">
        <v>1</v>
      </c>
      <c r="H129" s="21" t="s">
        <v>217</v>
      </c>
      <c r="I129" s="13">
        <v>42810.805289351854</v>
      </c>
      <c r="J129" s="7">
        <v>0</v>
      </c>
      <c r="K129" s="98" t="str">
        <f t="shared" si="25"/>
        <v>4045/4046</v>
      </c>
      <c r="L129" s="21" t="str">
        <f>VLOOKUP(A129,'Trips&amp;Operators'!$C$1:$G$99999,5,FALSE)</f>
        <v>NEWELL JAMES</v>
      </c>
      <c r="M129" s="6">
        <f t="shared" si="26"/>
        <v>2.6666666672099382E-2</v>
      </c>
      <c r="N129" s="7">
        <f t="shared" si="45"/>
        <v>38.40000000782311</v>
      </c>
      <c r="O129" s="7"/>
      <c r="P129" s="7"/>
      <c r="Q129" s="22"/>
      <c r="R129" s="22"/>
      <c r="S129" s="31">
        <f t="shared" si="44"/>
        <v>1</v>
      </c>
      <c r="T129" s="46" t="str">
        <f t="shared" si="27"/>
        <v>Southbound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8"/>
        <v>https://d0f6bd738d7f1b3e5a7ca70fe4ff75f0.us-east-1.aws.found.io/app/kibana#/discover/Steve-Slow-Train-Analysis-(2080s-and-2083s)?_g=(refreshInterval:(display:Off,pause:!f,section:0,value:0),time:(from:'2017-03-16T17:27:05-0600',mode:absolute,to:'2017-03-16T20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187" t="str">
        <f t="shared" si="29"/>
        <v>N</v>
      </c>
      <c r="X129" s="187">
        <f t="shared" si="46"/>
        <v>1</v>
      </c>
      <c r="Y129" s="62">
        <f t="shared" si="31"/>
        <v>23.298999999999999</v>
      </c>
      <c r="Z129" s="62">
        <f t="shared" si="47"/>
        <v>1.3899999999999999E-2</v>
      </c>
      <c r="AA129" s="62">
        <f t="shared" si="32"/>
        <v>23.2851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3"/>
        <v>0214-16</v>
      </c>
      <c r="AE129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29" s="82" t="str">
        <f t="shared" si="35"/>
        <v>"C:\Program Files (x86)\AstroGrep\AstroGrep.exe" /e /r /s /spath="%USERPROFILE%\AppData\Local\Temp\OnboardLogs" /stypes="app*4045*20170317*" /stext=" 01:.+((SYSTEM_STATE.+slice.+state.+changed )|(ment ac)|(multiple cpu faults)|(system.+state.+changed )|(\[timeout)|(PRM\|1\|D)|(kpr)|(kdp)|(\|lc)|(penalty))"</v>
      </c>
      <c r="AG129" s="1" t="str">
        <f t="shared" si="36"/>
        <v>EC</v>
      </c>
      <c r="AH129" s="86" t="str">
        <f t="shared" si="37"/>
        <v>"%USERPROFILE%\Documents\GitHub\eaglep3\Utilities\RefineRTDCRunTimes.py" --tripid 214-16 --locoid 4045 --swversion DE.1.0.9.0 --startMP 204:232990 --initTime 2017-03-16T18:27:05 --startdatetime 2017-03-16T18:41:13 --delay 1 --endMP 204:139 --enddatetime 2017-03-16T19:19:37 --enforcementcount 0 &gt;&gt;C:\Users\stu\Documents\GitHub\eaglep3-reporting\EC\2017-03-16-refined-times.txt</v>
      </c>
      <c r="AI12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{"issue":{"subject":"","project_id":79,"tracker_id":40,"status_id":1,"priority_id":2,"assigned_to_id":23,"start_date":"2017-03-16","description":"","custom_fields":[{"id":1,"name":"Subdivision","value":"EC"},{"id":4,"name":"Milepost","value":"0.0139"},{"id":17,"name":"Train ID","value":"214-16"},{"id":16,"name":"Locomotive ID","value":"4045"},{"id":130,"name":"Impact","value":""},{"id":150,"name":"Time of Event (Mountain Time)","value":"19:19:37"},{"id":151,"name":"Denver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9"/>
        <v>start /low /b %USERPROFILE%\Documents\GitHub\eaglep3\Utilities\DownloadLogsFromS3.py --loco 4045 --day 2017-03-16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"%USERPROFILE%\AppData\Local\Temp\OnboardLogs"\RTDC4045\*4045*20170317* | grep -SE "(Enforcement Action)|(\[TIMEOUT)|(CHR.+\|PRM\|1\|D.+(SWITCH|SIGNAL).+UNKNOWN)" - &gt;&gt; 2017-03-16-UncaughtWiMAX.txt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630</v>
      </c>
      <c r="B130" s="7">
        <v>4002</v>
      </c>
      <c r="C130" s="21" t="s">
        <v>228</v>
      </c>
      <c r="D130" s="21" t="s">
        <v>216</v>
      </c>
      <c r="E130" s="13">
        <v>42810.745787037034</v>
      </c>
      <c r="F130" s="13">
        <v>42810.750451388885</v>
      </c>
      <c r="G130" s="7">
        <v>1</v>
      </c>
      <c r="H130" s="21" t="s">
        <v>560</v>
      </c>
      <c r="I130" s="13">
        <v>42810.775219907409</v>
      </c>
      <c r="J130" s="7">
        <v>0</v>
      </c>
      <c r="K130" s="98" t="str">
        <f t="shared" si="25"/>
        <v>4001/4002</v>
      </c>
      <c r="L130" s="21" t="str">
        <f>VLOOKUP(A130,'Trips&amp;Operators'!$C$1:$G$99999,5,FALSE)</f>
        <v>DELGADO DIANAH</v>
      </c>
      <c r="M130" s="6">
        <f t="shared" si="26"/>
        <v>2.4768518524069805E-2</v>
      </c>
      <c r="N130" s="7">
        <f t="shared" si="45"/>
        <v>35.666666674660519</v>
      </c>
      <c r="O130" s="7"/>
      <c r="P130" s="7"/>
      <c r="Q130" s="22"/>
      <c r="R130" s="22"/>
      <c r="S130" s="31">
        <f t="shared" si="44"/>
        <v>1</v>
      </c>
      <c r="T130" s="46" t="str">
        <f t="shared" si="27"/>
        <v>NorthBound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8"/>
        <v>https://d0f6bd738d7f1b3e5a7ca70fe4ff75f0.us-east-1.aws.found.io/app/kibana#/discover/Steve-Slow-Train-Analysis-(2080s-and-2083s)?_g=(refreshInterval:(display:Off,pause:!f,section:0,value:0),time:(from:'2017-03-16T16:53:56-0600',mode:absolute,to:'2017-03-16T19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187" t="str">
        <f t="shared" si="29"/>
        <v>N</v>
      </c>
      <c r="X130" s="187">
        <f t="shared" si="46"/>
        <v>1</v>
      </c>
      <c r="Y130" s="62">
        <f t="shared" si="31"/>
        <v>4.5499999999999999E-2</v>
      </c>
      <c r="Z130" s="62">
        <f t="shared" si="47"/>
        <v>23.333100000000002</v>
      </c>
      <c r="AA130" s="62">
        <f t="shared" si="32"/>
        <v>23.287600000000001</v>
      </c>
      <c r="AB130" s="59" t="str">
        <f>VLOOKUP(A130,Enforcements!$C$7:$K$13,8,0)</f>
        <v>Bulletin (2)</v>
      </c>
      <c r="AC130" s="55" t="str">
        <f>VLOOKUP(A130,Enforcements!$C$7:$E$13,3,0)</f>
        <v>GRADE CROSSING</v>
      </c>
      <c r="AD130" s="56" t="str">
        <f t="shared" si="33"/>
        <v>0215-16</v>
      </c>
      <c r="AE130" s="85" t="str">
        <f t="shared" si="34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130" s="82" t="str">
        <f t="shared" si="35"/>
        <v>"C:\Program Files (x86)\AstroGrep\AstroGrep.exe" /e /r /s /spath="%USERPROFILE%\AppData\Local\Temp\OnboardLogs" /stypes="app*4002*20170317*" /stext=" 00:.+((SYSTEM_STATE.+slice.+state.+changed )|(ment ac)|(multiple cpu faults)|(system.+state.+changed )|(\[timeout)|(PRM\|1\|D)|(kpr)|(kdp)|(\|lc)|(penalty))"</v>
      </c>
      <c r="AG130" s="1" t="str">
        <f t="shared" si="36"/>
        <v>EC</v>
      </c>
      <c r="AH130" s="86" t="str">
        <f t="shared" si="37"/>
        <v>"%USERPROFILE%\Documents\GitHub\eaglep3\Utilities\RefineRTDCRunTimes.py" --tripid 215-16 --locoid 4002 --swversion DE.1.0.9.0 --startMP 204:455 --initTime 2017-03-16T17:53:56 --startdatetime 2017-03-16T18:00:39 --delay 1 --endMP 204:233331 --enddatetime 2017-03-16T18:36:19 --enforcementcount 0 &gt;&gt;C:\Users\stu\Documents\GitHub\eaglep3-reporting\EC\2017-03-16-refined-times.txt</v>
      </c>
      <c r="AI13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{"issue":{"subject":"","project_id":79,"tracker_id":40,"status_id":1,"priority_id":2,"assigned_to_id":23,"start_date":"2017-03-16","description":"","custom_fields":[{"id":1,"name":"Subdivision","value":"EC"},{"id":4,"name":"Milepost","value":"23.3331"},{"id":17,"name":"Train ID","value":"215-16"},{"id":16,"name":"Locomotive ID","value":"4002"},{"id":130,"name":"Impact","value":""},{"id":150,"name":"Time of Event (Mountain Time)","value":"18:36:19"},{"id":151,"name":"Denver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9"/>
        <v>start /low /b %USERPROFILE%\Documents\GitHub\eaglep3\Utilities\DownloadLogsFromS3.py --loco 4002 --day 2017-03-16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2017-03-16-UncaughtWiMAX.txt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797</v>
      </c>
      <c r="B131" s="7">
        <v>4001</v>
      </c>
      <c r="C131" s="21" t="s">
        <v>228</v>
      </c>
      <c r="D131" s="21" t="s">
        <v>561</v>
      </c>
      <c r="E131" s="13">
        <v>42810.77921296296</v>
      </c>
      <c r="F131" s="13">
        <v>42810.789780092593</v>
      </c>
      <c r="G131" s="7">
        <v>1</v>
      </c>
      <c r="H131" s="21" t="s">
        <v>238</v>
      </c>
      <c r="I131" s="13">
        <v>42810.816087962965</v>
      </c>
      <c r="J131" s="7">
        <v>0</v>
      </c>
      <c r="K131" s="98" t="str">
        <f t="shared" si="25"/>
        <v>4001/4002</v>
      </c>
      <c r="L131" s="21" t="str">
        <f>VLOOKUP(A131,'Trips&amp;Operators'!$C$1:$G$99999,5,FALSE)</f>
        <v>DELGADO DIANAH</v>
      </c>
      <c r="M131" s="6">
        <f t="shared" si="26"/>
        <v>2.6307870371965691E-2</v>
      </c>
      <c r="N131" s="7">
        <f t="shared" si="45"/>
        <v>37.883333335630596</v>
      </c>
      <c r="O131" s="7"/>
      <c r="P131" s="7"/>
      <c r="Q131" s="22"/>
      <c r="R131" s="22"/>
      <c r="S131" s="31">
        <f t="shared" ref="S131:S162" si="48">SUM(U131:U131)/IF(AG131="EC",12,1)</f>
        <v>1</v>
      </c>
      <c r="T131" s="46" t="str">
        <f t="shared" si="27"/>
        <v>Southbound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8"/>
        <v>https://d0f6bd738d7f1b3e5a7ca70fe4ff75f0.us-east-1.aws.found.io/app/kibana#/discover/Steve-Slow-Train-Analysis-(2080s-and-2083s)?_g=(refreshInterval:(display:Off,pause:!f,section:0,value:0),time:(from:'2017-03-16T17:42:04-0600',mode:absolute,to:'2017-03-16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187" t="str">
        <f t="shared" si="29"/>
        <v>N</v>
      </c>
      <c r="X131" s="187">
        <f t="shared" si="46"/>
        <v>1</v>
      </c>
      <c r="Y131" s="62">
        <f t="shared" si="31"/>
        <v>23.301300000000001</v>
      </c>
      <c r="Z131" s="62">
        <f t="shared" si="47"/>
        <v>1.61E-2</v>
      </c>
      <c r="AA131" s="62">
        <f t="shared" si="32"/>
        <v>23.2852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3"/>
        <v>0216-16</v>
      </c>
      <c r="AE131" s="85" t="str">
        <f t="shared" si="34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131" s="82" t="str">
        <f t="shared" si="35"/>
        <v>"C:\Program Files (x86)\AstroGrep\AstroGrep.exe" /e /r /s /spath="%USERPROFILE%\AppData\Local\Temp\OnboardLogs" /stypes="app*4001*20170317*" /stext=" 01:.+((SYSTEM_STATE.+slice.+state.+changed )|(ment ac)|(multiple cpu faults)|(system.+state.+changed )|(\[timeout)|(PRM\|1\|D)|(kpr)|(kdp)|(\|lc)|(penalty))"</v>
      </c>
      <c r="AG131" s="1" t="str">
        <f t="shared" si="36"/>
        <v>EC</v>
      </c>
      <c r="AH131" s="86" t="str">
        <f t="shared" si="37"/>
        <v>"%USERPROFILE%\Documents\GitHub\eaglep3\Utilities\RefineRTDCRunTimes.py" --tripid 216-16 --locoid 4001 --swversion DE.1.0.9.0 --startMP 204:233013 --initTime 2017-03-16T18:42:04 --startdatetime 2017-03-16T18:57:17 --delay 1 --endMP 204:161 --enddatetime 2017-03-16T19:35:10 --enforcementcount 0 &gt;&gt;C:\Users\stu\Documents\GitHub\eaglep3-reporting\EC\2017-03-16-refined-times.txt</v>
      </c>
      <c r="AI13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{"issue":{"subject":"","project_id":79,"tracker_id":40,"status_id":1,"priority_id":2,"assigned_to_id":23,"start_date":"2017-03-16","description":"","custom_fields":[{"id":1,"name":"Subdivision","value":"EC"},{"id":4,"name":"Milepost","value":"0.0161"},{"id":17,"name":"Train ID","value":"216-16"},{"id":16,"name":"Locomotive ID","value":"4001"},{"id":130,"name":"Impact","value":""},{"id":150,"name":"Time of Event (Mountain Time)","value":"19:35:10"},{"id":151,"name":"Denver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9"/>
        <v>start /low /b %USERPROFILE%\Documents\GitHub\eaglep3\Utilities\DownloadLogsFromS3.py --loco 4001 --day 2017-03-16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"%USERPROFILE%\AppData\Local\Temp\OnboardLogs"\RTDC4001\*4001*20170317* | grep -SE "(Enforcement Action)|(\[TIMEOUT)|(CHR.+\|PRM\|1\|D.+(SWITCH|SIGNAL).+UNKNOWN)" - &gt;&gt; 2017-03-16-UncaughtWiMAX.txt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787</v>
      </c>
      <c r="B132" s="7">
        <v>4031</v>
      </c>
      <c r="C132" s="21" t="s">
        <v>228</v>
      </c>
      <c r="D132" s="21" t="s">
        <v>229</v>
      </c>
      <c r="E132" s="13">
        <v>42810.75545138889</v>
      </c>
      <c r="F132" s="13">
        <v>42810.76059027778</v>
      </c>
      <c r="G132" s="7">
        <v>2</v>
      </c>
      <c r="H132" s="21" t="s">
        <v>563</v>
      </c>
      <c r="I132" s="13">
        <v>42810.786145833335</v>
      </c>
      <c r="J132" s="7">
        <v>0</v>
      </c>
      <c r="K132" s="98" t="str">
        <f t="shared" si="25"/>
        <v>4031/4032</v>
      </c>
      <c r="L132" s="21" t="str">
        <f>VLOOKUP(A132,'Trips&amp;Operators'!$C$1:$G$99999,5,FALSE)</f>
        <v>BROWN JACOB</v>
      </c>
      <c r="M132" s="6">
        <f t="shared" si="26"/>
        <v>2.5555555555911269E-2</v>
      </c>
      <c r="N132" s="7">
        <f t="shared" si="45"/>
        <v>36.800000000512227</v>
      </c>
      <c r="O132" s="7"/>
      <c r="P132" s="7"/>
      <c r="Q132" s="22"/>
      <c r="R132" s="22"/>
      <c r="S132" s="31">
        <f t="shared" si="48"/>
        <v>1</v>
      </c>
      <c r="T132" s="46" t="str">
        <f t="shared" si="27"/>
        <v>NorthBound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8"/>
        <v>https://d0f6bd738d7f1b3e5a7ca70fe4ff75f0.us-east-1.aws.found.io/app/kibana#/discover/Steve-Slow-Train-Analysis-(2080s-and-2083s)?_g=(refreshInterval:(display:Off,pause:!f,section:0,value:0),time:(from:'2017-03-16T17:07:51-0600',mode:absolute,to:'2017-03-16T19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2" s="187" t="str">
        <f t="shared" si="29"/>
        <v>N</v>
      </c>
      <c r="X132" s="187">
        <f t="shared" si="46"/>
        <v>1</v>
      </c>
      <c r="Y132" s="62">
        <f t="shared" si="31"/>
        <v>4.58E-2</v>
      </c>
      <c r="Z132" s="62">
        <f t="shared" si="47"/>
        <v>23.332799999999999</v>
      </c>
      <c r="AA132" s="62">
        <f t="shared" si="32"/>
        <v>23.286999999999999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3"/>
        <v>0217-16</v>
      </c>
      <c r="AE132" s="85" t="str">
        <f t="shared" si="34"/>
        <v>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 &amp; 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</v>
      </c>
      <c r="AF132" s="82" t="str">
        <f t="shared" si="35"/>
        <v>"C:\Program Files (x86)\AstroGrep\AstroGrep.exe" /e /r /s /spath="%USERPROFILE%\AppData\Local\Temp\OnboardLogs" /stypes="app*4031*20170317*" /stext=" 00:.+((SYSTEM_STATE.+slice.+state.+changed )|(ment ac)|(multiple cpu faults)|(system.+state.+changed )|(\[timeout)|(PRM\|1\|D)|(kpr)|(kdp)|(\|lc)|(penalty))"</v>
      </c>
      <c r="AG132" s="1" t="str">
        <f t="shared" si="36"/>
        <v>EC</v>
      </c>
      <c r="AH132" s="86" t="str">
        <f t="shared" si="37"/>
        <v>"%USERPROFILE%\Documents\GitHub\eaglep3\Utilities\RefineRTDCRunTimes.py" --tripid 217-16 --locoid 4031 --swversion DE.1.0.9.0 --startMP 204:458 --initTime 2017-03-16T18:07:51 --startdatetime 2017-03-16T18:15:15 --delay 2 --endMP 204:233328 --enddatetime 2017-03-16T18:52:03 --enforcementcount 0 &gt;&gt;C:\Users\stu\Documents\GitHub\eaglep3-reporting\EC\2017-03-16-refined-times.txt</v>
      </c>
      <c r="AI132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{"issue":{"subject":"","project_id":79,"tracker_id":40,"status_id":1,"priority_id":2,"assigned_to_id":23,"start_date":"2017-03-16","description":"","custom_fields":[{"id":1,"name":"Subdivision","value":"EC"},{"id":4,"name":"Milepost","value":"23.3328"},{"id":17,"name":"Train ID","value":"217-16"},{"id":16,"name":"Locomotive ID","value":"4031"},{"id":130,"name":"Impact","value":""},{"id":150,"name":"Time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9"/>
        <v>start /low /b %USERPROFILE%\Documents\GitHub\eaglep3\Utilities\DownloadLogsFromS3.py --loco 4031 --day 2017-03-16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"%USERPROFILE%\AppData\Local\Temp\OnboardLogs"\RTDC4031\*4031*20170317* | grep -SE "(Enforcement Action)|(\[TIMEOUT)|(CHR.+\|PRM\|1\|D.+(SWITCH|SIGNAL).+UNKNOWN)" - &gt;&gt; 2017-03-16-UncaughtWiMAX.txt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799</v>
      </c>
      <c r="B133" s="7">
        <v>4032</v>
      </c>
      <c r="C133" s="21" t="s">
        <v>228</v>
      </c>
      <c r="D133" s="21" t="s">
        <v>849</v>
      </c>
      <c r="E133" s="13">
        <v>42810.795949074076</v>
      </c>
      <c r="F133" s="13">
        <v>42810.799467592595</v>
      </c>
      <c r="G133" s="7">
        <v>1</v>
      </c>
      <c r="H133" s="21" t="s">
        <v>217</v>
      </c>
      <c r="I133" s="13">
        <v>42810.828043981484</v>
      </c>
      <c r="J133" s="7">
        <v>0</v>
      </c>
      <c r="K133" s="98" t="str">
        <f t="shared" si="25"/>
        <v>4031/4032</v>
      </c>
      <c r="L133" s="21" t="str">
        <f>VLOOKUP(A133,'Trips&amp;Operators'!$C$1:$G$99999,5,FALSE)</f>
        <v>BROWN JACOB</v>
      </c>
      <c r="M133" s="6">
        <f t="shared" si="26"/>
        <v>2.8576388889632653E-2</v>
      </c>
      <c r="N133" s="7">
        <f t="shared" si="45"/>
        <v>41.150000001071021</v>
      </c>
      <c r="O133" s="7"/>
      <c r="P133" s="7"/>
      <c r="Q133" s="22"/>
      <c r="R133" s="22"/>
      <c r="S133" s="31">
        <f t="shared" si="48"/>
        <v>1</v>
      </c>
      <c r="T133" s="46" t="str">
        <f t="shared" si="27"/>
        <v>Southbound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8"/>
        <v>https://d0f6bd738d7f1b3e5a7ca70fe4ff75f0.us-east-1.aws.found.io/app/kibana#/discover/Steve-Slow-Train-Analysis-(2080s-and-2083s)?_g=(refreshInterval:(display:Off,pause:!f,section:0,value:0),time:(from:'2017-03-16T18:06:10-0600',mode:absolute,to:'2017-03-16T20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187" t="str">
        <f t="shared" si="29"/>
        <v>N</v>
      </c>
      <c r="X133" s="187">
        <f t="shared" si="46"/>
        <v>1</v>
      </c>
      <c r="Y133" s="62">
        <f t="shared" si="31"/>
        <v>23.299199999999999</v>
      </c>
      <c r="Z133" s="62">
        <f t="shared" si="47"/>
        <v>1.3899999999999999E-2</v>
      </c>
      <c r="AA133" s="62">
        <f t="shared" si="32"/>
        <v>23.285299999999999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3"/>
        <v>0218-16</v>
      </c>
      <c r="AE133" s="85" t="str">
        <f t="shared" si="34"/>
        <v>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 &amp; aws s3 cp s3://rtdc.mdm.uploadarchive.raw/RTDC4032/ "%USERPROFILE%\AppData\Local\Temp\OnboardLogs"\RTDC4032\2017-03-17 --exclude "*" --recursive --include "*20170317*" &amp; "%USERPROFILE%\Documents\GitHub\mrs-test-scripts\Headless Mode &amp; Sideloading\WalkAndUnGZ.bat" "%USERPROFILE%\AppData\Local\Temp\OnboardLogs"\RTDC4032\2017-03-17</v>
      </c>
      <c r="AF133" s="82" t="str">
        <f t="shared" si="35"/>
        <v>"C:\Program Files (x86)\AstroGrep\AstroGrep.exe" /e /r /s /spath="%USERPROFILE%\AppData\Local\Temp\OnboardLogs" /stypes="app*4032*20170317*" /stext=" 01:.+((SYSTEM_STATE.+slice.+state.+changed )|(ment ac)|(multiple cpu faults)|(system.+state.+changed )|(\[timeout)|(PRM\|1\|D)|(kpr)|(kdp)|(\|lc)|(penalty))"</v>
      </c>
      <c r="AG133" s="1" t="str">
        <f t="shared" si="36"/>
        <v>EC</v>
      </c>
      <c r="AH133" s="86" t="str">
        <f t="shared" si="37"/>
        <v>"%USERPROFILE%\Documents\GitHub\eaglep3\Utilities\RefineRTDCRunTimes.py" --tripid 218-16 --locoid 4032 --swversion DE.1.0.9.0 --startMP 204:232992 --initTime 2017-03-16T19:06:10 --startdatetime 2017-03-16T19:11:14 --delay 1 --endMP 204:139 --enddatetime 2017-03-16T19:52:23 --enforcementcount 0 &gt;&gt;C:\Users\stu\Documents\GitHub\eaglep3-reporting\EC\2017-03-16-refined-times.txt</v>
      </c>
      <c r="AI133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{"issue":{"subject":"","project_id":79,"tracker_id":40,"status_id":1,"priority_id":2,"assigned_to_id":23,"start_date":"2017-03-16","description":"","custom_fields":[{"id":1,"name":"Subdivision","value":"EC"},{"id":4,"name":"Milepost","value":"0.0139"},{"id":17,"name":"Train ID","value":"218-16"},{"id":16,"name":"Locomotive ID","value":"4032"},{"id":130,"name":"Impact","value":""},{"id":150,"name":"Time of Event (Mountain Time)","value":"19:52:23"},{"id":151,"name":"Denver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9"/>
        <v>start /low /b %USERPROFILE%\Documents\GitHub\eaglep3\Utilities\DownloadLogsFromS3.py --loco 4032 --day 2017-03-16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"%USERPROFILE%\AppData\Local\Temp\OnboardLogs"\RTDC4032\*4032*20170317* | grep -SE "(Enforcement Action)|(\[TIMEOUT)|(CHR.+\|PRM\|1\|D.+(SWITCH|SIGNAL).+UNKNOWN)" - &gt;&gt; 2017-03-16-UncaughtWiMAX.txt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794</v>
      </c>
      <c r="B134" s="7">
        <v>4025</v>
      </c>
      <c r="C134" s="21" t="s">
        <v>228</v>
      </c>
      <c r="D134" s="21" t="s">
        <v>216</v>
      </c>
      <c r="E134" s="13">
        <v>42810.766365740739</v>
      </c>
      <c r="F134" s="13">
        <v>42810.771006944444</v>
      </c>
      <c r="G134" s="7">
        <v>1</v>
      </c>
      <c r="H134" s="21" t="s">
        <v>873</v>
      </c>
      <c r="I134" s="13">
        <v>42810.796840277777</v>
      </c>
      <c r="J134" s="7">
        <v>0</v>
      </c>
      <c r="K134" s="98" t="str">
        <f t="shared" si="25"/>
        <v>4025/4026</v>
      </c>
      <c r="L134" s="21" t="str">
        <f>VLOOKUP(A134,'Trips&amp;Operators'!$C$1:$G$99999,5,FALSE)</f>
        <v>SWANSON BRYCE</v>
      </c>
      <c r="M134" s="6">
        <f t="shared" si="26"/>
        <v>2.5833333333139308E-2</v>
      </c>
      <c r="N134" s="7">
        <f t="shared" si="45"/>
        <v>37.199999999720603</v>
      </c>
      <c r="O134" s="7"/>
      <c r="P134" s="7"/>
      <c r="Q134" s="22"/>
      <c r="R134" s="22"/>
      <c r="S134" s="31">
        <f t="shared" si="48"/>
        <v>1</v>
      </c>
      <c r="T134" s="46" t="str">
        <f t="shared" si="27"/>
        <v>NorthBound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8"/>
        <v>https://d0f6bd738d7f1b3e5a7ca70fe4ff75f0.us-east-1.aws.found.io/app/kibana#/discover/Steve-Slow-Train-Analysis-(2080s-and-2083s)?_g=(refreshInterval:(display:Off,pause:!f,section:0,value:0),time:(from:'2017-03-16T17:23:34-0600',mode:absolute,to:'2017-03-16T20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4" s="187" t="str">
        <f t="shared" si="29"/>
        <v>N</v>
      </c>
      <c r="X134" s="187">
        <f t="shared" si="46"/>
        <v>1</v>
      </c>
      <c r="Y134" s="62">
        <f t="shared" si="31"/>
        <v>4.5499999999999999E-2</v>
      </c>
      <c r="Z134" s="62">
        <f t="shared" si="47"/>
        <v>23.332699999999999</v>
      </c>
      <c r="AA134" s="62">
        <f t="shared" si="32"/>
        <v>23.287199999999999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3"/>
        <v>0219-16</v>
      </c>
      <c r="AE134" s="85" t="str">
        <f t="shared" si="34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34" s="82" t="str">
        <f t="shared" si="35"/>
        <v>"C:\Program Files (x86)\AstroGrep\AstroGrep.exe" /e /r /s /spath="%USERPROFILE%\AppData\Local\Temp\OnboardLogs" /stypes="app*4025*20170317*" /stext=" 01:.+((SYSTEM_STATE.+slice.+state.+changed )|(ment ac)|(multiple cpu faults)|(system.+state.+changed )|(\[timeout)|(PRM\|1\|D)|(kpr)|(kdp)|(\|lc)|(penalty))"</v>
      </c>
      <c r="AG134" s="1" t="str">
        <f t="shared" si="36"/>
        <v>EC</v>
      </c>
      <c r="AH134" s="86" t="str">
        <f t="shared" si="37"/>
        <v>"%USERPROFILE%\Documents\GitHub\eaglep3\Utilities\RefineRTDCRunTimes.py" --tripid 219-16 --locoid 4025 --swversion DE.1.0.9.0 --startMP 204:455 --initTime 2017-03-16T18:23:34 --startdatetime 2017-03-16T18:30:15 --delay 1 --endMP 204:233327 --enddatetime 2017-03-16T19:07:27 --enforcementcount 0 &gt;&gt;C:\Users\stu\Documents\GitHub\eaglep3-reporting\EC\2017-03-16-refined-times.txt</v>
      </c>
      <c r="AI134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{"issue":{"subject":"","project_id":79,"tracker_id":40,"status_id":1,"priority_id":2,"assigned_to_id":23,"start_date":"2017-03-16","description":"","custom_fields":[{"id":1,"name":"Subdivision","value":"EC"},{"id":4,"name":"Milepost","value":"23.3327"},{"id":17,"name":"Train ID","value":"219-16"},{"id":16,"name":"Locomotive ID","value":"4025"},{"id":130,"name":"Impact","value":""},{"id":150,"name":"Time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9"/>
        <v>start /low /b %USERPROFILE%\Documents\GitHub\eaglep3\Utilities\DownloadLogsFromS3.py --loco 4025 --day 2017-03-16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2017-03-16-UncaughtWiMAX.txt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634</v>
      </c>
      <c r="B135" s="7">
        <v>4026</v>
      </c>
      <c r="C135" s="21" t="s">
        <v>228</v>
      </c>
      <c r="D135" s="21" t="s">
        <v>246</v>
      </c>
      <c r="E135" s="13">
        <v>42810.798958333333</v>
      </c>
      <c r="F135" s="13">
        <v>42810.81</v>
      </c>
      <c r="G135" s="7">
        <v>1</v>
      </c>
      <c r="H135" s="21" t="s">
        <v>902</v>
      </c>
      <c r="I135" s="13">
        <v>42810.839641203704</v>
      </c>
      <c r="J135" s="7">
        <v>0</v>
      </c>
      <c r="K135" s="98" t="str">
        <f t="shared" si="25"/>
        <v>4025/4026</v>
      </c>
      <c r="L135" s="21" t="str">
        <f>VLOOKUP(A135,'Trips&amp;Operators'!$C$1:$G$99999,5,FALSE)</f>
        <v>SWANSON BRYCE</v>
      </c>
      <c r="M135" s="6">
        <f t="shared" si="26"/>
        <v>2.9641203705978114E-2</v>
      </c>
      <c r="N135" s="7">
        <f t="shared" si="45"/>
        <v>42.683333336608484</v>
      </c>
      <c r="O135" s="7"/>
      <c r="P135" s="7"/>
      <c r="Q135" s="22"/>
      <c r="R135" s="22"/>
      <c r="S135" s="31">
        <f t="shared" si="48"/>
        <v>1</v>
      </c>
      <c r="T135" s="46" t="str">
        <f t="shared" si="27"/>
        <v>Southbound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8"/>
        <v>https://d0f6bd738d7f1b3e5a7ca70fe4ff75f0.us-east-1.aws.found.io/app/kibana#/discover/Steve-Slow-Train-Analysis-(2080s-and-2083s)?_g=(refreshInterval:(display:Off,pause:!f,section:0,value:0),time:(from:'2017-03-16T18:10:30-0600',mode:absolute,to:'2017-03-16T21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187" t="str">
        <f t="shared" si="29"/>
        <v>N</v>
      </c>
      <c r="X135" s="187">
        <f t="shared" si="46"/>
        <v>1</v>
      </c>
      <c r="Y135" s="62">
        <f t="shared" si="31"/>
        <v>23.300599999999999</v>
      </c>
      <c r="Z135" s="62">
        <f t="shared" si="47"/>
        <v>1.7600000000000001E-2</v>
      </c>
      <c r="AA135" s="62">
        <f t="shared" si="32"/>
        <v>23.282999999999998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3"/>
        <v>0220-16</v>
      </c>
      <c r="AE135" s="85" t="str">
        <f t="shared" si="34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135" s="82" t="str">
        <f t="shared" si="35"/>
        <v>"C:\Program Files (x86)\AstroGrep\AstroGrep.exe" /e /r /s /spath="%USERPROFILE%\AppData\Local\Temp\OnboardLogs" /stypes="app*4026*20170317*" /stext=" 02:.+((SYSTEM_STATE.+slice.+state.+changed )|(ment ac)|(multiple cpu faults)|(system.+state.+changed )|(\[timeout)|(PRM\|1\|D)|(kpr)|(kdp)|(\|lc)|(penalty))"</v>
      </c>
      <c r="AG135" s="1" t="str">
        <f t="shared" si="36"/>
        <v>EC</v>
      </c>
      <c r="AH135" s="86" t="str">
        <f t="shared" si="37"/>
        <v>"%USERPROFILE%\Documents\GitHub\eaglep3\Utilities\RefineRTDCRunTimes.py" --tripid 220-16 --locoid 4026 --swversion DE.1.0.9.0 --startMP 204:233006 --initTime 2017-03-16T19:10:30 --startdatetime 2017-03-16T19:26:24 --delay 1 --endMP 204:176 --enddatetime 2017-03-16T20:09:05 --enforcementcount 0 &gt;&gt;C:\Users\stu\Documents\GitHub\eaglep3-reporting\EC\2017-03-16-refined-times.txt</v>
      </c>
      <c r="AI135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{"issue":{"subject":"","project_id":79,"tracker_id":40,"status_id":1,"priority_id":2,"assigned_to_id":23,"start_date":"2017-03-16","description":"","custom_fields":[{"id":1,"name":"Subdivision","value":"EC"},{"id":4,"name":"Milepost","value":"0.0176"},{"id":17,"name":"Train ID","value":"220-16"},{"id":16,"name":"Locomotive ID","value":"4026"},{"id":130,"name":"Impact","value":""},{"id":150,"name":"Time of Event (Mountain Time)","value":"20:09:05"},{"id":151,"name":"Denver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9"/>
        <v>start /low /b %USERPROFILE%\Documents\GitHub\eaglep3\Utilities\DownloadLogsFromS3.py --loco 4026 --day 2017-03-16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"%USERPROFILE%\AppData\Local\Temp\OnboardLogs"\RTDC4026\*4026*20170317* | grep -SE "(Enforcement Action)|(\[TIMEOUT)|(CHR.+\|PRM\|1\|D.+(SWITCH|SIGNAL).+UNKNOWN)" - &gt;&gt; 2017-03-16-UncaughtWiMAX.txt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798</v>
      </c>
      <c r="B136" s="7">
        <v>4029</v>
      </c>
      <c r="C136" s="21" t="s">
        <v>228</v>
      </c>
      <c r="D136" s="21" t="s">
        <v>903</v>
      </c>
      <c r="E136" s="13">
        <v>42810.789409722223</v>
      </c>
      <c r="F136" s="13">
        <v>42810.791909722226</v>
      </c>
      <c r="G136" s="7">
        <v>1</v>
      </c>
      <c r="H136" s="21" t="s">
        <v>868</v>
      </c>
      <c r="I136" s="13">
        <v>42810.816817129627</v>
      </c>
      <c r="J136" s="7">
        <v>0</v>
      </c>
      <c r="K136" s="98" t="str">
        <f t="shared" si="25"/>
        <v>4029/4030</v>
      </c>
      <c r="L136" s="21" t="str">
        <f>VLOOKUP(A136,'Trips&amp;Operators'!$C$1:$G$99999,5,FALSE)</f>
        <v>CHANDLER KELVIN</v>
      </c>
      <c r="M136" s="6">
        <f t="shared" si="26"/>
        <v>2.4907407401769888E-2</v>
      </c>
      <c r="N136" s="7">
        <f t="shared" si="45"/>
        <v>35.866666658548638</v>
      </c>
      <c r="O136" s="7"/>
      <c r="P136" s="7"/>
      <c r="Q136" s="22"/>
      <c r="R136" s="22"/>
      <c r="S136" s="31">
        <f t="shared" si="48"/>
        <v>1</v>
      </c>
      <c r="T136" s="46" t="str">
        <f t="shared" si="27"/>
        <v>NorthBound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8"/>
        <v>https://d0f6bd738d7f1b3e5a7ca70fe4ff75f0.us-east-1.aws.found.io/app/kibana#/discover/Steve-Slow-Train-Analysis-(2080s-and-2083s)?_g=(refreshInterval:(display:Off,pause:!f,section:0,value:0),time:(from:'2017-03-16T17:56:45-0600',mode:absolute,to:'2017-03-16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7" t="str">
        <f t="shared" si="29"/>
        <v>N</v>
      </c>
      <c r="X136" s="187">
        <f t="shared" si="46"/>
        <v>1</v>
      </c>
      <c r="Y136" s="62">
        <f t="shared" si="31"/>
        <v>4.7699999999999999E-2</v>
      </c>
      <c r="Z136" s="62">
        <f t="shared" si="47"/>
        <v>23.330200000000001</v>
      </c>
      <c r="AA136" s="62">
        <f t="shared" si="32"/>
        <v>23.282500000000002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3"/>
        <v>0221-16</v>
      </c>
      <c r="AE136" s="85" t="str">
        <f t="shared" si="34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36" s="82" t="str">
        <f t="shared" si="35"/>
        <v>"C:\Program Files (x86)\AstroGrep\AstroGrep.exe" /e /r /s /spath="%USERPROFILE%\AppData\Local\Temp\OnboardLogs" /stypes="app*4029*20170317*" /stext=" 01:.+((SYSTEM_STATE.+slice.+state.+changed )|(ment ac)|(multiple cpu faults)|(system.+state.+changed )|(\[timeout)|(PRM\|1\|D)|(kpr)|(kdp)|(\|lc)|(penalty))"</v>
      </c>
      <c r="AG136" s="1" t="str">
        <f t="shared" si="36"/>
        <v>EC</v>
      </c>
      <c r="AH136" s="86" t="str">
        <f t="shared" si="37"/>
        <v>"%USERPROFILE%\Documents\GitHub\eaglep3\Utilities\RefineRTDCRunTimes.py" --tripid 221-16 --locoid 4029 --swversion DE.1.0.9.0 --startMP 204:477 --initTime 2017-03-16T18:56:45 --startdatetime 2017-03-16T19:00:21 --delay 1 --endMP 204:233302 --enddatetime 2017-03-16T19:36:13 --enforcementcount 0 &gt;&gt;C:\Users\stu\Documents\GitHub\eaglep3-reporting\EC\2017-03-16-refined-times.txt</v>
      </c>
      <c r="AI136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{"issue":{"subject":"","project_id":79,"tracker_id":40,"status_id":1,"priority_id":2,"assigned_to_id":23,"start_date":"2017-03-16","description":"","custom_fields":[{"id":1,"name":"Subdivision","value":"EC"},{"id":4,"name":"Milepost","value":"23.3302"},{"id":17,"name":"Train ID","value":"221-16"},{"id":16,"name":"Locomotive ID","value":"4029"},{"id":130,"name":"Impact","value":""},{"id":150,"name":"Time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9"/>
        <v>start /low /b %USERPROFILE%\Documents\GitHub\eaglep3\Utilities\DownloadLogsFromS3.py --loco 4029 --day 2017-03-16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"%USERPROFILE%\AppData\Local\Temp\OnboardLogs"\RTDC4029\*4029*20170317* | grep -SE "(Enforcement Action)|(\[TIMEOUT)|(CHR.+\|PRM\|1\|D.+(SWITCH|SIGNAL).+UNKNOWN)" - &gt;&gt; 2017-03-16-UncaughtWiMAX.txt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806</v>
      </c>
      <c r="B137" s="7">
        <v>4030</v>
      </c>
      <c r="C137" s="21" t="s">
        <v>228</v>
      </c>
      <c r="D137" s="21" t="s">
        <v>394</v>
      </c>
      <c r="E137" s="13">
        <v>42810.827361111114</v>
      </c>
      <c r="F137" s="13">
        <v>42810.83084490741</v>
      </c>
      <c r="G137" s="7">
        <v>2</v>
      </c>
      <c r="H137" s="21" t="s">
        <v>570</v>
      </c>
      <c r="I137" s="13">
        <v>42810.858344907407</v>
      </c>
      <c r="J137" s="7">
        <v>0</v>
      </c>
      <c r="K137" s="98" t="str">
        <f t="shared" si="25"/>
        <v>4029/4030</v>
      </c>
      <c r="L137" s="21" t="str">
        <f>VLOOKUP(A137,'Trips&amp;Operators'!$C$1:$G$99999,5,FALSE)</f>
        <v>CHANDLER KELVIN</v>
      </c>
      <c r="M137" s="6">
        <f t="shared" si="26"/>
        <v>2.749999999650754E-2</v>
      </c>
      <c r="N137" s="7">
        <f t="shared" si="45"/>
        <v>39.599999994970858</v>
      </c>
      <c r="O137" s="7"/>
      <c r="P137" s="7"/>
      <c r="Q137" s="22"/>
      <c r="R137" s="22"/>
      <c r="S137" s="31">
        <f t="shared" si="48"/>
        <v>1</v>
      </c>
      <c r="T137" s="46" t="str">
        <f t="shared" si="27"/>
        <v>Southbound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8"/>
        <v>https://d0f6bd738d7f1b3e5a7ca70fe4ff75f0.us-east-1.aws.found.io/app/kibana#/discover/Steve-Slow-Train-Analysis-(2080s-and-2083s)?_g=(refreshInterval:(display:Off,pause:!f,section:0,value:0),time:(from:'2017-03-16T18:51:24-0600',mode:absolute,to:'2017-03-16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87" t="str">
        <f t="shared" si="29"/>
        <v>N</v>
      </c>
      <c r="X137" s="187">
        <f t="shared" si="46"/>
        <v>1</v>
      </c>
      <c r="Y137" s="62">
        <f t="shared" si="31"/>
        <v>23.298100000000002</v>
      </c>
      <c r="Z137" s="62">
        <f t="shared" si="47"/>
        <v>1.7399999999999999E-2</v>
      </c>
      <c r="AA137" s="62">
        <f t="shared" si="32"/>
        <v>23.280700000000003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3"/>
        <v>0222-16</v>
      </c>
      <c r="AE137" s="85" t="str">
        <f t="shared" si="34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137" s="82" t="str">
        <f t="shared" si="35"/>
        <v>"C:\Program Files (x86)\AstroGrep\AstroGrep.exe" /e /r /s /spath="%USERPROFILE%\AppData\Local\Temp\OnboardLogs" /stypes="app*4030*20170317*" /stext=" 02:.+((SYSTEM_STATE.+slice.+state.+changed )|(ment ac)|(multiple cpu faults)|(system.+state.+changed )|(\[timeout)|(PRM\|1\|D)|(kpr)|(kdp)|(\|lc)|(penalty))"</v>
      </c>
      <c r="AG137" s="1" t="str">
        <f t="shared" si="36"/>
        <v>EC</v>
      </c>
      <c r="AH137" s="86" t="str">
        <f t="shared" si="37"/>
        <v>"%USERPROFILE%\Documents\GitHub\eaglep3\Utilities\RefineRTDCRunTimes.py" --tripid 222-16 --locoid 4030 --swversion DE.1.0.9.0 --startMP 204:232981 --initTime 2017-03-16T19:51:24 --startdatetime 2017-03-16T19:56:25 --delay 2 --endMP 204:174 --enddatetime 2017-03-16T20:36:01 --enforcementcount 0 &gt;&gt;C:\Users\stu\Documents\GitHub\eaglep3-reporting\EC\2017-03-16-refined-times.txt</v>
      </c>
      <c r="AI137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{"issue":{"subject":"","project_id":79,"tracker_id":40,"status_id":1,"priority_id":2,"assigned_to_id":23,"start_date":"2017-03-16","description":"","custom_fields":[{"id":1,"name":"Subdivision","value":"EC"},{"id":4,"name":"Milepost","value":"0.0174"},{"id":17,"name":"Train ID","value":"222-16"},{"id":16,"name":"Locomotive ID","value":"4030"},{"id":130,"name":"Impact","value":""},{"id":150,"name":"Time of Event (Mountain Time)","value":"20:36:01"},{"id":151,"name":"Denver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9"/>
        <v>start /low /b %USERPROFILE%\Documents\GitHub\eaglep3\Utilities\DownloadLogsFromS3.py --loco 4030 --day 2017-03-16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"%USERPROFILE%\AppData\Local\Temp\OnboardLogs"\RTDC4030\*4030*20170317* | grep -SE "(Enforcement Action)|(\[TIMEOUT)|(CHR.+\|PRM\|1\|D.+(SWITCH|SIGNAL).+UNKNOWN)" - &gt;&gt; 2017-03-16-UncaughtWiMAX.txt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803</v>
      </c>
      <c r="B138" s="7">
        <v>4046</v>
      </c>
      <c r="C138" s="21" t="s">
        <v>228</v>
      </c>
      <c r="D138" s="21" t="s">
        <v>209</v>
      </c>
      <c r="E138" s="13">
        <v>42810.806620370371</v>
      </c>
      <c r="F138" s="13">
        <v>42810.812662037039</v>
      </c>
      <c r="G138" s="7">
        <v>1</v>
      </c>
      <c r="H138" s="21" t="s">
        <v>568</v>
      </c>
      <c r="I138" s="13">
        <v>42810.837164351855</v>
      </c>
      <c r="J138" s="7">
        <v>0</v>
      </c>
      <c r="K138" s="98" t="str">
        <f t="shared" si="25"/>
        <v>4045/4046</v>
      </c>
      <c r="L138" s="21" t="str">
        <f>VLOOKUP(A138,'Trips&amp;Operators'!$C$1:$G$99999,5,FALSE)</f>
        <v>NEWELL JAMES</v>
      </c>
      <c r="M138" s="6">
        <f t="shared" si="26"/>
        <v>2.4502314816345461E-2</v>
      </c>
      <c r="N138" s="7">
        <f t="shared" si="45"/>
        <v>35.283333335537463</v>
      </c>
      <c r="O138" s="7"/>
      <c r="P138" s="7"/>
      <c r="Q138" s="22"/>
      <c r="R138" s="22"/>
      <c r="S138" s="31">
        <f t="shared" si="48"/>
        <v>1</v>
      </c>
      <c r="T138" s="46" t="str">
        <f t="shared" si="27"/>
        <v>NorthBound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8"/>
        <v>https://d0f6bd738d7f1b3e5a7ca70fe4ff75f0.us-east-1.aws.found.io/app/kibana#/discover/Steve-Slow-Train-Analysis-(2080s-and-2083s)?_g=(refreshInterval:(display:Off,pause:!f,section:0,value:0),time:(from:'2017-03-16T18:21:32-0600',mode:absolute,to:'2017-03-16T21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187" t="str">
        <f t="shared" si="29"/>
        <v>N</v>
      </c>
      <c r="X138" s="187">
        <f t="shared" si="46"/>
        <v>1</v>
      </c>
      <c r="Y138" s="62">
        <f t="shared" si="31"/>
        <v>4.5699999999999998E-2</v>
      </c>
      <c r="Z138" s="62">
        <f t="shared" si="47"/>
        <v>23.3308</v>
      </c>
      <c r="AA138" s="62">
        <f t="shared" si="32"/>
        <v>23.2851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3"/>
        <v>0223-16</v>
      </c>
      <c r="AE138" s="85" t="str">
        <f t="shared" si="34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38" s="82" t="str">
        <f t="shared" si="35"/>
        <v>"C:\Program Files (x86)\AstroGrep\AstroGrep.exe" /e /r /s /spath="%USERPROFILE%\AppData\Local\Temp\OnboardLogs" /stypes="app*4046*20170317*" /stext=" 02:.+((SYSTEM_STATE.+slice.+state.+changed )|(ment ac)|(multiple cpu faults)|(system.+state.+changed )|(\[timeout)|(PRM\|1\|D)|(kpr)|(kdp)|(\|lc)|(penalty))"</v>
      </c>
      <c r="AG138" s="1" t="str">
        <f t="shared" si="36"/>
        <v>EC</v>
      </c>
      <c r="AH138" s="86" t="str">
        <f t="shared" si="37"/>
        <v>"%USERPROFILE%\Documents\GitHub\eaglep3\Utilities\RefineRTDCRunTimes.py" --tripid 223-16 --locoid 4046 --swversion DE.1.0.9.0 --startMP 204:457 --initTime 2017-03-16T19:21:32 --startdatetime 2017-03-16T19:30:14 --delay 1 --endMP 204:233308 --enddatetime 2017-03-16T20:05:31 --enforcementcount 0 &gt;&gt;C:\Users\stu\Documents\GitHub\eaglep3-reporting\EC\2017-03-16-refined-times.txt</v>
      </c>
      <c r="AI138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{"issue":{"subject":"","project_id":79,"tracker_id":40,"status_id":1,"priority_id":2,"assigned_to_id":23,"start_date":"2017-03-16","description":"","custom_fields":[{"id":1,"name":"Subdivision","value":"EC"},{"id":4,"name":"Milepost","value":"23.3308"},{"id":17,"name":"Train ID","value":"223-16"},{"id":16,"name":"Locomotive ID","value":"4046"},{"id":130,"name":"Impact","value":""},{"id":150,"name":"Time of Event (Mountain Time)","value":"20:05:31"},{"id":151,"name":"Denver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9"/>
        <v>start /low /b %USERPROFILE%\Documents\GitHub\eaglep3\Utilities\DownloadLogsFromS3.py --loco 4046 --day 2017-03-16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"%USERPROFILE%\AppData\Local\Temp\OnboardLogs"\RTDC4046\*4046*20170317* | grep -SE "(Enforcement Action)|(\[TIMEOUT)|(CHR.+\|PRM\|1\|D.+(SWITCH|SIGNAL).+UNKNOWN)" - &gt;&gt; 2017-03-16-UncaughtWiMAX.txt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810</v>
      </c>
      <c r="B139" s="7">
        <v>4045</v>
      </c>
      <c r="C139" s="21" t="s">
        <v>228</v>
      </c>
      <c r="D139" s="21" t="s">
        <v>871</v>
      </c>
      <c r="E139" s="13">
        <v>42810.839583333334</v>
      </c>
      <c r="F139" s="13">
        <v>42810.851574074077</v>
      </c>
      <c r="G139" s="7">
        <v>6</v>
      </c>
      <c r="H139" s="21" t="s">
        <v>904</v>
      </c>
      <c r="I139" s="13">
        <v>42810.878842592596</v>
      </c>
      <c r="J139" s="7">
        <v>0</v>
      </c>
      <c r="K139" s="98" t="str">
        <f t="shared" si="25"/>
        <v>4045/4046</v>
      </c>
      <c r="L139" s="21" t="str">
        <f>VLOOKUP(A139,'Trips&amp;Operators'!$C$1:$G$99999,5,FALSE)</f>
        <v>WHITED DUSTIN</v>
      </c>
      <c r="M139" s="6">
        <f t="shared" si="26"/>
        <v>2.7268518519122154E-2</v>
      </c>
      <c r="N139" s="7">
        <f t="shared" ref="N139:N159" si="49">24*60*SUM($M139:$M139)</f>
        <v>39.266666667535901</v>
      </c>
      <c r="O139" s="7"/>
      <c r="P139" s="7"/>
      <c r="Q139" s="22"/>
      <c r="R139" s="22"/>
      <c r="S139" s="31">
        <f t="shared" si="48"/>
        <v>1</v>
      </c>
      <c r="T139" s="46" t="str">
        <f t="shared" si="27"/>
        <v>Southbound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8"/>
        <v>https://d0f6bd738d7f1b3e5a7ca70fe4ff75f0.us-east-1.aws.found.io/app/kibana#/discover/Steve-Slow-Train-Analysis-(2080s-and-2083s)?_g=(refreshInterval:(display:Off,pause:!f,section:0,value:0),time:(from:'2017-03-16T19:09:00-0600',mode:absolute,to:'2017-03-16T22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187" t="str">
        <f t="shared" si="29"/>
        <v>N</v>
      </c>
      <c r="X139" s="187">
        <f t="shared" si="46"/>
        <v>1</v>
      </c>
      <c r="Y139" s="62">
        <f t="shared" si="31"/>
        <v>23.299399999999999</v>
      </c>
      <c r="Z139" s="62">
        <f t="shared" si="47"/>
        <v>1.18E-2</v>
      </c>
      <c r="AA139" s="62">
        <f t="shared" si="32"/>
        <v>23.287599999999998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3"/>
        <v>0224-16</v>
      </c>
      <c r="AE139" s="85" t="str">
        <f t="shared" si="34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39" s="82" t="str">
        <f t="shared" si="35"/>
        <v>"C:\Program Files (x86)\AstroGrep\AstroGrep.exe" /e /r /s /spath="%USERPROFILE%\AppData\Local\Temp\OnboardLogs" /stypes="app*4045*20170317*" /stext=" 03:.+((SYSTEM_STATE.+slice.+state.+changed )|(ment ac)|(multiple cpu faults)|(system.+state.+changed )|(\[timeout)|(PRM\|1\|D)|(kpr)|(kdp)|(\|lc)|(penalty))"</v>
      </c>
      <c r="AG139" s="1" t="str">
        <f t="shared" si="36"/>
        <v>EC</v>
      </c>
      <c r="AH139" s="86" t="str">
        <f t="shared" si="37"/>
        <v>"%USERPROFILE%\Documents\GitHub\eaglep3\Utilities\RefineRTDCRunTimes.py" --tripid 224-16 --locoid 4045 --swversion DE.1.0.9.0 --startMP 204:232994 --initTime 2017-03-16T20:09:00 --startdatetime 2017-03-16T20:26:16 --delay 6 --endMP 204:118 --enddatetime 2017-03-16T21:05:32 --enforcementcount 0 &gt;&gt;C:\Users\stu\Documents\GitHub\eaglep3-reporting\EC\2017-03-16-refined-times.txt</v>
      </c>
      <c r="AI139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{"issue":{"subject":"","project_id":79,"tracker_id":40,"status_id":1,"priority_id":2,"assigned_to_id":23,"start_date":"2017-03-16","description":"","custom_fields":[{"id":1,"name":"Subdivision","value":"EC"},{"id":4,"name":"Milepost","value":"0.0118"},{"id":17,"name":"Train ID","value":"224-16"},{"id":16,"name":"Locomotive ID","value":"4045"},{"id":130,"name":"Impact","value":""},{"id":150,"name":"Time of Event (Mountain Time)","value":"21:05:32"},{"id":151,"name":"Denver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9"/>
        <v>start /low /b %USERPROFILE%\Documents\GitHub\eaglep3\Utilities\DownloadLogsFromS3.py --loco 4045 --day 2017-03-16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"%USERPROFILE%\AppData\Local\Temp\OnboardLogs"\RTDC4045\*4045*20170317* | grep -SE "(Enforcement Action)|(\[TIMEOUT)|(CHR.+\|PRM\|1\|D.+(SWITCH|SIGNAL).+UNKNOWN)" - &gt;&gt; 2017-03-16-UncaughtWiMAX.txt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635</v>
      </c>
      <c r="B140" s="7">
        <v>4031</v>
      </c>
      <c r="C140" s="21" t="s">
        <v>228</v>
      </c>
      <c r="D140" s="21" t="s">
        <v>222</v>
      </c>
      <c r="E140" s="13">
        <v>42810.831388888888</v>
      </c>
      <c r="F140" s="13">
        <v>42810.833587962959</v>
      </c>
      <c r="G140" s="7">
        <v>1</v>
      </c>
      <c r="H140" s="21" t="s">
        <v>234</v>
      </c>
      <c r="I140" s="13">
        <v>42810.859131944446</v>
      </c>
      <c r="J140" s="7">
        <v>0</v>
      </c>
      <c r="K140" s="98" t="str">
        <f t="shared" si="25"/>
        <v>4031/4032</v>
      </c>
      <c r="L140" s="21" t="str">
        <f>VLOOKUP(A140,'Trips&amp;Operators'!$C$1:$G$99999,5,FALSE)</f>
        <v>BROWN JACOB</v>
      </c>
      <c r="M140" s="6">
        <f t="shared" si="26"/>
        <v>2.5543981486407574E-2</v>
      </c>
      <c r="N140" s="7">
        <f t="shared" si="49"/>
        <v>36.783333340426907</v>
      </c>
      <c r="O140" s="7"/>
      <c r="P140" s="7"/>
      <c r="Q140" s="22"/>
      <c r="R140" s="22"/>
      <c r="S140" s="31">
        <f t="shared" si="48"/>
        <v>1</v>
      </c>
      <c r="T140" s="46" t="str">
        <f t="shared" si="27"/>
        <v>NorthBound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8"/>
        <v>https://d0f6bd738d7f1b3e5a7ca70fe4ff75f0.us-east-1.aws.found.io/app/kibana#/discover/Steve-Slow-Train-Analysis-(2080s-and-2083s)?_g=(refreshInterval:(display:Off,pause:!f,section:0,value:0),time:(from:'2017-03-16T18:57:12-0600',mode:absolute,to:'2017-03-16T21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0" s="187" t="str">
        <f t="shared" si="29"/>
        <v>N</v>
      </c>
      <c r="X140" s="187">
        <f t="shared" si="46"/>
        <v>1</v>
      </c>
      <c r="Y140" s="62">
        <f t="shared" si="31"/>
        <v>4.4699999999999997E-2</v>
      </c>
      <c r="Z140" s="62">
        <f t="shared" si="47"/>
        <v>23.331199999999999</v>
      </c>
      <c r="AA140" s="62">
        <f t="shared" si="32"/>
        <v>23.2865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3"/>
        <v>0225-16</v>
      </c>
      <c r="AE140" s="85" t="str">
        <f t="shared" si="34"/>
        <v>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 &amp; 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</v>
      </c>
      <c r="AF140" s="82" t="str">
        <f t="shared" si="35"/>
        <v>"C:\Program Files (x86)\AstroGrep\AstroGrep.exe" /e /r /s /spath="%USERPROFILE%\AppData\Local\Temp\OnboardLogs" /stypes="app*4031*20170317*" /stext=" 02:.+((SYSTEM_STATE.+slice.+state.+changed )|(ment ac)|(multiple cpu faults)|(system.+state.+changed )|(\[timeout)|(PRM\|1\|D)|(kpr)|(kdp)|(\|lc)|(penalty))"</v>
      </c>
      <c r="AG140" s="1" t="str">
        <f t="shared" si="36"/>
        <v>EC</v>
      </c>
      <c r="AH140" s="86" t="str">
        <f t="shared" si="37"/>
        <v>"%USERPROFILE%\Documents\GitHub\eaglep3\Utilities\RefineRTDCRunTimes.py" --tripid 225-16 --locoid 4031 --swversion DE.1.0.9.0 --startMP 204:447 --initTime 2017-03-16T19:57:12 --startdatetime 2017-03-16T20:00:22 --delay 1 --endMP 204:233312 --enddatetime 2017-03-16T20:37:09 --enforcementcount 0 &gt;&gt;C:\Users\stu\Documents\GitHub\eaglep3-reporting\EC\2017-03-16-refined-times.txt</v>
      </c>
      <c r="AI140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{"issue":{"subject":"","project_id":79,"tracker_id":40,"status_id":1,"priority_id":2,"assigned_to_id":23,"start_date":"2017-03-16","description":"","custom_fields":[{"id":1,"name":"Subdivision","value":"EC"},{"id":4,"name":"Milepost","value":"23.3312"},{"id":17,"name":"Train ID","value":"225-16"},{"id":16,"name":"Locomotive ID","value":"4031"},{"id":130,"name":"Impact","value":""},{"id":150,"name":"Time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9"/>
        <v>start /low /b %USERPROFILE%\Documents\GitHub\eaglep3\Utilities\DownloadLogsFromS3.py --loco 4031 --day 2017-03-16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"%USERPROFILE%\AppData\Local\Temp\OnboardLogs"\RTDC4031\*4031*20170317* | grep -SE "(Enforcement Action)|(\[TIMEOUT)|(CHR.+\|PRM\|1\|D.+(SWITCH|SIGNAL).+UNKNOWN)" - &gt;&gt; 2017-03-16-UncaughtWiMAX.txt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813</v>
      </c>
      <c r="B141" s="7">
        <v>4032</v>
      </c>
      <c r="C141" s="21" t="s">
        <v>228</v>
      </c>
      <c r="D141" s="21" t="s">
        <v>855</v>
      </c>
      <c r="E141" s="13">
        <v>42810.864328703705</v>
      </c>
      <c r="F141" s="13">
        <v>42810.872488425928</v>
      </c>
      <c r="G141" s="7">
        <v>1</v>
      </c>
      <c r="H141" s="21" t="s">
        <v>201</v>
      </c>
      <c r="I141" s="13">
        <v>42810.900636574072</v>
      </c>
      <c r="J141" s="7">
        <v>0</v>
      </c>
      <c r="K141" s="98" t="str">
        <f t="shared" ref="K141:K204" si="50">IF(ISEVEN(B141),(B141-1)&amp;"/"&amp;B141,B141&amp;"/"&amp;(B141+1))</f>
        <v>4031/4032</v>
      </c>
      <c r="L141" s="21" t="str">
        <f>VLOOKUP(A141,'Trips&amp;Operators'!$C$1:$G$99999,5,FALSE)</f>
        <v>MCREYNOLDS KYLE</v>
      </c>
      <c r="M141" s="6">
        <f t="shared" ref="M141:M204" si="51">I141-F141</f>
        <v>2.8148148143372964E-2</v>
      </c>
      <c r="N141" s="7">
        <f t="shared" si="49"/>
        <v>40.533333326457068</v>
      </c>
      <c r="O141" s="7"/>
      <c r="P141" s="7"/>
      <c r="Q141" s="22"/>
      <c r="R141" s="22"/>
      <c r="S141" s="31">
        <f t="shared" si="48"/>
        <v>1</v>
      </c>
      <c r="T141" s="46" t="str">
        <f t="shared" ref="T141:T204" si="52">IF(ISEVEN(LEFT(AD141,4)),"Southbound","NorthBound")</f>
        <v>Southbound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5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-16T19:44:38-0600',mode:absolute,to:'2017-03-16T22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87" t="str">
        <f t="shared" ref="W141:W204" si="54">IF(AA141&lt;IF(AG141="EC",23,5.65),"Y","N")</f>
        <v>N</v>
      </c>
      <c r="X141" s="187">
        <f t="shared" ref="X141:X159" si="55">VALUE(LEFT(AD141,4))-VALUE(LEFT(AD140,4))</f>
        <v>1</v>
      </c>
      <c r="Y141" s="62">
        <f t="shared" ref="Y141:Y204" si="56">RIGHT(D141,LEN(D141)-4)/10000</f>
        <v>23.297999999999998</v>
      </c>
      <c r="Z141" s="62">
        <f t="shared" si="47"/>
        <v>1.5800000000000002E-2</v>
      </c>
      <c r="AA141" s="62">
        <f t="shared" ref="AA141:AA204" si="57">ABS(Z141-Y141)</f>
        <v>23.2822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8">IF(LEN(A141)=6,"0"&amp;A141,A141)</f>
        <v>0226-16</v>
      </c>
      <c r="AE141" s="85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 &amp; aws s3 cp s3://rtdc.mdm.uploadarchive.raw/RTDC4032/ "%USERPROFILE%\AppData\Local\Temp\OnboardLogs"\RTDC4032\2017-03-17 --exclude "*" --recursive --include "*20170317*" &amp; "%USERPROFILE%\Documents\GitHub\mrs-test-scripts\Headless Mode &amp; Sideloading\WalkAndUnGZ.bat" "%USERPROFILE%\AppData\Local\Temp\OnboardLogs"\RTDC4032\2017-03-17</v>
      </c>
      <c r="AF141" s="82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/stypes="app*4032*20170317*" /stext=" 03:.+((SYSTEM_STATE.+slice.+state.+changed )|(ment ac)|(multiple cpu faults)|(system.+state.+changed )|(\[timeout)|(PRM\|1\|D)|(kpr)|(kdp)|(\|lc)|(penalty))"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6" t="str">
        <f t="shared" si="37"/>
        <v>"%USERPROFILE%\Documents\GitHub\eaglep3\Utilities\RefineRTDCRunTimes.py" --tripid 226-16 --locoid 4032 --swversion DE.1.0.9.0 --startMP 204:232980 --initTime 2017-03-16T20:44:38 --startdatetime 2017-03-16T20:56:23 --delay 1 --endMP 204:158 --enddatetime 2017-03-16T21:36:55 --enforcementcount 0 &gt;&gt;C:\Users\stu\Documents\GitHub\eaglep3-reporting\EC\2017-03-16-refined-times.txt</v>
      </c>
      <c r="AI141" s="108" t="str">
        <f t="shared" si="38"/>
        <v>echo {"issue":{"subject":"","project_id":79,"tracker_id":40,"status_id":1,"priority_id":2,"assigned_to_id":23,"start_date":"2017-03-16","description":"","custom_fields":[{"id":1,"name":"Subdivision","value":"EC"},{"id":4,"name":"Milepost","value":"0.0158"},{"id":17,"name":"Train ID","value":"226-16"},{"id":16,"name":"Locomotive ID","value":"4032"},{"id":130,"name":"Impact","value":""},{"id":150,"name":"Time of Event (Mountain Time)","value":"21:36:55"},{"id":151,"name":"Denver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9"/>
        <v>start /low /b %USERPROFILE%\Documents\GitHub\eaglep3\Utilities\DownloadLogsFromS3.py --loco 4032 --day 2017-03-16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"%USERPROFILE%\AppData\Local\Temp\OnboardLogs"\RTDC4032\*4032*20170317* | grep -SE "(Enforcement Action)|(\[TIMEOUT)|(CHR.+\|PRM\|1\|D.+(SWITCH|SIGNAL).+UNKNOWN)" - &gt;&gt; 2017-03-16-UncaughtWiMAX.txt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809</v>
      </c>
      <c r="B142" s="7">
        <v>4025</v>
      </c>
      <c r="C142" s="21" t="s">
        <v>228</v>
      </c>
      <c r="D142" s="21" t="s">
        <v>461</v>
      </c>
      <c r="E142" s="13">
        <v>42810.841180555559</v>
      </c>
      <c r="F142" s="13">
        <v>42810.85434027778</v>
      </c>
      <c r="G142" s="7">
        <v>1</v>
      </c>
      <c r="H142" s="21" t="s">
        <v>460</v>
      </c>
      <c r="I142" s="13">
        <v>42810.880150462966</v>
      </c>
      <c r="J142" s="7">
        <v>0</v>
      </c>
      <c r="K142" s="98" t="str">
        <f t="shared" si="50"/>
        <v>4025/4026</v>
      </c>
      <c r="L142" s="21" t="str">
        <f>VLOOKUP(A142,'Trips&amp;Operators'!$C$1:$G$99999,5,FALSE)</f>
        <v>SWANSON BRYCE</v>
      </c>
      <c r="M142" s="6">
        <f t="shared" si="51"/>
        <v>2.5810185186855961E-2</v>
      </c>
      <c r="N142" s="7">
        <f t="shared" si="49"/>
        <v>37.166666669072583</v>
      </c>
      <c r="O142" s="7"/>
      <c r="P142" s="7"/>
      <c r="Q142" s="22"/>
      <c r="R142" s="22"/>
      <c r="S142" s="31">
        <f t="shared" si="48"/>
        <v>1</v>
      </c>
      <c r="T142" s="46" t="str">
        <f t="shared" si="52"/>
        <v>NorthBound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3"/>
        <v>https://d0f6bd738d7f1b3e5a7ca70fe4ff75f0.us-east-1.aws.found.io/app/kibana#/discover/Steve-Slow-Train-Analysis-(2080s-and-2083s)?_g=(refreshInterval:(display:Off,pause:!f,section:0,value:0),time:(from:'2017-03-16T19:11:18-0600',mode:absolute,to:'2017-03-16T22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87" t="str">
        <f t="shared" si="54"/>
        <v>N</v>
      </c>
      <c r="X142" s="187">
        <f t="shared" si="55"/>
        <v>1</v>
      </c>
      <c r="Y142" s="62">
        <f t="shared" si="56"/>
        <v>4.7100000000000003E-2</v>
      </c>
      <c r="Z142" s="62">
        <f t="shared" si="47"/>
        <v>23.3291</v>
      </c>
      <c r="AA142" s="62">
        <f t="shared" si="57"/>
        <v>23.282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0227-16</v>
      </c>
      <c r="AE142" s="85" t="str">
        <f t="shared" si="59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42" s="82" t="str">
        <f t="shared" si="60"/>
        <v>"C:\Program Files (x86)\AstroGrep\AstroGrep.exe" /e /r /s /spath="%USERPROFILE%\AppData\Local\Temp\OnboardLogs" /stypes="app*4025*20170317*" /stext=" 03:.+((SYSTEM_STATE.+slice.+state.+changed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ref="AH142:AH206" si="6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227-16 --locoid 4025 --swversion DE.1.0.9.0 --startMP 204:471 --initTime 2017-03-16T20:11:18 --startdatetime 2017-03-16T20:30:15 --delay 1 --endMP 204:233291 --enddatetime 2017-03-16T21:07:25 --enforcementcount 0 &gt;&gt;C:\Users\stu\Documents\GitHub\eaglep3-reporting\EC\2017-03-16-refined-times.txt</v>
      </c>
      <c r="AI142" s="108" t="str">
        <f t="shared" ref="AI142:AI206" si="6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{"issue":{"subject":"","project_id":79,"tracker_id":40,"status_id":1,"priority_id":2,"assigned_to_id":23,"start_date":"2017-03-16","description":"","custom_fields":[{"id":1,"name":"Subdivision","value":"EC"},{"id":4,"name":"Milepost","value":"23.3291"},{"id":17,"name":"Train ID","value":"227-16"},{"id":16,"name":"Locomotive ID","value":"4025"},{"id":130,"name":"Impact","value":""},{"id":150,"name":"Time of Event (Mountain Time)","value":"21:07:25"},{"id":151,"name":"Denver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6" si="64">"start /low /b "&amp;dls3logs&amp;" --loco "&amp;B142&amp;" --day "&amp;TEXT(F142,"YYYY-MM-DD")</f>
        <v>start /low /b %USERPROFILE%\Documents\GitHub\eaglep3\Utilities\DownloadLogsFromS3.py --loco 4025 --day 2017-03-16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2017-03-16-UncaughtWiMAX.txt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818</v>
      </c>
      <c r="B143" s="7">
        <v>4026</v>
      </c>
      <c r="C143" s="21" t="s">
        <v>228</v>
      </c>
      <c r="D143" s="21" t="s">
        <v>565</v>
      </c>
      <c r="E143" s="13">
        <v>42810.881712962961</v>
      </c>
      <c r="F143" s="13">
        <v>42810.893287037034</v>
      </c>
      <c r="G143" s="7">
        <v>1</v>
      </c>
      <c r="H143" s="21" t="s">
        <v>206</v>
      </c>
      <c r="I143" s="13">
        <v>42810.921967592592</v>
      </c>
      <c r="J143" s="7">
        <v>0</v>
      </c>
      <c r="K143" s="98" t="str">
        <f t="shared" si="50"/>
        <v>4025/4026</v>
      </c>
      <c r="L143" s="21" t="str">
        <f>VLOOKUP(A143,'Trips&amp;Operators'!$C$1:$G$99999,5,FALSE)</f>
        <v>SWANSON BRYCE</v>
      </c>
      <c r="M143" s="6">
        <f t="shared" si="51"/>
        <v>2.8680555558821652E-2</v>
      </c>
      <c r="N143" s="7">
        <f t="shared" si="49"/>
        <v>41.300000004703179</v>
      </c>
      <c r="O143" s="7"/>
      <c r="P143" s="7"/>
      <c r="Q143" s="22"/>
      <c r="R143" s="22"/>
      <c r="S143" s="31">
        <f t="shared" si="48"/>
        <v>1</v>
      </c>
      <c r="T143" s="46" t="str">
        <f t="shared" si="52"/>
        <v>Southbound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3"/>
        <v>https://d0f6bd738d7f1b3e5a7ca70fe4ff75f0.us-east-1.aws.found.io/app/kibana#/discover/Steve-Slow-Train-Analysis-(2080s-and-2083s)?_g=(refreshInterval:(display:Off,pause:!f,section:0,value:0),time:(from:'2017-03-16T20:09:40-0600',mode:absolute,to:'2017-03-16T23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187" t="str">
        <f t="shared" si="54"/>
        <v>N</v>
      </c>
      <c r="X143" s="187">
        <f t="shared" si="55"/>
        <v>1</v>
      </c>
      <c r="Y143" s="62">
        <f t="shared" si="56"/>
        <v>23.2972</v>
      </c>
      <c r="Z143" s="62">
        <f t="shared" si="47"/>
        <v>1.54E-2</v>
      </c>
      <c r="AA143" s="62">
        <f t="shared" si="57"/>
        <v>23.2818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0228-16</v>
      </c>
      <c r="AE143" s="85" t="str">
        <f t="shared" si="59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143" s="82" t="str">
        <f t="shared" si="60"/>
        <v>"C:\Program Files (x86)\AstroGrep\AstroGrep.exe" /e /r /s /spath="%USERPROFILE%\AppData\Local\Temp\OnboardLogs" /stypes="app*4026*20170317*" /stext=" 04:.+((SYSTEM_STATE.+slice.+state.+changed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228-16 --locoid 4026 --swversion DE.1.0.9.0 --startMP 204:232972 --initTime 2017-03-16T21:09:40 --startdatetime 2017-03-16T21:26:20 --delay 1 --endMP 204:154 --enddatetime 2017-03-16T22:07:38 --enforcementcount 0 &gt;&gt;C:\Users\stu\Documents\GitHub\eaglep3-reporting\EC\2017-03-16-refined-times.txt</v>
      </c>
      <c r="AI143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{"issue":{"subject":"","project_id":79,"tracker_id":40,"status_id":1,"priority_id":2,"assigned_to_id":23,"start_date":"2017-03-16","description":"","custom_fields":[{"id":1,"name":"Subdivision","value":"EC"},{"id":4,"name":"Milepost","value":"0.0154"},{"id":17,"name":"Train ID","value":"228-16"},{"id":16,"name":"Locomotive ID","value":"4026"},{"id":130,"name":"Impact","value":""},{"id":150,"name":"Time of Event (Mountain Time)","value":"22:07:38"},{"id":151,"name":"Denver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64"/>
        <v>start /low /b %USERPROFILE%\Documents\GitHub\eaglep3\Utilities\DownloadLogsFromS3.py --loco 4026 --day 2017-03-16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"%USERPROFILE%\AppData\Local\Temp\OnboardLogs"\RTDC4026\*4026*20170317* | grep -SE "(Enforcement Action)|(\[TIMEOUT)|(CHR.+\|PRM\|1\|D.+(SWITCH|SIGNAL).+UNKNOWN)" - &gt;&gt; 2017-03-16-UncaughtWiMAX.txt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816</v>
      </c>
      <c r="B144" s="7">
        <v>4029</v>
      </c>
      <c r="C144" s="21" t="s">
        <v>228</v>
      </c>
      <c r="D144" s="21" t="s">
        <v>897</v>
      </c>
      <c r="E144" s="13">
        <v>42810.873854166668</v>
      </c>
      <c r="F144" s="13">
        <v>42810.875324074077</v>
      </c>
      <c r="G144" s="7">
        <v>1</v>
      </c>
      <c r="H144" s="21" t="s">
        <v>231</v>
      </c>
      <c r="I144" s="13">
        <v>42810.901134259257</v>
      </c>
      <c r="J144" s="7">
        <v>0</v>
      </c>
      <c r="K144" s="98" t="str">
        <f t="shared" si="50"/>
        <v>4029/4030</v>
      </c>
      <c r="L144" s="21" t="str">
        <f>VLOOKUP(A144,'Trips&amp;Operators'!$C$1:$G$99999,5,FALSE)</f>
        <v>CHANDLER KELVIN</v>
      </c>
      <c r="M144" s="6">
        <f t="shared" si="51"/>
        <v>2.5810185179580003E-2</v>
      </c>
      <c r="N144" s="7">
        <f t="shared" si="49"/>
        <v>37.166666658595204</v>
      </c>
      <c r="O144" s="7"/>
      <c r="P144" s="7"/>
      <c r="Q144" s="22"/>
      <c r="R144" s="22"/>
      <c r="S144" s="31">
        <f t="shared" si="48"/>
        <v>1</v>
      </c>
      <c r="T144" s="46" t="str">
        <f t="shared" si="52"/>
        <v>NorthBound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3"/>
        <v>https://d0f6bd738d7f1b3e5a7ca70fe4ff75f0.us-east-1.aws.found.io/app/kibana#/discover/Steve-Slow-Train-Analysis-(2080s-and-2083s)?_g=(refreshInterval:(display:Off,pause:!f,section:0,value:0),time:(from:'2017-03-16T19:58:21-0600',mode:absolute,to:'2017-03-16T22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7" t="str">
        <f t="shared" si="54"/>
        <v>N</v>
      </c>
      <c r="X144" s="187">
        <f t="shared" si="55"/>
        <v>1</v>
      </c>
      <c r="Y144" s="62">
        <f t="shared" si="56"/>
        <v>4.7300000000000002E-2</v>
      </c>
      <c r="Z144" s="62">
        <f t="shared" si="47"/>
        <v>23.329699999999999</v>
      </c>
      <c r="AA144" s="62">
        <f t="shared" si="57"/>
        <v>23.282399999999999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0229-16</v>
      </c>
      <c r="AE144" s="85" t="str">
        <f t="shared" si="59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44" s="82" t="str">
        <f t="shared" si="60"/>
        <v>"C:\Program Files (x86)\AstroGrep\AstroGrep.exe" /e /r /s /spath="%USERPROFILE%\AppData\Local\Temp\OnboardLogs" /stypes="app*4029*20170317*" /stext=" 03:.+((SYSTEM_STATE.+slice.+state.+changed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229-16 --locoid 4029 --swversion DE.1.0.9.0 --startMP 204:473 --initTime 2017-03-16T20:58:21 --startdatetime 2017-03-16T21:00:28 --delay 1 --endMP 204:233297 --enddatetime 2017-03-16T21:37:38 --enforcementcount 0 &gt;&gt;C:\Users\stu\Documents\GitHub\eaglep3-reporting\EC\2017-03-16-refined-times.txt</v>
      </c>
      <c r="AI144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{"issue":{"subject":"","project_id":79,"tracker_id":40,"status_id":1,"priority_id":2,"assigned_to_id":23,"start_date":"2017-03-16","description":"","custom_fields":[{"id":1,"name":"Subdivision","value":"EC"},{"id":4,"name":"Milepost","value":"23.3297"},{"id":17,"name":"Train ID","value":"229-16"},{"id":16,"name":"Locomotive ID","value":"4029"},{"id":130,"name":"Impact","value":""},{"id":150,"name":"Time of Event (Mountain Time)","value":"21:37:38"},{"id":151,"name":"Denver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64"/>
        <v>start /low /b %USERPROFILE%\Documents\GitHub\eaglep3\Utilities\DownloadLogsFromS3.py --loco 4029 --day 2017-03-16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"%USERPROFILE%\AppData\Local\Temp\OnboardLogs"\RTDC4029\*4029*20170317* | grep -SE "(Enforcement Action)|(\[TIMEOUT)|(CHR.+\|PRM\|1\|D.+(SWITCH|SIGNAL).+UNKNOWN)" - &gt;&gt; 2017-03-16-UncaughtWiMAX.txt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821</v>
      </c>
      <c r="B145" s="7">
        <v>4030</v>
      </c>
      <c r="C145" s="21" t="s">
        <v>228</v>
      </c>
      <c r="D145" s="21" t="s">
        <v>434</v>
      </c>
      <c r="E145" s="13">
        <v>42810.909918981481</v>
      </c>
      <c r="F145" s="13">
        <v>42810.914201388892</v>
      </c>
      <c r="G145" s="7">
        <v>1</v>
      </c>
      <c r="H145" s="21" t="s">
        <v>201</v>
      </c>
      <c r="I145" s="13">
        <v>42810.943657407406</v>
      </c>
      <c r="J145" s="7">
        <v>0</v>
      </c>
      <c r="K145" s="98" t="str">
        <f t="shared" si="50"/>
        <v>4029/4030</v>
      </c>
      <c r="L145" s="21" t="str">
        <f>VLOOKUP(A145,'Trips&amp;Operators'!$C$1:$G$99999,5,FALSE)</f>
        <v>CHANDLER KELVIN</v>
      </c>
      <c r="M145" s="6">
        <f t="shared" si="51"/>
        <v>2.9456018513883464E-2</v>
      </c>
      <c r="N145" s="7">
        <f t="shared" si="49"/>
        <v>42.416666659992188</v>
      </c>
      <c r="O145" s="7"/>
      <c r="P145" s="7"/>
      <c r="Q145" s="22"/>
      <c r="R145" s="22"/>
      <c r="S145" s="31">
        <f t="shared" si="48"/>
        <v>1</v>
      </c>
      <c r="T145" s="46" t="str">
        <f t="shared" si="52"/>
        <v>Southbound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3"/>
        <v>https://d0f6bd738d7f1b3e5a7ca70fe4ff75f0.us-east-1.aws.found.io/app/kibana#/discover/Steve-Slow-Train-Analysis-(2080s-and-2083s)?_g=(refreshInterval:(display:Off,pause:!f,section:0,value:0),time:(from:'2017-03-16T20:50:17-0600',mode:absolute,to:'2017-03-16T23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87" t="str">
        <f t="shared" si="54"/>
        <v>N</v>
      </c>
      <c r="X145" s="187">
        <f t="shared" si="55"/>
        <v>1</v>
      </c>
      <c r="Y145" s="62">
        <f t="shared" si="56"/>
        <v>23.298300000000001</v>
      </c>
      <c r="Z145" s="62">
        <f t="shared" si="47"/>
        <v>1.5800000000000002E-2</v>
      </c>
      <c r="AA145" s="62">
        <f t="shared" si="57"/>
        <v>23.282500000000002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0230-16</v>
      </c>
      <c r="AE145" s="85" t="str">
        <f t="shared" si="59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145" s="82" t="str">
        <f t="shared" si="60"/>
        <v>"C:\Program Files (x86)\AstroGrep\AstroGrep.exe" /e /r /s /spath="%USERPROFILE%\AppData\Local\Temp\OnboardLogs" /stypes="app*4030*20170317*" /stext=" 04:.+((SYSTEM_STATE.+slice.+state.+changed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230-16 --locoid 4030 --swversion DE.1.0.9.0 --startMP 204:232983 --initTime 2017-03-16T21:50:17 --startdatetime 2017-03-16T21:56:27 --delay 1 --endMP 204:158 --enddatetime 2017-03-16T22:38:52 --enforcementcount 0 &gt;&gt;C:\Users\stu\Documents\GitHub\eaglep3-reporting\EC\2017-03-16-refined-times.txt</v>
      </c>
      <c r="AI145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{"issue":{"subject":"","project_id":79,"tracker_id":40,"status_id":1,"priority_id":2,"assigned_to_id":23,"start_date":"2017-03-16","description":"","custom_fields":[{"id":1,"name":"Subdivision","value":"EC"},{"id":4,"name":"Milepost","value":"0.0158"},{"id":17,"name":"Train ID","value":"230-16"},{"id":16,"name":"Locomotive ID","value":"4030"},{"id":130,"name":"Impact","value":""},{"id":150,"name":"Time of Event (Mountain Time)","value":"22:38:52"},{"id":151,"name":"Denver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64"/>
        <v>start /low /b %USERPROFILE%\Documents\GitHub\eaglep3\Utilities\DownloadLogsFromS3.py --loco 4030 --day 2017-03-16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"%USERPROFILE%\AppData\Local\Temp\OnboardLogs"\RTDC4030\*4030*20170317* | grep -SE "(Enforcement Action)|(\[TIMEOUT)|(CHR.+\|PRM\|1\|D.+(SWITCH|SIGNAL).+UNKNOWN)" - &gt;&gt; 2017-03-16-UncaughtWiMAX.txt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819</v>
      </c>
      <c r="B146" s="7">
        <v>4046</v>
      </c>
      <c r="C146" s="21" t="s">
        <v>228</v>
      </c>
      <c r="D146" s="21" t="s">
        <v>905</v>
      </c>
      <c r="E146" s="13">
        <v>42810.887094907404</v>
      </c>
      <c r="F146" s="13">
        <v>42810.896435185183</v>
      </c>
      <c r="G146" s="7">
        <v>2</v>
      </c>
      <c r="H146" s="21" t="s">
        <v>230</v>
      </c>
      <c r="I146" s="13">
        <v>42810.92255787037</v>
      </c>
      <c r="J146" s="7">
        <v>0</v>
      </c>
      <c r="K146" s="98" t="str">
        <f t="shared" si="50"/>
        <v>4045/4046</v>
      </c>
      <c r="L146" s="21" t="str">
        <f>VLOOKUP(A146,'Trips&amp;Operators'!$C$1:$G$99999,5,FALSE)</f>
        <v>MACDONALD THOMAS</v>
      </c>
      <c r="M146" s="6">
        <f t="shared" si="51"/>
        <v>2.6122685187146999E-2</v>
      </c>
      <c r="N146" s="7">
        <f t="shared" si="49"/>
        <v>37.616666669491678</v>
      </c>
      <c r="O146" s="7"/>
      <c r="P146" s="7"/>
      <c r="Q146" s="22"/>
      <c r="R146" s="22"/>
      <c r="S146" s="31">
        <f t="shared" si="48"/>
        <v>1</v>
      </c>
      <c r="T146" s="46" t="str">
        <f t="shared" si="52"/>
        <v>NorthBound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3"/>
        <v>https://d0f6bd738d7f1b3e5a7ca70fe4ff75f0.us-east-1.aws.found.io/app/kibana#/discover/Steve-Slow-Train-Analysis-(2080s-and-2083s)?_g=(refreshInterval:(display:Off,pause:!f,section:0,value:0),time:(from:'2017-03-16T20:17:25-0600',mode:absolute,to:'2017-03-16T23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6" s="187" t="str">
        <f t="shared" si="54"/>
        <v>N</v>
      </c>
      <c r="X146" s="187">
        <f t="shared" si="55"/>
        <v>1</v>
      </c>
      <c r="Y146" s="62">
        <f t="shared" si="56"/>
        <v>3.9600000000000003E-2</v>
      </c>
      <c r="Z146" s="62">
        <f t="shared" si="47"/>
        <v>23.331399999999999</v>
      </c>
      <c r="AA146" s="62">
        <f t="shared" si="57"/>
        <v>23.291799999999999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0231-16</v>
      </c>
      <c r="AE146" s="85" t="str">
        <f t="shared" si="59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46" s="82" t="str">
        <f t="shared" si="60"/>
        <v>"C:\Program Files (x86)\AstroGrep\AstroGrep.exe" /e /r /s /spath="%USERPROFILE%\AppData\Local\Temp\OnboardLogs" /stypes="app*4046*20170317*" /stext=" 04:.+((SYSTEM_STATE.+slice.+state.+changed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231-16 --locoid 4046 --swversion DE.1.0.9.0 --startMP 204:396 --initTime 2017-03-16T21:17:25 --startdatetime 2017-03-16T21:30:52 --delay 2 --endMP 204:233314 --enddatetime 2017-03-16T22:08:29 --enforcementcount 0 &gt;&gt;C:\Users\stu\Documents\GitHub\eaglep3-reporting\EC\2017-03-16-refined-times.txt</v>
      </c>
      <c r="AI146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ID","value":"231-16"},{"id":16,"name":"Locomotive ID","value":"4046"},{"id":130,"name":"Impact","value":""},{"id":150,"name":"Time of Event (Mountain Time)","value":"22:08:29"},{"id":151,"name":"Denver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64"/>
        <v>start /low /b %USERPROFILE%\Documents\GitHub\eaglep3\Utilities\DownloadLogsFromS3.py --loco 4046 --day 2017-03-16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"%USERPROFILE%\AppData\Local\Temp\OnboardLogs"\RTDC4046\*4046*20170317* | grep -SE "(Enforcement Action)|(\[TIMEOUT)|(CHR.+\|PRM\|1\|D.+(SWITCH|SIGNAL).+UNKNOWN)" - &gt;&gt; 2017-03-16-UncaughtWiMAX.txt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639</v>
      </c>
      <c r="B147" s="7">
        <v>4045</v>
      </c>
      <c r="C147" s="21" t="s">
        <v>228</v>
      </c>
      <c r="D147" s="21" t="s">
        <v>906</v>
      </c>
      <c r="E147" s="13">
        <v>42810.932870370372</v>
      </c>
      <c r="F147" s="13">
        <v>42810.935300925928</v>
      </c>
      <c r="G147" s="7">
        <v>1</v>
      </c>
      <c r="H147" s="21" t="s">
        <v>184</v>
      </c>
      <c r="I147" s="13">
        <v>42810.964687500003</v>
      </c>
      <c r="J147" s="7">
        <v>0</v>
      </c>
      <c r="K147" s="98" t="str">
        <f t="shared" si="50"/>
        <v>4045/4046</v>
      </c>
      <c r="L147" s="21" t="str">
        <f>VLOOKUP(A147,'Trips&amp;Operators'!$C$1:$G$99999,5,FALSE)</f>
        <v>MACDONALD THOMAS</v>
      </c>
      <c r="M147" s="6">
        <f t="shared" si="51"/>
        <v>2.9386574075033423E-2</v>
      </c>
      <c r="N147" s="7">
        <f t="shared" si="49"/>
        <v>42.316666668048128</v>
      </c>
      <c r="O147" s="7"/>
      <c r="P147" s="7"/>
      <c r="Q147" s="22"/>
      <c r="R147" s="22"/>
      <c r="S147" s="31">
        <f t="shared" si="48"/>
        <v>1</v>
      </c>
      <c r="T147" s="46" t="str">
        <f t="shared" si="52"/>
        <v>Southbound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3"/>
        <v>https://d0f6bd738d7f1b3e5a7ca70fe4ff75f0.us-east-1.aws.found.io/app/kibana#/discover/Steve-Slow-Train-Analysis-(2080s-and-2083s)?_g=(refreshInterval:(display:Off,pause:!f,section:0,value:0),time:(from:'2017-03-16T21:23:20-0600',mode:absolute,to:'2017-03-17T00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7" s="187" t="str">
        <f t="shared" si="54"/>
        <v>N</v>
      </c>
      <c r="X147" s="187">
        <f t="shared" si="55"/>
        <v>1</v>
      </c>
      <c r="Y147" s="62">
        <f t="shared" si="56"/>
        <v>23.297000000000001</v>
      </c>
      <c r="Z147" s="62">
        <f t="shared" si="47"/>
        <v>1.49E-2</v>
      </c>
      <c r="AA147" s="62">
        <f t="shared" si="57"/>
        <v>23.2821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0232-16</v>
      </c>
      <c r="AE147" s="85" t="str">
        <f t="shared" si="59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147" s="82" t="str">
        <f t="shared" si="60"/>
        <v>"C:\Program Files (x86)\AstroGrep\AstroGrep.exe" /e /r /s /spath="%USERPROFILE%\AppData\Local\Temp\OnboardLogs" /stypes="app*4045*20170317*" /stext=" 05:.+((SYSTEM_STATE.+slice.+state.+changed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232-16 --locoid 4045 --swversion DE.1.0.9.0 --startMP 204:232970 --initTime 2017-03-16T22:23:20 --startdatetime 2017-03-16T22:26:50 --delay 1 --endMP 204:149 --enddatetime 2017-03-16T23:09:09 --enforcementcount 0 &gt;&gt;C:\Users\stu\Documents\GitHub\eaglep3-reporting\EC\2017-03-16-refined-times.txt</v>
      </c>
      <c r="AI147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{"issue":{"subject":"","project_id":79,"tracker_id":40,"status_id":1,"priority_id":2,"assigned_to_id":23,"start_date":"2017-03-16","description":"","custom_fields":[{"id":1,"name":"Subdivision","value":"EC"},{"id":4,"name":"Milepost","value":"0.0149"},{"id":17,"name":"Train ID","value":"232-16"},{"id":16,"name":"Locomotive ID","value":"4045"},{"id":130,"name":"Impact","value":""},{"id":150,"name":"Time of Event (Mountain Time)","value":"23:09:09"},{"id":151,"name":"Denver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64"/>
        <v>start /low /b %USERPROFILE%\Documents\GitHub\eaglep3\Utilities\DownloadLogsFromS3.py --loco 4045 --day 2017-03-16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"%USERPROFILE%\AppData\Local\Temp\OnboardLogs"\RTDC4045\*4045*20170317* | grep -SE "(Enforcement Action)|(\[TIMEOUT)|(CHR.+\|PRM\|1\|D.+(SWITCH|SIGNAL).+UNKNOWN)" - &gt;&gt; 2017-03-16-UncaughtWiMAX.txt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822</v>
      </c>
      <c r="B148" s="7">
        <v>4031</v>
      </c>
      <c r="C148" s="21" t="s">
        <v>228</v>
      </c>
      <c r="D148" s="21" t="s">
        <v>244</v>
      </c>
      <c r="E148" s="13">
        <v>42810.911458333336</v>
      </c>
      <c r="F148" s="13">
        <v>42810.916979166665</v>
      </c>
      <c r="G148" s="7">
        <v>1</v>
      </c>
      <c r="H148" s="21" t="s">
        <v>230</v>
      </c>
      <c r="I148" s="13">
        <v>42810.941851851851</v>
      </c>
      <c r="J148" s="7">
        <v>0</v>
      </c>
      <c r="K148" s="98" t="str">
        <f t="shared" si="50"/>
        <v>4031/4032</v>
      </c>
      <c r="L148" s="21" t="str">
        <f>VLOOKUP(A148,'Trips&amp;Operators'!$C$1:$G$99999,5,FALSE)</f>
        <v>BROWN JACOB</v>
      </c>
      <c r="M148" s="6">
        <f t="shared" si="51"/>
        <v>2.4872685185982846E-2</v>
      </c>
      <c r="N148" s="7">
        <f t="shared" si="49"/>
        <v>35.816666667815298</v>
      </c>
      <c r="O148" s="7"/>
      <c r="P148" s="7"/>
      <c r="Q148" s="22"/>
      <c r="R148" s="22"/>
      <c r="S148" s="31">
        <f t="shared" si="48"/>
        <v>1</v>
      </c>
      <c r="T148" s="46" t="str">
        <f t="shared" si="52"/>
        <v>NorthBound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3"/>
        <v>https://d0f6bd738d7f1b3e5a7ca70fe4ff75f0.us-east-1.aws.found.io/app/kibana#/discover/Steve-Slow-Train-Analysis-(2080s-and-2083s)?_g=(refreshInterval:(display:Off,pause:!f,section:0,value:0),time:(from:'2017-03-16T20:52:30-0600',mode:absolute,to:'2017-03-16T23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8" s="187" t="str">
        <f t="shared" si="54"/>
        <v>N</v>
      </c>
      <c r="X148" s="187">
        <f t="shared" si="55"/>
        <v>1</v>
      </c>
      <c r="Y148" s="62">
        <f t="shared" si="56"/>
        <v>4.6899999999999997E-2</v>
      </c>
      <c r="Z148" s="62">
        <f t="shared" ref="Z148:Z179" si="65">RIGHT(H148,LEN(H148)-4)/10000</f>
        <v>23.331399999999999</v>
      </c>
      <c r="AA148" s="62">
        <f t="shared" si="57"/>
        <v>23.284499999999998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0233-16</v>
      </c>
      <c r="AE148" s="85" t="str">
        <f t="shared" si="59"/>
        <v>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 &amp; 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</v>
      </c>
      <c r="AF148" s="82" t="str">
        <f t="shared" si="60"/>
        <v>"C:\Program Files (x86)\AstroGrep\AstroGrep.exe" /e /r /s /spath="%USERPROFILE%\AppData\Local\Temp\OnboardLogs" /stypes="app*4031*20170317*" /stext=" 04:.+((SYSTEM_STATE.+slice.+state.+changed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233-16 --locoid 4031 --swversion DE.1.0.9.0 --startMP 204:469 --initTime 2017-03-16T21:52:30 --startdatetime 2017-03-16T22:00:27 --delay 1 --endMP 204:233314 --enddatetime 2017-03-16T22:36:16 --enforcementcount 0 &gt;&gt;C:\Users\stu\Documents\GitHub\eaglep3-reporting\EC\2017-03-16-refined-times.txt</v>
      </c>
      <c r="AI148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{"issue":{"subject":"","project_id":79,"tracker_id":40,"status_id":1,"priority_id":2,"assigned_to_id":23,"start_date":"2017-03-16","description":"","custom_fields":[{"id":1,"name":"Subdivision","value":"EC"},{"id":4,"name":"Milepost","value":"23.3314"},{"id":17,"name":"Train ID","value":"233-16"},{"id":16,"name":"Locomotive ID","value":"4031"},{"id":130,"name":"Impact","value":""},{"id":150,"name":"Time of Event (Mountain Time)","value":"22:36:16"},{"id":151,"name":"Denver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64"/>
        <v>start /low /b %USERPROFILE%\Documents\GitHub\eaglep3\Utilities\DownloadLogsFromS3.py --loco 4031 --day 2017-03-16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"%USERPROFILE%\AppData\Local\Temp\OnboardLogs"\RTDC4031\*4031*20170317* | grep -SE "(Enforcement Action)|(\[TIMEOUT)|(CHR.+\|PRM\|1\|D.+(SWITCH|SIGNAL).+UNKNOWN)" - &gt;&gt; 2017-03-16-UncaughtWiMAX.txt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825</v>
      </c>
      <c r="B149" s="7">
        <v>4032</v>
      </c>
      <c r="C149" s="21" t="s">
        <v>228</v>
      </c>
      <c r="D149" s="21" t="s">
        <v>503</v>
      </c>
      <c r="E149" s="13">
        <v>42810.950590277775</v>
      </c>
      <c r="F149" s="13">
        <v>42810.955729166664</v>
      </c>
      <c r="G149" s="7">
        <v>2</v>
      </c>
      <c r="H149" s="21" t="s">
        <v>499</v>
      </c>
      <c r="I149" s="13">
        <v>42810.983599537038</v>
      </c>
      <c r="J149" s="7">
        <v>0</v>
      </c>
      <c r="K149" s="98" t="str">
        <f t="shared" si="50"/>
        <v>4031/4032</v>
      </c>
      <c r="L149" s="21" t="str">
        <f>VLOOKUP(A149,'Trips&amp;Operators'!$C$1:$G$99999,5,FALSE)</f>
        <v>BROWN JACOB</v>
      </c>
      <c r="M149" s="6">
        <f t="shared" si="51"/>
        <v>2.7870370373420883E-2</v>
      </c>
      <c r="N149" s="7">
        <f t="shared" si="49"/>
        <v>40.133333337726071</v>
      </c>
      <c r="O149" s="7"/>
      <c r="P149" s="7"/>
      <c r="Q149" s="22"/>
      <c r="R149" s="22"/>
      <c r="S149" s="31">
        <f t="shared" si="48"/>
        <v>1</v>
      </c>
      <c r="T149" s="46" t="str">
        <f t="shared" si="52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3"/>
        <v>https://d0f6bd738d7f1b3e5a7ca70fe4ff75f0.us-east-1.aws.found.io/app/kibana#/discover/Steve-Slow-Train-Analysis-(2080s-and-2083s)?_g=(refreshInterval:(display:Off,pause:!f,section:0,value:0),time:(from:'2017-03-16T21:48:51-0600',mode:absolute,to:'2017-03-17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187" t="str">
        <f t="shared" si="54"/>
        <v>N</v>
      </c>
      <c r="X149" s="187">
        <f t="shared" si="55"/>
        <v>1</v>
      </c>
      <c r="Y149" s="62">
        <f t="shared" si="56"/>
        <v>23.301100000000002</v>
      </c>
      <c r="Z149" s="62">
        <f t="shared" si="65"/>
        <v>1.4500000000000001E-2</v>
      </c>
      <c r="AA149" s="62">
        <f t="shared" si="57"/>
        <v>23.2866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0234-16</v>
      </c>
      <c r="AE149" s="85" t="str">
        <f t="shared" si="59"/>
        <v>aws s3 cp s3://rtdc.mdm.uploadarchive.raw/RTDC4032/ "%USERPROFILE%\AppData\Local\Temp\OnboardLogs"\RTDC4032\2017-03-16 --exclude "*" --recursive --include "*20170316*" &amp; "%USERPROFILE%\Documents\GitHub\mrs-test-scripts\Headless Mode &amp; Sideloading\WalkAndUnGZ.bat" "%USERPROFILE%\AppData\Local\Temp\OnboardLogs"\RTDC4032\2017-03-16 &amp; aws s3 cp s3://rtdc.mdm.uploadarchive.raw/RTDC4032/ "%USERPROFILE%\AppData\Local\Temp\OnboardLogs"\RTDC4032\2017-03-17 --exclude "*" --recursive --include "*20170317*" &amp; "%USERPROFILE%\Documents\GitHub\mrs-test-scripts\Headless Mode &amp; Sideloading\WalkAndUnGZ.bat" "%USERPROFILE%\AppData\Local\Temp\OnboardLogs"\RTDC4032\2017-03-17</v>
      </c>
      <c r="AF149" s="82" t="str">
        <f t="shared" si="60"/>
        <v>"C:\Program Files (x86)\AstroGrep\AstroGrep.exe" /e /r /s /spath="%USERPROFILE%\AppData\Local\Temp\OnboardLogs" /stypes="app*4032*20170317*" /stext=" 05:.+((SYSTEM_STATE.+slice.+state.+changed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234-16 --locoid 4032 --swversion DE.1.0.9.0 --startMP 204:233011 --initTime 2017-03-16T22:48:51 --startdatetime 2017-03-16T22:56:15 --delay 2 --endMP 204:145 --enddatetime 2017-03-16T23:36:23 --enforcementcount 0 &gt;&gt;C:\Users\stu\Documents\GitHub\eaglep3-reporting\EC\2017-03-16-refined-times.txt</v>
      </c>
      <c r="AI149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{"issue":{"subject":"","project_id":79,"tracker_id":40,"status_id":1,"priority_id":2,"assigned_to_id":23,"start_date":"2017-03-16","description":"","custom_fields":[{"id":1,"name":"Subdivision","value":"EC"},{"id":4,"name":"Milepost","value":"0.0145"},{"id":17,"name":"Train ID","value":"234-16"},{"id":16,"name":"Locomotive ID","value":"4032"},{"id":130,"name":"Impact","value":""},{"id":150,"name":"Time of Event (Mountain Time)","value":"23:36:23"},{"id":151,"name":"Denver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64"/>
        <v>start /low /b %USERPROFILE%\Documents\GitHub\eaglep3\Utilities\DownloadLogsFromS3.py --loco 4032 --day 2017-03-16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"%USERPROFILE%\AppData\Local\Temp\OnboardLogs"\RTDC4032\*4032*20170317* | grep -SE "(Enforcement Action)|(\[TIMEOUT)|(CHR.+\|PRM\|1\|D.+(SWITCH|SIGNAL).+UNKNOWN)" - &gt;&gt; 2017-03-16-UncaughtWiMAX.txt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823</v>
      </c>
      <c r="B150" s="7">
        <v>4025</v>
      </c>
      <c r="C150" s="21" t="s">
        <v>228</v>
      </c>
      <c r="D150" s="21" t="s">
        <v>897</v>
      </c>
      <c r="E150" s="13">
        <v>42810.927303240744</v>
      </c>
      <c r="F150" s="13">
        <v>42810.937847222223</v>
      </c>
      <c r="G150" s="7">
        <v>1</v>
      </c>
      <c r="H150" s="21" t="s">
        <v>907</v>
      </c>
      <c r="I150" s="13">
        <v>42810.963449074072</v>
      </c>
      <c r="J150" s="7">
        <v>0</v>
      </c>
      <c r="K150" s="98" t="str">
        <f t="shared" si="50"/>
        <v>4025/4026</v>
      </c>
      <c r="L150" s="21" t="str">
        <f>VLOOKUP(A150,'Trips&amp;Operators'!$C$1:$G$99999,5,FALSE)</f>
        <v>SWANSON BRYCE</v>
      </c>
      <c r="M150" s="6">
        <f t="shared" si="51"/>
        <v>2.5601851848477963E-2</v>
      </c>
      <c r="N150" s="7">
        <f t="shared" si="49"/>
        <v>36.866666661808267</v>
      </c>
      <c r="O150" s="7"/>
      <c r="P150" s="7"/>
      <c r="Q150" s="22"/>
      <c r="R150" s="22"/>
      <c r="S150" s="31">
        <f t="shared" si="48"/>
        <v>1</v>
      </c>
      <c r="T150" s="46" t="str">
        <f t="shared" si="52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3"/>
        <v>https://d0f6bd738d7f1b3e5a7ca70fe4ff75f0.us-east-1.aws.found.io/app/kibana#/discover/Steve-Slow-Train-Analysis-(2080s-and-2083s)?_g=(refreshInterval:(display:Off,pause:!f,section:0,value:0),time:(from:'2017-03-16T21:15:19-0600',mode:absolute,to:'2017-03-17T00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87" t="str">
        <f t="shared" si="54"/>
        <v>N</v>
      </c>
      <c r="X150" s="187">
        <f t="shared" si="55"/>
        <v>1</v>
      </c>
      <c r="Y150" s="62">
        <f t="shared" si="56"/>
        <v>4.7300000000000002E-2</v>
      </c>
      <c r="Z150" s="62">
        <f t="shared" si="65"/>
        <v>23.3249</v>
      </c>
      <c r="AA150" s="62">
        <f t="shared" si="57"/>
        <v>23.2776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0235-16</v>
      </c>
      <c r="AE150" s="85" t="str">
        <f t="shared" si="59"/>
        <v>aws s3 cp s3://rtdc.mdm.uploadarchive.raw/RTDC4025/ "%USERPROFILE%\AppData\Local\Temp\OnboardLogs"\RTDC4025\2017-03-16 --exclude "*" --recursive --include "*20170316*" &amp; "%USERPROFILE%\Documents\GitHub\mrs-test-scripts\Headless Mode &amp; Sideloading\WalkAndUnGZ.bat" "%USERPROFILE%\AppData\Local\Temp\OnboardLogs"\RTDC4025\2017-03-16 &amp; 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</v>
      </c>
      <c r="AF150" s="82" t="str">
        <f t="shared" si="60"/>
        <v>"C:\Program Files (x86)\AstroGrep\AstroGrep.exe" /e /r /s /spath="%USERPROFILE%\AppData\Local\Temp\OnboardLogs" /stypes="app*4025*20170317*" /stext=" 05:.+((SYSTEM_STATE.+slice.+state.+changed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235-16 --locoid 4025 --swversion DE.1.0.9.0 --startMP 204:473 --initTime 2017-03-16T22:15:19 --startdatetime 2017-03-16T22:30:30 --delay 1 --endMP 204:233249 --enddatetime 2017-03-16T23:07:22 --enforcementcount 0 &gt;&gt;C:\Users\stu\Documents\GitHub\eaglep3-reporting\EC\2017-03-16-refined-times.txt</v>
      </c>
      <c r="AI150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{"issue":{"subject":"","project_id":79,"tracker_id":40,"status_id":1,"priority_id":2,"assigned_to_id":23,"start_date":"2017-03-16","description":"","custom_fields":[{"id":1,"name":"Subdivision","value":"EC"},{"id":4,"name":"Milepost","value":"23.3249"},{"id":17,"name":"Train ID","value":"235-16"},{"id":16,"name":"Locomotive ID","value":"4025"},{"id":130,"name":"Impact","value":""},{"id":150,"name":"Time of Event (Mountain Time)","value":"23:07:22"},{"id":151,"name":"Denver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64"/>
        <v>start /low /b %USERPROFILE%\Documents\GitHub\eaglep3\Utilities\DownloadLogsFromS3.py --loco 4025 --day 2017-03-16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2017-03-16-UncaughtWiMAX.txt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827</v>
      </c>
      <c r="B151" s="7">
        <v>4026</v>
      </c>
      <c r="C151" s="21" t="s">
        <v>228</v>
      </c>
      <c r="D151" s="21" t="s">
        <v>908</v>
      </c>
      <c r="E151" s="13">
        <v>42810.967210648145</v>
      </c>
      <c r="F151" s="13">
        <v>42810.9765625</v>
      </c>
      <c r="G151" s="7">
        <v>1</v>
      </c>
      <c r="H151" s="21" t="s">
        <v>221</v>
      </c>
      <c r="I151" s="13">
        <v>42811.005208333336</v>
      </c>
      <c r="J151" s="7">
        <v>0</v>
      </c>
      <c r="K151" s="98" t="str">
        <f t="shared" si="50"/>
        <v>4025/4026</v>
      </c>
      <c r="L151" s="21" t="str">
        <f>VLOOKUP(A151,'Trips&amp;Operators'!$C$1:$G$99999,5,FALSE)</f>
        <v>SWANSON BRYCE</v>
      </c>
      <c r="M151" s="6">
        <f t="shared" si="51"/>
        <v>2.8645833335758653E-2</v>
      </c>
      <c r="N151" s="7">
        <f t="shared" si="49"/>
        <v>41.25000000349246</v>
      </c>
      <c r="O151" s="7"/>
      <c r="P151" s="7"/>
      <c r="Q151" s="22"/>
      <c r="R151" s="22"/>
      <c r="S151" s="31">
        <f t="shared" si="48"/>
        <v>1</v>
      </c>
      <c r="T151" s="46" t="str">
        <f t="shared" si="52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3"/>
        <v>https://d0f6bd738d7f1b3e5a7ca70fe4ff75f0.us-east-1.aws.found.io/app/kibana#/discover/Steve-Slow-Train-Analysis-(2080s-and-2083s)?_g=(refreshInterval:(display:Off,pause:!f,section:0,value:0),time:(from:'2017-03-16T22:12:47-0600',mode:absolute,to:'2017-03-17T01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187" t="str">
        <f t="shared" si="54"/>
        <v>N</v>
      </c>
      <c r="X151" s="187">
        <f t="shared" si="55"/>
        <v>1</v>
      </c>
      <c r="Y151" s="62">
        <f t="shared" si="56"/>
        <v>23.292899999999999</v>
      </c>
      <c r="Z151" s="62">
        <f t="shared" si="65"/>
        <v>1.47E-2</v>
      </c>
      <c r="AA151" s="62">
        <f t="shared" si="57"/>
        <v>23.278199999999998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0236-16</v>
      </c>
      <c r="AE151" s="85" t="str">
        <f t="shared" si="59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151" s="82" t="str">
        <f t="shared" si="60"/>
        <v>"C:\Program Files (x86)\AstroGrep\AstroGrep.exe" /e /r /s /spath="%USERPROFILE%\AppData\Local\Temp\OnboardLogs" /stypes="app*4026*20170317*" /stext=" 06:.+((SYSTEM_STATE.+slice.+state.+changed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236-16 --locoid 4026 --swversion DE.1.0.9.0 --startMP 204:232929 --initTime 2017-03-16T23:12:47 --startdatetime 2017-03-16T23:26:15 --delay 1 --endMP 204:147 --enddatetime 2017-03-17T00:07:30 --enforcementcount 0 &gt;&gt;C:\Users\stu\Documents\GitHub\eaglep3-reporting\EC\2017-03-16-refined-times.txt</v>
      </c>
      <c r="AI151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{"issue":{"subject":"","project_id":79,"tracker_id":40,"status_id":1,"priority_id":2,"assigned_to_id":23,"start_date":"2017-03-17","description":"","custom_fields":[{"id":1,"name":"Subdivision","value":"EC"},{"id":4,"name":"Milepost","value":"0.0147"},{"id":17,"name":"Train ID","value":"236-16"},{"id":16,"name":"Locomotive ID","value":"4026"},{"id":130,"name":"Impact","value":""},{"id":150,"name":"Time of Event (Mountain Time)","value":"00:07:30"},{"id":151,"name":"Denver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64"/>
        <v>start /low /b %USERPROFILE%\Documents\GitHub\eaglep3\Utilities\DownloadLogsFromS3.py --loco 4026 --day 2017-03-16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"%USERPROFILE%\AppData\Local\Temp\OnboardLogs"\RTDC4026\*4026*20170317* | grep -SE "(Enforcement Action)|(\[TIMEOUT)|(CHR.+\|PRM\|1\|D.+(SWITCH|SIGNAL).+UNKNOWN)" - &gt;&gt; 2017-03-16-UncaughtWiMAX.txt</v>
      </c>
    </row>
    <row r="152" spans="1:91" s="20" customFormat="1" x14ac:dyDescent="0.25">
      <c r="A152" s="33" t="s">
        <v>826</v>
      </c>
      <c r="B152" s="7">
        <v>4029</v>
      </c>
      <c r="C152" s="21" t="s">
        <v>228</v>
      </c>
      <c r="D152" s="21" t="s">
        <v>462</v>
      </c>
      <c r="E152" s="13">
        <v>42810.95722222222</v>
      </c>
      <c r="F152" s="13">
        <v>42810.958645833336</v>
      </c>
      <c r="G152" s="7">
        <v>1</v>
      </c>
      <c r="H152" s="21" t="s">
        <v>555</v>
      </c>
      <c r="I152" s="13">
        <v>42810.983344907407</v>
      </c>
      <c r="J152" s="7">
        <v>0</v>
      </c>
      <c r="K152" s="98" t="str">
        <f t="shared" si="50"/>
        <v>4029/4030</v>
      </c>
      <c r="L152" s="21" t="str">
        <f>VLOOKUP(A152,'Trips&amp;Operators'!$C$1:$G$99999,5,FALSE)</f>
        <v>CHANDLER KELVIN</v>
      </c>
      <c r="M152" s="6">
        <f t="shared" si="51"/>
        <v>2.4699074070667848E-2</v>
      </c>
      <c r="N152" s="7">
        <f t="shared" si="49"/>
        <v>35.566666661761701</v>
      </c>
      <c r="O152" s="7"/>
      <c r="P152" s="7"/>
      <c r="Q152" s="22"/>
      <c r="R152" s="22"/>
      <c r="S152" s="31">
        <f t="shared" si="48"/>
        <v>1</v>
      </c>
      <c r="T152" s="46" t="str">
        <f t="shared" si="52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3"/>
        <v>https://d0f6bd738d7f1b3e5a7ca70fe4ff75f0.us-east-1.aws.found.io/app/kibana#/discover/Steve-Slow-Train-Analysis-(2080s-and-2083s)?_g=(refreshInterval:(display:Off,pause:!f,section:0,value:0),time:(from:'2017-03-16T21:58:24-0600',mode:absolute,to:'2017-03-17T00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7" t="str">
        <f t="shared" si="54"/>
        <v>N</v>
      </c>
      <c r="X152" s="187">
        <f t="shared" si="55"/>
        <v>1</v>
      </c>
      <c r="Y152" s="62">
        <f t="shared" si="56"/>
        <v>4.82E-2</v>
      </c>
      <c r="Z152" s="62">
        <f t="shared" si="65"/>
        <v>23.328600000000002</v>
      </c>
      <c r="AA152" s="62">
        <f t="shared" si="57"/>
        <v>23.2804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0237-16</v>
      </c>
      <c r="AE152" s="85" t="str">
        <f t="shared" si="59"/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AF152" s="82" t="str">
        <f t="shared" si="60"/>
        <v>"C:\Program Files (x86)\AstroGrep\AstroGrep.exe" /e /r /s /spath="%USERPROFILE%\AppData\Local\Temp\OnboardLogs" /stypes="app*4029*20170317*" /stext=" 05:.+((SYSTEM_STATE.+slice.+state.+changed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237-16 --locoid 4029 --swversion DE.1.0.9.0 --startMP 204:482 --initTime 2017-03-16T22:58:24 --startdatetime 2017-03-16T23:00:27 --delay 1 --endMP 204:233286 --enddatetime 2017-03-16T23:36:01 --enforcementcount 0 &gt;&gt;C:\Users\stu\Documents\GitHub\eaglep3-reporting\EC\2017-03-16-refined-times.txt</v>
      </c>
      <c r="AI152" s="108" t="str">
        <f t="shared" si="63"/>
        <v>echo {"issue":{"subject":"","project_id":79,"tracker_id":40,"status_id":1,"priority_id":2,"assigned_to_id":23,"start_date":"2017-03-16","description":"","custom_fields":[{"id":1,"name":"Subdivision","value":"EC"},{"id":4,"name":"Milepost","value":"23.3286"},{"id":17,"name":"Train ID","value":"237-16"},{"id":16,"name":"Locomotive ID","value":"4029"},{"id":130,"name":"Impact","value":""},{"id":150,"name":"Time of Event (Mountain Time)","value":"23:36:01"},{"id":151,"name":"Denver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64"/>
        <v>start /low /b %USERPROFILE%\Documents\GitHub\eaglep3\Utilities\DownloadLogsFromS3.py --loco 4029 --day 2017-03-16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"%USERPROFILE%\AppData\Local\Temp\OnboardLogs"\RTDC4029\*4029*20170317* | grep -SE "(Enforcement Action)|(\[TIMEOUT)|(CHR.+\|PRM\|1\|D.+(SWITCH|SIGNAL).+UNKNOWN)" - &gt;&gt; 2017-03-16-UncaughtWiMAX.txt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830</v>
      </c>
      <c r="B153" s="7">
        <v>4030</v>
      </c>
      <c r="C153" s="21" t="s">
        <v>228</v>
      </c>
      <c r="D153" s="21" t="s">
        <v>240</v>
      </c>
      <c r="E153" s="13">
        <v>42810.992465277777</v>
      </c>
      <c r="F153" s="13">
        <v>42810.997581018521</v>
      </c>
      <c r="G153" s="7">
        <v>1</v>
      </c>
      <c r="H153" s="21" t="s">
        <v>880</v>
      </c>
      <c r="I153" s="13">
        <v>42811.025694444441</v>
      </c>
      <c r="J153" s="7">
        <v>0</v>
      </c>
      <c r="K153" s="98" t="str">
        <f t="shared" si="50"/>
        <v>4029/4030</v>
      </c>
      <c r="L153" s="21" t="str">
        <f>VLOOKUP(A153,'Trips&amp;Operators'!$C$1:$G$99999,5,FALSE)</f>
        <v>CHANDLER KELVIN</v>
      </c>
      <c r="M153" s="6">
        <f t="shared" si="51"/>
        <v>2.8113425920309965E-2</v>
      </c>
      <c r="N153" s="7">
        <f t="shared" si="49"/>
        <v>40.483333325246349</v>
      </c>
      <c r="O153" s="7"/>
      <c r="P153" s="7"/>
      <c r="Q153" s="22"/>
      <c r="R153" s="22"/>
      <c r="S153" s="31">
        <f t="shared" si="48"/>
        <v>1</v>
      </c>
      <c r="T153" s="46" t="str">
        <f t="shared" si="52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3"/>
        <v>https://d0f6bd738d7f1b3e5a7ca70fe4ff75f0.us-east-1.aws.found.io/app/kibana#/discover/Steve-Slow-Train-Analysis-(2080s-and-2083s)?_g=(refreshInterval:(display:Off,pause:!f,section:0,value:0),time:(from:'2017-03-16T22:49:09-0600',mode:absolute,to:'2017-03-17T01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7" t="str">
        <f t="shared" si="54"/>
        <v>N</v>
      </c>
      <c r="X153" s="187">
        <f t="shared" si="55"/>
        <v>1</v>
      </c>
      <c r="Y153" s="62">
        <f t="shared" si="56"/>
        <v>23.2971</v>
      </c>
      <c r="Z153" s="62">
        <f t="shared" si="65"/>
        <v>1.78E-2</v>
      </c>
      <c r="AA153" s="62">
        <f t="shared" si="57"/>
        <v>23.279299999999999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0238-16</v>
      </c>
      <c r="AE153" s="85" t="str">
        <f t="shared" si="59"/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AF153" s="82" t="str">
        <f t="shared" si="60"/>
        <v>"C:\Program Files (x86)\AstroGrep\AstroGrep.exe" /e /r /s /spath="%USERPROFILE%\AppData\Local\Temp\OnboardLogs" /stypes="app*4030*20170317*" /stext=" 06:.+((SYSTEM_STATE.+slice.+state.+changed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238-16 --locoid 4030 --swversion DE.1.0.9.0 --startMP 204:232971 --initTime 2017-03-16T23:49:09 --startdatetime 2017-03-16T23:56:31 --delay 1 --endMP 204:178 --enddatetime 2017-03-17T00:37:00 --enforcementcount 0 &gt;&gt;C:\Users\stu\Documents\GitHub\eaglep3-reporting\EC\2017-03-16-refined-times.txt</v>
      </c>
      <c r="AI153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{"issue":{"subject":"","project_id":79,"tracker_id":40,"status_id":1,"priority_id":2,"assigned_to_id":23,"start_date":"2017-03-17","description":"","custom_fields":[{"id":1,"name":"Subdivision","value":"EC"},{"id":4,"name":"Milepost","value":"0.0178"},{"id":17,"name":"Train ID","value":"238-16"},{"id":16,"name":"Locomotive ID","value":"4030"},{"id":130,"name":"Impact","value":""},{"id":150,"name":"Time of Event (Mountain Time)","value":"00:37:00"},{"id":151,"name":"Denver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64"/>
        <v>start /low /b %USERPROFILE%\Documents\GitHub\eaglep3\Utilities\DownloadLogsFromS3.py --loco 4030 --day 2017-03-16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"%USERPROFILE%\AppData\Local\Temp\OnboardLogs"\RTDC4030\*4030*20170317* | grep -SE "(Enforcement Action)|(\[TIMEOUT)|(CHR.+\|PRM\|1\|D.+(SWITCH|SIGNAL).+UNKNOWN)" - &gt;&gt; 2017-03-16-UncaughtWiMAX.txt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829</v>
      </c>
      <c r="B154" s="7">
        <v>4046</v>
      </c>
      <c r="C154" s="21" t="s">
        <v>228</v>
      </c>
      <c r="D154" s="21" t="s">
        <v>426</v>
      </c>
      <c r="E154" s="13">
        <v>42810.976747685185</v>
      </c>
      <c r="F154" s="13">
        <v>42810.979317129626</v>
      </c>
      <c r="G154" s="7">
        <v>1</v>
      </c>
      <c r="H154" s="21" t="s">
        <v>909</v>
      </c>
      <c r="I154" s="13">
        <v>42811.004155092596</v>
      </c>
      <c r="J154" s="7">
        <v>0</v>
      </c>
      <c r="K154" s="98" t="str">
        <f t="shared" si="50"/>
        <v>4045/4046</v>
      </c>
      <c r="L154" s="21" t="str">
        <f>VLOOKUP(A154,'Trips&amp;Operators'!$C$1:$G$99999,5,FALSE)</f>
        <v>NEWELL JAMES</v>
      </c>
      <c r="M154" s="6">
        <f t="shared" si="51"/>
        <v>2.4837962970195804E-2</v>
      </c>
      <c r="N154" s="7">
        <f t="shared" si="49"/>
        <v>35.766666677081957</v>
      </c>
      <c r="O154" s="7"/>
      <c r="P154" s="7"/>
      <c r="Q154" s="22"/>
      <c r="R154" s="22"/>
      <c r="S154" s="31">
        <f t="shared" si="48"/>
        <v>1</v>
      </c>
      <c r="T154" s="46" t="str">
        <f t="shared" si="52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3"/>
        <v>https://d0f6bd738d7f1b3e5a7ca70fe4ff75f0.us-east-1.aws.found.io/app/kibana#/discover/Steve-Slow-Train-Analysis-(2080s-and-2083s)?_g=(refreshInterval:(display:Off,pause:!f,section:0,value:0),time:(from:'2017-03-16T22:26:31-0600',mode:absolute,to:'2017-03-17T01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4" s="187" t="str">
        <f t="shared" si="54"/>
        <v>N</v>
      </c>
      <c r="X154" s="187">
        <f t="shared" si="55"/>
        <v>1</v>
      </c>
      <c r="Y154" s="62">
        <f t="shared" si="56"/>
        <v>4.6399999999999997E-2</v>
      </c>
      <c r="Z154" s="62">
        <f t="shared" si="65"/>
        <v>23.331499999999998</v>
      </c>
      <c r="AA154" s="62">
        <f t="shared" si="57"/>
        <v>23.2851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0239-16</v>
      </c>
      <c r="AE154" s="85" t="str">
        <f t="shared" si="59"/>
        <v>aws s3 cp s3://rtdc.mdm.uploadarchive.raw/RTDC4046/ "%USERPROFILE%\AppData\Local\Temp\OnboardLogs"\RTDC4046\2017-03-16 --exclude "*" --recursive --include "*20170316*" &amp; "%USERPROFILE%\Documents\GitHub\mrs-test-scripts\Headless Mode &amp; Sideloading\WalkAndUnGZ.bat" "%USERPROFILE%\AppData\Local\Temp\OnboardLogs"\RTDC4046\2017-03-16 &amp; 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</v>
      </c>
      <c r="AF154" s="82" t="str">
        <f t="shared" si="60"/>
        <v>"C:\Program Files (x86)\AstroGrep\AstroGrep.exe" /e /r /s /spath="%USERPROFILE%\AppData\Local\Temp\OnboardLogs" /stypes="app*4046*20170317*" /stext=" 06:.+((SYSTEM_STATE.+slice.+state.+changed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239-16 --locoid 4046 --swversion DE.1.0.9.0 --startMP 204:464 --initTime 2017-03-16T23:26:31 --startdatetime 2017-03-16T23:30:13 --delay 1 --endMP 204:233315 --enddatetime 2017-03-17T00:05:59 --enforcementcount 0 &gt;&gt;C:\Users\stu\Documents\GitHub\eaglep3-reporting\EC\2017-03-16-refined-times.txt</v>
      </c>
      <c r="AI154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{"issue":{"subject":"","project_id":79,"tracker_id":40,"status_id":1,"priority_id":2,"assigned_to_id":23,"start_date":"2017-03-17","description":"","custom_fields":[{"id":1,"name":"Subdivision","value":"EC"},{"id":4,"name":"Milepost","value":"23.3315"},{"id":17,"name":"Train ID","value":"239-16"},{"id":16,"name":"Locomotive ID","value":"4046"},{"id":130,"name":"Impact","value":""},{"id":150,"name":"Time of Event (Mountain Time)","value":"00:05:59"},{"id":151,"name":"Denver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64"/>
        <v>start /low /b %USERPROFILE%\Documents\GitHub\eaglep3\Utilities\DownloadLogsFromS3.py --loco 4046 --day 2017-03-16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"%USERPROFILE%\AppData\Local\Temp\OnboardLogs"\RTDC4046\*4046*20170317* | grep -SE "(Enforcement Action)|(\[TIMEOUT)|(CHR.+\|PRM\|1\|D.+(SWITCH|SIGNAL).+UNKNOWN)" - &gt;&gt; 2017-03-16-UncaughtWiMAX.txt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833</v>
      </c>
      <c r="B155" s="7">
        <v>4045</v>
      </c>
      <c r="C155" s="21" t="s">
        <v>228</v>
      </c>
      <c r="D155" s="21" t="s">
        <v>871</v>
      </c>
      <c r="E155" s="13">
        <v>42811.015381944446</v>
      </c>
      <c r="F155" s="13">
        <v>42811.018194444441</v>
      </c>
      <c r="G155" s="7">
        <v>1</v>
      </c>
      <c r="H155" s="21" t="s">
        <v>206</v>
      </c>
      <c r="I155" s="13">
        <v>42811.045243055552</v>
      </c>
      <c r="J155" s="7">
        <v>0</v>
      </c>
      <c r="K155" s="98" t="str">
        <f t="shared" si="50"/>
        <v>4045/4046</v>
      </c>
      <c r="L155" s="21" t="str">
        <f>VLOOKUP(A155,'Trips&amp;Operators'!$C$1:$G$99999,5,FALSE)</f>
        <v>NEWELL JAMES</v>
      </c>
      <c r="M155" s="6">
        <f t="shared" si="51"/>
        <v>2.7048611111240461E-2</v>
      </c>
      <c r="N155" s="7">
        <f t="shared" si="49"/>
        <v>38.950000000186265</v>
      </c>
      <c r="O155" s="7"/>
      <c r="P155" s="7"/>
      <c r="Q155" s="22"/>
      <c r="R155" s="22"/>
      <c r="S155" s="31">
        <f t="shared" si="48"/>
        <v>1</v>
      </c>
      <c r="T155" s="46" t="str">
        <f t="shared" si="52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3"/>
        <v>https://d0f6bd738d7f1b3e5a7ca70fe4ff75f0.us-east-1.aws.found.io/app/kibana#/discover/Steve-Slow-Train-Analysis-(2080s-and-2083s)?_g=(refreshInterval:(display:Off,pause:!f,section:0,value:0),time:(from:'2017-03-16T23:22:09-0600',mode:absolute,to:'2017-03-17T02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187" t="str">
        <f t="shared" si="54"/>
        <v>N</v>
      </c>
      <c r="X155" s="187">
        <f t="shared" si="55"/>
        <v>1</v>
      </c>
      <c r="Y155" s="62">
        <f t="shared" si="56"/>
        <v>23.299399999999999</v>
      </c>
      <c r="Z155" s="62">
        <f t="shared" si="65"/>
        <v>1.54E-2</v>
      </c>
      <c r="AA155" s="62">
        <f t="shared" si="57"/>
        <v>23.283999999999999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0240-16</v>
      </c>
      <c r="AE155" s="85" t="str">
        <f t="shared" si="59"/>
        <v>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 &amp; aws s3 cp s3://rtdc.mdm.uploadarchive.raw/RTDC4045/ "%USERPROFILE%\AppData\Local\Temp\OnboardLogs"\RTDC4045\2017-03-18 --exclude "*" --recursive --include "*20170318*" &amp; "%USERPROFILE%\Documents\GitHub\mrs-test-scripts\Headless Mode &amp; Sideloading\WalkAndUnGZ.bat" "%USERPROFILE%\AppData\Local\Temp\OnboardLogs"\RTDC4045\2017-03-18</v>
      </c>
      <c r="AF155" s="82" t="str">
        <f t="shared" si="60"/>
        <v>"C:\Program Files (x86)\AstroGrep\AstroGrep.exe" /e /r /s /spath="%USERPROFILE%\AppData\Local\Temp\OnboardLogs" /stypes="app*4045*20170317*" /stext=" 07:.+((SYSTEM_STATE.+slice.+state.+changed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240-16 --locoid 4045 --swversion DE.1.0.9.0 --startMP 204:232994 --initTime 2017-03-17T00:22:09 --startdatetime 2017-03-17T00:26:12 --delay 1 --endMP 204:154 --enddatetime 2017-03-17T01:05:09 --enforcementcount 0 &gt;&gt;C:\Users\stu\Documents\GitHub\eaglep3-reporting\EC\2017-03-16-refined-times.txt</v>
      </c>
      <c r="AI155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{"issue":{"subject":"","project_id":79,"tracker_id":40,"status_id":1,"priority_id":2,"assigned_to_id":23,"start_date":"2017-03-17","description":"","custom_fields":[{"id":1,"name":"Subdivision","value":"EC"},{"id":4,"name":"Milepost","value":"0.0154"},{"id":17,"name":"Train ID","value":"240-16"},{"id":16,"name":"Locomotive ID","value":"4045"},{"id":130,"name":"Impact","value":""},{"id":150,"name":"Time of Event (Mountain Time)","value":"01:05:09"},{"id":151,"name":"Denver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64"/>
        <v>start /low /b %USERPROFILE%\Documents\GitHub\eaglep3\Utilities\DownloadLogsFromS3.py --loco 4045 --day 2017-03-17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"%USERPROFILE%\AppData\Local\Temp\OnboardLogs"\RTDC4045\*4045*20170317* | grep -SE "(Enforcement Action)|(\[TIMEOUT)|(CHR.+\|PRM\|1\|D.+(SWITCH|SIGNAL).+UNKNOWN)" - &gt;&gt; 2017-03-16-UncaughtWiMAX.txt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640</v>
      </c>
      <c r="B156" s="7">
        <v>4031</v>
      </c>
      <c r="C156" s="21" t="s">
        <v>228</v>
      </c>
      <c r="D156" s="21" t="s">
        <v>426</v>
      </c>
      <c r="E156" s="13">
        <v>42810.994988425926</v>
      </c>
      <c r="F156" s="13">
        <v>42811.000138888892</v>
      </c>
      <c r="G156" s="7">
        <v>1</v>
      </c>
      <c r="H156" s="21" t="s">
        <v>233</v>
      </c>
      <c r="I156" s="13">
        <v>42811.026770833334</v>
      </c>
      <c r="J156" s="7">
        <v>0</v>
      </c>
      <c r="K156" s="98" t="str">
        <f t="shared" si="50"/>
        <v>4031/4032</v>
      </c>
      <c r="L156" s="21" t="str">
        <f>VLOOKUP(A156,'Trips&amp;Operators'!$C$1:$G$99999,5,FALSE)</f>
        <v>BROWN JACOB</v>
      </c>
      <c r="M156" s="6">
        <f t="shared" si="51"/>
        <v>2.6631944441760425E-2</v>
      </c>
      <c r="N156" s="7">
        <f t="shared" si="49"/>
        <v>38.349999996135011</v>
      </c>
      <c r="O156" s="7"/>
      <c r="P156" s="7"/>
      <c r="Q156" s="22"/>
      <c r="R156" s="22"/>
      <c r="S156" s="31">
        <f t="shared" si="48"/>
        <v>1</v>
      </c>
      <c r="T156" s="46" t="str">
        <f t="shared" si="52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3"/>
        <v>https://d0f6bd738d7f1b3e5a7ca70fe4ff75f0.us-east-1.aws.found.io/app/kibana#/discover/Steve-Slow-Train-Analysis-(2080s-and-2083s)?_g=(refreshInterval:(display:Off,pause:!f,section:0,value:0),time:(from:'2017-03-16T22:52:47-0600',mode:absolute,to:'2017-03-17T01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6" s="187" t="str">
        <f t="shared" si="54"/>
        <v>N</v>
      </c>
      <c r="X156" s="187">
        <f t="shared" si="55"/>
        <v>1</v>
      </c>
      <c r="Y156" s="62">
        <f t="shared" si="56"/>
        <v>4.6399999999999997E-2</v>
      </c>
      <c r="Z156" s="62">
        <f t="shared" si="65"/>
        <v>23.329899999999999</v>
      </c>
      <c r="AA156" s="62">
        <f t="shared" si="57"/>
        <v>23.2835</v>
      </c>
      <c r="AB156" s="59" t="str">
        <f>VLOOKUP(A156,Enforcements!$C$7:$K$13,8,0)</f>
        <v>Bulletin (2)</v>
      </c>
      <c r="AC156" s="55" t="str">
        <f>VLOOKUP(A156,Enforcements!$C$7:$E$13,3,0)</f>
        <v>GRADE CROSSING</v>
      </c>
      <c r="AD156" s="56" t="str">
        <f t="shared" si="58"/>
        <v>0241-16</v>
      </c>
      <c r="AE156" s="85" t="str">
        <f t="shared" si="59"/>
        <v>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 &amp; 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</v>
      </c>
      <c r="AF156" s="82" t="str">
        <f t="shared" si="60"/>
        <v>"C:\Program Files (x86)\AstroGrep\AstroGrep.exe" /e /r /s /spath="%USERPROFILE%\AppData\Local\Temp\OnboardLogs" /stypes="app*4031*20170317*" /stext=" 06:.+((SYSTEM_STATE.+slice.+state.+changed )|(ment ac)|(multiple cpu faults)|(system.+state.+changed )|(\[timeout)|(PRM\|1\|D)|(kpr)|(kdp)|(\|lc)|(penalty))"</v>
      </c>
      <c r="AG156" s="1" t="str">
        <f t="shared" si="61"/>
        <v>EC</v>
      </c>
      <c r="AH156" s="86" t="str">
        <f t="shared" si="62"/>
        <v>"%USERPROFILE%\Documents\GitHub\eaglep3\Utilities\RefineRTDCRunTimes.py" --tripid 241-16 --locoid 4031 --swversion DE.1.0.9.0 --startMP 204:464 --initTime 2017-03-16T23:52:47 --startdatetime 2017-03-17T00:00:12 --delay 1 --endMP 204:233299 --enddatetime 2017-03-17T00:38:33 --enforcementcount 0 &gt;&gt;C:\Users\stu\Documents\GitHub\eaglep3-reporting\EC\2017-03-16-refined-times.txt</v>
      </c>
      <c r="AI156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{"issue":{"subject":"","project_id":79,"tracker_id":40,"status_id":1,"priority_id":2,"assigned_to_id":23,"start_date":"2017-03-17","description":"","custom_fields":[{"id":1,"name":"Subdivision","value":"EC"},{"id":4,"name":"Milepost","value":"23.3299"},{"id":17,"name":"Train ID","value":"241-16"},{"id":16,"name":"Locomotive ID","value":"4031"},{"id":130,"name":"Impact","value":""},{"id":150,"name":"Time of Event (Mountain Time)","value":"00:38:33"},{"id":151,"name":"Denver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64"/>
        <v>start /low /b %USERPROFILE%\Documents\GitHub\eaglep3\Utilities\DownloadLogsFromS3.py --loco 4031 --day 2017-03-17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"%USERPROFILE%\AppData\Local\Temp\OnboardLogs"\RTDC4031\*4031*20170317* | grep -SE "(Enforcement Action)|(\[TIMEOUT)|(CHR.+\|PRM\|1\|D.+(SWITCH|SIGNAL).+UNKNOWN)" - &gt;&gt; 2017-03-16-UncaughtWiMAX.txt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835</v>
      </c>
      <c r="B157" s="7">
        <v>4032</v>
      </c>
      <c r="C157" s="21" t="s">
        <v>228</v>
      </c>
      <c r="D157" s="21" t="s">
        <v>429</v>
      </c>
      <c r="E157" s="13">
        <v>42811.034363425926</v>
      </c>
      <c r="F157" s="13">
        <v>42811.039085648146</v>
      </c>
      <c r="G157" s="7">
        <v>1</v>
      </c>
      <c r="H157" s="21" t="s">
        <v>910</v>
      </c>
      <c r="I157" s="13">
        <v>42811.067349537036</v>
      </c>
      <c r="J157" s="7">
        <v>0</v>
      </c>
      <c r="K157" s="98" t="str">
        <f t="shared" si="50"/>
        <v>4031/4032</v>
      </c>
      <c r="L157" s="21" t="str">
        <f>VLOOKUP(A157,'Trips&amp;Operators'!$C$1:$G$99999,5,FALSE)</f>
        <v>BROWN JACOB</v>
      </c>
      <c r="M157" s="6">
        <f t="shared" si="51"/>
        <v>2.8263888889341615E-2</v>
      </c>
      <c r="N157" s="7">
        <f t="shared" si="49"/>
        <v>40.700000000651926</v>
      </c>
      <c r="O157" s="7"/>
      <c r="P157" s="7"/>
      <c r="Q157" s="22"/>
      <c r="R157" s="22"/>
      <c r="S157" s="31">
        <f t="shared" si="48"/>
        <v>1</v>
      </c>
      <c r="T157" s="46" t="str">
        <f t="shared" si="52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3"/>
        <v>https://d0f6bd738d7f1b3e5a7ca70fe4ff75f0.us-east-1.aws.found.io/app/kibana#/discover/Steve-Slow-Train-Analysis-(2080s-and-2083s)?_g=(refreshInterval:(display:Off,pause:!f,section:0,value:0),time:(from:'2017-03-16T23:49:29-0600',mode:absolute,to:'2017-03-17T02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7" s="187" t="str">
        <f t="shared" si="54"/>
        <v>N</v>
      </c>
      <c r="X157" s="187">
        <f t="shared" si="55"/>
        <v>1</v>
      </c>
      <c r="Y157" s="62">
        <f t="shared" si="56"/>
        <v>23.298400000000001</v>
      </c>
      <c r="Z157" s="62">
        <f t="shared" si="65"/>
        <v>7.22E-2</v>
      </c>
      <c r="AA157" s="62">
        <f t="shared" si="57"/>
        <v>23.226200000000002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0242-16</v>
      </c>
      <c r="AE157" s="85" t="str">
        <f t="shared" si="59"/>
        <v>aws s3 cp s3://rtdc.mdm.uploadarchive.raw/RTDC4032/ "%USERPROFILE%\AppData\Local\Temp\OnboardLogs"\RTDC4032\2017-03-17 --exclude "*" --recursive --include "*20170317*" &amp; "%USERPROFILE%\Documents\GitHub\mrs-test-scripts\Headless Mode &amp; Sideloading\WalkAndUnGZ.bat" "%USERPROFILE%\AppData\Local\Temp\OnboardLogs"\RTDC4032\2017-03-17 &amp; aws s3 cp s3://rtdc.mdm.uploadarchive.raw/RTDC4032/ "%USERPROFILE%\AppData\Local\Temp\OnboardLogs"\RTDC4032\2017-03-18 --exclude "*" --recursive --include "*20170318*" &amp; "%USERPROFILE%\Documents\GitHub\mrs-test-scripts\Headless Mode &amp; Sideloading\WalkAndUnGZ.bat" "%USERPROFILE%\AppData\Local\Temp\OnboardLogs"\RTDC4032\2017-03-18</v>
      </c>
      <c r="AF157" s="82" t="str">
        <f t="shared" si="60"/>
        <v>"C:\Program Files (x86)\AstroGrep\AstroGrep.exe" /e /r /s /spath="%USERPROFILE%\AppData\Local\Temp\OnboardLogs" /stypes="app*4032*20170317*" /stext=" 07:.+((SYSTEM_STATE.+slice.+state.+changed )|(ment ac)|(multiple cpu faults)|(system.+state.+changed )|(\[timeout)|(PRM\|1\|D)|(kpr)|(kdp)|(\|lc)|(penalty))"</v>
      </c>
      <c r="AG157" s="1" t="str">
        <f t="shared" si="61"/>
        <v>EC</v>
      </c>
      <c r="AH157" s="86" t="str">
        <f t="shared" si="62"/>
        <v>"%USERPROFILE%\Documents\GitHub\eaglep3\Utilities\RefineRTDCRunTimes.py" --tripid 242-16 --locoid 4032 --swversion DE.1.0.9.0 --startMP 204:232984 --initTime 2017-03-17T00:49:29 --startdatetime 2017-03-17T00:56:17 --delay 1 --endMP 204:722 --enddatetime 2017-03-17T01:36:59 --enforcementcount 0 &gt;&gt;C:\Users\stu\Documents\GitHub\eaglep3-reporting\EC\2017-03-16-refined-times.txt</v>
      </c>
      <c r="AI157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{"issue":{"subject":"","project_id":79,"tracker_id":40,"status_id":1,"priority_id":2,"assigned_to_id":23,"start_date":"2017-03-17","description":"","custom_fields":[{"id":1,"name":"Subdivision","value":"EC"},{"id":4,"name":"Milepost","value":"0.0722"},{"id":17,"name":"Train ID","value":"242-16"},{"id":16,"name":"Locomotive ID","value":"4032"},{"id":130,"name":"Impact","value":""},{"id":150,"name":"Time of Event (Mountain Time)","value":"01:36:59"},{"id":151,"name":"Denver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64"/>
        <v>start /low /b %USERPROFILE%\Documents\GitHub\eaglep3\Utilities\DownloadLogsFromS3.py --loco 4032 --day 2017-03-17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"%USERPROFILE%\AppData\Local\Temp\OnboardLogs"\RTDC4032\*4032*20170317* | grep -SE "(Enforcement Action)|(\[TIMEOUT)|(CHR.+\|PRM\|1\|D.+(SWITCH|SIGNAL).+UNKNOWN)" - &gt;&gt; 2017-03-16-UncaughtWiMAX.txt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831</v>
      </c>
      <c r="B158" s="7">
        <v>4025</v>
      </c>
      <c r="C158" s="21" t="s">
        <v>228</v>
      </c>
      <c r="D158" s="21" t="s">
        <v>426</v>
      </c>
      <c r="E158" s="13">
        <v>42811.009479166663</v>
      </c>
      <c r="F158" s="13">
        <v>42811.021111111113</v>
      </c>
      <c r="G158" s="7">
        <v>1</v>
      </c>
      <c r="H158" s="21" t="s">
        <v>497</v>
      </c>
      <c r="I158" s="13">
        <v>42811.0466087963</v>
      </c>
      <c r="J158" s="7">
        <v>0</v>
      </c>
      <c r="K158" s="98" t="str">
        <f t="shared" si="50"/>
        <v>4025/4026</v>
      </c>
      <c r="L158" s="21" t="str">
        <f>VLOOKUP(A158,'Trips&amp;Operators'!$C$1:$G$99999,5,FALSE)</f>
        <v>SWANSON BRYCE</v>
      </c>
      <c r="M158" s="6">
        <f t="shared" si="51"/>
        <v>2.5497685186564922E-2</v>
      </c>
      <c r="N158" s="7">
        <f t="shared" si="49"/>
        <v>36.716666668653488</v>
      </c>
      <c r="O158" s="7"/>
      <c r="P158" s="7"/>
      <c r="Q158" s="22"/>
      <c r="R158" s="22"/>
      <c r="S158" s="31">
        <f t="shared" si="48"/>
        <v>1</v>
      </c>
      <c r="T158" s="46" t="str">
        <f t="shared" si="52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6" t="str">
        <f t="shared" si="53"/>
        <v>https://d0f6bd738d7f1b3e5a7ca70fe4ff75f0.us-east-1.aws.found.io/app/kibana#/discover/Steve-Slow-Train-Analysis-(2080s-and-2083s)?_g=(refreshInterval:(display:Off,pause:!f,section:0,value:0),time:(from:'2017-03-16T23:13:39-0600',mode:absolute,to:'2017-03-17T02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7" t="str">
        <f t="shared" si="54"/>
        <v>N</v>
      </c>
      <c r="X158" s="187">
        <f t="shared" si="55"/>
        <v>1</v>
      </c>
      <c r="Y158" s="62">
        <f t="shared" si="56"/>
        <v>4.6399999999999997E-2</v>
      </c>
      <c r="Z158" s="62">
        <f t="shared" si="65"/>
        <v>23.3276</v>
      </c>
      <c r="AA158" s="62">
        <f t="shared" si="57"/>
        <v>23.281200000000002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0243-16</v>
      </c>
      <c r="AE158" s="85" t="str">
        <f t="shared" si="59"/>
        <v>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 &amp; aws s3 cp s3://rtdc.mdm.uploadarchive.raw/RTDC4025/ "%USERPROFILE%\AppData\Local\Temp\OnboardLogs"\RTDC4025\2017-03-18 --exclude "*" --recursive --include "*20170318*" &amp; "%USERPROFILE%\Documents\GitHub\mrs-test-scripts\Headless Mode &amp; Sideloading\WalkAndUnGZ.bat" "%USERPROFILE%\AppData\Local\Temp\OnboardLogs"\RTDC4025\2017-03-18</v>
      </c>
      <c r="AF158" s="82" t="str">
        <f t="shared" si="60"/>
        <v>"C:\Program Files (x86)\AstroGrep\AstroGrep.exe" /e /r /s /spath="%USERPROFILE%\AppData\Local\Temp\OnboardLogs" /stypes="app*4025*20170317*" /stext=" 07:.+((SYSTEM_STATE.+slice.+state.+changed )|(ment ac)|(multiple cpu faults)|(system.+state.+changed )|(\[timeout)|(PRM\|1\|D)|(kpr)|(kdp)|(\|lc)|(penalty))"</v>
      </c>
      <c r="AG158" s="1" t="str">
        <f t="shared" si="61"/>
        <v>EC</v>
      </c>
      <c r="AH158" s="86" t="str">
        <f t="shared" si="62"/>
        <v>"%USERPROFILE%\Documents\GitHub\eaglep3\Utilities\RefineRTDCRunTimes.py" --tripid 243-16 --locoid 4025 --swversion DE.1.0.9.0 --startMP 204:464 --initTime 2017-03-17T00:13:39 --startdatetime 2017-03-17T00:30:24 --delay 1 --endMP 204:233276 --enddatetime 2017-03-17T01:07:07 --enforcementcount 0 &gt;&gt;C:\Users\stu\Documents\GitHub\eaglep3-reporting\EC\2017-03-16-refined-times.txt</v>
      </c>
      <c r="AI158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{"issue":{"subject":"","project_id":79,"tracker_id":40,"status_id":1,"priority_id":2,"assigned_to_id":23,"start_date":"2017-03-17","description":"","custom_fields":[{"id":1,"name":"Subdivision","value":"EC"},{"id":4,"name":"Milepost","value":"23.3276"},{"id":17,"name":"Train ID","value":"243-16"},{"id":16,"name":"Locomotive ID","value":"4025"},{"id":130,"name":"Impact","value":""},{"id":150,"name":"Time of Event (Mountain Time)","value":"01:07:07"},{"id":151,"name":"Denver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64"/>
        <v>start /low /b %USERPROFILE%\Documents\GitHub\eaglep3\Utilities\DownloadLogsFromS3.py --loco 4025 --day 2017-03-17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2017-03-16-UncaughtWiMAX.txt</v>
      </c>
    </row>
    <row r="159" spans="1:91" s="20" customFormat="1" x14ac:dyDescent="0.25">
      <c r="A159" s="33" t="s">
        <v>837</v>
      </c>
      <c r="B159" s="7">
        <v>4026</v>
      </c>
      <c r="C159" s="21" t="s">
        <v>228</v>
      </c>
      <c r="D159" s="21" t="s">
        <v>569</v>
      </c>
      <c r="E159" s="13">
        <v>42811.049664351849</v>
      </c>
      <c r="F159" s="13">
        <v>42811.059988425928</v>
      </c>
      <c r="G159" s="7">
        <v>1</v>
      </c>
      <c r="H159" s="21" t="s">
        <v>911</v>
      </c>
      <c r="I159" s="13">
        <v>42811.087638888886</v>
      </c>
      <c r="J159" s="7">
        <v>0</v>
      </c>
      <c r="K159" s="98" t="str">
        <f t="shared" si="50"/>
        <v>4025/4026</v>
      </c>
      <c r="L159" s="21" t="str">
        <f>VLOOKUP(A159,'Trips&amp;Operators'!$C$1:$G$99999,5,FALSE)</f>
        <v>SWANSON BRYCE</v>
      </c>
      <c r="M159" s="6">
        <f t="shared" si="51"/>
        <v>2.7650462958263233E-2</v>
      </c>
      <c r="N159" s="7">
        <f t="shared" si="49"/>
        <v>39.816666659899056</v>
      </c>
      <c r="O159" s="7"/>
      <c r="P159" s="7"/>
      <c r="Q159" s="22"/>
      <c r="R159" s="22"/>
      <c r="S159" s="31">
        <f t="shared" si="48"/>
        <v>1</v>
      </c>
      <c r="T159" s="46" t="str">
        <f t="shared" si="52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6" t="str">
        <f t="shared" si="53"/>
        <v>https://d0f6bd738d7f1b3e5a7ca70fe4ff75f0.us-east-1.aws.found.io/app/kibana#/discover/Steve-Slow-Train-Analysis-(2080s-and-2083s)?_g=(refreshInterval:(display:Off,pause:!f,section:0,value:0),time:(from:'2017-03-17T00:11:31-0600',mode:absolute,to:'2017-03-17T03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9" s="187" t="str">
        <f t="shared" si="54"/>
        <v>N</v>
      </c>
      <c r="X159" s="187">
        <f t="shared" si="55"/>
        <v>1</v>
      </c>
      <c r="Y159" s="62">
        <f t="shared" si="56"/>
        <v>23.294</v>
      </c>
      <c r="Z159" s="62">
        <f t="shared" si="65"/>
        <v>1.35E-2</v>
      </c>
      <c r="AA159" s="62">
        <f t="shared" si="57"/>
        <v>23.2805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0244-16</v>
      </c>
      <c r="AE159" s="85" t="str">
        <f t="shared" si="59"/>
        <v>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 &amp; aws s3 cp s3://rtdc.mdm.uploadarchive.raw/RTDC4026/ "%USERPROFILE%\AppData\Local\Temp\OnboardLogs"\RTDC4026\2017-03-18 --exclude "*" --recursive --include "*20170318*" &amp; "%USERPROFILE%\Documents\GitHub\mrs-test-scripts\Headless Mode &amp; Sideloading\WalkAndUnGZ.bat" "%USERPROFILE%\AppData\Local\Temp\OnboardLogs"\RTDC4026\2017-03-18</v>
      </c>
      <c r="AF159" s="82" t="str">
        <f t="shared" si="60"/>
        <v>"C:\Program Files (x86)\AstroGrep\AstroGrep.exe" /e /r /s /spath="%USERPROFILE%\AppData\Local\Temp\OnboardLogs" /stypes="app*4026*20170317*" /stext=" 08:.+((SYSTEM_STATE.+slice.+state.+changed )|(ment ac)|(multiple cpu faults)|(system.+state.+changed )|(\[timeout)|(PRM\|1\|D)|(kpr)|(kdp)|(\|lc)|(penalty))"</v>
      </c>
      <c r="AG159" s="1" t="str">
        <f t="shared" si="61"/>
        <v>EC</v>
      </c>
      <c r="AH159" s="86" t="str">
        <f t="shared" si="62"/>
        <v>"%USERPROFILE%\Documents\GitHub\eaglep3\Utilities\RefineRTDCRunTimes.py" --tripid 244-16 --locoid 4026 --swversion DE.1.0.9.0 --startMP 204:232940 --initTime 2017-03-17T01:11:31 --startdatetime 2017-03-17T01:26:23 --delay 1 --endMP 204:135 --enddatetime 2017-03-17T02:06:12 --enforcementcount 0 &gt;&gt;C:\Users\stu\Documents\GitHub\eaglep3-reporting\EC\2017-03-16-refined-times.txt</v>
      </c>
      <c r="AI159" s="108" t="str">
        <f t="shared" si="63"/>
        <v>echo {"issue":{"subject":"","project_id":79,"tracker_id":40,"status_id":1,"priority_id":2,"assigned_to_id":23,"start_date":"2017-03-17","description":"","custom_fields":[{"id":1,"name":"Subdivision","value":"EC"},{"id":4,"name":"Milepost","value":"0.0135"},{"id":17,"name":"Train ID","value":"244-16"},{"id":16,"name":"Locomotive ID","value":"4026"},{"id":130,"name":"Impact","value":""},{"id":150,"name":"Time of Event (Mountain Time)","value":"02:06:12"},{"id":151,"name":"Denver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64"/>
        <v>start /low /b %USERPROFILE%\Documents\GitHub\eaglep3\Utilities\DownloadLogsFromS3.py --loco 4026 --day 2017-03-17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"%USERPROFILE%\AppData\Local\Temp\OnboardLogs"\RTDC4026\*4026*20170317* | grep -SE "(Enforcement Action)|(\[TIMEOUT)|(CHR.+\|PRM\|1\|D.+(SWITCH|SIGNAL).+UNKNOWN)" - &gt;&gt; 2017-03-16-UncaughtWiMAX.txt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1036</v>
      </c>
      <c r="B160" s="7">
        <v>4021</v>
      </c>
      <c r="C160" s="21" t="s">
        <v>228</v>
      </c>
      <c r="D160" s="21" t="s">
        <v>569</v>
      </c>
      <c r="E160" s="13">
        <v>42811.049664351849</v>
      </c>
      <c r="F160" s="13">
        <v>42810.217361111114</v>
      </c>
      <c r="G160" s="7">
        <v>1</v>
      </c>
      <c r="H160" s="21" t="s">
        <v>911</v>
      </c>
      <c r="I160" s="13">
        <v>42810.218055555553</v>
      </c>
      <c r="J160" s="7">
        <v>0</v>
      </c>
      <c r="K160" s="98" t="str">
        <f t="shared" si="50"/>
        <v>4021/4022</v>
      </c>
      <c r="L160" s="21" t="e">
        <f>VLOOKUP(A160,'Trips&amp;Operators'!$C$1:$G$99999,5,FALSE)</f>
        <v>#N/A</v>
      </c>
      <c r="M160" s="6">
        <f t="shared" si="51"/>
        <v>6.9444443943211809E-4</v>
      </c>
      <c r="N160" s="7"/>
      <c r="O160" s="7"/>
      <c r="P160" s="7">
        <f>24*60*SUM($M160:$M160)</f>
        <v>0.99999999278225005</v>
      </c>
      <c r="Q160" s="22"/>
      <c r="R160" s="22" t="s">
        <v>451</v>
      </c>
      <c r="S160" s="31">
        <f t="shared" si="48"/>
        <v>1</v>
      </c>
      <c r="T160" s="46" t="str">
        <f t="shared" si="52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3"/>
        <v>https://d0f6bd738d7f1b3e5a7ca70fe4ff75f0.us-east-1.aws.found.io/app/kibana#/discover/Steve-Slow-Train-Analysis-(2080s-and-2083s)?_g=(refreshInterval:(display:Off,pause:!f,section:0,value:0),time:(from:'2017-03-17T00:11:31-0600',mode:absolute,to:'2017-03-16T06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87" t="str">
        <f t="shared" si="54"/>
        <v>N</v>
      </c>
      <c r="X160" s="187">
        <f t="shared" ref="X160:X164" si="66">VALUE(LEFT(AD160,4))-VALUE(LEFT(AD159,4))</f>
        <v>556</v>
      </c>
      <c r="Y160" s="62">
        <f t="shared" si="56"/>
        <v>23.294</v>
      </c>
      <c r="Z160" s="62">
        <f t="shared" si="65"/>
        <v>1.35E-2</v>
      </c>
      <c r="AA160" s="62">
        <f t="shared" si="57"/>
        <v>23.2805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0800-16</v>
      </c>
      <c r="AE160" s="85" t="str">
        <f t="shared" si="59"/>
        <v>aws s3 cp s3://rtdc.mdm.uploadarchive.raw/RTDC4021/ "%USERPROFILE%\AppData\Local\Temp\OnboardLogs"\RTDC4021\2017-03-16 --exclude "*" --recursive --include "*20170316*" &amp; "%USERPROFILE%\Documents\GitHub\mrs-test-scripts\Headless Mode &amp; Sideloading\WalkAndUnGZ.bat" "%USERPROFILE%\AppData\Local\Temp\OnboardLogs"\RTDC4021\2017-03-16 &amp; 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</v>
      </c>
      <c r="AF160" s="82" t="str">
        <f t="shared" si="60"/>
        <v>"C:\Program Files (x86)\AstroGrep\AstroGrep.exe" /e /r /s /spath="%USERPROFILE%\AppData\Local\Temp\OnboardLogs" /stypes="app*4021*20170316*" /stext=" 11:.+((SYSTEM_STATE.+slice.+state.+changed )|(ment ac)|(multiple cpu faults)|(system.+state.+changed )|(\[timeout)|(PRM\|1\|D)|(kpr)|(kdp)|(\|lc)|(penalty))"</v>
      </c>
      <c r="AG160" s="1" t="str">
        <f t="shared" si="61"/>
        <v>NW</v>
      </c>
      <c r="AH160" s="86" t="str">
        <f t="shared" ref="AH160" si="67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800-16 --locoid 4021 --swversion DE.1.0.9.0 --startMP 204:232940 --initTime 2017-03-17T01:11:31 --startdatetime 2017-03-16T05:13:00 --delay 1 --endMP 204:135 --enddatetime 2017-03-16T05:14:00 --enforcementcount 0 &gt;&gt;C:\Users\stu\Documents\GitHub\eaglep3-reporting\EC\2017-03-16-refined-times.txt</v>
      </c>
      <c r="AI160" s="108" t="str">
        <f t="shared" ref="AI160" si="68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failure","project_id":79,"tracker_id":40,"status_id":1,"priority_id":2,"assigned_to_id":23,"start_date":"2017-03-16","description":"","custom_fields":[{"id":1,"name":"Subdivision","value":"NW"},{"id":4,"name":"Milepost","value":"0.0135"},{"id":17,"name":"Train ID","value":"800-16"},{"id":16,"name":"Locomotive ID","value":"4021"},{"id":130,"name":"Impact","value":""},{"id":150,"name":"Time of Event (Mountain Time)","value":"05:14:00"},{"id":151,"name":"Denver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ref="AM160" si="69">"start /low /b "&amp;dls3logs&amp;" --loco "&amp;B160&amp;" --day "&amp;TEXT(F160,"YYYY-MM-DD")</f>
        <v>start /low /b %USERPROFILE%\Documents\GitHub\eaglep3\Utilities\DownloadLogsFromS3.py --loco 4021 --day 2017-03-16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"%USERPROFILE%\AppData\Local\Temp\OnboardLogs"\RTDC4021\*4021*20170316* | grep -SE "(Enforcement Action)|(\[TIMEOUT)|(CHR.+\|PRM\|1\|D.+(SWITCH|SIGNAL).+UNKNOWN)" - &gt;&gt; 2017-03-16-UncaughtWiMAX.txt</v>
      </c>
    </row>
    <row r="161" spans="1:91" s="20" customFormat="1" x14ac:dyDescent="0.25">
      <c r="A161" s="33" t="s">
        <v>664</v>
      </c>
      <c r="B161" s="7">
        <v>4022</v>
      </c>
      <c r="C161" s="21" t="s">
        <v>228</v>
      </c>
      <c r="D161" s="21" t="s">
        <v>937</v>
      </c>
      <c r="E161" s="13">
        <v>42810.235613425924</v>
      </c>
      <c r="F161" s="13">
        <v>42810.243958333333</v>
      </c>
      <c r="G161" s="7">
        <v>0</v>
      </c>
      <c r="H161" s="21" t="s">
        <v>938</v>
      </c>
      <c r="I161" s="13">
        <v>42810.253657407404</v>
      </c>
      <c r="J161" s="7">
        <v>0</v>
      </c>
      <c r="K161" s="98" t="str">
        <f t="shared" si="50"/>
        <v>4021/4022</v>
      </c>
      <c r="L161" s="21" t="str">
        <f>VLOOKUP(A161,'Trips&amp;Operators'!$C$1:$G$99999,5,FALSE)</f>
        <v>SHOOK JOHN</v>
      </c>
      <c r="M161" s="6">
        <f t="shared" si="51"/>
        <v>9.6990740712499246E-3</v>
      </c>
      <c r="N161" s="7">
        <f>24*60*SUM($M161:$M161)</f>
        <v>13.966666662599891</v>
      </c>
      <c r="O161" s="7"/>
      <c r="P161" s="7"/>
      <c r="Q161" s="22"/>
      <c r="R161" s="22"/>
      <c r="S161" s="31">
        <f t="shared" si="48"/>
        <v>1</v>
      </c>
      <c r="T161" s="46" t="str">
        <f t="shared" si="52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3"/>
        <v>https://d0f6bd738d7f1b3e5a7ca70fe4ff75f0.us-east-1.aws.found.io/app/kibana#/discover/Steve-Slow-Train-Analysis-(2080s-and-2083s)?_g=(refreshInterval:(display:Off,pause:!f,section:0,value:0),time:(from:'2017-03-16T04:39:17-0600',mode:absolute,to:'2017-03-16T07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87" t="str">
        <f t="shared" si="54"/>
        <v>N</v>
      </c>
      <c r="X161" s="187">
        <f t="shared" si="66"/>
        <v>1</v>
      </c>
      <c r="Y161" s="62">
        <f t="shared" si="56"/>
        <v>0.1021</v>
      </c>
      <c r="Z161" s="62">
        <f t="shared" si="65"/>
        <v>5.8987999999999996</v>
      </c>
      <c r="AA161" s="62">
        <f t="shared" si="57"/>
        <v>5.7966999999999995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0801-16</v>
      </c>
      <c r="AE161" s="85" t="str">
        <f t="shared" si="59"/>
        <v>aws s3 cp s3://rtdc.mdm.uploadarchive.raw/RTDC4022/ "%USERPROFILE%\AppData\Local\Temp\OnboardLogs"\RTDC4022\2017-03-16 --exclude "*" --recursive --include "*20170316*" &amp; "%USERPROFILE%\Documents\GitHub\mrs-test-scripts\Headless Mode &amp; Sideloading\WalkAndUnGZ.bat" "%USERPROFILE%\AppData\Local\Temp\OnboardLogs"\RTDC4022\2017-03-16 &amp; 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</v>
      </c>
      <c r="AF161" s="82" t="str">
        <f t="shared" si="60"/>
        <v>"C:\Program Files (x86)\AstroGrep\AstroGrep.exe" /e /r /s /spath="%USERPROFILE%\AppData\Local\Temp\OnboardLogs" /stypes="app*4022*20170316*" /stext=" 12:.+((SYSTEM_STATE.+slice.+state.+changed )|(ment ac)|(multiple cpu faults)|(system.+state.+changed )|(\[timeout)|(PRM\|1\|D)|(kpr)|(kdp)|(\|lc)|(penalty))"</v>
      </c>
      <c r="AG161" s="1" t="str">
        <f t="shared" si="61"/>
        <v>NW</v>
      </c>
      <c r="AH161" s="86" t="str">
        <f t="shared" si="62"/>
        <v>"%USERPROFILE%\Documents\GitHub\eaglep3\Utilities\RefineRTDCRunTimes.py" --tripid 801-16 --locoid 4022 --swversion DE.1.0.9.0 --startMP 204:1021 --initTime 2017-03-16T05:39:17 --startdatetime 2017-03-16T05:51:18 --delay 0 --endMP 300:58988 --enddatetime 2017-03-16T06:05:16 --enforcementcount 0 &gt;&gt;C:\Users\stu\Documents\GitHub\eaglep3-reporting\EC\2017-03-16-refined-times.txt</v>
      </c>
      <c r="AI161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{"issue":{"subject":"","project_id":79,"tracker_id":40,"status_id":1,"priority_id":2,"assigned_to_id":23,"start_date":"2017-03-16","description":"","custom_fields":[{"id":1,"name":"Subdivision","value":"NW"},{"id":4,"name":"Milepost","value":"5.8988"},{"id":17,"name":"Train ID","value":"801-16"},{"id":16,"name":"Locomotive ID","value":"4022"},{"id":130,"name":"Impact","value":""},{"id":150,"name":"Time of Event (Mountain Time)","value":"06:05:16"},{"id":151,"name":"Denver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64"/>
        <v>start /low /b %USERPROFILE%\Documents\GitHub\eaglep3\Utilities\DownloadLogsFromS3.py --loco 4022 --day 2017-03-16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"%USERPROFILE%\AppData\Local\Temp\OnboardLogs"\RTDC4022\*4022*20170316* | grep -SE "(Enforcement Action)|(\[TIMEOUT)|(CHR.+\|PRM\|1\|D.+(SWITCH|SIGNAL).+UNKNOWN)" - &gt;&gt; 2017-03-16-UncaughtWiMAX.txt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1037</v>
      </c>
      <c r="B162" s="7"/>
      <c r="C162" s="21" t="s">
        <v>228</v>
      </c>
      <c r="D162" s="21" t="s">
        <v>937</v>
      </c>
      <c r="E162" s="13">
        <v>42810.235613425924</v>
      </c>
      <c r="F162" s="13"/>
      <c r="G162" s="7">
        <v>0</v>
      </c>
      <c r="H162" s="21" t="s">
        <v>938</v>
      </c>
      <c r="I162" s="13"/>
      <c r="J162" s="7">
        <v>0</v>
      </c>
      <c r="K162" s="98" t="str">
        <f t="shared" si="50"/>
        <v>-1/</v>
      </c>
      <c r="L162" s="21" t="e">
        <f>VLOOKUP(A162,'Trips&amp;Operators'!$C$1:$G$99999,5,FALSE)</f>
        <v>#N/A</v>
      </c>
      <c r="M162" s="6">
        <f t="shared" si="51"/>
        <v>0</v>
      </c>
      <c r="N162" s="7"/>
      <c r="O162" s="7"/>
      <c r="P162" s="7">
        <v>1</v>
      </c>
      <c r="Q162" s="22"/>
      <c r="R162" s="22" t="s">
        <v>1038</v>
      </c>
      <c r="S162" s="31">
        <f t="shared" si="48"/>
        <v>0</v>
      </c>
      <c r="T162" s="46" t="str">
        <f t="shared" si="52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86" t="str">
        <f t="shared" si="53"/>
        <v>https://d0f6bd738d7f1b3e5a7ca70fe4ff75f0.us-east-1.aws.found.io/app/kibana#/discover/Steve-Slow-Train-Analysis-(2080s-and-2083s)?_g=(refreshInterval:(display:Off,pause:!f,section:0,value:0),time:(from:'2017-03-16T04:39:17-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62" s="187" t="str">
        <f t="shared" si="54"/>
        <v>N</v>
      </c>
      <c r="X162" s="187">
        <f t="shared" ref="X162:X163" si="70">VALUE(LEFT(AD162,4))-VALUE(LEFT(AD161,4))</f>
        <v>1</v>
      </c>
      <c r="Y162" s="62">
        <f t="shared" si="56"/>
        <v>0.1021</v>
      </c>
      <c r="Z162" s="62">
        <f t="shared" si="65"/>
        <v>5.8987999999999996</v>
      </c>
      <c r="AA162" s="62">
        <f t="shared" si="57"/>
        <v>5.7966999999999995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0802-16</v>
      </c>
      <c r="AE162" s="85" t="str">
        <f t="shared" si="59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62" s="82" t="str">
        <f t="shared" si="60"/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ref="AH162" si="71"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802-16 --locoid  --swversion DE.1.0.9.0 --startMP 204:1021 --initTime 2017-03-16T05:39:17 --startdatetime 1900-01-00T00:00:00 --delay 0 --endMP 300:58988 --enddatetime 1900-01-00T00:00:00 --enforcementcount 0 &gt;&gt;C:\Users\stu\Documents\GitHub\eaglep3-reporting\EC\2017-03-16-refined-times.txt</v>
      </c>
      <c r="AI162" s="108" t="str">
        <f t="shared" ref="AI162" si="72"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init","project_id":79,"tracker_id":40,"status_id":1,"priority_id":2,"assigned_to_id":23,"start_date":"1900-01-00","description":"","custom_fields":[{"id":1,"name":"Subdivision","value":"NW"},{"id":4,"name":"Milepost","value":"5.8988"},{"id":17,"name":"Train ID","value":"802-16"},{"id":16,"name":"Locomotive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ref="AM162" si="73">"start /low /b "&amp;dls3logs&amp;" --loco "&amp;B162&amp;" --day "&amp;TEXT(F162,"YYYY-MM-DD")</f>
        <v>start /low /b %USERPROFILE%\Documents\GitHub\eaglep3\Utilities\DownloadLogsFromS3.py --loco  --day 1900-01-00</v>
      </c>
      <c r="AN162" s="163" t="e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#DIV/0!</v>
      </c>
    </row>
    <row r="163" spans="1:91" x14ac:dyDescent="0.25">
      <c r="A163" s="33" t="s">
        <v>670</v>
      </c>
      <c r="B163" s="7">
        <v>4018</v>
      </c>
      <c r="C163" s="21" t="s">
        <v>228</v>
      </c>
      <c r="D163" s="21" t="s">
        <v>939</v>
      </c>
      <c r="E163" s="13">
        <v>42810.262777777774</v>
      </c>
      <c r="F163" s="13">
        <v>42810.264803240738</v>
      </c>
      <c r="G163" s="7">
        <v>1</v>
      </c>
      <c r="H163" s="21" t="s">
        <v>940</v>
      </c>
      <c r="I163" s="13">
        <v>42810.274212962962</v>
      </c>
      <c r="J163" s="7">
        <v>0</v>
      </c>
      <c r="K163" s="98" t="str">
        <f t="shared" si="50"/>
        <v>4017/4018</v>
      </c>
      <c r="L163" s="21" t="str">
        <f>VLOOKUP(A163,'Trips&amp;Operators'!$C$1:$G$99999,5,FALSE)</f>
        <v>LOZA FIDEL</v>
      </c>
      <c r="M163" s="6">
        <f t="shared" si="51"/>
        <v>9.4097222245181911E-3</v>
      </c>
      <c r="N163" s="7">
        <f t="shared" ref="N163:N194" si="74">24*60*SUM($M163:$M163)</f>
        <v>13.550000003306195</v>
      </c>
      <c r="O163" s="7"/>
      <c r="P163" s="7"/>
      <c r="Q163" s="22"/>
      <c r="R163" s="22"/>
      <c r="S163" s="31">
        <f t="shared" ref="S163:S194" si="75">SUM(U163:U163)/IF(AG163="EC",12,1)</f>
        <v>1</v>
      </c>
      <c r="T163" s="46" t="str">
        <f t="shared" si="52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3"/>
        <v>https://d0f6bd738d7f1b3e5a7ca70fe4ff75f0.us-east-1.aws.found.io/app/kibana#/discover/Steve-Slow-Train-Analysis-(2080s-and-2083s)?_g=(refreshInterval:(display:Off,pause:!f,section:0,value:0),time:(from:'2017-03-16T05:18:24-0600',mode:absolute,to:'2017-03-16T07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3" s="187" t="str">
        <f t="shared" si="54"/>
        <v>N</v>
      </c>
      <c r="X163" s="187">
        <f t="shared" si="70"/>
        <v>1</v>
      </c>
      <c r="Y163" s="62">
        <f t="shared" si="56"/>
        <v>9.74E-2</v>
      </c>
      <c r="Z163" s="62">
        <f t="shared" si="65"/>
        <v>5.8935000000000004</v>
      </c>
      <c r="AA163" s="62">
        <f t="shared" si="57"/>
        <v>5.7961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0803-16</v>
      </c>
      <c r="AE163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63" s="82" t="str">
        <f t="shared" si="60"/>
        <v>"C:\Program Files (x86)\AstroGrep\AstroGrep.exe" /e /r /s /spath="%USERPROFILE%\AppData\Local\Temp\OnboardLogs" /stypes="app*4018*20170316*" /stext=" 12:.+((SYSTEM_STATE.+slice.+state.+changed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803-16 --locoid 4018 --swversion DE.1.0.9.0 --startMP 204:974 --initTime 2017-03-16T06:18:24 --startdatetime 2017-03-16T06:21:19 --delay 1 --endMP 300:58935 --enddatetime 2017-03-16T06:34:52 --enforcementcount 0 &gt;&gt;C:\Users\stu\Documents\GitHub\eaglep3-reporting\EC\2017-03-16-refined-times.txt</v>
      </c>
      <c r="AI163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{"issue":{"subject":"","project_id":79,"tracker_id":40,"status_id":1,"priority_id":2,"assigned_to_id":23,"start_date":"2017-03-16","description":"","custom_fields":[{"id":1,"name":"Subdivision","value":"NW"},{"id":4,"name":"Milepost","value":"5.8935"},{"id":17,"name":"Train ID","value":"803-16"},{"id":16,"name":"Locomotive ID","value":"4018"},{"id":130,"name":"Impact","value":""},{"id":150,"name":"Time of Event (Mountain Time)","value":"06:34:52"},{"id":151,"name":"Denver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64"/>
        <v>start /low /b %USERPROFILE%\Documents\GitHub\eaglep3\Utilities\DownloadLogsFromS3.py --loco 4018 --day 2017-03-16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64" spans="1:91" x14ac:dyDescent="0.25">
      <c r="A164" s="33" t="s">
        <v>674</v>
      </c>
      <c r="B164" s="7">
        <v>4017</v>
      </c>
      <c r="C164" s="21" t="s">
        <v>228</v>
      </c>
      <c r="D164" s="21" t="s">
        <v>576</v>
      </c>
      <c r="E164" s="13">
        <v>42810.276574074072</v>
      </c>
      <c r="F164" s="13">
        <v>42810.278668981482</v>
      </c>
      <c r="G164" s="7">
        <v>1</v>
      </c>
      <c r="H164" s="21" t="s">
        <v>578</v>
      </c>
      <c r="I164" s="13">
        <v>42810.289363425924</v>
      </c>
      <c r="J164" s="7">
        <v>0</v>
      </c>
      <c r="K164" s="98" t="str">
        <f t="shared" si="50"/>
        <v>4017/4018</v>
      </c>
      <c r="L164" s="21" t="str">
        <f>VLOOKUP(A164,'Trips&amp;Operators'!$C$1:$G$99999,5,FALSE)</f>
        <v>LOZA FIDEL</v>
      </c>
      <c r="M164" s="6">
        <f t="shared" si="51"/>
        <v>1.0694444441469386E-2</v>
      </c>
      <c r="N164" s="7">
        <f t="shared" si="74"/>
        <v>15.399999995715916</v>
      </c>
      <c r="O164" s="7"/>
      <c r="P164" s="7"/>
      <c r="Q164" s="22"/>
      <c r="R164" s="22"/>
      <c r="S164" s="31">
        <f t="shared" si="75"/>
        <v>1</v>
      </c>
      <c r="T164" s="46" t="str">
        <f t="shared" si="52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3"/>
        <v>https://d0f6bd738d7f1b3e5a7ca70fe4ff75f0.us-east-1.aws.found.io/app/kibana#/discover/Steve-Slow-Train-Analysis-(2080s-and-2083s)?_g=(refreshInterval:(display:Off,pause:!f,section:0,value:0),time:(from:'2017-03-16T05:38:16-0600',mode:absolute,to:'2017-03-16T07:56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4" s="187" t="str">
        <f t="shared" si="54"/>
        <v>N</v>
      </c>
      <c r="X164" s="187">
        <f t="shared" si="66"/>
        <v>1</v>
      </c>
      <c r="Y164" s="62">
        <f t="shared" si="56"/>
        <v>5.8624000000000001</v>
      </c>
      <c r="Z164" s="62">
        <f t="shared" si="65"/>
        <v>6.8500000000000005E-2</v>
      </c>
      <c r="AA164" s="62">
        <f t="shared" si="57"/>
        <v>5.7938999999999998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0804-16</v>
      </c>
      <c r="AE164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64" s="82" t="str">
        <f t="shared" si="60"/>
        <v>"C:\Program Files (x86)\AstroGrep\AstroGrep.exe" /e /r /s /spath="%USERPROFILE%\AppData\Local\Temp\OnboardLogs" /stypes="app*4017*20170316*" /stext=" 12:.+((SYSTEM_STATE.+slice.+state.+changed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804-16 --locoid 4017 --swversion DE.1.0.9.0 --startMP 300:58624 --initTime 2017-03-16T06:38:16 --startdatetime 2017-03-16T06:41:17 --delay 1 --endMP 204:685 --enddatetime 2017-03-16T06:56:41 --enforcementcount 0 &gt;&gt;C:\Users\stu\Documents\GitHub\eaglep3-reporting\EC\2017-03-16-refined-times.txt</v>
      </c>
      <c r="AI164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{"issue":{"subject":"","project_id":79,"tracker_id":40,"status_id":1,"priority_id":2,"assigned_to_id":23,"start_date":"2017-03-16","description":"","custom_fields":[{"id":1,"name":"Subdivision","value":"NW"},{"id":4,"name":"Milepost","value":"0.0685"},{"id":17,"name":"Train ID","value":"804-16"},{"id":16,"name":"Locomotive ID","value":"4017"},{"id":130,"name":"Impact","value":""},{"id":150,"name":"Time of Event (Mountain Time)","value":"06:56:41"},{"id":151,"name":"Denver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64"/>
        <v>start /low /b %USERPROFILE%\Documents\GitHub\eaglep3\Utilities\DownloadLogsFromS3.py --loco 4017 --day 2017-03-16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65" spans="1:91" x14ac:dyDescent="0.25">
      <c r="A165" s="33" t="s">
        <v>675</v>
      </c>
      <c r="B165" s="7">
        <v>4009</v>
      </c>
      <c r="C165" s="21" t="s">
        <v>228</v>
      </c>
      <c r="D165" s="21" t="s">
        <v>941</v>
      </c>
      <c r="E165" s="13">
        <v>42810.279699074075</v>
      </c>
      <c r="F165" s="13">
        <v>42810.285590277781</v>
      </c>
      <c r="G165" s="7">
        <v>1</v>
      </c>
      <c r="H165" s="21" t="s">
        <v>942</v>
      </c>
      <c r="I165" s="13">
        <v>42810.295243055552</v>
      </c>
      <c r="J165" s="7">
        <v>0</v>
      </c>
      <c r="K165" s="98" t="str">
        <f t="shared" si="50"/>
        <v>4009/4010</v>
      </c>
      <c r="L165" s="21" t="str">
        <f>VLOOKUP(A165,'Trips&amp;Operators'!$C$1:$G$99999,5,FALSE)</f>
        <v>SHOOK JOHN</v>
      </c>
      <c r="M165" s="6">
        <f t="shared" si="51"/>
        <v>9.6527777714072727E-3</v>
      </c>
      <c r="N165" s="7">
        <f t="shared" si="74"/>
        <v>13.899999990826473</v>
      </c>
      <c r="O165" s="7"/>
      <c r="P165" s="7"/>
      <c r="Q165" s="22"/>
      <c r="R165" s="22"/>
      <c r="S165" s="31">
        <f t="shared" si="75"/>
        <v>1</v>
      </c>
      <c r="T165" s="46" t="str">
        <f t="shared" si="52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3"/>
        <v>https://d0f6bd738d7f1b3e5a7ca70fe4ff75f0.us-east-1.aws.found.io/app/kibana#/discover/Steve-Slow-Train-Analysis-(2080s-and-2083s)?_g=(refreshInterval:(display:Off,pause:!f,section:0,value:0),time:(from:'2017-03-16T05:42:46-0600',mode:absolute,to:'2017-03-16T08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5" s="187" t="str">
        <f t="shared" si="54"/>
        <v>N</v>
      </c>
      <c r="X165" s="187">
        <f t="shared" ref="X165:X186" si="76">VALUE(LEFT(AD165,4))-VALUE(LEFT(AD164,4))</f>
        <v>1</v>
      </c>
      <c r="Y165" s="62">
        <f t="shared" si="56"/>
        <v>9.1999999999999998E-2</v>
      </c>
      <c r="Z165" s="62">
        <f t="shared" si="65"/>
        <v>5.8993000000000002</v>
      </c>
      <c r="AA165" s="62">
        <f t="shared" si="57"/>
        <v>5.8073000000000006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0805-16</v>
      </c>
      <c r="AE165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65" s="82" t="str">
        <f t="shared" si="60"/>
        <v>"C:\Program Files (x86)\AstroGrep\AstroGrep.exe" /e /r /s /spath="%USERPROFILE%\AppData\Local\Temp\OnboardLogs" /stypes="app*4009*20170316*" /stext=" 13:.+((SYSTEM_STATE.+slice.+state.+changed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805-16 --locoid 4009 --swversion DE.1.0.9.0 --startMP 204:920 --initTime 2017-03-16T06:42:46 --startdatetime 2017-03-16T06:51:15 --delay 1 --endMP 300:58993 --enddatetime 2017-03-16T07:05:09 --enforcementcount 0 &gt;&gt;C:\Users\stu\Documents\GitHub\eaglep3-reporting\EC\2017-03-16-refined-times.txt</v>
      </c>
      <c r="AI165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{"issue":{"subject":"","project_id":79,"tracker_id":40,"status_id":1,"priority_id":2,"assigned_to_id":23,"start_date":"2017-03-16","description":"","custom_fields":[{"id":1,"name":"Subdivision","value":"NW"},{"id":4,"name":"Milepost","value":"5.8993"},{"id":17,"name":"Train ID","value":"805-16"},{"id":16,"name":"Locomotive ID","value":"4009"},{"id":130,"name":"Impact","value":""},{"id":150,"name":"Time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64"/>
        <v>start /low /b %USERPROFILE%\Documents\GitHub\eaglep3\Utilities\DownloadLogsFromS3.py --loco 4009 --day 2017-03-16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</row>
    <row r="166" spans="1:91" x14ac:dyDescent="0.25">
      <c r="A166" s="33" t="s">
        <v>680</v>
      </c>
      <c r="B166" s="7">
        <v>4010</v>
      </c>
      <c r="C166" s="21" t="s">
        <v>228</v>
      </c>
      <c r="D166" s="21" t="s">
        <v>943</v>
      </c>
      <c r="E166" s="13">
        <v>42810.297534722224</v>
      </c>
      <c r="F166" s="13">
        <v>42810.299386574072</v>
      </c>
      <c r="G166" s="7">
        <v>1</v>
      </c>
      <c r="H166" s="21" t="s">
        <v>944</v>
      </c>
      <c r="I166" s="13">
        <v>42810.30940972222</v>
      </c>
      <c r="J166" s="7">
        <v>0</v>
      </c>
      <c r="K166" s="98" t="str">
        <f t="shared" si="50"/>
        <v>4009/4010</v>
      </c>
      <c r="L166" s="21" t="str">
        <f>VLOOKUP(A166,'Trips&amp;Operators'!$C$1:$G$99999,5,FALSE)</f>
        <v>SHOOK JOHN</v>
      </c>
      <c r="M166" s="6">
        <f t="shared" si="51"/>
        <v>1.0023148148320615E-2</v>
      </c>
      <c r="N166" s="7">
        <f t="shared" si="74"/>
        <v>14.433333333581686</v>
      </c>
      <c r="O166" s="7"/>
      <c r="P166" s="7"/>
      <c r="Q166" s="22"/>
      <c r="R166" s="22"/>
      <c r="S166" s="31">
        <f t="shared" si="75"/>
        <v>1</v>
      </c>
      <c r="T166" s="46" t="str">
        <f t="shared" si="52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3"/>
        <v>https://d0f6bd738d7f1b3e5a7ca70fe4ff75f0.us-east-1.aws.found.io/app/kibana#/discover/Steve-Slow-Train-Analysis-(2080s-and-2083s)?_g=(refreshInterval:(display:Off,pause:!f,section:0,value:0),time:(from:'2017-03-16T06:08:27-0600',mode:absolute,to:'2017-03-16T08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7" t="str">
        <f t="shared" si="54"/>
        <v>N</v>
      </c>
      <c r="X166" s="187">
        <f t="shared" si="76"/>
        <v>1</v>
      </c>
      <c r="Y166" s="62">
        <f t="shared" si="56"/>
        <v>5.8682999999999996</v>
      </c>
      <c r="Z166" s="62">
        <f t="shared" si="65"/>
        <v>7.1499999999999994E-2</v>
      </c>
      <c r="AA166" s="62">
        <f t="shared" si="57"/>
        <v>5.7967999999999993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0806-16</v>
      </c>
      <c r="AE166" s="85" t="str">
        <f t="shared" si="59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166" s="82" t="str">
        <f t="shared" si="60"/>
        <v>"C:\Program Files (x86)\AstroGrep\AstroGrep.exe" /e /r /s /spath="%USERPROFILE%\AppData\Local\Temp\OnboardLogs" /stypes="app*4010*20170316*" /stext=" 13:.+((SYSTEM_STATE.+slice.+state.+changed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806-16 --locoid 4010 --swversion DE.1.0.9.0 --startMP 300:58683 --initTime 2017-03-16T07:08:27 --startdatetime 2017-03-16T07:11:07 --delay 1 --endMP 204:715 --enddatetime 2017-03-16T07:25:33 --enforcementcount 0 &gt;&gt;C:\Users\stu\Documents\GitHub\eaglep3-reporting\EC\2017-03-16-refined-times.txt</v>
      </c>
      <c r="AI166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{"issue":{"subject":"","project_id":79,"tracker_id":40,"status_id":1,"priority_id":2,"assigned_to_id":23,"start_date":"2017-03-16","description":"","custom_fields":[{"id":1,"name":"Subdivision","value":"NW"},{"id":4,"name":"Milepost","value":"0.0715"},{"id":17,"name":"Train ID","value":"806-16"},{"id":16,"name":"Locomotive ID","value":"4010"},{"id":130,"name":"Impact","value":""},{"id":150,"name":"Time of Event (Mountain Time)","value":"07:25:33"},{"id":151,"name":"Denver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64"/>
        <v>start /low /b %USERPROFILE%\Documents\GitHub\eaglep3\Utilities\DownloadLogsFromS3.py --loco 4010 --day 2017-03-16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167" spans="1:91" x14ac:dyDescent="0.25">
      <c r="A167" s="33" t="s">
        <v>681</v>
      </c>
      <c r="B167" s="7">
        <v>4018</v>
      </c>
      <c r="C167" s="21" t="s">
        <v>228</v>
      </c>
      <c r="D167" s="21" t="s">
        <v>573</v>
      </c>
      <c r="E167" s="13">
        <v>42810.298611111109</v>
      </c>
      <c r="F167" s="13">
        <v>42810.306689814817</v>
      </c>
      <c r="G167" s="7">
        <v>2</v>
      </c>
      <c r="H167" s="21" t="s">
        <v>508</v>
      </c>
      <c r="I167" s="13">
        <v>42810.315578703703</v>
      </c>
      <c r="J167" s="7">
        <v>0</v>
      </c>
      <c r="K167" s="98" t="str">
        <f t="shared" si="50"/>
        <v>4017/4018</v>
      </c>
      <c r="L167" s="21" t="str">
        <f>VLOOKUP(A167,'Trips&amp;Operators'!$C$1:$G$99999,5,FALSE)</f>
        <v>LOZA FIDEL</v>
      </c>
      <c r="M167" s="6">
        <f t="shared" si="51"/>
        <v>8.8888888858491555E-3</v>
      </c>
      <c r="N167" s="7">
        <f t="shared" si="74"/>
        <v>12.799999995622784</v>
      </c>
      <c r="O167" s="7"/>
      <c r="P167" s="7"/>
      <c r="Q167" s="22"/>
      <c r="R167" s="22"/>
      <c r="S167" s="31">
        <f t="shared" si="75"/>
        <v>1</v>
      </c>
      <c r="T167" s="46" t="str">
        <f t="shared" si="52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3"/>
        <v>https://d0f6bd738d7f1b3e5a7ca70fe4ff75f0.us-east-1.aws.found.io/app/kibana#/discover/Steve-Slow-Train-Analysis-(2080s-and-2083s)?_g=(refreshInterval:(display:Off,pause:!f,section:0,value:0),time:(from:'2017-03-16T06:10:00-0600',mode:absolute,to:'2017-03-16T08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7" s="187" t="str">
        <f t="shared" si="54"/>
        <v>N</v>
      </c>
      <c r="X167" s="187">
        <f t="shared" si="76"/>
        <v>1</v>
      </c>
      <c r="Y167" s="62">
        <f t="shared" si="56"/>
        <v>9.7199999999999995E-2</v>
      </c>
      <c r="Z167" s="62">
        <f t="shared" si="65"/>
        <v>5.8940999999999999</v>
      </c>
      <c r="AA167" s="62">
        <f t="shared" si="57"/>
        <v>5.7968999999999999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0807-16</v>
      </c>
      <c r="AE167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67" s="82" t="str">
        <f t="shared" si="60"/>
        <v>"C:\Program Files (x86)\AstroGrep\AstroGrep.exe" /e /r /s /spath="%USERPROFILE%\AppData\Local\Temp\OnboardLogs" /stypes="app*4018*20170316*" /stext=" 13:.+((SYSTEM_STATE.+slice.+state.+changed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807-16 --locoid 4018 --swversion DE.1.0.9.0 --startMP 204:972 --initTime 2017-03-16T07:10:00 --startdatetime 2017-03-16T07:21:38 --delay 2 --endMP 300:58941 --enddatetime 2017-03-16T07:34:26 --enforcementcount 0 &gt;&gt;C:\Users\stu\Documents\GitHub\eaglep3-reporting\EC\2017-03-16-refined-times.txt</v>
      </c>
      <c r="AI167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{"issue":{"subject":"","project_id":79,"tracker_id":40,"status_id":1,"priority_id":2,"assigned_to_id":23,"start_date":"2017-03-16","description":"","custom_fields":[{"id":1,"name":"Subdivision","value":"NW"},{"id":4,"name":"Milepost","value":"5.8941"},{"id":17,"name":"Train ID","value":"807-16"},{"id":16,"name":"Locomotive ID","value":"4018"},{"id":130,"name":"Impact","value":""},{"id":150,"name":"Time of Event (Mountain Time)","value":"07:34:26"},{"id":151,"name":"Denver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64"/>
        <v>start /low /b %USERPROFILE%\Documents\GitHub\eaglep3\Utilities\DownloadLogsFromS3.py --loco 4018 --day 2017-03-16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68" spans="1:91" x14ac:dyDescent="0.25">
      <c r="A168" s="33" t="s">
        <v>686</v>
      </c>
      <c r="B168" s="7">
        <v>4017</v>
      </c>
      <c r="C168" s="21" t="s">
        <v>228</v>
      </c>
      <c r="D168" s="21" t="s">
        <v>576</v>
      </c>
      <c r="E168" s="13">
        <v>42810.316666666666</v>
      </c>
      <c r="F168" s="13">
        <v>42810.318159722221</v>
      </c>
      <c r="G168" s="7">
        <v>1</v>
      </c>
      <c r="H168" s="21" t="s">
        <v>572</v>
      </c>
      <c r="I168" s="13">
        <v>42810.329826388886</v>
      </c>
      <c r="J168" s="7">
        <v>0</v>
      </c>
      <c r="K168" s="98" t="str">
        <f t="shared" si="50"/>
        <v>4017/4018</v>
      </c>
      <c r="L168" s="21" t="str">
        <f>VLOOKUP(A168,'Trips&amp;Operators'!$C$1:$G$99999,5,FALSE)</f>
        <v>LOZA FIDEL</v>
      </c>
      <c r="M168" s="6">
        <f t="shared" si="51"/>
        <v>1.1666666665405501E-2</v>
      </c>
      <c r="N168" s="7">
        <f t="shared" si="74"/>
        <v>16.799999998183921</v>
      </c>
      <c r="O168" s="7"/>
      <c r="P168" s="7"/>
      <c r="Q168" s="22"/>
      <c r="R168" s="22"/>
      <c r="S168" s="31">
        <f t="shared" si="75"/>
        <v>1</v>
      </c>
      <c r="T168" s="46" t="str">
        <f t="shared" si="52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3"/>
        <v>https://d0f6bd738d7f1b3e5a7ca70fe4ff75f0.us-east-1.aws.found.io/app/kibana#/discover/Steve-Slow-Train-Analysis-(2080s-and-2083s)?_g=(refreshInterval:(display:Off,pause:!f,section:0,value:0),time:(from:'2017-03-16T06:36:00-0600',mode:absolute,to:'2017-03-16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8" s="187" t="str">
        <f t="shared" si="54"/>
        <v>N</v>
      </c>
      <c r="X168" s="187">
        <f t="shared" si="76"/>
        <v>1</v>
      </c>
      <c r="Y168" s="62">
        <f t="shared" si="56"/>
        <v>5.8624000000000001</v>
      </c>
      <c r="Z168" s="62">
        <f t="shared" si="65"/>
        <v>6.8900000000000003E-2</v>
      </c>
      <c r="AA168" s="62">
        <f t="shared" si="57"/>
        <v>5.7934999999999999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0808-16</v>
      </c>
      <c r="AE168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68" s="82" t="str">
        <f t="shared" si="60"/>
        <v>"C:\Program Files (x86)\AstroGrep\AstroGrep.exe" /e /r /s /spath="%USERPROFILE%\AppData\Local\Temp\OnboardLogs" /stypes="app*4017*20170316*" /stext=" 13:.+((SYSTEM_STATE.+slice.+state.+changed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808-16 --locoid 4017 --swversion DE.1.0.9.0 --startMP 300:58624 --initTime 2017-03-16T07:36:00 --startdatetime 2017-03-16T07:38:09 --delay 1 --endMP 204:689 --enddatetime 2017-03-16T07:54:57 --enforcementcount 0 &gt;&gt;C:\Users\stu\Documents\GitHub\eaglep3-reporting\EC\2017-03-16-refined-times.txt</v>
      </c>
      <c r="AI168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{"issue":{"subject":"","project_id":79,"tracker_id":40,"status_id":1,"priority_id":2,"assigned_to_id":23,"start_date":"2017-03-16","description":"","custom_fields":[{"id":1,"name":"Subdivision","value":"NW"},{"id":4,"name":"Milepost","value":"0.0689"},{"id":17,"name":"Train ID","value":"808-16"},{"id":16,"name":"Locomotive ID","value":"4017"},{"id":130,"name":"Impact","value":""},{"id":150,"name":"Time of Event (Mountain Time)","value":"07:54:57"},{"id":151,"name":"Denver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64"/>
        <v>start /low /b %USERPROFILE%\Documents\GitHub\eaglep3\Utilities\DownloadLogsFromS3.py --loco 4017 --day 2017-03-16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69" spans="1:91" x14ac:dyDescent="0.25">
      <c r="A169" s="33" t="s">
        <v>685</v>
      </c>
      <c r="B169" s="7">
        <v>4009</v>
      </c>
      <c r="C169" s="21" t="s">
        <v>228</v>
      </c>
      <c r="D169" s="21" t="s">
        <v>945</v>
      </c>
      <c r="E169" s="13">
        <v>42810.310925925929</v>
      </c>
      <c r="F169" s="13">
        <v>42810.327268518522</v>
      </c>
      <c r="G169" s="7">
        <v>1</v>
      </c>
      <c r="H169" s="21" t="s">
        <v>946</v>
      </c>
      <c r="I169" s="13">
        <v>42810.336956018517</v>
      </c>
      <c r="J169" s="7">
        <v>0</v>
      </c>
      <c r="K169" s="98" t="str">
        <f t="shared" si="50"/>
        <v>4009/4010</v>
      </c>
      <c r="L169" s="21" t="str">
        <f>VLOOKUP(A169,'Trips&amp;Operators'!$C$1:$G$99999,5,FALSE)</f>
        <v>SHOOK JOHN</v>
      </c>
      <c r="M169" s="6">
        <f t="shared" si="51"/>
        <v>9.6874999944702722E-3</v>
      </c>
      <c r="N169" s="7">
        <f t="shared" si="74"/>
        <v>13.949999992037192</v>
      </c>
      <c r="O169" s="7"/>
      <c r="P169" s="7"/>
      <c r="Q169" s="22"/>
      <c r="R169" s="22"/>
      <c r="S169" s="31">
        <f t="shared" si="75"/>
        <v>1</v>
      </c>
      <c r="T169" s="46" t="str">
        <f t="shared" si="52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3"/>
        <v>https://d0f6bd738d7f1b3e5a7ca70fe4ff75f0.us-east-1.aws.found.io/app/kibana#/discover/Steve-Slow-Train-Analysis-(2080s-and-2083s)?_g=(refreshInterval:(display:Off,pause:!f,section:0,value:0),time:(from:'2017-03-16T06:27:44-0600',mode:absolute,to:'2017-03-16T09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9" s="187" t="str">
        <f t="shared" si="54"/>
        <v>N</v>
      </c>
      <c r="X169" s="187">
        <f t="shared" si="76"/>
        <v>1</v>
      </c>
      <c r="Y169" s="62">
        <f t="shared" si="56"/>
        <v>0.1028</v>
      </c>
      <c r="Z169" s="62">
        <f t="shared" si="65"/>
        <v>5.8994999999999997</v>
      </c>
      <c r="AA169" s="62">
        <f t="shared" si="57"/>
        <v>5.7966999999999995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0809-16</v>
      </c>
      <c r="AE169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69" s="82" t="str">
        <f t="shared" si="60"/>
        <v>"C:\Program Files (x86)\AstroGrep\AstroGrep.exe" /e /r /s /spath="%USERPROFILE%\AppData\Local\Temp\OnboardLogs" /stypes="app*4009*20170316*" /stext=" 14:.+((SYSTEM_STATE.+slice.+state.+changed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809-16 --locoid 4009 --swversion DE.1.0.9.0 --startMP 204:1028 --initTime 2017-03-16T07:27:44 --startdatetime 2017-03-16T07:51:16 --delay 1 --endMP 300:58995 --enddatetime 2017-03-16T08:05:13 --enforcementcount 0 &gt;&gt;C:\Users\stu\Documents\GitHub\eaglep3-reporting\EC\2017-03-16-refined-times.txt</v>
      </c>
      <c r="AI169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{"issue":{"subject":"","project_id":79,"tracker_id":40,"status_id":1,"priority_id":2,"assigned_to_id":23,"start_date":"2017-03-16","description":"","custom_fields":[{"id":1,"name":"Subdivision","value":"NW"},{"id":4,"name":"Milepost","value":"5.8995"},{"id":17,"name":"Train ID","value":"809-16"},{"id":16,"name":"Locomotive ID","value":"4009"},{"id":130,"name":"Impact","value":""},{"id":150,"name":"Time of Event (Mountain Time)","value":"08:05:13"},{"id":151,"name":"Denver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64"/>
        <v>start /low /b %USERPROFILE%\Documents\GitHub\eaglep3\Utilities\DownloadLogsFromS3.py --loco 4009 --day 2017-03-16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</row>
    <row r="170" spans="1:91" x14ac:dyDescent="0.25">
      <c r="A170" s="33" t="s">
        <v>689</v>
      </c>
      <c r="B170" s="7">
        <v>4010</v>
      </c>
      <c r="C170" s="21" t="s">
        <v>228</v>
      </c>
      <c r="D170" s="21" t="s">
        <v>947</v>
      </c>
      <c r="E170" s="13">
        <v>42810.338761574072</v>
      </c>
      <c r="F170" s="13">
        <v>42810.340821759259</v>
      </c>
      <c r="G170" s="7">
        <v>1</v>
      </c>
      <c r="H170" s="21" t="s">
        <v>948</v>
      </c>
      <c r="I170" s="13">
        <v>42810.351018518515</v>
      </c>
      <c r="J170" s="7">
        <v>0</v>
      </c>
      <c r="K170" s="98" t="str">
        <f t="shared" si="50"/>
        <v>4009/4010</v>
      </c>
      <c r="L170" s="21" t="str">
        <f>VLOOKUP(A170,'Trips&amp;Operators'!$C$1:$G$99999,5,FALSE)</f>
        <v>SHOOK JOHN</v>
      </c>
      <c r="M170" s="6">
        <f t="shared" si="51"/>
        <v>1.0196759256359655E-2</v>
      </c>
      <c r="N170" s="7">
        <f t="shared" si="74"/>
        <v>14.683333329157904</v>
      </c>
      <c r="O170" s="7"/>
      <c r="P170" s="7"/>
      <c r="Q170" s="22"/>
      <c r="R170" s="22"/>
      <c r="S170" s="31">
        <f t="shared" si="75"/>
        <v>1</v>
      </c>
      <c r="T170" s="46" t="str">
        <f t="shared" si="52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3"/>
        <v>https://d0f6bd738d7f1b3e5a7ca70fe4ff75f0.us-east-1.aws.found.io/app/kibana#/discover/Steve-Slow-Train-Analysis-(2080s-and-2083s)?_g=(refreshInterval:(display:Off,pause:!f,section:0,value:0),time:(from:'2017-03-16T07:07:49-0600',mode:absolute,to:'2017-03-16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87" t="str">
        <f t="shared" si="54"/>
        <v>N</v>
      </c>
      <c r="X170" s="187">
        <f t="shared" si="76"/>
        <v>1</v>
      </c>
      <c r="Y170" s="62">
        <f t="shared" si="56"/>
        <v>5.8677000000000001</v>
      </c>
      <c r="Z170" s="62">
        <f t="shared" si="65"/>
        <v>1.3299999999999999E-2</v>
      </c>
      <c r="AA170" s="62">
        <f t="shared" si="57"/>
        <v>5.8544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0810-16</v>
      </c>
      <c r="AE170" s="85" t="str">
        <f t="shared" si="59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170" s="82" t="str">
        <f t="shared" si="60"/>
        <v>"C:\Program Files (x86)\AstroGrep\AstroGrep.exe" /e /r /s /spath="%USERPROFILE%\AppData\Local\Temp\OnboardLogs" /stypes="app*4010*20170316*" /stext=" 14:.+((SYSTEM_STATE.+slice.+state.+changed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810-16 --locoid 4010 --swversion DE.1.0.9.0 --startMP 300:58677 --initTime 2017-03-16T08:07:49 --startdatetime 2017-03-16T08:10:47 --delay 1 --endMP 204:133 --enddatetime 2017-03-16T08:25:28 --enforcementcount 0 &gt;&gt;C:\Users\stu\Documents\GitHub\eaglep3-reporting\EC\2017-03-16-refined-times.txt</v>
      </c>
      <c r="AI170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{"issue":{"subject":"","project_id":79,"tracker_id":40,"status_id":1,"priority_id":2,"assigned_to_id":23,"start_date":"2017-03-16","description":"","custom_fields":[{"id":1,"name":"Subdivision","value":"NW"},{"id":4,"name":"Milepost","value":"0.0133"},{"id":17,"name":"Train ID","value":"810-16"},{"id":16,"name":"Locomotive ID","value":"4010"},{"id":130,"name":"Impact","value":""},{"id":150,"name":"Time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64"/>
        <v>start /low /b %USERPROFILE%\Documents\GitHub\eaglep3\Utilities\DownloadLogsFromS3.py --loco 4010 --day 2017-03-16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171" spans="1:91" s="20" customFormat="1" x14ac:dyDescent="0.25">
      <c r="A171" s="33" t="s">
        <v>602</v>
      </c>
      <c r="B171" s="7">
        <v>4018</v>
      </c>
      <c r="C171" s="21" t="s">
        <v>228</v>
      </c>
      <c r="D171" s="21" t="s">
        <v>949</v>
      </c>
      <c r="E171" s="13">
        <v>42810.345370370371</v>
      </c>
      <c r="F171" s="13">
        <v>42810.348321759258</v>
      </c>
      <c r="G171" s="7">
        <v>1</v>
      </c>
      <c r="H171" s="21" t="s">
        <v>950</v>
      </c>
      <c r="I171" s="13">
        <v>42810.357789351852</v>
      </c>
      <c r="J171" s="7">
        <v>0</v>
      </c>
      <c r="K171" s="98" t="str">
        <f t="shared" si="50"/>
        <v>4017/4018</v>
      </c>
      <c r="L171" s="21" t="str">
        <f>VLOOKUP(A171,'Trips&amp;Operators'!$C$1:$G$99999,5,FALSE)</f>
        <v>WILLIAMS DONTE</v>
      </c>
      <c r="M171" s="6">
        <f t="shared" si="51"/>
        <v>9.4675925938645378E-3</v>
      </c>
      <c r="N171" s="7">
        <f t="shared" si="74"/>
        <v>13.633333335164934</v>
      </c>
      <c r="O171" s="7"/>
      <c r="P171" s="7"/>
      <c r="Q171" s="22"/>
      <c r="R171" s="22"/>
      <c r="S171" s="31">
        <f t="shared" si="75"/>
        <v>1</v>
      </c>
      <c r="T171" s="46" t="str">
        <f t="shared" si="52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3"/>
        <v>https://d0f6bd738d7f1b3e5a7ca70fe4ff75f0.us-east-1.aws.found.io/app/kibana#/discover/Steve-Slow-Train-Analysis-(2080s-and-2083s)?_g=(refreshInterval:(display:Off,pause:!f,section:0,value:0),time:(from:'2017-03-16T07:17:20-0600',mode:absolute,to:'2017-03-16T09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1" s="187" t="str">
        <f t="shared" si="54"/>
        <v>N</v>
      </c>
      <c r="X171" s="187">
        <f t="shared" si="76"/>
        <v>1</v>
      </c>
      <c r="Y171" s="62">
        <f t="shared" si="56"/>
        <v>9.7100000000000006E-2</v>
      </c>
      <c r="Z171" s="62">
        <f t="shared" si="65"/>
        <v>5.8920000000000003</v>
      </c>
      <c r="AA171" s="62">
        <f t="shared" si="57"/>
        <v>5.7949000000000002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0811-16</v>
      </c>
      <c r="AE171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71" s="82" t="str">
        <f t="shared" si="60"/>
        <v>"C:\Program Files (x86)\AstroGrep\AstroGrep.exe" /e /r /s /spath="%USERPROFILE%\AppData\Local\Temp\OnboardLogs" /stypes="app*4018*20170316*" /stext=" 14:.+((SYSTEM_STATE.+slice.+state.+changed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811-16 --locoid 4018 --swversion DE.1.0.9.0 --startMP 204:971 --initTime 2017-03-16T08:17:20 --startdatetime 2017-03-16T08:21:35 --delay 1 --endMP 300:58920 --enddatetime 2017-03-16T08:35:13 --enforcementcount 0 &gt;&gt;C:\Users\stu\Documents\GitHub\eaglep3-reporting\EC\2017-03-16-refined-times.txt</v>
      </c>
      <c r="AI171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{"issue":{"subject":"","project_id":79,"tracker_id":40,"status_id":1,"priority_id":2,"assigned_to_id":23,"start_date":"2017-03-16","description":"","custom_fields":[{"id":1,"name":"Subdivision","value":"NW"},{"id":4,"name":"Milepost","value":"5.892"},{"id":17,"name":"Train ID","value":"811-16"},{"id":16,"name":"Locomotive ID","value":"4018"},{"id":130,"name":"Impact","value":""},{"id":150,"name":"Time of Event (Mountain Time)","value":"08:35:13"},{"id":151,"name":"Denver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64"/>
        <v>start /low /b %USERPROFILE%\Documents\GitHub\eaglep3\Utilities\DownloadLogsFromS3.py --loco 4018 --day 2017-03-16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695</v>
      </c>
      <c r="B172" s="7">
        <v>4017</v>
      </c>
      <c r="C172" s="21" t="s">
        <v>228</v>
      </c>
      <c r="D172" s="21" t="s">
        <v>951</v>
      </c>
      <c r="E172" s="13">
        <v>42810.359756944446</v>
      </c>
      <c r="F172" s="13">
        <v>42810.362037037034</v>
      </c>
      <c r="G172" s="7">
        <v>1</v>
      </c>
      <c r="H172" s="21" t="s">
        <v>952</v>
      </c>
      <c r="I172" s="13">
        <v>42810.372407407405</v>
      </c>
      <c r="J172" s="7">
        <v>0</v>
      </c>
      <c r="K172" s="98" t="str">
        <f t="shared" si="50"/>
        <v>4017/4018</v>
      </c>
      <c r="L172" s="21" t="str">
        <f>VLOOKUP(A172,'Trips&amp;Operators'!$C$1:$G$99999,5,FALSE)</f>
        <v>WILLIAMS DONTE</v>
      </c>
      <c r="M172" s="6">
        <f t="shared" si="51"/>
        <v>1.0370370371674653E-2</v>
      </c>
      <c r="N172" s="7">
        <f t="shared" si="74"/>
        <v>14.933333335211501</v>
      </c>
      <c r="O172" s="7"/>
      <c r="P172" s="7"/>
      <c r="Q172" s="22"/>
      <c r="R172" s="22"/>
      <c r="S172" s="31">
        <f t="shared" si="75"/>
        <v>1</v>
      </c>
      <c r="T172" s="46" t="str">
        <f t="shared" si="52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3"/>
        <v>https://d0f6bd738d7f1b3e5a7ca70fe4ff75f0.us-east-1.aws.found.io/app/kibana#/discover/Steve-Slow-Train-Analysis-(2080s-and-2083s)?_g=(refreshInterval:(display:Off,pause:!f,section:0,value:0),time:(from:'2017-03-16T07:38:03-0600',mode:absolute,to:'2017-03-16T09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2" s="187" t="str">
        <f t="shared" si="54"/>
        <v>N</v>
      </c>
      <c r="X172" s="187">
        <f t="shared" si="76"/>
        <v>1</v>
      </c>
      <c r="Y172" s="62">
        <f t="shared" si="56"/>
        <v>5.8608000000000002</v>
      </c>
      <c r="Z172" s="62">
        <f t="shared" si="65"/>
        <v>6.9099999999999995E-2</v>
      </c>
      <c r="AA172" s="62">
        <f t="shared" si="57"/>
        <v>5.7917000000000005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0812-16</v>
      </c>
      <c r="AE172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72" s="82" t="str">
        <f t="shared" si="60"/>
        <v>"C:\Program Files (x86)\AstroGrep\AstroGrep.exe" /e /r /s /spath="%USERPROFILE%\AppData\Local\Temp\OnboardLogs" /stypes="app*4017*20170316*" /stext=" 14:.+((SYSTEM_STATE.+slice.+state.+changed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812-16 --locoid 4017 --swversion DE.1.0.9.0 --startMP 300:58608 --initTime 2017-03-16T08:38:03 --startdatetime 2017-03-16T08:41:20 --delay 1 --endMP 204:691 --enddatetime 2017-03-16T08:56:16 --enforcementcount 0 &gt;&gt;C:\Users\stu\Documents\GitHub\eaglep3-reporting\EC\2017-03-16-refined-times.txt</v>
      </c>
      <c r="AI172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{"issue":{"subject":"","project_id":79,"tracker_id":40,"status_id":1,"priority_id":2,"assigned_to_id":23,"start_date":"2017-03-16","description":"","custom_fields":[{"id":1,"name":"Subdivision","value":"NW"},{"id":4,"name":"Milepost","value":"0.0691"},{"id":17,"name":"Train ID","value":"812-16"},{"id":16,"name":"Locomotive ID","value":"4017"},{"id":130,"name":"Impact","value":""},{"id":150,"name":"Time of Event (Mountain Time)","value":"08:56:16"},{"id":151,"name":"Denver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64"/>
        <v>start /low /b %USERPROFILE%\Documents\GitHub\eaglep3\Utilities\DownloadLogsFromS3.py --loco 4017 --day 2017-03-16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73" spans="1:91" x14ac:dyDescent="0.25">
      <c r="A173" s="33" t="s">
        <v>699</v>
      </c>
      <c r="B173" s="7">
        <v>4018</v>
      </c>
      <c r="C173" s="21" t="s">
        <v>228</v>
      </c>
      <c r="D173" s="21" t="s">
        <v>510</v>
      </c>
      <c r="E173" s="13">
        <v>42810.385104166664</v>
      </c>
      <c r="F173" s="13">
        <v>42810.390219907407</v>
      </c>
      <c r="G173" s="7">
        <v>1</v>
      </c>
      <c r="H173" s="21" t="s">
        <v>953</v>
      </c>
      <c r="I173" s="13">
        <v>42810.400995370372</v>
      </c>
      <c r="J173" s="7">
        <v>0</v>
      </c>
      <c r="K173" s="98" t="str">
        <f t="shared" si="50"/>
        <v>4017/4018</v>
      </c>
      <c r="L173" s="21" t="str">
        <f>VLOOKUP(A173,'Trips&amp;Operators'!$C$1:$G$99999,5,FALSE)</f>
        <v>WILLIAMS DONTE</v>
      </c>
      <c r="M173" s="6">
        <f t="shared" si="51"/>
        <v>1.0775462964375038E-2</v>
      </c>
      <c r="N173" s="7">
        <f t="shared" si="74"/>
        <v>15.516666668700054</v>
      </c>
      <c r="O173" s="7"/>
      <c r="P173" s="7"/>
      <c r="Q173" s="22"/>
      <c r="R173" s="22"/>
      <c r="S173" s="31">
        <f t="shared" si="75"/>
        <v>1</v>
      </c>
      <c r="T173" s="46" t="str">
        <f t="shared" si="52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3"/>
        <v>https://d0f6bd738d7f1b3e5a7ca70fe4ff75f0.us-east-1.aws.found.io/app/kibana#/discover/Steve-Slow-Train-Analysis-(2080s-and-2083s)?_g=(refreshInterval:(display:Off,pause:!f,section:0,value:0),time:(from:'2017-03-16T08:14:33-0600',mode:absolute,to:'2017-03-16T10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3" s="187" t="str">
        <f t="shared" si="54"/>
        <v>N</v>
      </c>
      <c r="X173" s="187">
        <f t="shared" si="76"/>
        <v>1</v>
      </c>
      <c r="Y173" s="62">
        <f t="shared" si="56"/>
        <v>9.8599999999999993E-2</v>
      </c>
      <c r="Z173" s="62">
        <f t="shared" si="65"/>
        <v>5.8914</v>
      </c>
      <c r="AA173" s="62">
        <f t="shared" si="57"/>
        <v>5.7927999999999997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0813-16</v>
      </c>
      <c r="AE173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73" s="82" t="str">
        <f t="shared" si="60"/>
        <v>"C:\Program Files (x86)\AstroGrep\AstroGrep.exe" /e /r /s /spath="%USERPROFILE%\AppData\Local\Temp\OnboardLogs" /stypes="app*4018*20170316*" /stext=" 15:.+((SYSTEM_STATE.+slice.+state.+changed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813-16 --locoid 4018 --swversion DE.1.0.9.0 --startMP 204:986 --initTime 2017-03-16T09:14:33 --startdatetime 2017-03-16T09:21:55 --delay 1 --endMP 300:58914 --enddatetime 2017-03-16T09:37:26 --enforcementcount 0 &gt;&gt;C:\Users\stu\Documents\GitHub\eaglep3-reporting\EC\2017-03-16-refined-times.txt</v>
      </c>
      <c r="AI173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{"issue":{"subject":"","project_id":79,"tracker_id":40,"status_id":1,"priority_id":2,"assigned_to_id":23,"start_date":"2017-03-16","description":"","custom_fields":[{"id":1,"name":"Subdivision","value":"NW"},{"id":4,"name":"Milepost","value":"5.8914"},{"id":17,"name":"Train ID","value":"813-16"},{"id":16,"name":"Locomotive ID","value":"4018"},{"id":130,"name":"Impact","value":""},{"id":150,"name":"Time of Event (Mountain Time)","value":"09:37:26"},{"id":151,"name":"Denver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64"/>
        <v>start /low /b %USERPROFILE%\Documents\GitHub\eaglep3\Utilities\DownloadLogsFromS3.py --loco 4018 --day 2017-03-16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74" spans="1:91" x14ac:dyDescent="0.25">
      <c r="A174" s="33" t="s">
        <v>703</v>
      </c>
      <c r="B174" s="7">
        <v>4017</v>
      </c>
      <c r="C174" s="21" t="s">
        <v>228</v>
      </c>
      <c r="D174" s="21" t="s">
        <v>586</v>
      </c>
      <c r="E174" s="13">
        <v>42810.402719907404</v>
      </c>
      <c r="F174" s="13">
        <v>42810.405289351853</v>
      </c>
      <c r="G174" s="7">
        <v>1</v>
      </c>
      <c r="H174" s="21" t="s">
        <v>580</v>
      </c>
      <c r="I174" s="13">
        <v>42810.415254629632</v>
      </c>
      <c r="J174" s="7">
        <v>0</v>
      </c>
      <c r="K174" s="98" t="str">
        <f t="shared" si="50"/>
        <v>4017/4018</v>
      </c>
      <c r="L174" s="21" t="str">
        <f>VLOOKUP(A174,'Trips&amp;Operators'!$C$1:$G$99999,5,FALSE)</f>
        <v>WILLIAMS DONTE</v>
      </c>
      <c r="M174" s="6">
        <f t="shared" si="51"/>
        <v>9.9652777789742686E-3</v>
      </c>
      <c r="N174" s="7">
        <f t="shared" si="74"/>
        <v>14.350000001722947</v>
      </c>
      <c r="O174" s="7"/>
      <c r="P174" s="7"/>
      <c r="Q174" s="22"/>
      <c r="R174" s="22"/>
      <c r="S174" s="31">
        <f t="shared" si="75"/>
        <v>1</v>
      </c>
      <c r="T174" s="46" t="str">
        <f t="shared" si="52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3"/>
        <v>https://d0f6bd738d7f1b3e5a7ca70fe4ff75f0.us-east-1.aws.found.io/app/kibana#/discover/Steve-Slow-Train-Analysis-(2080s-and-2083s)?_g=(refreshInterval:(display:Off,pause:!f,section:0,value:0),time:(from:'2017-03-16T08:39:55-0600',mode:absolute,to:'2017-03-16T10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4" s="187" t="str">
        <f t="shared" si="54"/>
        <v>N</v>
      </c>
      <c r="X174" s="187">
        <f t="shared" si="76"/>
        <v>1</v>
      </c>
      <c r="Y174" s="62">
        <f t="shared" si="56"/>
        <v>5.8589000000000002</v>
      </c>
      <c r="Z174" s="62">
        <f t="shared" si="65"/>
        <v>6.9599999999999995E-2</v>
      </c>
      <c r="AA174" s="62">
        <f t="shared" si="57"/>
        <v>5.7892999999999999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0814-16</v>
      </c>
      <c r="AE174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74" s="82" t="str">
        <f t="shared" si="60"/>
        <v>"C:\Program Files (x86)\AstroGrep\AstroGrep.exe" /e /r /s /spath="%USERPROFILE%\AppData\Local\Temp\OnboardLogs" /stypes="app*4017*20170316*" /stext=" 15:.+((SYSTEM_STATE.+slice.+state.+changed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814-16 --locoid 4017 --swversion DE.1.0.9.0 --startMP 300:58589 --initTime 2017-03-16T09:39:55 --startdatetime 2017-03-16T09:43:37 --delay 1 --endMP 204:696 --enddatetime 2017-03-16T09:57:58 --enforcementcount 0 &gt;&gt;C:\Users\stu\Documents\GitHub\eaglep3-reporting\EC\2017-03-16-refined-times.txt</v>
      </c>
      <c r="AI174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{"issue":{"subject":"","project_id":79,"tracker_id":40,"status_id":1,"priority_id":2,"assigned_to_id":23,"start_date":"2017-03-16","description":"","custom_fields":[{"id":1,"name":"Subdivision","value":"NW"},{"id":4,"name":"Milepost","value":"0.0696"},{"id":17,"name":"Train ID","value":"814-16"},{"id":16,"name":"Locomotive ID","value":"4017"},{"id":130,"name":"Impact","value":""},{"id":150,"name":"Time of Event (Mountain Time)","value":"09:57:58"},{"id":151,"name":"Denver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64"/>
        <v>start /low /b %USERPROFILE%\Documents\GitHub\eaglep3\Utilities\DownloadLogsFromS3.py --loco 4017 --day 2017-03-16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75" spans="1:91" x14ac:dyDescent="0.25">
      <c r="A175" s="33" t="s">
        <v>707</v>
      </c>
      <c r="B175" s="7">
        <v>4018</v>
      </c>
      <c r="C175" s="21" t="s">
        <v>228</v>
      </c>
      <c r="D175" s="21" t="s">
        <v>584</v>
      </c>
      <c r="E175" s="13">
        <v>42810.425162037034</v>
      </c>
      <c r="F175" s="13">
        <v>42810.431585648148</v>
      </c>
      <c r="G175" s="7">
        <v>3</v>
      </c>
      <c r="H175" s="21" t="s">
        <v>954</v>
      </c>
      <c r="I175" s="13">
        <v>42810.441770833335</v>
      </c>
      <c r="J175" s="7">
        <v>0</v>
      </c>
      <c r="K175" s="98" t="str">
        <f t="shared" si="50"/>
        <v>4017/4018</v>
      </c>
      <c r="L175" s="21" t="str">
        <f>VLOOKUP(A175,'Trips&amp;Operators'!$C$1:$G$99999,5,FALSE)</f>
        <v>WILLIAMS DONTE</v>
      </c>
      <c r="M175" s="6">
        <f t="shared" si="51"/>
        <v>1.0185185186855961E-2</v>
      </c>
      <c r="N175" s="7">
        <f t="shared" si="74"/>
        <v>14.666666669072583</v>
      </c>
      <c r="O175" s="7"/>
      <c r="P175" s="7"/>
      <c r="Q175" s="22"/>
      <c r="R175" s="22"/>
      <c r="S175" s="31">
        <f t="shared" si="75"/>
        <v>1</v>
      </c>
      <c r="T175" s="46" t="str">
        <f t="shared" si="52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3"/>
        <v>https://d0f6bd738d7f1b3e5a7ca70fe4ff75f0.us-east-1.aws.found.io/app/kibana#/discover/Steve-Slow-Train-Analysis-(2080s-and-2083s)?_g=(refreshInterval:(display:Off,pause:!f,section:0,value:0),time:(from:'2017-03-16T09:12:14-0600',mode:absolute,to:'2017-03-16T11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5" s="187" t="str">
        <f t="shared" si="54"/>
        <v>N</v>
      </c>
      <c r="X175" s="187">
        <f t="shared" si="76"/>
        <v>1</v>
      </c>
      <c r="Y175" s="62">
        <f t="shared" si="56"/>
        <v>9.7799999999999998E-2</v>
      </c>
      <c r="Z175" s="62">
        <f t="shared" si="65"/>
        <v>5.8133999999999997</v>
      </c>
      <c r="AA175" s="62">
        <f t="shared" si="57"/>
        <v>5.7155999999999993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0815-16</v>
      </c>
      <c r="AE175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75" s="82" t="str">
        <f t="shared" si="60"/>
        <v>"C:\Program Files (x86)\AstroGrep\AstroGrep.exe" /e /r /s /spath="%USERPROFILE%\AppData\Local\Temp\OnboardLogs" /stypes="app*4018*20170316*" /stext=" 16:.+((SYSTEM_STATE.+slice.+state.+changed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815-16 --locoid 4018 --swversion DE.1.0.9.0 --startMP 204:978 --initTime 2017-03-16T10:12:14 --startdatetime 2017-03-16T10:21:29 --delay 3 --endMP 300:58134 --enddatetime 2017-03-16T10:36:09 --enforcementcount 0 &gt;&gt;C:\Users\stu\Documents\GitHub\eaglep3-reporting\EC\2017-03-16-refined-times.txt</v>
      </c>
      <c r="AI175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{"issue":{"subject":"","project_id":79,"tracker_id":40,"status_id":1,"priority_id":2,"assigned_to_id":23,"start_date":"2017-03-16","description":"","custom_fields":[{"id":1,"name":"Subdivision","value":"NW"},{"id":4,"name":"Milepost","value":"5.8134"},{"id":17,"name":"Train ID","value":"815-16"},{"id":16,"name":"Locomotive ID","value":"4018"},{"id":130,"name":"Impact","value":""},{"id":150,"name":"Time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64"/>
        <v>start /low /b %USERPROFILE%\Documents\GitHub\eaglep3\Utilities\DownloadLogsFromS3.py --loco 4018 --day 2017-03-16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76" spans="1:91" s="20" customFormat="1" x14ac:dyDescent="0.25">
      <c r="A176" s="33" t="s">
        <v>711</v>
      </c>
      <c r="B176" s="7">
        <v>4017</v>
      </c>
      <c r="C176" s="21" t="s">
        <v>228</v>
      </c>
      <c r="D176" s="21" t="s">
        <v>576</v>
      </c>
      <c r="E176" s="13">
        <v>42810.443043981482</v>
      </c>
      <c r="F176" s="13">
        <v>42810.445451388892</v>
      </c>
      <c r="G176" s="7">
        <v>1</v>
      </c>
      <c r="H176" s="21" t="s">
        <v>465</v>
      </c>
      <c r="I176" s="13">
        <v>42810.455914351849</v>
      </c>
      <c r="J176" s="7">
        <v>0</v>
      </c>
      <c r="K176" s="98" t="str">
        <f t="shared" si="50"/>
        <v>4017/4018</v>
      </c>
      <c r="L176" s="21" t="str">
        <f>VLOOKUP(A176,'Trips&amp;Operators'!$C$1:$G$99999,5,FALSE)</f>
        <v>WILLIAMS DONTE</v>
      </c>
      <c r="M176" s="6">
        <f t="shared" si="51"/>
        <v>1.0462962956808042E-2</v>
      </c>
      <c r="N176" s="7">
        <f t="shared" si="74"/>
        <v>15.06666665780358</v>
      </c>
      <c r="O176" s="7"/>
      <c r="P176" s="7"/>
      <c r="Q176" s="22"/>
      <c r="R176" s="22"/>
      <c r="S176" s="31">
        <f t="shared" si="75"/>
        <v>1</v>
      </c>
      <c r="T176" s="46" t="str">
        <f t="shared" si="52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3"/>
        <v>https://d0f6bd738d7f1b3e5a7ca70fe4ff75f0.us-east-1.aws.found.io/app/kibana#/discover/Steve-Slow-Train-Analysis-(2080s-and-2083s)?_g=(refreshInterval:(display:Off,pause:!f,section:0,value:0),time:(from:'2017-03-16T09:37:59-0600',mode:absolute,to:'2017-03-16T11:56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6" s="187" t="str">
        <f t="shared" si="54"/>
        <v>N</v>
      </c>
      <c r="X176" s="187">
        <f t="shared" si="76"/>
        <v>1</v>
      </c>
      <c r="Y176" s="62">
        <f t="shared" si="56"/>
        <v>5.8624000000000001</v>
      </c>
      <c r="Z176" s="62">
        <f t="shared" si="65"/>
        <v>6.8699999999999997E-2</v>
      </c>
      <c r="AA176" s="62">
        <f t="shared" si="57"/>
        <v>5.7937000000000003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0816-16</v>
      </c>
      <c r="AE176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76" s="82" t="str">
        <f t="shared" si="60"/>
        <v>"C:\Program Files (x86)\AstroGrep\AstroGrep.exe" /e /r /s /spath="%USERPROFILE%\AppData\Local\Temp\OnboardLogs" /stypes="app*4017*20170316*" /stext=" 16:.+((SYSTEM_STATE.+slice.+state.+changed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816-16 --locoid 4017 --swversion DE.1.0.9.0 --startMP 300:58624 --initTime 2017-03-16T10:37:59 --startdatetime 2017-03-16T10:41:27 --delay 1 --endMP 204:687 --enddatetime 2017-03-16T10:56:31 --enforcementcount 0 &gt;&gt;C:\Users\stu\Documents\GitHub\eaglep3-reporting\EC\2017-03-16-refined-times.txt</v>
      </c>
      <c r="AI176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{"issue":{"subject":"","project_id":79,"tracker_id":40,"status_id":1,"priority_id":2,"assigned_to_id":23,"start_date":"2017-03-16","description":"","custom_fields":[{"id":1,"name":"Subdivision","value":"NW"},{"id":4,"name":"Milepost","value":"0.0687"},{"id":17,"name":"Train ID","value":"816-16"},{"id":16,"name":"Locomotive ID","value":"4017"},{"id":130,"name":"Impact","value":""},{"id":150,"name":"Time of Event (Mountain Time)","value":"10:56:31"},{"id":151,"name":"Denver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64"/>
        <v>start /low /b %USERPROFILE%\Documents\GitHub\eaglep3\Utilities\DownloadLogsFromS3.py --loco 4017 --day 2017-03-16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3" t="s">
        <v>719</v>
      </c>
      <c r="B177" s="7">
        <v>4018</v>
      </c>
      <c r="C177" s="21" t="s">
        <v>228</v>
      </c>
      <c r="D177" s="21" t="s">
        <v>510</v>
      </c>
      <c r="E177" s="13">
        <v>42810.467743055553</v>
      </c>
      <c r="F177" s="13">
        <v>42810.473252314812</v>
      </c>
      <c r="G177" s="7">
        <v>2</v>
      </c>
      <c r="H177" s="21" t="s">
        <v>955</v>
      </c>
      <c r="I177" s="13">
        <v>42810.483391203707</v>
      </c>
      <c r="J177" s="7">
        <v>0</v>
      </c>
      <c r="K177" s="98" t="str">
        <f t="shared" si="50"/>
        <v>4017/4018</v>
      </c>
      <c r="L177" s="21" t="str">
        <f>VLOOKUP(A177,'Trips&amp;Operators'!$C$1:$G$99999,5,FALSE)</f>
        <v>WILLIAMS DONTE</v>
      </c>
      <c r="M177" s="6">
        <f t="shared" si="51"/>
        <v>1.0138888894289266E-2</v>
      </c>
      <c r="N177" s="7">
        <f t="shared" si="74"/>
        <v>14.600000007776543</v>
      </c>
      <c r="O177" s="7"/>
      <c r="P177" s="7"/>
      <c r="Q177" s="22"/>
      <c r="R177" s="22"/>
      <c r="S177" s="31">
        <f t="shared" si="75"/>
        <v>1</v>
      </c>
      <c r="T177" s="46" t="str">
        <f t="shared" si="52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3"/>
        <v>https://d0f6bd738d7f1b3e5a7ca70fe4ff75f0.us-east-1.aws.found.io/app/kibana#/discover/Steve-Slow-Train-Analysis-(2080s-and-2083s)?_g=(refreshInterval:(display:Off,pause:!f,section:0,value:0),time:(from:'2017-03-16T10:13:33-0600',mode:absolute,to:'2017-03-16T12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7" s="187" t="str">
        <f t="shared" si="54"/>
        <v>N</v>
      </c>
      <c r="X177" s="187">
        <f t="shared" si="76"/>
        <v>1</v>
      </c>
      <c r="Y177" s="62">
        <f t="shared" si="56"/>
        <v>9.8599999999999993E-2</v>
      </c>
      <c r="Z177" s="62">
        <f t="shared" si="65"/>
        <v>5.8925999999999998</v>
      </c>
      <c r="AA177" s="62">
        <f t="shared" si="57"/>
        <v>5.7939999999999996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0817-16</v>
      </c>
      <c r="AE177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77" s="82" t="str">
        <f t="shared" si="60"/>
        <v>"C:\Program Files (x86)\AstroGrep\AstroGrep.exe" /e /r /s /spath="%USERPROFILE%\AppData\Local\Temp\OnboardLogs" /stypes="app*4018*20170316*" /stext=" 17:.+((SYSTEM_STATE.+slice.+state.+changed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817-16 --locoid 4018 --swversion DE.1.0.9.0 --startMP 204:986 --initTime 2017-03-16T11:13:33 --startdatetime 2017-03-16T11:21:29 --delay 2 --endMP 300:58926 --enddatetime 2017-03-16T11:36:05 --enforcementcount 0 &gt;&gt;C:\Users\stu\Documents\GitHub\eaglep3-reporting\EC\2017-03-16-refined-times.txt</v>
      </c>
      <c r="AI177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{"issue":{"subject":"","project_id":79,"tracker_id":40,"status_id":1,"priority_id":2,"assigned_to_id":23,"start_date":"2017-03-16","description":"","custom_fields":[{"id":1,"name":"Subdivision","value":"NW"},{"id":4,"name":"Milepost","value":"5.8926"},{"id":17,"name":"Train ID","value":"817-16"},{"id":16,"name":"Locomotive ID","value":"4018"},{"id":130,"name":"Impact","value":""},{"id":150,"name":"Time of Event (Mountain Time)","value":"11:36:05"},{"id":151,"name":"Denver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64"/>
        <v>start /low /b %USERPROFILE%\Documents\GitHub\eaglep3\Utilities\DownloadLogsFromS3.py --loco 4018 --day 2017-03-16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3" t="s">
        <v>612</v>
      </c>
      <c r="B178" s="7">
        <v>4017</v>
      </c>
      <c r="C178" s="21" t="s">
        <v>228</v>
      </c>
      <c r="D178" s="21" t="s">
        <v>956</v>
      </c>
      <c r="E178" s="13">
        <v>42810.484976851854</v>
      </c>
      <c r="F178" s="13">
        <v>42810.486655092594</v>
      </c>
      <c r="G178" s="7">
        <v>1</v>
      </c>
      <c r="H178" s="21" t="s">
        <v>910</v>
      </c>
      <c r="I178" s="13">
        <v>42810.497094907405</v>
      </c>
      <c r="J178" s="7">
        <v>0</v>
      </c>
      <c r="K178" s="98" t="str">
        <f t="shared" si="50"/>
        <v>4017/4018</v>
      </c>
      <c r="L178" s="21" t="str">
        <f>VLOOKUP(A178,'Trips&amp;Operators'!$C$1:$G$99999,5,FALSE)</f>
        <v>WILLIAMS DONTE</v>
      </c>
      <c r="M178" s="6">
        <f t="shared" si="51"/>
        <v>1.0439814810524695E-2</v>
      </c>
      <c r="N178" s="7">
        <f t="shared" si="74"/>
        <v>15.03333332715556</v>
      </c>
      <c r="O178" s="7"/>
      <c r="P178" s="7"/>
      <c r="Q178" s="22"/>
      <c r="R178" s="22"/>
      <c r="S178" s="31">
        <f t="shared" si="75"/>
        <v>1</v>
      </c>
      <c r="T178" s="46" t="str">
        <f t="shared" si="52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3"/>
        <v>https://d0f6bd738d7f1b3e5a7ca70fe4ff75f0.us-east-1.aws.found.io/app/kibana#/discover/Steve-Slow-Train-Analysis-(2080s-and-2083s)?_g=(refreshInterval:(display:Off,pause:!f,section:0,value:0),time:(from:'2017-03-16T10:38:22-0600',mode:absolute,to:'2017-03-16T12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8" s="187" t="str">
        <f t="shared" si="54"/>
        <v>N</v>
      </c>
      <c r="X178" s="187">
        <f t="shared" si="76"/>
        <v>1</v>
      </c>
      <c r="Y178" s="62">
        <f t="shared" si="56"/>
        <v>5.86</v>
      </c>
      <c r="Z178" s="62">
        <f t="shared" si="65"/>
        <v>7.22E-2</v>
      </c>
      <c r="AA178" s="62">
        <f t="shared" si="57"/>
        <v>5.7878000000000007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0818-16</v>
      </c>
      <c r="AE178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78" s="82" t="str">
        <f t="shared" si="60"/>
        <v>"C:\Program Files (x86)\AstroGrep\AstroGrep.exe" /e /r /s /spath="%USERPROFILE%\AppData\Local\Temp\OnboardLogs" /stypes="app*4017*20170316*" /stext=" 17:.+((SYSTEM_STATE.+slice.+state.+changed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818-16 --locoid 4017 --swversion DE.1.0.9.0 --startMP 300:58600 --initTime 2017-03-16T11:38:22 --startdatetime 2017-03-16T11:40:47 --delay 1 --endMP 204:722 --enddatetime 2017-03-16T11:55:49 --enforcementcount 0 &gt;&gt;C:\Users\stu\Documents\GitHub\eaglep3-reporting\EC\2017-03-16-refined-times.txt</v>
      </c>
      <c r="AI178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{"issue":{"subject":"","project_id":79,"tracker_id":40,"status_id":1,"priority_id":2,"assigned_to_id":23,"start_date":"2017-03-16","description":"","custom_fields":[{"id":1,"name":"Subdivision","value":"NW"},{"id":4,"name":"Milepost","value":"0.0722"},{"id":17,"name":"Train ID","value":"818-16"},{"id":16,"name":"Locomotive ID","value":"4017"},{"id":130,"name":"Impact","value":""},{"id":150,"name":"Time of Event (Mountain Time)","value":"11:55:49"},{"id":151,"name":"Denver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64"/>
        <v>start /low /b %USERPROFILE%\Documents\GitHub\eaglep3\Utilities\DownloadLogsFromS3.py --loco 4017 --day 2017-03-16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728</v>
      </c>
      <c r="B179" s="7">
        <v>4018</v>
      </c>
      <c r="C179" s="21" t="s">
        <v>228</v>
      </c>
      <c r="D179" s="21" t="s">
        <v>957</v>
      </c>
      <c r="E179" s="13">
        <v>42810.504224537035</v>
      </c>
      <c r="F179" s="13">
        <v>42810.515104166669</v>
      </c>
      <c r="G179" s="7">
        <v>6</v>
      </c>
      <c r="H179" s="21" t="s">
        <v>508</v>
      </c>
      <c r="I179" s="13">
        <v>42810.525497685187</v>
      </c>
      <c r="J179" s="7">
        <v>0</v>
      </c>
      <c r="K179" s="98" t="str">
        <f t="shared" si="50"/>
        <v>4017/4018</v>
      </c>
      <c r="L179" s="21" t="str">
        <f>VLOOKUP(A179,'Trips&amp;Operators'!$C$1:$G$99999,5,FALSE)</f>
        <v>WILLIAMS DONTE</v>
      </c>
      <c r="M179" s="6">
        <f t="shared" si="51"/>
        <v>1.0393518517958E-2</v>
      </c>
      <c r="N179" s="7">
        <f t="shared" si="74"/>
        <v>14.96666666585952</v>
      </c>
      <c r="O179" s="7"/>
      <c r="P179" s="7"/>
      <c r="Q179" s="22"/>
      <c r="R179" s="22"/>
      <c r="S179" s="31">
        <f t="shared" si="75"/>
        <v>1</v>
      </c>
      <c r="T179" s="46" t="str">
        <f t="shared" si="52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3"/>
        <v>https://d0f6bd738d7f1b3e5a7ca70fe4ff75f0.us-east-1.aws.found.io/app/kibana#/discover/Steve-Slow-Train-Analysis-(2080s-and-2083s)?_g=(refreshInterval:(display:Off,pause:!f,section:0,value:0),time:(from:'2017-03-16T11:06:05-0600',mode:absolute,to:'2017-03-16T13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9" s="187" t="str">
        <f t="shared" si="54"/>
        <v>N</v>
      </c>
      <c r="X179" s="187">
        <f t="shared" si="76"/>
        <v>1</v>
      </c>
      <c r="Y179" s="62">
        <f t="shared" si="56"/>
        <v>0.10249999999999999</v>
      </c>
      <c r="Z179" s="62">
        <f t="shared" si="65"/>
        <v>5.8940999999999999</v>
      </c>
      <c r="AA179" s="62">
        <f t="shared" si="57"/>
        <v>5.7915999999999999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0819-16</v>
      </c>
      <c r="AE179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79" s="82" t="str">
        <f t="shared" si="60"/>
        <v>"C:\Program Files (x86)\AstroGrep\AstroGrep.exe" /e /r /s /spath="%USERPROFILE%\AppData\Local\Temp\OnboardLogs" /stypes="app*4018*20170316*" /stext=" 18:.+((SYSTEM_STATE.+slice.+state.+changed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819-16 --locoid 4018 --swversion DE.1.0.9.0 --startMP 204:1025 --initTime 2017-03-16T12:06:05 --startdatetime 2017-03-16T12:21:45 --delay 6 --endMP 300:58941 --enddatetime 2017-03-16T12:36:43 --enforcementcount 0 &gt;&gt;C:\Users\stu\Documents\GitHub\eaglep3-reporting\EC\2017-03-16-refined-times.txt</v>
      </c>
      <c r="AI179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{"issue":{"subject":"","project_id":79,"tracker_id":40,"status_id":1,"priority_id":2,"assigned_to_id":23,"start_date":"2017-03-16","description":"","custom_fields":[{"id":1,"name":"Subdivision","value":"NW"},{"id":4,"name":"Milepost","value":"5.8941"},{"id":17,"name":"Train ID","value":"819-16"},{"id":16,"name":"Locomotive ID","value":"4018"},{"id":130,"name":"Impact","value":""},{"id":150,"name":"Time of Event (Mountain Time)","value":"12:36:43"},{"id":151,"name":"Denver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64"/>
        <v>start /low /b %USERPROFILE%\Documents\GitHub\eaglep3\Utilities\DownloadLogsFromS3.py --loco 4018 --day 2017-03-16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80" spans="1:91" s="20" customFormat="1" x14ac:dyDescent="0.25">
      <c r="A180" s="33" t="s">
        <v>734</v>
      </c>
      <c r="B180" s="7">
        <v>4017</v>
      </c>
      <c r="C180" s="21" t="s">
        <v>228</v>
      </c>
      <c r="D180" s="21" t="s">
        <v>958</v>
      </c>
      <c r="E180" s="13">
        <v>42810.527407407404</v>
      </c>
      <c r="F180" s="13">
        <v>42810.529224537036</v>
      </c>
      <c r="G180" s="7">
        <v>1</v>
      </c>
      <c r="H180" s="21" t="s">
        <v>583</v>
      </c>
      <c r="I180" s="13">
        <v>42810.539803240739</v>
      </c>
      <c r="J180" s="7">
        <v>0</v>
      </c>
      <c r="K180" s="98" t="str">
        <f t="shared" si="50"/>
        <v>4017/4018</v>
      </c>
      <c r="L180" s="21" t="str">
        <f>VLOOKUP(A180,'Trips&amp;Operators'!$C$1:$G$99999,5,FALSE)</f>
        <v>WILLIAMS DONTE</v>
      </c>
      <c r="M180" s="6">
        <f t="shared" si="51"/>
        <v>1.0578703702776693E-2</v>
      </c>
      <c r="N180" s="7">
        <f t="shared" si="74"/>
        <v>15.233333331998438</v>
      </c>
      <c r="O180" s="7"/>
      <c r="P180" s="7"/>
      <c r="Q180" s="22"/>
      <c r="R180" s="22"/>
      <c r="S180" s="31">
        <f t="shared" si="75"/>
        <v>1</v>
      </c>
      <c r="T180" s="46" t="str">
        <f t="shared" si="52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3"/>
        <v>https://d0f6bd738d7f1b3e5a7ca70fe4ff75f0.us-east-1.aws.found.io/app/kibana#/discover/Steve-Slow-Train-Analysis-(2080s-and-2083s)?_g=(refreshInterval:(display:Off,pause:!f,section:0,value:0),time:(from:'2017-03-16T11:39:28-0600',mode:absolute,to:'2017-03-16T13:57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0" s="187" t="str">
        <f t="shared" si="54"/>
        <v>N</v>
      </c>
      <c r="X180" s="187">
        <f t="shared" si="76"/>
        <v>1</v>
      </c>
      <c r="Y180" s="62">
        <f t="shared" si="56"/>
        <v>5.8625999999999996</v>
      </c>
      <c r="Z180" s="62">
        <f t="shared" ref="Z180:Z197" si="77">RIGHT(H180,LEN(H180)-4)/10000</f>
        <v>6.6400000000000001E-2</v>
      </c>
      <c r="AA180" s="62">
        <f t="shared" si="57"/>
        <v>5.7961999999999998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0820-16</v>
      </c>
      <c r="AE180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80" s="82" t="str">
        <f t="shared" si="60"/>
        <v>"C:\Program Files (x86)\AstroGrep\AstroGrep.exe" /e /r /s /spath="%USERPROFILE%\AppData\Local\Temp\OnboardLogs" /stypes="app*4017*20170316*" /stext=" 18:.+((SYSTEM_STATE.+slice.+state.+changed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820-16 --locoid 4017 --swversion DE.1.0.9.0 --startMP 300:58626 --initTime 2017-03-16T12:39:28 --startdatetime 2017-03-16T12:42:05 --delay 1 --endMP 204:664 --enddatetime 2017-03-16T12:57:19 --enforcementcount 0 &gt;&gt;C:\Users\stu\Documents\GitHub\eaglep3-reporting\EC\2017-03-16-refined-times.txt</v>
      </c>
      <c r="AI180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{"issue":{"subject":"","project_id":79,"tracker_id":40,"status_id":1,"priority_id":2,"assigned_to_id":23,"start_date":"2017-03-16","description":"","custom_fields":[{"id":1,"name":"Subdivision","value":"NW"},{"id":4,"name":"Milepost","value":"0.0664"},{"id":17,"name":"Train ID","value":"820-16"},{"id":16,"name":"Locomotive ID","value":"4017"},{"id":130,"name":"Impact","value":""},{"id":150,"name":"Time of Event (Mountain Time)","value":"12:57:19"},{"id":151,"name":"Denver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64"/>
        <v>start /low /b %USERPROFILE%\Documents\GitHub\eaglep3\Utilities\DownloadLogsFromS3.py --loco 4017 --day 2017-03-16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736</v>
      </c>
      <c r="B181" s="7">
        <v>4018</v>
      </c>
      <c r="C181" s="21" t="s">
        <v>228</v>
      </c>
      <c r="D181" s="21" t="s">
        <v>959</v>
      </c>
      <c r="E181" s="13">
        <v>42810.545428240737</v>
      </c>
      <c r="F181" s="13">
        <v>42810.556435185186</v>
      </c>
      <c r="G181" s="7">
        <v>1</v>
      </c>
      <c r="H181" s="21" t="s">
        <v>960</v>
      </c>
      <c r="I181" s="13">
        <v>42810.56627314815</v>
      </c>
      <c r="J181" s="7">
        <v>0</v>
      </c>
      <c r="K181" s="98" t="str">
        <f t="shared" si="50"/>
        <v>4017/4018</v>
      </c>
      <c r="L181" s="21" t="str">
        <f>VLOOKUP(A181,'Trips&amp;Operators'!$C$1:$G$99999,5,FALSE)</f>
        <v>FORTUNATO FRANK</v>
      </c>
      <c r="M181" s="6">
        <f t="shared" si="51"/>
        <v>9.8379629635019228E-3</v>
      </c>
      <c r="N181" s="7">
        <f t="shared" si="74"/>
        <v>14.166666667442769</v>
      </c>
      <c r="O181" s="7"/>
      <c r="P181" s="7"/>
      <c r="Q181" s="22"/>
      <c r="R181" s="22"/>
      <c r="S181" s="31">
        <f t="shared" si="75"/>
        <v>1</v>
      </c>
      <c r="T181" s="46" t="str">
        <f t="shared" si="52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3"/>
        <v>https://d0f6bd738d7f1b3e5a7ca70fe4ff75f0.us-east-1.aws.found.io/app/kibana#/discover/Steve-Slow-Train-Analysis-(2080s-and-2083s)?_g=(refreshInterval:(display:Off,pause:!f,section:0,value:0),time:(from:'2017-03-16T12:05:25-0600',mode:absolute,to:'2017-03-16T14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1" s="187" t="str">
        <f t="shared" si="54"/>
        <v>N</v>
      </c>
      <c r="X181" s="187">
        <f t="shared" si="76"/>
        <v>1</v>
      </c>
      <c r="Y181" s="62">
        <f t="shared" si="56"/>
        <v>9.6699999999999994E-2</v>
      </c>
      <c r="Z181" s="62">
        <f t="shared" si="77"/>
        <v>5.8963000000000001</v>
      </c>
      <c r="AA181" s="62">
        <f t="shared" si="57"/>
        <v>5.7995999999999999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0821-16</v>
      </c>
      <c r="AE181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81" s="82" t="str">
        <f t="shared" si="60"/>
        <v>"C:\Program Files (x86)\AstroGrep\AstroGrep.exe" /e /r /s /spath="%USERPROFILE%\AppData\Local\Temp\OnboardLogs" /stypes="app*4018*20170316*" /stext=" 19:.+((SYSTEM_STATE.+slice.+state.+changed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821-16 --locoid 4018 --swversion DE.1.0.9.0 --startMP 204:967 --initTime 2017-03-16T13:05:25 --startdatetime 2017-03-16T13:21:16 --delay 1 --endMP 300:58963 --enddatetime 2017-03-16T13:35:26 --enforcementcount 0 &gt;&gt;C:\Users\stu\Documents\GitHub\eaglep3-reporting\EC\2017-03-16-refined-times.txt</v>
      </c>
      <c r="AI181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{"issue":{"subject":"","project_id":79,"tracker_id":40,"status_id":1,"priority_id":2,"assigned_to_id":23,"start_date":"2017-03-16","description":"","custom_fields":[{"id":1,"name":"Subdivision","value":"NW"},{"id":4,"name":"Milepost","value":"5.8963"},{"id":17,"name":"Train ID","value":"821-16"},{"id":16,"name":"Locomotive ID","value":"4018"},{"id":130,"name":"Impact","value":""},{"id":150,"name":"Time of Event (Mountain Time)","value":"13:35:26"},{"id":151,"name":"Denver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64"/>
        <v>start /low /b %USERPROFILE%\Documents\GitHub\eaglep3\Utilities\DownloadLogsFromS3.py --loco 4018 --day 2017-03-16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82" spans="1:91" s="20" customFormat="1" x14ac:dyDescent="0.25">
      <c r="A182" s="33" t="s">
        <v>615</v>
      </c>
      <c r="B182" s="7">
        <v>4017</v>
      </c>
      <c r="C182" s="21" t="s">
        <v>228</v>
      </c>
      <c r="D182" s="21" t="s">
        <v>574</v>
      </c>
      <c r="E182" s="13">
        <v>42810.567199074074</v>
      </c>
      <c r="F182" s="13">
        <v>42810.569282407407</v>
      </c>
      <c r="G182" s="7">
        <v>1</v>
      </c>
      <c r="H182" s="21" t="s">
        <v>961</v>
      </c>
      <c r="I182" s="13">
        <v>42810.581446759257</v>
      </c>
      <c r="J182" s="7">
        <v>0</v>
      </c>
      <c r="K182" s="98" t="str">
        <f t="shared" si="50"/>
        <v>4017/4018</v>
      </c>
      <c r="L182" s="21" t="str">
        <f>VLOOKUP(A182,'Trips&amp;Operators'!$C$1:$G$99999,5,FALSE)</f>
        <v>FORTUNATO FRANK</v>
      </c>
      <c r="M182" s="6">
        <f t="shared" si="51"/>
        <v>1.2164351850515231E-2</v>
      </c>
      <c r="N182" s="7">
        <f t="shared" si="74"/>
        <v>17.516666664741933</v>
      </c>
      <c r="O182" s="7"/>
      <c r="P182" s="7"/>
      <c r="Q182" s="22"/>
      <c r="R182" s="22"/>
      <c r="S182" s="31">
        <f t="shared" si="75"/>
        <v>1</v>
      </c>
      <c r="T182" s="46" t="str">
        <f t="shared" si="52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3"/>
        <v>https://d0f6bd738d7f1b3e5a7ca70fe4ff75f0.us-east-1.aws.found.io/app/kibana#/discover/Steve-Slow-Train-Analysis-(2080s-and-2083s)?_g=(refreshInterval:(display:Off,pause:!f,section:0,value:0),time:(from:'2017-03-16T12:36:46-0600',mode:absolute,to:'2017-03-16T14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2" s="187" t="str">
        <f t="shared" si="54"/>
        <v>N</v>
      </c>
      <c r="X182" s="187">
        <f t="shared" si="76"/>
        <v>1</v>
      </c>
      <c r="Y182" s="62">
        <f t="shared" si="56"/>
        <v>5.8647</v>
      </c>
      <c r="Z182" s="62">
        <f t="shared" si="77"/>
        <v>7.5399999999999995E-2</v>
      </c>
      <c r="AA182" s="62">
        <f t="shared" si="57"/>
        <v>5.7892999999999999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0822-16</v>
      </c>
      <c r="AE182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82" s="82" t="str">
        <f t="shared" si="60"/>
        <v>"C:\Program Files (x86)\AstroGrep\AstroGrep.exe" /e /r /s /spath="%USERPROFILE%\AppData\Local\Temp\OnboardLogs" /stypes="app*4017*20170316*" /stext=" 19:.+((SYSTEM_STATE.+slice.+state.+changed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822-16 --locoid 4017 --swversion DE.1.0.9.0 --startMP 300:58647 --initTime 2017-03-16T13:36:46 --startdatetime 2017-03-16T13:39:46 --delay 1 --endMP 204:754 --enddatetime 2017-03-16T13:57:17 --enforcementcount 0 &gt;&gt;C:\Users\stu\Documents\GitHub\eaglep3-reporting\EC\2017-03-16-refined-times.txt</v>
      </c>
      <c r="AI182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{"issue":{"subject":"","project_id":79,"tracker_id":40,"status_id":1,"priority_id":2,"assigned_to_id":23,"start_date":"2017-03-16","description":"","custom_fields":[{"id":1,"name":"Subdivision","value":"NW"},{"id":4,"name":"Milepost","value":"0.0754"},{"id":17,"name":"Train ID","value":"822-16"},{"id":16,"name":"Locomotive ID","value":"4017"},{"id":130,"name":"Impact","value":""},{"id":150,"name":"Time of Event (Mountain Time)","value":"13:57:17"},{"id":151,"name":"Denver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64"/>
        <v>start /low /b %USERPROFILE%\Documents\GitHub\eaglep3\Utilities\DownloadLogsFromS3.py --loco 4017 --day 2017-03-16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748</v>
      </c>
      <c r="B183" s="7">
        <v>4018</v>
      </c>
      <c r="C183" s="21" t="s">
        <v>228</v>
      </c>
      <c r="D183" s="21" t="s">
        <v>962</v>
      </c>
      <c r="E183" s="13">
        <v>42810.58902777778</v>
      </c>
      <c r="F183" s="13">
        <v>42810.598136574074</v>
      </c>
      <c r="G183" s="7">
        <v>1</v>
      </c>
      <c r="H183" s="21" t="s">
        <v>963</v>
      </c>
      <c r="I183" s="13">
        <v>42810.608287037037</v>
      </c>
      <c r="J183" s="7">
        <v>0</v>
      </c>
      <c r="K183" s="98" t="str">
        <f t="shared" si="50"/>
        <v>4017/4018</v>
      </c>
      <c r="L183" s="21" t="str">
        <f>VLOOKUP(A183,'Trips&amp;Operators'!$C$1:$G$99999,5,FALSE)</f>
        <v>FORTUNATO FRANK</v>
      </c>
      <c r="M183" s="6">
        <f t="shared" si="51"/>
        <v>1.0150462963792961E-2</v>
      </c>
      <c r="N183" s="7">
        <f t="shared" si="74"/>
        <v>14.616666667861864</v>
      </c>
      <c r="O183" s="7"/>
      <c r="P183" s="7"/>
      <c r="Q183" s="22"/>
      <c r="R183" s="22"/>
      <c r="S183" s="31">
        <f t="shared" si="75"/>
        <v>1</v>
      </c>
      <c r="T183" s="46" t="str">
        <f t="shared" si="52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3"/>
        <v>https://d0f6bd738d7f1b3e5a7ca70fe4ff75f0.us-east-1.aws.found.io/app/kibana#/discover/Steve-Slow-Train-Analysis-(2080s-and-2083s)?_g=(refreshInterval:(display:Off,pause:!f,section:0,value:0),time:(from:'2017-03-16T13:08:12-0600',mode:absolute,to:'2017-03-16T15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3" s="187" t="str">
        <f t="shared" si="54"/>
        <v>N</v>
      </c>
      <c r="X183" s="187">
        <f t="shared" si="76"/>
        <v>1</v>
      </c>
      <c r="Y183" s="62">
        <f t="shared" si="56"/>
        <v>0.1042</v>
      </c>
      <c r="Z183" s="62">
        <f t="shared" si="77"/>
        <v>5.8986000000000001</v>
      </c>
      <c r="AA183" s="62">
        <f t="shared" si="57"/>
        <v>5.7944000000000004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0823-16</v>
      </c>
      <c r="AE183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83" s="82" t="str">
        <f t="shared" si="60"/>
        <v>"C:\Program Files (x86)\AstroGrep\AstroGrep.exe" /e /r /s /spath="%USERPROFILE%\AppData\Local\Temp\OnboardLogs" /stypes="app*4018*20170316*" /stext=" 20:.+((SYSTEM_STATE.+slice.+state.+changed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823-16 --locoid 4018 --swversion DE.1.0.9.0 --startMP 204:1042 --initTime 2017-03-16T14:08:12 --startdatetime 2017-03-16T14:21:19 --delay 1 --endMP 300:58986 --enddatetime 2017-03-16T14:35:56 --enforcementcount 0 &gt;&gt;C:\Users\stu\Documents\GitHub\eaglep3-reporting\EC\2017-03-16-refined-times.txt</v>
      </c>
      <c r="AI183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{"issue":{"subject":"","project_id":79,"tracker_id":40,"status_id":1,"priority_id":2,"assigned_to_id":23,"start_date":"2017-03-16","description":"","custom_fields":[{"id":1,"name":"Subdivision","value":"NW"},{"id":4,"name":"Milepost","value":"5.8986"},{"id":17,"name":"Train ID","value":"823-16"},{"id":16,"name":"Locomotive ID","value":"4018"},{"id":130,"name":"Impact","value":""},{"id":150,"name":"Time of Event (Mountain Time)","value":"14:35:56"},{"id":151,"name":"Denver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64"/>
        <v>start /low /b %USERPROFILE%\Documents\GitHub\eaglep3\Utilities\DownloadLogsFromS3.py --loco 4018 --day 2017-03-16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84" spans="1:91" s="20" customFormat="1" x14ac:dyDescent="0.25">
      <c r="A184" s="33" t="s">
        <v>618</v>
      </c>
      <c r="B184" s="7">
        <v>4017</v>
      </c>
      <c r="C184" s="21" t="s">
        <v>228</v>
      </c>
      <c r="D184" s="21" t="s">
        <v>964</v>
      </c>
      <c r="E184" s="13">
        <v>42810.609513888892</v>
      </c>
      <c r="F184" s="13">
        <v>42810.611504629633</v>
      </c>
      <c r="G184" s="7">
        <v>1</v>
      </c>
      <c r="H184" s="21" t="s">
        <v>543</v>
      </c>
      <c r="I184" s="13">
        <v>42810.622430555559</v>
      </c>
      <c r="J184" s="7">
        <v>0</v>
      </c>
      <c r="K184" s="98" t="str">
        <f t="shared" si="50"/>
        <v>4017/4018</v>
      </c>
      <c r="L184" s="21" t="str">
        <f>VLOOKUP(A184,'Trips&amp;Operators'!$C$1:$G$99999,5,FALSE)</f>
        <v>FORTUNATO FRANK</v>
      </c>
      <c r="M184" s="6">
        <f t="shared" si="51"/>
        <v>1.0925925926130731E-2</v>
      </c>
      <c r="N184" s="7">
        <f t="shared" si="74"/>
        <v>15.733333333628252</v>
      </c>
      <c r="O184" s="7"/>
      <c r="P184" s="7"/>
      <c r="Q184" s="22"/>
      <c r="R184" s="22"/>
      <c r="S184" s="31">
        <f t="shared" si="75"/>
        <v>1</v>
      </c>
      <c r="T184" s="46" t="str">
        <f t="shared" si="52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3"/>
        <v>https://d0f6bd738d7f1b3e5a7ca70fe4ff75f0.us-east-1.aws.found.io/app/kibana#/discover/Steve-Slow-Train-Analysis-(2080s-and-2083s)?_g=(refreshInterval:(display:Off,pause:!f,section:0,value:0),time:(from:'2017-03-16T13:37:42-0600',mode:absolute,to:'2017-03-16T15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4" s="187" t="str">
        <f t="shared" si="54"/>
        <v>N</v>
      </c>
      <c r="X184" s="187">
        <f t="shared" si="76"/>
        <v>1</v>
      </c>
      <c r="Y184" s="62">
        <f t="shared" si="56"/>
        <v>5.8661000000000003</v>
      </c>
      <c r="Z184" s="62">
        <f t="shared" si="77"/>
        <v>7.4800000000000005E-2</v>
      </c>
      <c r="AA184" s="62">
        <f t="shared" si="57"/>
        <v>5.7913000000000006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0824-16</v>
      </c>
      <c r="AE184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84" s="82" t="str">
        <f t="shared" si="60"/>
        <v>"C:\Program Files (x86)\AstroGrep\AstroGrep.exe" /e /r /s /spath="%USERPROFILE%\AppData\Local\Temp\OnboardLogs" /stypes="app*4017*20170316*" /stext=" 20:.+((SYSTEM_STATE.+slice.+state.+changed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824-16 --locoid 4017 --swversion DE.1.0.9.0 --startMP 300:58661 --initTime 2017-03-16T14:37:42 --startdatetime 2017-03-16T14:40:34 --delay 1 --endMP 204:748 --enddatetime 2017-03-16T14:56:18 --enforcementcount 0 &gt;&gt;C:\Users\stu\Documents\GitHub\eaglep3-reporting\EC\2017-03-16-refined-times.txt</v>
      </c>
      <c r="AI184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{"issue":{"subject":"","project_id":79,"tracker_id":40,"status_id":1,"priority_id":2,"assigned_to_id":23,"start_date":"2017-03-16","description":"","custom_fields":[{"id":1,"name":"Subdivision","value":"NW"},{"id":4,"name":"Milepost","value":"0.0748"},{"id":17,"name":"Train ID","value":"824-16"},{"id":16,"name":"Locomotive ID","value":"4017"},{"id":130,"name":"Impact","value":""},{"id":150,"name":"Time of Event (Mountain Time)","value":"14:56:18"},{"id":151,"name":"Denver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64"/>
        <v>start /low /b %USERPROFILE%\Documents\GitHub\eaglep3\Utilities\DownloadLogsFromS3.py --loco 4017 --day 2017-03-16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756</v>
      </c>
      <c r="B185" s="7">
        <v>4018</v>
      </c>
      <c r="C185" s="21" t="s">
        <v>228</v>
      </c>
      <c r="D185" s="21" t="s">
        <v>965</v>
      </c>
      <c r="E185" s="13">
        <v>42810.623807870368</v>
      </c>
      <c r="F185" s="13">
        <v>42810.639976851853</v>
      </c>
      <c r="G185" s="7">
        <v>1</v>
      </c>
      <c r="H185" s="21" t="s">
        <v>966</v>
      </c>
      <c r="I185" s="13">
        <v>42810.650555555556</v>
      </c>
      <c r="J185" s="7">
        <v>0</v>
      </c>
      <c r="K185" s="98" t="str">
        <f t="shared" si="50"/>
        <v>4017/4018</v>
      </c>
      <c r="L185" s="21" t="str">
        <f>VLOOKUP(A185,'Trips&amp;Operators'!$C$1:$G$99999,5,FALSE)</f>
        <v>FORTUNATO FRANK</v>
      </c>
      <c r="M185" s="6">
        <f t="shared" si="51"/>
        <v>1.0578703702776693E-2</v>
      </c>
      <c r="N185" s="7">
        <f t="shared" si="74"/>
        <v>15.233333331998438</v>
      </c>
      <c r="O185" s="7"/>
      <c r="P185" s="7"/>
      <c r="Q185" s="22"/>
      <c r="R185" s="22"/>
      <c r="S185" s="31">
        <f t="shared" si="75"/>
        <v>1</v>
      </c>
      <c r="T185" s="46" t="str">
        <f t="shared" si="52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3"/>
        <v>https://d0f6bd738d7f1b3e5a7ca70fe4ff75f0.us-east-1.aws.found.io/app/kibana#/discover/Steve-Slow-Train-Analysis-(2080s-and-2083s)?_g=(refreshInterval:(display:Off,pause:!f,section:0,value:0),time:(from:'2017-03-16T13:58:17-0600',mode:absolute,to:'2017-03-16T16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5" s="187" t="str">
        <f t="shared" si="54"/>
        <v>N</v>
      </c>
      <c r="X185" s="187">
        <f t="shared" si="76"/>
        <v>1</v>
      </c>
      <c r="Y185" s="62">
        <f t="shared" si="56"/>
        <v>0.1048</v>
      </c>
      <c r="Z185" s="62">
        <f t="shared" si="77"/>
        <v>5.8930999999999996</v>
      </c>
      <c r="AA185" s="62">
        <f t="shared" si="57"/>
        <v>5.7882999999999996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0825-16</v>
      </c>
      <c r="AE185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85" s="82" t="str">
        <f t="shared" si="60"/>
        <v>"C:\Program Files (x86)\AstroGrep\AstroGrep.exe" /e /r /s /spath="%USERPROFILE%\AppData\Local\Temp\OnboardLogs" /stypes="app*4018*20170316*" /stext=" 21:.+((SYSTEM_STATE.+slice.+state.+changed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825-16 --locoid 4018 --swversion DE.1.0.9.0 --startMP 204:1048 --initTime 2017-03-16T14:58:17 --startdatetime 2017-03-16T15:21:34 --delay 1 --endMP 300:58931 --enddatetime 2017-03-16T15:36:48 --enforcementcount 0 &gt;&gt;C:\Users\stu\Documents\GitHub\eaglep3-reporting\EC\2017-03-16-refined-times.txt</v>
      </c>
      <c r="AI185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{"issue":{"subject":"","project_id":79,"tracker_id":40,"status_id":1,"priority_id":2,"assigned_to_id":23,"start_date":"2017-03-16","description":"","custom_fields":[{"id":1,"name":"Subdivision","value":"NW"},{"id":4,"name":"Milepost","value":"5.8931"},{"id":17,"name":"Train ID","value":"825-16"},{"id":16,"name":"Locomotive ID","value":"4018"},{"id":130,"name":"Impact","value":""},{"id":150,"name":"Time of Event (Mountain Time)","value":"15:36:48"},{"id":151,"name":"Denver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64"/>
        <v>start /low /b %USERPROFILE%\Documents\GitHub\eaglep3\Utilities\DownloadLogsFromS3.py --loco 4018 --day 2017-03-16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86" spans="1:91" x14ac:dyDescent="0.25">
      <c r="A186" s="33" t="s">
        <v>621</v>
      </c>
      <c r="B186" s="7">
        <v>4017</v>
      </c>
      <c r="C186" s="21" t="s">
        <v>228</v>
      </c>
      <c r="D186" s="21" t="s">
        <v>967</v>
      </c>
      <c r="E186" s="13">
        <v>42810.655659722222</v>
      </c>
      <c r="F186" s="13">
        <v>42810.657118055555</v>
      </c>
      <c r="G186" s="7">
        <v>1</v>
      </c>
      <c r="H186" s="21" t="s">
        <v>968</v>
      </c>
      <c r="I186" s="13">
        <v>42810.667662037034</v>
      </c>
      <c r="J186" s="7">
        <v>0</v>
      </c>
      <c r="K186" s="98" t="str">
        <f t="shared" si="50"/>
        <v>4017/4018</v>
      </c>
      <c r="L186" s="21" t="str">
        <f>VLOOKUP(A186,'Trips&amp;Operators'!$C$1:$G$99999,5,FALSE)</f>
        <v>FORTUNATO FRANK</v>
      </c>
      <c r="M186" s="6">
        <f t="shared" si="51"/>
        <v>1.0543981479713693E-2</v>
      </c>
      <c r="N186" s="7">
        <f t="shared" si="74"/>
        <v>15.183333330787718</v>
      </c>
      <c r="O186" s="7"/>
      <c r="P186" s="7"/>
      <c r="Q186" s="22"/>
      <c r="R186" s="22" t="s">
        <v>1039</v>
      </c>
      <c r="S186" s="31">
        <f t="shared" si="75"/>
        <v>1</v>
      </c>
      <c r="T186" s="46" t="str">
        <f t="shared" si="52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3"/>
        <v>https://d0f6bd738d7f1b3e5a7ca70fe4ff75f0.us-east-1.aws.found.io/app/kibana#/discover/Steve-Slow-Train-Analysis-(2080s-and-2083s)?_g=(refreshInterval:(display:Off,pause:!f,section:0,value:0),time:(from:'2017-03-16T14:44:09-0600',mode:absolute,to:'2017-03-16T17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6" s="187" t="str">
        <f t="shared" si="54"/>
        <v>N</v>
      </c>
      <c r="X186" s="187">
        <f t="shared" si="76"/>
        <v>1</v>
      </c>
      <c r="Y186" s="62">
        <f t="shared" si="56"/>
        <v>5.7328999999999999</v>
      </c>
      <c r="Z186" s="62">
        <f t="shared" si="77"/>
        <v>6.7699999999999996E-2</v>
      </c>
      <c r="AA186" s="62">
        <f t="shared" si="57"/>
        <v>5.6651999999999996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0826-16</v>
      </c>
      <c r="AE186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86" s="82" t="str">
        <f t="shared" si="60"/>
        <v>"C:\Program Files (x86)\AstroGrep\AstroGrep.exe" /e /r /s /spath="%USERPROFILE%\AppData\Local\Temp\OnboardLogs" /stypes="app*4017*20170316*" /stext=" 22:.+((SYSTEM_STATE.+slice.+state.+changed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826-16 --locoid 4017 --swversion DE.1.0.9.0 --startMP 300:57329 --initTime 2017-03-16T15:44:09 --startdatetime 2017-03-16T15:46:15 --delay 1 --endMP 204:677 --enddatetime 2017-03-16T16:01:26 --enforcementcount 0 &gt;&gt;C:\Users\stu\Documents\GitHub\eaglep3-reporting\EC\2017-03-16-refined-times.txt</v>
      </c>
      <c r="AI186" s="108" t="str">
        <f t="shared" si="63"/>
        <v>echo {"issue":{"subject":"Delayed by reverser handle in neutral","project_id":79,"tracker_id":40,"status_id":1,"priority_id":2,"assigned_to_id":23,"start_date":"2017-03-16","description":"","custom_fields":[{"id":1,"name":"Subdivision","value":"NW"},{"id":4,"name":"Milepost","value":"0.0677"},{"id":17,"name":"Train ID","value":"826-16"},{"id":16,"name":"Locomotive ID","value":"4017"},{"id":130,"name":"Impact","value":""},{"id":150,"name":"Time of Event (Mountain Time)","value":"16:01:26"},{"id":151,"name":"Denver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64"/>
        <v>start /low /b %USERPROFILE%\Documents\GitHub\eaglep3\Utilities\DownloadLogsFromS3.py --loco 4017 --day 2017-03-16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87" spans="1:91" s="20" customFormat="1" x14ac:dyDescent="0.25">
      <c r="A187" s="33" t="s">
        <v>763</v>
      </c>
      <c r="B187" s="7">
        <v>4009</v>
      </c>
      <c r="C187" s="21" t="s">
        <v>228</v>
      </c>
      <c r="D187" s="21" t="s">
        <v>969</v>
      </c>
      <c r="E187" s="13">
        <v>42810.6562962963</v>
      </c>
      <c r="F187" s="13">
        <v>42810.660717592589</v>
      </c>
      <c r="G187" s="7">
        <v>4</v>
      </c>
      <c r="H187" s="21" t="s">
        <v>970</v>
      </c>
      <c r="I187" s="13">
        <v>42810.670717592591</v>
      </c>
      <c r="J187" s="7">
        <v>0</v>
      </c>
      <c r="K187" s="98" t="str">
        <f t="shared" si="50"/>
        <v>4009/4010</v>
      </c>
      <c r="L187" s="21" t="str">
        <f>VLOOKUP(A187,'Trips&amp;Operators'!$C$1:$G$99999,5,FALSE)</f>
        <v>MENGES BRAD</v>
      </c>
      <c r="M187" s="6">
        <f t="shared" si="51"/>
        <v>1.0000000002037268E-2</v>
      </c>
      <c r="N187" s="7">
        <f t="shared" si="74"/>
        <v>14.400000002933666</v>
      </c>
      <c r="O187" s="7"/>
      <c r="P187" s="7"/>
      <c r="Q187" s="22"/>
      <c r="R187" s="22"/>
      <c r="S187" s="31">
        <f t="shared" si="75"/>
        <v>1</v>
      </c>
      <c r="T187" s="46" t="str">
        <f t="shared" si="52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3"/>
        <v>https://d0f6bd738d7f1b3e5a7ca70fe4ff75f0.us-east-1.aws.found.io/app/kibana#/discover/Steve-Slow-Train-Analysis-(2080s-and-2083s)?_g=(refreshInterval:(display:Off,pause:!f,section:0,value:0),time:(from:'2017-03-16T14:45:04-0600',mode:absolute,to:'2017-03-16T17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7" s="187" t="str">
        <f t="shared" si="54"/>
        <v>N</v>
      </c>
      <c r="X187" s="187">
        <f t="shared" ref="X187:X189" si="78">VALUE(LEFT(AD187,4))-VALUE(LEFT(AD186,4))</f>
        <v>1</v>
      </c>
      <c r="Y187" s="62">
        <f t="shared" si="56"/>
        <v>0.10440000000000001</v>
      </c>
      <c r="Z187" s="62">
        <f t="shared" si="77"/>
        <v>5.899</v>
      </c>
      <c r="AA187" s="62">
        <f t="shared" si="57"/>
        <v>5.7946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0827-16</v>
      </c>
      <c r="AE187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87" s="82" t="str">
        <f t="shared" si="60"/>
        <v>"C:\Program Files (x86)\AstroGrep\AstroGrep.exe" /e /r /s /spath="%USERPROFILE%\AppData\Local\Temp\OnboardLogs" /stypes="app*4009*20170316*" /stext=" 22:.+((SYSTEM_STATE.+slice.+state.+changed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827-16 --locoid 4009 --swversion DE.1.0.9.0 --startMP 204:1044 --initTime 2017-03-16T15:45:04 --startdatetime 2017-03-16T15:51:26 --delay 4 --endMP 300:58990 --enddatetime 2017-03-16T16:05:50 --enforcementcount 0 &gt;&gt;C:\Users\stu\Documents\GitHub\eaglep3-reporting\EC\2017-03-16-refined-times.txt</v>
      </c>
      <c r="AI187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{"issue":{"subject":"","project_id":79,"tracker_id":40,"status_id":1,"priority_id":2,"assigned_to_id":23,"start_date":"2017-03-16","description":"","custom_fields":[{"id":1,"name":"Subdivision","value":"NW"},{"id":4,"name":"Milepost","value":"5.899"},{"id":17,"name":"Train ID","value":"827-16"},{"id":16,"name":"Locomotive ID","value":"4009"},{"id":130,"name":"Impact","value":""},{"id":150,"name":"Time of Event (Mountain Time)","value":"16:05:50"},{"id":151,"name":"Denver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64"/>
        <v>start /low /b %USERPROFILE%\Documents\GitHub\eaglep3\Utilities\DownloadLogsFromS3.py --loco 4009 --day 2017-03-16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767</v>
      </c>
      <c r="B188" s="7">
        <v>4010</v>
      </c>
      <c r="C188" s="21" t="s">
        <v>228</v>
      </c>
      <c r="D188" s="21" t="s">
        <v>971</v>
      </c>
      <c r="E188" s="13">
        <v>42810.671793981484</v>
      </c>
      <c r="F188" s="13">
        <v>42810.673043981478</v>
      </c>
      <c r="G188" s="7">
        <v>1</v>
      </c>
      <c r="H188" s="21" t="s">
        <v>972</v>
      </c>
      <c r="I188" s="13">
        <v>42810.68445601852</v>
      </c>
      <c r="J188" s="7">
        <v>0</v>
      </c>
      <c r="K188" s="98" t="str">
        <f t="shared" si="50"/>
        <v>4009/4010</v>
      </c>
      <c r="L188" s="21" t="str">
        <f>VLOOKUP(A188,'Trips&amp;Operators'!$C$1:$G$99999,5,FALSE)</f>
        <v>MENGES BRAD</v>
      </c>
      <c r="M188" s="6">
        <f t="shared" si="51"/>
        <v>1.1412037041736767E-2</v>
      </c>
      <c r="N188" s="7">
        <f t="shared" si="74"/>
        <v>16.433333340100944</v>
      </c>
      <c r="O188" s="7"/>
      <c r="P188" s="7"/>
      <c r="Q188" s="22"/>
      <c r="R188" s="22"/>
      <c r="S188" s="31">
        <f t="shared" si="75"/>
        <v>1</v>
      </c>
      <c r="T188" s="46" t="str">
        <f t="shared" si="52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3"/>
        <v>https://d0f6bd738d7f1b3e5a7ca70fe4ff75f0.us-east-1.aws.found.io/app/kibana#/discover/Steve-Slow-Train-Analysis-(2080s-and-2083s)?_g=(refreshInterval:(display:Off,pause:!f,section:0,value:0),time:(from:'2017-03-16T15:07:23-0600',mode:absolute,to:'2017-03-16T17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87" t="str">
        <f t="shared" si="54"/>
        <v>N</v>
      </c>
      <c r="X188" s="187">
        <f t="shared" si="78"/>
        <v>1</v>
      </c>
      <c r="Y188" s="62">
        <f t="shared" si="56"/>
        <v>5.8666</v>
      </c>
      <c r="Z188" s="62">
        <f t="shared" si="77"/>
        <v>6.4299999999999996E-2</v>
      </c>
      <c r="AA188" s="62">
        <f t="shared" si="57"/>
        <v>5.8022999999999998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0828-16</v>
      </c>
      <c r="AE188" s="85" t="str">
        <f t="shared" si="59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188" s="82" t="str">
        <f t="shared" si="60"/>
        <v>"C:\Program Files (x86)\AstroGrep\AstroGrep.exe" /e /r /s /spath="%USERPROFILE%\AppData\Local\Temp\OnboardLogs" /stypes="app*4010*20170316*" /stext=" 22:.+((SYSTEM_STATE.+slice.+state.+changed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828-16 --locoid 4010 --swversion DE.1.0.9.0 --startMP 300:58666 --initTime 2017-03-16T16:07:23 --startdatetime 2017-03-16T16:09:11 --delay 1 --endMP 204:643 --enddatetime 2017-03-16T16:25:37 --enforcementcount 0 &gt;&gt;C:\Users\stu\Documents\GitHub\eaglep3-reporting\EC\2017-03-16-refined-times.txt</v>
      </c>
      <c r="AI188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{"issue":{"subject":"","project_id":79,"tracker_id":40,"status_id":1,"priority_id":2,"assigned_to_id":23,"start_date":"2017-03-16","description":"","custom_fields":[{"id":1,"name":"Subdivision","value":"NW"},{"id":4,"name":"Milepost","value":"0.0643"},{"id":17,"name":"Train ID","value":"828-16"},{"id":16,"name":"Locomotive ID","value":"4010"},{"id":130,"name":"Impact","value":""},{"id":150,"name":"Time of Event (Mountain Time)","value":"16:25:37"},{"id":151,"name":"Denver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64"/>
        <v>start /low /b %USERPROFILE%\Documents\GitHub\eaglep3\Utilities\DownloadLogsFromS3.py --loco 4010 --day 2017-03-16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189" spans="1:91" s="20" customFormat="1" x14ac:dyDescent="0.25">
      <c r="A189" s="33" t="s">
        <v>622</v>
      </c>
      <c r="B189" s="7">
        <v>4018</v>
      </c>
      <c r="C189" s="21" t="s">
        <v>228</v>
      </c>
      <c r="D189" s="21" t="s">
        <v>939</v>
      </c>
      <c r="E189" s="13">
        <v>42810.676053240742</v>
      </c>
      <c r="F189" s="13">
        <v>42810.681423611109</v>
      </c>
      <c r="G189" s="7">
        <v>1</v>
      </c>
      <c r="H189" s="21" t="s">
        <v>973</v>
      </c>
      <c r="I189" s="13">
        <v>42810.691319444442</v>
      </c>
      <c r="J189" s="7">
        <v>0</v>
      </c>
      <c r="K189" s="98" t="str">
        <f t="shared" si="50"/>
        <v>4017/4018</v>
      </c>
      <c r="L189" s="21" t="str">
        <f>VLOOKUP(A189,'Trips&amp;Operators'!$C$1:$G$99999,5,FALSE)</f>
        <v>FORTUNATO FRANK</v>
      </c>
      <c r="M189" s="6">
        <f t="shared" si="51"/>
        <v>9.8958333328482695E-3</v>
      </c>
      <c r="N189" s="7">
        <f t="shared" si="74"/>
        <v>14.249999999301508</v>
      </c>
      <c r="O189" s="7"/>
      <c r="P189" s="7"/>
      <c r="Q189" s="22"/>
      <c r="R189" s="22"/>
      <c r="S189" s="31">
        <f t="shared" si="75"/>
        <v>1</v>
      </c>
      <c r="T189" s="46" t="str">
        <f t="shared" si="52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3"/>
        <v>https://d0f6bd738d7f1b3e5a7ca70fe4ff75f0.us-east-1.aws.found.io/app/kibana#/discover/Steve-Slow-Train-Analysis-(2080s-and-2083s)?_g=(refreshInterval:(display:Off,pause:!f,section:0,value:0),time:(from:'2017-03-16T15:13:31-0600',mode:absolute,to:'2017-03-16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9" s="187" t="str">
        <f t="shared" si="54"/>
        <v>N</v>
      </c>
      <c r="X189" s="187">
        <f t="shared" si="78"/>
        <v>1</v>
      </c>
      <c r="Y189" s="62">
        <f t="shared" si="56"/>
        <v>9.74E-2</v>
      </c>
      <c r="Z189" s="62">
        <f t="shared" si="77"/>
        <v>5.8971</v>
      </c>
      <c r="AA189" s="62">
        <f t="shared" si="57"/>
        <v>5.7996999999999996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0829-16</v>
      </c>
      <c r="AE189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89" s="82" t="str">
        <f t="shared" si="60"/>
        <v>"C:\Program Files (x86)\AstroGrep\AstroGrep.exe" /e /r /s /spath="%USERPROFILE%\AppData\Local\Temp\OnboardLogs" /stypes="app*4018*20170316*" /stext=" 22:.+((SYSTEM_STATE.+slice.+state.+changed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829-16 --locoid 4018 --swversion DE.1.0.9.0 --startMP 204:974 --initTime 2017-03-16T16:13:31 --startdatetime 2017-03-16T16:21:15 --delay 1 --endMP 300:58971 --enddatetime 2017-03-16T16:35:30 --enforcementcount 0 &gt;&gt;C:\Users\stu\Documents\GitHub\eaglep3-reporting\EC\2017-03-16-refined-times.txt</v>
      </c>
      <c r="AI189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{"issue":{"subject":"","project_id":79,"tracker_id":40,"status_id":1,"priority_id":2,"assigned_to_id":23,"start_date":"2017-03-16","description":"","custom_fields":[{"id":1,"name":"Subdivision","value":"NW"},{"id":4,"name":"Milepost","value":"5.8971"},{"id":17,"name":"Train ID","value":"829-16"},{"id":16,"name":"Locomotive ID","value":"4018"},{"id":130,"name":"Impact","value":""},{"id":150,"name":"Time of Event (Mountain Time)","value":"16:35:30"},{"id":151,"name":"Denver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64"/>
        <v>start /low /b %USERPROFILE%\Documents\GitHub\eaglep3\Utilities\DownloadLogsFromS3.py --loco 4018 --day 2017-03-16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772</v>
      </c>
      <c r="B190" s="7">
        <v>4017</v>
      </c>
      <c r="C190" s="21" t="s">
        <v>228</v>
      </c>
      <c r="D190" s="21" t="s">
        <v>974</v>
      </c>
      <c r="E190" s="13">
        <v>42810.692523148151</v>
      </c>
      <c r="F190" s="13">
        <v>42810.693877314814</v>
      </c>
      <c r="G190" s="7">
        <v>1</v>
      </c>
      <c r="H190" s="21" t="s">
        <v>578</v>
      </c>
      <c r="I190" s="13">
        <v>42810.705740740741</v>
      </c>
      <c r="J190" s="7">
        <v>0</v>
      </c>
      <c r="K190" s="98" t="str">
        <f t="shared" si="50"/>
        <v>4017/4018</v>
      </c>
      <c r="L190" s="21" t="str">
        <f>VLOOKUP(A190,'Trips&amp;Operators'!$C$1:$G$99999,5,FALSE)</f>
        <v>FORTUNATO FRANK</v>
      </c>
      <c r="M190" s="6">
        <f t="shared" si="51"/>
        <v>1.1863425927003846E-2</v>
      </c>
      <c r="N190" s="7">
        <f t="shared" si="74"/>
        <v>17.083333334885538</v>
      </c>
      <c r="O190" s="7"/>
      <c r="P190" s="7"/>
      <c r="Q190" s="22"/>
      <c r="R190" s="22"/>
      <c r="S190" s="31">
        <f t="shared" si="75"/>
        <v>1</v>
      </c>
      <c r="T190" s="46" t="str">
        <f t="shared" si="52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3"/>
        <v>https://d0f6bd738d7f1b3e5a7ca70fe4ff75f0.us-east-1.aws.found.io/app/kibana#/discover/Steve-Slow-Train-Analysis-(2080s-and-2083s)?_g=(refreshInterval:(display:Off,pause:!f,section:0,value:0),time:(from:'2017-03-16T15:37:14-0600',mode:absolute,to:'2017-03-16T17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0" s="187" t="str">
        <f t="shared" si="54"/>
        <v>N</v>
      </c>
      <c r="X190" s="187">
        <f t="shared" ref="X190:X221" si="79">VALUE(LEFT(AD190,4))-VALUE(LEFT(AD189,4))</f>
        <v>1</v>
      </c>
      <c r="Y190" s="62">
        <f t="shared" si="56"/>
        <v>5.8653000000000004</v>
      </c>
      <c r="Z190" s="62">
        <f t="shared" si="77"/>
        <v>6.8500000000000005E-2</v>
      </c>
      <c r="AA190" s="62">
        <f t="shared" si="57"/>
        <v>5.7968000000000002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0830-16</v>
      </c>
      <c r="AE190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90" s="82" t="str">
        <f t="shared" si="60"/>
        <v>"C:\Program Files (x86)\AstroGrep\AstroGrep.exe" /e /r /s /spath="%USERPROFILE%\AppData\Local\Temp\OnboardLogs" /stypes="app*4017*20170316*" /stext=" 22:.+((SYSTEM_STATE.+slice.+state.+changed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830-16 --locoid 4017 --swversion DE.1.0.9.0 --startMP 300:58653 --initTime 2017-03-16T16:37:14 --startdatetime 2017-03-16T16:39:11 --delay 1 --endMP 204:685 --enddatetime 2017-03-16T16:56:16 --enforcementcount 0 &gt;&gt;C:\Users\stu\Documents\GitHub\eaglep3-reporting\EC\2017-03-16-refined-times.txt</v>
      </c>
      <c r="AI190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{"issue":{"subject":"","project_id":79,"tracker_id":40,"status_id":1,"priority_id":2,"assigned_to_id":23,"start_date":"2017-03-16","description":"","custom_fields":[{"id":1,"name":"Subdivision","value":"NW"},{"id":4,"name":"Milepost","value":"0.0685"},{"id":17,"name":"Train ID","value":"830-16"},{"id":16,"name":"Locomotive ID","value":"4017"},{"id":130,"name":"Impact","value":""},{"id":150,"name":"Time of Event (Mountain Time)","value":"16:56:16"},{"id":151,"name":"Denver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64"/>
        <v>start /low /b %USERPROFILE%\Documents\GitHub\eaglep3\Utilities\DownloadLogsFromS3.py --loco 4017 --day 2017-03-16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91" spans="1:91" x14ac:dyDescent="0.25">
      <c r="A191" s="33" t="s">
        <v>623</v>
      </c>
      <c r="B191" s="7">
        <v>4009</v>
      </c>
      <c r="C191" s="21" t="s">
        <v>228</v>
      </c>
      <c r="D191" s="21" t="s">
        <v>975</v>
      </c>
      <c r="E191" s="13">
        <v>42810.695057870369</v>
      </c>
      <c r="F191" s="13">
        <v>42810.702303240738</v>
      </c>
      <c r="G191" s="7">
        <v>1</v>
      </c>
      <c r="H191" s="21" t="s">
        <v>976</v>
      </c>
      <c r="I191" s="13">
        <v>42810.712719907409</v>
      </c>
      <c r="J191" s="7">
        <v>0</v>
      </c>
      <c r="K191" s="98" t="str">
        <f t="shared" si="50"/>
        <v>4009/4010</v>
      </c>
      <c r="L191" s="21" t="str">
        <f>VLOOKUP(A191,'Trips&amp;Operators'!$C$1:$G$99999,5,FALSE)</f>
        <v>MENGES BRAD</v>
      </c>
      <c r="M191" s="6">
        <f t="shared" si="51"/>
        <v>1.0416666671517305E-2</v>
      </c>
      <c r="N191" s="7">
        <f t="shared" si="74"/>
        <v>15.000000006984919</v>
      </c>
      <c r="O191" s="7"/>
      <c r="P191" s="7"/>
      <c r="Q191" s="22"/>
      <c r="R191" s="22"/>
      <c r="S191" s="31">
        <f t="shared" si="75"/>
        <v>1</v>
      </c>
      <c r="T191" s="46" t="str">
        <f t="shared" si="52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3"/>
        <v>https://d0f6bd738d7f1b3e5a7ca70fe4ff75f0.us-east-1.aws.found.io/app/kibana#/discover/Steve-Slow-Train-Analysis-(2080s-and-2083s)?_g=(refreshInterval:(display:Off,pause:!f,section:0,value:0),time:(from:'2017-03-16T15:40:53-0600',mode:absolute,to:'2017-03-16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1" s="187" t="str">
        <f t="shared" si="54"/>
        <v>N</v>
      </c>
      <c r="X191" s="187">
        <f t="shared" si="79"/>
        <v>1</v>
      </c>
      <c r="Y191" s="62">
        <f t="shared" si="56"/>
        <v>9.2299999999999993E-2</v>
      </c>
      <c r="Z191" s="62">
        <f t="shared" si="77"/>
        <v>5.8959999999999999</v>
      </c>
      <c r="AA191" s="62">
        <f t="shared" si="57"/>
        <v>5.8037000000000001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0831-16</v>
      </c>
      <c r="AE191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91" s="82" t="str">
        <f t="shared" si="60"/>
        <v>"C:\Program Files (x86)\AstroGrep\AstroGrep.exe" /e /r /s /spath="%USERPROFILE%\AppData\Local\Temp\OnboardLogs" /stypes="app*4009*20170316*" /stext=" 23:.+((SYSTEM_STATE.+slice.+state.+changed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831-16 --locoid 4009 --swversion DE.1.0.9.0 --startMP 204:923 --initTime 2017-03-16T16:40:53 --startdatetime 2017-03-16T16:51:19 --delay 1 --endMP 300:58960 --enddatetime 2017-03-16T17:06:19 --enforcementcount 0 &gt;&gt;C:\Users\stu\Documents\GitHub\eaglep3-reporting\EC\2017-03-16-refined-times.txt</v>
      </c>
      <c r="AI191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{"issue":{"subject":"","project_id":79,"tracker_id":40,"status_id":1,"priority_id":2,"assigned_to_id":23,"start_date":"2017-03-16","description":"","custom_fields":[{"id":1,"name":"Subdivision","value":"NW"},{"id":4,"name":"Milepost","value":"5.896"},{"id":17,"name":"Train ID","value":"831-16"},{"id":16,"name":"Locomotive ID","value":"4009"},{"id":130,"name":"Impact","value":""},{"id":150,"name":"Time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64"/>
        <v>start /low /b %USERPROFILE%\Documents\GitHub\eaglep3\Utilities\DownloadLogsFromS3.py --loco 4009 --day 2017-03-16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</row>
    <row r="192" spans="1:91" x14ac:dyDescent="0.25">
      <c r="A192" s="33" t="s">
        <v>624</v>
      </c>
      <c r="B192" s="7">
        <v>4010</v>
      </c>
      <c r="C192" s="21" t="s">
        <v>228</v>
      </c>
      <c r="D192" s="21" t="s">
        <v>587</v>
      </c>
      <c r="E192" s="13">
        <v>42810.71402777778</v>
      </c>
      <c r="F192" s="13">
        <v>42810.715937499997</v>
      </c>
      <c r="G192" s="7">
        <v>2</v>
      </c>
      <c r="H192" s="21" t="s">
        <v>977</v>
      </c>
      <c r="I192" s="13">
        <v>42810.726747685185</v>
      </c>
      <c r="J192" s="7">
        <v>0</v>
      </c>
      <c r="K192" s="98" t="str">
        <f t="shared" si="50"/>
        <v>4009/4010</v>
      </c>
      <c r="L192" s="21" t="str">
        <f>VLOOKUP(A192,'Trips&amp;Operators'!$C$1:$G$99999,5,FALSE)</f>
        <v>MENGES BRAD</v>
      </c>
      <c r="M192" s="6">
        <f t="shared" si="51"/>
        <v>1.0810185187438037E-2</v>
      </c>
      <c r="N192" s="7">
        <f t="shared" si="74"/>
        <v>15.566666669910774</v>
      </c>
      <c r="O192" s="7"/>
      <c r="P192" s="7"/>
      <c r="Q192" s="22"/>
      <c r="R192" s="22"/>
      <c r="S192" s="31">
        <f t="shared" si="75"/>
        <v>1</v>
      </c>
      <c r="T192" s="46" t="str">
        <f t="shared" si="52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3"/>
        <v>https://d0f6bd738d7f1b3e5a7ca70fe4ff75f0.us-east-1.aws.found.io/app/kibana#/discover/Steve-Slow-Train-Analysis-(2080s-and-2083s)?_g=(refreshInterval:(display:Off,pause:!f,section:0,value:0),time:(from:'2017-03-16T16:08:12-0600',mode:absolute,to:'2017-03-16T18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87" t="str">
        <f t="shared" si="54"/>
        <v>N</v>
      </c>
      <c r="X192" s="187">
        <f t="shared" si="79"/>
        <v>1</v>
      </c>
      <c r="Y192" s="62">
        <f t="shared" si="56"/>
        <v>5.8628</v>
      </c>
      <c r="Z192" s="62">
        <f t="shared" si="77"/>
        <v>7.7799999999999994E-2</v>
      </c>
      <c r="AA192" s="62">
        <f t="shared" si="57"/>
        <v>5.7850000000000001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0832-16</v>
      </c>
      <c r="AE192" s="85" t="str">
        <f t="shared" si="59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192" s="82" t="str">
        <f t="shared" si="60"/>
        <v>"C:\Program Files (x86)\AstroGrep\AstroGrep.exe" /e /r /s /spath="%USERPROFILE%\AppData\Local\Temp\OnboardLogs" /stypes="app*4010*20170316*" /stext=" 23:.+((SYSTEM_STATE.+slice.+state.+changed )|(ment ac)|(multiple cpu faults)|(system.+state.+changed )|(\[timeout)|(PRM\|1\|D)|(kpr)|(kdp)|(\|lc)|(penalty))"</v>
      </c>
      <c r="AG192" s="1" t="str">
        <f t="shared" si="61"/>
        <v>NW</v>
      </c>
      <c r="AH192" s="86" t="str">
        <f t="shared" si="62"/>
        <v>"%USERPROFILE%\Documents\GitHub\eaglep3\Utilities\RefineRTDCRunTimes.py" --tripid 832-16 --locoid 4010 --swversion DE.1.0.9.0 --startMP 300:58628 --initTime 2017-03-16T17:08:12 --startdatetime 2017-03-16T17:10:57 --delay 2 --endMP 204:778 --enddatetime 2017-03-16T17:26:31 --enforcementcount 0 &gt;&gt;C:\Users\stu\Documents\GitHub\eaglep3-reporting\EC\2017-03-16-refined-times.txt</v>
      </c>
      <c r="AI192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{"issue":{"subject":"","project_id":79,"tracker_id":40,"status_id":1,"priority_id":2,"assigned_to_id":23,"start_date":"2017-03-16","description":"","custom_fields":[{"id":1,"name":"Subdivision","value":"NW"},{"id":4,"name":"Milepost","value":"0.0778"},{"id":17,"name":"Train ID","value":"832-16"},{"id":16,"name":"Locomotive ID","value":"4010"},{"id":130,"name":"Impact","value":""},{"id":150,"name":"Time of Event (Mountain Time)","value":"17:26:31"},{"id":151,"name":"Denver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64"/>
        <v>start /low /b %USERPROFILE%\Documents\GitHub\eaglep3\Utilities\DownloadLogsFromS3.py --loco 4010 --day 2017-03-16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193" spans="1:40" x14ac:dyDescent="0.25">
      <c r="A193" s="33" t="s">
        <v>625</v>
      </c>
      <c r="B193" s="7">
        <v>4018</v>
      </c>
      <c r="C193" s="21" t="s">
        <v>228</v>
      </c>
      <c r="D193" s="21" t="s">
        <v>511</v>
      </c>
      <c r="E193" s="13">
        <v>42810.715543981481</v>
      </c>
      <c r="F193" s="13">
        <v>42810.723113425927</v>
      </c>
      <c r="G193" s="7">
        <v>1</v>
      </c>
      <c r="H193" s="21" t="s">
        <v>585</v>
      </c>
      <c r="I193" s="13">
        <v>42810.734189814815</v>
      </c>
      <c r="J193" s="7">
        <v>0</v>
      </c>
      <c r="K193" s="98" t="str">
        <f t="shared" si="50"/>
        <v>4017/4018</v>
      </c>
      <c r="L193" s="21" t="str">
        <f>VLOOKUP(A193,'Trips&amp;Operators'!$C$1:$G$99999,5,FALSE)</f>
        <v>FORTUNATO FRANK</v>
      </c>
      <c r="M193" s="6">
        <f t="shared" si="51"/>
        <v>1.1076388887886424E-2</v>
      </c>
      <c r="N193" s="7">
        <f t="shared" si="74"/>
        <v>15.94999999855645</v>
      </c>
      <c r="O193" s="7"/>
      <c r="P193" s="7"/>
      <c r="Q193" s="22"/>
      <c r="R193" s="22"/>
      <c r="S193" s="31">
        <f t="shared" si="75"/>
        <v>1</v>
      </c>
      <c r="T193" s="46" t="str">
        <f t="shared" si="52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3"/>
        <v>https://d0f6bd738d7f1b3e5a7ca70fe4ff75f0.us-east-1.aws.found.io/app/kibana#/discover/Steve-Slow-Train-Analysis-(2080s-and-2083s)?_g=(refreshInterval:(display:Off,pause:!f,section:0,value:0),time:(from:'2017-03-16T16:10:23-0600',mode:absolute,to:'2017-03-16T18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3" s="187" t="str">
        <f t="shared" si="54"/>
        <v>N</v>
      </c>
      <c r="X193" s="187">
        <f t="shared" si="79"/>
        <v>1</v>
      </c>
      <c r="Y193" s="62">
        <f t="shared" si="56"/>
        <v>9.6500000000000002E-2</v>
      </c>
      <c r="Z193" s="62">
        <f t="shared" si="77"/>
        <v>5.8945999999999996</v>
      </c>
      <c r="AA193" s="62">
        <f t="shared" si="57"/>
        <v>5.7980999999999998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0833-16</v>
      </c>
      <c r="AE193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93" s="82" t="str">
        <f t="shared" si="60"/>
        <v>"C:\Program Files (x86)\AstroGrep\AstroGrep.exe" /e /r /s /spath="%USERPROFILE%\AppData\Local\Temp\OnboardLogs" /stypes="app*4018*20170316*" /stext=" 23:.+((SYSTEM_STATE.+slice.+state.+changed )|(ment ac)|(multiple cpu faults)|(system.+state.+changed )|(\[timeout)|(PRM\|1\|D)|(kpr)|(kdp)|(\|lc)|(penalty))"</v>
      </c>
      <c r="AG193" s="1" t="str">
        <f t="shared" si="61"/>
        <v>NW</v>
      </c>
      <c r="AH193" s="86" t="str">
        <f t="shared" si="62"/>
        <v>"%USERPROFILE%\Documents\GitHub\eaglep3\Utilities\RefineRTDCRunTimes.py" --tripid 833-16 --locoid 4018 --swversion DE.1.0.9.0 --startMP 204:965 --initTime 2017-03-16T17:10:23 --startdatetime 2017-03-16T17:21:17 --delay 1 --endMP 300:58946 --enddatetime 2017-03-16T17:37:14 --enforcementcount 0 &gt;&gt;C:\Users\stu\Documents\GitHub\eaglep3-reporting\EC\2017-03-16-refined-times.txt</v>
      </c>
      <c r="AI193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{"issue":{"subject":"","project_id":79,"tracker_id":40,"status_id":1,"priority_id":2,"assigned_to_id":23,"start_date":"2017-03-16","description":"","custom_fields":[{"id":1,"name":"Subdivision","value":"NW"},{"id":4,"name":"Milepost","value":"5.8946"},{"id":17,"name":"Train ID","value":"833-16"},{"id":16,"name":"Locomotive ID","value":"4018"},{"id":130,"name":"Impact","value":""},{"id":150,"name":"Time of Event (Mountain Time)","value":"17:37:14"},{"id":151,"name":"Denver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64"/>
        <v>start /low /b %USERPROFILE%\Documents\GitHub\eaglep3\Utilities\DownloadLogsFromS3.py --loco 4018 --day 2017-03-16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"%USERPROFILE%\AppData\Local\Temp\OnboardLogs"\RTDC4018\*4018*20170316* | grep -SE "(Enforcement Action)|(\[TIMEOUT)|(CHR.+\|PRM\|1\|D.+(SWITCH|SIGNAL).+UNKNOWN)" - &gt;&gt; 2017-03-16-UncaughtWiMAX.txt</v>
      </c>
    </row>
    <row r="194" spans="1:40" x14ac:dyDescent="0.25">
      <c r="A194" s="33" t="s">
        <v>628</v>
      </c>
      <c r="B194" s="7">
        <v>4017</v>
      </c>
      <c r="C194" s="21" t="s">
        <v>228</v>
      </c>
      <c r="D194" s="21" t="s">
        <v>587</v>
      </c>
      <c r="E194" s="13">
        <v>42810.735335648147</v>
      </c>
      <c r="F194" s="13">
        <v>42810.737592592595</v>
      </c>
      <c r="G194" s="7">
        <v>1</v>
      </c>
      <c r="H194" s="21" t="s">
        <v>575</v>
      </c>
      <c r="I194" s="13">
        <v>42810.749178240738</v>
      </c>
      <c r="J194" s="7">
        <v>0</v>
      </c>
      <c r="K194" s="98" t="str">
        <f t="shared" si="50"/>
        <v>4017/4018</v>
      </c>
      <c r="L194" s="21" t="str">
        <f>VLOOKUP(A194,'Trips&amp;Operators'!$C$1:$G$99999,5,FALSE)</f>
        <v>FORTUNATO FRANK</v>
      </c>
      <c r="M194" s="6">
        <f t="shared" si="51"/>
        <v>1.1585648142499849E-2</v>
      </c>
      <c r="N194" s="7">
        <f t="shared" si="74"/>
        <v>16.683333325199783</v>
      </c>
      <c r="O194" s="7"/>
      <c r="P194" s="7"/>
      <c r="Q194" s="22"/>
      <c r="R194" s="22"/>
      <c r="S194" s="31">
        <f t="shared" si="75"/>
        <v>1</v>
      </c>
      <c r="T194" s="46" t="str">
        <f t="shared" si="52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3"/>
        <v>https://d0f6bd738d7f1b3e5a7ca70fe4ff75f0.us-east-1.aws.found.io/app/kibana#/discover/Steve-Slow-Train-Analysis-(2080s-and-2083s)?_g=(refreshInterval:(display:Off,pause:!f,section:0,value:0),time:(from:'2017-03-16T16:38:53-0600',mode:absolute,to:'2017-03-16T18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7" t="str">
        <f t="shared" si="54"/>
        <v>N</v>
      </c>
      <c r="X194" s="187">
        <f t="shared" si="79"/>
        <v>1</v>
      </c>
      <c r="Y194" s="62">
        <f t="shared" si="56"/>
        <v>5.8628</v>
      </c>
      <c r="Z194" s="62">
        <f t="shared" si="77"/>
        <v>6.8000000000000005E-2</v>
      </c>
      <c r="AA194" s="62">
        <f t="shared" si="57"/>
        <v>5.7948000000000004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0834-16</v>
      </c>
      <c r="AE194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94" s="82" t="str">
        <f t="shared" si="60"/>
        <v>"C:\Program Files (x86)\AstroGrep\AstroGrep.exe" /e /r /s /spath="%USERPROFILE%\AppData\Local\Temp\OnboardLogs" /stypes="app*4017*20170316*" /stext=" 23:.+((SYSTEM_STATE.+slice.+state.+changed )|(ment ac)|(multiple cpu faults)|(system.+state.+changed )|(\[timeout)|(PRM\|1\|D)|(kpr)|(kdp)|(\|lc)|(penalty))"</v>
      </c>
      <c r="AG194" s="1" t="str">
        <f t="shared" si="61"/>
        <v>NW</v>
      </c>
      <c r="AH194" s="86" t="str">
        <f t="shared" si="62"/>
        <v>"%USERPROFILE%\Documents\GitHub\eaglep3\Utilities\RefineRTDCRunTimes.py" --tripid 834-16 --locoid 4017 --swversion DE.1.0.9.0 --startMP 300:58628 --initTime 2017-03-16T17:38:53 --startdatetime 2017-03-16T17:42:08 --delay 1 --endMP 204:680 --enddatetime 2017-03-16T17:58:49 --enforcementcount 0 &gt;&gt;C:\Users\stu\Documents\GitHub\eaglep3-reporting\EC\2017-03-16-refined-times.txt</v>
      </c>
      <c r="AI194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{"issue":{"subject":"","project_id":79,"tracker_id":40,"status_id":1,"priority_id":2,"assigned_to_id":23,"start_date":"2017-03-16","description":"","custom_fields":[{"id":1,"name":"Subdivision","value":"NW"},{"id":4,"name":"Milepost","value":"0.068"},{"id":17,"name":"Train ID","value":"834-16"},{"id":16,"name":"Locomotive ID","value":"4017"},{"id":130,"name":"Impact","value":""},{"id":150,"name":"Time of Event (Mountain Time)","value":"17:58:49"},{"id":151,"name":"Denver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64"/>
        <v>start /low /b %USERPROFILE%\Documents\GitHub\eaglep3\Utilities\DownloadLogsFromS3.py --loco 4017 --day 2017-03-16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195" spans="1:40" x14ac:dyDescent="0.25">
      <c r="A195" s="33" t="s">
        <v>629</v>
      </c>
      <c r="B195" s="7">
        <v>4009</v>
      </c>
      <c r="C195" s="21" t="s">
        <v>228</v>
      </c>
      <c r="D195" s="21" t="s">
        <v>978</v>
      </c>
      <c r="E195" s="13">
        <v>42810.741377314815</v>
      </c>
      <c r="F195" s="13">
        <v>42810.744085648148</v>
      </c>
      <c r="G195" s="7">
        <v>1</v>
      </c>
      <c r="H195" s="21" t="s">
        <v>579</v>
      </c>
      <c r="I195" s="13">
        <v>42810.75403935185</v>
      </c>
      <c r="J195" s="7">
        <v>0</v>
      </c>
      <c r="K195" s="98" t="str">
        <f t="shared" si="50"/>
        <v>4009/4010</v>
      </c>
      <c r="L195" s="21" t="str">
        <f>VLOOKUP(A195,'Trips&amp;Operators'!$C$1:$G$99999,5,FALSE)</f>
        <v>MENGES BRAD</v>
      </c>
      <c r="M195" s="6">
        <f t="shared" si="51"/>
        <v>9.9537037021946162E-3</v>
      </c>
      <c r="N195" s="7">
        <f t="shared" ref="N195:N226" si="80">24*60*SUM($M195:$M195)</f>
        <v>14.333333331160247</v>
      </c>
      <c r="O195" s="7"/>
      <c r="P195" s="7"/>
      <c r="Q195" s="22"/>
      <c r="R195" s="22"/>
      <c r="S195" s="31">
        <f t="shared" ref="S195:S226" si="81">SUM(U195:U195)/IF(AG195="EC",12,1)</f>
        <v>1</v>
      </c>
      <c r="T195" s="46" t="str">
        <f t="shared" si="52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3"/>
        <v>https://d0f6bd738d7f1b3e5a7ca70fe4ff75f0.us-east-1.aws.found.io/app/kibana#/discover/Steve-Slow-Train-Analysis-(2080s-and-2083s)?_g=(refreshInterval:(display:Off,pause:!f,section:0,value:0),time:(from:'2017-03-16T16:47:35-0600',mode:absolute,to:'2017-03-16T19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5" s="187" t="str">
        <f t="shared" si="54"/>
        <v>N</v>
      </c>
      <c r="X195" s="187">
        <f t="shared" si="79"/>
        <v>1</v>
      </c>
      <c r="Y195" s="62">
        <f t="shared" si="56"/>
        <v>0.1037</v>
      </c>
      <c r="Z195" s="62">
        <f t="shared" si="77"/>
        <v>5.8958000000000004</v>
      </c>
      <c r="AA195" s="62">
        <f t="shared" si="57"/>
        <v>5.7921000000000005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0835-16</v>
      </c>
      <c r="AE195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95" s="82" t="str">
        <f t="shared" si="60"/>
        <v>"C:\Program Files (x86)\AstroGrep\AstroGrep.exe" /e /r /s /spath="%USERPROFILE%\AppData\Local\Temp\OnboardLogs" /stypes="app*4009*20170317*" /stext=" 00:.+((SYSTEM_STATE.+slice.+state.+changed )|(ment ac)|(multiple cpu faults)|(system.+state.+changed )|(\[timeout)|(PRM\|1\|D)|(kpr)|(kdp)|(\|lc)|(penalty))"</v>
      </c>
      <c r="AG195" s="1" t="str">
        <f t="shared" si="61"/>
        <v>NW</v>
      </c>
      <c r="AH195" s="86" t="str">
        <f t="shared" si="62"/>
        <v>"%USERPROFILE%\Documents\GitHub\eaglep3\Utilities\RefineRTDCRunTimes.py" --tripid 835-16 --locoid 4009 --swversion DE.1.0.9.0 --startMP 204:1037 --initTime 2017-03-16T17:47:35 --startdatetime 2017-03-16T17:51:29 --delay 1 --endMP 300:58958 --enddatetime 2017-03-16T18:05:49 --enforcementcount 0 &gt;&gt;C:\Users\stu\Documents\GitHub\eaglep3-reporting\EC\2017-03-16-refined-times.txt</v>
      </c>
      <c r="AI195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{"issue":{"subject":"","project_id":79,"tracker_id":40,"status_id":1,"priority_id":2,"assigned_to_id":23,"start_date":"2017-03-16","description":"","custom_fields":[{"id":1,"name":"Subdivision","value":"NW"},{"id":4,"name":"Milepost","value":"5.8958"},{"id":17,"name":"Train ID","value":"835-16"},{"id":16,"name":"Locomotive ID","value":"4009"},{"id":130,"name":"Impact","value":""},{"id":150,"name":"Time of Event (Mountain Time)","value":"18:05:49"},{"id":151,"name":"Denver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64"/>
        <v>start /low /b %USERPROFILE%\Documents\GitHub\eaglep3\Utilities\DownloadLogsFromS3.py --loco 4009 --day 2017-03-16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</row>
    <row r="196" spans="1:40" x14ac:dyDescent="0.25">
      <c r="A196" s="33" t="s">
        <v>788</v>
      </c>
      <c r="B196" s="7">
        <v>4010</v>
      </c>
      <c r="C196" s="21" t="s">
        <v>228</v>
      </c>
      <c r="D196" s="21" t="s">
        <v>507</v>
      </c>
      <c r="E196" s="13">
        <v>42810.755902777775</v>
      </c>
      <c r="F196" s="13">
        <v>42810.757997685185</v>
      </c>
      <c r="G196" s="7">
        <v>1</v>
      </c>
      <c r="H196" s="21" t="s">
        <v>979</v>
      </c>
      <c r="I196" s="13">
        <v>42810.771724537037</v>
      </c>
      <c r="J196" s="7">
        <v>0</v>
      </c>
      <c r="K196" s="98" t="str">
        <f t="shared" si="50"/>
        <v>4009/4010</v>
      </c>
      <c r="L196" s="21" t="str">
        <f>VLOOKUP(A196,'Trips&amp;Operators'!$C$1:$G$99999,5,FALSE)</f>
        <v>MENGES BRAD</v>
      </c>
      <c r="M196" s="6">
        <f t="shared" si="51"/>
        <v>1.3726851851970423E-2</v>
      </c>
      <c r="N196" s="7">
        <f t="shared" si="80"/>
        <v>19.766666666837409</v>
      </c>
      <c r="O196" s="7"/>
      <c r="P196" s="7"/>
      <c r="Q196" s="22"/>
      <c r="R196" s="22"/>
      <c r="S196" s="31">
        <f t="shared" si="81"/>
        <v>1</v>
      </c>
      <c r="T196" s="46" t="str">
        <f t="shared" si="52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3"/>
        <v>https://d0f6bd738d7f1b3e5a7ca70fe4ff75f0.us-east-1.aws.found.io/app/kibana#/discover/Steve-Slow-Train-Analysis-(2080s-and-2083s)?_g=(refreshInterval:(display:Off,pause:!f,section:0,value:0),time:(from:'2017-03-16T17:08:30-0600',mode:absolute,to:'2017-03-16T19:31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87" t="str">
        <f t="shared" si="54"/>
        <v>N</v>
      </c>
      <c r="X196" s="187">
        <f t="shared" si="79"/>
        <v>1</v>
      </c>
      <c r="Y196" s="62">
        <f t="shared" si="56"/>
        <v>5.8635999999999999</v>
      </c>
      <c r="Z196" s="62">
        <f t="shared" si="77"/>
        <v>7.2900000000000006E-2</v>
      </c>
      <c r="AA196" s="62">
        <f t="shared" si="57"/>
        <v>5.7907000000000002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0836-16</v>
      </c>
      <c r="AE196" s="85" t="str">
        <f t="shared" si="59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196" s="82" t="str">
        <f t="shared" si="60"/>
        <v>"C:\Program Files (x86)\AstroGrep\AstroGrep.exe" /e /r /s /spath="%USERPROFILE%\AppData\Local\Temp\OnboardLogs" /stypes="app*4010*20170317*" /stext=" 00:.+((SYSTEM_STATE.+slice.+state.+changed )|(ment ac)|(multiple cpu faults)|(system.+state.+changed )|(\[timeout)|(PRM\|1\|D)|(kpr)|(kdp)|(\|lc)|(penalty))"</v>
      </c>
      <c r="AG196" s="1" t="str">
        <f t="shared" si="61"/>
        <v>NW</v>
      </c>
      <c r="AH196" s="86" t="str">
        <f t="shared" si="62"/>
        <v>"%USERPROFILE%\Documents\GitHub\eaglep3\Utilities\RefineRTDCRunTimes.py" --tripid 836-16 --locoid 4010 --swversion DE.1.0.9.0 --startMP 300:58636 --initTime 2017-03-16T18:08:30 --startdatetime 2017-03-16T18:11:31 --delay 1 --endMP 204:729 --enddatetime 2017-03-16T18:31:17 --enforcementcount 0 &gt;&gt;C:\Users\stu\Documents\GitHub\eaglep3-reporting\EC\2017-03-16-refined-times.txt</v>
      </c>
      <c r="AI196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{"issue":{"subject":"","project_id":79,"tracker_id":40,"status_id":1,"priority_id":2,"assigned_to_id":23,"start_date":"2017-03-16","description":"","custom_fields":[{"id":1,"name":"Subdivision","value":"NW"},{"id":4,"name":"Milepost","value":"0.0729"},{"id":17,"name":"Train ID","value":"836-16"},{"id":16,"name":"Locomotive ID","value":"4010"},{"id":130,"name":"Impact","value":""},{"id":150,"name":"Time of Event (Mountain Time)","value":"18:31:17"},{"id":151,"name":"Denver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64"/>
        <v>start /low /b %USERPROFILE%\Documents\GitHub\eaglep3\Utilities\DownloadLogsFromS3.py --loco 4010 --day 2017-03-16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"%USERPROFILE%\AppData\Local\Temp\OnboardLogs"\RTDC4010\*4010*20170317* | grep -SE "(Enforcement Action)|(\[TIMEOUT)|(CHR.+\|PRM\|1\|D.+(SWITCH|SIGNAL).+UNKNOWN)" - &gt;&gt; 2017-03-16-UncaughtWiMAX.txt</v>
      </c>
    </row>
    <row r="197" spans="1:40" x14ac:dyDescent="0.25">
      <c r="A197" s="33" t="s">
        <v>790</v>
      </c>
      <c r="B197" s="7">
        <v>4018</v>
      </c>
      <c r="C197" s="21" t="s">
        <v>228</v>
      </c>
      <c r="D197" s="21" t="s">
        <v>577</v>
      </c>
      <c r="E197" s="13">
        <v>42810.757557870369</v>
      </c>
      <c r="F197" s="13">
        <v>42810.764745370368</v>
      </c>
      <c r="G197" s="7">
        <v>1</v>
      </c>
      <c r="H197" s="21" t="s">
        <v>449</v>
      </c>
      <c r="I197" s="13">
        <v>42810.774780092594</v>
      </c>
      <c r="J197" s="7">
        <v>0</v>
      </c>
      <c r="K197" s="98" t="str">
        <f t="shared" si="50"/>
        <v>4017/4018</v>
      </c>
      <c r="L197" s="21" t="str">
        <f>VLOOKUP(A197,'Trips&amp;Operators'!$C$1:$G$99999,5,FALSE)</f>
        <v>FORTUNATO FRANK</v>
      </c>
      <c r="M197" s="6">
        <f t="shared" si="51"/>
        <v>1.0034722225100268E-2</v>
      </c>
      <c r="N197" s="7">
        <f t="shared" si="80"/>
        <v>14.450000004144385</v>
      </c>
      <c r="O197" s="7"/>
      <c r="P197" s="7"/>
      <c r="Q197" s="22"/>
      <c r="R197" s="22"/>
      <c r="S197" s="31">
        <f t="shared" si="81"/>
        <v>1</v>
      </c>
      <c r="T197" s="46" t="str">
        <f t="shared" si="52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3"/>
        <v>https://d0f6bd738d7f1b3e5a7ca70fe4ff75f0.us-east-1.aws.found.io/app/kibana#/discover/Steve-Slow-Train-Analysis-(2080s-and-2083s)?_g=(refreshInterval:(display:Off,pause:!f,section:0,value:0),time:(from:'2017-03-16T17:10:53-0600',mode:absolute,to:'2017-03-16T19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7" s="187" t="str">
        <f t="shared" si="54"/>
        <v>N</v>
      </c>
      <c r="X197" s="187">
        <f t="shared" si="79"/>
        <v>1</v>
      </c>
      <c r="Y197" s="62">
        <f t="shared" si="56"/>
        <v>9.8100000000000007E-2</v>
      </c>
      <c r="Z197" s="62">
        <f t="shared" si="77"/>
        <v>5.8939000000000004</v>
      </c>
      <c r="AA197" s="62">
        <f t="shared" si="57"/>
        <v>5.7958000000000007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0837-16</v>
      </c>
      <c r="AE197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197" s="82" t="str">
        <f t="shared" si="60"/>
        <v>"C:\Program Files (x86)\AstroGrep\AstroGrep.exe" /e /r /s /spath="%USERPROFILE%\AppData\Local\Temp\OnboardLogs" /stypes="app*4018*20170317*" /stext=" 00:.+((SYSTEM_STATE.+slice.+state.+changed )|(ment ac)|(multiple cpu faults)|(system.+state.+changed )|(\[timeout)|(PRM\|1\|D)|(kpr)|(kdp)|(\|lc)|(penalty))"</v>
      </c>
      <c r="AG197" s="1" t="str">
        <f t="shared" si="61"/>
        <v>NW</v>
      </c>
      <c r="AH197" s="86" t="str">
        <f t="shared" si="62"/>
        <v>"%USERPROFILE%\Documents\GitHub\eaglep3\Utilities\RefineRTDCRunTimes.py" --tripid 837-16 --locoid 4018 --swversion DE.1.0.9.0 --startMP 204:981 --initTime 2017-03-16T18:10:53 --startdatetime 2017-03-16T18:21:14 --delay 1 --endMP 300:58939 --enddatetime 2017-03-16T18:35:41 --enforcementcount 0 &gt;&gt;C:\Users\stu\Documents\GitHub\eaglep3-reporting\EC\2017-03-16-refined-times.txt</v>
      </c>
      <c r="AI197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{"issue":{"subject":"","project_id":79,"tracker_id":40,"status_id":1,"priority_id":2,"assigned_to_id":23,"start_date":"2017-03-16","description":"","custom_fields":[{"id":1,"name":"Subdivision","value":"NW"},{"id":4,"name":"Milepost","value":"5.8939"},{"id":17,"name":"Train ID","value":"837-16"},{"id":16,"name":"Locomotive ID","value":"4018"},{"id":130,"name":"Impact","value":""},{"id":150,"name":"Time of Event (Mountain Time)","value":"18:35:41"},{"id":151,"name":"Denver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64"/>
        <v>start /low /b %USERPROFILE%\Documents\GitHub\eaglep3\Utilities\DownloadLogsFromS3.py --loco 4018 --day 2017-03-16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198" spans="1:40" x14ac:dyDescent="0.25">
      <c r="A198" s="33" t="s">
        <v>632</v>
      </c>
      <c r="B198" s="7">
        <v>4017</v>
      </c>
      <c r="C198" s="21" t="s">
        <v>228</v>
      </c>
      <c r="D198" s="21" t="s">
        <v>980</v>
      </c>
      <c r="E198" s="13">
        <v>42810.775787037041</v>
      </c>
      <c r="F198" s="13">
        <v>42810.777199074073</v>
      </c>
      <c r="G198" s="7">
        <v>1</v>
      </c>
      <c r="H198" s="21" t="s">
        <v>981</v>
      </c>
      <c r="I198" s="13">
        <v>42810.789629629631</v>
      </c>
      <c r="J198" s="7">
        <v>0</v>
      </c>
      <c r="K198" s="98" t="str">
        <f t="shared" si="50"/>
        <v>4017/4018</v>
      </c>
      <c r="L198" s="21" t="str">
        <f>VLOOKUP(A198,'Trips&amp;Operators'!$C$1:$G$99999,5,FALSE)</f>
        <v>FORTUNATO FRANK</v>
      </c>
      <c r="M198" s="6">
        <f t="shared" si="51"/>
        <v>1.2430555558239575E-2</v>
      </c>
      <c r="N198" s="7">
        <f t="shared" si="80"/>
        <v>17.900000003864989</v>
      </c>
      <c r="O198" s="7"/>
      <c r="P198" s="7"/>
      <c r="Q198" s="22"/>
      <c r="R198" s="22"/>
      <c r="S198" s="31">
        <f t="shared" si="81"/>
        <v>1</v>
      </c>
      <c r="T198" s="46" t="str">
        <f t="shared" si="52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3"/>
        <v>https://d0f6bd738d7f1b3e5a7ca70fe4ff75f0.us-east-1.aws.found.io/app/kibana#/discover/Steve-Slow-Train-Analysis-(2080s-and-2083s)?_g=(refreshInterval:(display:Off,pause:!f,section:0,value:0),time:(from:'2017-03-16T17:37:08-0600',mode:absolute,to:'2017-03-16T19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8" s="187" t="str">
        <f t="shared" si="54"/>
        <v>N</v>
      </c>
      <c r="X198" s="187">
        <f t="shared" si="79"/>
        <v>1</v>
      </c>
      <c r="Y198" s="62">
        <f t="shared" si="56"/>
        <v>5.8624999999999998</v>
      </c>
      <c r="Z198" s="62">
        <v>7.0000000000000007E-2</v>
      </c>
      <c r="AA198" s="62">
        <f t="shared" si="57"/>
        <v>5.7924999999999995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0838-16</v>
      </c>
      <c r="AE198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198" s="82" t="str">
        <f t="shared" si="60"/>
        <v>"C:\Program Files (x86)\AstroGrep\AstroGrep.exe" /e /r /s /spath="%USERPROFILE%\AppData\Local\Temp\OnboardLogs" /stypes="app*4017*20170317*" /stext=" 00:.+((SYSTEM_STATE.+slice.+state.+changed )|(ment ac)|(multiple cpu faults)|(system.+state.+changed )|(\[timeout)|(PRM\|1\|D)|(kpr)|(kdp)|(\|lc)|(penalty))"</v>
      </c>
      <c r="AG198" s="1" t="str">
        <f t="shared" si="61"/>
        <v>NW</v>
      </c>
      <c r="AH198" s="86" t="str">
        <f t="shared" si="62"/>
        <v>"%USERPROFILE%\Documents\GitHub\eaglep3\Utilities\RefineRTDCRunTimes.py" --tripid 838-16 --locoid 4017 --swversion DE.1.0.9.0 --startMP 300:58625 --initTime 2017-03-16T18:37:08 --startdatetime 2017-03-16T18:39:10 --delay 1 --endMP 300:57827 --enddatetime 2017-03-16T18:57:04 --enforcementcount 0 &gt;&gt;C:\Users\stu\Documents\GitHub\eaglep3-reporting\EC\2017-03-16-refined-times.txt</v>
      </c>
      <c r="AI198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{"issue":{"subject":"","project_id":79,"tracker_id":40,"status_id":1,"priority_id":2,"assigned_to_id":23,"start_date":"2017-03-16","description":"","custom_fields":[{"id":1,"name":"Subdivision","value":"NW"},{"id":4,"name":"Milepost","value":"0.07"},{"id":17,"name":"Train ID","value":"838-16"},{"id":16,"name":"Locomotive ID","value":"4017"},{"id":130,"name":"Impact","value":""},{"id":150,"name":"Time of Event (Mountain Time)","value":"18:57:04"},{"id":151,"name":"Denver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64"/>
        <v>start /low /b %USERPROFILE%\Documents\GitHub\eaglep3\Utilities\DownloadLogsFromS3.py --loco 4017 --day 2017-03-16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2017-03-16-UncaughtWiMAX.txt</v>
      </c>
    </row>
    <row r="199" spans="1:40" x14ac:dyDescent="0.25">
      <c r="A199" s="33" t="s">
        <v>633</v>
      </c>
      <c r="B199" s="7">
        <v>4009</v>
      </c>
      <c r="C199" s="21" t="s">
        <v>228</v>
      </c>
      <c r="D199" s="21" t="s">
        <v>982</v>
      </c>
      <c r="E199" s="13">
        <v>42810.780717592592</v>
      </c>
      <c r="F199" s="13">
        <v>42810.785798611112</v>
      </c>
      <c r="G199" s="7">
        <v>1</v>
      </c>
      <c r="H199" s="21" t="s">
        <v>581</v>
      </c>
      <c r="I199" s="13">
        <v>42810.796307870369</v>
      </c>
      <c r="J199" s="7">
        <v>0</v>
      </c>
      <c r="K199" s="98" t="str">
        <f t="shared" si="50"/>
        <v>4009/4010</v>
      </c>
      <c r="L199" s="21" t="str">
        <f>VLOOKUP(A199,'Trips&amp;Operators'!$C$1:$G$99999,5,FALSE)</f>
        <v>MENGES BRAD</v>
      </c>
      <c r="M199" s="6">
        <f t="shared" si="51"/>
        <v>1.0509259256650694E-2</v>
      </c>
      <c r="N199" s="7">
        <f t="shared" si="80"/>
        <v>15.133333329576999</v>
      </c>
      <c r="O199" s="7"/>
      <c r="P199" s="7"/>
      <c r="Q199" s="22"/>
      <c r="R199" s="22"/>
      <c r="S199" s="31">
        <f t="shared" si="81"/>
        <v>1</v>
      </c>
      <c r="T199" s="46" t="str">
        <f t="shared" si="52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3"/>
        <v>https://d0f6bd738d7f1b3e5a7ca70fe4ff75f0.us-east-1.aws.found.io/app/kibana#/discover/Steve-Slow-Train-Analysis-(2080s-and-2083s)?_g=(refreshInterval:(display:Off,pause:!f,section:0,value:0),time:(from:'2017-03-16T17:44:14-0600',mode:absolute,to:'2017-03-16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87" t="str">
        <f t="shared" si="54"/>
        <v>N</v>
      </c>
      <c r="X199" s="187">
        <f t="shared" si="79"/>
        <v>1</v>
      </c>
      <c r="Y199" s="62">
        <f t="shared" si="56"/>
        <v>0.10199999999999999</v>
      </c>
      <c r="Z199" s="62">
        <f t="shared" ref="Z199:Z244" si="82">RIGHT(H199,LEN(H199)-4)/10000</f>
        <v>5.8943000000000003</v>
      </c>
      <c r="AA199" s="62">
        <f t="shared" si="57"/>
        <v>5.7923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0839-16</v>
      </c>
      <c r="AE199" s="85" t="str">
        <f t="shared" si="59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199" s="82" t="str">
        <f t="shared" si="60"/>
        <v>"C:\Program Files (x86)\AstroGrep\AstroGrep.exe" /e /r /s /spath="%USERPROFILE%\AppData\Local\Temp\OnboardLogs" /stypes="app*4009*20170317*" /stext=" 01:.+((SYSTEM_STATE.+slice.+state.+changed )|(ment ac)|(multiple cpu faults)|(system.+state.+changed )|(\[timeout)|(PRM\|1\|D)|(kpr)|(kdp)|(\|lc)|(penalty))"</v>
      </c>
      <c r="AG199" s="1" t="str">
        <f t="shared" si="61"/>
        <v>NW</v>
      </c>
      <c r="AH199" s="86" t="str">
        <f t="shared" si="62"/>
        <v>"%USERPROFILE%\Documents\GitHub\eaglep3\Utilities\RefineRTDCRunTimes.py" --tripid 839-16 --locoid 4009 --swversion DE.1.0.9.0 --startMP 204:1020 --initTime 2017-03-16T18:44:14 --startdatetime 2017-03-16T18:51:33 --delay 1 --endMP 300:58943 --enddatetime 2017-03-16T19:06:41 --enforcementcount 0 &gt;&gt;C:\Users\stu\Documents\GitHub\eaglep3-reporting\EC\2017-03-16-refined-times.txt</v>
      </c>
      <c r="AI199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{"issue":{"subject":"","project_id":79,"tracker_id":40,"status_id":1,"priority_id":2,"assigned_to_id":23,"start_date":"2017-03-16","description":"","custom_fields":[{"id":1,"name":"Subdivision","value":"NW"},{"id":4,"name":"Milepost","value":"5.8943"},{"id":17,"name":"Train ID","value":"839-16"},{"id":16,"name":"Locomotive ID","value":"4009"},{"id":130,"name":"Impact","value":""},{"id":150,"name":"Time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64"/>
        <v>start /low /b %USERPROFILE%\Documents\GitHub\eaglep3\Utilities\DownloadLogsFromS3.py --loco 4009 --day 2017-03-16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"%USERPROFILE%\AppData\Local\Temp\OnboardLogs"\RTDC4009\*4009*20170317* | grep -SE "(Enforcement Action)|(\[TIMEOUT)|(CHR.+\|PRM\|1\|D.+(SWITCH|SIGNAL).+UNKNOWN)" - &gt;&gt; 2017-03-16-UncaughtWiMAX.txt</v>
      </c>
    </row>
    <row r="200" spans="1:40" x14ac:dyDescent="0.25">
      <c r="A200" s="33" t="s">
        <v>804</v>
      </c>
      <c r="B200" s="7">
        <v>4017</v>
      </c>
      <c r="C200" s="21" t="s">
        <v>228</v>
      </c>
      <c r="D200" s="21" t="s">
        <v>983</v>
      </c>
      <c r="E200" s="13">
        <v>42810.817696759259</v>
      </c>
      <c r="F200" s="13">
        <v>42810.819305555553</v>
      </c>
      <c r="G200" s="7">
        <v>1</v>
      </c>
      <c r="H200" s="21" t="s">
        <v>580</v>
      </c>
      <c r="I200" s="13">
        <v>42810.832592592589</v>
      </c>
      <c r="J200" s="7">
        <v>0</v>
      </c>
      <c r="K200" s="98" t="str">
        <f t="shared" si="50"/>
        <v>4017/4018</v>
      </c>
      <c r="L200" s="21" t="str">
        <f>VLOOKUP(A200,'Trips&amp;Operators'!$C$1:$G$99999,5,FALSE)</f>
        <v>FORTUNATO FRANK</v>
      </c>
      <c r="M200" s="6">
        <f t="shared" si="51"/>
        <v>1.3287037036207039E-2</v>
      </c>
      <c r="N200" s="7">
        <f t="shared" si="80"/>
        <v>19.133333332138136</v>
      </c>
      <c r="O200" s="7"/>
      <c r="P200" s="7"/>
      <c r="Q200" s="22"/>
      <c r="R200" s="22"/>
      <c r="S200" s="31">
        <f t="shared" si="81"/>
        <v>1</v>
      </c>
      <c r="T200" s="46" t="str">
        <f t="shared" si="52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3"/>
        <v>https://d0f6bd738d7f1b3e5a7ca70fe4ff75f0.us-east-1.aws.found.io/app/kibana#/discover/Steve-Slow-Train-Analysis-(2080s-and-2083s)?_g=(refreshInterval:(display:Off,pause:!f,section:0,value:0),time:(from:'2017-03-16T18:37:29-0600',mode:absolute,to:'2017-03-16T20:58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0" s="187" t="str">
        <f t="shared" si="54"/>
        <v>N</v>
      </c>
      <c r="X200" s="187">
        <f t="shared" si="79"/>
        <v>1</v>
      </c>
      <c r="Y200" s="62">
        <f t="shared" si="56"/>
        <v>5.8634000000000004</v>
      </c>
      <c r="Z200" s="62">
        <f t="shared" si="82"/>
        <v>6.9599999999999995E-2</v>
      </c>
      <c r="AA200" s="62">
        <f t="shared" si="57"/>
        <v>5.7938000000000001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0840-16</v>
      </c>
      <c r="AE200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200" s="82" t="str">
        <f t="shared" si="60"/>
        <v>"C:\Program Files (x86)\AstroGrep\AstroGrep.exe" /e /r /s /spath="%USERPROFILE%\AppData\Local\Temp\OnboardLogs" /stypes="app*4017*20170317*" /stext=" 01:.+((SYSTEM_STATE.+slice.+state.+changed )|(ment ac)|(multiple cpu faults)|(system.+state.+changed )|(\[timeout)|(PRM\|1\|D)|(kpr)|(kdp)|(\|lc)|(penalty))"</v>
      </c>
      <c r="AG200" s="1" t="str">
        <f t="shared" si="61"/>
        <v>NW</v>
      </c>
      <c r="AH200" s="86" t="str">
        <f t="shared" si="62"/>
        <v>"%USERPROFILE%\Documents\GitHub\eaglep3\Utilities\RefineRTDCRunTimes.py" --tripid 840-16 --locoid 4017 --swversion DE.1.0.9.0 --startMP 300:58634 --initTime 2017-03-16T19:37:29 --startdatetime 2017-03-16T19:39:48 --delay 1 --endMP 204:696 --enddatetime 2017-03-16T19:58:56 --enforcementcount 0 &gt;&gt;C:\Users\stu\Documents\GitHub\eaglep3-reporting\EC\2017-03-16-refined-times.txt</v>
      </c>
      <c r="AI200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{"issue":{"subject":"","project_id":79,"tracker_id":40,"status_id":1,"priority_id":2,"assigned_to_id":23,"start_date":"2017-03-16","description":"","custom_fields":[{"id":1,"name":"Subdivision","value":"NW"},{"id":4,"name":"Milepost","value":"0.0696"},{"id":17,"name":"Train ID","value":"840-16"},{"id":16,"name":"Locomotive ID","value":"4017"},{"id":130,"name":"Impact","value":""},{"id":150,"name":"Time of Event (Mountain Time)","value":"19:58:56"},{"id":151,"name":"Denver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64"/>
        <v>start /low /b %USERPROFILE%\Documents\GitHub\eaglep3\Utilities\DownloadLogsFromS3.py --loco 4017 --day 2017-03-16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2017-03-16-UncaughtWiMAX.txt</v>
      </c>
    </row>
    <row r="201" spans="1:40" x14ac:dyDescent="0.25">
      <c r="A201" s="33" t="s">
        <v>802</v>
      </c>
      <c r="B201" s="7">
        <v>4018</v>
      </c>
      <c r="C201" s="21" t="s">
        <v>228</v>
      </c>
      <c r="D201" s="21" t="s">
        <v>984</v>
      </c>
      <c r="E201" s="13">
        <v>42810.800520833334</v>
      </c>
      <c r="F201" s="13">
        <v>42810.806423611109</v>
      </c>
      <c r="G201" s="7">
        <v>1</v>
      </c>
      <c r="H201" s="21" t="s">
        <v>509</v>
      </c>
      <c r="I201" s="13">
        <v>42810.816608796296</v>
      </c>
      <c r="J201" s="7">
        <v>0</v>
      </c>
      <c r="K201" s="98" t="str">
        <f t="shared" si="50"/>
        <v>4017/4018</v>
      </c>
      <c r="L201" s="21" t="str">
        <f>VLOOKUP(A201,'Trips&amp;Operators'!$C$1:$G$99999,5,FALSE)</f>
        <v>FORTUNATO FRANK</v>
      </c>
      <c r="M201" s="6">
        <f t="shared" si="51"/>
        <v>1.0185185186855961E-2</v>
      </c>
      <c r="N201" s="7">
        <f t="shared" si="80"/>
        <v>14.666666669072583</v>
      </c>
      <c r="O201" s="7"/>
      <c r="P201" s="7"/>
      <c r="Q201" s="22"/>
      <c r="R201" s="22"/>
      <c r="S201" s="31">
        <f t="shared" si="81"/>
        <v>1</v>
      </c>
      <c r="T201" s="46" t="str">
        <f t="shared" si="52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3"/>
        <v>https://d0f6bd738d7f1b3e5a7ca70fe4ff75f0.us-east-1.aws.found.io/app/kibana#/discover/Steve-Slow-Train-Analysis-(2080s-and-2083s)?_g=(refreshInterval:(display:Off,pause:!f,section:0,value:0),time:(from:'2017-03-16T18:12:45-0600',mode:absolute,to:'2017-03-16T20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187" t="str">
        <f t="shared" si="54"/>
        <v>N</v>
      </c>
      <c r="X201" s="187">
        <f t="shared" si="79"/>
        <v>1</v>
      </c>
      <c r="Y201" s="62">
        <f t="shared" si="56"/>
        <v>0.1014</v>
      </c>
      <c r="Z201" s="62">
        <f t="shared" si="82"/>
        <v>5.8954000000000004</v>
      </c>
      <c r="AA201" s="62">
        <f t="shared" si="57"/>
        <v>5.7940000000000005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0841-16</v>
      </c>
      <c r="AE201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201" s="82" t="str">
        <f t="shared" si="60"/>
        <v>"C:\Program Files (x86)\AstroGrep\AstroGrep.exe" /e /r /s /spath="%USERPROFILE%\AppData\Local\Temp\OnboardLogs" /stypes="app*4018*20170317*" /stext=" 01:.+((SYSTEM_STATE.+slice.+state.+changed )|(ment ac)|(multiple cpu faults)|(system.+state.+changed )|(\[timeout)|(PRM\|1\|D)|(kpr)|(kdp)|(\|lc)|(penalty))"</v>
      </c>
      <c r="AG201" s="1" t="str">
        <f t="shared" si="61"/>
        <v>NW</v>
      </c>
      <c r="AH201" s="86" t="str">
        <f t="shared" si="62"/>
        <v>"%USERPROFILE%\Documents\GitHub\eaglep3\Utilities\RefineRTDCRunTimes.py" --tripid 841-16 --locoid 4018 --swversion DE.1.0.9.0 --startMP 204:1014 --initTime 2017-03-16T19:12:45 --startdatetime 2017-03-16T19:21:15 --delay 1 --endMP 300:58954 --enddatetime 2017-03-16T19:35:55 --enforcementcount 0 &gt;&gt;C:\Users\stu\Documents\GitHub\eaglep3-reporting\EC\2017-03-16-refined-times.txt</v>
      </c>
      <c r="AI201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{"issue":{"subject":"","project_id":79,"tracker_id":40,"status_id":1,"priority_id":2,"assigned_to_id":23,"start_date":"2017-03-16","description":"","custom_fields":[{"id":1,"name":"Subdivision","value":"NW"},{"id":4,"name":"Milepost","value":"5.8954"},{"id":17,"name":"Train ID","value":"841-16"},{"id":16,"name":"Locomotive ID","value":"4018"},{"id":130,"name":"Impact","value":""},{"id":150,"name":"Time of Event (Mountain Time)","value":"19:35:55"},{"id":151,"name":"Denver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64"/>
        <v>start /low /b %USERPROFILE%\Documents\GitHub\eaglep3\Utilities\DownloadLogsFromS3.py --loco 4018 --day 2017-03-16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202" spans="1:40" x14ac:dyDescent="0.25">
      <c r="A202" s="33" t="s">
        <v>812</v>
      </c>
      <c r="B202" s="7">
        <v>4017</v>
      </c>
      <c r="C202" s="21" t="s">
        <v>228</v>
      </c>
      <c r="D202" s="21" t="s">
        <v>985</v>
      </c>
      <c r="E202" s="13">
        <v>42810.859814814816</v>
      </c>
      <c r="F202" s="13">
        <v>42810.861238425925</v>
      </c>
      <c r="G202" s="7">
        <v>1</v>
      </c>
      <c r="H202" s="21" t="s">
        <v>952</v>
      </c>
      <c r="I202" s="13">
        <v>42810.871990740743</v>
      </c>
      <c r="J202" s="7">
        <v>0</v>
      </c>
      <c r="K202" s="98" t="str">
        <f t="shared" si="50"/>
        <v>4017/4018</v>
      </c>
      <c r="L202" s="21" t="str">
        <f>VLOOKUP(A202,'Trips&amp;Operators'!$C$1:$G$99999,5,FALSE)</f>
        <v>FORTUNATO FRANK</v>
      </c>
      <c r="M202" s="6">
        <f t="shared" si="51"/>
        <v>1.0752314818091691E-2</v>
      </c>
      <c r="N202" s="7">
        <f t="shared" si="80"/>
        <v>15.483333338052034</v>
      </c>
      <c r="O202" s="7"/>
      <c r="P202" s="7"/>
      <c r="Q202" s="22"/>
      <c r="R202" s="22"/>
      <c r="S202" s="31">
        <f t="shared" si="81"/>
        <v>1</v>
      </c>
      <c r="T202" s="46" t="str">
        <f t="shared" si="52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3"/>
        <v>https://d0f6bd738d7f1b3e5a7ca70fe4ff75f0.us-east-1.aws.found.io/app/kibana#/discover/Steve-Slow-Train-Analysis-(2080s-and-2083s)?_g=(refreshInterval:(display:Off,pause:!f,section:0,value:0),time:(from:'2017-03-16T19:38:08-0600',mode:absolute,to:'2017-03-16T21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2" s="187" t="str">
        <f t="shared" si="54"/>
        <v>N</v>
      </c>
      <c r="X202" s="187">
        <f t="shared" si="79"/>
        <v>1</v>
      </c>
      <c r="Y202" s="62">
        <f t="shared" si="56"/>
        <v>5.8619000000000003</v>
      </c>
      <c r="Z202" s="62">
        <f t="shared" si="82"/>
        <v>6.9099999999999995E-2</v>
      </c>
      <c r="AA202" s="62">
        <f t="shared" si="57"/>
        <v>5.7928000000000006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0842-16</v>
      </c>
      <c r="AE202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202" s="82" t="str">
        <f t="shared" si="60"/>
        <v>"C:\Program Files (x86)\AstroGrep\AstroGrep.exe" /e /r /s /spath="%USERPROFILE%\AppData\Local\Temp\OnboardLogs" /stypes="app*4017*20170317*" /stext=" 02:.+((SYSTEM_STATE.+slice.+state.+changed )|(ment ac)|(multiple cpu faults)|(system.+state.+changed )|(\[timeout)|(PRM\|1\|D)|(kpr)|(kdp)|(\|lc)|(penalty))"</v>
      </c>
      <c r="AG202" s="1" t="str">
        <f t="shared" si="61"/>
        <v>NW</v>
      </c>
      <c r="AH202" s="86" t="str">
        <f t="shared" si="62"/>
        <v>"%USERPROFILE%\Documents\GitHub\eaglep3\Utilities\RefineRTDCRunTimes.py" --tripid 842-16 --locoid 4017 --swversion DE.1.0.9.0 --startMP 300:58619 --initTime 2017-03-16T20:38:08 --startdatetime 2017-03-16T20:40:11 --delay 1 --endMP 204:691 --enddatetime 2017-03-16T20:55:40 --enforcementcount 0 &gt;&gt;C:\Users\stu\Documents\GitHub\eaglep3-reporting\EC\2017-03-16-refined-times.txt</v>
      </c>
      <c r="AI202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{"issue":{"subject":"","project_id":79,"tracker_id":40,"status_id":1,"priority_id":2,"assigned_to_id":23,"start_date":"2017-03-16","description":"","custom_fields":[{"id":1,"name":"Subdivision","value":"NW"},{"id":4,"name":"Milepost","value":"0.0691"},{"id":17,"name":"Train ID","value":"842-16"},{"id":16,"name":"Locomotive ID","value":"4017"},{"id":130,"name":"Impact","value":""},{"id":150,"name":"Time of Event (Mountain Time)","value":"20:55:40"},{"id":151,"name":"Denver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64"/>
        <v>start /low /b %USERPROFILE%\Documents\GitHub\eaglep3\Utilities\DownloadLogsFromS3.py --loco 4017 --day 2017-03-16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2017-03-16-UncaughtWiMAX.txt</v>
      </c>
    </row>
    <row r="203" spans="1:40" x14ac:dyDescent="0.25">
      <c r="A203" s="33" t="s">
        <v>811</v>
      </c>
      <c r="B203" s="7">
        <v>4018</v>
      </c>
      <c r="C203" s="21" t="s">
        <v>228</v>
      </c>
      <c r="D203" s="21" t="s">
        <v>939</v>
      </c>
      <c r="E203" s="13">
        <v>42810.844178240739</v>
      </c>
      <c r="F203" s="13">
        <v>42810.848136574074</v>
      </c>
      <c r="G203" s="7">
        <v>1</v>
      </c>
      <c r="H203" s="21" t="s">
        <v>986</v>
      </c>
      <c r="I203" s="13">
        <v>42810.858495370368</v>
      </c>
      <c r="J203" s="7">
        <v>0</v>
      </c>
      <c r="K203" s="98" t="str">
        <f t="shared" si="50"/>
        <v>4017/4018</v>
      </c>
      <c r="L203" s="21" t="str">
        <f>VLOOKUP(A203,'Trips&amp;Operators'!$C$1:$G$99999,5,FALSE)</f>
        <v>FORTUNATO FRANK</v>
      </c>
      <c r="M203" s="6">
        <f t="shared" si="51"/>
        <v>1.0358796294895001E-2</v>
      </c>
      <c r="N203" s="7">
        <f t="shared" si="80"/>
        <v>14.916666664648801</v>
      </c>
      <c r="O203" s="7"/>
      <c r="P203" s="7"/>
      <c r="Q203" s="22"/>
      <c r="R203" s="22"/>
      <c r="S203" s="31">
        <f t="shared" si="81"/>
        <v>1</v>
      </c>
      <c r="T203" s="46" t="str">
        <f t="shared" si="52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3"/>
        <v>https://d0f6bd738d7f1b3e5a7ca70fe4ff75f0.us-east-1.aws.found.io/app/kibana#/discover/Steve-Slow-Train-Analysis-(2080s-and-2083s)?_g=(refreshInterval:(display:Off,pause:!f,section:0,value:0),time:(from:'2017-03-16T19:15:37-0600',mode:absolute,to:'2017-03-16T21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87" t="str">
        <f t="shared" si="54"/>
        <v>N</v>
      </c>
      <c r="X203" s="187">
        <f t="shared" si="79"/>
        <v>1</v>
      </c>
      <c r="Y203" s="62">
        <f t="shared" si="56"/>
        <v>9.74E-2</v>
      </c>
      <c r="Z203" s="62">
        <f t="shared" si="82"/>
        <v>5.8936999999999999</v>
      </c>
      <c r="AA203" s="62">
        <f t="shared" si="57"/>
        <v>5.7962999999999996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0843-16</v>
      </c>
      <c r="AE203" s="85" t="str">
        <f t="shared" si="59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203" s="82" t="str">
        <f t="shared" si="60"/>
        <v>"C:\Program Files (x86)\AstroGrep\AstroGrep.exe" /e /r /s /spath="%USERPROFILE%\AppData\Local\Temp\OnboardLogs" /stypes="app*4018*20170317*" /stext=" 02:.+((SYSTEM_STATE.+slice.+state.+changed )|(ment ac)|(multiple cpu faults)|(system.+state.+changed )|(\[timeout)|(PRM\|1\|D)|(kpr)|(kdp)|(\|lc)|(penalty))"</v>
      </c>
      <c r="AG203" s="1" t="str">
        <f t="shared" si="61"/>
        <v>NW</v>
      </c>
      <c r="AH203" s="86" t="str">
        <f t="shared" si="62"/>
        <v>"%USERPROFILE%\Documents\GitHub\eaglep3\Utilities\RefineRTDCRunTimes.py" --tripid 843-16 --locoid 4018 --swversion DE.1.0.9.0 --startMP 204:974 --initTime 2017-03-16T20:15:37 --startdatetime 2017-03-16T20:21:19 --delay 1 --endMP 300:58937 --enddatetime 2017-03-16T20:36:14 --enforcementcount 0 &gt;&gt;C:\Users\stu\Documents\GitHub\eaglep3-reporting\EC\2017-03-16-refined-times.txt</v>
      </c>
      <c r="AI203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{"issue":{"subject":"","project_id":79,"tracker_id":40,"status_id":1,"priority_id":2,"assigned_to_id":23,"start_date":"2017-03-16","description":"","custom_fields":[{"id":1,"name":"Subdivision","value":"NW"},{"id":4,"name":"Milepost","value":"5.8937"},{"id":17,"name":"Train ID","value":"843-16"},{"id":16,"name":"Locomotive ID","value":"4018"},{"id":130,"name":"Impact","value":""},{"id":150,"name":"Time of Event (Mountain Time)","value":"20:36:14"},{"id":151,"name":"Denver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64"/>
        <v>start /low /b %USERPROFILE%\Documents\GitHub\eaglep3\Utilities\DownloadLogsFromS3.py --loco 4018 --day 2017-03-16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204" spans="1:40" x14ac:dyDescent="0.25">
      <c r="A204" s="33" t="s">
        <v>820</v>
      </c>
      <c r="B204" s="7">
        <v>4017</v>
      </c>
      <c r="C204" s="21" t="s">
        <v>228</v>
      </c>
      <c r="D204" s="21" t="s">
        <v>987</v>
      </c>
      <c r="E204" s="13">
        <v>42810.901608796295</v>
      </c>
      <c r="F204" s="13">
        <v>42810.903877314813</v>
      </c>
      <c r="G204" s="7">
        <v>4</v>
      </c>
      <c r="H204" s="21" t="s">
        <v>988</v>
      </c>
      <c r="I204" s="13">
        <v>42810.916006944448</v>
      </c>
      <c r="J204" s="7">
        <v>0</v>
      </c>
      <c r="K204" s="98" t="str">
        <f t="shared" si="50"/>
        <v>4017/4018</v>
      </c>
      <c r="L204" s="21" t="str">
        <f>VLOOKUP(A204,'Trips&amp;Operators'!$C$1:$G$99999,5,FALSE)</f>
        <v>MENGES BRAD</v>
      </c>
      <c r="M204" s="6">
        <f t="shared" si="51"/>
        <v>1.212962963472819E-2</v>
      </c>
      <c r="N204" s="7">
        <f t="shared" si="80"/>
        <v>17.466666674008593</v>
      </c>
      <c r="O204" s="7"/>
      <c r="P204" s="7"/>
      <c r="Q204" s="22"/>
      <c r="R204" s="22"/>
      <c r="S204" s="31">
        <f t="shared" si="81"/>
        <v>1</v>
      </c>
      <c r="T204" s="46" t="str">
        <f t="shared" si="52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53"/>
        <v>https://d0f6bd738d7f1b3e5a7ca70fe4ff75f0.us-east-1.aws.found.io/app/kibana#/discover/Steve-Slow-Train-Analysis-(2080s-and-2083s)?_g=(refreshInterval:(display:Off,pause:!f,section:0,value:0),time:(from:'2017-03-16T20:38:19-0600',mode:absolute,to:'2017-03-16T22:59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4" s="187" t="str">
        <f t="shared" si="54"/>
        <v>N</v>
      </c>
      <c r="X204" s="187">
        <f t="shared" si="79"/>
        <v>1</v>
      </c>
      <c r="Y204" s="62">
        <f t="shared" si="56"/>
        <v>5.7362000000000002</v>
      </c>
      <c r="Z204" s="62">
        <f t="shared" si="82"/>
        <v>6.6600000000000006E-2</v>
      </c>
      <c r="AA204" s="62">
        <f t="shared" si="57"/>
        <v>5.6696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8"/>
        <v>0844-16</v>
      </c>
      <c r="AE204" s="85" t="str">
        <f t="shared" si="59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204" s="82" t="str">
        <f t="shared" si="60"/>
        <v>"C:\Program Files (x86)\AstroGrep\AstroGrep.exe" /e /r /s /spath="%USERPROFILE%\AppData\Local\Temp\OnboardLogs" /stypes="app*4017*20170317*" /stext=" 03:.+((SYSTEM_STATE.+slice.+state.+changed )|(ment ac)|(multiple cpu faults)|(system.+state.+changed )|(\[timeout)|(PRM\|1\|D)|(kpr)|(kdp)|(\|lc)|(penalty))"</v>
      </c>
      <c r="AG204" s="1" t="str">
        <f t="shared" si="61"/>
        <v>NW</v>
      </c>
      <c r="AH204" s="86" t="str">
        <f t="shared" si="62"/>
        <v>"%USERPROFILE%\Documents\GitHub\eaglep3\Utilities\RefineRTDCRunTimes.py" --tripid 844-16 --locoid 4017 --swversion DE.1.0.9.0 --startMP 300:57362 --initTime 2017-03-16T21:38:19 --startdatetime 2017-03-16T21:41:35 --delay 4 --endMP 204:666 --enddatetime 2017-03-16T21:59:03 --enforcementcount 0 &gt;&gt;C:\Users\stu\Documents\GitHub\eaglep3-reporting\EC\2017-03-16-refined-times.txt</v>
      </c>
      <c r="AI204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{"issue":{"subject":"","project_id":79,"tracker_id":40,"status_id":1,"priority_id":2,"assigned_to_id":23,"start_date":"2017-03-16","description":"","custom_fields":[{"id":1,"name":"Subdivision","value":"NW"},{"id":4,"name":"Milepost","value":"0.0666"},{"id":17,"name":"Train ID","value":"844-16"},{"id":16,"name":"Locomotive ID","value":"4017"},{"id":130,"name":"Impact","value":""},{"id":150,"name":"Time of Event (Mountain Time)","value":"21:59:03"},{"id":151,"name":"Denver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64"/>
        <v>start /low /b %USERPROFILE%\Documents\GitHub\eaglep3\Utilities\DownloadLogsFromS3.py --loco 4017 --day 2017-03-16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2017-03-16-UncaughtWiMAX.txt</v>
      </c>
    </row>
    <row r="205" spans="1:40" x14ac:dyDescent="0.25">
      <c r="A205" s="33" t="s">
        <v>817</v>
      </c>
      <c r="B205" s="7">
        <v>4018</v>
      </c>
      <c r="C205" s="21" t="s">
        <v>228</v>
      </c>
      <c r="D205" s="21" t="s">
        <v>584</v>
      </c>
      <c r="E205" s="13">
        <v>42810.877175925925</v>
      </c>
      <c r="F205" s="13">
        <v>42810.889884259261</v>
      </c>
      <c r="G205" s="7">
        <v>4</v>
      </c>
      <c r="H205" s="21" t="s">
        <v>449</v>
      </c>
      <c r="I205" s="13">
        <v>42810.90016203704</v>
      </c>
      <c r="J205" s="7">
        <v>0</v>
      </c>
      <c r="K205" s="98" t="str">
        <f t="shared" ref="K205:K244" si="83">IF(ISEVEN(B205),(B205-1)&amp;"/"&amp;B205,B205&amp;"/"&amp;(B205+1))</f>
        <v>4017/4018</v>
      </c>
      <c r="L205" s="21" t="str">
        <f>VLOOKUP(A205,'Trips&amp;Operators'!$C$1:$G$99999,5,FALSE)</f>
        <v>MENGES BRAD</v>
      </c>
      <c r="M205" s="6">
        <f t="shared" ref="M205:M244" si="84">I205-F205</f>
        <v>1.0277777779265307E-2</v>
      </c>
      <c r="N205" s="7">
        <f t="shared" si="80"/>
        <v>14.800000002142042</v>
      </c>
      <c r="O205" s="7"/>
      <c r="P205" s="7"/>
      <c r="Q205" s="22"/>
      <c r="R205" s="22"/>
      <c r="S205" s="31">
        <f t="shared" si="81"/>
        <v>1</v>
      </c>
      <c r="T205" s="46" t="str">
        <f t="shared" ref="T205:T244" si="85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44" si="8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-16T20:03:08-0600',mode:absolute,to:'2017-03-16T22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187" t="str">
        <f t="shared" ref="W205:W244" si="87">IF(AA205&lt;IF(AG205="EC",23,5.65),"Y","N")</f>
        <v>N</v>
      </c>
      <c r="X205" s="187">
        <f t="shared" si="79"/>
        <v>1</v>
      </c>
      <c r="Y205" s="62">
        <f t="shared" ref="Y205:Y244" si="88">RIGHT(D205,LEN(D205)-4)/10000</f>
        <v>9.7799999999999998E-2</v>
      </c>
      <c r="Z205" s="62">
        <f t="shared" si="82"/>
        <v>5.8939000000000004</v>
      </c>
      <c r="AA205" s="62">
        <f t="shared" ref="AA205:AA268" si="89">ABS(Z205-Y205)</f>
        <v>5.7961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44" si="90">IF(LEN(A205)=6,"0"&amp;A205,A205)</f>
        <v>0845-16</v>
      </c>
      <c r="AE205" s="85" t="str">
        <f t="shared" ref="AE205:AE244" si="9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205" s="82" t="str">
        <f t="shared" ref="AF205:AF244" si="9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/stypes="app*4018*20170317*" /stext=" 03:.+((SYSTEM_STATE.+slice.+state.+changed )|(ment ac)|(multiple cpu faults)|(system.+state.+changed )|(\[timeout)|(PRM\|1\|D)|(kpr)|(kdp)|(\|lc)|(penalty))"</v>
      </c>
      <c r="AG205" s="1" t="str">
        <f t="shared" ref="AG205:AG244" si="93">IFERROR(IF(VALUE(LEFT(AD205,2))&lt;=2,"EC",IF(OR(VALUE(LEFT(AD205,2))=8,VALUE(LEFT(AD205,2))=18),"NW","Other")),"Other")</f>
        <v>NW</v>
      </c>
      <c r="AH205" s="86" t="str">
        <f t="shared" si="62"/>
        <v>"%USERPROFILE%\Documents\GitHub\eaglep3\Utilities\RefineRTDCRunTimes.py" --tripid 845-16 --locoid 4018 --swversion DE.1.0.9.0 --startMP 204:978 --initTime 2017-03-16T21:03:08 --startdatetime 2017-03-16T21:21:26 --delay 4 --endMP 300:58939 --enddatetime 2017-03-16T21:36:14 --enforcementcount 0 &gt;&gt;C:\Users\stu\Documents\GitHub\eaglep3-reporting\EC\2017-03-16-refined-times.txt</v>
      </c>
      <c r="AI205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{"issue":{"subject":"","project_id":79,"tracker_id":40,"status_id":1,"priority_id":2,"assigned_to_id":23,"start_date":"2017-03-16","description":"","custom_fields":[{"id":1,"name":"Subdivision","value":"NW"},{"id":4,"name":"Milepost","value":"5.8939"},{"id":17,"name":"Train ID","value":"845-16"},{"id":16,"name":"Locomotive ID","value":"4018"},{"id":130,"name":"Impact","value":""},{"id":150,"name":"Time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64"/>
        <v>start /low /b %USERPROFILE%\Documents\GitHub\eaglep3\Utilities\DownloadLogsFromS3.py --loco 4018 --day 2017-03-16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206" spans="1:40" x14ac:dyDescent="0.25">
      <c r="A206" s="33" t="s">
        <v>638</v>
      </c>
      <c r="B206" s="7">
        <v>4018</v>
      </c>
      <c r="C206" s="21" t="s">
        <v>228</v>
      </c>
      <c r="D206" s="21" t="s">
        <v>577</v>
      </c>
      <c r="E206" s="13">
        <v>42810.920844907407</v>
      </c>
      <c r="F206" s="13">
        <v>42810.931712962964</v>
      </c>
      <c r="G206" s="7">
        <v>8</v>
      </c>
      <c r="H206" s="21" t="s">
        <v>989</v>
      </c>
      <c r="I206" s="13">
        <v>42810.944421296299</v>
      </c>
      <c r="J206" s="7">
        <v>0</v>
      </c>
      <c r="K206" s="98" t="str">
        <f t="shared" si="83"/>
        <v>4017/4018</v>
      </c>
      <c r="L206" s="21" t="str">
        <f>VLOOKUP(A206,'Trips&amp;Operators'!$C$1:$G$99999,5,FALSE)</f>
        <v>MENGES BRAD</v>
      </c>
      <c r="M206" s="6">
        <f t="shared" si="84"/>
        <v>1.2708333335467614E-2</v>
      </c>
      <c r="N206" s="7">
        <f t="shared" si="80"/>
        <v>18.300000003073364</v>
      </c>
      <c r="O206" s="7"/>
      <c r="P206" s="7"/>
      <c r="Q206" s="22"/>
      <c r="R206" s="22"/>
      <c r="S206" s="31">
        <f t="shared" si="81"/>
        <v>1</v>
      </c>
      <c r="T206" s="46" t="str">
        <f t="shared" si="85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86"/>
        <v>https://d0f6bd738d7f1b3e5a7ca70fe4ff75f0.us-east-1.aws.found.io/app/kibana#/discover/Steve-Slow-Train-Analysis-(2080s-and-2083s)?_g=(refreshInterval:(display:Off,pause:!f,section:0,value:0),time:(from:'2017-03-16T21:06:01-0600',mode:absolute,to:'2017-03-16T23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6" s="187" t="str">
        <f t="shared" si="87"/>
        <v>N</v>
      </c>
      <c r="X206" s="187">
        <f t="shared" si="79"/>
        <v>2</v>
      </c>
      <c r="Y206" s="62">
        <f t="shared" si="88"/>
        <v>9.8100000000000007E-2</v>
      </c>
      <c r="Z206" s="62">
        <f t="shared" si="82"/>
        <v>5.8956</v>
      </c>
      <c r="AA206" s="62">
        <f t="shared" si="89"/>
        <v>5.7975000000000003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90"/>
        <v>0847-16</v>
      </c>
      <c r="AE206" s="85" t="str">
        <f t="shared" si="91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206" s="82" t="str">
        <f t="shared" si="92"/>
        <v>"C:\Program Files (x86)\AstroGrep\AstroGrep.exe" /e /r /s /spath="%USERPROFILE%\AppData\Local\Temp\OnboardLogs" /stypes="app*4018*20170317*" /stext=" 04:.+((SYSTEM_STATE.+slice.+state.+changed )|(ment ac)|(multiple cpu faults)|(system.+state.+changed )|(\[timeout)|(PRM\|1\|D)|(kpr)|(kdp)|(\|lc)|(penalty))"</v>
      </c>
      <c r="AG206" s="1" t="str">
        <f t="shared" si="93"/>
        <v>NW</v>
      </c>
      <c r="AH206" s="86" t="str">
        <f t="shared" si="62"/>
        <v>"%USERPROFILE%\Documents\GitHub\eaglep3\Utilities\RefineRTDCRunTimes.py" --tripid 847-16 --locoid 4018 --swversion DE.1.0.9.0 --startMP 204:981 --initTime 2017-03-16T22:06:01 --startdatetime 2017-03-16T22:21:40 --delay 8 --endMP 300:58956 --enddatetime 2017-03-16T22:39:58 --enforcementcount 0 &gt;&gt;C:\Users\stu\Documents\GitHub\eaglep3-reporting\EC\2017-03-16-refined-times.txt</v>
      </c>
      <c r="AI206" s="108" t="str">
        <f t="shared" si="63"/>
        <v>echo {"issue":{"subject":"","project_id":79,"tracker_id":40,"status_id":1,"priority_id":2,"assigned_to_id":23,"start_date":"2017-03-16","description":"","custom_fields":[{"id":1,"name":"Subdivision","value":"NW"},{"id":4,"name":"Milepost","value":"5.8956"},{"id":17,"name":"Train ID","value":"847-16"},{"id":16,"name":"Locomotive ID","value":"4018"},{"id":130,"name":"Impact","value":""},{"id":150,"name":"Time of Event (Mountain Time)","value":"22:39:58"},{"id":151,"name":"Denver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64"/>
        <v>start /low /b %USERPROFILE%\Documents\GitHub\eaglep3\Utilities\DownloadLogsFromS3.py --loco 4018 --day 2017-03-16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207" spans="1:40" x14ac:dyDescent="0.25">
      <c r="A207" s="33" t="s">
        <v>541</v>
      </c>
      <c r="B207" s="7">
        <v>4045</v>
      </c>
      <c r="C207" s="21" t="s">
        <v>228</v>
      </c>
      <c r="D207" s="21" t="s">
        <v>912</v>
      </c>
      <c r="E207" s="13">
        <v>42810.113703703704</v>
      </c>
      <c r="F207" s="13">
        <v>42810.118113425924</v>
      </c>
      <c r="G207" s="7">
        <v>6</v>
      </c>
      <c r="H207" s="21" t="s">
        <v>448</v>
      </c>
      <c r="I207" s="13">
        <v>42810.124398148146</v>
      </c>
      <c r="J207" s="7">
        <v>0</v>
      </c>
      <c r="K207" s="98" t="str">
        <f t="shared" si="83"/>
        <v>4045/4046</v>
      </c>
      <c r="L207" s="21" t="str">
        <f>VLOOKUP(A207,'Trips&amp;Operators'!$C$1:$G$99999,5,FALSE)</f>
        <v>BADERTSCHER DIANE</v>
      </c>
      <c r="M207" s="6">
        <f t="shared" si="84"/>
        <v>6.284722221607808E-3</v>
      </c>
      <c r="N207" s="7">
        <f t="shared" si="80"/>
        <v>9.0499999991152436</v>
      </c>
      <c r="O207" s="7"/>
      <c r="P207" s="7"/>
      <c r="Q207" s="22"/>
      <c r="R207" s="22"/>
      <c r="S207" s="31">
        <f t="shared" si="81"/>
        <v>1</v>
      </c>
      <c r="T207" s="46" t="str">
        <f t="shared" si="85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86"/>
        <v>https://d0f6bd738d7f1b3e5a7ca70fe4ff75f0.us-east-1.aws.found.io/app/kibana#/discover/Steve-Slow-Train-Analysis-(2080s-and-2083s)?_g=(refreshInterval:(display:Off,pause:!f,section:0,value:0),time:(from:'2017-03-16T01:43:44-0600',mode:absolute,to:'2017-03-16T03:59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87" t="str">
        <f t="shared" si="87"/>
        <v>Y</v>
      </c>
      <c r="X207" s="187">
        <f t="shared" si="79"/>
        <v>-545</v>
      </c>
      <c r="Y207" s="62">
        <f t="shared" si="88"/>
        <v>2.3157999999999999</v>
      </c>
      <c r="Z207" s="62">
        <f t="shared" si="82"/>
        <v>1.32E-2</v>
      </c>
      <c r="AA207" s="62">
        <f t="shared" si="89"/>
        <v>2.3026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90"/>
        <v>0302-16</v>
      </c>
      <c r="AE207" s="85" t="str">
        <f t="shared" si="91"/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AF207" s="82" t="str">
        <f t="shared" si="92"/>
        <v>"C:\Program Files (x86)\AstroGrep\AstroGrep.exe" /e /r /s /spath="%USERPROFILE%\AppData\Local\Temp\OnboardLogs" /stypes="app*4045*20170316*" /stext=" 08:.+((SYSTEM_STATE.+slice.+state.+changed )|(ment ac)|(multiple cpu faults)|(system.+state.+changed )|(\[timeout)|(PRM\|1\|D)|(kpr)|(kdp)|(\|lc)|(penalty))"</v>
      </c>
      <c r="AG207" s="1" t="str">
        <f t="shared" si="93"/>
        <v>Other</v>
      </c>
      <c r="AH207" s="86" t="str">
        <f t="shared" ref="AH207:AH244" si="9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302-16 --locoid 4045 --swversion DE.1.0.9.0 --startMP 300:23158 --initTime 2017-03-16T02:43:44 --startdatetime 2017-03-16T02:50:05 --delay 6 --endMP 204:132 --enddatetime 2017-03-16T02:59:08 --enforcementcount 0 &gt;&gt;C:\Users\stu\Documents\GitHub\eaglep3-reporting\EC\2017-03-16-refined-times.txt</v>
      </c>
      <c r="AI207" s="108" t="str">
        <f t="shared" ref="AI207:AI244" si="9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{"issue":{"subject":"","project_id":79,"tracker_id":40,"status_id":1,"priority_id":2,"assigned_to_id":23,"start_date":"2017-03-16","description":"","custom_fields":[{"id":1,"name":"Subdivision","value":"Other"},{"id":4,"name":"Milepost","value":"0.0132"},{"id":17,"name":"Train ID","value":"302-16"},{"id":16,"name":"Locomotive ID","value":"4045"},{"id":130,"name":"Impact","value":""},{"id":150,"name":"Time of Event (Mountain Time)","value":"02:59:08"},{"id":151,"name":"Denver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44" si="96">"start /low /b "&amp;dls3logs&amp;" --loco "&amp;B207&amp;" --day "&amp;TEXT(F207,"YYYY-MM-DD")</f>
        <v>start /low /b %USERPROFILE%\Documents\GitHub\eaglep3\Utilities\DownloadLogsFromS3.py --loco 4045 --day 2017-03-16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"%USERPROFILE%\AppData\Local\Temp\OnboardLogs"\RTDC4045\*4045*20170316* | grep -SE "(Enforcement Action)|(\[TIMEOUT)|(CHR.+\|PRM\|1\|D.+(SWITCH|SIGNAL).+UNKNOWN)" - &gt;&gt; 2017-03-16-UncaughtWiMAX.txt</v>
      </c>
    </row>
    <row r="208" spans="1:40" x14ac:dyDescent="0.25">
      <c r="A208" s="33" t="s">
        <v>796</v>
      </c>
      <c r="B208" s="7">
        <v>4040</v>
      </c>
      <c r="C208" s="21" t="s">
        <v>228</v>
      </c>
      <c r="D208" s="21" t="s">
        <v>432</v>
      </c>
      <c r="E208" s="13">
        <v>42810.777083333334</v>
      </c>
      <c r="F208" s="13">
        <v>42810.778819444444</v>
      </c>
      <c r="G208" s="7">
        <v>1</v>
      </c>
      <c r="H208" s="21" t="s">
        <v>913</v>
      </c>
      <c r="I208" s="13">
        <v>42810.784224537034</v>
      </c>
      <c r="J208" s="7">
        <v>0</v>
      </c>
      <c r="K208" s="98" t="str">
        <f t="shared" si="83"/>
        <v>4039/4040</v>
      </c>
      <c r="L208" s="21" t="str">
        <f>VLOOKUP(A208,'Trips&amp;Operators'!$C$1:$G$99999,5,FALSE)</f>
        <v>SMITH MICHAEL</v>
      </c>
      <c r="M208" s="6">
        <f t="shared" si="84"/>
        <v>5.4050925900810398E-3</v>
      </c>
      <c r="N208" s="7">
        <f t="shared" si="80"/>
        <v>7.7833333297166973</v>
      </c>
      <c r="O208" s="7"/>
      <c r="P208" s="7"/>
      <c r="Q208" s="22"/>
      <c r="R208" s="22"/>
      <c r="S208" s="31">
        <f t="shared" si="81"/>
        <v>1</v>
      </c>
      <c r="T208" s="46" t="str">
        <f t="shared" si="85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86"/>
        <v>https://d0f6bd738d7f1b3e5a7ca70fe4ff75f0.us-east-1.aws.found.io/app/kibana#/discover/Steve-Slow-Train-Analysis-(2080s-and-2083s)?_g=(refreshInterval:(display:Off,pause:!f,section:0,value:0),time:(from:'2017-03-16T17:39:00-0600',mode:absolute,to:'2017-03-16T19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8" s="187" t="str">
        <f t="shared" si="87"/>
        <v>Y</v>
      </c>
      <c r="X208" s="187">
        <f t="shared" si="79"/>
        <v>1</v>
      </c>
      <c r="Y208" s="62">
        <f t="shared" si="88"/>
        <v>4.3799999999999999E-2</v>
      </c>
      <c r="Z208" s="62">
        <f t="shared" si="82"/>
        <v>2.3306</v>
      </c>
      <c r="AA208" s="62">
        <f t="shared" si="89"/>
        <v>2.2867999999999999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90"/>
        <v>0303-16</v>
      </c>
      <c r="AE208" s="85" t="str">
        <f t="shared" si="91"/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AF208" s="82" t="str">
        <f t="shared" si="92"/>
        <v>"C:\Program Files (x86)\AstroGrep\AstroGrep.exe" /e /r /s /spath="%USERPROFILE%\AppData\Local\Temp\OnboardLogs" /stypes="app*4040*20170317*" /stext=" 00:.+((SYSTEM_STATE.+slice.+state.+changed )|(ment ac)|(multiple cpu faults)|(system.+state.+changed )|(\[timeout)|(PRM\|1\|D)|(kpr)|(kdp)|(\|lc)|(penalty))"</v>
      </c>
      <c r="AG208" s="1" t="str">
        <f t="shared" si="93"/>
        <v>Other</v>
      </c>
      <c r="AH208" s="86" t="str">
        <f t="shared" si="94"/>
        <v>"%USERPROFILE%\Documents\GitHub\eaglep3\Utilities\RefineRTDCRunTimes.py" --tripid 303-16 --locoid 4040 --swversion DE.1.0.9.0 --startMP 204:438 --initTime 2017-03-16T18:39:00 --startdatetime 2017-03-16T18:41:30 --delay 1 --endMP 300:23306 --enddatetime 2017-03-16T18:49:17 --enforcementcount 0 &gt;&gt;C:\Users\stu\Documents\GitHub\eaglep3-reporting\EC\2017-03-16-refined-times.txt</v>
      </c>
      <c r="AI208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{"issue":{"subject":"","project_id":79,"tracker_id":40,"status_id":1,"priority_id":2,"assigned_to_id":23,"start_date":"2017-03-16","description":"","custom_fields":[{"id":1,"name":"Subdivision","value":"Other"},{"id":4,"name":"Milepost","value":"2.3306"},{"id":17,"name":"Train ID","value":"303-16"},{"id":16,"name":"Locomotive ID","value":"4040"},{"id":130,"name":"Impact","value":""},{"id":150,"name":"Time of Event (Mountain Time)","value":"18:49:17"},{"id":151,"name":"Denver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6"/>
        <v>start /low /b %USERPROFILE%\Documents\GitHub\eaglep3\Utilities\DownloadLogsFromS3.py --loco 4040 --day 2017-03-16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"%USERPROFILE%\AppData\Local\Temp\OnboardLogs"\RTDC4040\*4040*20170317* | grep -SE "(Enforcement Action)|(\[TIMEOUT)|(CHR.+\|PRM\|1\|D.+(SWITCH|SIGNAL).+UNKNOWN)" - &gt;&gt; 2017-03-16-UncaughtWiMAX.txt</v>
      </c>
    </row>
    <row r="209" spans="1:40" x14ac:dyDescent="0.25">
      <c r="A209" s="33" t="s">
        <v>643</v>
      </c>
      <c r="B209" s="7">
        <v>4001</v>
      </c>
      <c r="C209" s="21" t="s">
        <v>228</v>
      </c>
      <c r="D209" s="21" t="s">
        <v>914</v>
      </c>
      <c r="E209" s="13">
        <v>42810.142222222225</v>
      </c>
      <c r="F209" s="13">
        <v>42810.144467592596</v>
      </c>
      <c r="G209" s="7">
        <v>3</v>
      </c>
      <c r="H209" s="21" t="s">
        <v>221</v>
      </c>
      <c r="I209" s="13">
        <v>42810.149861111109</v>
      </c>
      <c r="J209" s="7">
        <v>0</v>
      </c>
      <c r="K209" s="98" t="str">
        <f t="shared" si="83"/>
        <v>4001/4002</v>
      </c>
      <c r="L209" s="21" t="str">
        <f>VLOOKUP(A209,'Trips&amp;Operators'!$C$1:$G$99999,5,FALSE)</f>
        <v>YANAI IAN</v>
      </c>
      <c r="M209" s="6">
        <f t="shared" si="84"/>
        <v>5.3935185133013874E-3</v>
      </c>
      <c r="N209" s="7">
        <f t="shared" si="80"/>
        <v>7.7666666591539979</v>
      </c>
      <c r="O209" s="7"/>
      <c r="P209" s="7"/>
      <c r="Q209" s="22"/>
      <c r="R209" s="22"/>
      <c r="S209" s="31">
        <f t="shared" si="81"/>
        <v>1</v>
      </c>
      <c r="T209" s="46" t="str">
        <f t="shared" si="85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86"/>
        <v>https://d0f6bd738d7f1b3e5a7ca70fe4ff75f0.us-east-1.aws.found.io/app/kibana#/discover/Steve-Slow-Train-Analysis-(2080s-and-2083s)?_g=(refreshInterval:(display:Off,pause:!f,section:0,value:0),time:(from:'2017-03-16T02:24:48-0600',mode:absolute,to:'2017-03-16T04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87" t="str">
        <f t="shared" si="87"/>
        <v>Y</v>
      </c>
      <c r="X209" s="187">
        <f t="shared" si="79"/>
        <v>1</v>
      </c>
      <c r="Y209" s="62">
        <f t="shared" si="88"/>
        <v>2.3288000000000002</v>
      </c>
      <c r="Z209" s="62">
        <f t="shared" si="82"/>
        <v>1.47E-2</v>
      </c>
      <c r="AA209" s="62">
        <f t="shared" si="89"/>
        <v>2.3141000000000003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90"/>
        <v>0304-16</v>
      </c>
      <c r="AE209" s="85" t="str">
        <f t="shared" si="91"/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AF209" s="82" t="str">
        <f t="shared" si="92"/>
        <v>"C:\Program Files (x86)\AstroGrep\AstroGrep.exe" /e /r /s /spath="%USERPROFILE%\AppData\Local\Temp\OnboardLogs" /stypes="app*4001*20170316*" /stext=" 09:.+((SYSTEM_STATE.+slice.+state.+changed )|(ment ac)|(multiple cpu faults)|(system.+state.+changed )|(\[timeout)|(PRM\|1\|D)|(kpr)|(kdp)|(\|lc)|(penalty))"</v>
      </c>
      <c r="AG209" s="1" t="str">
        <f t="shared" si="93"/>
        <v>Other</v>
      </c>
      <c r="AH209" s="86" t="str">
        <f t="shared" si="94"/>
        <v>"%USERPROFILE%\Documents\GitHub\eaglep3\Utilities\RefineRTDCRunTimes.py" --tripid 304-16 --locoid 4001 --swversion DE.1.0.9.0 --startMP 300:23288 --initTime 2017-03-16T03:24:48 --startdatetime 2017-03-16T03:28:02 --delay 3 --endMP 204:147 --enddatetime 2017-03-16T03:35:48 --enforcementcount 0 &gt;&gt;C:\Users\stu\Documents\GitHub\eaglep3-reporting\EC\2017-03-16-refined-times.txt</v>
      </c>
      <c r="AI209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{"issue":{"subject":"","project_id":79,"tracker_id":40,"status_id":1,"priority_id":2,"assigned_to_id":23,"start_date":"2017-03-16","description":"","custom_fields":[{"id":1,"name":"Subdivision","value":"Other"},{"id":4,"name":"Milepost","value":"0.0147"},{"id":17,"name":"Train ID","value":"304-16"},{"id":16,"name":"Locomotive ID","value":"4001"},{"id":130,"name":"Impact","value":""},{"id":150,"name":"Time of Event (Mountain Time)","value":"03:35:48"},{"id":151,"name":"Denver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6"/>
        <v>start /low /b %USERPROFILE%\Documents\GitHub\eaglep3\Utilities\DownloadLogsFromS3.py --loco 4001 --day 2017-03-16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"%USERPROFILE%\AppData\Local\Temp\OnboardLogs"\RTDC4001\*4001*20170316* | grep -SE "(Enforcement Action)|(\[TIMEOUT)|(CHR.+\|PRM\|1\|D.+(SWITCH|SIGNAL).+UNKNOWN)" - &gt;&gt; 2017-03-16-UncaughtWiMAX.txt</v>
      </c>
    </row>
    <row r="210" spans="1:40" x14ac:dyDescent="0.25">
      <c r="A210" s="33" t="s">
        <v>801</v>
      </c>
      <c r="B210" s="7">
        <v>4027</v>
      </c>
      <c r="C210" s="21" t="s">
        <v>228</v>
      </c>
      <c r="D210" s="21" t="s">
        <v>216</v>
      </c>
      <c r="E210" s="13">
        <v>42810.799872685187</v>
      </c>
      <c r="F210" s="13">
        <v>42810.80128472222</v>
      </c>
      <c r="G210" s="7">
        <v>1</v>
      </c>
      <c r="H210" s="21" t="s">
        <v>915</v>
      </c>
      <c r="I210" s="13">
        <v>42810.810601851852</v>
      </c>
      <c r="J210" s="7">
        <v>0</v>
      </c>
      <c r="K210" s="98" t="str">
        <f t="shared" si="83"/>
        <v>4027/4028</v>
      </c>
      <c r="L210" s="21" t="str">
        <f>VLOOKUP(A210,'Trips&amp;Operators'!$C$1:$G$99999,5,FALSE)</f>
        <v>BRANDNER MELINDA</v>
      </c>
      <c r="M210" s="6">
        <f t="shared" si="84"/>
        <v>9.3171296321088448E-3</v>
      </c>
      <c r="N210" s="7">
        <f t="shared" si="80"/>
        <v>13.416666670236737</v>
      </c>
      <c r="O210" s="7"/>
      <c r="P210" s="7"/>
      <c r="Q210" s="22"/>
      <c r="R210" s="22"/>
      <c r="S210" s="31">
        <f t="shared" si="81"/>
        <v>1</v>
      </c>
      <c r="T210" s="46" t="str">
        <f t="shared" si="85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86"/>
        <v>https://d0f6bd738d7f1b3e5a7ca70fe4ff75f0.us-east-1.aws.found.io/app/kibana#/discover/Steve-Slow-Train-Analysis-(2080s-and-2083s)?_g=(refreshInterval:(display:Off,pause:!f,section:0,value:0),time:(from:'2017-03-16T18:11:49-0600',mode:absolute,to:'2017-03-16T20:27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7" t="str">
        <f t="shared" si="87"/>
        <v>Y</v>
      </c>
      <c r="X210" s="187">
        <f t="shared" si="79"/>
        <v>1</v>
      </c>
      <c r="Y210" s="62">
        <f t="shared" si="88"/>
        <v>4.5499999999999999E-2</v>
      </c>
      <c r="Z210" s="62">
        <f t="shared" si="82"/>
        <v>2.3050999999999999</v>
      </c>
      <c r="AA210" s="62">
        <f t="shared" si="89"/>
        <v>2.2595999999999998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90"/>
        <v>0305-16</v>
      </c>
      <c r="AE210" s="85" t="str">
        <f t="shared" si="91"/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AF210" s="82" t="str">
        <f t="shared" si="92"/>
        <v>"C:\Program Files (x86)\AstroGrep\AstroGrep.exe" /e /r /s /spath="%USERPROFILE%\AppData\Local\Temp\OnboardLogs" /stypes="app*4027*20170317*" /stext=" 01:.+((SYSTEM_STATE.+slice.+state.+changed )|(ment ac)|(multiple cpu faults)|(system.+state.+changed )|(\[timeout)|(PRM\|1\|D)|(kpr)|(kdp)|(\|lc)|(penalty))"</v>
      </c>
      <c r="AG210" s="1" t="str">
        <f t="shared" si="93"/>
        <v>Other</v>
      </c>
      <c r="AH210" s="86" t="str">
        <f t="shared" si="94"/>
        <v>"%USERPROFILE%\Documents\GitHub\eaglep3\Utilities\RefineRTDCRunTimes.py" --tripid 305-16 --locoid 4027 --swversion DE.1.0.9.0 --startMP 204:455 --initTime 2017-03-16T19:11:49 --startdatetime 2017-03-16T19:13:51 --delay 1 --endMP 300:23051 --enddatetime 2017-03-16T19:27:16 --enforcementcount 0 &gt;&gt;C:\Users\stu\Documents\GitHub\eaglep3-reporting\EC\2017-03-16-refined-times.txt</v>
      </c>
      <c r="AI210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{"issue":{"subject":"","project_id":79,"tracker_id":40,"status_id":1,"priority_id":2,"assigned_to_id":23,"start_date":"2017-03-16","description":"","custom_fields":[{"id":1,"name":"Subdivision","value":"Other"},{"id":4,"name":"Milepost","value":"2.3051"},{"id":17,"name":"Train ID","value":"305-16"},{"id":16,"name":"Locomotive ID","value":"4027"},{"id":130,"name":"Impact","value":""},{"id":150,"name":"Time of Event (Mountain Time)","value":"19:27:16"},{"id":151,"name":"Denver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6"/>
        <v>start /low /b %USERPROFILE%\Documents\GitHub\eaglep3\Utilities\DownloadLogsFromS3.py --loco 4027 --day 2017-03-16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"%USERPROFILE%\AppData\Local\Temp\OnboardLogs"\RTDC4027\*4027*20170317* | grep -SE "(Enforcement Action)|(\[TIMEOUT)|(CHR.+\|PRM\|1\|D.+(SWITCH|SIGNAL).+UNKNOWN)" - &gt;&gt; 2017-03-16-UncaughtWiMAX.txt</v>
      </c>
    </row>
    <row r="211" spans="1:40" x14ac:dyDescent="0.25">
      <c r="A211" s="33" t="s">
        <v>645</v>
      </c>
      <c r="B211" s="7">
        <v>4028</v>
      </c>
      <c r="C211" s="21" t="s">
        <v>228</v>
      </c>
      <c r="D211" s="21" t="s">
        <v>916</v>
      </c>
      <c r="E211" s="13">
        <v>42810.154560185183</v>
      </c>
      <c r="F211" s="13">
        <v>42810.158796296295</v>
      </c>
      <c r="G211" s="7">
        <v>6</v>
      </c>
      <c r="H211" s="21" t="s">
        <v>431</v>
      </c>
      <c r="I211" s="13">
        <v>42810.165254629632</v>
      </c>
      <c r="J211" s="7">
        <v>0</v>
      </c>
      <c r="K211" s="98" t="str">
        <f t="shared" si="83"/>
        <v>4027/4028</v>
      </c>
      <c r="L211" s="21" t="str">
        <f>VLOOKUP(A211,'Trips&amp;Operators'!$C$1:$G$99999,5,FALSE)</f>
        <v>ROBINSON KADDIBA</v>
      </c>
      <c r="M211" s="6">
        <f t="shared" si="84"/>
        <v>6.4583333369228058E-3</v>
      </c>
      <c r="N211" s="7">
        <f t="shared" si="80"/>
        <v>9.3000000051688403</v>
      </c>
      <c r="O211" s="7"/>
      <c r="P211" s="7"/>
      <c r="Q211" s="22"/>
      <c r="R211" s="22"/>
      <c r="S211" s="31">
        <f t="shared" si="81"/>
        <v>1</v>
      </c>
      <c r="T211" s="46" t="str">
        <f t="shared" si="85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86"/>
        <v>https://d0f6bd738d7f1b3e5a7ca70fe4ff75f0.us-east-1.aws.found.io/app/kibana#/discover/Steve-Slow-Train-Analysis-(2080s-and-2083s)?_g=(refreshInterval:(display:Off,pause:!f,section:0,value:0),time:(from:'2017-03-16T02:42:34-0600',mode:absolute,to:'2017-03-16T04:57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1" s="187" t="str">
        <f t="shared" si="87"/>
        <v>Y</v>
      </c>
      <c r="X211" s="187">
        <f t="shared" si="79"/>
        <v>1</v>
      </c>
      <c r="Y211" s="62">
        <f t="shared" si="88"/>
        <v>2.3454999999999999</v>
      </c>
      <c r="Z211" s="62">
        <f t="shared" si="82"/>
        <v>1.6500000000000001E-2</v>
      </c>
      <c r="AA211" s="62">
        <f t="shared" si="89"/>
        <v>2.3289999999999997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90"/>
        <v>0306-16</v>
      </c>
      <c r="AE211" s="85" t="str">
        <f t="shared" si="91"/>
        <v>aws s3 cp s3://rtdc.mdm.uploadarchive.raw/RTDC4028/ "%USERPROFILE%\AppData\Local\Temp\OnboardLogs"\RTDC4028\2017-03-16 --exclude "*" --recursive --include "*20170316*" &amp; "%USERPROFILE%\Documents\GitHub\mrs-test-scripts\Headless Mode &amp; Sideloading\WalkAndUnGZ.bat" "%USERPROFILE%\AppData\Local\Temp\OnboardLogs"\RTDC4028\2017-03-16 &amp; aws s3 cp s3://rtdc.mdm.uploadarchive.raw/RTDC4028/ "%USERPROFILE%\AppData\Local\Temp\OnboardLogs"\RTDC4028\2017-03-17 --exclude "*" --recursive --include "*20170317*" &amp; "%USERPROFILE%\Documents\GitHub\mrs-test-scripts\Headless Mode &amp; Sideloading\WalkAndUnGZ.bat" "%USERPROFILE%\AppData\Local\Temp\OnboardLogs"\RTDC4028\2017-03-17</v>
      </c>
      <c r="AF211" s="82" t="str">
        <f t="shared" si="92"/>
        <v>"C:\Program Files (x86)\AstroGrep\AstroGrep.exe" /e /r /s /spath="%USERPROFILE%\AppData\Local\Temp\OnboardLogs" /stypes="app*4028*20170316*" /stext=" 09:.+((SYSTEM_STATE.+slice.+state.+changed )|(ment ac)|(multiple cpu faults)|(system.+state.+changed )|(\[timeout)|(PRM\|1\|D)|(kpr)|(kdp)|(\|lc)|(penalty))"</v>
      </c>
      <c r="AG211" s="1" t="str">
        <f t="shared" si="93"/>
        <v>Other</v>
      </c>
      <c r="AH211" s="86" t="str">
        <f t="shared" si="94"/>
        <v>"%USERPROFILE%\Documents\GitHub\eaglep3\Utilities\RefineRTDCRunTimes.py" --tripid 306-16 --locoid 4028 --swversion DE.1.0.9.0 --startMP 300:23455 --initTime 2017-03-16T03:42:34 --startdatetime 2017-03-16T03:48:40 --delay 6 --endMP 204:165 --enddatetime 2017-03-16T03:57:58 --enforcementcount 0 &gt;&gt;C:\Users\stu\Documents\GitHub\eaglep3-reporting\EC\2017-03-16-refined-times.txt</v>
      </c>
      <c r="AI211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{"issue":{"subject":"","project_id":79,"tracker_id":40,"status_id":1,"priority_id":2,"assigned_to_id":23,"start_date":"2017-03-16","description":"","custom_fields":[{"id":1,"name":"Subdivision","value":"Other"},{"id":4,"name":"Milepost","value":"0.0165"},{"id":17,"name":"Train ID","value":"306-16"},{"id":16,"name":"Locomotive ID","value":"4028"},{"id":130,"name":"Impact","value":""},{"id":150,"name":"Time of Event (Mountain Time)","value":"03:57:58"},{"id":151,"name":"Denver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6"/>
        <v>start /low /b %USERPROFILE%\Documents\GitHub\eaglep3\Utilities\DownloadLogsFromS3.py --loco 4028 --day 2017-03-16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"%USERPROFILE%\AppData\Local\Temp\OnboardLogs"\RTDC4028\*4028*20170316* | grep -SE "(Enforcement Action)|(\[TIMEOUT)|(CHR.+\|PRM\|1\|D.+(SWITCH|SIGNAL).+UNKNOWN)" - &gt;&gt; 2017-03-16-UncaughtWiMAX.txt</v>
      </c>
    </row>
    <row r="212" spans="1:40" x14ac:dyDescent="0.25">
      <c r="A212" s="33" t="s">
        <v>805</v>
      </c>
      <c r="B212" s="7">
        <v>4002</v>
      </c>
      <c r="C212" s="21" t="s">
        <v>228</v>
      </c>
      <c r="D212" s="21" t="s">
        <v>237</v>
      </c>
      <c r="E212" s="13">
        <v>42810.818819444445</v>
      </c>
      <c r="F212" s="13">
        <v>42810.821805555555</v>
      </c>
      <c r="G212" s="7">
        <v>1</v>
      </c>
      <c r="H212" s="21" t="s">
        <v>505</v>
      </c>
      <c r="I212" s="13">
        <v>42810.829097222224</v>
      </c>
      <c r="J212" s="7">
        <v>0</v>
      </c>
      <c r="K212" s="98" t="str">
        <f t="shared" si="83"/>
        <v>4001/4002</v>
      </c>
      <c r="L212" s="21" t="str">
        <f>VLOOKUP(A212,'Trips&amp;Operators'!$C$1:$G$99999,5,FALSE)</f>
        <v>DELGADO DIANAH</v>
      </c>
      <c r="M212" s="6">
        <f t="shared" si="84"/>
        <v>7.291666668606922E-3</v>
      </c>
      <c r="N212" s="7">
        <f t="shared" si="80"/>
        <v>10.500000002793968</v>
      </c>
      <c r="O212" s="7"/>
      <c r="P212" s="7"/>
      <c r="Q212" s="22"/>
      <c r="R212" s="22"/>
      <c r="S212" s="31">
        <f t="shared" si="81"/>
        <v>1</v>
      </c>
      <c r="T212" s="46" t="str">
        <f t="shared" si="85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86"/>
        <v>https://d0f6bd738d7f1b3e5a7ca70fe4ff75f0.us-east-1.aws.found.io/app/kibana#/discover/Steve-Slow-Train-Analysis-(2080s-and-2083s)?_g=(refreshInterval:(display:Off,pause:!f,section:0,value:0),time:(from:'2017-03-16T18:39:06-0600',mode:absolute,to:'2017-03-16T20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2" s="187" t="str">
        <f t="shared" si="87"/>
        <v>Y</v>
      </c>
      <c r="X212" s="187">
        <f t="shared" si="79"/>
        <v>1</v>
      </c>
      <c r="Y212" s="62">
        <f t="shared" si="88"/>
        <v>4.4200000000000003E-2</v>
      </c>
      <c r="Z212" s="62">
        <f t="shared" si="82"/>
        <v>2.3308</v>
      </c>
      <c r="AA212" s="62">
        <f t="shared" si="89"/>
        <v>2.2866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90"/>
        <v>0307-16</v>
      </c>
      <c r="AE212" s="85" t="str">
        <f t="shared" si="91"/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AF212" s="82" t="str">
        <f t="shared" si="92"/>
        <v>"C:\Program Files (x86)\AstroGrep\AstroGrep.exe" /e /r /s /spath="%USERPROFILE%\AppData\Local\Temp\OnboardLogs" /stypes="app*4002*20170317*" /stext=" 01:.+((SYSTEM_STATE.+slice.+state.+changed )|(ment ac)|(multiple cpu faults)|(system.+state.+changed )|(\[timeout)|(PRM\|1\|D)|(kpr)|(kdp)|(\|lc)|(penalty))"</v>
      </c>
      <c r="AG212" s="1" t="str">
        <f t="shared" si="93"/>
        <v>Other</v>
      </c>
      <c r="AH212" s="86" t="str">
        <f t="shared" si="94"/>
        <v>"%USERPROFILE%\Documents\GitHub\eaglep3\Utilities\RefineRTDCRunTimes.py" --tripid 307-16 --locoid 4002 --swversion DE.1.0.9.0 --startMP 204:442 --initTime 2017-03-16T19:39:06 --startdatetime 2017-03-16T19:43:24 --delay 1 --endMP 300:23308 --enddatetime 2017-03-16T19:53:54 --enforcementcount 0 &gt;&gt;C:\Users\stu\Documents\GitHub\eaglep3-reporting\EC\2017-03-16-refined-times.txt</v>
      </c>
      <c r="AI212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ID","value":"307-16"},{"id":16,"name":"Locomotive ID","value":"4002"},{"id":130,"name":"Impact","value":""},{"id":150,"name":"Time of Event (Mountain Time)","value":"19:53:54"},{"id":151,"name":"Denver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6"/>
        <v>start /low /b %USERPROFILE%\Documents\GitHub\eaglep3\Utilities\DownloadLogsFromS3.py --loco 4002 --day 2017-03-16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"%USERPROFILE%\AppData\Local\Temp\OnboardLogs"\RTDC4002\*4002*20170317* | grep -SE "(Enforcement Action)|(\[TIMEOUT)|(CHR.+\|PRM\|1\|D.+(SWITCH|SIGNAL).+UNKNOWN)" - &gt;&gt; 2017-03-16-UncaughtWiMAX.txt</v>
      </c>
    </row>
    <row r="213" spans="1:40" x14ac:dyDescent="0.25">
      <c r="A213" s="33" t="s">
        <v>649</v>
      </c>
      <c r="B213" s="7">
        <v>4026</v>
      </c>
      <c r="C213" s="21" t="s">
        <v>228</v>
      </c>
      <c r="D213" s="21" t="s">
        <v>917</v>
      </c>
      <c r="E213" s="13">
        <v>42810.168958333335</v>
      </c>
      <c r="F213" s="13">
        <v>42810.172696759262</v>
      </c>
      <c r="G213" s="7">
        <v>5</v>
      </c>
      <c r="H213" s="21" t="s">
        <v>500</v>
      </c>
      <c r="I213" s="13">
        <v>42810.180462962962</v>
      </c>
      <c r="J213" s="7">
        <v>0</v>
      </c>
      <c r="K213" s="98" t="str">
        <f t="shared" si="83"/>
        <v>4025/4026</v>
      </c>
      <c r="L213" s="21" t="str">
        <f>VLOOKUP(A213,'Trips&amp;Operators'!$C$1:$G$99999,5,FALSE)</f>
        <v>GEBRETEKLE DAGNEW</v>
      </c>
      <c r="M213" s="6">
        <f t="shared" si="84"/>
        <v>7.7662037001573481E-3</v>
      </c>
      <c r="N213" s="7">
        <f t="shared" si="80"/>
        <v>11.183333328226581</v>
      </c>
      <c r="O213" s="7"/>
      <c r="P213" s="7"/>
      <c r="Q213" s="22"/>
      <c r="R213" s="22"/>
      <c r="S213" s="31">
        <f t="shared" si="81"/>
        <v>1</v>
      </c>
      <c r="T213" s="46" t="str">
        <f t="shared" si="85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86"/>
        <v>https://d0f6bd738d7f1b3e5a7ca70fe4ff75f0.us-east-1.aws.found.io/app/kibana#/discover/Steve-Slow-Train-Analysis-(2080s-and-2083s)?_g=(refreshInterval:(display:Off,pause:!f,section:0,value:0),time:(from:'2017-03-16T03:03:18-0600',mode:absolute,to:'2017-03-16T05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187" t="str">
        <f t="shared" si="87"/>
        <v>Y</v>
      </c>
      <c r="X213" s="187">
        <f t="shared" si="79"/>
        <v>1</v>
      </c>
      <c r="Y213" s="62">
        <f t="shared" si="88"/>
        <v>2.3546</v>
      </c>
      <c r="Z213" s="62">
        <f t="shared" si="82"/>
        <v>1.6299999999999999E-2</v>
      </c>
      <c r="AA213" s="62">
        <f t="shared" si="89"/>
        <v>2.3382999999999998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90"/>
        <v>0308-16</v>
      </c>
      <c r="AE213" s="85" t="str">
        <f t="shared" si="91"/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AF213" s="82" t="str">
        <f t="shared" si="92"/>
        <v>"C:\Program Files (x86)\AstroGrep\AstroGrep.exe" /e /r /s /spath="%USERPROFILE%\AppData\Local\Temp\OnboardLogs" /stypes="app*4026*20170316*" /stext=" 10:.+((SYSTEM_STATE.+slice.+state.+changed )|(ment ac)|(multiple cpu faults)|(system.+state.+changed )|(\[timeout)|(PRM\|1\|D)|(kpr)|(kdp)|(\|lc)|(penalty))"</v>
      </c>
      <c r="AG213" s="1" t="str">
        <f t="shared" si="93"/>
        <v>Other</v>
      </c>
      <c r="AH213" s="86" t="str">
        <f t="shared" si="94"/>
        <v>"%USERPROFILE%\Documents\GitHub\eaglep3\Utilities\RefineRTDCRunTimes.py" --tripid 308-16 --locoid 4026 --swversion DE.1.0.9.0 --startMP 300:23546 --initTime 2017-03-16T04:03:18 --startdatetime 2017-03-16T04:08:41 --delay 5 --endMP 204:163 --enddatetime 2017-03-16T04:19:52 --enforcementcount 0 &gt;&gt;C:\Users\stu\Documents\GitHub\eaglep3-reporting\EC\2017-03-16-refined-times.txt</v>
      </c>
      <c r="AI213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{"issue":{"subject":"","project_id":79,"tracker_id":40,"status_id":1,"priority_id":2,"assigned_to_id":23,"start_date":"2017-03-16","description":"","custom_fields":[{"id":1,"name":"Subdivision","value":"Other"},{"id":4,"name":"Milepost","value":"0.0163"},{"id":17,"name":"Train ID","value":"308-16"},{"id":16,"name":"Locomotive ID","value":"4026"},{"id":130,"name":"Impact","value":""},{"id":150,"name":"Time of Event (Mountain Time)","value":"04:19:52"},{"id":151,"name":"Denver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6"/>
        <v>start /low /b %USERPROFILE%\Documents\GitHub\eaglep3\Utilities\DownloadLogsFromS3.py --loco 4026 --day 2017-03-16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"%USERPROFILE%\AppData\Local\Temp\OnboardLogs"\RTDC4026\*4026*20170316* | grep -SE "(Enforcement Action)|(\[TIMEOUT)|(CHR.+\|PRM\|1\|D.+(SWITCH|SIGNAL).+UNKNOWN)" - &gt;&gt; 2017-03-16-UncaughtWiMAX.txt</v>
      </c>
    </row>
    <row r="214" spans="1:40" x14ac:dyDescent="0.25">
      <c r="A214" s="33" t="s">
        <v>836</v>
      </c>
      <c r="B214" s="7">
        <v>4046</v>
      </c>
      <c r="C214" s="21" t="s">
        <v>228</v>
      </c>
      <c r="D214" s="21" t="s">
        <v>210</v>
      </c>
      <c r="E214" s="13">
        <v>42811.047731481478</v>
      </c>
      <c r="F214" s="13">
        <v>42811.049537037034</v>
      </c>
      <c r="G214" s="7">
        <v>1</v>
      </c>
      <c r="H214" s="21" t="s">
        <v>918</v>
      </c>
      <c r="I214" s="13">
        <v>42811.054432870369</v>
      </c>
      <c r="J214" s="7">
        <v>0</v>
      </c>
      <c r="K214" s="98" t="str">
        <f t="shared" si="83"/>
        <v>4045/4046</v>
      </c>
      <c r="L214" s="21" t="str">
        <f>VLOOKUP(A214,'Trips&amp;Operators'!$C$1:$G$99999,5,FALSE)</f>
        <v>NEWELL JAMES</v>
      </c>
      <c r="M214" s="6">
        <f t="shared" si="84"/>
        <v>4.8958333354676142E-3</v>
      </c>
      <c r="N214" s="7">
        <f t="shared" si="80"/>
        <v>7.0500000030733645</v>
      </c>
      <c r="O214" s="7"/>
      <c r="P214" s="7"/>
      <c r="Q214" s="22"/>
      <c r="R214" s="22"/>
      <c r="S214" s="31">
        <f t="shared" si="81"/>
        <v>1</v>
      </c>
      <c r="T214" s="46" t="str">
        <f t="shared" si="85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86"/>
        <v>https://d0f6bd738d7f1b3e5a7ca70fe4ff75f0.us-east-1.aws.found.io/app/kibana#/discover/Steve-Slow-Train-Analysis-(2080s-and-2083s)?_g=(refreshInterval:(display:Off,pause:!f,section:0,value:0),time:(from:'2017-03-17T00:08:44-0600',mode:absolute,to:'2017-03-17T02:18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7" t="str">
        <f t="shared" si="87"/>
        <v>Y</v>
      </c>
      <c r="X214" s="187">
        <f t="shared" si="79"/>
        <v>1</v>
      </c>
      <c r="Y214" s="62">
        <f t="shared" si="88"/>
        <v>4.5999999999999999E-2</v>
      </c>
      <c r="Z214" s="62">
        <f t="shared" si="82"/>
        <v>2.3115000000000001</v>
      </c>
      <c r="AA214" s="62">
        <f t="shared" si="89"/>
        <v>2.2655000000000003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90"/>
        <v>0309-16</v>
      </c>
      <c r="AE214" s="85" t="str">
        <f t="shared" si="91"/>
        <v>aws s3 cp s3://rtdc.mdm.uploadarchive.raw/RTDC4046/ "%USERPROFILE%\AppData\Local\Temp\OnboardLogs"\RTDC4046\2017-03-17 --exclude "*" --recursive --include "*20170317*" &amp; "%USERPROFILE%\Documents\GitHub\mrs-test-scripts\Headless Mode &amp; Sideloading\WalkAndUnGZ.bat" "%USERPROFILE%\AppData\Local\Temp\OnboardLogs"\RTDC4046\2017-03-17 &amp; aws s3 cp s3://rtdc.mdm.uploadarchive.raw/RTDC4046/ "%USERPROFILE%\AppData\Local\Temp\OnboardLogs"\RTDC4046\2017-03-18 --exclude "*" --recursive --include "*20170318*" &amp; "%USERPROFILE%\Documents\GitHub\mrs-test-scripts\Headless Mode &amp; Sideloading\WalkAndUnGZ.bat" "%USERPROFILE%\AppData\Local\Temp\OnboardLogs"\RTDC4046\2017-03-18</v>
      </c>
      <c r="AF214" s="82" t="str">
        <f t="shared" si="92"/>
        <v>"C:\Program Files (x86)\AstroGrep\AstroGrep.exe" /e /r /s /spath="%USERPROFILE%\AppData\Local\Temp\OnboardLogs" /stypes="app*4046*20170317*" /stext=" 07:.+((SYSTEM_STATE.+slice.+state.+changed )|(ment ac)|(multiple cpu faults)|(system.+state.+changed )|(\[timeout)|(PRM\|1\|D)|(kpr)|(kdp)|(\|lc)|(penalty))"</v>
      </c>
      <c r="AG214" s="1" t="str">
        <f t="shared" si="93"/>
        <v>Other</v>
      </c>
      <c r="AH214" s="86" t="str">
        <f t="shared" si="94"/>
        <v>"%USERPROFILE%\Documents\GitHub\eaglep3\Utilities\RefineRTDCRunTimes.py" --tripid 309-16 --locoid 4046 --swversion DE.1.0.9.0 --startMP 204:460 --initTime 2017-03-17T01:08:44 --startdatetime 2017-03-17T01:11:20 --delay 1 --endMP 300:23115 --enddatetime 2017-03-17T01:18:23 --enforcementcount 0 &gt;&gt;C:\Users\stu\Documents\GitHub\eaglep3-reporting\EC\2017-03-16-refined-times.txt</v>
      </c>
      <c r="AI214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{"issue":{"subject":"","project_id":79,"tracker_id":40,"status_id":1,"priority_id":2,"assigned_to_id":23,"start_date":"2017-03-17","description":"","custom_fields":[{"id":1,"name":"Subdivision","value":"Other"},{"id":4,"name":"Milepost","value":"2.3115"},{"id":17,"name":"Train ID","value":"309-16"},{"id":16,"name":"Locomotive ID","value":"4046"},{"id":130,"name":"Impact","value":""},{"id":150,"name":"Time of Event (Mountain Time)","value":"01:18:23"},{"id":151,"name":"Denver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6"/>
        <v>start /low /b %USERPROFILE%\Documents\GitHub\eaglep3\Utilities\DownloadLogsFromS3.py --loco 4046 --day 2017-03-17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"%USERPROFILE%\AppData\Local\Temp\OnboardLogs"\RTDC4046\*4046*20170317* | grep -SE "(Enforcement Action)|(\[TIMEOUT)|(CHR.+\|PRM\|1\|D.+(SWITCH|SIGNAL).+UNKNOWN)" - &gt;&gt; 2017-03-16-UncaughtWiMAX.txt</v>
      </c>
    </row>
    <row r="215" spans="1:40" x14ac:dyDescent="0.25">
      <c r="A215" s="33" t="s">
        <v>651</v>
      </c>
      <c r="B215" s="7">
        <v>4039</v>
      </c>
      <c r="C215" s="21" t="s">
        <v>228</v>
      </c>
      <c r="D215" s="21" t="s">
        <v>919</v>
      </c>
      <c r="E215" s="13">
        <v>42810.184976851851</v>
      </c>
      <c r="F215" s="13">
        <v>42810.187743055554</v>
      </c>
      <c r="G215" s="7">
        <v>3</v>
      </c>
      <c r="H215" s="21" t="s">
        <v>218</v>
      </c>
      <c r="I215" s="13">
        <v>42810.192835648151</v>
      </c>
      <c r="J215" s="7">
        <v>0</v>
      </c>
      <c r="K215" s="98" t="str">
        <f t="shared" si="83"/>
        <v>4039/4040</v>
      </c>
      <c r="L215" s="21" t="str">
        <f>VLOOKUP(A215,'Trips&amp;Operators'!$C$1:$G$99999,5,FALSE)</f>
        <v>ROCHA YAOTL</v>
      </c>
      <c r="M215" s="6">
        <f t="shared" si="84"/>
        <v>5.0925925970659591E-3</v>
      </c>
      <c r="N215" s="7">
        <f t="shared" si="80"/>
        <v>7.3333333397749811</v>
      </c>
      <c r="O215" s="7"/>
      <c r="P215" s="7"/>
      <c r="Q215" s="22"/>
      <c r="R215" s="22"/>
      <c r="S215" s="31">
        <f t="shared" si="81"/>
        <v>1</v>
      </c>
      <c r="T215" s="46" t="str">
        <f t="shared" si="85"/>
        <v>Southbound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86"/>
        <v>https://d0f6bd738d7f1b3e5a7ca70fe4ff75f0.us-east-1.aws.found.io/app/kibana#/discover/Steve-Slow-Train-Analysis-(2080s-and-2083s)?_g=(refreshInterval:(display:Off,pause:!f,section:0,value:0),time:(from:'2017-03-16T03:26:22-0600',mode:absolute,to:'2017-03-16T05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187" t="str">
        <f t="shared" si="87"/>
        <v>Y</v>
      </c>
      <c r="X215" s="187">
        <f t="shared" si="79"/>
        <v>1</v>
      </c>
      <c r="Y215" s="62">
        <f t="shared" si="88"/>
        <v>2.3199000000000001</v>
      </c>
      <c r="Z215" s="62">
        <f t="shared" si="82"/>
        <v>1.41E-2</v>
      </c>
      <c r="AA215" s="62">
        <f t="shared" si="89"/>
        <v>2.3058000000000001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90"/>
        <v>0310-16</v>
      </c>
      <c r="AE215" s="85" t="str">
        <f t="shared" si="91"/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AF215" s="82" t="str">
        <f t="shared" si="92"/>
        <v>"C:\Program Files (x86)\AstroGrep\AstroGrep.exe" /e /r /s /spath="%USERPROFILE%\AppData\Local\Temp\OnboardLogs" /stypes="app*4039*20170316*" /stext=" 10:.+((SYSTEM_STATE.+slice.+state.+changed )|(ment ac)|(multiple cpu faults)|(system.+state.+changed )|(\[timeout)|(PRM\|1\|D)|(kpr)|(kdp)|(\|lc)|(penalty))"</v>
      </c>
      <c r="AG215" s="1" t="str">
        <f t="shared" si="93"/>
        <v>Other</v>
      </c>
      <c r="AH215" s="86" t="str">
        <f t="shared" si="94"/>
        <v>"%USERPROFILE%\Documents\GitHub\eaglep3\Utilities\RefineRTDCRunTimes.py" --tripid 310-16 --locoid 4039 --swversion DE.1.0.9.0 --startMP 300:23199 --initTime 2017-03-16T04:26:22 --startdatetime 2017-03-16T04:30:21 --delay 3 --endMP 204:141 --enddatetime 2017-03-16T04:37:41 --enforcementcount 0 &gt;&gt;C:\Users\stu\Documents\GitHub\eaglep3-reporting\EC\2017-03-16-refined-times.txt</v>
      </c>
      <c r="AI215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{"issue":{"subject":"","project_id":79,"tracker_id":40,"status_id":1,"priority_id":2,"assigned_to_id":23,"start_date":"2017-03-16","description":"","custom_fields":[{"id":1,"name":"Subdivision","value":"Other"},{"id":4,"name":"Milepost","value":"0.0141"},{"id":17,"name":"Train ID","value":"310-16"},{"id":16,"name":"Locomotive ID","value":"4039"},{"id":130,"name":"Impact","value":""},{"id":150,"name":"Time of Event (Mountain Time)","value":"04:37:41"},{"id":151,"name":"Denver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6"/>
        <v>start /low /b %USERPROFILE%\Documents\GitHub\eaglep3\Utilities\DownloadLogsFromS3.py --loco 4039 --day 2017-03-16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"%USERPROFILE%\AppData\Local\Temp\OnboardLogs"\RTDC4039\*4039*20170316* | grep -SE "(Enforcement Action)|(\[TIMEOUT)|(CHR.+\|PRM\|1\|D.+(SWITCH|SIGNAL).+UNKNOWN)" - &gt;&gt; 2017-03-16-UncaughtWiMAX.txt</v>
      </c>
    </row>
    <row r="216" spans="1:40" x14ac:dyDescent="0.25">
      <c r="A216" s="33" t="s">
        <v>838</v>
      </c>
      <c r="B216" s="7">
        <v>4031</v>
      </c>
      <c r="C216" s="21" t="s">
        <v>228</v>
      </c>
      <c r="D216" s="21" t="s">
        <v>920</v>
      </c>
      <c r="E216" s="13">
        <v>42811.070960648147</v>
      </c>
      <c r="F216" s="13">
        <v>42811.073796296296</v>
      </c>
      <c r="G216" s="7">
        <v>1</v>
      </c>
      <c r="H216" s="21" t="s">
        <v>921</v>
      </c>
      <c r="I216" s="13">
        <v>42811.080949074072</v>
      </c>
      <c r="J216" s="7">
        <v>0</v>
      </c>
      <c r="K216" s="98" t="str">
        <f t="shared" si="83"/>
        <v>4031/4032</v>
      </c>
      <c r="L216" s="21" t="str">
        <f>VLOOKUP(A216,'Trips&amp;Operators'!$C$1:$G$99999,5,FALSE)</f>
        <v>BROWN JACOB</v>
      </c>
      <c r="M216" s="6">
        <f t="shared" si="84"/>
        <v>7.1527777763549238E-3</v>
      </c>
      <c r="N216" s="7">
        <f t="shared" si="80"/>
        <v>10.29999999795109</v>
      </c>
      <c r="O216" s="7"/>
      <c r="P216" s="7"/>
      <c r="Q216" s="22"/>
      <c r="R216" s="22"/>
      <c r="S216" s="31">
        <f t="shared" si="81"/>
        <v>1</v>
      </c>
      <c r="T216" s="46" t="str">
        <f t="shared" si="85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86"/>
        <v>https://d0f6bd738d7f1b3e5a7ca70fe4ff75f0.us-east-1.aws.found.io/app/kibana#/discover/Steve-Slow-Train-Analysis-(2080s-and-2083s)?_g=(refreshInterval:(display:Off,pause:!f,section:0,value:0),time:(from:'2017-03-17T00:42:11-0600',mode:absolute,to:'2017-03-17T02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87" t="str">
        <f t="shared" si="87"/>
        <v>Y</v>
      </c>
      <c r="X216" s="187">
        <f t="shared" si="79"/>
        <v>1</v>
      </c>
      <c r="Y216" s="62">
        <f t="shared" si="88"/>
        <v>0.1016</v>
      </c>
      <c r="Z216" s="62">
        <f t="shared" si="82"/>
        <v>2.3311999999999999</v>
      </c>
      <c r="AA216" s="62">
        <f t="shared" si="89"/>
        <v>2.2296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90"/>
        <v>0311-16</v>
      </c>
      <c r="AE216" s="85" t="str">
        <f t="shared" si="91"/>
        <v>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 &amp; 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</v>
      </c>
      <c r="AF216" s="82" t="str">
        <f t="shared" si="92"/>
        <v>"C:\Program Files (x86)\AstroGrep\AstroGrep.exe" /e /r /s /spath="%USERPROFILE%\AppData\Local\Temp\OnboardLogs" /stypes="app*4031*20170317*" /stext=" 07:.+((SYSTEM_STATE.+slice.+state.+changed )|(ment ac)|(multiple cpu faults)|(system.+state.+changed )|(\[timeout)|(PRM\|1\|D)|(kpr)|(kdp)|(\|lc)|(penalty))"</v>
      </c>
      <c r="AG216" s="1" t="str">
        <f t="shared" si="93"/>
        <v>Other</v>
      </c>
      <c r="AH216" s="86" t="str">
        <f t="shared" si="94"/>
        <v>"%USERPROFILE%\Documents\GitHub\eaglep3\Utilities\RefineRTDCRunTimes.py" --tripid 311-16 --locoid 4031 --swversion DE.1.0.9.0 --startMP 204:1016 --initTime 2017-03-17T01:42:11 --startdatetime 2017-03-17T01:46:16 --delay 1 --endMP 300:23312 --enddatetime 2017-03-17T01:56:34 --enforcementcount 0 &gt;&gt;C:\Users\stu\Documents\GitHub\eaglep3-reporting\EC\2017-03-16-refined-times.txt</v>
      </c>
      <c r="AI216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{"issue":{"subject":"","project_id":79,"tracker_id":40,"status_id":1,"priority_id":2,"assigned_to_id":23,"start_date":"2017-03-17","description":"","custom_fields":[{"id":1,"name":"Subdivision","value":"Other"},{"id":4,"name":"Milepost","value":"2.3312"},{"id":17,"name":"Train ID","value":"311-16"},{"id":16,"name":"Locomotive ID","value":"4031"},{"id":130,"name":"Impact","value":""},{"id":150,"name":"Time of Event (Mountain Time)","value":"01:56:34"},{"id":151,"name":"Denver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6"/>
        <v>start /low /b %USERPROFILE%\Documents\GitHub\eaglep3\Utilities\DownloadLogsFromS3.py --loco 4031 --day 2017-03-17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"%USERPROFILE%\AppData\Local\Temp\OnboardLogs"\RTDC4031\*4031*20170317* | grep -SE "(Enforcement Action)|(\[TIMEOUT)|(CHR.+\|PRM\|1\|D.+(SWITCH|SIGNAL).+UNKNOWN)" - &gt;&gt; 2017-03-16-UncaughtWiMAX.txt</v>
      </c>
    </row>
    <row r="217" spans="1:40" x14ac:dyDescent="0.25">
      <c r="A217" s="33" t="s">
        <v>540</v>
      </c>
      <c r="B217" s="7">
        <v>4053</v>
      </c>
      <c r="C217" s="21" t="s">
        <v>228</v>
      </c>
      <c r="D217" s="21" t="s">
        <v>435</v>
      </c>
      <c r="E217" s="13">
        <v>42810.090960648151</v>
      </c>
      <c r="F217" s="13">
        <v>42810.092175925929</v>
      </c>
      <c r="G217" s="7">
        <v>1</v>
      </c>
      <c r="H217" s="21" t="s">
        <v>505</v>
      </c>
      <c r="I217" s="13">
        <v>42810.097800925927</v>
      </c>
      <c r="J217" s="7">
        <v>0</v>
      </c>
      <c r="K217" s="98" t="str">
        <f t="shared" si="83"/>
        <v>4053/4054</v>
      </c>
      <c r="L217" s="21" t="str">
        <f>VLOOKUP(A217,'Trips&amp;Operators'!$C$1:$G$99999,5,FALSE)</f>
        <v>NEWELL JAMES</v>
      </c>
      <c r="M217" s="6">
        <f t="shared" si="84"/>
        <v>5.6249999979627319E-3</v>
      </c>
      <c r="N217" s="7">
        <f t="shared" si="80"/>
        <v>8.0999999970663339</v>
      </c>
      <c r="O217" s="7"/>
      <c r="P217" s="7"/>
      <c r="Q217" s="22"/>
      <c r="R217" s="22"/>
      <c r="S217" s="31">
        <f t="shared" si="81"/>
        <v>1</v>
      </c>
      <c r="T217" s="46" t="str">
        <f t="shared" si="85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86"/>
        <v>https://d0f6bd738d7f1b3e5a7ca70fe4ff75f0.us-east-1.aws.found.io/app/kibana#/discover/Steve-Slow-Train-Analysis-(2080s-and-2083s)?_g=(refreshInterval:(display:Off,pause:!f,section:0,value:0),time:(from:'2017-03-16T01:10:59-0600',mode:absolute,to:'2017-03-16T03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187" t="str">
        <f t="shared" si="87"/>
        <v>Y</v>
      </c>
      <c r="X217" s="187">
        <f t="shared" si="79"/>
        <v>2</v>
      </c>
      <c r="Y217" s="62">
        <f t="shared" si="88"/>
        <v>4.6199999999999998E-2</v>
      </c>
      <c r="Z217" s="62">
        <f t="shared" si="82"/>
        <v>2.3308</v>
      </c>
      <c r="AA217" s="62">
        <f t="shared" si="89"/>
        <v>2.2846000000000002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90"/>
        <v>0313-15</v>
      </c>
      <c r="AE217" s="85" t="str">
        <f t="shared" si="91"/>
        <v>aws s3 cp s3://rtdc.mdm.uploadarchive.raw/RTDC4053/ "%USERPROFILE%\AppData\Local\Temp\OnboardLogs"\RTDC4053\2017-03-16 --exclude "*" --recursive --include "*20170316*" &amp; "%USERPROFILE%\Documents\GitHub\mrs-test-scripts\Headless Mode &amp; Sideloading\WalkAndUnGZ.bat" "%USERPROFILE%\AppData\Local\Temp\OnboardLogs"\RTDC4053\2017-03-16 &amp; aws s3 cp s3://rtdc.mdm.uploadarchive.raw/RTDC4053/ "%USERPROFILE%\AppData\Local\Temp\OnboardLogs"\RTDC4053\2017-03-17 --exclude "*" --recursive --include "*20170317*" &amp; "%USERPROFILE%\Documents\GitHub\mrs-test-scripts\Headless Mode &amp; Sideloading\WalkAndUnGZ.bat" "%USERPROFILE%\AppData\Local\Temp\OnboardLogs"\RTDC4053\2017-03-17</v>
      </c>
      <c r="AF217" s="82" t="str">
        <f t="shared" si="92"/>
        <v>"C:\Program Files (x86)\AstroGrep\AstroGrep.exe" /e /r /s /spath="%USERPROFILE%\AppData\Local\Temp\OnboardLogs" /stypes="app*4053*20170316*" /stext=" 08:.+((SYSTEM_STATE.+slice.+state.+changed )|(ment ac)|(multiple cpu faults)|(system.+state.+changed )|(\[timeout)|(PRM\|1\|D)|(kpr)|(kdp)|(\|lc)|(penalty))"</v>
      </c>
      <c r="AG217" s="1" t="str">
        <f t="shared" si="93"/>
        <v>Other</v>
      </c>
      <c r="AH217" s="86" t="str">
        <f t="shared" si="94"/>
        <v>"%USERPROFILE%\Documents\GitHub\eaglep3\Utilities\RefineRTDCRunTimes.py" --tripid 313-15 --locoid 4053 --swversion DE.1.0.9.0 --startMP 204:462 --initTime 2017-03-16T02:10:59 --startdatetime 2017-03-16T02:12:44 --delay 1 --endMP 300:23308 --enddatetime 2017-03-16T02:20:50 --enforcementcount 0 &gt;&gt;C:\Users\stu\Documents\GitHub\eaglep3-reporting\EC\2017-03-16-refined-times.txt</v>
      </c>
      <c r="AI217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ID","value":"313-15"},{"id":16,"name":"Locomotive ID","value":"4053"},{"id":130,"name":"Impact","value":""},{"id":150,"name":"Time of Event (Mountain Time)","value":"02:20:50"},{"id":151,"name":"Denver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6"/>
        <v>start /low /b %USERPROFILE%\Documents\GitHub\eaglep3\Utilities\DownloadLogsFromS3.py --loco 4053 --day 2017-03-16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"%USERPROFILE%\AppData\Local\Temp\OnboardLogs"\RTDC4053\*4053*20170316* | grep -SE "(Enforcement Action)|(\[TIMEOUT)|(CHR.+\|PRM\|1\|D.+(SWITCH|SIGNAL).+UNKNOWN)" - &gt;&gt; 2017-03-16-UncaughtWiMAX.txt</v>
      </c>
    </row>
    <row r="218" spans="1:40" x14ac:dyDescent="0.25">
      <c r="A218" s="33" t="s">
        <v>839</v>
      </c>
      <c r="B218" s="7">
        <v>4025</v>
      </c>
      <c r="C218" s="21" t="s">
        <v>228</v>
      </c>
      <c r="D218" s="21" t="s">
        <v>237</v>
      </c>
      <c r="E218" s="13">
        <v>42811.089629629627</v>
      </c>
      <c r="F218" s="13">
        <v>42811.092222222222</v>
      </c>
      <c r="G218" s="7">
        <v>1</v>
      </c>
      <c r="H218" s="21" t="s">
        <v>436</v>
      </c>
      <c r="I218" s="13">
        <v>42811.099108796298</v>
      </c>
      <c r="J218" s="7">
        <v>0</v>
      </c>
      <c r="K218" s="98" t="str">
        <f t="shared" si="83"/>
        <v>4025/4026</v>
      </c>
      <c r="L218" s="21" t="str">
        <f>VLOOKUP(A218,'Trips&amp;Operators'!$C$1:$G$99999,5,FALSE)</f>
        <v>SWANSON BRYCE</v>
      </c>
      <c r="M218" s="6">
        <f t="shared" si="84"/>
        <v>6.8865740759065375E-3</v>
      </c>
      <c r="N218" s="7">
        <f t="shared" si="80"/>
        <v>9.916666669305414</v>
      </c>
      <c r="O218" s="7"/>
      <c r="P218" s="7"/>
      <c r="Q218" s="22"/>
      <c r="R218" s="22"/>
      <c r="S218" s="31">
        <f t="shared" si="81"/>
        <v>1</v>
      </c>
      <c r="T218" s="46" t="str">
        <f t="shared" si="85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86"/>
        <v>https://d0f6bd738d7f1b3e5a7ca70fe4ff75f0.us-east-1.aws.found.io/app/kibana#/discover/Steve-Slow-Train-Analysis-(2080s-and-2083s)?_g=(refreshInterval:(display:Off,pause:!f,section:0,value:0),time:(from:'2017-03-17T01:09:04-0600',mode:absolute,to:'2017-03-17T03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87" t="str">
        <f t="shared" si="87"/>
        <v>Y</v>
      </c>
      <c r="X218" s="187">
        <f t="shared" si="79"/>
        <v>0</v>
      </c>
      <c r="Y218" s="62">
        <f t="shared" si="88"/>
        <v>4.4200000000000003E-2</v>
      </c>
      <c r="Z218" s="62">
        <f t="shared" si="82"/>
        <v>2.3346</v>
      </c>
      <c r="AA218" s="62">
        <f t="shared" si="89"/>
        <v>2.2904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90"/>
        <v>0313-16</v>
      </c>
      <c r="AE218" s="85" t="str">
        <f t="shared" si="91"/>
        <v>aws s3 cp s3://rtdc.mdm.uploadarchive.raw/RTDC4025/ "%USERPROFILE%\AppData\Local\Temp\OnboardLogs"\RTDC4025\2017-03-17 --exclude "*" --recursive --include "*20170317*" &amp; "%USERPROFILE%\Documents\GitHub\mrs-test-scripts\Headless Mode &amp; Sideloading\WalkAndUnGZ.bat" "%USERPROFILE%\AppData\Local\Temp\OnboardLogs"\RTDC4025\2017-03-17 &amp; aws s3 cp s3://rtdc.mdm.uploadarchive.raw/RTDC4025/ "%USERPROFILE%\AppData\Local\Temp\OnboardLogs"\RTDC4025\2017-03-18 --exclude "*" --recursive --include "*20170318*" &amp; "%USERPROFILE%\Documents\GitHub\mrs-test-scripts\Headless Mode &amp; Sideloading\WalkAndUnGZ.bat" "%USERPROFILE%\AppData\Local\Temp\OnboardLogs"\RTDC4025\2017-03-18</v>
      </c>
      <c r="AF218" s="82" t="str">
        <f t="shared" si="92"/>
        <v>"C:\Program Files (x86)\AstroGrep\AstroGrep.exe" /e /r /s /spath="%USERPROFILE%\AppData\Local\Temp\OnboardLogs" /stypes="app*4025*20170317*" /stext=" 08:.+((SYSTEM_STATE.+slice.+state.+changed )|(ment ac)|(multiple cpu faults)|(system.+state.+changed )|(\[timeout)|(PRM\|1\|D)|(kpr)|(kdp)|(\|lc)|(penalty))"</v>
      </c>
      <c r="AG218" s="1" t="str">
        <f t="shared" si="93"/>
        <v>Other</v>
      </c>
      <c r="AH218" s="86" t="str">
        <f t="shared" si="94"/>
        <v>"%USERPROFILE%\Documents\GitHub\eaglep3\Utilities\RefineRTDCRunTimes.py" --tripid 313-16 --locoid 4025 --swversion DE.1.0.9.0 --startMP 204:442 --initTime 2017-03-17T02:09:04 --startdatetime 2017-03-17T02:12:48 --delay 1 --endMP 300:23346 --enddatetime 2017-03-17T02:22:43 --enforcementcount 0 &gt;&gt;C:\Users\stu\Documents\GitHub\eaglep3-reporting\EC\2017-03-16-refined-times.txt</v>
      </c>
      <c r="AI218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{"issue":{"subject":"","project_id":79,"tracker_id":40,"status_id":1,"priority_id":2,"assigned_to_id":23,"start_date":"2017-03-17","description":"","custom_fields":[{"id":1,"name":"Subdivision","value":"Other"},{"id":4,"name":"Milepost","value":"2.3346"},{"id":17,"name":"Train ID","value":"313-16"},{"id":16,"name":"Locomotive ID","value":"4025"},{"id":130,"name":"Impact","value":""},{"id":150,"name":"Time of Event (Mountain Time)","value":"02:22:43"},{"id":151,"name":"Denver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6"/>
        <v>start /low /b %USERPROFILE%\Documents\GitHub\eaglep3\Utilities\DownloadLogsFromS3.py --loco 4025 --day 2017-03-17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"%USERPROFILE%\AppData\Local\Temp\OnboardLogs"\RTDC4025\*4025*20170317* | grep -SE "(Enforcement Action)|(\[TIMEOUT)|(CHR.+\|PRM\|1\|D.+(SWITCH|SIGNAL).+UNKNOWN)" - &gt;&gt; 2017-03-16-UncaughtWiMAX.txt</v>
      </c>
    </row>
    <row r="219" spans="1:40" x14ac:dyDescent="0.25">
      <c r="A219" s="33" t="s">
        <v>834</v>
      </c>
      <c r="B219" s="7">
        <v>4029</v>
      </c>
      <c r="C219" s="21" t="s">
        <v>228</v>
      </c>
      <c r="D219" s="21" t="s">
        <v>461</v>
      </c>
      <c r="E219" s="13">
        <v>42811.028622685182</v>
      </c>
      <c r="F219" s="13">
        <v>42811.030370370368</v>
      </c>
      <c r="G219" s="7">
        <v>1</v>
      </c>
      <c r="H219" s="21" t="s">
        <v>464</v>
      </c>
      <c r="I219" s="13">
        <v>42811.035601851851</v>
      </c>
      <c r="J219" s="7">
        <v>0</v>
      </c>
      <c r="K219" s="98" t="str">
        <f t="shared" si="83"/>
        <v>4029/4030</v>
      </c>
      <c r="L219" s="21" t="str">
        <f>VLOOKUP(A219,'Trips&amp;Operators'!$C$1:$G$99999,5,FALSE)</f>
        <v>CHANDLER KELVIN</v>
      </c>
      <c r="M219" s="6">
        <f t="shared" si="84"/>
        <v>5.2314814820419997E-3</v>
      </c>
      <c r="N219" s="7">
        <f t="shared" si="80"/>
        <v>7.5333333341404796</v>
      </c>
      <c r="O219" s="7"/>
      <c r="P219" s="7"/>
      <c r="Q219" s="22"/>
      <c r="R219" s="22"/>
      <c r="S219" s="31">
        <f t="shared" si="81"/>
        <v>1</v>
      </c>
      <c r="T219" s="46" t="str">
        <f t="shared" si="85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86"/>
        <v>https://d0f6bd738d7f1b3e5a7ca70fe4ff75f0.us-east-1.aws.found.io/app/kibana#/discover/Steve-Slow-Train-Analysis-(2080s-and-2083s)?_g=(refreshInterval:(display:Off,pause:!f,section:0,value:0),time:(from:'2017-03-16T23:41:13-0600',mode:absolute,to:'2017-03-17T01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87" t="str">
        <f t="shared" si="87"/>
        <v>Y</v>
      </c>
      <c r="X219" s="187">
        <f t="shared" si="79"/>
        <v>2</v>
      </c>
      <c r="Y219" s="62">
        <f t="shared" si="88"/>
        <v>4.7100000000000003E-2</v>
      </c>
      <c r="Z219" s="62">
        <f t="shared" si="82"/>
        <v>2.3304</v>
      </c>
      <c r="AA219" s="62">
        <f t="shared" si="89"/>
        <v>2.2833000000000001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90"/>
        <v>0315-16</v>
      </c>
      <c r="AE219" s="85" t="str">
        <f t="shared" si="91"/>
        <v>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 &amp; aws s3 cp s3://rtdc.mdm.uploadarchive.raw/RTDC4029/ "%USERPROFILE%\AppData\Local\Temp\OnboardLogs"\RTDC4029\2017-03-18 --exclude "*" --recursive --include "*20170318*" &amp; "%USERPROFILE%\Documents\GitHub\mrs-test-scripts\Headless Mode &amp; Sideloading\WalkAndUnGZ.bat" "%USERPROFILE%\AppData\Local\Temp\OnboardLogs"\RTDC4029\2017-03-18</v>
      </c>
      <c r="AF219" s="82" t="str">
        <f t="shared" si="92"/>
        <v>"C:\Program Files (x86)\AstroGrep\AstroGrep.exe" /e /r /s /spath="%USERPROFILE%\AppData\Local\Temp\OnboardLogs" /stypes="app*4029*20170317*" /stext=" 06:.+((SYSTEM_STATE.+slice.+state.+changed )|(ment ac)|(multiple cpu faults)|(system.+state.+changed )|(\[timeout)|(PRM\|1\|D)|(kpr)|(kdp)|(\|lc)|(penalty))"</v>
      </c>
      <c r="AG219" s="1" t="str">
        <f t="shared" si="93"/>
        <v>Other</v>
      </c>
      <c r="AH219" s="86" t="str">
        <f t="shared" si="94"/>
        <v>"%USERPROFILE%\Documents\GitHub\eaglep3\Utilities\RefineRTDCRunTimes.py" --tripid 315-16 --locoid 4029 --swversion DE.1.0.9.0 --startMP 204:471 --initTime 2017-03-17T00:41:13 --startdatetime 2017-03-17T00:43:44 --delay 1 --endMP 300:23304 --enddatetime 2017-03-17T00:51:16 --enforcementcount 0 &gt;&gt;C:\Users\stu\Documents\GitHub\eaglep3-reporting\EC\2017-03-16-refined-times.txt</v>
      </c>
      <c r="AI219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{"issue":{"subject":"","project_id":79,"tracker_id":40,"status_id":1,"priority_id":2,"assigned_to_id":23,"start_date":"2017-03-17","description":"","custom_fields":[{"id":1,"name":"Subdivision","value":"Other"},{"id":4,"name":"Milepost","value":"2.3304"},{"id":17,"name":"Train ID","value":"315-16"},{"id":16,"name":"Locomotive ID","value":"4029"},{"id":130,"name":"Impact","value":""},{"id":150,"name":"Time of Event (Mountain Time)","value":"00:51:16"},{"id":151,"name":"Denver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6"/>
        <v>start /low /b %USERPROFILE%\Documents\GitHub\eaglep3\Utilities\DownloadLogsFromS3.py --loco 4029 --day 2017-03-17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"%USERPROFILE%\AppData\Local\Temp\OnboardLogs"\RTDC4029\*4029*20170317* | grep -SE "(Enforcement Action)|(\[TIMEOUT)|(CHR.+\|PRM\|1\|D.+(SWITCH|SIGNAL).+UNKNOWN)" - &gt;&gt; 2017-03-16-UncaughtWiMAX.txt</v>
      </c>
    </row>
    <row r="220" spans="1:40" x14ac:dyDescent="0.25">
      <c r="A220" s="33" t="s">
        <v>654</v>
      </c>
      <c r="B220" s="7">
        <v>4022</v>
      </c>
      <c r="C220" s="21" t="s">
        <v>228</v>
      </c>
      <c r="D220" s="21" t="s">
        <v>1000</v>
      </c>
      <c r="E220" s="13">
        <v>42810.199525462966</v>
      </c>
      <c r="F220" s="13">
        <v>42810.205324074072</v>
      </c>
      <c r="G220" s="7">
        <v>8</v>
      </c>
      <c r="H220" s="21" t="s">
        <v>942</v>
      </c>
      <c r="I220" s="13">
        <v>42810.211608796293</v>
      </c>
      <c r="J220" s="7">
        <v>0</v>
      </c>
      <c r="K220" s="98" t="str">
        <f t="shared" si="83"/>
        <v>4021/4022</v>
      </c>
      <c r="L220" s="21" t="str">
        <f>VLOOKUP(A220,'Trips&amp;Operators'!$C$1:$G$99999,5,FALSE)</f>
        <v>SHOOK JOHN</v>
      </c>
      <c r="M220" s="6">
        <f t="shared" si="84"/>
        <v>6.284722221607808E-3</v>
      </c>
      <c r="N220" s="7">
        <f t="shared" si="80"/>
        <v>9.0499999991152436</v>
      </c>
      <c r="O220" s="7"/>
      <c r="P220" s="7"/>
      <c r="Q220" s="22"/>
      <c r="R220" s="22"/>
      <c r="S220" s="31">
        <f t="shared" si="81"/>
        <v>0</v>
      </c>
      <c r="T220" s="46" t="str">
        <f t="shared" si="85"/>
        <v>NorthBound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86"/>
        <v>https://d0f6bd738d7f1b3e5a7ca70fe4ff75f0.us-east-1.aws.found.io/app/kibana#/discover/Steve-Slow-Train-Analysis-(2080s-and-2083s)?_g=(refreshInterval:(display:Off,pause:!f,section:0,value:0),time:(from:'2017-03-16T03:47:19-0600',mode:absolute,to:'2017-03-16T06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0" s="187" t="str">
        <f t="shared" si="87"/>
        <v>Y</v>
      </c>
      <c r="X220" s="187">
        <f t="shared" si="79"/>
        <v>586</v>
      </c>
      <c r="Y220" s="62">
        <f t="shared" si="88"/>
        <v>3.0272999999999999</v>
      </c>
      <c r="Z220" s="62">
        <f t="shared" si="82"/>
        <v>5.8993000000000002</v>
      </c>
      <c r="AA220" s="62">
        <f t="shared" si="89"/>
        <v>2.8720000000000003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90"/>
        <v>0901-16</v>
      </c>
      <c r="AE220" s="85" t="str">
        <f t="shared" si="91"/>
        <v>aws s3 cp s3://rtdc.mdm.uploadarchive.raw/RTDC4022/ "%USERPROFILE%\AppData\Local\Temp\OnboardLogs"\RTDC4022\2017-03-16 --exclude "*" --recursive --include "*20170316*" &amp; "%USERPROFILE%\Documents\GitHub\mrs-test-scripts\Headless Mode &amp; Sideloading\WalkAndUnGZ.bat" "%USERPROFILE%\AppData\Local\Temp\OnboardLogs"\RTDC4022\2017-03-16 &amp; 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</v>
      </c>
      <c r="AF220" s="82" t="str">
        <f t="shared" si="92"/>
        <v>"C:\Program Files (x86)\AstroGrep\AstroGrep.exe" /e /r /s /spath="%USERPROFILE%\AppData\Local\Temp\OnboardLogs" /stypes="app*4022*20170316*" /stext=" 11:.+((SYSTEM_STATE.+slice.+state.+changed )|(ment ac)|(multiple cpu faults)|(system.+state.+changed )|(\[timeout)|(PRM\|1\|D)|(kpr)|(kdp)|(\|lc)|(penalty))"</v>
      </c>
      <c r="AG220" s="1" t="str">
        <f t="shared" si="93"/>
        <v>Other</v>
      </c>
      <c r="AH220" s="86" t="str">
        <f t="shared" si="94"/>
        <v>"%USERPROFILE%\Documents\GitHub\eaglep3\Utilities\RefineRTDCRunTimes.py" --tripid 901-16 --locoid 4022 --swversion DE.1.0.9.0 --startMP 300:30273 --initTime 2017-03-16T04:47:19 --startdatetime 2017-03-16T04:55:40 --delay 8 --endMP 300:58993 --enddatetime 2017-03-16T05:04:43 --enforcementcount 0 &gt;&gt;C:\Users\stu\Documents\GitHub\eaglep3-reporting\EC\2017-03-16-refined-times.txt</v>
      </c>
      <c r="AI220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{"issue":{"subject":"","project_id":79,"tracker_id":40,"status_id":1,"priority_id":2,"assigned_to_id":23,"start_date":"2017-03-16","description":"","custom_fields":[{"id":1,"name":"Subdivision","value":"Other"},{"id":4,"name":"Milepost","value":"5.8993"},{"id":17,"name":"Train ID","value":"901-16"},{"id":16,"name":"Locomotive ID","value":"4022"},{"id":130,"name":"Impact","value":""},{"id":150,"name":"Time of Event (Mountain Time)","value":"05:04:43"},{"id":151,"name":"Denver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6"/>
        <v>start /low /b %USERPROFILE%\Documents\GitHub\eaglep3\Utilities\DownloadLogsFromS3.py --loco 4022 --day 2017-03-16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"%USERPROFILE%\AppData\Local\Temp\OnboardLogs"\RTDC4022\*4022*20170316* | grep -SE "(Enforcement Action)|(\[TIMEOUT)|(CHR.+\|PRM\|1\|D.+(SWITCH|SIGNAL).+UNKNOWN)" - &gt;&gt; 2017-03-16-UncaughtWiMAX.txt</v>
      </c>
    </row>
    <row r="221" spans="1:40" x14ac:dyDescent="0.25">
      <c r="A221" s="33" t="s">
        <v>667</v>
      </c>
      <c r="B221" s="7">
        <v>4017</v>
      </c>
      <c r="C221" s="21" t="s">
        <v>228</v>
      </c>
      <c r="D221" s="21" t="s">
        <v>1001</v>
      </c>
      <c r="E221" s="13">
        <v>42810.25271990741</v>
      </c>
      <c r="F221" s="13">
        <v>42810.255324074074</v>
      </c>
      <c r="G221" s="7">
        <v>3</v>
      </c>
      <c r="H221" s="21" t="s">
        <v>1002</v>
      </c>
      <c r="I221" s="13">
        <v>42810.260196759256</v>
      </c>
      <c r="J221" s="7">
        <v>0</v>
      </c>
      <c r="K221" s="98" t="str">
        <f t="shared" si="83"/>
        <v>4017/4018</v>
      </c>
      <c r="L221" s="21" t="str">
        <f>VLOOKUP(A221,'Trips&amp;Operators'!$C$1:$G$99999,5,FALSE)</f>
        <v>LOZA FIDEL</v>
      </c>
      <c r="M221" s="6">
        <f t="shared" si="84"/>
        <v>4.8726851819083095E-3</v>
      </c>
      <c r="N221" s="7">
        <f t="shared" si="80"/>
        <v>7.0166666619479656</v>
      </c>
      <c r="O221" s="7"/>
      <c r="P221" s="7"/>
      <c r="Q221" s="22"/>
      <c r="R221" s="22"/>
      <c r="S221" s="31">
        <f t="shared" si="81"/>
        <v>1</v>
      </c>
      <c r="T221" s="46" t="str">
        <f t="shared" si="85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86"/>
        <v>https://d0f6bd738d7f1b3e5a7ca70fe4ff75f0.us-east-1.aws.found.io/app/kibana#/discover/Steve-Slow-Train-Analysis-(2080s-and-2083s)?_g=(refreshInterval:(display:Off,pause:!f,section:0,value:0),time:(from:'2017-03-16T05:03:55-0600',mode:absolute,to:'2017-03-16T07:14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1" s="187" t="str">
        <f t="shared" si="87"/>
        <v>Y</v>
      </c>
      <c r="X221" s="187">
        <f t="shared" si="79"/>
        <v>1</v>
      </c>
      <c r="Y221" s="62">
        <f t="shared" si="88"/>
        <v>2.3336000000000001</v>
      </c>
      <c r="Z221" s="62">
        <f t="shared" si="82"/>
        <v>6.7500000000000004E-2</v>
      </c>
      <c r="AA221" s="62">
        <f t="shared" si="89"/>
        <v>2.2661000000000002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90"/>
        <v>0902-16</v>
      </c>
      <c r="AE221" s="85" t="str">
        <f t="shared" si="91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221" s="82" t="str">
        <f t="shared" si="92"/>
        <v>"C:\Program Files (x86)\AstroGrep\AstroGrep.exe" /e /r /s /spath="%USERPROFILE%\AppData\Local\Temp\OnboardLogs" /stypes="app*4017*20170316*" /stext=" 12:.+((SYSTEM_STATE.+slice.+state.+changed )|(ment ac)|(multiple cpu faults)|(system.+state.+changed )|(\[timeout)|(PRM\|1\|D)|(kpr)|(kdp)|(\|lc)|(penalty))"</v>
      </c>
      <c r="AG221" s="1" t="str">
        <f t="shared" si="93"/>
        <v>Other</v>
      </c>
      <c r="AH221" s="86" t="str">
        <f t="shared" si="94"/>
        <v>"%USERPROFILE%\Documents\GitHub\eaglep3\Utilities\RefineRTDCRunTimes.py" --tripid 902-16 --locoid 4017 --swversion DE.1.0.9.0 --startMP 300:23336 --initTime 2017-03-16T06:03:55 --startdatetime 2017-03-16T06:07:40 --delay 3 --endMP 204:675 --enddatetime 2017-03-16T06:14:41 --enforcementcount 0 &gt;&gt;C:\Users\stu\Documents\GitHub\eaglep3-reporting\EC\2017-03-16-refined-times.txt</v>
      </c>
      <c r="AI221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{"issue":{"subject":"","project_id":79,"tracker_id":40,"status_id":1,"priority_id":2,"assigned_to_id":23,"start_date":"2017-03-16","description":"","custom_fields":[{"id":1,"name":"Subdivision","value":"Other"},{"id":4,"name":"Milepost","value":"0.0675"},{"id":17,"name":"Train ID","value":"902-16"},{"id":16,"name":"Locomotive ID","value":"4017"},{"id":130,"name":"Impact","value":""},{"id":150,"name":"Time of Event (Mountain Time)","value":"06:14:41"},{"id":151,"name":"Denver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6"/>
        <v>start /low /b %USERPROFILE%\Documents\GitHub\eaglep3\Utilities\DownloadLogsFromS3.py --loco 4017 --day 2017-03-16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"%USERPROFILE%\AppData\Local\Temp\OnboardLogs"\RTDC4017\*4017*20170316* | grep -SE "(Enforcement Action)|(\[TIMEOUT)|(CHR.+\|PRM\|1\|D.+(SWITCH|SIGNAL).+UNKNOWN)" - &gt;&gt; 2017-03-16-UncaughtWiMAX.txt</v>
      </c>
    </row>
    <row r="222" spans="1:40" x14ac:dyDescent="0.25">
      <c r="A222" s="33" t="s">
        <v>694</v>
      </c>
      <c r="B222" s="7">
        <v>4009</v>
      </c>
      <c r="C222" s="21" t="s">
        <v>228</v>
      </c>
      <c r="D222" s="21" t="s">
        <v>929</v>
      </c>
      <c r="E222" s="13">
        <v>42810.352951388886</v>
      </c>
      <c r="F222" s="13">
        <v>42810.354548611111</v>
      </c>
      <c r="G222" s="7">
        <v>1</v>
      </c>
      <c r="H222" s="21" t="s">
        <v>1003</v>
      </c>
      <c r="I222" s="13">
        <v>42810.359930555554</v>
      </c>
      <c r="J222" s="7">
        <v>0</v>
      </c>
      <c r="K222" s="98" t="str">
        <f t="shared" si="83"/>
        <v>4009/4010</v>
      </c>
      <c r="L222" s="21" t="str">
        <f>VLOOKUP(A222,'Trips&amp;Operators'!$C$1:$G$99999,5,FALSE)</f>
        <v>SHOOK JOHN</v>
      </c>
      <c r="M222" s="6">
        <f t="shared" si="84"/>
        <v>5.3819444437976927E-3</v>
      </c>
      <c r="N222" s="7">
        <f t="shared" si="80"/>
        <v>7.7499999990686774</v>
      </c>
      <c r="O222" s="7"/>
      <c r="P222" s="7"/>
      <c r="Q222" s="22"/>
      <c r="R222" s="22"/>
      <c r="S222" s="31">
        <f t="shared" si="81"/>
        <v>1</v>
      </c>
      <c r="T222" s="46" t="str">
        <f t="shared" si="85"/>
        <v>NorthBound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86"/>
        <v>https://d0f6bd738d7f1b3e5a7ca70fe4ff75f0.us-east-1.aws.found.io/app/kibana#/discover/Steve-Slow-Train-Analysis-(2080s-and-2083s)?_g=(refreshInterval:(display:Off,pause:!f,section:0,value:0),time:(from:'2017-03-16T07:28:15-0600',mode:absolute,to:'2017-03-16T09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2" s="187" t="str">
        <f t="shared" si="87"/>
        <v>Y</v>
      </c>
      <c r="X222" s="187">
        <f t="shared" ref="X222:X244" si="97">VALUE(LEFT(AD222,4))-VALUE(LEFT(AD221,4))</f>
        <v>1</v>
      </c>
      <c r="Y222" s="62">
        <f t="shared" si="88"/>
        <v>4.4999999999999998E-2</v>
      </c>
      <c r="Z222" s="62">
        <f t="shared" si="82"/>
        <v>2.4232999999999998</v>
      </c>
      <c r="AA222" s="62">
        <f t="shared" si="89"/>
        <v>2.3782999999999999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90"/>
        <v>0903-16</v>
      </c>
      <c r="AE222" s="85" t="str">
        <f t="shared" si="91"/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AF222" s="82" t="str">
        <f t="shared" si="92"/>
        <v>"C:\Program Files (x86)\AstroGrep\AstroGrep.exe" /e /r /s /spath="%USERPROFILE%\AppData\Local\Temp\OnboardLogs" /stypes="app*4009*20170316*" /stext=" 14:.+((SYSTEM_STATE.+slice.+state.+changed )|(ment ac)|(multiple cpu faults)|(system.+state.+changed )|(\[timeout)|(PRM\|1\|D)|(kpr)|(kdp)|(\|lc)|(penalty))"</v>
      </c>
      <c r="AG222" s="1" t="str">
        <f t="shared" si="93"/>
        <v>Other</v>
      </c>
      <c r="AH222" s="86" t="str">
        <f t="shared" si="94"/>
        <v>"%USERPROFILE%\Documents\GitHub\eaglep3\Utilities\RefineRTDCRunTimes.py" --tripid 903-16 --locoid 4009 --swversion DE.1.0.9.0 --startMP 204:450 --initTime 2017-03-16T08:28:15 --startdatetime 2017-03-16T08:30:33 --delay 1 --endMP 300:24233 --enddatetime 2017-03-16T08:38:18 --enforcementcount 0 &gt;&gt;C:\Users\stu\Documents\GitHub\eaglep3-reporting\EC\2017-03-16-refined-times.txt</v>
      </c>
      <c r="AI222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{"issue":{"subject":"","project_id":79,"tracker_id":40,"status_id":1,"priority_id":2,"assigned_to_id":23,"start_date":"2017-03-16","description":"","custom_fields":[{"id":1,"name":"Subdivision","value":"Other"},{"id":4,"name":"Milepost","value":"2.4233"},{"id":17,"name":"Train ID","value":"903-16"},{"id":16,"name":"Locomotive ID","value":"4009"},{"id":130,"name":"Impact","value":""},{"id":150,"name":"Time of Event (Mountain Time)","value":"08:38:18"},{"id":151,"name":"Denver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6"/>
        <v>start /low /b %USERPROFILE%\Documents\GitHub\eaglep3\Utilities\DownloadLogsFromS3.py --loco 4009 --day 2017-03-16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"%USERPROFILE%\AppData\Local\Temp\OnboardLogs"\RTDC4009\*4009*20170316* | grep -SE "(Enforcement Action)|(\[TIMEOUT)|(CHR.+\|PRM\|1\|D.+(SWITCH|SIGNAL).+UNKNOWN)" - &gt;&gt; 2017-03-16-UncaughtWiMAX.txt</v>
      </c>
    </row>
    <row r="223" spans="1:40" x14ac:dyDescent="0.25">
      <c r="A223" s="33" t="s">
        <v>620</v>
      </c>
      <c r="B223" s="7">
        <v>4010</v>
      </c>
      <c r="C223" s="21" t="s">
        <v>228</v>
      </c>
      <c r="D223" s="21" t="s">
        <v>1004</v>
      </c>
      <c r="E223" s="13">
        <v>42810.647962962961</v>
      </c>
      <c r="F223" s="13">
        <v>42810.648715277777</v>
      </c>
      <c r="G223" s="7">
        <v>0</v>
      </c>
      <c r="H223" s="21" t="s">
        <v>543</v>
      </c>
      <c r="I223" s="13">
        <v>42810.654108796298</v>
      </c>
      <c r="J223" s="7">
        <v>0</v>
      </c>
      <c r="K223" s="98" t="str">
        <f t="shared" si="83"/>
        <v>4009/4010</v>
      </c>
      <c r="L223" s="21" t="str">
        <f>VLOOKUP(A223,'Trips&amp;Operators'!$C$1:$G$99999,5,FALSE)</f>
        <v>MENGES BRAD</v>
      </c>
      <c r="M223" s="6">
        <f t="shared" si="84"/>
        <v>5.393518520577345E-3</v>
      </c>
      <c r="N223" s="7">
        <f t="shared" si="80"/>
        <v>7.7666666696313769</v>
      </c>
      <c r="O223" s="7"/>
      <c r="P223" s="7"/>
      <c r="Q223" s="22"/>
      <c r="R223" s="22"/>
      <c r="S223" s="31">
        <f t="shared" si="81"/>
        <v>1</v>
      </c>
      <c r="T223" s="46" t="str">
        <f t="shared" si="85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86" t="str">
        <f t="shared" si="86"/>
        <v>https://d0f6bd738d7f1b3e5a7ca70fe4ff75f0.us-east-1.aws.found.io/app/kibana#/discover/Steve-Slow-Train-Analysis-(2080s-and-2083s)?_g=(refreshInterval:(display:Off,pause:!f,section:0,value:0),time:(from:'2017-03-16T14:33:04-0600',mode:absolute,to:'2017-03-16T16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3" s="187" t="str">
        <f t="shared" si="87"/>
        <v>Y</v>
      </c>
      <c r="X223" s="187">
        <f t="shared" si="97"/>
        <v>1</v>
      </c>
      <c r="Y223" s="62">
        <f t="shared" si="88"/>
        <v>2.3285</v>
      </c>
      <c r="Z223" s="62">
        <f t="shared" si="82"/>
        <v>7.4800000000000005E-2</v>
      </c>
      <c r="AA223" s="62">
        <f t="shared" si="89"/>
        <v>2.2536999999999998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90"/>
        <v>0904-16</v>
      </c>
      <c r="AE223" s="85" t="str">
        <f t="shared" si="91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223" s="82" t="str">
        <f t="shared" si="92"/>
        <v>"C:\Program Files (x86)\AstroGrep\AstroGrep.exe" /e /r /s /spath="%USERPROFILE%\AppData\Local\Temp\OnboardLogs" /stypes="app*4010*20170316*" /stext=" 21:.+((SYSTEM_STATE.+slice.+state.+changed )|(ment ac)|(multiple cpu faults)|(system.+state.+changed )|(\[timeout)|(PRM\|1\|D)|(kpr)|(kdp)|(\|lc)|(penalty))"</v>
      </c>
      <c r="AG223" s="1" t="str">
        <f t="shared" si="93"/>
        <v>Other</v>
      </c>
      <c r="AH223" s="86" t="str">
        <f t="shared" si="94"/>
        <v>"%USERPROFILE%\Documents\GitHub\eaglep3\Utilities\RefineRTDCRunTimes.py" --tripid 904-16 --locoid 4010 --swversion DE.1.0.9.0 --startMP 300:23285 --initTime 2017-03-16T15:33:04 --startdatetime 2017-03-16T15:34:09 --delay 0 --endMP 204:748 --enddatetime 2017-03-16T15:41:55 --enforcementcount 0 &gt;&gt;C:\Users\stu\Documents\GitHub\eaglep3-reporting\EC\2017-03-16-refined-times.txt</v>
      </c>
      <c r="AI223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{"issue":{"subject":"","project_id":79,"tracker_id":40,"status_id":1,"priority_id":2,"assigned_to_id":23,"start_date":"2017-03-16","description":"","custom_fields":[{"id":1,"name":"Subdivision","value":"Other"},{"id":4,"name":"Milepost","value":"0.0748"},{"id":17,"name":"Train ID","value":"904-16"},{"id":16,"name":"Locomotive ID","value":"4010"},{"id":130,"name":"Impact","value":""},{"id":150,"name":"Time of Event (Mountain Time)","value":"15:41:55"},{"id":151,"name":"Denver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6"/>
        <v>start /low /b %USERPROFILE%\Documents\GitHub\eaglep3\Utilities\DownloadLogsFromS3.py --loco 4010 --day 2017-03-16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224" spans="1:40" x14ac:dyDescent="0.25">
      <c r="A224" s="33" t="s">
        <v>620</v>
      </c>
      <c r="B224" s="7">
        <v>4010</v>
      </c>
      <c r="C224" s="21" t="s">
        <v>228</v>
      </c>
      <c r="D224" s="21" t="s">
        <v>1005</v>
      </c>
      <c r="E224" s="13">
        <v>42810.643483796295</v>
      </c>
      <c r="F224" s="13">
        <v>42810.648715277777</v>
      </c>
      <c r="G224" s="7">
        <v>3</v>
      </c>
      <c r="H224" s="21" t="s">
        <v>1006</v>
      </c>
      <c r="I224" s="13">
        <v>42810.654108796298</v>
      </c>
      <c r="J224" s="7">
        <v>0</v>
      </c>
      <c r="K224" s="98" t="str">
        <f t="shared" si="83"/>
        <v>4009/4010</v>
      </c>
      <c r="L224" s="21" t="str">
        <f>VLOOKUP(A224,'Trips&amp;Operators'!$C$1:$G$99999,5,FALSE)</f>
        <v>MENGES BRAD</v>
      </c>
      <c r="M224" s="6">
        <f t="shared" si="84"/>
        <v>5.393518520577345E-3</v>
      </c>
      <c r="N224" s="7">
        <f t="shared" si="80"/>
        <v>7.7666666696313769</v>
      </c>
      <c r="O224" s="7"/>
      <c r="P224" s="7"/>
      <c r="Q224" s="22"/>
      <c r="R224" s="22"/>
      <c r="S224" s="31">
        <f t="shared" si="81"/>
        <v>0</v>
      </c>
      <c r="T224" s="46" t="str">
        <f t="shared" si="85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86"/>
        <v>https://d0f6bd738d7f1b3e5a7ca70fe4ff75f0.us-east-1.aws.found.io/app/kibana#/discover/Steve-Slow-Train-Analysis-(2080s-and-2083s)?_g=(refreshInterval:(display:Off,pause:!f,section:0,value:0),time:(from:'2017-03-16T14:26:37-0600',mode:absolute,to:'2017-03-16T16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4" s="187" t="str">
        <f t="shared" si="87"/>
        <v>Y</v>
      </c>
      <c r="X224" s="187">
        <f t="shared" si="97"/>
        <v>0</v>
      </c>
      <c r="Y224" s="62">
        <f t="shared" si="88"/>
        <v>2.5001000000000002</v>
      </c>
      <c r="Z224" s="62">
        <f t="shared" si="82"/>
        <v>2.4588999999999999</v>
      </c>
      <c r="AA224" s="62">
        <f t="shared" si="89"/>
        <v>4.1200000000000347E-2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90"/>
        <v>0904-16</v>
      </c>
      <c r="AE224" s="85" t="str">
        <f t="shared" si="91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224" s="82" t="str">
        <f t="shared" si="92"/>
        <v>"C:\Program Files (x86)\AstroGrep\AstroGrep.exe" /e /r /s /spath="%USERPROFILE%\AppData\Local\Temp\OnboardLogs" /stypes="app*4010*20170316*" /stext=" 21:.+((SYSTEM_STATE.+slice.+state.+changed )|(ment ac)|(multiple cpu faults)|(system.+state.+changed )|(\[timeout)|(PRM\|1\|D)|(kpr)|(kdp)|(\|lc)|(penalty))"</v>
      </c>
      <c r="AG224" s="1" t="str">
        <f t="shared" si="93"/>
        <v>Other</v>
      </c>
      <c r="AH224" s="86" t="str">
        <f t="shared" si="94"/>
        <v>"%USERPROFILE%\Documents\GitHub\eaglep3\Utilities\RefineRTDCRunTimes.py" --tripid 904-16 --locoid 4010 --swversion DE.1.0.9.0 --startMP 300:25001 --initTime 2017-03-16T15:26:37 --startdatetime 2017-03-16T15:34:09 --delay 3 --endMP 300:24589 --enddatetime 2017-03-16T15:41:55 --enforcementcount 0 &gt;&gt;C:\Users\stu\Documents\GitHub\eaglep3-reporting\EC\2017-03-16-refined-times.txt</v>
      </c>
      <c r="AI224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{"issue":{"subject":"","project_id":79,"tracker_id":40,"status_id":1,"priority_id":2,"assigned_to_id":23,"start_date":"2017-03-16","description":"","custom_fields":[{"id":1,"name":"Subdivision","value":"Other"},{"id":4,"name":"Milepost","value":"2.4589"},{"id":17,"name":"Train ID","value":"904-16"},{"id":16,"name":"Locomotive ID","value":"4010"},{"id":130,"name":"Impact","value":""},{"id":150,"name":"Time of Event (Mountain Time)","value":"15:41:55"},{"id":151,"name":"Denver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6"/>
        <v>start /low /b %USERPROFILE%\Documents\GitHub\eaglep3\Utilities\DownloadLogsFromS3.py --loco 4010 --day 2017-03-16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225" spans="1:40" x14ac:dyDescent="0.25">
      <c r="A225" s="33" t="s">
        <v>824</v>
      </c>
      <c r="B225" s="7">
        <v>4017</v>
      </c>
      <c r="C225" s="21" t="s">
        <v>228</v>
      </c>
      <c r="D225" s="21" t="s">
        <v>582</v>
      </c>
      <c r="E225" s="13">
        <v>42810.945370370369</v>
      </c>
      <c r="F225" s="13">
        <v>42810.956921296296</v>
      </c>
      <c r="G225" s="7">
        <v>0</v>
      </c>
      <c r="H225" s="21" t="s">
        <v>1007</v>
      </c>
      <c r="I225" s="13">
        <v>42810.959479166668</v>
      </c>
      <c r="J225" s="7">
        <v>0</v>
      </c>
      <c r="K225" s="98" t="str">
        <f t="shared" si="83"/>
        <v>4017/4018</v>
      </c>
      <c r="L225" s="21" t="str">
        <f>VLOOKUP(A225,'Trips&amp;Operators'!$C$1:$G$99999,5,FALSE)</f>
        <v>MENGES BRAD</v>
      </c>
      <c r="M225" s="6">
        <f t="shared" si="84"/>
        <v>2.5578703716746531E-3</v>
      </c>
      <c r="N225" s="7">
        <f t="shared" si="80"/>
        <v>3.6833333352115005</v>
      </c>
      <c r="O225" s="7"/>
      <c r="P225" s="7"/>
      <c r="Q225" s="22"/>
      <c r="R225" s="22"/>
      <c r="S225" s="31">
        <f t="shared" si="81"/>
        <v>0</v>
      </c>
      <c r="T225" s="46" t="str">
        <f t="shared" si="85"/>
        <v>Southbound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86"/>
        <v>https://d0f6bd738d7f1b3e5a7ca70fe4ff75f0.us-east-1.aws.found.io/app/kibana#/discover/Steve-Slow-Train-Analysis-(2080s-and-2083s)?_g=(refreshInterval:(display:Off,pause:!f,section:0,value:0),time:(from:'2017-03-16T21:41:20-0600',mode:absolute,to:'2017-03-17T00:01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87" t="str">
        <f t="shared" si="87"/>
        <v>Y</v>
      </c>
      <c r="X225" s="187">
        <f t="shared" si="97"/>
        <v>4</v>
      </c>
      <c r="Y225" s="62">
        <f t="shared" si="88"/>
        <v>5.8630000000000004</v>
      </c>
      <c r="Z225" s="62">
        <f t="shared" si="82"/>
        <v>2.1667999999999998</v>
      </c>
      <c r="AA225" s="62">
        <f t="shared" si="89"/>
        <v>3.6962000000000006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90"/>
        <v>0908-16</v>
      </c>
      <c r="AE225" s="85" t="str">
        <f t="shared" si="91"/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AF225" s="82" t="str">
        <f t="shared" si="92"/>
        <v>"C:\Program Files (x86)\AstroGrep\AstroGrep.exe" /e /r /s /spath="%USERPROFILE%\AppData\Local\Temp\OnboardLogs" /stypes="app*4017*20170317*" /stext=" 05:.+((SYSTEM_STATE.+slice.+state.+changed )|(ment ac)|(multiple cpu faults)|(system.+state.+changed )|(\[timeout)|(PRM\|1\|D)|(kpr)|(kdp)|(\|lc)|(penalty))"</v>
      </c>
      <c r="AG225" s="1" t="str">
        <f t="shared" si="93"/>
        <v>Other</v>
      </c>
      <c r="AH225" s="86" t="str">
        <f t="shared" si="94"/>
        <v>"%USERPROFILE%\Documents\GitHub\eaglep3\Utilities\RefineRTDCRunTimes.py" --tripid 908-16 --locoid 4017 --swversion DE.1.0.9.0 --startMP 300:58630 --initTime 2017-03-16T22:41:20 --startdatetime 2017-03-16T22:57:58 --delay 0 --endMP 300:21668 --enddatetime 2017-03-16T23:01:39 --enforcementcount 0 &gt;&gt;C:\Users\stu\Documents\GitHub\eaglep3-reporting\EC\2017-03-16-refined-times.txt</v>
      </c>
      <c r="AI225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{"issue":{"subject":"","project_id":79,"tracker_id":40,"status_id":1,"priority_id":2,"assigned_to_id":23,"start_date":"2017-03-16","description":"","custom_fields":[{"id":1,"name":"Subdivision","value":"Other"},{"id":4,"name":"Milepost","value":"2.1668"},{"id":17,"name":"Train ID","value":"908-16"},{"id":16,"name":"Locomotive ID","value":"4017"},{"id":130,"name":"Impact","value":""},{"id":150,"name":"Time of Event (Mountain Time)","value":"23:01:39"},{"id":151,"name":"Denver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6"/>
        <v>start /low /b %USERPROFILE%\Documents\GitHub\eaglep3\Utilities\DownloadLogsFromS3.py --loco 4017 --day 2017-03-16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"%USERPROFILE%\AppData\Local\Temp\OnboardLogs"\RTDC4017\*4017*20170317* | grep -SE "(Enforcement Action)|(\[TIMEOUT)|(CHR.+\|PRM\|1\|D.+(SWITCH|SIGNAL).+UNKNOWN)" - &gt;&gt; 2017-03-16-UncaughtWiMAX.txt</v>
      </c>
    </row>
    <row r="226" spans="1:40" x14ac:dyDescent="0.25">
      <c r="A226" s="33" t="s">
        <v>824</v>
      </c>
      <c r="B226" s="7">
        <v>4018</v>
      </c>
      <c r="C226" s="21" t="s">
        <v>228</v>
      </c>
      <c r="D226" s="21" t="s">
        <v>1008</v>
      </c>
      <c r="E226" s="13">
        <v>42810.955543981479</v>
      </c>
      <c r="F226" s="13">
        <v>42810.956921296296</v>
      </c>
      <c r="G226" s="7">
        <v>1</v>
      </c>
      <c r="H226" s="21" t="s">
        <v>505</v>
      </c>
      <c r="I226" s="13">
        <v>42810.959479166668</v>
      </c>
      <c r="J226" s="7">
        <v>0</v>
      </c>
      <c r="K226" s="98" t="str">
        <f t="shared" si="83"/>
        <v>4017/4018</v>
      </c>
      <c r="L226" s="21" t="str">
        <f>VLOOKUP(A226,'Trips&amp;Operators'!$C$1:$G$99999,5,FALSE)</f>
        <v>MENGES BRAD</v>
      </c>
      <c r="M226" s="6">
        <f t="shared" si="84"/>
        <v>2.5578703716746531E-3</v>
      </c>
      <c r="N226" s="7">
        <f t="shared" si="80"/>
        <v>3.6833333352115005</v>
      </c>
      <c r="O226" s="7"/>
      <c r="P226" s="7"/>
      <c r="Q226" s="22"/>
      <c r="R226" s="22"/>
      <c r="S226" s="31">
        <f t="shared" si="81"/>
        <v>0</v>
      </c>
      <c r="T226" s="46" t="str">
        <f t="shared" si="85"/>
        <v>Southbound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86"/>
        <v>https://d0f6bd738d7f1b3e5a7ca70fe4ff75f0.us-east-1.aws.found.io/app/kibana#/discover/Steve-Slow-Train-Analysis-(2080s-and-2083s)?_g=(refreshInterval:(display:Off,pause:!f,section:0,value:0),time:(from:'2017-03-16T21:55:59-0600',mode:absolute,to:'2017-03-17T00:01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87" t="str">
        <f t="shared" si="87"/>
        <v>Y</v>
      </c>
      <c r="X226" s="187">
        <f t="shared" si="97"/>
        <v>0</v>
      </c>
      <c r="Y226" s="62">
        <f t="shared" si="88"/>
        <v>2.1989999999999998</v>
      </c>
      <c r="Z226" s="62">
        <f t="shared" si="82"/>
        <v>2.3308</v>
      </c>
      <c r="AA226" s="62">
        <f t="shared" si="89"/>
        <v>0.13180000000000014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90"/>
        <v>0908-16</v>
      </c>
      <c r="AE226" s="85" t="str">
        <f t="shared" si="91"/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AF226" s="82" t="str">
        <f t="shared" si="92"/>
        <v>"C:\Program Files (x86)\AstroGrep\AstroGrep.exe" /e /r /s /spath="%USERPROFILE%\AppData\Local\Temp\OnboardLogs" /stypes="app*4018*20170317*" /stext=" 05:.+((SYSTEM_STATE.+slice.+state.+changed )|(ment ac)|(multiple cpu faults)|(system.+state.+changed )|(\[timeout)|(PRM\|1\|D)|(kpr)|(kdp)|(\|lc)|(penalty))"</v>
      </c>
      <c r="AG226" s="1" t="str">
        <f t="shared" si="93"/>
        <v>Other</v>
      </c>
      <c r="AH226" s="86" t="str">
        <f t="shared" si="94"/>
        <v>"%USERPROFILE%\Documents\GitHub\eaglep3\Utilities\RefineRTDCRunTimes.py" --tripid 908-16 --locoid 4018 --swversion DE.1.0.9.0 --startMP 300:21990 --initTime 2017-03-16T22:55:59 --startdatetime 2017-03-16T22:57:58 --delay 1 --endMP 300:23308 --enddatetime 2017-03-16T23:01:39 --enforcementcount 0 &gt;&gt;C:\Users\stu\Documents\GitHub\eaglep3-reporting\EC\2017-03-16-refined-times.txt</v>
      </c>
      <c r="AI226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ID","value":"908-16"},{"id":16,"name":"Locomotive ID","value":"4018"},{"id":130,"name":"Impact","value":""},{"id":150,"name":"Time of Event (Mountain Time)","value":"23:01:39"},{"id":151,"name":"Denver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6"/>
        <v>start /low /b %USERPROFILE%\Documents\GitHub\eaglep3\Utilities\DownloadLogsFromS3.py --loco 4018 --day 2017-03-16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"%USERPROFILE%\AppData\Local\Temp\OnboardLogs"\RTDC4018\*4018*20170317* | grep -SE "(Enforcement Action)|(\[TIMEOUT)|(CHR.+\|PRM\|1\|D.+(SWITCH|SIGNAL).+UNKNOWN)" - &gt;&gt; 2017-03-16-UncaughtWiMAX.txt</v>
      </c>
    </row>
    <row r="227" spans="1:40" x14ac:dyDescent="0.25">
      <c r="A227" s="33" t="s">
        <v>828</v>
      </c>
      <c r="B227" s="7">
        <v>4021</v>
      </c>
      <c r="C227" s="21" t="s">
        <v>228</v>
      </c>
      <c r="D227" s="21" t="s">
        <v>922</v>
      </c>
      <c r="E227" s="13">
        <v>42811.04315972222</v>
      </c>
      <c r="F227" s="13">
        <v>42811.045775462961</v>
      </c>
      <c r="G227" s="7">
        <v>1</v>
      </c>
      <c r="H227" s="21" t="s">
        <v>923</v>
      </c>
      <c r="I227" s="13">
        <v>42811.063981481479</v>
      </c>
      <c r="J227" s="7">
        <v>0</v>
      </c>
      <c r="K227" s="98" t="str">
        <f t="shared" si="83"/>
        <v>4021/4022</v>
      </c>
      <c r="L227" s="21" t="str">
        <f>VLOOKUP(A227,'Trips&amp;Operators'!$C$1:$G$99999,5,FALSE)</f>
        <v>PERKINS DARREN</v>
      </c>
      <c r="M227" s="6">
        <f t="shared" si="84"/>
        <v>1.8206018517958E-2</v>
      </c>
      <c r="N227" s="7">
        <f t="shared" ref="N227:N244" si="98">24*60*SUM($M227:$M227)</f>
        <v>26.21666666585952</v>
      </c>
      <c r="O227" s="7"/>
      <c r="P227" s="7"/>
      <c r="Q227" s="22"/>
      <c r="R227" s="22"/>
      <c r="S227" s="31">
        <f t="shared" ref="S227:S244" si="99">SUM(U227:U227)/IF(AG227="EC",12,1)</f>
        <v>0</v>
      </c>
      <c r="T227" s="46" t="str">
        <f t="shared" si="85"/>
        <v>NorthBound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86"/>
        <v>https://d0f6bd738d7f1b3e5a7ca70fe4ff75f0.us-east-1.aws.found.io/app/kibana#/discover/Steve-Slow-Train-Analysis-(2080s-and-2083s)?_g=(refreshInterval:(display:Off,pause:!f,section:0,value:0),time:(from:'2017-03-17T00:02:09-0600',mode:absolute,to:'2017-03-17T02:32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87" t="str">
        <f t="shared" si="87"/>
        <v>N</v>
      </c>
      <c r="X227" s="187">
        <f t="shared" si="97"/>
        <v>3113</v>
      </c>
      <c r="Y227" s="62">
        <f t="shared" si="88"/>
        <v>12.8004</v>
      </c>
      <c r="Z227" s="62">
        <f t="shared" si="82"/>
        <v>1.3100000000000001E-2</v>
      </c>
      <c r="AA227" s="62">
        <f t="shared" si="89"/>
        <v>12.7873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90"/>
        <v>4021-16</v>
      </c>
      <c r="AE227" s="85" t="str">
        <f t="shared" si="91"/>
        <v>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 &amp; aws s3 cp s3://rtdc.mdm.uploadarchive.raw/RTDC4021/ "%USERPROFILE%\AppData\Local\Temp\OnboardLogs"\RTDC4021\2017-03-18 --exclude "*" --recursive --include "*20170318*" &amp; "%USERPROFILE%\Documents\GitHub\mrs-test-scripts\Headless Mode &amp; Sideloading\WalkAndUnGZ.bat" "%USERPROFILE%\AppData\Local\Temp\OnboardLogs"\RTDC4021\2017-03-18</v>
      </c>
      <c r="AF227" s="82" t="str">
        <f t="shared" si="92"/>
        <v>"C:\Program Files (x86)\AstroGrep\AstroGrep.exe" /e /r /s /spath="%USERPROFILE%\AppData\Local\Temp\OnboardLogs" /stypes="app*4021*20170317*" /stext=" 07:.+((SYSTEM_STATE.+slice.+state.+changed )|(ment ac)|(multiple cpu faults)|(system.+state.+changed )|(\[timeout)|(PRM\|1\|D)|(kpr)|(kdp)|(\|lc)|(penalty))"</v>
      </c>
      <c r="AG227" s="1" t="str">
        <f t="shared" si="93"/>
        <v>Other</v>
      </c>
      <c r="AH227" s="86" t="str">
        <f t="shared" si="94"/>
        <v>"%USERPROFILE%\Documents\GitHub\eaglep3\Utilities\RefineRTDCRunTimes.py" --tripid 4021-16 --locoid 4021 --swversion DE.1.0.9.0 --startMP 204:128004 --initTime 2017-03-17T01:02:09 --startdatetime 2017-03-17T01:05:55 --delay 1 --endMP 204:131 --enddatetime 2017-03-17T01:32:08 --enforcementcount 0 &gt;&gt;C:\Users\stu\Documents\GitHub\eaglep3-reporting\EC\2017-03-16-refined-times.txt</v>
      </c>
      <c r="AI227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{"issue":{"subject":"","project_id":79,"tracker_id":40,"status_id":1,"priority_id":2,"assigned_to_id":23,"start_date":"2017-03-17","description":"","custom_fields":[{"id":1,"name":"Subdivision","value":"Other"},{"id":4,"name":"Milepost","value":"0.0131"},{"id":17,"name":"Train ID","value":"4021-16"},{"id":16,"name":"Locomotive ID","value":"4021"},{"id":130,"name":"Impact","value":""},{"id":150,"name":"Time of Event (Mountain Time)","value":"01:32:08"},{"id":151,"name":"Denver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6"/>
        <v>start /low /b %USERPROFILE%\Documents\GitHub\eaglep3\Utilities\DownloadLogsFromS3.py --loco 4021 --day 2017-03-17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"%USERPROFILE%\AppData\Local\Temp\OnboardLogs"\RTDC4021\*4021*20170317* | grep -SE "(Enforcement Action)|(\[TIMEOUT)|(CHR.+\|PRM\|1\|D.+(SWITCH|SIGNAL).+UNKNOWN)" - &gt;&gt; 2017-03-16-UncaughtWiMAX.txt</v>
      </c>
    </row>
    <row r="228" spans="1:40" x14ac:dyDescent="0.25">
      <c r="A228" s="33" t="s">
        <v>828</v>
      </c>
      <c r="B228" s="7">
        <v>4021</v>
      </c>
      <c r="C228" s="21" t="s">
        <v>228</v>
      </c>
      <c r="D228" s="21" t="s">
        <v>871</v>
      </c>
      <c r="E228" s="13">
        <v>42810.970810185187</v>
      </c>
      <c r="F228" s="13">
        <v>42810.973298611112</v>
      </c>
      <c r="G228" s="7">
        <v>2</v>
      </c>
      <c r="H228" s="21" t="s">
        <v>221</v>
      </c>
      <c r="I228" s="13">
        <v>42811.013148148151</v>
      </c>
      <c r="J228" s="7">
        <v>0</v>
      </c>
      <c r="K228" s="98" t="str">
        <f t="shared" si="83"/>
        <v>4021/4022</v>
      </c>
      <c r="L228" s="21" t="str">
        <f>VLOOKUP(A228,'Trips&amp;Operators'!$C$1:$G$99999,5,FALSE)</f>
        <v>PERKINS DARREN</v>
      </c>
      <c r="M228" s="6">
        <f t="shared" si="84"/>
        <v>3.9849537039117422E-2</v>
      </c>
      <c r="N228" s="7">
        <f t="shared" si="98"/>
        <v>57.383333336329088</v>
      </c>
      <c r="O228" s="7"/>
      <c r="P228" s="7"/>
      <c r="Q228" s="22"/>
      <c r="R228" s="22"/>
      <c r="S228" s="31">
        <f t="shared" si="99"/>
        <v>0</v>
      </c>
      <c r="T228" s="46" t="str">
        <f t="shared" si="85"/>
        <v>NorthBound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86"/>
        <v>https://d0f6bd738d7f1b3e5a7ca70fe4ff75f0.us-east-1.aws.found.io/app/kibana#/discover/Steve-Slow-Train-Analysis-(2080s-and-2083s)?_g=(refreshInterval:(display:Off,pause:!f,section:0,value:0),time:(from:'2017-03-16T22:17:58-0600',mode:absolute,to:'2017-03-17T01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8" s="187" t="str">
        <f t="shared" si="87"/>
        <v>N</v>
      </c>
      <c r="X228" s="187">
        <f t="shared" si="97"/>
        <v>0</v>
      </c>
      <c r="Y228" s="62">
        <f t="shared" si="88"/>
        <v>23.299399999999999</v>
      </c>
      <c r="Z228" s="62">
        <f t="shared" si="82"/>
        <v>1.47E-2</v>
      </c>
      <c r="AA228" s="62">
        <f t="shared" si="89"/>
        <v>23.284699999999997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90"/>
        <v>4021-16</v>
      </c>
      <c r="AE228" s="85" t="str">
        <f t="shared" si="91"/>
        <v>aws s3 cp s3://rtdc.mdm.uploadarchive.raw/RTDC4021/ "%USERPROFILE%\AppData\Local\Temp\OnboardLogs"\RTDC4021\2017-03-16 --exclude "*" --recursive --include "*20170316*" &amp; "%USERPROFILE%\Documents\GitHub\mrs-test-scripts\Headless Mode &amp; Sideloading\WalkAndUnGZ.bat" "%USERPROFILE%\AppData\Local\Temp\OnboardLogs"\RTDC4021\2017-03-16 &amp; 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</v>
      </c>
      <c r="AF228" s="82" t="str">
        <f t="shared" si="92"/>
        <v>"C:\Program Files (x86)\AstroGrep\AstroGrep.exe" /e /r /s /spath="%USERPROFILE%\AppData\Local\Temp\OnboardLogs" /stypes="app*4021*20170317*" /stext=" 06:.+((SYSTEM_STATE.+slice.+state.+changed )|(ment ac)|(multiple cpu faults)|(system.+state.+changed )|(\[timeout)|(PRM\|1\|D)|(kpr)|(kdp)|(\|lc)|(penalty))"</v>
      </c>
      <c r="AG228" s="1" t="str">
        <f t="shared" si="93"/>
        <v>Other</v>
      </c>
      <c r="AH228" s="86" t="str">
        <f t="shared" si="94"/>
        <v>"%USERPROFILE%\Documents\GitHub\eaglep3\Utilities\RefineRTDCRunTimes.py" --tripid 4021-16 --locoid 4021 --swversion DE.1.0.9.0 --startMP 204:232994 --initTime 2017-03-16T23:17:58 --startdatetime 2017-03-16T23:21:33 --delay 2 --endMP 204:147 --enddatetime 2017-03-17T00:18:56 --enforcementcount 0 &gt;&gt;C:\Users\stu\Documents\GitHub\eaglep3-reporting\EC\2017-03-16-refined-times.txt</v>
      </c>
      <c r="AI228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{"issue":{"subject":"","project_id":79,"tracker_id":40,"status_id":1,"priority_id":2,"assigned_to_id":23,"start_date":"2017-03-17","description":"","custom_fields":[{"id":1,"name":"Subdivision","value":"Other"},{"id":4,"name":"Milepost","value":"0.0147"},{"id":17,"name":"Train ID","value":"4021-16"},{"id":16,"name":"Locomotive ID","value":"4021"},{"id":130,"name":"Impact","value":""},{"id":150,"name":"Time of Event (Mountain Time)","value":"00:18:56"},{"id":151,"name":"Denver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6"/>
        <v>start /low /b %USERPROFILE%\Documents\GitHub\eaglep3\Utilities\DownloadLogsFromS3.py --loco 4021 --day 2017-03-16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"%USERPROFILE%\AppData\Local\Temp\OnboardLogs"\RTDC4021\*4021*20170317* | grep -SE "(Enforcement Action)|(\[TIMEOUT)|(CHR.+\|PRM\|1\|D.+(SWITCH|SIGNAL).+UNKNOWN)" - &gt;&gt; 2017-03-16-UncaughtWiMAX.txt</v>
      </c>
    </row>
    <row r="229" spans="1:40" x14ac:dyDescent="0.25">
      <c r="A229" s="33" t="s">
        <v>832</v>
      </c>
      <c r="B229" s="7">
        <v>4022</v>
      </c>
      <c r="C229" s="21" t="s">
        <v>228</v>
      </c>
      <c r="D229" s="21" t="s">
        <v>501</v>
      </c>
      <c r="E229" s="13">
        <v>42811.066076388888</v>
      </c>
      <c r="F229" s="13">
        <v>42811.071481481478</v>
      </c>
      <c r="G229" s="7">
        <v>1</v>
      </c>
      <c r="H229" s="21" t="s">
        <v>924</v>
      </c>
      <c r="I229" s="13">
        <v>42811.081620370373</v>
      </c>
      <c r="J229" s="7">
        <v>0</v>
      </c>
      <c r="K229" s="98" t="str">
        <f t="shared" si="83"/>
        <v>4021/4022</v>
      </c>
      <c r="L229" s="21" t="str">
        <f>VLOOKUP(A229,'Trips&amp;Operators'!$C$1:$G$99999,5,FALSE)</f>
        <v>PERKINS DARREN</v>
      </c>
      <c r="M229" s="6">
        <f t="shared" si="84"/>
        <v>1.0138888894289266E-2</v>
      </c>
      <c r="N229" s="7">
        <f t="shared" si="98"/>
        <v>14.600000007776543</v>
      </c>
      <c r="O229" s="7"/>
      <c r="P229" s="7"/>
      <c r="Q229" s="22"/>
      <c r="R229" s="22"/>
      <c r="S229" s="31">
        <f t="shared" si="99"/>
        <v>0</v>
      </c>
      <c r="T229" s="46" t="str">
        <f t="shared" si="85"/>
        <v>Southbound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86"/>
        <v>https://d0f6bd738d7f1b3e5a7ca70fe4ff75f0.us-east-1.aws.found.io/app/kibana#/discover/Steve-Slow-Train-Analysis-(2080s-and-2083s)?_g=(refreshInterval:(display:Off,pause:!f,section:0,value:0),time:(from:'2017-03-17T00:35:09-0600',mode:absolute,to:'2017-03-17T02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9" s="187" t="str">
        <f t="shared" si="87"/>
        <v>Y</v>
      </c>
      <c r="X229" s="187">
        <f t="shared" si="97"/>
        <v>1</v>
      </c>
      <c r="Y229" s="62">
        <f t="shared" si="88"/>
        <v>4.24E-2</v>
      </c>
      <c r="Z229" s="62">
        <f t="shared" si="82"/>
        <v>2.3302</v>
      </c>
      <c r="AA229" s="62">
        <f t="shared" si="89"/>
        <v>2.2877999999999998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90"/>
        <v>4022-16</v>
      </c>
      <c r="AE229" s="85" t="str">
        <f t="shared" si="91"/>
        <v>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 &amp; 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</v>
      </c>
      <c r="AF229" s="82" t="str">
        <f t="shared" si="92"/>
        <v>"C:\Program Files (x86)\AstroGrep\AstroGrep.exe" /e /r /s /spath="%USERPROFILE%\AppData\Local\Temp\OnboardLogs" /stypes="app*4022*20170317*" /stext=" 07:.+((SYSTEM_STATE.+slice.+state.+changed )|(ment ac)|(multiple cpu faults)|(system.+state.+changed )|(\[timeout)|(PRM\|1\|D)|(kpr)|(kdp)|(\|lc)|(penalty))"</v>
      </c>
      <c r="AG229" s="1" t="str">
        <f t="shared" si="93"/>
        <v>Other</v>
      </c>
      <c r="AH229" s="86" t="str">
        <f t="shared" si="94"/>
        <v>"%USERPROFILE%\Documents\GitHub\eaglep3\Utilities\RefineRTDCRunTimes.py" --tripid 4022-16 --locoid 4022 --swversion DE.1.0.9.0 --startMP 204:424 --initTime 2017-03-17T01:35:09 --startdatetime 2017-03-17T01:42:56 --delay 1 --endMP 300:23302 --enddatetime 2017-03-17T01:57:32 --enforcementcount 0 &gt;&gt;C:\Users\stu\Documents\GitHub\eaglep3-reporting\EC\2017-03-16-refined-times.txt</v>
      </c>
      <c r="AI229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{"issue":{"subject":"","project_id":79,"tracker_id":40,"status_id":1,"priority_id":2,"assigned_to_id":23,"start_date":"2017-03-17","description":"","custom_fields":[{"id":1,"name":"Subdivision","value":"Other"},{"id":4,"name":"Milepost","value":"2.3302"},{"id":17,"name":"Train ID","value":"4022-16"},{"id":16,"name":"Locomotive ID","value":"4022"},{"id":130,"name":"Impact","value":""},{"id":150,"name":"Time of Event (Mountain Time)","value":"01:57:32"},{"id":151,"name":"Denver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6"/>
        <v>start /low /b %USERPROFILE%\Documents\GitHub\eaglep3\Utilities\DownloadLogsFromS3.py --loco 4022 --day 2017-03-17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"%USERPROFILE%\AppData\Local\Temp\OnboardLogs"\RTDC4022\*4022*20170317* | grep -SE "(Enforcement Action)|(\[TIMEOUT)|(CHR.+\|PRM\|1\|D.+(SWITCH|SIGNAL).+UNKNOWN)" - &gt;&gt; 2017-03-16-UncaughtWiMAX.txt</v>
      </c>
    </row>
    <row r="230" spans="1:40" x14ac:dyDescent="0.25">
      <c r="A230" s="33" t="s">
        <v>832</v>
      </c>
      <c r="B230" s="7">
        <v>4022</v>
      </c>
      <c r="C230" s="21" t="s">
        <v>228</v>
      </c>
      <c r="D230" s="21" t="s">
        <v>432</v>
      </c>
      <c r="E230" s="13">
        <v>42811.014560185184</v>
      </c>
      <c r="F230" s="13">
        <v>42811.025810185187</v>
      </c>
      <c r="G230" s="7">
        <v>1</v>
      </c>
      <c r="H230" s="21" t="s">
        <v>925</v>
      </c>
      <c r="I230" s="13">
        <v>42811.041574074072</v>
      </c>
      <c r="J230" s="7">
        <v>0</v>
      </c>
      <c r="K230" s="98" t="str">
        <f t="shared" si="83"/>
        <v>4021/4022</v>
      </c>
      <c r="L230" s="21" t="str">
        <f>VLOOKUP(A230,'Trips&amp;Operators'!$C$1:$G$99999,5,FALSE)</f>
        <v>PERKINS DARREN</v>
      </c>
      <c r="M230" s="6">
        <f t="shared" si="84"/>
        <v>1.5763888884976041E-2</v>
      </c>
      <c r="N230" s="7">
        <f t="shared" si="98"/>
        <v>22.699999994365498</v>
      </c>
      <c r="O230" s="7"/>
      <c r="P230" s="7"/>
      <c r="Q230" s="22"/>
      <c r="R230" s="22"/>
      <c r="S230" s="31">
        <f t="shared" si="99"/>
        <v>0</v>
      </c>
      <c r="T230" s="46" t="str">
        <f t="shared" si="85"/>
        <v>Southbound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86"/>
        <v>https://d0f6bd738d7f1b3e5a7ca70fe4ff75f0.us-east-1.aws.found.io/app/kibana#/discover/Steve-Slow-Train-Analysis-(2080s-and-2083s)?_g=(refreshInterval:(display:Off,pause:!f,section:0,value:0),time:(from:'2017-03-16T23:20:58-0600',mode:absolute,to:'2017-03-17T01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0" s="187" t="str">
        <f t="shared" si="87"/>
        <v>N</v>
      </c>
      <c r="X230" s="187">
        <f t="shared" si="97"/>
        <v>0</v>
      </c>
      <c r="Y230" s="62">
        <f t="shared" si="88"/>
        <v>4.3799999999999999E-2</v>
      </c>
      <c r="Z230" s="62">
        <f t="shared" si="82"/>
        <v>12.827199999999999</v>
      </c>
      <c r="AA230" s="62">
        <f t="shared" si="89"/>
        <v>12.7834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90"/>
        <v>4022-16</v>
      </c>
      <c r="AE230" s="85" t="str">
        <f t="shared" si="91"/>
        <v>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 &amp; aws s3 cp s3://rtdc.mdm.uploadarchive.raw/RTDC4022/ "%USERPROFILE%\AppData\Local\Temp\OnboardLogs"\RTDC4022\2017-03-18 --exclude "*" --recursive --include "*20170318*" &amp; "%USERPROFILE%\Documents\GitHub\mrs-test-scripts\Headless Mode &amp; Sideloading\WalkAndUnGZ.bat" "%USERPROFILE%\AppData\Local\Temp\OnboardLogs"\RTDC4022\2017-03-18</v>
      </c>
      <c r="AF230" s="82" t="str">
        <f t="shared" si="92"/>
        <v>"C:\Program Files (x86)\AstroGrep\AstroGrep.exe" /e /r /s /spath="%USERPROFILE%\AppData\Local\Temp\OnboardLogs" /stypes="app*4022*20170317*" /stext=" 06:.+((SYSTEM_STATE.+slice.+state.+changed )|(ment ac)|(multiple cpu faults)|(system.+state.+changed )|(\[timeout)|(PRM\|1\|D)|(kpr)|(kdp)|(\|lc)|(penalty))"</v>
      </c>
      <c r="AG230" s="1" t="str">
        <f t="shared" si="93"/>
        <v>Other</v>
      </c>
      <c r="AH230" s="86" t="str">
        <f t="shared" si="94"/>
        <v>"%USERPROFILE%\Documents\GitHub\eaglep3\Utilities\RefineRTDCRunTimes.py" --tripid 4022-16 --locoid 4022 --swversion DE.1.0.9.0 --startMP 204:438 --initTime 2017-03-17T00:20:58 --startdatetime 2017-03-17T00:37:10 --delay 1 --endMP 204:128272 --enddatetime 2017-03-17T00:59:52 --enforcementcount 0 &gt;&gt;C:\Users\stu\Documents\GitHub\eaglep3-reporting\EC\2017-03-16-refined-times.txt</v>
      </c>
      <c r="AI230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{"issue":{"subject":"","project_id":79,"tracker_id":40,"status_id":1,"priority_id":2,"assigned_to_id":23,"start_date":"2017-03-17","description":"","custom_fields":[{"id":1,"name":"Subdivision","value":"Other"},{"id":4,"name":"Milepost","value":"12.8272"},{"id":17,"name":"Train ID","value":"4022-16"},{"id":16,"name":"Locomotive ID","value":"4022"},{"id":130,"name":"Impact","value":""},{"id":150,"name":"Time of Event (Mountain Time)","value":"00:59:52"},{"id":151,"name":"Denver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6"/>
        <v>start /low /b %USERPROFILE%\Documents\GitHub\eaglep3\Utilities\DownloadLogsFromS3.py --loco 4022 --day 2017-03-17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"%USERPROFILE%\AppData\Local\Temp\OnboardLogs"\RTDC4022\*4022*20170317* | grep -SE "(Enforcement Action)|(\[TIMEOUT)|(CHR.+\|PRM\|1\|D.+(SWITCH|SIGNAL).+UNKNOWN)" - &gt;&gt; 2017-03-16-UncaughtWiMAX.txt</v>
      </c>
    </row>
    <row r="231" spans="1:40" x14ac:dyDescent="0.25">
      <c r="A231" s="33" t="s">
        <v>596</v>
      </c>
      <c r="B231" s="7">
        <v>4010</v>
      </c>
      <c r="C231" s="21" t="s">
        <v>228</v>
      </c>
      <c r="D231" s="21" t="s">
        <v>926</v>
      </c>
      <c r="E231" s="13">
        <v>42810.268414351849</v>
      </c>
      <c r="F231" s="13">
        <v>42810.27239583333</v>
      </c>
      <c r="G231" s="7">
        <v>5</v>
      </c>
      <c r="H231" s="21" t="s">
        <v>927</v>
      </c>
      <c r="I231" s="13">
        <v>42810.277175925927</v>
      </c>
      <c r="J231" s="7">
        <v>0</v>
      </c>
      <c r="K231" s="98" t="str">
        <f t="shared" si="83"/>
        <v>4009/4010</v>
      </c>
      <c r="L231" s="21" t="str">
        <f>VLOOKUP(A231,'Trips&amp;Operators'!$C$1:$G$99999,5,FALSE)</f>
        <v>COOLAHAN JOHN</v>
      </c>
      <c r="M231" s="6">
        <f t="shared" si="84"/>
        <v>4.7800925967749208E-3</v>
      </c>
      <c r="N231" s="7">
        <f t="shared" si="98"/>
        <v>6.883333339355886</v>
      </c>
      <c r="O231" s="7"/>
      <c r="P231" s="7"/>
      <c r="Q231" s="22"/>
      <c r="R231" s="22"/>
      <c r="S231" s="31">
        <f t="shared" si="99"/>
        <v>0</v>
      </c>
      <c r="T231" s="46" t="e">
        <f t="shared" si="85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86"/>
        <v>https://d0f6bd738d7f1b3e5a7ca70fe4ff75f0.us-east-1.aws.found.io/app/kibana#/discover/Steve-Slow-Train-Analysis-(2080s-and-2083s)?_g=(refreshInterval:(display:Off,pause:!f,section:0,value:0),time:(from:'2017-03-16T05:26:31-0600',mode:absolute,to:'2017-03-16T07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1" s="187" t="str">
        <f t="shared" si="87"/>
        <v>Y</v>
      </c>
      <c r="X231" s="187" t="e">
        <f t="shared" si="97"/>
        <v>#VALUE!</v>
      </c>
      <c r="Y231" s="62">
        <f t="shared" si="88"/>
        <v>2.0589</v>
      </c>
      <c r="Z231" s="62">
        <f t="shared" si="82"/>
        <v>6.3299999999999995E-2</v>
      </c>
      <c r="AA231" s="62">
        <f t="shared" si="89"/>
        <v>1.9956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90"/>
        <v>50-16</v>
      </c>
      <c r="AE231" s="85" t="str">
        <f t="shared" si="91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231" s="82" t="str">
        <f t="shared" si="92"/>
        <v>"C:\Program Files (x86)\AstroGrep\AstroGrep.exe" /e /r /s /spath="%USERPROFILE%\AppData\Local\Temp\OnboardLogs" /stypes="app*4010*20170316*" /stext=" 12:.+((SYSTEM_STATE.+slice.+state.+changed )|(ment ac)|(multiple cpu faults)|(system.+state.+changed )|(\[timeout)|(PRM\|1\|D)|(kpr)|(kdp)|(\|lc)|(penalty))"</v>
      </c>
      <c r="AG231" s="1" t="str">
        <f t="shared" si="93"/>
        <v>Other</v>
      </c>
      <c r="AH231" s="86" t="str">
        <f t="shared" si="94"/>
        <v>"%USERPROFILE%\Documents\GitHub\eaglep3\Utilities\RefineRTDCRunTimes.py" --tripid 50-16 --locoid 4010 --swversion DE.1.0.9.0 --startMP 300:20589 --initTime 2017-03-16T06:26:31 --startdatetime 2017-03-16T06:32:15 --delay 5 --endMP 204:633 --enddatetime 2017-03-16T06:39:08 --enforcementcount 0 &gt;&gt;C:\Users\stu\Documents\GitHub\eaglep3-reporting\EC\2017-03-16-refined-times.txt</v>
      </c>
      <c r="AI231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{"issue":{"subject":"","project_id":79,"tracker_id":40,"status_id":1,"priority_id":2,"assigned_to_id":23,"start_date":"2017-03-16","description":"","custom_fields":[{"id":1,"name":"Subdivision","value":"Other"},{"id":4,"name":"Milepost","value":"0.0633"},{"id":17,"name":"Train ID","value":"50-16"},{"id":16,"name":"Locomotive ID","value":"4010"},{"id":130,"name":"Impact","value":""},{"id":150,"name":"Time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6"/>
        <v>start /low /b %USERPROFILE%\Documents\GitHub\eaglep3\Utilities\DownloadLogsFromS3.py --loco 4010 --day 2017-03-16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232" spans="1:40" x14ac:dyDescent="0.25">
      <c r="A232" s="33" t="s">
        <v>596</v>
      </c>
      <c r="B232" s="7">
        <v>4010</v>
      </c>
      <c r="C232" s="21" t="s">
        <v>228</v>
      </c>
      <c r="D232" s="21" t="s">
        <v>928</v>
      </c>
      <c r="E232" s="13">
        <v>42810.268414351849</v>
      </c>
      <c r="F232" s="13">
        <v>42810.27239583333</v>
      </c>
      <c r="G232" s="7">
        <v>4</v>
      </c>
      <c r="H232" s="21" t="s">
        <v>927</v>
      </c>
      <c r="I232" s="13">
        <v>42810.277175925927</v>
      </c>
      <c r="J232" s="7">
        <v>0</v>
      </c>
      <c r="K232" s="98" t="str">
        <f t="shared" si="83"/>
        <v>4009/4010</v>
      </c>
      <c r="L232" s="21" t="str">
        <f>VLOOKUP(A232,'Trips&amp;Operators'!$C$1:$G$99999,5,FALSE)</f>
        <v>COOLAHAN JOHN</v>
      </c>
      <c r="M232" s="6">
        <f t="shared" si="84"/>
        <v>4.7800925967749208E-3</v>
      </c>
      <c r="N232" s="7">
        <f t="shared" si="98"/>
        <v>6.883333339355886</v>
      </c>
      <c r="O232" s="7"/>
      <c r="P232" s="7"/>
      <c r="Q232" s="22"/>
      <c r="R232" s="22"/>
      <c r="S232" s="31">
        <f t="shared" si="99"/>
        <v>0</v>
      </c>
      <c r="T232" s="46" t="e">
        <f t="shared" si="85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86"/>
        <v>https://d0f6bd738d7f1b3e5a7ca70fe4ff75f0.us-east-1.aws.found.io/app/kibana#/discover/Steve-Slow-Train-Analysis-(2080s-and-2083s)?_g=(refreshInterval:(display:Off,pause:!f,section:0,value:0),time:(from:'2017-03-16T05:26:31-0600',mode:absolute,to:'2017-03-16T07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2" s="187" t="str">
        <f t="shared" si="87"/>
        <v>Y</v>
      </c>
      <c r="X232" s="187" t="e">
        <f t="shared" si="97"/>
        <v>#VALUE!</v>
      </c>
      <c r="Y232" s="62">
        <f t="shared" si="88"/>
        <v>2.1770999999999998</v>
      </c>
      <c r="Z232" s="62">
        <f t="shared" si="82"/>
        <v>6.3299999999999995E-2</v>
      </c>
      <c r="AA232" s="62">
        <f t="shared" si="89"/>
        <v>2.1137999999999999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90"/>
        <v>50-16</v>
      </c>
      <c r="AE232" s="85" t="str">
        <f t="shared" si="91"/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AF232" s="82" t="str">
        <f t="shared" si="92"/>
        <v>"C:\Program Files (x86)\AstroGrep\AstroGrep.exe" /e /r /s /spath="%USERPROFILE%\AppData\Local\Temp\OnboardLogs" /stypes="app*4010*20170316*" /stext=" 12:.+((SYSTEM_STATE.+slice.+state.+changed )|(ment ac)|(multiple cpu faults)|(system.+state.+changed )|(\[timeout)|(PRM\|1\|D)|(kpr)|(kdp)|(\|lc)|(penalty))"</v>
      </c>
      <c r="AG232" s="1" t="str">
        <f t="shared" si="93"/>
        <v>Other</v>
      </c>
      <c r="AH232" s="86" t="str">
        <f t="shared" si="94"/>
        <v>"%USERPROFILE%\Documents\GitHub\eaglep3\Utilities\RefineRTDCRunTimes.py" --tripid 50-16 --locoid 4010 --swversion DE.1.0.9.0 --startMP 300:21771 --initTime 2017-03-16T06:26:31 --startdatetime 2017-03-16T06:32:15 --delay 4 --endMP 204:633 --enddatetime 2017-03-16T06:39:08 --enforcementcount 0 &gt;&gt;C:\Users\stu\Documents\GitHub\eaglep3-reporting\EC\2017-03-16-refined-times.txt</v>
      </c>
      <c r="AI232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{"issue":{"subject":"","project_id":79,"tracker_id":40,"status_id":1,"priority_id":2,"assigned_to_id":23,"start_date":"2017-03-16","description":"","custom_fields":[{"id":1,"name":"Subdivision","value":"Other"},{"id":4,"name":"Milepost","value":"0.0633"},{"id":17,"name":"Train ID","value":"50-16"},{"id":16,"name":"Locomotive ID","value":"4010"},{"id":130,"name":"Impact","value":""},{"id":150,"name":"Time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6"/>
        <v>start /low /b %USERPROFILE%\Documents\GitHub\eaglep3\Utilities\DownloadLogsFromS3.py --loco 4010 --day 2017-03-16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"%USERPROFILE%\AppData\Local\Temp\OnboardLogs"\RTDC4010\*4010*20170316* | grep -SE "(Enforcement Action)|(\[TIMEOUT)|(CHR.+\|PRM\|1\|D.+(SWITCH|SIGNAL).+UNKNOWN)" - &gt;&gt; 2017-03-16-UncaughtWiMAX.txt</v>
      </c>
    </row>
    <row r="233" spans="1:40" x14ac:dyDescent="0.25">
      <c r="A233" s="33" t="s">
        <v>676</v>
      </c>
      <c r="B233" s="7">
        <v>4022</v>
      </c>
      <c r="C233" s="21" t="s">
        <v>228</v>
      </c>
      <c r="D233" s="21" t="s">
        <v>929</v>
      </c>
      <c r="E233" s="13">
        <v>42810.28634259259</v>
      </c>
      <c r="F233" s="13">
        <v>42810.289444444446</v>
      </c>
      <c r="G233" s="7">
        <v>2</v>
      </c>
      <c r="H233" s="21" t="s">
        <v>913</v>
      </c>
      <c r="I233" s="13">
        <v>42810.303124999999</v>
      </c>
      <c r="J233" s="7">
        <v>0</v>
      </c>
      <c r="K233" s="98" t="str">
        <f t="shared" si="83"/>
        <v>4021/4022</v>
      </c>
      <c r="L233" s="21" t="str">
        <f>VLOOKUP(A233,'Trips&amp;Operators'!$C$1:$G$99999,5,FALSE)</f>
        <v>COOLAHAN JOHN</v>
      </c>
      <c r="M233" s="6">
        <f t="shared" si="84"/>
        <v>1.3680555552127771E-2</v>
      </c>
      <c r="N233" s="7">
        <f t="shared" si="98"/>
        <v>19.69999999506399</v>
      </c>
      <c r="O233" s="7"/>
      <c r="P233" s="7"/>
      <c r="Q233" s="22"/>
      <c r="R233" s="22"/>
      <c r="S233" s="31">
        <f t="shared" si="99"/>
        <v>0</v>
      </c>
      <c r="T233" s="46" t="e">
        <f t="shared" si="85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86"/>
        <v>https://d0f6bd738d7f1b3e5a7ca70fe4ff75f0.us-east-1.aws.found.io/app/kibana#/discover/Steve-Slow-Train-Analysis-(2080s-and-2083s)?_g=(refreshInterval:(display:Off,pause:!f,section:0,value:0),time:(from:'2017-03-16T05:52:20-0600',mode:absolute,to:'2017-03-16T08:16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3" s="187" t="str">
        <f t="shared" si="87"/>
        <v>Y</v>
      </c>
      <c r="X233" s="187" t="e">
        <f t="shared" si="97"/>
        <v>#VALUE!</v>
      </c>
      <c r="Y233" s="62">
        <f t="shared" si="88"/>
        <v>4.4999999999999998E-2</v>
      </c>
      <c r="Z233" s="62">
        <f t="shared" si="82"/>
        <v>2.3306</v>
      </c>
      <c r="AA233" s="62">
        <f t="shared" si="89"/>
        <v>2.2856000000000001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90"/>
        <v>51-16</v>
      </c>
      <c r="AE233" s="85" t="str">
        <f t="shared" si="91"/>
        <v>aws s3 cp s3://rtdc.mdm.uploadarchive.raw/RTDC4022/ "%USERPROFILE%\AppData\Local\Temp\OnboardLogs"\RTDC4022\2017-03-16 --exclude "*" --recursive --include "*20170316*" &amp; "%USERPROFILE%\Documents\GitHub\mrs-test-scripts\Headless Mode &amp; Sideloading\WalkAndUnGZ.bat" "%USERPROFILE%\AppData\Local\Temp\OnboardLogs"\RTDC4022\2017-03-16 &amp; 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</v>
      </c>
      <c r="AF233" s="82" t="str">
        <f t="shared" si="92"/>
        <v>"C:\Program Files (x86)\AstroGrep\AstroGrep.exe" /e /r /s /spath="%USERPROFILE%\AppData\Local\Temp\OnboardLogs" /stypes="app*4022*20170316*" /stext=" 13:.+((SYSTEM_STATE.+slice.+state.+changed )|(ment ac)|(multiple cpu faults)|(system.+state.+changed )|(\[timeout)|(PRM\|1\|D)|(kpr)|(kdp)|(\|lc)|(penalty))"</v>
      </c>
      <c r="AG233" s="1" t="str">
        <f t="shared" si="93"/>
        <v>Other</v>
      </c>
      <c r="AH233" s="86" t="str">
        <f t="shared" si="94"/>
        <v>"%USERPROFILE%\Documents\GitHub\eaglep3\Utilities\RefineRTDCRunTimes.py" --tripid 51-16 --locoid 4022 --swversion DE.1.0.9.0 --startMP 204:450 --initTime 2017-03-16T06:52:20 --startdatetime 2017-03-16T06:56:48 --delay 2 --endMP 300:23306 --enddatetime 2017-03-16T07:16:30 --enforcementcount 0 &gt;&gt;C:\Users\stu\Documents\GitHub\eaglep3-reporting\EC\2017-03-16-refined-times.txt</v>
      </c>
      <c r="AI233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{"issue":{"subject":"","project_id":79,"tracker_id":40,"status_id":1,"priority_id":2,"assigned_to_id":23,"start_date":"2017-03-16","description":"","custom_fields":[{"id":1,"name":"Subdivision","value":"Other"},{"id":4,"name":"Milepost","value":"2.3306"},{"id":17,"name":"Train ID","value":"51-16"},{"id":16,"name":"Locomotive ID","value":"4022"},{"id":130,"name":"Impact","value":""},{"id":150,"name":"Time of Event (Mountain Time)","value":"07:16:30"},{"id":151,"name":"Denver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6"/>
        <v>start /low /b %USERPROFILE%\Documents\GitHub\eaglep3\Utilities\DownloadLogsFromS3.py --loco 4022 --day 2017-03-16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"%USERPROFILE%\AppData\Local\Temp\OnboardLogs"\RTDC4022\*4022*20170316* | grep -SE "(Enforcement Action)|(\[TIMEOUT)|(CHR.+\|PRM\|1\|D.+(SWITCH|SIGNAL).+UNKNOWN)" - &gt;&gt; 2017-03-16-UncaughtWiMAX.txt</v>
      </c>
    </row>
    <row r="234" spans="1:40" x14ac:dyDescent="0.25">
      <c r="A234" s="33" t="s">
        <v>713</v>
      </c>
      <c r="B234" s="7">
        <v>4013</v>
      </c>
      <c r="C234" s="21" t="s">
        <v>228</v>
      </c>
      <c r="D234" s="21" t="s">
        <v>930</v>
      </c>
      <c r="E234" s="13">
        <v>42810.453067129631</v>
      </c>
      <c r="F234" s="13">
        <v>42810.456226851849</v>
      </c>
      <c r="G234" s="7">
        <v>4</v>
      </c>
      <c r="H234" s="21" t="s">
        <v>571</v>
      </c>
      <c r="I234" s="13">
        <v>42810.461655092593</v>
      </c>
      <c r="J234" s="7">
        <v>0</v>
      </c>
      <c r="K234" s="98" t="str">
        <f t="shared" si="83"/>
        <v>4013/4014</v>
      </c>
      <c r="L234" s="21" t="str">
        <f>VLOOKUP(A234,'Trips&amp;Operators'!$C$1:$G$99999,5,FALSE)</f>
        <v>SMITH MICHAEL</v>
      </c>
      <c r="M234" s="6">
        <f t="shared" si="84"/>
        <v>5.4282407436403446E-3</v>
      </c>
      <c r="N234" s="7">
        <f t="shared" si="98"/>
        <v>7.8166666708420962</v>
      </c>
      <c r="O234" s="7"/>
      <c r="P234" s="7"/>
      <c r="Q234" s="22"/>
      <c r="R234" s="22"/>
      <c r="S234" s="31">
        <f t="shared" si="99"/>
        <v>0</v>
      </c>
      <c r="T234" s="46" t="e">
        <f t="shared" si="85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86"/>
        <v>https://d0f6bd738d7f1b3e5a7ca70fe4ff75f0.us-east-1.aws.found.io/app/kibana#/discover/Steve-Slow-Train-Analysis-(2080s-and-2083s)?_g=(refreshInterval:(display:Off,pause:!f,section:0,value:0),time:(from:'2017-03-16T09:52:25-0600',mode:absolute,to:'2017-03-16T12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4" s="187" t="str">
        <f t="shared" si="87"/>
        <v>Y</v>
      </c>
      <c r="X234" s="187" t="e">
        <f t="shared" si="97"/>
        <v>#VALUE!</v>
      </c>
      <c r="Y234" s="62">
        <f t="shared" si="88"/>
        <v>2.3544</v>
      </c>
      <c r="Z234" s="62">
        <f t="shared" si="82"/>
        <v>1.44E-2</v>
      </c>
      <c r="AA234" s="62">
        <f t="shared" si="89"/>
        <v>2.34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90"/>
        <v>54-16</v>
      </c>
      <c r="AE234" s="85" t="str">
        <f t="shared" si="91"/>
        <v>aws s3 cp s3://rtdc.mdm.uploadarchive.raw/RTDC4013/ "%USERPROFILE%\AppData\Local\Temp\OnboardLogs"\RTDC4013\2017-03-16 --exclude "*" --recursive --include "*20170316*" &amp; "%USERPROFILE%\Documents\GitHub\mrs-test-scripts\Headless Mode &amp; Sideloading\WalkAndUnGZ.bat" "%USERPROFILE%\AppData\Local\Temp\OnboardLogs"\RTDC4013\2017-03-16 &amp; 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</v>
      </c>
      <c r="AF234" s="82" t="str">
        <f t="shared" si="92"/>
        <v>"C:\Program Files (x86)\AstroGrep\AstroGrep.exe" /e /r /s /spath="%USERPROFILE%\AppData\Local\Temp\OnboardLogs" /stypes="app*4013*20170316*" /stext=" 17:.+((SYSTEM_STATE.+slice.+state.+changed )|(ment ac)|(multiple cpu faults)|(system.+state.+changed )|(\[timeout)|(PRM\|1\|D)|(kpr)|(kdp)|(\|lc)|(penalty))"</v>
      </c>
      <c r="AG234" s="1" t="str">
        <f t="shared" si="93"/>
        <v>Other</v>
      </c>
      <c r="AH234" s="86" t="str">
        <f t="shared" si="94"/>
        <v>"%USERPROFILE%\Documents\GitHub\eaglep3\Utilities\RefineRTDCRunTimes.py" --tripid 54-16 --locoid 4013 --swversion DE.1.0.9.0 --startMP 300:23544 --initTime 2017-03-16T10:52:25 --startdatetime 2017-03-16T10:56:58 --delay 4 --endMP 204:144 --enddatetime 2017-03-16T11:04:47 --enforcementcount 0 &gt;&gt;C:\Users\stu\Documents\GitHub\eaglep3-reporting\EC\2017-03-16-refined-times.txt</v>
      </c>
      <c r="AI234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{"issue":{"subject":"","project_id":79,"tracker_id":40,"status_id":1,"priority_id":2,"assigned_to_id":23,"start_date":"2017-03-16","description":"","custom_fields":[{"id":1,"name":"Subdivision","value":"Other"},{"id":4,"name":"Milepost","value":"0.0144"},{"id":17,"name":"Train ID","value":"54-16"},{"id":16,"name":"Locomotive ID","value":"4013"},{"id":130,"name":"Impact","value":""},{"id":150,"name":"Time of Event (Mountain Time)","value":"11:04:47"},{"id":151,"name":"Denver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6"/>
        <v>start /low /b %USERPROFILE%\Documents\GitHub\eaglep3\Utilities\DownloadLogsFromS3.py --loco 4013 --day 2017-03-16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"%USERPROFILE%\AppData\Local\Temp\OnboardLogs"\RTDC4013\*4013*20170316* | grep -SE "(Enforcement Action)|(\[TIMEOUT)|(CHR.+\|PRM\|1\|D.+(SWITCH|SIGNAL).+UNKNOWN)" - &gt;&gt; 2017-03-16-UncaughtWiMAX.txt</v>
      </c>
    </row>
    <row r="235" spans="1:40" x14ac:dyDescent="0.25">
      <c r="A235" s="33" t="s">
        <v>631</v>
      </c>
      <c r="B235" s="7">
        <v>4019</v>
      </c>
      <c r="C235" s="21" t="s">
        <v>228</v>
      </c>
      <c r="D235" s="21" t="s">
        <v>931</v>
      </c>
      <c r="E235" s="13">
        <v>42810.745324074072</v>
      </c>
      <c r="F235" s="13">
        <v>42810.750324074077</v>
      </c>
      <c r="G235" s="7">
        <v>7</v>
      </c>
      <c r="H235" s="21" t="s">
        <v>932</v>
      </c>
      <c r="I235" s="13">
        <v>42810.756319444445</v>
      </c>
      <c r="J235" s="7">
        <v>0</v>
      </c>
      <c r="K235" s="98" t="str">
        <f t="shared" si="83"/>
        <v>4019/4020</v>
      </c>
      <c r="L235" s="21" t="str">
        <f>VLOOKUP(A235,'Trips&amp;Operators'!$C$1:$G$99999,5,FALSE)</f>
        <v>MACDONALD THOMAS</v>
      </c>
      <c r="M235" s="6">
        <f t="shared" si="84"/>
        <v>5.9953703676001169E-3</v>
      </c>
      <c r="N235" s="7">
        <f t="shared" si="98"/>
        <v>8.6333333293441683</v>
      </c>
      <c r="O235" s="7"/>
      <c r="P235" s="7"/>
      <c r="Q235" s="22"/>
      <c r="R235" s="22"/>
      <c r="S235" s="31">
        <f t="shared" si="99"/>
        <v>0</v>
      </c>
      <c r="T235" s="46" t="e">
        <f t="shared" si="85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86"/>
        <v>https://d0f6bd738d7f1b3e5a7ca70fe4ff75f0.us-east-1.aws.found.io/app/kibana#/discover/Steve-Slow-Train-Analysis-(2080s-and-2083s)?_g=(refreshInterval:(display:Off,pause:!f,section:0,value:0),time:(from:'2017-03-16T16:53:16-0600',mode:absolute,to:'2017-03-16T19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5" s="187" t="str">
        <f t="shared" si="87"/>
        <v>Y</v>
      </c>
      <c r="X235" s="187" t="e">
        <f t="shared" si="97"/>
        <v>#VALUE!</v>
      </c>
      <c r="Y235" s="62">
        <f t="shared" si="88"/>
        <v>2.2197</v>
      </c>
      <c r="Z235" s="62">
        <f t="shared" si="82"/>
        <v>9.2200000000000004E-2</v>
      </c>
      <c r="AA235" s="62">
        <f t="shared" si="89"/>
        <v>2.1274999999999999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90"/>
        <v>70-16</v>
      </c>
      <c r="AE235" s="85" t="str">
        <f t="shared" si="91"/>
        <v>aws s3 cp s3://rtdc.mdm.uploadarchive.raw/RTDC4019/ "%USERPROFILE%\AppData\Local\Temp\OnboardLogs"\RTDC4019\2017-03-16 --exclude "*" --recursive --include "*20170316*" &amp; "%USERPROFILE%\Documents\GitHub\mrs-test-scripts\Headless Mode &amp; Sideloading\WalkAndUnGZ.bat" "%USERPROFILE%\AppData\Local\Temp\OnboardLogs"\RTDC4019\2017-03-16 &amp; aws s3 cp s3://rtdc.mdm.uploadarchive.raw/RTDC4019/ "%USERPROFILE%\AppData\Local\Temp\OnboardLogs"\RTDC4019\2017-03-17 --exclude "*" --recursive --include "*20170317*" &amp; "%USERPROFILE%\Documents\GitHub\mrs-test-scripts\Headless Mode &amp; Sideloading\WalkAndUnGZ.bat" "%USERPROFILE%\AppData\Local\Temp\OnboardLogs"\RTDC4019\2017-03-17</v>
      </c>
      <c r="AF235" s="82" t="str">
        <f t="shared" si="92"/>
        <v>"C:\Program Files (x86)\AstroGrep\AstroGrep.exe" /e /r /s /spath="%USERPROFILE%\AppData\Local\Temp\OnboardLogs" /stypes="app*4019*20170317*" /stext=" 00:.+((SYSTEM_STATE.+slice.+state.+changed )|(ment ac)|(multiple cpu faults)|(system.+state.+changed )|(\[timeout)|(PRM\|1\|D)|(kpr)|(kdp)|(\|lc)|(penalty))"</v>
      </c>
      <c r="AG235" s="1" t="str">
        <f t="shared" si="93"/>
        <v>Other</v>
      </c>
      <c r="AH235" s="86" t="str">
        <f t="shared" si="94"/>
        <v>"%USERPROFILE%\Documents\GitHub\eaglep3\Utilities\RefineRTDCRunTimes.py" --tripid 70-16 --locoid 4019 --swversion DE.1.0.9.0 --startMP 300:22197 --initTime 2017-03-16T17:53:16 --startdatetime 2017-03-16T18:00:28 --delay 7 --endMP 204:922 --enddatetime 2017-03-16T18:09:06 --enforcementcount 0 &gt;&gt;C:\Users\stu\Documents\GitHub\eaglep3-reporting\EC\2017-03-16-refined-times.txt</v>
      </c>
      <c r="AI235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{"issue":{"subject":"","project_id":79,"tracker_id":40,"status_id":1,"priority_id":2,"assigned_to_id":23,"start_date":"2017-03-16","description":"","custom_fields":[{"id":1,"name":"Subdivision","value":"Other"},{"id":4,"name":"Milepost","value":"0.0922"},{"id":17,"name":"Train ID","value":"70-16"},{"id":16,"name":"Locomotive ID","value":"4019"},{"id":130,"name":"Impact","value":""},{"id":150,"name":"Time of Event (Mountain Time)","value":"18:09:06"},{"id":151,"name":"Denver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6"/>
        <v>start /low /b %USERPROFILE%\Documents\GitHub\eaglep3\Utilities\DownloadLogsFromS3.py --loco 4019 --day 2017-03-16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"%USERPROFILE%\AppData\Local\Temp\OnboardLogs"\RTDC4019\*4019*20170317* | grep -SE "(Enforcement Action)|(\[TIMEOUT)|(CHR.+\|PRM\|1\|D.+(SWITCH|SIGNAL).+UNKNOWN)" - &gt;&gt; 2017-03-16-UncaughtWiMAX.txt</v>
      </c>
    </row>
    <row r="236" spans="1:40" x14ac:dyDescent="0.25">
      <c r="A236" s="33" t="s">
        <v>627</v>
      </c>
      <c r="B236" s="7">
        <v>4013</v>
      </c>
      <c r="C236" s="21" t="s">
        <v>228</v>
      </c>
      <c r="D236" s="21" t="s">
        <v>933</v>
      </c>
      <c r="E236" s="13">
        <v>42810.734444444446</v>
      </c>
      <c r="F236" s="13">
        <v>42810.735358796293</v>
      </c>
      <c r="G236" s="7">
        <v>1</v>
      </c>
      <c r="H236" s="21" t="s">
        <v>934</v>
      </c>
      <c r="I236" s="13">
        <v>42810.740995370368</v>
      </c>
      <c r="J236" s="7">
        <v>0</v>
      </c>
      <c r="K236" s="98" t="str">
        <f t="shared" si="83"/>
        <v>4013/4014</v>
      </c>
      <c r="L236" s="21" t="str">
        <f>VLOOKUP(A236,'Trips&amp;Operators'!$C$1:$G$99999,5,FALSE)</f>
        <v>BROWN JACOB</v>
      </c>
      <c r="M236" s="6">
        <f t="shared" si="84"/>
        <v>5.6365740747423843E-3</v>
      </c>
      <c r="N236" s="7">
        <f t="shared" si="98"/>
        <v>8.1166666676290333</v>
      </c>
      <c r="O236" s="7"/>
      <c r="P236" s="7"/>
      <c r="Q236" s="22"/>
      <c r="R236" s="22" t="s">
        <v>1045</v>
      </c>
      <c r="S236" s="31">
        <f t="shared" si="99"/>
        <v>0</v>
      </c>
      <c r="T236" s="46" t="e">
        <f t="shared" si="85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86"/>
        <v>https://d0f6bd738d7f1b3e5a7ca70fe4ff75f0.us-east-1.aws.found.io/app/kibana#/discover/Steve-Slow-Train-Analysis-(2080s-and-2083s)?_g=(refreshInterval:(display:Off,pause:!f,section:0,value:0),time:(from:'2017-03-16T16:37:36-0600',mode:absolute,to:'2017-03-16T18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6" s="187" t="str">
        <f t="shared" si="87"/>
        <v>Y</v>
      </c>
      <c r="X236" s="187" t="e">
        <f t="shared" si="97"/>
        <v>#VALUE!</v>
      </c>
      <c r="Y236" s="62">
        <f t="shared" si="88"/>
        <v>2.3146</v>
      </c>
      <c r="Z236" s="62">
        <f t="shared" si="82"/>
        <v>9.3399999999999997E-2</v>
      </c>
      <c r="AA236" s="62">
        <f t="shared" si="89"/>
        <v>2.2212000000000001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90"/>
        <v>72-16</v>
      </c>
      <c r="AE236" s="85" t="str">
        <f t="shared" si="91"/>
        <v>aws s3 cp s3://rtdc.mdm.uploadarchive.raw/RTDC4013/ "%USERPROFILE%\AppData\Local\Temp\OnboardLogs"\RTDC4013\2017-03-16 --exclude "*" --recursive --include "*20170316*" &amp; "%USERPROFILE%\Documents\GitHub\mrs-test-scripts\Headless Mode &amp; Sideloading\WalkAndUnGZ.bat" "%USERPROFILE%\AppData\Local\Temp\OnboardLogs"\RTDC4013\2017-03-16 &amp; 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</v>
      </c>
      <c r="AF236" s="82" t="str">
        <f t="shared" si="92"/>
        <v>"C:\Program Files (x86)\AstroGrep\AstroGrep.exe" /e /r /s /spath="%USERPROFILE%\AppData\Local\Temp\OnboardLogs" /stypes="app*4013*20170316*" /stext=" 23:.+((SYSTEM_STATE.+slice.+state.+changed )|(ment ac)|(multiple cpu faults)|(system.+state.+changed )|(\[timeout)|(PRM\|1\|D)|(kpr)|(kdp)|(\|lc)|(penalty))"</v>
      </c>
      <c r="AG236" s="1" t="str">
        <f t="shared" si="93"/>
        <v>Other</v>
      </c>
      <c r="AH236" s="86" t="str">
        <f t="shared" si="94"/>
        <v>"%USERPROFILE%\Documents\GitHub\eaglep3\Utilities\RefineRTDCRunTimes.py" --tripid 72-16 --locoid 4013 --swversion DE.1.0.9.0 --startMP 300:23146 --initTime 2017-03-16T17:37:36 --startdatetime 2017-03-16T17:38:55 --delay 1 --endMP 204:934 --enddatetime 2017-03-16T17:47:02 --enforcementcount 0 &gt;&gt;C:\Users\stu\Documents\GitHub\eaglep3-reporting\EC\2017-03-16-refined-times.txt</v>
      </c>
      <c r="AI236" s="108" t="str">
        <f t="shared" si="95"/>
        <v>echo {"issue":{"subject":"Selected wrong track (got SWITCH NOT ALIGNED FOR SAFE MOVEMENT prompt)","project_id":79,"tracker_id":40,"status_id":1,"priority_id":2,"assigned_to_id":23,"start_date":"2017-03-16","description":"","custom_fields":[{"id":1,"name":"Subdivision","value":"Other"},{"id":4,"name":"Milepost","value":"0.0934"},{"id":17,"name":"Train ID","value":"72-16"},{"id":16,"name":"Locomotive ID","value":"4013"},{"id":130,"name":"Impact","value":""},{"id":150,"name":"Time of Event (Mountain Time)","value":"17:47:02"},{"id":151,"name":"Denver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6"/>
        <v>start /low /b %USERPROFILE%\Documents\GitHub\eaglep3\Utilities\DownloadLogsFromS3.py --loco 4013 --day 2017-03-16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"%USERPROFILE%\AppData\Local\Temp\OnboardLogs"\RTDC4013\*4013*20170316* | grep -SE "(Enforcement Action)|(\[TIMEOUT)|(CHR.+\|PRM\|1\|D.+(SWITCH|SIGNAL).+UNKNOWN)" - &gt;&gt; 2017-03-16-UncaughtWiMAX.txt</v>
      </c>
    </row>
    <row r="237" spans="1:40" x14ac:dyDescent="0.25">
      <c r="A237" s="33" t="s">
        <v>627</v>
      </c>
      <c r="B237" s="7">
        <v>4013</v>
      </c>
      <c r="C237" s="21" t="s">
        <v>228</v>
      </c>
      <c r="D237" s="21" t="s">
        <v>935</v>
      </c>
      <c r="E237" s="13">
        <v>42810.729861111111</v>
      </c>
      <c r="F237" s="13">
        <v>42810.735358796293</v>
      </c>
      <c r="G237" s="7">
        <v>4</v>
      </c>
      <c r="H237" s="21" t="s">
        <v>936</v>
      </c>
      <c r="I237" s="13">
        <v>42810.740995370368</v>
      </c>
      <c r="J237" s="7">
        <v>0</v>
      </c>
      <c r="K237" s="98" t="str">
        <f t="shared" si="83"/>
        <v>4013/4014</v>
      </c>
      <c r="L237" s="21" t="str">
        <f>VLOOKUP(A237,'Trips&amp;Operators'!$C$1:$G$99999,5,FALSE)</f>
        <v>BROWN JACOB</v>
      </c>
      <c r="M237" s="6">
        <f t="shared" si="84"/>
        <v>5.6365740747423843E-3</v>
      </c>
      <c r="N237" s="7">
        <f t="shared" si="98"/>
        <v>8.1166666676290333</v>
      </c>
      <c r="O237" s="7"/>
      <c r="P237" s="7"/>
      <c r="Q237" s="22"/>
      <c r="R237" s="22"/>
      <c r="S237" s="31">
        <f t="shared" si="99"/>
        <v>0</v>
      </c>
      <c r="T237" s="46" t="e">
        <f t="shared" si="85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86"/>
        <v>https://d0f6bd738d7f1b3e5a7ca70fe4ff75f0.us-east-1.aws.found.io/app/kibana#/discover/Steve-Slow-Train-Analysis-(2080s-and-2083s)?_g=(refreshInterval:(display:Off,pause:!f,section:0,value:0),time:(from:'2017-03-16T16:31:00-0600',mode:absolute,to:'2017-03-16T18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7" s="187" t="str">
        <f t="shared" si="87"/>
        <v>Y</v>
      </c>
      <c r="X237" s="187" t="e">
        <f t="shared" si="97"/>
        <v>#VALUE!</v>
      </c>
      <c r="Y237" s="62">
        <f t="shared" si="88"/>
        <v>2.4251999999999998</v>
      </c>
      <c r="Z237" s="62">
        <f t="shared" si="82"/>
        <v>2.3757999999999999</v>
      </c>
      <c r="AA237" s="62">
        <f t="shared" si="89"/>
        <v>4.9399999999999888E-2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90"/>
        <v>72-16</v>
      </c>
      <c r="AE237" s="85" t="str">
        <f t="shared" si="91"/>
        <v>aws s3 cp s3://rtdc.mdm.uploadarchive.raw/RTDC4013/ "%USERPROFILE%\AppData\Local\Temp\OnboardLogs"\RTDC4013\2017-03-16 --exclude "*" --recursive --include "*20170316*" &amp; "%USERPROFILE%\Documents\GitHub\mrs-test-scripts\Headless Mode &amp; Sideloading\WalkAndUnGZ.bat" "%USERPROFILE%\AppData\Local\Temp\OnboardLogs"\RTDC4013\2017-03-16 &amp; aws s3 cp s3://rtdc.mdm.uploadarchive.raw/RTDC4013/ "%USERPROFILE%\AppData\Local\Temp\OnboardLogs"\RTDC4013\2017-03-17 --exclude "*" --recursive --include "*20170317*" &amp; "%USERPROFILE%\Documents\GitHub\mrs-test-scripts\Headless Mode &amp; Sideloading\WalkAndUnGZ.bat" "%USERPROFILE%\AppData\Local\Temp\OnboardLogs"\RTDC4013\2017-03-17</v>
      </c>
      <c r="AF237" s="82" t="str">
        <f t="shared" si="92"/>
        <v>"C:\Program Files (x86)\AstroGrep\AstroGrep.exe" /e /r /s /spath="%USERPROFILE%\AppData\Local\Temp\OnboardLogs" /stypes="app*4013*20170316*" /stext=" 23:.+((SYSTEM_STATE.+slice.+state.+changed )|(ment ac)|(multiple cpu faults)|(system.+state.+changed )|(\[timeout)|(PRM\|1\|D)|(kpr)|(kdp)|(\|lc)|(penalty))"</v>
      </c>
      <c r="AG237" s="1" t="str">
        <f t="shared" si="93"/>
        <v>Other</v>
      </c>
      <c r="AH237" s="86" t="str">
        <f t="shared" si="94"/>
        <v>"%USERPROFILE%\Documents\GitHub\eaglep3\Utilities\RefineRTDCRunTimes.py" --tripid 72-16 --locoid 4013 --swversion DE.1.0.9.0 --startMP 300:24252 --initTime 2017-03-16T17:31:00 --startdatetime 2017-03-16T17:38:55 --delay 4 --endMP 300:23758 --enddatetime 2017-03-16T17:47:02 --enforcementcount 0 &gt;&gt;C:\Users\stu\Documents\GitHub\eaglep3-reporting\EC\2017-03-16-refined-times.txt</v>
      </c>
      <c r="AI237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{"issue":{"subject":"","project_id":79,"tracker_id":40,"status_id":1,"priority_id":2,"assigned_to_id":23,"start_date":"2017-03-16","description":"","custom_fields":[{"id":1,"name":"Subdivision","value":"Other"},{"id":4,"name":"Milepost","value":"2.3758"},{"id":17,"name":"Train ID","value":"72-16"},{"id":16,"name":"Locomotive ID","value":"4013"},{"id":130,"name":"Impact","value":""},{"id":150,"name":"Time of Event (Mountain Time)","value":"17:47:02"},{"id":151,"name":"Denver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6"/>
        <v>start /low /b %USERPROFILE%\Documents\GitHub\eaglep3\Utilities\DownloadLogsFromS3.py --loco 4013 --day 2017-03-16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"%USERPROFILE%\AppData\Local\Temp\OnboardLogs"\RTDC4013\*4013*20170316* | grep -SE "(Enforcement Action)|(\[TIMEOUT)|(CHR.+\|PRM\|1\|D.+(SWITCH|SIGNAL).+UNKNOWN)" - &gt;&gt; 2017-03-16-UncaughtWiMAX.txt</v>
      </c>
    </row>
    <row r="238" spans="1:40" x14ac:dyDescent="0.25">
      <c r="A238" s="33" t="s">
        <v>780</v>
      </c>
      <c r="B238" s="7">
        <v>4006</v>
      </c>
      <c r="C238" s="21" t="s">
        <v>228</v>
      </c>
      <c r="D238" s="21" t="s">
        <v>990</v>
      </c>
      <c r="E238" s="13">
        <v>42810.725057870368</v>
      </c>
      <c r="F238" s="13">
        <v>42810.726898148147</v>
      </c>
      <c r="G238" s="7">
        <v>1</v>
      </c>
      <c r="H238" s="21" t="s">
        <v>505</v>
      </c>
      <c r="I238" s="13">
        <v>42810.731249999997</v>
      </c>
      <c r="J238" s="7">
        <v>0</v>
      </c>
      <c r="K238" s="98" t="str">
        <f t="shared" si="83"/>
        <v>4005/4006</v>
      </c>
      <c r="L238" s="21" t="str">
        <f>VLOOKUP(A238,'Trips&amp;Operators'!$C$1:$G$99999,5,FALSE)</f>
        <v>BEAM ROSS</v>
      </c>
      <c r="M238" s="6">
        <f t="shared" si="84"/>
        <v>4.3518518505152315E-3</v>
      </c>
      <c r="N238" s="7">
        <f t="shared" si="98"/>
        <v>6.2666666647419333</v>
      </c>
      <c r="O238" s="7"/>
      <c r="P238" s="7"/>
      <c r="Q238" s="22"/>
      <c r="R238" s="22"/>
      <c r="S238" s="31">
        <f t="shared" si="99"/>
        <v>0</v>
      </c>
      <c r="T238" s="46" t="e">
        <f t="shared" si="85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86"/>
        <v>https://d0f6bd738d7f1b3e5a7ca70fe4ff75f0.us-east-1.aws.found.io/app/kibana#/discover/Steve-Slow-Train-Analysis-(2080s-and-2083s)?_g=(refreshInterval:(display:Off,pause:!f,section:0,value:0),time:(from:'2017-03-16T16:24:05-0600',mode:absolute,to:'2017-03-16T18:33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8" s="187" t="str">
        <f t="shared" si="87"/>
        <v>Y</v>
      </c>
      <c r="X238" s="187" t="e">
        <f t="shared" si="97"/>
        <v>#VALUE!</v>
      </c>
      <c r="Y238" s="62">
        <f t="shared" si="88"/>
        <v>0.12939999999999999</v>
      </c>
      <c r="Z238" s="62">
        <f t="shared" si="82"/>
        <v>2.3308</v>
      </c>
      <c r="AA238" s="62">
        <f t="shared" si="89"/>
        <v>2.2014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90"/>
        <v>85-16</v>
      </c>
      <c r="AE238" s="85" t="str">
        <f t="shared" si="91"/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AF238" s="82" t="str">
        <f t="shared" si="92"/>
        <v>"C:\Program Files (x86)\AstroGrep\AstroGrep.exe" /e /r /s /spath="%USERPROFILE%\AppData\Local\Temp\OnboardLogs" /stypes="app*4006*20170316*" /stext=" 23:.+((SYSTEM_STATE.+slice.+state.+changed )|(ment ac)|(multiple cpu faults)|(system.+state.+changed )|(\[timeout)|(PRM\|1\|D)|(kpr)|(kdp)|(\|lc)|(penalty))"</v>
      </c>
      <c r="AG238" s="1" t="str">
        <f t="shared" si="93"/>
        <v>Other</v>
      </c>
      <c r="AH238" s="86" t="str">
        <f t="shared" si="94"/>
        <v>"%USERPROFILE%\Documents\GitHub\eaglep3\Utilities\RefineRTDCRunTimes.py" --tripid 85-16 --locoid 4006 --swversion DE.1.0.9.0 --startMP 204:1294 --initTime 2017-03-16T17:24:05 --startdatetime 2017-03-16T17:26:44 --delay 1 --endMP 300:23308 --enddatetime 2017-03-16T17:33:00 --enforcementcount 0 &gt;&gt;C:\Users\stu\Documents\GitHub\eaglep3-reporting\EC\2017-03-16-refined-times.txt</v>
      </c>
      <c r="AI238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{"issue":{"subject":"","project_id":79,"tracker_id":40,"status_id":1,"priority_id":2,"assigned_to_id":23,"start_date":"2017-03-16","description":"","custom_fields":[{"id":1,"name":"Subdivision","value":"Other"},{"id":4,"name":"Milepost","value":"2.3308"},{"id":17,"name":"Train ID","value":"85-16"},{"id":16,"name":"Locomotive ID","value":"4006"},{"id":130,"name":"Impact","value":""},{"id":150,"name":"Time of Event (Mountain Time)","value":"17:33:00"},{"id":151,"name":"Denver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6"/>
        <v>start /low /b %USERPROFILE%\Documents\GitHub\eaglep3\Utilities\DownloadLogsFromS3.py --loco 4006 --day 2017-03-16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"%USERPROFILE%\AppData\Local\Temp\OnboardLogs"\RTDC4006\*4006*20170316* | grep -SE "(Enforcement Action)|(\[TIMEOUT)|(CHR.+\|PRM\|1\|D.+(SWITCH|SIGNAL).+UNKNOWN)" - &gt;&gt; 2017-03-16-UncaughtWiMAX.txt</v>
      </c>
    </row>
    <row r="239" spans="1:40" x14ac:dyDescent="0.25">
      <c r="A239" s="33" t="s">
        <v>637</v>
      </c>
      <c r="B239" s="7">
        <v>4021</v>
      </c>
      <c r="C239" s="21" t="s">
        <v>228</v>
      </c>
      <c r="D239" s="21" t="s">
        <v>991</v>
      </c>
      <c r="E239" s="13">
        <v>42810.87872685185</v>
      </c>
      <c r="F239" s="13">
        <v>42810.923564814817</v>
      </c>
      <c r="G239" s="7">
        <v>1</v>
      </c>
      <c r="H239" s="21" t="s">
        <v>992</v>
      </c>
      <c r="I239" s="13">
        <v>42810.939398148148</v>
      </c>
      <c r="J239" s="7">
        <v>0</v>
      </c>
      <c r="K239" s="98" t="str">
        <f t="shared" si="83"/>
        <v>4021/4022</v>
      </c>
      <c r="L239" s="21" t="str">
        <f>VLOOKUP(A239,'Trips&amp;Operators'!$C$1:$G$99999,5,FALSE)</f>
        <v>PERKINS DARREN</v>
      </c>
      <c r="M239" s="6">
        <f t="shared" si="84"/>
        <v>1.583333333110204E-2</v>
      </c>
      <c r="N239" s="7">
        <f t="shared" si="98"/>
        <v>22.799999996786937</v>
      </c>
      <c r="O239" s="7"/>
      <c r="P239" s="7"/>
      <c r="Q239" s="22"/>
      <c r="R239" s="22"/>
      <c r="S239" s="31">
        <f t="shared" si="99"/>
        <v>0</v>
      </c>
      <c r="T239" s="46" t="e">
        <f t="shared" si="85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86"/>
        <v>https://d0f6bd738d7f1b3e5a7ca70fe4ff75f0.us-east-1.aws.found.io/app/kibana#/discover/Steve-Slow-Train-Analysis-(2080s-and-2083s)?_g=(refreshInterval:(display:Off,pause:!f,section:0,value:0),time:(from:'2017-03-16T20:05:22-0600',mode:absolute,to:'2017-03-16T23:32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9" s="187" t="str">
        <f t="shared" si="87"/>
        <v>N</v>
      </c>
      <c r="X239" s="187" t="e">
        <f t="shared" si="97"/>
        <v>#VALUE!</v>
      </c>
      <c r="Y239" s="62">
        <f t="shared" si="88"/>
        <v>12.800800000000001</v>
      </c>
      <c r="Z239" s="62">
        <f t="shared" si="82"/>
        <v>1.196</v>
      </c>
      <c r="AA239" s="62">
        <f t="shared" si="89"/>
        <v>11.604800000000001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90"/>
        <v>88-16</v>
      </c>
      <c r="AE239" s="85" t="str">
        <f t="shared" si="91"/>
        <v>aws s3 cp s3://rtdc.mdm.uploadarchive.raw/RTDC4021/ "%USERPROFILE%\AppData\Local\Temp\OnboardLogs"\RTDC4021\2017-03-16 --exclude "*" --recursive --include "*20170316*" &amp; "%USERPROFILE%\Documents\GitHub\mrs-test-scripts\Headless Mode &amp; Sideloading\WalkAndUnGZ.bat" "%USERPROFILE%\AppData\Local\Temp\OnboardLogs"\RTDC4021\2017-03-16 &amp; 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</v>
      </c>
      <c r="AF239" s="82" t="str">
        <f t="shared" si="92"/>
        <v>"C:\Program Files (x86)\AstroGrep\AstroGrep.exe" /e /r /s /spath="%USERPROFILE%\AppData\Local\Temp\OnboardLogs" /stypes="app*4021*20170317*" /stext=" 04:.+((SYSTEM_STATE.+slice.+state.+changed )|(ment ac)|(multiple cpu faults)|(system.+state.+changed )|(\[timeout)|(PRM\|1\|D)|(kpr)|(kdp)|(\|lc)|(penalty))"</v>
      </c>
      <c r="AG239" s="1" t="str">
        <f t="shared" si="93"/>
        <v>Other</v>
      </c>
      <c r="AH239" s="86" t="str">
        <f t="shared" si="94"/>
        <v>"%USERPROFILE%\Documents\GitHub\eaglep3\Utilities\RefineRTDCRunTimes.py" --tripid 88-16 --locoid 4021 --swversion DE.1.0.9.0 --startMP 204:128008 --initTime 2017-03-16T21:05:22 --startdatetime 2017-03-16T22:09:56 --delay 1 --endMP 204:11960 --enddatetime 2017-03-16T22:32:44 --enforcementcount 0 &gt;&gt;C:\Users\stu\Documents\GitHub\eaglep3-reporting\EC\2017-03-16-refined-times.txt</v>
      </c>
      <c r="AI239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{"issue":{"subject":"","project_id":79,"tracker_id":40,"status_id":1,"priority_id":2,"assigned_to_id":23,"start_date":"2017-03-16","description":"","custom_fields":[{"id":1,"name":"Subdivision","value":"Other"},{"id":4,"name":"Milepost","value":"1.196"},{"id":17,"name":"Train ID","value":"88-16"},{"id":16,"name":"Locomotive ID","value":"4021"},{"id":130,"name":"Impact","value":""},{"id":150,"name":"Time of Event (Mountain Time)","value":"22:32:44"},{"id":151,"name":"Denver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6"/>
        <v>start /low /b %USERPROFILE%\Documents\GitHub\eaglep3\Utilities\DownloadLogsFromS3.py --loco 4021 --day 2017-03-16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"%USERPROFILE%\AppData\Local\Temp\OnboardLogs"\RTDC4021\*4021*20170317* | grep -SE "(Enforcement Action)|(\[TIMEOUT)|(CHR.+\|PRM\|1\|D.+(SWITCH|SIGNAL).+UNKNOWN)" - &gt;&gt; 2017-03-16-UncaughtWiMAX.txt</v>
      </c>
    </row>
    <row r="240" spans="1:40" x14ac:dyDescent="0.25">
      <c r="A240" s="33" t="s">
        <v>637</v>
      </c>
      <c r="B240" s="7">
        <v>4021</v>
      </c>
      <c r="C240" s="21" t="s">
        <v>228</v>
      </c>
      <c r="D240" s="21" t="s">
        <v>993</v>
      </c>
      <c r="E240" s="13">
        <v>42810.840891203705</v>
      </c>
      <c r="F240" s="13">
        <v>42810.858622685184</v>
      </c>
      <c r="G240" s="7">
        <v>1</v>
      </c>
      <c r="H240" s="21" t="s">
        <v>994</v>
      </c>
      <c r="I240" s="13">
        <v>42810.875439814816</v>
      </c>
      <c r="J240" s="7">
        <v>0</v>
      </c>
      <c r="K240" s="98" t="str">
        <f t="shared" si="83"/>
        <v>4021/4022</v>
      </c>
      <c r="L240" s="21" t="str">
        <f>VLOOKUP(A240,'Trips&amp;Operators'!$C$1:$G$99999,5,FALSE)</f>
        <v>PERKINS DARREN</v>
      </c>
      <c r="M240" s="6">
        <f t="shared" si="84"/>
        <v>1.6817129631817807E-2</v>
      </c>
      <c r="N240" s="7">
        <f t="shared" si="98"/>
        <v>24.216666669817641</v>
      </c>
      <c r="O240" s="7"/>
      <c r="P240" s="7"/>
      <c r="Q240" s="22"/>
      <c r="R240" s="22"/>
      <c r="S240" s="31">
        <f t="shared" si="99"/>
        <v>0</v>
      </c>
      <c r="T240" s="46" t="e">
        <f t="shared" si="85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86"/>
        <v>https://d0f6bd738d7f1b3e5a7ca70fe4ff75f0.us-east-1.aws.found.io/app/kibana#/discover/Steve-Slow-Train-Analysis-(2080s-and-2083s)?_g=(refreshInterval:(display:Off,pause:!f,section:0,value:0),time:(from:'2017-03-16T19:10:53-0600',mode:absolute,to:'2017-03-16T22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0" s="187" t="str">
        <f t="shared" si="87"/>
        <v>Y</v>
      </c>
      <c r="X240" s="187" t="e">
        <f t="shared" si="97"/>
        <v>#VALUE!</v>
      </c>
      <c r="Y240" s="62">
        <f t="shared" si="88"/>
        <v>2.4289999999999998</v>
      </c>
      <c r="Z240" s="62">
        <f t="shared" si="82"/>
        <v>1.4800000000000001E-2</v>
      </c>
      <c r="AA240" s="62">
        <f t="shared" si="89"/>
        <v>2.4141999999999997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90"/>
        <v>88-16</v>
      </c>
      <c r="AE240" s="85" t="str">
        <f t="shared" si="91"/>
        <v>aws s3 cp s3://rtdc.mdm.uploadarchive.raw/RTDC4021/ "%USERPROFILE%\AppData\Local\Temp\OnboardLogs"\RTDC4021\2017-03-16 --exclude "*" --recursive --include "*20170316*" &amp; "%USERPROFILE%\Documents\GitHub\mrs-test-scripts\Headless Mode &amp; Sideloading\WalkAndUnGZ.bat" "%USERPROFILE%\AppData\Local\Temp\OnboardLogs"\RTDC4021\2017-03-16 &amp; 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</v>
      </c>
      <c r="AF240" s="82" t="str">
        <f t="shared" si="92"/>
        <v>"C:\Program Files (x86)\AstroGrep\AstroGrep.exe" /e /r /s /spath="%USERPROFILE%\AppData\Local\Temp\OnboardLogs" /stypes="app*4021*20170317*" /stext=" 03:.+((SYSTEM_STATE.+slice.+state.+changed )|(ment ac)|(multiple cpu faults)|(system.+state.+changed )|(\[timeout)|(PRM\|1\|D)|(kpr)|(kdp)|(\|lc)|(penalty))"</v>
      </c>
      <c r="AG240" s="1" t="str">
        <f t="shared" si="93"/>
        <v>Other</v>
      </c>
      <c r="AH240" s="86" t="str">
        <f t="shared" si="94"/>
        <v>"%USERPROFILE%\Documents\GitHub\eaglep3\Utilities\RefineRTDCRunTimes.py" --tripid 88-16 --locoid 4021 --swversion DE.1.0.9.0 --startMP 300:24290 --initTime 2017-03-16T20:10:53 --startdatetime 2017-03-16T20:36:25 --delay 1 --endMP 204:148 --enddatetime 2017-03-16T21:00:38 --enforcementcount 0 &gt;&gt;C:\Users\stu\Documents\GitHub\eaglep3-reporting\EC\2017-03-16-refined-times.txt</v>
      </c>
      <c r="AI240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{"issue":{"subject":"","project_id":79,"tracker_id":40,"status_id":1,"priority_id":2,"assigned_to_id":23,"start_date":"2017-03-16","description":"","custom_fields":[{"id":1,"name":"Subdivision","value":"Other"},{"id":4,"name":"Milepost","value":"0.0148"},{"id":17,"name":"Train ID","value":"88-16"},{"id":16,"name":"Locomotive ID","value":"4021"},{"id":130,"name":"Impact","value":""},{"id":150,"name":"Time of Event (Mountain Time)","value":"21:00:38"},{"id":151,"name":"Denver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6"/>
        <v>start /low /b %USERPROFILE%\Documents\GitHub\eaglep3\Utilities\DownloadLogsFromS3.py --loco 4021 --day 2017-03-16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"%USERPROFILE%\AppData\Local\Temp\OnboardLogs"\RTDC4021\*4021*20170317* | grep -SE "(Enforcement Action)|(\[TIMEOUT)|(CHR.+\|PRM\|1\|D.+(SWITCH|SIGNAL).+UNKNOWN)" - &gt;&gt; 2017-03-16-UncaughtWiMAX.txt</v>
      </c>
    </row>
    <row r="241" spans="1:40" x14ac:dyDescent="0.25">
      <c r="A241" s="33" t="s">
        <v>637</v>
      </c>
      <c r="B241" s="7">
        <v>4021</v>
      </c>
      <c r="C241" s="21" t="s">
        <v>228</v>
      </c>
      <c r="D241" s="21" t="s">
        <v>995</v>
      </c>
      <c r="E241" s="13">
        <v>42810.838622685187</v>
      </c>
      <c r="F241" s="13">
        <v>42810.858622685184</v>
      </c>
      <c r="G241" s="7">
        <v>1</v>
      </c>
      <c r="H241" s="21" t="s">
        <v>994</v>
      </c>
      <c r="I241" s="13">
        <v>42810.875439814816</v>
      </c>
      <c r="J241" s="7">
        <v>0</v>
      </c>
      <c r="K241" s="98" t="str">
        <f t="shared" si="83"/>
        <v>4021/4022</v>
      </c>
      <c r="L241" s="21" t="str">
        <f>VLOOKUP(A241,'Trips&amp;Operators'!$C$1:$G$99999,5,FALSE)</f>
        <v>PERKINS DARREN</v>
      </c>
      <c r="M241" s="6">
        <f t="shared" si="84"/>
        <v>1.6817129631817807E-2</v>
      </c>
      <c r="N241" s="7">
        <f t="shared" si="98"/>
        <v>24.216666669817641</v>
      </c>
      <c r="O241" s="7"/>
      <c r="P241" s="7"/>
      <c r="Q241" s="22"/>
      <c r="R241" s="22"/>
      <c r="S241" s="31">
        <f t="shared" si="99"/>
        <v>0</v>
      </c>
      <c r="T241" s="46" t="e">
        <f t="shared" si="85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86"/>
        <v>https://d0f6bd738d7f1b3e5a7ca70fe4ff75f0.us-east-1.aws.found.io/app/kibana#/discover/Steve-Slow-Train-Analysis-(2080s-and-2083s)?_g=(refreshInterval:(display:Off,pause:!f,section:0,value:0),time:(from:'2017-03-16T19:07:37-0600',mode:absolute,to:'2017-03-16T22:00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1" s="187" t="str">
        <f t="shared" si="87"/>
        <v>Y</v>
      </c>
      <c r="X241" s="187" t="e">
        <f t="shared" si="97"/>
        <v>#VALUE!</v>
      </c>
      <c r="Y241" s="62">
        <f t="shared" si="88"/>
        <v>2.5112000000000001</v>
      </c>
      <c r="Z241" s="62">
        <f t="shared" si="82"/>
        <v>1.4800000000000001E-2</v>
      </c>
      <c r="AA241" s="62">
        <f t="shared" si="89"/>
        <v>2.4964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90"/>
        <v>88-16</v>
      </c>
      <c r="AE241" s="85" t="str">
        <f t="shared" si="91"/>
        <v>aws s3 cp s3://rtdc.mdm.uploadarchive.raw/RTDC4021/ "%USERPROFILE%\AppData\Local\Temp\OnboardLogs"\RTDC4021\2017-03-16 --exclude "*" --recursive --include "*20170316*" &amp; "%USERPROFILE%\Documents\GitHub\mrs-test-scripts\Headless Mode &amp; Sideloading\WalkAndUnGZ.bat" "%USERPROFILE%\AppData\Local\Temp\OnboardLogs"\RTDC4021\2017-03-16 &amp; aws s3 cp s3://rtdc.mdm.uploadarchive.raw/RTDC4021/ "%USERPROFILE%\AppData\Local\Temp\OnboardLogs"\RTDC4021\2017-03-17 --exclude "*" --recursive --include "*20170317*" &amp; "%USERPROFILE%\Documents\GitHub\mrs-test-scripts\Headless Mode &amp; Sideloading\WalkAndUnGZ.bat" "%USERPROFILE%\AppData\Local\Temp\OnboardLogs"\RTDC4021\2017-03-17</v>
      </c>
      <c r="AF241" s="82" t="str">
        <f t="shared" si="92"/>
        <v>"C:\Program Files (x86)\AstroGrep\AstroGrep.exe" /e /r /s /spath="%USERPROFILE%\AppData\Local\Temp\OnboardLogs" /stypes="app*4021*20170317*" /stext=" 03:.+((SYSTEM_STATE.+slice.+state.+changed )|(ment ac)|(multiple cpu faults)|(system.+state.+changed )|(\[timeout)|(PRM\|1\|D)|(kpr)|(kdp)|(\|lc)|(penalty))"</v>
      </c>
      <c r="AG241" s="1" t="str">
        <f t="shared" si="93"/>
        <v>Other</v>
      </c>
      <c r="AH241" s="86" t="str">
        <f t="shared" si="94"/>
        <v>"%USERPROFILE%\Documents\GitHub\eaglep3\Utilities\RefineRTDCRunTimes.py" --tripid 88-16 --locoid 4021 --swversion DE.1.0.9.0 --startMP 300:25112 --initTime 2017-03-16T20:07:37 --startdatetime 2017-03-16T20:36:25 --delay 1 --endMP 204:148 --enddatetime 2017-03-16T21:00:38 --enforcementcount 0 &gt;&gt;C:\Users\stu\Documents\GitHub\eaglep3-reporting\EC\2017-03-16-refined-times.txt</v>
      </c>
      <c r="AI241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{"issue":{"subject":"","project_id":79,"tracker_id":40,"status_id":1,"priority_id":2,"assigned_to_id":23,"start_date":"2017-03-16","description":"","custom_fields":[{"id":1,"name":"Subdivision","value":"Other"},{"id":4,"name":"Milepost","value":"0.0148"},{"id":17,"name":"Train ID","value":"88-16"},{"id":16,"name":"Locomotive ID","value":"4021"},{"id":130,"name":"Impact","value":""},{"id":150,"name":"Time of Event (Mountain Time)","value":"21:00:38"},{"id":151,"name":"Denver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6"/>
        <v>start /low /b %USERPROFILE%\Documents\GitHub\eaglep3\Utilities\DownloadLogsFromS3.py --loco 4021 --day 2017-03-16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"%USERPROFILE%\AppData\Local\Temp\OnboardLogs"\RTDC4021\*4021*20170317* | grep -SE "(Enforcement Action)|(\[TIMEOUT)|(CHR.+\|PRM\|1\|D.+(SWITCH|SIGNAL).+UNKNOWN)" - &gt;&gt; 2017-03-16-UncaughtWiMAX.txt</v>
      </c>
    </row>
    <row r="242" spans="1:40" x14ac:dyDescent="0.25">
      <c r="A242" s="33" t="s">
        <v>637</v>
      </c>
      <c r="B242" s="7">
        <v>4022</v>
      </c>
      <c r="C242" s="21" t="s">
        <v>228</v>
      </c>
      <c r="D242" s="21" t="s">
        <v>996</v>
      </c>
      <c r="E242" s="13">
        <v>42810.915729166663</v>
      </c>
      <c r="F242" s="13">
        <v>42810.973298611112</v>
      </c>
      <c r="G242" s="7">
        <v>1</v>
      </c>
      <c r="H242" s="21" t="s">
        <v>925</v>
      </c>
      <c r="I242" s="13">
        <v>42811.013148148151</v>
      </c>
      <c r="J242" s="7">
        <v>0</v>
      </c>
      <c r="K242" s="98" t="str">
        <f t="shared" si="83"/>
        <v>4021/4022</v>
      </c>
      <c r="L242" s="21" t="str">
        <f>VLOOKUP(A242,'Trips&amp;Operators'!$C$1:$G$99999,5,FALSE)</f>
        <v>PERKINS DARREN</v>
      </c>
      <c r="M242" s="6">
        <f t="shared" si="84"/>
        <v>3.9849537039117422E-2</v>
      </c>
      <c r="N242" s="7">
        <f t="shared" si="98"/>
        <v>57.383333336329088</v>
      </c>
      <c r="O242" s="7"/>
      <c r="P242" s="7"/>
      <c r="Q242" s="22"/>
      <c r="R242" s="22"/>
      <c r="S242" s="31">
        <f t="shared" si="99"/>
        <v>0</v>
      </c>
      <c r="T242" s="46" t="e">
        <f t="shared" si="85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86"/>
        <v>https://d0f6bd738d7f1b3e5a7ca70fe4ff75f0.us-east-1.aws.found.io/app/kibana#/discover/Steve-Slow-Train-Analysis-(2080s-and-2083s)?_g=(refreshInterval:(display:Off,pause:!f,section:0,value:0),time:(from:'2017-03-16T20:58:39-0600',mode:absolute,to:'2017-03-17T01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7" t="str">
        <f t="shared" si="87"/>
        <v>N</v>
      </c>
      <c r="X242" s="187" t="e">
        <f t="shared" si="97"/>
        <v>#VALUE!</v>
      </c>
      <c r="Y242" s="62">
        <f t="shared" si="88"/>
        <v>0.15279999999999999</v>
      </c>
      <c r="Z242" s="62">
        <f t="shared" si="82"/>
        <v>12.827199999999999</v>
      </c>
      <c r="AA242" s="62">
        <f t="shared" si="89"/>
        <v>12.6744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90"/>
        <v>88-16</v>
      </c>
      <c r="AE242" s="85" t="str">
        <f t="shared" si="91"/>
        <v>aws s3 cp s3://rtdc.mdm.uploadarchive.raw/RTDC4022/ "%USERPROFILE%\AppData\Local\Temp\OnboardLogs"\RTDC4022\2017-03-16 --exclude "*" --recursive --include "*20170316*" &amp; "%USERPROFILE%\Documents\GitHub\mrs-test-scripts\Headless Mode &amp; Sideloading\WalkAndUnGZ.bat" "%USERPROFILE%\AppData\Local\Temp\OnboardLogs"\RTDC4022\2017-03-16 &amp; 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</v>
      </c>
      <c r="AF242" s="82" t="str">
        <f t="shared" si="92"/>
        <v>"C:\Program Files (x86)\AstroGrep\AstroGrep.exe" /e /r /s /spath="%USERPROFILE%\AppData\Local\Temp\OnboardLogs" /stypes="app*4022*20170317*" /stext=" 06:.+((SYSTEM_STATE.+slice.+state.+changed )|(ment ac)|(multiple cpu faults)|(system.+state.+changed )|(\[timeout)|(PRM\|1\|D)|(kpr)|(kdp)|(\|lc)|(penalty))"</v>
      </c>
      <c r="AG242" s="1" t="str">
        <f t="shared" si="93"/>
        <v>Other</v>
      </c>
      <c r="AH242" s="86" t="str">
        <f t="shared" si="94"/>
        <v>"%USERPROFILE%\Documents\GitHub\eaglep3\Utilities\RefineRTDCRunTimes.py" --tripid 88-16 --locoid 4022 --swversion DE.1.0.9.0 --startMP 204:1528 --initTime 2017-03-16T21:58:39 --startdatetime 2017-03-16T23:21:33 --delay 1 --endMP 204:128272 --enddatetime 2017-03-17T00:18:56 --enforcementcount 0 &gt;&gt;C:\Users\stu\Documents\GitHub\eaglep3-reporting\EC\2017-03-16-refined-times.txt</v>
      </c>
      <c r="AI242" s="108" t="str">
        <f t="shared" si="95"/>
        <v>echo {"issue":{"subject":"","project_id":79,"tracker_id":40,"status_id":1,"priority_id":2,"assigned_to_id":23,"start_date":"2017-03-17","description":"","custom_fields":[{"id":1,"name":"Subdivision","value":"Other"},{"id":4,"name":"Milepost","value":"12.8272"},{"id":17,"name":"Train ID","value":"88-16"},{"id":16,"name":"Locomotive ID","value":"4022"},{"id":130,"name":"Impact","value":""},{"id":150,"name":"Time of Event (Mountain Time)","value":"00:18:56"},{"id":151,"name":"Denver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6"/>
        <v>start /low /b %USERPROFILE%\Documents\GitHub\eaglep3\Utilities\DownloadLogsFromS3.py --loco 4022 --day 2017-03-16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"%USERPROFILE%\AppData\Local\Temp\OnboardLogs"\RTDC4022\*4022*20170317* | grep -SE "(Enforcement Action)|(\[TIMEOUT)|(CHR.+\|PRM\|1\|D.+(SWITCH|SIGNAL).+UNKNOWN)" - &gt;&gt; 2017-03-16-UncaughtWiMAX.txt</v>
      </c>
    </row>
    <row r="243" spans="1:40" x14ac:dyDescent="0.25">
      <c r="A243" s="33" t="s">
        <v>637</v>
      </c>
      <c r="B243" s="7">
        <v>4022</v>
      </c>
      <c r="C243" s="21" t="s">
        <v>228</v>
      </c>
      <c r="D243" s="21" t="s">
        <v>997</v>
      </c>
      <c r="E243" s="13">
        <v>42810.854432870372</v>
      </c>
      <c r="F243" s="13">
        <v>42810.884398148148</v>
      </c>
      <c r="G243" s="7">
        <v>1</v>
      </c>
      <c r="H243" s="21" t="s">
        <v>998</v>
      </c>
      <c r="I243" s="13">
        <v>42810.904351851852</v>
      </c>
      <c r="J243" s="7">
        <v>0</v>
      </c>
      <c r="K243" s="98" t="str">
        <f t="shared" si="83"/>
        <v>4021/4022</v>
      </c>
      <c r="L243" s="21" t="str">
        <f>VLOOKUP(A243,'Trips&amp;Operators'!$C$1:$G$99999,5,FALSE)</f>
        <v>PERKINS DARREN</v>
      </c>
      <c r="M243" s="6">
        <f t="shared" si="84"/>
        <v>1.9953703704231884E-2</v>
      </c>
      <c r="N243" s="7">
        <f t="shared" si="98"/>
        <v>28.733333334093913</v>
      </c>
      <c r="O243" s="7"/>
      <c r="P243" s="7"/>
      <c r="Q243" s="22"/>
      <c r="R243" s="22"/>
      <c r="S243" s="31">
        <f t="shared" si="99"/>
        <v>0</v>
      </c>
      <c r="T243" s="46" t="e">
        <f t="shared" si="85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86"/>
        <v>https://d0f6bd738d7f1b3e5a7ca70fe4ff75f0.us-east-1.aws.found.io/app/kibana#/discover/Steve-Slow-Train-Analysis-(2080s-and-2083s)?_g=(refreshInterval:(display:Off,pause:!f,section:0,value:0),time:(from:'2017-03-16T19:30:23-0600',mode:absolute,to:'2017-03-16T22:42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7" t="str">
        <f t="shared" si="87"/>
        <v>N</v>
      </c>
      <c r="X243" s="187" t="e">
        <f t="shared" si="97"/>
        <v>#VALUE!</v>
      </c>
      <c r="Y243" s="62">
        <f t="shared" si="88"/>
        <v>4.41E-2</v>
      </c>
      <c r="Z243" s="62">
        <f t="shared" si="82"/>
        <v>12.8278</v>
      </c>
      <c r="AA243" s="62">
        <f t="shared" si="89"/>
        <v>12.7837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90"/>
        <v>88-16</v>
      </c>
      <c r="AE243" s="85" t="str">
        <f t="shared" si="91"/>
        <v>aws s3 cp s3://rtdc.mdm.uploadarchive.raw/RTDC4022/ "%USERPROFILE%\AppData\Local\Temp\OnboardLogs"\RTDC4022\2017-03-16 --exclude "*" --recursive --include "*20170316*" &amp; "%USERPROFILE%\Documents\GitHub\mrs-test-scripts\Headless Mode &amp; Sideloading\WalkAndUnGZ.bat" "%USERPROFILE%\AppData\Local\Temp\OnboardLogs"\RTDC4022\2017-03-16 &amp; aws s3 cp s3://rtdc.mdm.uploadarchive.raw/RTDC4022/ "%USERPROFILE%\AppData\Local\Temp\OnboardLogs"\RTDC4022\2017-03-17 --exclude "*" --recursive --include "*20170317*" &amp; "%USERPROFILE%\Documents\GitHub\mrs-test-scripts\Headless Mode &amp; Sideloading\WalkAndUnGZ.bat" "%USERPROFILE%\AppData\Local\Temp\OnboardLogs"\RTDC4022\2017-03-17</v>
      </c>
      <c r="AF243" s="82" t="str">
        <f t="shared" si="92"/>
        <v>"C:\Program Files (x86)\AstroGrep\AstroGrep.exe" /e /r /s /spath="%USERPROFILE%\AppData\Local\Temp\OnboardLogs" /stypes="app*4022*20170317*" /stext=" 03:.+((SYSTEM_STATE.+slice.+state.+changed )|(ment ac)|(multiple cpu faults)|(system.+state.+changed )|(\[timeout)|(PRM\|1\|D)|(kpr)|(kdp)|(\|lc)|(penalty))"</v>
      </c>
      <c r="AG243" s="1" t="str">
        <f t="shared" si="93"/>
        <v>Other</v>
      </c>
      <c r="AH243" s="86" t="str">
        <f t="shared" si="94"/>
        <v>"%USERPROFILE%\Documents\GitHub\eaglep3\Utilities\RefineRTDCRunTimes.py" --tripid 88-16 --locoid 4022 --swversion DE.1.0.9.0 --startMP 204:441 --initTime 2017-03-16T20:30:23 --startdatetime 2017-03-16T21:13:32 --delay 1 --endMP 204:128278 --enddatetime 2017-03-16T21:42:16 --enforcementcount 0 &gt;&gt;C:\Users\stu\Documents\GitHub\eaglep3-reporting\EC\2017-03-16-refined-times.txt</v>
      </c>
      <c r="AI243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{"issue":{"subject":"","project_id":79,"tracker_id":40,"status_id":1,"priority_id":2,"assigned_to_id":23,"start_date":"2017-03-16","description":"","custom_fields":[{"id":1,"name":"Subdivision","value":"Other"},{"id":4,"name":"Milepost","value":"12.8278"},{"id":17,"name":"Train ID","value":"88-16"},{"id":16,"name":"Locomotive ID","value":"4022"},{"id":130,"name":"Impact","value":""},{"id":150,"name":"Time of Event (Mountain Time)","value":"21:42:16"},{"id":151,"name":"Denver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96"/>
        <v>start /low /b %USERPROFILE%\Documents\GitHub\eaglep3\Utilities\DownloadLogsFromS3.py --loco 4022 --day 2017-03-16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"%USERPROFILE%\AppData\Local\Temp\OnboardLogs"\RTDC4022\*4022*20170317* | grep -SE "(Enforcement Action)|(\[TIMEOUT)|(CHR.+\|PRM\|1\|D.+(SWITCH|SIGNAL).+UNKNOWN)" - &gt;&gt; 2017-03-16-UncaughtWiMAX.txt</v>
      </c>
    </row>
    <row r="244" spans="1:40" x14ac:dyDescent="0.25">
      <c r="A244" s="33" t="s">
        <v>789</v>
      </c>
      <c r="B244" s="7">
        <v>4003</v>
      </c>
      <c r="C244" s="21" t="s">
        <v>228</v>
      </c>
      <c r="D244" s="21" t="s">
        <v>999</v>
      </c>
      <c r="E244" s="13">
        <v>42810.757418981484</v>
      </c>
      <c r="F244" s="13">
        <v>42810.759016203701</v>
      </c>
      <c r="G244" s="7">
        <v>1</v>
      </c>
      <c r="H244" s="21" t="s">
        <v>436</v>
      </c>
      <c r="I244" s="13">
        <v>42810.767210648148</v>
      </c>
      <c r="J244" s="7">
        <v>0</v>
      </c>
      <c r="K244" s="98" t="str">
        <f t="shared" si="83"/>
        <v>4003/4004</v>
      </c>
      <c r="L244" s="21" t="str">
        <f>VLOOKUP(A244,'Trips&amp;Operators'!$C$1:$G$99999,5,FALSE)</f>
        <v>MOSES BRADLEY</v>
      </c>
      <c r="M244" s="6">
        <f t="shared" si="84"/>
        <v>8.1944444464170374E-3</v>
      </c>
      <c r="N244" s="7">
        <f t="shared" si="98"/>
        <v>11.800000002840534</v>
      </c>
      <c r="O244" s="7"/>
      <c r="P244" s="7"/>
      <c r="Q244" s="22"/>
      <c r="R244" s="22"/>
      <c r="S244" s="31">
        <f t="shared" si="99"/>
        <v>0</v>
      </c>
      <c r="T244" s="46" t="e">
        <f t="shared" si="85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86"/>
        <v>https://d0f6bd738d7f1b3e5a7ca70fe4ff75f0.us-east-1.aws.found.io/app/kibana#/discover/Steve-Slow-Train-Analysis-(2080s-and-2083s)?_g=(refreshInterval:(display:Off,pause:!f,section:0,value:0),time:(from:'2017-03-16T17:10:41-0600',mode:absolute,to:'2017-03-16T19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4" s="187" t="str">
        <f t="shared" si="87"/>
        <v>Y</v>
      </c>
      <c r="X244" s="187" t="e">
        <f t="shared" si="97"/>
        <v>#VALUE!</v>
      </c>
      <c r="Y244" s="62">
        <f t="shared" si="88"/>
        <v>3.9399999999999998E-2</v>
      </c>
      <c r="Z244" s="62">
        <f t="shared" si="82"/>
        <v>2.3346</v>
      </c>
      <c r="AA244" s="62">
        <f t="shared" si="89"/>
        <v>2.2951999999999999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90"/>
        <v>89-16</v>
      </c>
      <c r="AE244" s="85" t="str">
        <f t="shared" si="91"/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AF244" s="82" t="str">
        <f t="shared" si="92"/>
        <v>"C:\Program Files (x86)\AstroGrep\AstroGrep.exe" /e /r /s /spath="%USERPROFILE%\AppData\Local\Temp\OnboardLogs" /stypes="app*4003*20170317*" /stext=" 00:.+((SYSTEM_STATE.+slice.+state.+changed )|(ment ac)|(multiple cpu faults)|(system.+state.+changed )|(\[timeout)|(PRM\|1\|D)|(kpr)|(kdp)|(\|lc)|(penalty))"</v>
      </c>
      <c r="AG244" s="1" t="str">
        <f t="shared" si="93"/>
        <v>Other</v>
      </c>
      <c r="AH244" s="86" t="str">
        <f t="shared" si="94"/>
        <v>"%USERPROFILE%\Documents\GitHub\eaglep3\Utilities\RefineRTDCRunTimes.py" --tripid 89-16 --locoid 4003 --swversion DE.1.0.9.0 --startMP 204:394 --initTime 2017-03-16T18:10:41 --startdatetime 2017-03-16T18:12:59 --delay 1 --endMP 300:23346 --enddatetime 2017-03-16T18:24:47 --enforcementcount 0 &gt;&gt;C:\Users\stu\Documents\GitHub\eaglep3-reporting\EC\2017-03-16-refined-times.txt</v>
      </c>
      <c r="AI244" s="108" t="str">
        <f t="shared" si="95"/>
        <v>echo {"issue":{"subject":"","project_id":79,"tracker_id":40,"status_id":1,"priority_id":2,"assigned_to_id":23,"start_date":"2017-03-16","description":"","custom_fields":[{"id":1,"name":"Subdivision","value":"Other"},{"id":4,"name":"Milepost","value":"2.3346"},{"id":17,"name":"Train ID","value":"89-16"},{"id":16,"name":"Locomotive ID","value":"4003"},{"id":130,"name":"Impact","value":""},{"id":150,"name":"Time of Event (Mountain Time)","value":"18:24:47"},{"id":151,"name":"Denver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96"/>
        <v>start /low /b %USERPROFILE%\Documents\GitHub\eaglep3\Utilities\DownloadLogsFromS3.py --loco 4003 --day 2017-03-16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"%USERPROFILE%\AppData\Local\Temp\OnboardLogs"\RTDC4003\*4003*20170317* | grep -SE "(Enforcement Action)|(\[TIMEOUT)|(CHR.+\|PRM\|1\|D.+(SWITCH|SIGNAL).+UNKNOWN)" - &gt;&gt; 2017-03-16-UncaughtWiMAX.txt</v>
      </c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S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  <row r="280" spans="1:39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S280"/>
      <c r="U280"/>
      <c r="V280"/>
      <c r="W280"/>
      <c r="X280"/>
      <c r="Y280"/>
      <c r="Z280"/>
      <c r="AA280"/>
      <c r="AB280"/>
      <c r="AC280"/>
      <c r="AD280"/>
      <c r="AE280"/>
      <c r="AF280"/>
      <c r="AH280"/>
      <c r="AI280"/>
      <c r="AM280"/>
    </row>
  </sheetData>
  <autoFilter ref="A12:AG274">
    <sortState ref="A13:AG273">
      <sortCondition ref="AG13:AG243"/>
      <sortCondition ref="AD13:AD243"/>
    </sortState>
  </autoFilter>
  <sortState ref="A13:AH200">
    <sortCondition ref="AG13:AG200"/>
    <sortCondition ref="AD13:AD200"/>
  </sortState>
  <mergeCells count="1">
    <mergeCell ref="A11:P11"/>
  </mergeCells>
  <conditionalFormatting sqref="W11:W12 W281:X1048576 W13:X244">
    <cfRule type="cellIs" dxfId="10" priority="370" operator="equal">
      <formula>"Y"</formula>
    </cfRule>
  </conditionalFormatting>
  <conditionalFormatting sqref="X281:X1048576 X13:X244">
    <cfRule type="cellIs" dxfId="9" priority="353" operator="greaterThan">
      <formula>1</formula>
    </cfRule>
  </conditionalFormatting>
  <conditionalFormatting sqref="X281:X1048576 X12:X244">
    <cfRule type="cellIs" dxfId="8" priority="350" operator="equal">
      <formula>0</formula>
    </cfRule>
  </conditionalFormatting>
  <conditionalFormatting sqref="A13:S244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Values'!$C$2:$C$15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32" workbookViewId="0">
      <selection activeCell="P27" sqref="A27:P2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>
        <v>2</v>
      </c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COUNTIF($O$7:$O$309,"=Y")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COUNTA($O$7:$O$309)-O2</f>
        <v>52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- 2017-03-16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192</v>
      </c>
      <c r="AE6" s="155" t="s">
        <v>203</v>
      </c>
    </row>
    <row r="7" spans="1:32" s="1" customFormat="1" x14ac:dyDescent="0.25">
      <c r="A7" s="32">
        <v>42810.213645833333</v>
      </c>
      <c r="B7" s="30" t="s">
        <v>594</v>
      </c>
      <c r="C7" s="30" t="s">
        <v>595</v>
      </c>
      <c r="D7" s="30" t="s">
        <v>49</v>
      </c>
      <c r="E7" s="30" t="s">
        <v>193</v>
      </c>
      <c r="F7" s="43">
        <v>0</v>
      </c>
      <c r="G7" s="43">
        <v>200</v>
      </c>
      <c r="H7" s="43">
        <v>27031</v>
      </c>
      <c r="I7" s="43">
        <v>27293</v>
      </c>
      <c r="J7" s="30" t="s">
        <v>194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-126.72</v>
      </c>
      <c r="N7" s="145" t="str">
        <f>VLOOKUP(C7,'Trips&amp;Operators'!$C$1:$G$99999,5,FALSE)</f>
        <v>YORK EDGAR</v>
      </c>
      <c r="O7" s="194" t="s">
        <v>185</v>
      </c>
      <c r="P7" s="146" t="s">
        <v>589</v>
      </c>
      <c r="Q7" s="30"/>
      <c r="R7" s="89" t="str">
        <f>IF(VLOOKUP(C7,'Train Runs'!$A$13:$AE$9950,1,1)=C7,VLOOKUP(C7,'Train Runs'!$A$13:$AE$9950,31,1),NA())</f>
        <v>aws s3 cp s3://rtdc.mdm.uploadarchive.raw/RTDC4006/ "%USERPROFILE%\AppData\Local\Temp\OnboardLogs"\RTDC4006\2017-03-16 --exclude "*" --recursive --include "*20170316*" &amp; "%USERPROFILE%\Documents\GitHub\mrs-test-scripts\Headless Mode &amp; Sideloading\WalkAndUnGZ.bat" "%USERPROFILE%\AppData\Local\Temp\OnboardLogs"\RTDC4006\2017-03-16 &amp; aws s3 cp s3://rtdc.mdm.uploadarchive.raw/RTDC4006/ "%USERPROFILE%\AppData\Local\Temp\OnboardLogs"\RTDC4006\2017-03-17 --exclude "*" --recursive --include "*20170317*" &amp; "%USERPROFILE%\Documents\GitHub\mrs-test-scripts\Headless Mode &amp; Sideloading\WalkAndUnGZ.bat" "%USERPROFILE%\AppData\Local\Temp\OnboardLogs"\RTDC4006\2017-03-17</v>
      </c>
      <c r="S7" s="92" t="str">
        <f>VLOOKUP(C7,'Train Runs'!$A$13:$AE$9950,22,0)</f>
        <v>https://d0f6bd738d7f1b3e5a7ca70fe4ff75f0.us-east-1.aws.found.io/app/kibana#/discover/Steve-Slow-Train-Analysis-(2080s-and-2083s)?_g=(refreshInterval:(display:Off,pause:!f,section:0,value:0),time:(from:'2017-03-16T03:59:22-0600',mode:absolute,to:'2017-03-16T06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/stypes="*4006*201703161*" /stext=" 11:.+((SYSTEM_STATE.+slice.+state.+changed )|(ment ac)|(multiple cpu faults)|(system.+state.+changed )|(\[timeout)|(PRM\|1\|D)|(kpr)|(kdp)|(\|lc)|(penalty))"</v>
      </c>
      <c r="U7" s="9" t="str">
        <f t="shared" ref="U7:U38" si="2">MID(B7,13,4)</f>
        <v>4006</v>
      </c>
      <c r="V7" s="32">
        <f t="shared" ref="V7:V38" si="3">A7-utc_offset/24</f>
        <v>42810.463645833333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arrival","project_id":79,"tracker_id":40,"status_id":1,"priority_id":2,"assigned_to_id":23,"start_date":"2017-03-16","description":"","custom_fields":[{"id":1,"name":"Subdivision","value":"EC"},{"id":4,"name":"Milepost","value":"2.7053"},{"id":17,"name":"Train ID","value":"111-16"},{"id":16,"name":"Locomotive ID","value":"4006"},{"id":130,"name":"Impact","value":""},{"id":150,"name":"Time of Event (Mountain Time)","value":"05:07:39"},{"id":151,"name":"Denver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"%USERPROFILE%\AppData\Local\Temp\OnboardLogs"\RTDC4006\*4006*201703161*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"%USERPROFILE%\AppData\Local\Temp\OnboardLogs"\RTDC4006\*4006*201703161* &gt;&gt; 2017-03-16-SliceDisagreementCheck.txt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4006 --day 2017-03-16</v>
      </c>
    </row>
    <row r="8" spans="1:32" s="1" customFormat="1" x14ac:dyDescent="0.25">
      <c r="A8" s="32">
        <v>42810.754780092589</v>
      </c>
      <c r="B8" s="30" t="s">
        <v>522</v>
      </c>
      <c r="C8" s="30" t="s">
        <v>630</v>
      </c>
      <c r="D8" s="30" t="s">
        <v>49</v>
      </c>
      <c r="E8" s="30" t="s">
        <v>193</v>
      </c>
      <c r="F8" s="43">
        <v>0</v>
      </c>
      <c r="G8" s="43">
        <v>123</v>
      </c>
      <c r="H8" s="43">
        <v>27021</v>
      </c>
      <c r="I8" s="43">
        <v>27124</v>
      </c>
      <c r="J8" s="30" t="s">
        <v>194</v>
      </c>
      <c r="K8" s="43">
        <v>27053</v>
      </c>
      <c r="L8" s="143" t="s">
        <v>50</v>
      </c>
      <c r="M8" s="144">
        <f t="shared" si="0"/>
        <v>-37.488</v>
      </c>
      <c r="N8" s="145" t="str">
        <f>VLOOKUP(C8,'Trips&amp;Operators'!$C$1:$G$99999,5,FALSE)</f>
        <v>DELGADO DIANAH</v>
      </c>
      <c r="O8" s="194" t="s">
        <v>185</v>
      </c>
      <c r="P8" s="146" t="s">
        <v>589</v>
      </c>
      <c r="Q8" s="30"/>
      <c r="R8" s="89" t="str">
        <f>IF(VLOOKUP(C8,'Train Runs'!$A$13:$AE$9950,1,1)=C8,VLOOKUP(C8,'Train Runs'!$A$13:$AE$9950,31,1),NA())</f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S8" s="92" t="str">
        <f>VLOOKUP(C8,'Train Runs'!$A$13:$AE$9950,22,0)</f>
        <v>https://d0f6bd738d7f1b3e5a7ca70fe4ff75f0.us-east-1.aws.found.io/app/kibana#/discover/Steve-Slow-Train-Analysis-(2080s-and-2083s)?_g=(refreshInterval:(display:Off,pause:!f,section:0,value:0),time:(from:'2017-03-16T16:53:56-0600',mode:absolute,to:'2017-03-16T19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 t="shared" si="1"/>
        <v>"C:\Program Files (x86)\AstroGrep\AstroGrep.exe" /e /r /s /spath="%USERPROFILE%\AppData\Local\Temp\OnboardLogs" /stypes="*4002*201703170*" /stext=" 00:.+((SYSTEM_STATE.+slice.+state.+changed )|(ment ac)|(multiple cpu faults)|(system.+state.+changed )|(\[timeout)|(PRM\|1\|D)|(kpr)|(kdp)|(\|lc)|(penalty))"</v>
      </c>
      <c r="U8" s="9" t="str">
        <f t="shared" si="2"/>
        <v>4002</v>
      </c>
      <c r="V8" s="32">
        <f t="shared" si="3"/>
        <v>42811.004780092589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arrival","project_id":79,"tracker_id":40,"status_id":1,"priority_id":2,"assigned_to_id":23,"start_date":"2017-03-16","description":"","custom_fields":[{"id":1,"name":"Subdivision","value":"EC"},{"id":4,"name":"Milepost","value":"2.7053"},{"id":17,"name":"Train ID","value":"215-16"},{"id":16,"name":"Locomotive ID","value":"4002"},{"id":130,"name":"Impact","value":""},{"id":150,"name":"Time of Event (Mountain Time)","value":"18:06:53"},{"id":151,"name":"Denver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"%USERPROFILE%\AppData\Local\Temp\OnboardLogs"\RTDC4002\*4002*201703170*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"%USERPROFILE%\AppData\Local\Temp\OnboardLogs"\RTDC4002\*4002*201703170* &gt;&gt; 2017-03-16-SliceDisagreementCheck.txt</v>
      </c>
      <c r="AE8" s="157" t="str">
        <f t="shared" ref="AE8:AE60" si="9">"start /low /b "&amp;dls3logs&amp;" --loco "&amp;U8&amp;" --day "&amp;TEXT(V8,"YYYY-MM-DD")</f>
        <v>start /low /b %USERPROFILE%\Documents\GitHub\eaglep3\Utilities\DownloadLogsFromS3.py --loco 4002 --day 2017-03-17</v>
      </c>
    </row>
    <row r="9" spans="1:32" s="1" customFormat="1" x14ac:dyDescent="0.25">
      <c r="A9" s="32">
        <v>42811.005543981482</v>
      </c>
      <c r="B9" s="30" t="s">
        <v>467</v>
      </c>
      <c r="C9" s="30" t="s">
        <v>640</v>
      </c>
      <c r="D9" s="30" t="s">
        <v>49</v>
      </c>
      <c r="E9" s="30" t="s">
        <v>193</v>
      </c>
      <c r="F9" s="43">
        <v>0</v>
      </c>
      <c r="G9" s="43">
        <v>212</v>
      </c>
      <c r="H9" s="43">
        <v>26954</v>
      </c>
      <c r="I9" s="43">
        <v>27309</v>
      </c>
      <c r="J9" s="30" t="s">
        <v>194</v>
      </c>
      <c r="K9" s="43">
        <v>27053</v>
      </c>
      <c r="L9" s="143" t="s">
        <v>50</v>
      </c>
      <c r="M9" s="144">
        <f t="shared" si="0"/>
        <v>-135.16800000000001</v>
      </c>
      <c r="N9" s="145" t="str">
        <f>VLOOKUP(C9,'Trips&amp;Operators'!$C$1:$G$99999,5,FALSE)</f>
        <v>BROWN JACOB</v>
      </c>
      <c r="O9" s="194" t="s">
        <v>185</v>
      </c>
      <c r="P9" s="146" t="s">
        <v>589</v>
      </c>
      <c r="Q9" s="30"/>
      <c r="R9" s="89" t="str">
        <f>IF(VLOOKUP(C9,'Train Runs'!$A$13:$AE$9950,1,1)=C9,VLOOKUP(C9,'Train Runs'!$A$13:$AE$9950,31,1),NA())</f>
        <v>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 &amp; aws s3 cp s3://rtdc.mdm.uploadarchive.raw/RTDC4031/ "%USERPROFILE%\AppData\Local\Temp\OnboardLogs"\RTDC4031\2017-03-18 --exclude "*" --recursive --include "*20170318*" &amp; "%USERPROFILE%\Documents\GitHub\mrs-test-scripts\Headless Mode &amp; Sideloading\WalkAndUnGZ.bat" "%USERPROFILE%\AppData\Local\Temp\OnboardLogs"\RTDC4031\2017-03-18</v>
      </c>
      <c r="S9" s="92" t="str">
        <f>VLOOKUP(C9,'Train Runs'!$A$13:$AE$9950,22,0)</f>
        <v>https://d0f6bd738d7f1b3e5a7ca70fe4ff75f0.us-east-1.aws.found.io/app/kibana#/discover/Steve-Slow-Train-Analysis-(2080s-and-2083s)?_g=(refreshInterval:(display:Off,pause:!f,section:0,value:0),time:(from:'2017-03-16T22:52:47-0600',mode:absolute,to:'2017-03-17T01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94" t="str">
        <f t="shared" si="1"/>
        <v>"C:\Program Files (x86)\AstroGrep\AstroGrep.exe" /e /r /s /spath="%USERPROFILE%\AppData\Local\Temp\OnboardLogs" /stypes="*4031*201703170*" /stext=" 06:.+((SYSTEM_STATE.+slice.+state.+changed )|(ment ac)|(multiple cpu faults)|(system.+state.+changed )|(\[timeout)|(PRM\|1\|D)|(kpr)|(kdp)|(\|lc)|(penalty))"</v>
      </c>
      <c r="U9" s="9" t="str">
        <f t="shared" si="2"/>
        <v>4031</v>
      </c>
      <c r="V9" s="32">
        <f t="shared" si="3"/>
        <v>42811.255543981482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arrival","project_id":79,"tracker_id":40,"status_id":1,"priority_id":2,"assigned_to_id":23,"start_date":"2017-03-17","description":"","custom_fields":[{"id":1,"name":"Subdivision","value":"EC"},{"id":4,"name":"Milepost","value":"2.7053"},{"id":17,"name":"Train ID","value":"241-16"},{"id":16,"name":"Locomotive ID","value":"4031"},{"id":130,"name":"Impact","value":""},{"id":150,"name":"Time of Event (Mountain Time)","value":"00:07:59"},{"id":151,"name":"Denver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"%USERPROFILE%\AppData\Local\Temp\OnboardLogs"\RTDC4031\*4031*201703170*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"%USERPROFILE%\AppData\Local\Temp\OnboardLogs"\RTDC4031\*4031*201703170* &gt;&gt; 2017-03-16-SliceDisagreementCheck.txt</v>
      </c>
      <c r="AE9" s="157" t="str">
        <f t="shared" si="9"/>
        <v>start /low /b %USERPROFILE%\Documents\GitHub\eaglep3\Utilities\DownloadLogsFromS3.py --loco 4031 --day 2017-03-17</v>
      </c>
    </row>
    <row r="10" spans="1:32" s="1" customFormat="1" x14ac:dyDescent="0.25">
      <c r="A10" s="32">
        <v>42810.436527777776</v>
      </c>
      <c r="B10" s="30" t="s">
        <v>202</v>
      </c>
      <c r="C10" s="30" t="s">
        <v>609</v>
      </c>
      <c r="D10" s="30" t="s">
        <v>98</v>
      </c>
      <c r="E10" s="30" t="s">
        <v>193</v>
      </c>
      <c r="F10" s="43">
        <v>160</v>
      </c>
      <c r="G10" s="43">
        <v>211</v>
      </c>
      <c r="H10" s="43">
        <v>27040</v>
      </c>
      <c r="I10" s="43">
        <v>26593</v>
      </c>
      <c r="J10" s="30" t="s">
        <v>194</v>
      </c>
      <c r="K10" s="43">
        <v>27350</v>
      </c>
      <c r="L10" s="143" t="s">
        <v>51</v>
      </c>
      <c r="M10" s="144">
        <f t="shared" si="0"/>
        <v>-399.69600000000003</v>
      </c>
      <c r="N10" s="145" t="str">
        <f>VLOOKUP(C10,'Trips&amp;Operators'!$C$1:$G$99999,5,FALSE)</f>
        <v>STARKS ANGELINA</v>
      </c>
      <c r="O10" s="194" t="s">
        <v>185</v>
      </c>
      <c r="P10" s="146" t="s">
        <v>589</v>
      </c>
      <c r="Q10" s="30"/>
      <c r="R10" s="89" t="str">
        <f>IF(VLOOKUP(C10,'Train Runs'!$A$13:$AE$9950,1,1)=C10,VLOOKUP(C10,'Train Runs'!$A$13:$AE$9950,31,1),NA())</f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S10" s="92" t="str">
        <f>VLOOKUP(C10,'Train Runs'!$A$13:$AE$9950,22,0)</f>
        <v>https://d0f6bd738d7f1b3e5a7ca70fe4ff75f0.us-east-1.aws.found.io/app/kibana#/discover/Steve-Slow-Train-Analysis-(2080s-and-2083s)?_g=(refreshInterval:(display:Off,pause:!f,section:0,value:0),time:(from:'2017-03-16T08:54:06-0600',mode:absolute,to:'2017-03-16T11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0" s="94" t="str">
        <f t="shared" si="1"/>
        <v>"C:\Program Files (x86)\AstroGrep\AstroGrep.exe" /e /r /s /spath="%USERPROFILE%\AppData\Local\Temp\OnboardLogs" /stypes="*4030*201703161*" /stext=" 16:.+((SYSTEM_STATE.+slice.+state.+changed )|(ment ac)|(multiple cpu faults)|(system.+state.+changed )|(\[timeout)|(PRM\|1\|D)|(kpr)|(kdp)|(\|lc)|(penalty))"</v>
      </c>
      <c r="U10" s="9" t="str">
        <f t="shared" si="2"/>
        <v>4030</v>
      </c>
      <c r="V10" s="32">
        <f t="shared" si="3"/>
        <v>42810.686527777776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arrival","project_id":79,"tracker_id":40,"status_id":1,"priority_id":2,"assigned_to_id":23,"start_date":"2017-03-16","description":"","custom_fields":[{"id":1,"name":"Subdivision","value":"EC"},{"id":4,"name":"Milepost","value":"2.735"},{"id":17,"name":"Train ID","value":"144-16"},{"id":16,"name":"Locomotive ID","value":"4030"},{"id":130,"name":"Impact","value":""},{"id":150,"name":"Time of Event (Mountain Time)","value":"10:28:36"},{"id":151,"name":"Denver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"%USERPROFILE%\AppData\Local\Temp\OnboardLogs"\RTDC4030\*4030*201703161*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"%USERPROFILE%\AppData\Local\Temp\OnboardLogs"\RTDC4030\*4030*201703161* &gt;&gt; 2017-03-16-SliceDisagreementCheck.txt</v>
      </c>
      <c r="AE10" s="157" t="str">
        <f t="shared" si="9"/>
        <v>start /low /b %USERPROFILE%\Documents\GitHub\eaglep3\Utilities\DownloadLogsFromS3.py --loco 4030 --day 2017-03-16</v>
      </c>
    </row>
    <row r="11" spans="1:32" s="1" customFormat="1" x14ac:dyDescent="0.25">
      <c r="A11" s="32">
        <v>42810.333240740743</v>
      </c>
      <c r="B11" s="30" t="s">
        <v>421</v>
      </c>
      <c r="C11" s="30" t="s">
        <v>599</v>
      </c>
      <c r="D11" s="30" t="s">
        <v>49</v>
      </c>
      <c r="E11" s="30" t="s">
        <v>193</v>
      </c>
      <c r="F11" s="43">
        <v>180</v>
      </c>
      <c r="G11" s="43">
        <v>261</v>
      </c>
      <c r="H11" s="43">
        <v>32436</v>
      </c>
      <c r="I11" s="43">
        <v>31793</v>
      </c>
      <c r="J11" s="30" t="s">
        <v>194</v>
      </c>
      <c r="K11" s="43">
        <v>30970</v>
      </c>
      <c r="L11" s="143" t="s">
        <v>51</v>
      </c>
      <c r="M11" s="144">
        <f t="shared" si="0"/>
        <v>434.54399999999998</v>
      </c>
      <c r="N11" s="145" t="str">
        <f>VLOOKUP(C11,'Trips&amp;Operators'!$C$1:$G$99999,5,FALSE)</f>
        <v>ROCHA YAOTL</v>
      </c>
      <c r="O11" s="194" t="s">
        <v>185</v>
      </c>
      <c r="P11" s="146" t="s">
        <v>589</v>
      </c>
      <c r="Q11" s="30"/>
      <c r="R11" s="89" t="str">
        <f>IF(VLOOKUP(C11,'Train Runs'!$A$13:$AE$9950,1,1)=C11,VLOOKUP(C11,'Train Runs'!$A$13:$AE$9950,31,1),NA())</f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S11" s="92" t="str">
        <f>VLOOKUP(C11,'Train Runs'!$A$13:$AE$9950,22,0)</f>
        <v>https://d0f6bd738d7f1b3e5a7ca70fe4ff75f0.us-east-1.aws.found.io/app/kibana#/discover/Steve-Slow-Train-Analysis-(2080s-and-2083s)?_g=(refreshInterval:(display:Off,pause:!f,section:0,value:0),time:(from:'2017-03-16T06:24:40-0600',mode:absolute,to:'2017-03-16T09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94" t="str">
        <f t="shared" si="1"/>
        <v>"C:\Program Files (x86)\AstroGrep\AstroGrep.exe" /e /r /s /spath="%USERPROFILE%\AppData\Local\Temp\OnboardLogs" /stypes="*4039*201703161*" /stext=" 13:.+((SYSTEM_STATE.+slice.+state.+changed )|(ment ac)|(multiple cpu faults)|(system.+state.+changed )|(\[timeout)|(PRM\|1\|D)|(kpr)|(kdp)|(\|lc)|(penalty))"</v>
      </c>
      <c r="U11" s="9" t="str">
        <f t="shared" si="2"/>
        <v>4039</v>
      </c>
      <c r="V11" s="32">
        <f t="shared" si="3"/>
        <v>42810.583240740743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arrival","project_id":79,"tracker_id":40,"status_id":1,"priority_id":2,"assigned_to_id":23,"start_date":"2017-03-16","description":"","custom_fields":[{"id":1,"name":"Subdivision","value":"EC"},{"id":4,"name":"Milepost","value":"3.097"},{"id":17,"name":"Train ID","value":"124-16"},{"id":16,"name":"Locomotive ID","value":"4039"},{"id":130,"name":"Impact","value":""},{"id":150,"name":"Time of Event (Mountain Time)","value":"07:59:52"},{"id":151,"name":"Denver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"%USERPROFILE%\AppData\Local\Temp\OnboardLogs"\RTDC4039\*4039*201703161*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"%USERPROFILE%\AppData\Local\Temp\OnboardLogs"\RTDC4039\*4039*201703161* &gt;&gt; 2017-03-16-SliceDisagreementCheck.txt</v>
      </c>
      <c r="AE11" s="157" t="str">
        <f t="shared" si="9"/>
        <v>start /low /b %USERPROFILE%\Documents\GitHub\eaglep3\Utilities\DownloadLogsFromS3.py --loco 4039 --day 2017-03-16</v>
      </c>
    </row>
    <row r="12" spans="1:32" s="1" customFormat="1" x14ac:dyDescent="0.25">
      <c r="A12" s="32">
        <v>42810.457048611112</v>
      </c>
      <c r="B12" s="30" t="s">
        <v>379</v>
      </c>
      <c r="C12" s="30" t="s">
        <v>610</v>
      </c>
      <c r="D12" s="30" t="s">
        <v>98</v>
      </c>
      <c r="E12" s="30" t="s">
        <v>193</v>
      </c>
      <c r="F12" s="43">
        <v>330</v>
      </c>
      <c r="G12" s="43">
        <v>384</v>
      </c>
      <c r="H12" s="43">
        <v>42989</v>
      </c>
      <c r="I12" s="43">
        <v>44340</v>
      </c>
      <c r="J12" s="30" t="s">
        <v>194</v>
      </c>
      <c r="K12" s="43">
        <v>42779</v>
      </c>
      <c r="L12" s="143" t="s">
        <v>50</v>
      </c>
      <c r="M12" s="144">
        <f t="shared" si="0"/>
        <v>-824.20799999999997</v>
      </c>
      <c r="N12" s="145" t="str">
        <f>VLOOKUP(C12,'Trips&amp;Operators'!$C$1:$G$99999,5,FALSE)</f>
        <v>STARKS ANGELINA</v>
      </c>
      <c r="O12" s="194" t="s">
        <v>185</v>
      </c>
      <c r="P12" s="146" t="s">
        <v>589</v>
      </c>
      <c r="Q12" s="30"/>
      <c r="R12" s="89" t="str">
        <f>IF(VLOOKUP(C12,'Train Runs'!$A$13:$AE$9950,1,1)=C12,VLOOKUP(C12,'Train Runs'!$A$13:$AE$9950,31,1),NA())</f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S12" s="92" t="str">
        <f>VLOOKUP(C12,'Train Runs'!$A$13:$AE$9950,22,0)</f>
        <v>https://d0f6bd738d7f1b3e5a7ca70fe4ff75f0.us-east-1.aws.found.io/app/kibana#/discover/Steve-Slow-Train-Analysis-(2080s-and-2083s)?_g=(refreshInterval:(display:Off,pause:!f,section:0,value:0),time:(from:'2017-03-16T09:40:19-0600',mode:absolute,to:'2017-03-16T12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94" t="str">
        <f t="shared" si="1"/>
        <v>"C:\Program Files (x86)\AstroGrep\AstroGrep.exe" /e /r /s /spath="%USERPROFILE%\AppData\Local\Temp\OnboardLogs" /stypes="*4029*201703161*" /stext=" 16:.+((SYSTEM_STATE.+slice.+state.+changed )|(ment ac)|(multiple cpu faults)|(system.+state.+changed )|(\[timeout)|(PRM\|1\|D)|(kpr)|(kdp)|(\|lc)|(penalty))"</v>
      </c>
      <c r="U12" s="9" t="str">
        <f t="shared" si="2"/>
        <v>4029</v>
      </c>
      <c r="V12" s="32">
        <f t="shared" si="3"/>
        <v>42810.707048611112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arrival","project_id":79,"tracker_id":40,"status_id":1,"priority_id":2,"assigned_to_id":23,"start_date":"2017-03-16","description":"","custom_fields":[{"id":1,"name":"Subdivision","value":"EC"},{"id":4,"name":"Milepost","value":"4.2779"},{"id":17,"name":"Train ID","value":"157-16"},{"id":16,"name":"Locomotive ID","value":"4029"},{"id":130,"name":"Impact","value":""},{"id":150,"name":"Time of Event (Mountain Time)","value":"10:58:09"},{"id":151,"name":"Denver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"%USERPROFILE%\AppData\Local\Temp\OnboardLogs"\RTDC4029\*4029*201703161*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"%USERPROFILE%\AppData\Local\Temp\OnboardLogs"\RTDC4029\*4029*201703161* &gt;&gt; 2017-03-16-SliceDisagreementCheck.txt</v>
      </c>
      <c r="AE12" s="157" t="str">
        <f t="shared" si="9"/>
        <v>start /low /b %USERPROFILE%\Documents\GitHub\eaglep3\Utilities\DownloadLogsFromS3.py --loco 4029 --day 2017-03-16</v>
      </c>
    </row>
    <row r="13" spans="1:32" s="1" customFormat="1" x14ac:dyDescent="0.25">
      <c r="A13" s="32">
        <v>42810.360277777778</v>
      </c>
      <c r="B13" s="30" t="s">
        <v>202</v>
      </c>
      <c r="C13" s="30" t="s">
        <v>603</v>
      </c>
      <c r="D13" s="30" t="s">
        <v>49</v>
      </c>
      <c r="E13" s="30" t="s">
        <v>193</v>
      </c>
      <c r="F13" s="43">
        <v>0</v>
      </c>
      <c r="G13" s="43">
        <v>546</v>
      </c>
      <c r="H13" s="43">
        <v>49238</v>
      </c>
      <c r="I13" s="43">
        <v>47618</v>
      </c>
      <c r="J13" s="30" t="s">
        <v>194</v>
      </c>
      <c r="K13" s="43">
        <v>48048</v>
      </c>
      <c r="L13" s="143" t="s">
        <v>51</v>
      </c>
      <c r="M13" s="144">
        <f t="shared" si="0"/>
        <v>-227.04</v>
      </c>
      <c r="N13" s="145" t="str">
        <f>VLOOKUP(C13,'Trips&amp;Operators'!$C$1:$G$99999,5,FALSE)</f>
        <v>STARKS ANGELINA</v>
      </c>
      <c r="O13" s="194" t="s">
        <v>185</v>
      </c>
      <c r="P13" s="146" t="s">
        <v>589</v>
      </c>
      <c r="Q13" s="30"/>
      <c r="R13" s="89" t="str">
        <f>IF(VLOOKUP(C13,'Train Runs'!$A$13:$AE$9950,1,1)=C13,VLOOKUP(C13,'Train Runs'!$A$13:$AE$9950,31,1),NA())</f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S13" s="92" t="str">
        <f>VLOOKUP(C13,'Train Runs'!$A$13:$AE$9950,22,0)</f>
        <v>https://d0f6bd738d7f1b3e5a7ca70fe4ff75f0.us-east-1.aws.found.io/app/kibana#/discover/Steve-Slow-Train-Analysis-(2080s-and-2083s)?_g=(refreshInterval:(display:Off,pause:!f,section:0,value:0),time:(from:'2017-03-16T07:05:47-0600',mode:absolute,to:'2017-03-16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94" t="str">
        <f t="shared" si="1"/>
        <v>"C:\Program Files (x86)\AstroGrep\AstroGrep.exe" /e /r /s /spath="%USERPROFILE%\AppData\Local\Temp\OnboardLogs" /stypes="*4030*201703161*" /stext=" 14:.+((SYSTEM_STATE.+slice.+state.+changed )|(ment ac)|(multiple cpu faults)|(system.+state.+changed )|(\[timeout)|(PRM\|1\|D)|(kpr)|(kdp)|(\|lc)|(penalty))"</v>
      </c>
      <c r="U13" s="9" t="str">
        <f t="shared" si="2"/>
        <v>4030</v>
      </c>
      <c r="V13" s="32">
        <f t="shared" si="3"/>
        <v>42810.610277777778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arrival","project_id":79,"tracker_id":40,"status_id":1,"priority_id":2,"assigned_to_id":23,"start_date":"2017-03-16","description":"","custom_fields":[{"id":1,"name":"Subdivision","value":"EC"},{"id":4,"name":"Milepost","value":"4.8048"},{"id":17,"name":"Train ID","value":"130-16"},{"id":16,"name":"Locomotive ID","value":"4030"},{"id":130,"name":"Impact","value":""},{"id":150,"name":"Time of Event (Mountain Time)","value":"08:38:48"},{"id":151,"name":"Denver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"%USERPROFILE%\AppData\Local\Temp\OnboardLogs"\RTDC4030\*4030*201703161*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"%USERPROFILE%\AppData\Local\Temp\OnboardLogs"\RTDC4030\*4030*201703161* &gt;&gt; 2017-03-16-SliceDisagreementCheck.txt</v>
      </c>
      <c r="AE13" s="157" t="str">
        <f t="shared" si="9"/>
        <v>start /low /b %USERPROFILE%\Documents\GitHub\eaglep3\Utilities\DownloadLogsFromS3.py --loco 4030 --day 2017-03-16</v>
      </c>
    </row>
    <row r="14" spans="1:32" x14ac:dyDescent="0.25">
      <c r="A14" s="32">
        <v>42810.954548611109</v>
      </c>
      <c r="B14" s="30" t="s">
        <v>512</v>
      </c>
      <c r="C14" s="30" t="s">
        <v>639</v>
      </c>
      <c r="D14" s="30" t="s">
        <v>49</v>
      </c>
      <c r="E14" s="30" t="s">
        <v>193</v>
      </c>
      <c r="F14" s="43">
        <v>0</v>
      </c>
      <c r="G14" s="43">
        <v>553</v>
      </c>
      <c r="H14" s="43">
        <v>48539</v>
      </c>
      <c r="I14" s="43">
        <v>46948</v>
      </c>
      <c r="J14" s="30" t="s">
        <v>194</v>
      </c>
      <c r="K14" s="43">
        <v>48048</v>
      </c>
      <c r="L14" s="143" t="s">
        <v>51</v>
      </c>
      <c r="M14" s="144">
        <f t="shared" si="0"/>
        <v>-580.79999999999995</v>
      </c>
      <c r="N14" s="145" t="str">
        <f>VLOOKUP(C14,'Trips&amp;Operators'!$C$1:$G$99999,5,FALSE)</f>
        <v>MACDONALD THOMAS</v>
      </c>
      <c r="O14" s="194" t="s">
        <v>185</v>
      </c>
      <c r="P14" s="146" t="s">
        <v>589</v>
      </c>
      <c r="Q14" s="30"/>
      <c r="R14" s="89" t="str">
        <f>IF(VLOOKUP(C14,'Train Runs'!$A$13:$AE$9950,1,1)=C14,VLOOKUP(C14,'Train Runs'!$A$13:$AE$9950,31,1),NA())</f>
        <v>aws s3 cp s3://rtdc.mdm.uploadarchive.raw/RTDC4045/ "%USERPROFILE%\AppData\Local\Temp\OnboardLogs"\RTDC4045\2017-03-16 --exclude "*" --recursive --include "*20170316*" &amp; "%USERPROFILE%\Documents\GitHub\mrs-test-scripts\Headless Mode &amp; Sideloading\WalkAndUnGZ.bat" "%USERPROFILE%\AppData\Local\Temp\OnboardLogs"\RTDC4045\2017-03-16 &amp; aws s3 cp s3://rtdc.mdm.uploadarchive.raw/RTDC4045/ "%USERPROFILE%\AppData\Local\Temp\OnboardLogs"\RTDC4045\2017-03-17 --exclude "*" --recursive --include "*20170317*" &amp; "%USERPROFILE%\Documents\GitHub\mrs-test-scripts\Headless Mode &amp; Sideloading\WalkAndUnGZ.bat" "%USERPROFILE%\AppData\Local\Temp\OnboardLogs"\RTDC4045\2017-03-17</v>
      </c>
      <c r="S14" s="92" t="str">
        <f>VLOOKUP(C14,'Train Runs'!$A$13:$AE$9950,22,0)</f>
        <v>https://d0f6bd738d7f1b3e5a7ca70fe4ff75f0.us-east-1.aws.found.io/app/kibana#/discover/Steve-Slow-Train-Analysis-(2080s-and-2083s)?_g=(refreshInterval:(display:Off,pause:!f,section:0,value:0),time:(from:'2017-03-16T21:23:20-0600',mode:absolute,to:'2017-03-17T00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4" s="94" t="str">
        <f t="shared" si="1"/>
        <v>"C:\Program Files (x86)\AstroGrep\AstroGrep.exe" /e /r /s /spath="%USERPROFILE%\AppData\Local\Temp\OnboardLogs" /stypes="*4045*201703170*" /stext=" 04:.+((SYSTEM_STATE.+slice.+state.+changed )|(ment ac)|(multiple cpu faults)|(system.+state.+changed )|(\[timeout)|(PRM\|1\|D)|(kpr)|(kdp)|(\|lc)|(penalty))"</v>
      </c>
      <c r="U14" s="9" t="str">
        <f t="shared" si="2"/>
        <v>4045</v>
      </c>
      <c r="V14" s="32">
        <f t="shared" si="3"/>
        <v>42811.204548611109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arrival","project_id":79,"tracker_id":40,"status_id":1,"priority_id":2,"assigned_to_id":23,"start_date":"2017-03-16","description":"","custom_fields":[{"id":1,"name":"Subdivision","value":"EC"},{"id":4,"name":"Milepost","value":"4.8048"},{"id":17,"name":"Train ID","value":"232-16"},{"id":16,"name":"Locomotive ID","value":"4045"},{"id":130,"name":"Impact","value":""},{"id":150,"name":"Time of Event (Mountain Time)","value":"22:54:33"},{"id":151,"name":"Denver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"%USERPROFILE%\AppData\Local\Temp\OnboardLogs"\RTDC4045\*4045*201703170*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"%USERPROFILE%\AppData\Local\Temp\OnboardLogs"\RTDC4045\*4045*201703170* &gt;&gt; 2017-03-16-SliceDisagreementCheck.txt</v>
      </c>
      <c r="AE14" s="157" t="str">
        <f t="shared" si="9"/>
        <v>start /low /b %USERPROFILE%\Documents\GitHub\eaglep3\Utilities\DownloadLogsFromS3.py --loco 4045 --day 2017-03-17</v>
      </c>
      <c r="AF14" s="1"/>
    </row>
    <row r="15" spans="1:32" x14ac:dyDescent="0.25">
      <c r="A15" s="32">
        <v>42810.394432870373</v>
      </c>
      <c r="B15" s="30" t="s">
        <v>522</v>
      </c>
      <c r="C15" s="30" t="s">
        <v>607</v>
      </c>
      <c r="D15" s="30" t="s">
        <v>49</v>
      </c>
      <c r="E15" s="30" t="s">
        <v>193</v>
      </c>
      <c r="F15" s="43">
        <v>410</v>
      </c>
      <c r="G15" s="43">
        <v>485</v>
      </c>
      <c r="H15" s="43">
        <v>57876</v>
      </c>
      <c r="I15" s="43">
        <v>58999</v>
      </c>
      <c r="J15" s="30" t="s">
        <v>194</v>
      </c>
      <c r="K15" s="43">
        <v>58783</v>
      </c>
      <c r="L15" s="143" t="s">
        <v>50</v>
      </c>
      <c r="M15" s="144">
        <f t="shared" si="0"/>
        <v>-114.048</v>
      </c>
      <c r="N15" s="145" t="str">
        <f>VLOOKUP(C15,'Trips&amp;Operators'!$C$1:$G$99999,5,FALSE)</f>
        <v>YANAI IAN</v>
      </c>
      <c r="O15" s="194" t="s">
        <v>185</v>
      </c>
      <c r="P15" s="146" t="s">
        <v>589</v>
      </c>
      <c r="Q15" s="30"/>
      <c r="R15" s="89" t="str">
        <f>IF(VLOOKUP(C15,'Train Runs'!$A$13:$AE$9950,1,1)=C15,VLOOKUP(C15,'Train Runs'!$A$13:$AE$9950,31,1),NA())</f>
        <v>aws s3 cp s3://rtdc.mdm.uploadarchive.raw/RTDC4002/ "%USERPROFILE%\AppData\Local\Temp\OnboardLogs"\RTDC4002\2017-03-16 --exclude "*" --recursive --include "*20170316*" &amp; "%USERPROFILE%\Documents\GitHub\mrs-test-scripts\Headless Mode &amp; Sideloading\WalkAndUnGZ.bat" "%USERPROFILE%\AppData\Local\Temp\OnboardLogs"\RTDC4002\2017-03-16 &amp; aws s3 cp s3://rtdc.mdm.uploadarchive.raw/RTDC4002/ "%USERPROFILE%\AppData\Local\Temp\OnboardLogs"\RTDC4002\2017-03-17 --exclude "*" --recursive --include "*20170317*" &amp; "%USERPROFILE%\Documents\GitHub\mrs-test-scripts\Headless Mode &amp; Sideloading\WalkAndUnGZ.bat" "%USERPROFILE%\AppData\Local\Temp\OnboardLogs"\RTDC4002\2017-03-17</v>
      </c>
      <c r="S15" s="92" t="str">
        <f>VLOOKUP(C15,'Train Runs'!$A$13:$AE$9950,22,0)</f>
        <v>https://d0f6bd738d7f1b3e5a7ca70fe4ff75f0.us-east-1.aws.found.io/app/kibana#/discover/Steve-Slow-Train-Analysis-(2080s-and-2083s)?_g=(refreshInterval:(display:Off,pause:!f,section:0,value:0),time:(from:'2017-03-16T08:08:57-0600',mode:absolute,to:'2017-03-16T10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94" t="str">
        <f t="shared" si="1"/>
        <v>"C:\Program Files (x86)\AstroGrep\AstroGrep.exe" /e /r /s /spath="%USERPROFILE%\AppData\Local\Temp\OnboardLogs" /stypes="*4002*201703161*" /stext=" 15:.+((SYSTEM_STATE.+slice.+state.+changed )|(ment ac)|(multiple cpu faults)|(system.+state.+changed )|(\[timeout)|(PRM\|1\|D)|(kpr)|(kdp)|(\|lc)|(penalty))"</v>
      </c>
      <c r="U15" s="9" t="str">
        <f t="shared" si="2"/>
        <v>4002</v>
      </c>
      <c r="V15" s="32">
        <f t="shared" si="3"/>
        <v>42810.644432870373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arrival","project_id":79,"tracker_id":40,"status_id":1,"priority_id":2,"assigned_to_id":23,"start_date":"2017-03-16","description":"","custom_fields":[{"id":1,"name":"Subdivision","value":"EC"},{"id":4,"name":"Milepost","value":"5.8783"},{"id":17,"name":"Train ID","value":"145-16"},{"id":16,"name":"Locomotive ID","value":"4002"},{"id":130,"name":"Impact","value":""},{"id":150,"name":"Time of Event (Mountain Time)","value":"09:27:59"},{"id":151,"name":"Denver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"%USERPROFILE%\AppData\Local\Temp\OnboardLogs"\RTDC4002\*4002*201703161*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"%USERPROFILE%\AppData\Local\Temp\OnboardLogs"\RTDC4002\*4002*201703161* &gt;&gt; 2017-03-16-SliceDisagreementCheck.txt</v>
      </c>
      <c r="AE15" s="157" t="str">
        <f t="shared" si="9"/>
        <v>start /low /b %USERPROFILE%\Documents\GitHub\eaglep3\Utilities\DownloadLogsFromS3.py --loco 4002 --day 2017-03-16</v>
      </c>
      <c r="AF15" s="1"/>
    </row>
    <row r="16" spans="1:32" x14ac:dyDescent="0.25">
      <c r="A16" s="32">
        <v>42810.842511574076</v>
      </c>
      <c r="B16" s="30" t="s">
        <v>467</v>
      </c>
      <c r="C16" s="30" t="s">
        <v>635</v>
      </c>
      <c r="D16" s="30" t="s">
        <v>49</v>
      </c>
      <c r="E16" s="30" t="s">
        <v>193</v>
      </c>
      <c r="F16" s="43">
        <v>0</v>
      </c>
      <c r="G16" s="43">
        <v>402</v>
      </c>
      <c r="H16" s="43">
        <v>62640</v>
      </c>
      <c r="I16" s="43">
        <v>63502</v>
      </c>
      <c r="J16" s="30" t="s">
        <v>194</v>
      </c>
      <c r="K16" s="43">
        <v>63069</v>
      </c>
      <c r="L16" s="143" t="s">
        <v>50</v>
      </c>
      <c r="M16" s="144">
        <f t="shared" si="0"/>
        <v>-228.624</v>
      </c>
      <c r="N16" s="145" t="str">
        <f>VLOOKUP(C16,'Trips&amp;Operators'!$C$1:$G$99999,5,FALSE)</f>
        <v>BROWN JACOB</v>
      </c>
      <c r="O16" s="194" t="s">
        <v>185</v>
      </c>
      <c r="P16" s="146" t="s">
        <v>589</v>
      </c>
      <c r="Q16" s="30"/>
      <c r="R16" s="89" t="str">
        <f>IF(VLOOKUP(C16,'Train Runs'!$A$13:$AE$9950,1,1)=C16,VLOOKUP(C16,'Train Runs'!$A$13:$AE$9950,31,1),NA())</f>
        <v>aws s3 cp s3://rtdc.mdm.uploadarchive.raw/RTDC4031/ "%USERPROFILE%\AppData\Local\Temp\OnboardLogs"\RTDC4031\2017-03-16 --exclude "*" --recursive --include "*20170316*" &amp; "%USERPROFILE%\Documents\GitHub\mrs-test-scripts\Headless Mode &amp; Sideloading\WalkAndUnGZ.bat" "%USERPROFILE%\AppData\Local\Temp\OnboardLogs"\RTDC4031\2017-03-16 &amp; aws s3 cp s3://rtdc.mdm.uploadarchive.raw/RTDC4031/ "%USERPROFILE%\AppData\Local\Temp\OnboardLogs"\RTDC4031\2017-03-17 --exclude "*" --recursive --include "*20170317*" &amp; "%USERPROFILE%\Documents\GitHub\mrs-test-scripts\Headless Mode &amp; Sideloading\WalkAndUnGZ.bat" "%USERPROFILE%\AppData\Local\Temp\OnboardLogs"\RTDC4031\2017-03-17</v>
      </c>
      <c r="S16" s="92" t="str">
        <f>VLOOKUP(C16,'Train Runs'!$A$13:$AE$9950,22,0)</f>
        <v>https://d0f6bd738d7f1b3e5a7ca70fe4ff75f0.us-east-1.aws.found.io/app/kibana#/discover/Steve-Slow-Train-Analysis-(2080s-and-2083s)?_g=(refreshInterval:(display:Off,pause:!f,section:0,value:0),time:(from:'2017-03-16T18:57:12-0600',mode:absolute,to:'2017-03-16T21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94" t="str">
        <f t="shared" si="1"/>
        <v>"C:\Program Files (x86)\AstroGrep\AstroGrep.exe" /e /r /s /spath="%USERPROFILE%\AppData\Local\Temp\OnboardLogs" /stypes="*4031*201703170*" /stext=" 02:.+((SYSTEM_STATE.+slice.+state.+changed )|(ment ac)|(multiple cpu faults)|(system.+state.+changed )|(\[timeout)|(PRM\|1\|D)|(kpr)|(kdp)|(\|lc)|(penalty))"</v>
      </c>
      <c r="U16" s="9" t="str">
        <f t="shared" si="2"/>
        <v>4031</v>
      </c>
      <c r="V16" s="32">
        <f t="shared" si="3"/>
        <v>42811.092511574076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arrival","project_id":79,"tracker_id":40,"status_id":1,"priority_id":2,"assigned_to_id":23,"start_date":"2017-03-16","description":"","custom_fields":[{"id":1,"name":"Subdivision","value":"EC"},{"id":4,"name":"Milepost","value":"6.3069"},{"id":17,"name":"Train ID","value":"225-16"},{"id":16,"name":"Locomotive ID","value":"4031"},{"id":130,"name":"Impact","value":""},{"id":150,"name":"Time of Event (Mountain Time)","value":"20:13:13"},{"id":151,"name":"Denver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"%USERPROFILE%\AppData\Local\Temp\OnboardLogs"\RTDC4031\*4031*201703170*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"%USERPROFILE%\AppData\Local\Temp\OnboardLogs"\RTDC4031\*4031*201703170* &gt;&gt; 2017-03-16-SliceDisagreementCheck.txt</v>
      </c>
      <c r="AE16" s="157" t="str">
        <f t="shared" si="9"/>
        <v>start /low /b %USERPROFILE%\Documents\GitHub\eaglep3\Utilities\DownloadLogsFromS3.py --loco 4031 --day 2017-03-17</v>
      </c>
      <c r="AF16" s="1"/>
    </row>
    <row r="17" spans="1:32" x14ac:dyDescent="0.25">
      <c r="A17" s="32">
        <v>42810.431111111109</v>
      </c>
      <c r="B17" s="30" t="s">
        <v>202</v>
      </c>
      <c r="C17" s="30" t="s">
        <v>609</v>
      </c>
      <c r="D17" s="30" t="s">
        <v>49</v>
      </c>
      <c r="E17" s="30" t="s">
        <v>193</v>
      </c>
      <c r="F17" s="43">
        <v>80</v>
      </c>
      <c r="G17" s="43">
        <v>143</v>
      </c>
      <c r="H17" s="43">
        <v>64019</v>
      </c>
      <c r="I17" s="43">
        <v>63808</v>
      </c>
      <c r="J17" s="30" t="s">
        <v>194</v>
      </c>
      <c r="K17" s="43">
        <v>63309</v>
      </c>
      <c r="L17" s="143" t="s">
        <v>51</v>
      </c>
      <c r="M17" s="144">
        <f t="shared" si="0"/>
        <v>263.47199999999998</v>
      </c>
      <c r="N17" s="145" t="str">
        <f>VLOOKUP(C17,'Trips&amp;Operators'!$C$1:$G$99999,5,FALSE)</f>
        <v>STARKS ANGELINA</v>
      </c>
      <c r="O17" s="194" t="s">
        <v>185</v>
      </c>
      <c r="P17" s="146" t="s">
        <v>589</v>
      </c>
      <c r="Q17" s="30"/>
      <c r="R17" s="89" t="str">
        <f>IF(VLOOKUP(C17,'Train Runs'!$A$13:$AE$9950,1,1)=C17,VLOOKUP(C17,'Train Runs'!$A$13:$AE$9950,31,1),NA())</f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S17" s="92" t="str">
        <f>VLOOKUP(C17,'Train Runs'!$A$13:$AE$9950,22,0)</f>
        <v>https://d0f6bd738d7f1b3e5a7ca70fe4ff75f0.us-east-1.aws.found.io/app/kibana#/discover/Steve-Slow-Train-Analysis-(2080s-and-2083s)?_g=(refreshInterval:(display:Off,pause:!f,section:0,value:0),time:(from:'2017-03-16T08:54:06-0600',mode:absolute,to:'2017-03-16T11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7" s="94" t="str">
        <f t="shared" si="1"/>
        <v>"C:\Program Files (x86)\AstroGrep\AstroGrep.exe" /e /r /s /spath="%USERPROFILE%\AppData\Local\Temp\OnboardLogs" /stypes="*4030*201703161*" /stext=" 16:.+((SYSTEM_STATE.+slice.+state.+changed )|(ment ac)|(multiple cpu faults)|(system.+state.+changed )|(\[timeout)|(PRM\|1\|D)|(kpr)|(kdp)|(\|lc)|(penalty))"</v>
      </c>
      <c r="U17" s="9" t="str">
        <f t="shared" si="2"/>
        <v>4030</v>
      </c>
      <c r="V17" s="32">
        <f t="shared" si="3"/>
        <v>42810.681111111109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arrival","project_id":79,"tracker_id":40,"status_id":1,"priority_id":2,"assigned_to_id":23,"start_date":"2017-03-16","description":"","custom_fields":[{"id":1,"name":"Subdivision","value":"EC"},{"id":4,"name":"Milepost","value":"6.3309"},{"id":17,"name":"Train ID","value":"144-16"},{"id":16,"name":"Locomotive ID","value":"4030"},{"id":130,"name":"Impact","value":""},{"id":150,"name":"Time of Event (Mountain Time)","value":"10:20:48"},{"id":151,"name":"Denver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"%USERPROFILE%\AppData\Local\Temp\OnboardLogs"\RTDC4030\*4030*201703161*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"%USERPROFILE%\AppData\Local\Temp\OnboardLogs"\RTDC4030\*4030*201703161* &gt;&gt; 2017-03-16-SliceDisagreementCheck.txt</v>
      </c>
      <c r="AE17" s="157" t="str">
        <f t="shared" si="9"/>
        <v>start /low /b %USERPROFILE%\Documents\GitHub\eaglep3\Utilities\DownloadLogsFromS3.py --loco 4030 --day 2017-03-16</v>
      </c>
      <c r="AF17" s="1"/>
    </row>
    <row r="18" spans="1:32" ht="15" customHeight="1" x14ac:dyDescent="0.25">
      <c r="A18" s="32">
        <v>42810.358518518522</v>
      </c>
      <c r="B18" s="30" t="s">
        <v>202</v>
      </c>
      <c r="C18" s="30" t="s">
        <v>603</v>
      </c>
      <c r="D18" s="30" t="s">
        <v>49</v>
      </c>
      <c r="E18" s="30" t="s">
        <v>193</v>
      </c>
      <c r="F18" s="43">
        <v>100</v>
      </c>
      <c r="G18" s="43">
        <v>162</v>
      </c>
      <c r="H18" s="43">
        <v>63993</v>
      </c>
      <c r="I18" s="43">
        <v>63727</v>
      </c>
      <c r="J18" s="30" t="s">
        <v>194</v>
      </c>
      <c r="K18" s="43">
        <v>63309</v>
      </c>
      <c r="L18" s="143" t="s">
        <v>51</v>
      </c>
      <c r="M18" s="144">
        <f t="shared" si="0"/>
        <v>220.70400000000001</v>
      </c>
      <c r="N18" s="145" t="str">
        <f>VLOOKUP(C18,'Trips&amp;Operators'!$C$1:$G$99999,5,FALSE)</f>
        <v>STARKS ANGELINA</v>
      </c>
      <c r="O18" s="194" t="s">
        <v>185</v>
      </c>
      <c r="P18" s="146" t="s">
        <v>589</v>
      </c>
      <c r="Q18" s="30"/>
      <c r="R18" s="89" t="str">
        <f>IF(VLOOKUP(C18,'Train Runs'!$A$13:$AE$9950,1,1)=C18,VLOOKUP(C18,'Train Runs'!$A$13:$AE$9950,31,1),NA())</f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S18" s="92" t="str">
        <f>VLOOKUP(C18,'Train Runs'!$A$13:$AE$9950,22,0)</f>
        <v>https://d0f6bd738d7f1b3e5a7ca70fe4ff75f0.us-east-1.aws.found.io/app/kibana#/discover/Steve-Slow-Train-Analysis-(2080s-and-2083s)?_g=(refreshInterval:(display:Off,pause:!f,section:0,value:0),time:(from:'2017-03-16T07:05:47-0600',mode:absolute,to:'2017-03-16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94" t="str">
        <f t="shared" si="1"/>
        <v>"C:\Program Files (x86)\AstroGrep\AstroGrep.exe" /e /r /s /spath="%USERPROFILE%\AppData\Local\Temp\OnboardLogs" /stypes="*4030*201703161*" /stext=" 14:.+((SYSTEM_STATE.+slice.+state.+changed )|(ment ac)|(multiple cpu faults)|(system.+state.+changed )|(\[timeout)|(PRM\|1\|D)|(kpr)|(kdp)|(\|lc)|(penalty))"</v>
      </c>
      <c r="U18" s="9" t="str">
        <f t="shared" si="2"/>
        <v>4030</v>
      </c>
      <c r="V18" s="32">
        <f t="shared" si="3"/>
        <v>42810.608518518522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arrival","project_id":79,"tracker_id":40,"status_id":1,"priority_id":2,"assigned_to_id":23,"start_date":"2017-03-16","description":"","custom_fields":[{"id":1,"name":"Subdivision","value":"EC"},{"id":4,"name":"Milepost","value":"6.3309"},{"id":17,"name":"Train ID","value":"130-16"},{"id":16,"name":"Locomotive ID","value":"4030"},{"id":130,"name":"Impact","value":""},{"id":150,"name":"Time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"%USERPROFILE%\AppData\Local\Temp\OnboardLogs"\RTDC4030\*4030*201703161*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"%USERPROFILE%\AppData\Local\Temp\OnboardLogs"\RTDC4030\*4030*201703161* &gt;&gt; 2017-03-16-SliceDisagreementCheck.txt</v>
      </c>
      <c r="AE18" s="157" t="str">
        <f t="shared" si="9"/>
        <v>start /low /b %USERPROFILE%\Documents\GitHub\eaglep3\Utilities\DownloadLogsFromS3.py --loco 4030 --day 2017-03-16</v>
      </c>
      <c r="AF18" s="1"/>
    </row>
    <row r="19" spans="1:32" x14ac:dyDescent="0.25">
      <c r="A19" s="32">
        <v>42810.395752314813</v>
      </c>
      <c r="B19" s="30" t="s">
        <v>421</v>
      </c>
      <c r="C19" s="30" t="s">
        <v>608</v>
      </c>
      <c r="D19" s="30" t="s">
        <v>49</v>
      </c>
      <c r="E19" s="30" t="s">
        <v>193</v>
      </c>
      <c r="F19" s="43">
        <v>0</v>
      </c>
      <c r="G19" s="43">
        <v>373</v>
      </c>
      <c r="H19" s="43">
        <v>109337</v>
      </c>
      <c r="I19" s="43">
        <v>108833</v>
      </c>
      <c r="J19" s="30" t="s">
        <v>194</v>
      </c>
      <c r="K19" s="43">
        <v>109135</v>
      </c>
      <c r="L19" s="143" t="s">
        <v>51</v>
      </c>
      <c r="M19" s="144">
        <f t="shared" si="0"/>
        <v>-159.45599999999999</v>
      </c>
      <c r="N19" s="145" t="str">
        <f>VLOOKUP(C19,'Trips&amp;Operators'!$C$1:$G$99999,5,FALSE)</f>
        <v>SULLIVAN BRANDON</v>
      </c>
      <c r="O19" s="194" t="s">
        <v>185</v>
      </c>
      <c r="P19" s="146" t="s">
        <v>589</v>
      </c>
      <c r="Q19" s="30"/>
      <c r="R19" s="89" t="str">
        <f>IF(VLOOKUP(C19,'Train Runs'!$A$13:$AE$9950,1,1)=C19,VLOOKUP(C19,'Train Runs'!$A$13:$AE$9950,31,1),NA())</f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S19" s="92" t="str">
        <f>VLOOKUP(C19,'Train Runs'!$A$13:$AE$9950,22,0)</f>
        <v>https://d0f6bd738d7f1b3e5a7ca70fe4ff75f0.us-east-1.aws.found.io/app/kibana#/discover/Steve-Slow-Train-Analysis-(2080s-and-2083s)?_g=(refreshInterval:(display:Off,pause:!f,section:0,value:0),time:(from:'2017-03-16T07:56:44-0600',mode:absolute,to:'2017-03-16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9" s="94" t="str">
        <f t="shared" si="1"/>
        <v>"C:\Program Files (x86)\AstroGrep\AstroGrep.exe" /e /r /s /spath="%USERPROFILE%\AppData\Local\Temp\OnboardLogs" /stypes="*4039*201703161*" /stext=" 15:.+((SYSTEM_STATE.+slice.+state.+changed )|(ment ac)|(multiple cpu faults)|(system.+state.+changed )|(\[timeout)|(PRM\|1\|D)|(kpr)|(kdp)|(\|lc)|(penalty))"</v>
      </c>
      <c r="U19" s="9" t="str">
        <f t="shared" si="2"/>
        <v>4039</v>
      </c>
      <c r="V19" s="32">
        <f t="shared" si="3"/>
        <v>42810.645752314813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arrival","project_id":79,"tracker_id":40,"status_id":1,"priority_id":2,"assigned_to_id":23,"start_date":"2017-03-16","description":"","custom_fields":[{"id":1,"name":"Subdivision","value":"EC"},{"id":4,"name":"Milepost","value":"10.9135"},{"id":17,"name":"Train ID","value":"138-16"},{"id":16,"name":"Locomotive ID","value":"4039"},{"id":130,"name":"Impact","value":""},{"id":150,"name":"Time of Event (Mountain Time)","value":"09:29:53"},{"id":151,"name":"Denver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"%USERPROFILE%\AppData\Local\Temp\OnboardLogs"\RTDC4039\*4039*201703161*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"%USERPROFILE%\AppData\Local\Temp\OnboardLogs"\RTDC4039\*4039*201703161* &gt;&gt; 2017-03-16-SliceDisagreementCheck.txt</v>
      </c>
      <c r="AE19" s="157" t="str">
        <f t="shared" si="9"/>
        <v>start /low /b %USERPROFILE%\Documents\GitHub\eaglep3\Utilities\DownloadLogsFromS3.py --loco 4039 --day 2017-03-16</v>
      </c>
      <c r="AF19" s="1"/>
    </row>
    <row r="20" spans="1:32" x14ac:dyDescent="0.25">
      <c r="A20" s="32">
        <v>42810.207453703704</v>
      </c>
      <c r="B20" s="30" t="s">
        <v>515</v>
      </c>
      <c r="C20" s="30" t="s">
        <v>593</v>
      </c>
      <c r="D20" s="30" t="s">
        <v>49</v>
      </c>
      <c r="E20" s="30" t="s">
        <v>193</v>
      </c>
      <c r="F20" s="43">
        <v>340</v>
      </c>
      <c r="G20" s="43">
        <v>390</v>
      </c>
      <c r="H20" s="43">
        <v>109616</v>
      </c>
      <c r="I20" s="43">
        <v>108999</v>
      </c>
      <c r="J20" s="30" t="s">
        <v>194</v>
      </c>
      <c r="K20" s="43">
        <v>109135</v>
      </c>
      <c r="L20" s="143" t="s">
        <v>51</v>
      </c>
      <c r="M20" s="144">
        <f t="shared" si="0"/>
        <v>-71.808000000000007</v>
      </c>
      <c r="N20" s="145" t="str">
        <f>VLOOKUP(C20,'Trips&amp;Operators'!$C$1:$G$99999,5,FALSE)</f>
        <v>YANAI IAN</v>
      </c>
      <c r="O20" s="194" t="s">
        <v>185</v>
      </c>
      <c r="P20" s="146" t="s">
        <v>589</v>
      </c>
      <c r="Q20" s="30"/>
      <c r="R20" s="89" t="str">
        <f>IF(VLOOKUP(C20,'Train Runs'!$A$13:$AE$9950,1,1)=C20,VLOOKUP(C20,'Train Runs'!$A$13:$AE$9950,31,1),NA())</f>
        <v>aws s3 cp s3://rtdc.mdm.uploadarchive.raw/RTDC4001/ "%USERPROFILE%\AppData\Local\Temp\OnboardLogs"\RTDC4001\2017-03-16 --exclude "*" --recursive --include "*20170316*" &amp; "%USERPROFILE%\Documents\GitHub\mrs-test-scripts\Headless Mode &amp; Sideloading\WalkAndUnGZ.bat" "%USERPROFILE%\AppData\Local\Temp\OnboardLogs"\RTDC4001\2017-03-16 &amp; aws s3 cp s3://rtdc.mdm.uploadarchive.raw/RTDC4001/ "%USERPROFILE%\AppData\Local\Temp\OnboardLogs"\RTDC4001\2017-03-17 --exclude "*" --recursive --include "*20170317*" &amp; "%USERPROFILE%\Documents\GitHub\mrs-test-scripts\Headless Mode &amp; Sideloading\WalkAndUnGZ.bat" "%USERPROFILE%\AppData\Local\Temp\OnboardLogs"\RTDC4001\2017-03-17</v>
      </c>
      <c r="S20" s="92" t="str">
        <f>VLOOKUP(C20,'Train Runs'!$A$13:$AE$9950,22,0)</f>
        <v>https://d0f6bd738d7f1b3e5a7ca70fe4ff75f0.us-east-1.aws.found.io/app/kibana#/discover/Steve-Slow-Train-Analysis-(2080s-and-2083s)?_g=(refreshInterval:(display:Off,pause:!f,section:0,value:0),time:(from:'2017-03-16T03:31:53-0600',mode:absolute,to:'2017-03-16T06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94" t="str">
        <f t="shared" si="1"/>
        <v>"C:\Program Files (x86)\AstroGrep\AstroGrep.exe" /e /r /s /spath="%USERPROFILE%\AppData\Local\Temp\OnboardLogs" /stypes="*4001*201703161*" /stext=" 10:.+((SYSTEM_STATE.+slice.+state.+changed )|(ment ac)|(multiple cpu faults)|(system.+state.+changed )|(\[timeout)|(PRM\|1\|D)|(kpr)|(kdp)|(\|lc)|(penalty))"</v>
      </c>
      <c r="U20" s="9" t="str">
        <f t="shared" si="2"/>
        <v>4001</v>
      </c>
      <c r="V20" s="32">
        <f t="shared" si="3"/>
        <v>42810.457453703704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arrival","project_id":79,"tracker_id":40,"status_id":1,"priority_id":2,"assigned_to_id":23,"start_date":"2017-03-16","description":"","custom_fields":[{"id":1,"name":"Subdivision","value":"EC"},{"id":4,"name":"Milepost","value":"10.9135"},{"id":17,"name":"Train ID","value":"104-16"},{"id":16,"name":"Locomotive ID","value":"4001"},{"id":130,"name":"Impact","value":""},{"id":150,"name":"Time of Event (Mountain Time)","value":"04:58:44"},{"id":151,"name":"Denver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"%USERPROFILE%\AppData\Local\Temp\OnboardLogs"\RTDC4001\*4001*201703161*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"%USERPROFILE%\AppData\Local\Temp\OnboardLogs"\RTDC4001\*4001*201703161* &gt;&gt; 2017-03-16-SliceDisagreementCheck.txt</v>
      </c>
      <c r="AE20" s="157" t="str">
        <f t="shared" si="9"/>
        <v>start /low /b %USERPROFILE%\Documents\GitHub\eaglep3\Utilities\DownloadLogsFromS3.py --loco 4001 --day 2017-03-16</v>
      </c>
      <c r="AF20" s="1"/>
    </row>
    <row r="21" spans="1:32" x14ac:dyDescent="0.25">
      <c r="A21" s="32">
        <v>42810.822291666664</v>
      </c>
      <c r="B21" s="30" t="s">
        <v>470</v>
      </c>
      <c r="C21" s="30" t="s">
        <v>634</v>
      </c>
      <c r="D21" s="30" t="s">
        <v>49</v>
      </c>
      <c r="E21" s="30" t="s">
        <v>193</v>
      </c>
      <c r="F21" s="43">
        <v>350</v>
      </c>
      <c r="G21" s="43">
        <v>403</v>
      </c>
      <c r="H21" s="43">
        <v>110096</v>
      </c>
      <c r="I21" s="43">
        <v>108915</v>
      </c>
      <c r="J21" s="30" t="s">
        <v>194</v>
      </c>
      <c r="K21" s="43">
        <v>109135</v>
      </c>
      <c r="L21" s="143" t="s">
        <v>51</v>
      </c>
      <c r="M21" s="144">
        <f t="shared" si="0"/>
        <v>-116.16</v>
      </c>
      <c r="N21" s="145" t="str">
        <f>VLOOKUP(C21,'Trips&amp;Operators'!$C$1:$G$99999,5,FALSE)</f>
        <v>SWANSON BRYCE</v>
      </c>
      <c r="O21" s="194" t="s">
        <v>185</v>
      </c>
      <c r="P21" s="146" t="s">
        <v>589</v>
      </c>
      <c r="Q21" s="30"/>
      <c r="R21" s="89" t="str">
        <f>IF(VLOOKUP(C21,'Train Runs'!$A$13:$AE$9950,1,1)=C21,VLOOKUP(C21,'Train Runs'!$A$13:$AE$9950,31,1),NA())</f>
        <v>aws s3 cp s3://rtdc.mdm.uploadarchive.raw/RTDC4026/ "%USERPROFILE%\AppData\Local\Temp\OnboardLogs"\RTDC4026\2017-03-16 --exclude "*" --recursive --include "*20170316*" &amp; "%USERPROFILE%\Documents\GitHub\mrs-test-scripts\Headless Mode &amp; Sideloading\WalkAndUnGZ.bat" "%USERPROFILE%\AppData\Local\Temp\OnboardLogs"\RTDC4026\2017-03-16 &amp; aws s3 cp s3://rtdc.mdm.uploadarchive.raw/RTDC4026/ "%USERPROFILE%\AppData\Local\Temp\OnboardLogs"\RTDC4026\2017-03-17 --exclude "*" --recursive --include "*20170317*" &amp; "%USERPROFILE%\Documents\GitHub\mrs-test-scripts\Headless Mode &amp; Sideloading\WalkAndUnGZ.bat" "%USERPROFILE%\AppData\Local\Temp\OnboardLogs"\RTDC4026\2017-03-17</v>
      </c>
      <c r="S21" s="92" t="str">
        <f>VLOOKUP(C21,'Train Runs'!$A$13:$AE$9950,22,0)</f>
        <v>https://d0f6bd738d7f1b3e5a7ca70fe4ff75f0.us-east-1.aws.found.io/app/kibana#/discover/Steve-Slow-Train-Analysis-(2080s-and-2083s)?_g=(refreshInterval:(display:Off,pause:!f,section:0,value:0),time:(from:'2017-03-16T18:10:30-0600',mode:absolute,to:'2017-03-16T21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94" t="str">
        <f t="shared" si="1"/>
        <v>"C:\Program Files (x86)\AstroGrep\AstroGrep.exe" /e /r /s /spath="%USERPROFILE%\AppData\Local\Temp\OnboardLogs" /stypes="*4026*201703170*" /stext=" 01:.+((SYSTEM_STATE.+slice.+state.+changed )|(ment ac)|(multiple cpu faults)|(system.+state.+changed )|(\[timeout)|(PRM\|1\|D)|(kpr)|(kdp)|(\|lc)|(penalty))"</v>
      </c>
      <c r="U21" s="9" t="str">
        <f t="shared" si="2"/>
        <v>4026</v>
      </c>
      <c r="V21" s="32">
        <f t="shared" si="3"/>
        <v>42811.072291666664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arrival","project_id":79,"tracker_id":40,"status_id":1,"priority_id":2,"assigned_to_id":23,"start_date":"2017-03-16","description":"","custom_fields":[{"id":1,"name":"Subdivision","value":"EC"},{"id":4,"name":"Milepost","value":"10.9135"},{"id":17,"name":"Train ID","value":"220-16"},{"id":16,"name":"Locomotive ID","value":"4026"},{"id":130,"name":"Impact","value":""},{"id":150,"name":"Time of Event (Mountain Time)","value":"19:44:06"},{"id":151,"name":"Denver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"%USERPROFILE%\AppData\Local\Temp\OnboardLogs"\RTDC4026\*4026*201703170*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"%USERPROFILE%\AppData\Local\Temp\OnboardLogs"\RTDC4026\*4026*201703170* &gt;&gt; 2017-03-16-SliceDisagreementCheck.txt</v>
      </c>
      <c r="AE21" s="157" t="str">
        <f t="shared" si="9"/>
        <v>start /low /b %USERPROFILE%\Documents\GitHub\eaglep3\Utilities\DownloadLogsFromS3.py --loco 4026 --day 2017-03-17</v>
      </c>
      <c r="AF21" s="1"/>
    </row>
    <row r="22" spans="1:32" x14ac:dyDescent="0.25">
      <c r="A22" s="32">
        <v>42810.453229166669</v>
      </c>
      <c r="B22" s="30" t="s">
        <v>379</v>
      </c>
      <c r="C22" s="30" t="s">
        <v>610</v>
      </c>
      <c r="D22" s="30" t="s">
        <v>49</v>
      </c>
      <c r="E22" s="30" t="s">
        <v>224</v>
      </c>
      <c r="F22" s="43">
        <v>200</v>
      </c>
      <c r="G22" s="43">
        <v>495</v>
      </c>
      <c r="H22" s="43">
        <v>24410</v>
      </c>
      <c r="I22" s="43">
        <v>25861</v>
      </c>
      <c r="J22" s="30" t="s">
        <v>225</v>
      </c>
      <c r="K22" s="43">
        <v>27333</v>
      </c>
      <c r="L22" s="143" t="s">
        <v>50</v>
      </c>
      <c r="M22" s="144">
        <f t="shared" si="0"/>
        <v>777.21600000000001</v>
      </c>
      <c r="N22" s="145" t="str">
        <f>VLOOKUP(C22,'Trips&amp;Operators'!$C$1:$G$99999,5,FALSE)</f>
        <v>STARKS ANGELINA</v>
      </c>
      <c r="O22" s="194" t="s">
        <v>185</v>
      </c>
      <c r="P22" s="146"/>
      <c r="Q22" s="30"/>
      <c r="R22" s="89" t="str">
        <f>IF(VLOOKUP(C22,'Train Runs'!$A$13:$AE$9950,1,1)=C22,VLOOKUP(C22,'Train Runs'!$A$13:$AE$9950,31,1),NA())</f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S22" s="92" t="str">
        <f>VLOOKUP(C22,'Train Runs'!$A$13:$AE$9950,22,0)</f>
        <v>https://d0f6bd738d7f1b3e5a7ca70fe4ff75f0.us-east-1.aws.found.io/app/kibana#/discover/Steve-Slow-Train-Analysis-(2080s-and-2083s)?_g=(refreshInterval:(display:Off,pause:!f,section:0,value:0),time:(from:'2017-03-16T09:40:19-0600',mode:absolute,to:'2017-03-16T12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94" t="str">
        <f t="shared" si="1"/>
        <v>"C:\Program Files (x86)\AstroGrep\AstroGrep.exe" /e /r /s /spath="%USERPROFILE%\AppData\Local\Temp\OnboardLogs" /stypes="*4029*201703161*" /stext=" 16:.+((SYSTEM_STATE.+slice.+state.+changed )|(ment ac)|(multiple cpu faults)|(system.+state.+changed )|(\[timeout)|(PRM\|1\|D)|(kpr)|(kdp)|(\|lc)|(penalty))"</v>
      </c>
      <c r="U22" s="9" t="str">
        <f t="shared" si="2"/>
        <v>4029</v>
      </c>
      <c r="V22" s="32">
        <f t="shared" si="3"/>
        <v>42810.703229166669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{"issue":{"subject":"","project_id":79,"tracker_id":40,"status_id":1,"priority_id":2,"assigned_to_id":23,"start_date":"2017-03-16","description":"","custom_fields":[{"id":1,"name":"Subdivision","value":"EC"},{"id":4,"name":"Milepost","value":"2.7333"},{"id":17,"name":"Train ID","value":"157-16"},{"id":16,"name":"Locomotive ID","value":"4029"},{"id":130,"name":"Impact","value":""},{"id":150,"name":"Time of Event (Mountain Time)","value":"10:52:39"},{"id":151,"name":"Denver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"%USERPROFILE%\AppData\Local\Temp\OnboardLogs"\RTDC4029\*4029*201703161*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"%USERPROFILE%\AppData\Local\Temp\OnboardLogs"\RTDC4029\*4029*201703161* &gt;&gt; 2017-03-16-SliceDisagreementCheck.txt</v>
      </c>
      <c r="AE22" s="157" t="str">
        <f t="shared" si="9"/>
        <v>start /low /b %USERPROFILE%\Documents\GitHub\eaglep3\Utilities\DownloadLogsFromS3.py --loco 4029 --day 2017-03-16</v>
      </c>
      <c r="AF22" s="1"/>
    </row>
    <row r="23" spans="1:32" x14ac:dyDescent="0.25">
      <c r="A23" s="32">
        <v>42810.200706018521</v>
      </c>
      <c r="B23" s="30" t="s">
        <v>591</v>
      </c>
      <c r="C23" s="30" t="s">
        <v>592</v>
      </c>
      <c r="D23" s="30" t="s">
        <v>49</v>
      </c>
      <c r="E23" s="30" t="s">
        <v>224</v>
      </c>
      <c r="F23" s="43">
        <v>550</v>
      </c>
      <c r="G23" s="43">
        <v>765</v>
      </c>
      <c r="H23" s="43">
        <v>217554</v>
      </c>
      <c r="I23" s="43">
        <v>221224</v>
      </c>
      <c r="J23" s="30" t="s">
        <v>225</v>
      </c>
      <c r="K23" s="43">
        <v>222090</v>
      </c>
      <c r="L23" s="143" t="s">
        <v>50</v>
      </c>
      <c r="M23" s="144">
        <f t="shared" si="0"/>
        <v>457.24799999999999</v>
      </c>
      <c r="N23" s="145" t="str">
        <f>VLOOKUP(C23,'Trips&amp;Operators'!$C$1:$G$99999,5,FALSE)</f>
        <v>ROBINSON KADDIBA</v>
      </c>
      <c r="O23" s="194" t="s">
        <v>185</v>
      </c>
      <c r="P23" s="146"/>
      <c r="Q23" s="30"/>
      <c r="R23" s="89" t="str">
        <f>IF(VLOOKUP(C23,'Train Runs'!$A$13:$AE$9950,1,1)=C23,VLOOKUP(C23,'Train Runs'!$A$13:$AE$9950,31,1),NA())</f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S23" s="92" t="str">
        <f>VLOOKUP(C23,'Train Runs'!$A$13:$AE$9950,22,0)</f>
        <v>https://d0f6bd738d7f1b3e5a7ca70fe4ff75f0.us-east-1.aws.found.io/app/kibana#/discover/Steve-Slow-Train-Analysis-(2080s-and-2083s)?_g=(refreshInterval:(display:Off,pause:!f,section:0,value:0),time:(from:'2017-03-16T03:02:13-0600',mode:absolute,to:'2017-03-16T05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/e /r /s /spath="%USERPROFILE%\AppData\Local\Temp\OnboardLogs" /stypes="*4003*201703161*" /stext=" 10:.+((SYSTEM_STATE.+slice.+state.+changed )|(ment ac)|(multiple cpu faults)|(system.+state.+changed )|(\[timeout)|(PRM\|1\|D)|(kpr)|(kdp)|(\|lc)|(penalty))"</v>
      </c>
      <c r="U23" s="9" t="str">
        <f t="shared" si="2"/>
        <v>4003</v>
      </c>
      <c r="V23" s="32">
        <f t="shared" si="3"/>
        <v>42810.450706018521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{"issue":{"subject":"","project_id":79,"tracker_id":40,"status_id":1,"priority_id":2,"assigned_to_id":23,"start_date":"2017-03-16","description":"","custom_fields":[{"id":1,"name":"Subdivision","value":"EC"},{"id":4,"name":"Milepost","value":"22.209"},{"id":17,"name":"Train ID","value":"105-16"},{"id":16,"name":"Locomotive ID","value":"4003"},{"id":130,"name":"Impact","value":""},{"id":150,"name":"Time of Event (Mountain Time)","value":"04:49:01"},{"id":151,"name":"Denver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"%USERPROFILE%\AppData\Local\Temp\OnboardLogs"\RTDC4003\*4003*201703161*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"%USERPROFILE%\AppData\Local\Temp\OnboardLogs"\RTDC4003\*4003*201703161* &gt;&gt; 2017-03-16-SliceDisagreementCheck.txt</v>
      </c>
      <c r="AE23" s="157" t="str">
        <f t="shared" si="9"/>
        <v>start /low /b %USERPROFILE%\Documents\GitHub\eaglep3\Utilities\DownloadLogsFromS3.py --loco 4003 --day 2017-03-16</v>
      </c>
      <c r="AF23" s="1"/>
    </row>
    <row r="24" spans="1:32" x14ac:dyDescent="0.25">
      <c r="A24" s="32">
        <v>42810.345416666663</v>
      </c>
      <c r="B24" s="30" t="s">
        <v>591</v>
      </c>
      <c r="C24" s="30" t="s">
        <v>600</v>
      </c>
      <c r="D24" s="30" t="s">
        <v>49</v>
      </c>
      <c r="E24" s="30" t="s">
        <v>224</v>
      </c>
      <c r="F24" s="43">
        <v>550</v>
      </c>
      <c r="G24" s="43">
        <v>607</v>
      </c>
      <c r="H24" s="43">
        <v>219601</v>
      </c>
      <c r="I24" s="43">
        <v>221923</v>
      </c>
      <c r="J24" s="30" t="s">
        <v>225</v>
      </c>
      <c r="K24" s="43">
        <v>222090</v>
      </c>
      <c r="L24" s="143" t="s">
        <v>50</v>
      </c>
      <c r="M24" s="144">
        <f t="shared" si="0"/>
        <v>88.176000000000002</v>
      </c>
      <c r="N24" s="145" t="str">
        <f>VLOOKUP(C24,'Trips&amp;Operators'!$C$1:$G$99999,5,FALSE)</f>
        <v>ROBINSON KADDIBA</v>
      </c>
      <c r="O24" s="194" t="s">
        <v>185</v>
      </c>
      <c r="P24" s="146"/>
      <c r="Q24" s="30"/>
      <c r="R24" s="89" t="str">
        <f>IF(VLOOKUP(C24,'Train Runs'!$A$13:$AE$9950,1,1)=C24,VLOOKUP(C24,'Train Runs'!$A$13:$AE$9950,31,1),NA())</f>
        <v>aws s3 cp s3://rtdc.mdm.uploadarchive.raw/RTDC4003/ "%USERPROFILE%\AppData\Local\Temp\OnboardLogs"\RTDC4003\2017-03-16 --exclude "*" --recursive --include "*20170316*" &amp; "%USERPROFILE%\Documents\GitHub\mrs-test-scripts\Headless Mode &amp; Sideloading\WalkAndUnGZ.bat" "%USERPROFILE%\AppData\Local\Temp\OnboardLogs"\RTDC4003\2017-03-16 &amp; aws s3 cp s3://rtdc.mdm.uploadarchive.raw/RTDC4003/ "%USERPROFILE%\AppData\Local\Temp\OnboardLogs"\RTDC4003\2017-03-17 --exclude "*" --recursive --include "*20170317*" &amp; "%USERPROFILE%\Documents\GitHub\mrs-test-scripts\Headless Mode &amp; Sideloading\WalkAndUnGZ.bat" "%USERPROFILE%\AppData\Local\Temp\OnboardLogs"\RTDC4003\2017-03-17</v>
      </c>
      <c r="S24" s="92" t="str">
        <f>VLOOKUP(C24,'Train Runs'!$A$13:$AE$9950,22,0)</f>
        <v>https://d0f6bd738d7f1b3e5a7ca70fe4ff75f0.us-east-1.aws.found.io/app/kibana#/discover/Steve-Slow-Train-Analysis-(2080s-and-2083s)?_g=(refreshInterval:(display:Off,pause:!f,section:0,value:0),time:(from:'2017-03-16T06:41:23-0600',mode:absolute,to:'2017-03-16T09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/e /r /s /spath="%USERPROFILE%\AppData\Local\Temp\OnboardLogs" /stypes="*4003*201703161*" /stext=" 14:.+((SYSTEM_STATE.+slice.+state.+changed )|(ment ac)|(multiple cpu faults)|(system.+state.+changed )|(\[timeout)|(PRM\|1\|D)|(kpr)|(kdp)|(\|lc)|(penalty))"</v>
      </c>
      <c r="U24" s="9" t="str">
        <f t="shared" si="2"/>
        <v>4003</v>
      </c>
      <c r="V24" s="32">
        <f t="shared" si="3"/>
        <v>42810.595416666663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{"issue":{"subject":"","project_id":79,"tracker_id":40,"status_id":1,"priority_id":2,"assigned_to_id":23,"start_date":"2017-03-16","description":"","custom_fields":[{"id":1,"name":"Subdivision","value":"EC"},{"id":4,"name":"Milepost","value":"22.209"},{"id":17,"name":"Train ID","value":"133-16"},{"id":16,"name":"Locomotive ID","value":"4003"},{"id":130,"name":"Impact","value":""},{"id":150,"name":"Time of Event (Mountain Time)","value":"08:17:24"},{"id":151,"name":"Denver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"%USERPROFILE%\AppData\Local\Temp\OnboardLogs"\RTDC4003\*4003*201703161*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"%USERPROFILE%\AppData\Local\Temp\OnboardLogs"\RTDC4003\*4003*201703161* &gt;&gt; 2017-03-16-SliceDisagreementCheck.txt</v>
      </c>
      <c r="AE24" s="157" t="str">
        <f t="shared" si="9"/>
        <v>start /low /b %USERPROFILE%\Documents\GitHub\eaglep3\Utilities\DownloadLogsFromS3.py --loco 4003 --day 2017-03-16</v>
      </c>
      <c r="AF24" s="1"/>
    </row>
    <row r="25" spans="1:32" x14ac:dyDescent="0.25">
      <c r="A25" s="32">
        <v>42810.375347222223</v>
      </c>
      <c r="B25" s="30" t="s">
        <v>379</v>
      </c>
      <c r="C25" s="30" t="s">
        <v>605</v>
      </c>
      <c r="D25" s="30" t="s">
        <v>49</v>
      </c>
      <c r="E25" s="30" t="s">
        <v>386</v>
      </c>
      <c r="F25" s="43">
        <v>0</v>
      </c>
      <c r="G25" s="43">
        <v>124</v>
      </c>
      <c r="H25" s="43">
        <v>1034</v>
      </c>
      <c r="I25" s="43">
        <v>1238</v>
      </c>
      <c r="J25" s="30" t="s">
        <v>387</v>
      </c>
      <c r="K25" s="43">
        <v>1692</v>
      </c>
      <c r="L25" s="143" t="s">
        <v>50</v>
      </c>
      <c r="M25" s="144">
        <f t="shared" si="0"/>
        <v>239.71199999999999</v>
      </c>
      <c r="N25" s="145" t="str">
        <f>VLOOKUP(C25,'Trips&amp;Operators'!$C$1:$G$99999,5,FALSE)</f>
        <v>STARKS ANGELINA</v>
      </c>
      <c r="O25" s="194" t="s">
        <v>185</v>
      </c>
      <c r="P25" s="146" t="s">
        <v>1042</v>
      </c>
      <c r="Q25" s="30"/>
      <c r="R25" s="89" t="str">
        <f>IF(VLOOKUP(C25,'Train Runs'!$A$13:$AE$9950,1,1)=C25,VLOOKUP(C25,'Train Runs'!$A$13:$AE$9950,31,1),NA())</f>
        <v>aws s3 cp s3://rtdc.mdm.uploadarchive.raw/RTDC4029/ "%USERPROFILE%\AppData\Local\Temp\OnboardLogs"\RTDC4029\2017-03-16 --exclude "*" --recursive --include "*20170316*" &amp; "%USERPROFILE%\Documents\GitHub\mrs-test-scripts\Headless Mode &amp; Sideloading\WalkAndUnGZ.bat" "%USERPROFILE%\AppData\Local\Temp\OnboardLogs"\RTDC4029\2017-03-16 &amp; aws s3 cp s3://rtdc.mdm.uploadarchive.raw/RTDC4029/ "%USERPROFILE%\AppData\Local\Temp\OnboardLogs"\RTDC4029\2017-03-17 --exclude "*" --recursive --include "*20170317*" &amp; "%USERPROFILE%\Documents\GitHub\mrs-test-scripts\Headless Mode &amp; Sideloading\WalkAndUnGZ.bat" "%USERPROFILE%\AppData\Local\Temp\OnboardLogs"\RTDC4029\2017-03-17</v>
      </c>
      <c r="S25" s="92" t="str">
        <f>VLOOKUP(C25,'Train Runs'!$A$13:$AE$9950,22,0)</f>
        <v>https://d0f6bd738d7f1b3e5a7ca70fe4ff75f0.us-east-1.aws.found.io/app/kibana#/discover/Steve-Slow-Train-Analysis-(2080s-and-2083s)?_g=(refreshInterval:(display:Off,pause:!f,section:0,value:0),time:(from:'2017-03-16T07:57:53-0600',mode:absolute,to:'2017-03-16T10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94" t="str">
        <f t="shared" si="1"/>
        <v>"C:\Program Files (x86)\AstroGrep\AstroGrep.exe" /e /r /s /spath="%USERPROFILE%\AppData\Local\Temp\OnboardLogs" /stypes="*4029*201703161*" /stext=" 15:.+((SYSTEM_STATE.+slice.+state.+changed )|(ment ac)|(multiple cpu faults)|(system.+state.+changed )|(\[timeout)|(PRM\|1\|D)|(kpr)|(kdp)|(\|lc)|(penalty))"</v>
      </c>
      <c r="U25" s="9" t="str">
        <f t="shared" si="2"/>
        <v>4029</v>
      </c>
      <c r="V25" s="32">
        <f t="shared" si="3"/>
        <v>42810.625347222223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{"issue":{"subject":"Selected wrong track","project_id":79,"tracker_id":40,"status_id":1,"priority_id":2,"assigned_to_id":23,"start_date":"2017-03-16","description":"","custom_fields":[{"id":1,"name":"Subdivision","value":"EC"},{"id":4,"name":"Milepost","value":"0.1692"},{"id":17,"name":"Train ID","value":"143-16"},{"id":16,"name":"Locomotive ID","value":"4029"},{"id":130,"name":"Impact","value":""},{"id":150,"name":"Time of Event (Mountain Time)","value":"09:00:30"},{"id":151,"name":"Denver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"%USERPROFILE%\AppData\Local\Temp\OnboardLogs"\RTDC4029\*4029*201703161*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"%USERPROFILE%\AppData\Local\Temp\OnboardLogs"\RTDC4029\*4029*201703161* &gt;&gt; 2017-03-16-SliceDisagreementCheck.txt</v>
      </c>
      <c r="AE25" s="157" t="str">
        <f t="shared" si="9"/>
        <v>start /low /b %USERPROFILE%\Documents\GitHub\eaglep3\Utilities\DownloadLogsFromS3.py --loco 4029 --day 2017-03-16</v>
      </c>
      <c r="AF25" s="1"/>
    </row>
    <row r="26" spans="1:32" x14ac:dyDescent="0.25">
      <c r="A26" s="32">
        <v>42810.583993055552</v>
      </c>
      <c r="B26" s="30" t="s">
        <v>443</v>
      </c>
      <c r="C26" s="30" t="s">
        <v>616</v>
      </c>
      <c r="D26" s="30" t="s">
        <v>98</v>
      </c>
      <c r="E26" s="30" t="s">
        <v>386</v>
      </c>
      <c r="F26" s="43">
        <v>0</v>
      </c>
      <c r="G26" s="43">
        <v>60</v>
      </c>
      <c r="H26" s="43">
        <v>1755</v>
      </c>
      <c r="I26" s="43">
        <v>1829</v>
      </c>
      <c r="J26" s="30" t="s">
        <v>387</v>
      </c>
      <c r="K26" s="43">
        <v>1692</v>
      </c>
      <c r="L26" s="143" t="s">
        <v>50</v>
      </c>
      <c r="M26" s="144">
        <f t="shared" si="0"/>
        <v>-72.335999999999999</v>
      </c>
      <c r="N26" s="145" t="str">
        <f>VLOOKUP(C26,'Trips&amp;Operators'!$C$1:$G$99999,5,FALSE)</f>
        <v>ARVIDSON DANIEL</v>
      </c>
      <c r="O26" s="194" t="s">
        <v>185</v>
      </c>
      <c r="P26" s="146" t="s">
        <v>1035</v>
      </c>
      <c r="Q26" s="30"/>
      <c r="R26" s="89" t="str">
        <f>IF(VLOOKUP(C26,'Train Runs'!$A$13:$AE$9950,1,1)=C26,VLOOKUP(C26,'Train Runs'!$A$13:$AE$9950,31,1),NA())</f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S26" s="92" t="str">
        <f>VLOOKUP(C26,'Train Runs'!$A$13:$AE$9950,22,0)</f>
        <v>https://d0f6bd738d7f1b3e5a7ca70fe4ff75f0.us-east-1.aws.found.io/app/kibana#/discover/Steve-Slow-Train-Analysis-(2080s-and-2083s)?_g=(refreshInterval:(display:Off,pause:!f,section:0,value:0),time:(from:'2017-03-16T12:53:54-0600',mode:absolute,to:'2017-03-16T15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94" t="str">
        <f t="shared" si="1"/>
        <v>"C:\Program Files (x86)\AstroGrep\AstroGrep.exe" /e /r /s /spath="%USERPROFILE%\AppData\Local\Temp\OnboardLogs" /stypes="*4027*201703162*" /stext=" 20:.+((SYSTEM_STATE.+slice.+state.+changed )|(ment ac)|(multiple cpu faults)|(system.+state.+changed )|(\[timeout)|(PRM\|1\|D)|(kpr)|(kdp)|(\|lc)|(penalty))"</v>
      </c>
      <c r="U26" s="9" t="str">
        <f t="shared" si="2"/>
        <v>4027</v>
      </c>
      <c r="V26" s="32">
        <f t="shared" si="3"/>
        <v>42810.833993055552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{"issue":{"subject":"Main 3 departure","project_id":79,"tracker_id":40,"status_id":1,"priority_id":2,"assigned_to_id":23,"start_date":"2017-03-16","description":"","custom_fields":[{"id":1,"name":"Subdivision","value":"EC"},{"id":4,"name":"Milepost","value":"0.1692"},{"id":17,"name":"Train ID","value":"183-16"},{"id":16,"name":"Locomotive ID","value":"4027"},{"id":130,"name":"Impact","value":""},{"id":150,"name":"Time of Event (Mountain Time)","value":"14:00:57"},{"id":151,"name":"Denver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"%USERPROFILE%\AppData\Local\Temp\OnboardLogs"\RTDC4027\*4027*201703162*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"%USERPROFILE%\AppData\Local\Temp\OnboardLogs"\RTDC4027\*4027*201703162* &gt;&gt; 2017-03-16-SliceDisagreementCheck.txt</v>
      </c>
      <c r="AE26" s="157" t="str">
        <f t="shared" si="9"/>
        <v>start /low /b %USERPROFILE%\Documents\GitHub\eaglep3\Utilities\DownloadLogsFromS3.py --loco 4027 --day 2017-03-16</v>
      </c>
      <c r="AF26" s="1"/>
    </row>
    <row r="27" spans="1:32" x14ac:dyDescent="0.25">
      <c r="A27" s="32">
        <v>42810.36478009259</v>
      </c>
      <c r="B27" s="30" t="s">
        <v>423</v>
      </c>
      <c r="C27" s="30" t="s">
        <v>604</v>
      </c>
      <c r="D27" s="30" t="s">
        <v>49</v>
      </c>
      <c r="E27" s="30" t="s">
        <v>386</v>
      </c>
      <c r="F27" s="43">
        <v>0</v>
      </c>
      <c r="G27" s="43">
        <v>633</v>
      </c>
      <c r="H27" s="43">
        <v>172994</v>
      </c>
      <c r="I27" s="43">
        <v>176099</v>
      </c>
      <c r="J27" s="30" t="s">
        <v>387</v>
      </c>
      <c r="K27" s="43">
        <v>175383</v>
      </c>
      <c r="L27" s="143" t="s">
        <v>50</v>
      </c>
      <c r="M27" s="144">
        <f t="shared" si="0"/>
        <v>-378.048</v>
      </c>
      <c r="N27" s="145" t="str">
        <f>VLOOKUP(C27,'Trips&amp;Operators'!$C$1:$G$99999,5,FALSE)</f>
        <v>SULLIVAN BRANDON</v>
      </c>
      <c r="O27" s="194" t="s">
        <v>389</v>
      </c>
      <c r="P27" s="146" t="s">
        <v>590</v>
      </c>
      <c r="Q27" s="30"/>
      <c r="R27" s="89" t="str">
        <f>IF(VLOOKUP(C27,'Train Runs'!$A$13:$AE$9950,1,1)=C27,VLOOKUP(C27,'Train Runs'!$A$13:$AE$9950,31,1),NA())</f>
        <v>aws s3 cp s3://rtdc.mdm.uploadarchive.raw/RTDC4040/ "%USERPROFILE%\AppData\Local\Temp\OnboardLogs"\RTDC4040\2017-03-16 --exclude "*" --recursive --include "*20170316*" &amp; "%USERPROFILE%\Documents\GitHub\mrs-test-scripts\Headless Mode &amp; Sideloading\WalkAndUnGZ.bat" "%USERPROFILE%\AppData\Local\Temp\OnboardLogs"\RTDC4040\2017-03-16 &amp; aws s3 cp s3://rtdc.mdm.uploadarchive.raw/RTDC4040/ "%USERPROFILE%\AppData\Local\Temp\OnboardLogs"\RTDC4040\2017-03-17 --exclude "*" --recursive --include "*20170317*" &amp; "%USERPROFILE%\Documents\GitHub\mrs-test-scripts\Headless Mode &amp; Sideloading\WalkAndUnGZ.bat" "%USERPROFILE%\AppData\Local\Temp\OnboardLogs"\RTDC4040\2017-03-17</v>
      </c>
      <c r="S27" s="92" t="str">
        <f>VLOOKUP(C27,'Train Runs'!$A$13:$AE$9950,22,0)</f>
        <v>https://d0f6bd738d7f1b3e5a7ca70fe4ff75f0.us-east-1.aws.found.io/app/kibana#/discover/Steve-Slow-Train-Analysis-(2080s-and-2083s)?_g=(refreshInterval:(display:Off,pause:!f,section:0,value:0),time:(from:'2017-03-16T07:13:02-0600',mode:absolute,to:'2017-03-16T09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94" t="str">
        <f t="shared" si="1"/>
        <v>"C:\Program Files (x86)\AstroGrep\AstroGrep.exe" /e /r /s /spath="%USERPROFILE%\AppData\Local\Temp\OnboardLogs" /stypes="*4040*201703161*" /stext=" 14:.+((SYSTEM_STATE.+slice.+state.+changed )|(ment ac)|(multiple cpu faults)|(system.+state.+changed )|(\[timeout)|(PRM\|1\|D)|(kpr)|(kdp)|(\|lc)|(penalty))"</v>
      </c>
      <c r="U27" s="9" t="str">
        <f t="shared" si="2"/>
        <v>4040</v>
      </c>
      <c r="V27" s="32">
        <f t="shared" si="3"/>
        <v>42810.61478009259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{"issue":{"subject":"Wi-MAX data drop","project_id":79,"tracker_id":40,"status_id":1,"priority_id":2,"assigned_to_id":23,"start_date":"2017-03-16","description":"http://stevetu21.github.io/eaglep3/load_kml.html?kml=http://rtdc.gmaps-snips.s3.amazonaws.com/e511f67b-3ef6-4552-afef-89c0c9a59b10.kml","custom_fields":[{"id":1,"name":"Subdivision","value":"EC"},{"id":4,"name":"Milepost","value":"17.5383"},{"id":17,"name":"Train ID","value":"137-16"},{"id":16,"name":"Locomotive ID","value":"4040"},{"id":130,"name":"Impact","value":"Enforcement"},{"id":150,"name":"Time of Event (Mountain Time)","value":"08:45:17"},{"id":151,"name":"Denver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7" t="s">
        <v>1043</v>
      </c>
      <c r="AA27" s="48" t="s">
        <v>124</v>
      </c>
      <c r="AB27" s="48" t="s">
        <v>137</v>
      </c>
      <c r="AC27" s="127" t="str">
        <f t="shared" si="7"/>
        <v>grep -hSE -A400 "Enforcement Action" "%USERPROFILE%\AppData\Local\Temp\OnboardLogs"\RTDC4040\*4040*201703161*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"%USERPROFILE%\AppData\Local\Temp\OnboardLogs"\RTDC4040\*4040*201703161* &gt;&gt; 2017-03-16-SliceDisagreementCheck.txt</v>
      </c>
      <c r="AE27" s="157" t="str">
        <f t="shared" si="9"/>
        <v>start /low /b %USERPROFILE%\Documents\GitHub\eaglep3\Utilities\DownloadLogsFromS3.py --loco 4040 --day 2017-03-16</v>
      </c>
      <c r="AF27" s="1"/>
    </row>
    <row r="28" spans="1:32" x14ac:dyDescent="0.25">
      <c r="A28" s="32">
        <v>42810.58662037037</v>
      </c>
      <c r="B28" s="30" t="s">
        <v>443</v>
      </c>
      <c r="C28" s="30" t="s">
        <v>616</v>
      </c>
      <c r="D28" s="30" t="s">
        <v>98</v>
      </c>
      <c r="E28" s="30" t="s">
        <v>617</v>
      </c>
      <c r="F28" s="43">
        <v>0</v>
      </c>
      <c r="G28" s="43">
        <v>21</v>
      </c>
      <c r="H28" s="43">
        <v>1982</v>
      </c>
      <c r="I28" s="43">
        <v>1999</v>
      </c>
      <c r="J28" s="30" t="s">
        <v>442</v>
      </c>
      <c r="K28" s="43">
        <v>1692</v>
      </c>
      <c r="L28" s="143" t="s">
        <v>50</v>
      </c>
      <c r="M28" s="144">
        <f t="shared" si="0"/>
        <v>-162.096</v>
      </c>
      <c r="N28" s="145" t="str">
        <f>VLOOKUP(C28,'Trips&amp;Operators'!$C$1:$G$99999,5,FALSE)</f>
        <v>ARVIDSON DANIEL</v>
      </c>
      <c r="O28" s="194" t="s">
        <v>185</v>
      </c>
      <c r="P28" s="146"/>
      <c r="Q28" s="30"/>
      <c r="R28" s="89" t="str">
        <f>IF(VLOOKUP(C28,'Train Runs'!$A$13:$AE$9950,1,1)=C28,VLOOKUP(C28,'Train Runs'!$A$13:$AE$9950,31,1),NA())</f>
        <v>aws s3 cp s3://rtdc.mdm.uploadarchive.raw/RTDC4027/ "%USERPROFILE%\AppData\Local\Temp\OnboardLogs"\RTDC4027\2017-03-16 --exclude "*" --recursive --include "*20170316*" &amp; "%USERPROFILE%\Documents\GitHub\mrs-test-scripts\Headless Mode &amp; Sideloading\WalkAndUnGZ.bat" "%USERPROFILE%\AppData\Local\Temp\OnboardLogs"\RTDC4027\2017-03-16 &amp; aws s3 cp s3://rtdc.mdm.uploadarchive.raw/RTDC4027/ "%USERPROFILE%\AppData\Local\Temp\OnboardLogs"\RTDC4027\2017-03-17 --exclude "*" --recursive --include "*20170317*" &amp; "%USERPROFILE%\Documents\GitHub\mrs-test-scripts\Headless Mode &amp; Sideloading\WalkAndUnGZ.bat" "%USERPROFILE%\AppData\Local\Temp\OnboardLogs"\RTDC4027\2017-03-17</v>
      </c>
      <c r="S28" s="92" t="str">
        <f>VLOOKUP(C28,'Train Runs'!$A$13:$AE$9950,22,0)</f>
        <v>https://d0f6bd738d7f1b3e5a7ca70fe4ff75f0.us-east-1.aws.found.io/app/kibana#/discover/Steve-Slow-Train-Analysis-(2080s-and-2083s)?_g=(refreshInterval:(display:Off,pause:!f,section:0,value:0),time:(from:'2017-03-16T12:53:54-0600',mode:absolute,to:'2017-03-16T15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94" t="str">
        <f t="shared" si="1"/>
        <v>"C:\Program Files (x86)\AstroGrep\AstroGrep.exe" /e /r /s /spath="%USERPROFILE%\AppData\Local\Temp\OnboardLogs" /stypes="*4027*201703162*" /stext=" 20:.+((SYSTEM_STATE.+slice.+state.+changed )|(ment ac)|(multiple cpu faults)|(system.+state.+changed )|(\[timeout)|(PRM\|1\|D)|(kpr)|(kdp)|(\|lc)|(penalty))"</v>
      </c>
      <c r="U28" s="9" t="str">
        <f t="shared" si="2"/>
        <v>4027</v>
      </c>
      <c r="V28" s="32">
        <f t="shared" si="3"/>
        <v>42810.83662037037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{"issue":{"subject":"","project_id":79,"tracker_id":40,"status_id":1,"priority_id":2,"assigned_to_id":23,"start_date":"2017-03-16","description":"","custom_fields":[{"id":1,"name":"Subdivision","value":"EC"},{"id":4,"name":"Milepost","value":"0.1692"},{"id":17,"name":"Train ID","value":"183-16"},{"id":16,"name":"Locomotive ID","value":"4027"},{"id":130,"name":"Impact","value":""},{"id":150,"name":"Time of Event (Mountain Time)","value":"14:04:44"},{"id":151,"name":"Denver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"%USERPROFILE%\AppData\Local\Temp\OnboardLogs"\RTDC4027\*4027*201703162*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"%USERPROFILE%\AppData\Local\Temp\OnboardLogs"\RTDC4027\*4027*201703162* &gt;&gt; 2017-03-16-SliceDisagreementCheck.txt</v>
      </c>
      <c r="AE28" s="157" t="str">
        <f t="shared" si="9"/>
        <v>start /low /b %USERPROFILE%\Documents\GitHub\eaglep3\Utilities\DownloadLogsFromS3.py --loco 4027 --day 2017-03-16</v>
      </c>
      <c r="AF28" s="1"/>
    </row>
    <row r="29" spans="1:32" x14ac:dyDescent="0.25">
      <c r="A29" s="32">
        <v>42810.319293981483</v>
      </c>
      <c r="B29" s="30" t="s">
        <v>597</v>
      </c>
      <c r="C29" s="30" t="s">
        <v>598</v>
      </c>
      <c r="D29" s="30" t="s">
        <v>49</v>
      </c>
      <c r="E29" s="30" t="s">
        <v>186</v>
      </c>
      <c r="F29" s="43">
        <v>0</v>
      </c>
      <c r="G29" s="43">
        <v>59</v>
      </c>
      <c r="H29" s="43">
        <v>189</v>
      </c>
      <c r="I29" s="43">
        <v>123</v>
      </c>
      <c r="J29" s="30" t="s">
        <v>187</v>
      </c>
      <c r="K29" s="43">
        <v>1</v>
      </c>
      <c r="L29" s="143" t="s">
        <v>51</v>
      </c>
      <c r="M29" s="144">
        <f t="shared" si="0"/>
        <v>64.415999999999997</v>
      </c>
      <c r="N29" s="145" t="str">
        <f>VLOOKUP(C29,'Trips&amp;Operators'!$C$1:$G$99999,5,FALSE)</f>
        <v>ROBINSON KADDIBA</v>
      </c>
      <c r="O29" s="194" t="s">
        <v>185</v>
      </c>
      <c r="P29" s="146"/>
      <c r="Q29" s="30"/>
      <c r="R29" s="89" t="str">
        <f>IF(VLOOKUP(C29,'Train Runs'!$A$13:$AE$9950,1,1)=C29,VLOOKUP(C29,'Train Runs'!$A$13:$AE$9950,31,1),NA())</f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S29" s="92" t="str">
        <f>VLOOKUP(C29,'Train Runs'!$A$13:$AE$9950,22,0)</f>
        <v>https://d0f6bd738d7f1b3e5a7ca70fe4ff75f0.us-east-1.aws.found.io/app/kibana#/discover/Steve-Slow-Train-Analysis-(2080s-and-2083s)?_g=(refreshInterval:(display:Off,pause:!f,section:0,value:0),time:(from:'2017-03-16T05:55:15-0600',mode:absolute,to:'2017-03-16T08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/stypes="*4004*201703161*" /stext=" 13:.+((SYSTEM_STATE.+slice.+state.+changed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42810.569293981483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{"issue":{"subject":"","project_id":79,"tracker_id":40,"status_id":1,"priority_id":2,"assigned_to_id":23,"start_date":"2017-03-16","description":"","custom_fields":[{"id":1,"name":"Subdivision","value":"EC"},{"id":4,"name":"Milepost","value":"0.0001"},{"id":17,"name":"Train ID","value":"120-16"},{"id":16,"name":"Locomotive ID","value":"4004"},{"id":130,"name":"Impact","value":""},{"id":150,"name":"Time of Event (Mountain Time)","value":"07:39:47"},{"id":151,"name":"Denver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"%USERPROFILE%\AppData\Local\Temp\OnboardLogs"\RTDC4004\*4004*201703161*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"%USERPROFILE%\AppData\Local\Temp\OnboardLogs"\RTDC4004\*4004*201703161* &gt;&gt; 2017-03-16-SliceDisagreementCheck.txt</v>
      </c>
      <c r="AE29" s="157" t="str">
        <f t="shared" si="9"/>
        <v>start /low /b %USERPROFILE%\Documents\GitHub\eaglep3\Utilities\DownloadLogsFromS3.py --loco 4004 --day 2017-03-16</v>
      </c>
      <c r="AF29" s="1"/>
    </row>
    <row r="30" spans="1:32" x14ac:dyDescent="0.25">
      <c r="A30" s="32">
        <v>42810.369270833333</v>
      </c>
      <c r="B30" s="30" t="s">
        <v>202</v>
      </c>
      <c r="C30" s="30" t="s">
        <v>603</v>
      </c>
      <c r="D30" s="30" t="s">
        <v>49</v>
      </c>
      <c r="E30" s="30" t="s">
        <v>186</v>
      </c>
      <c r="F30" s="43">
        <v>0</v>
      </c>
      <c r="G30" s="43">
        <v>76</v>
      </c>
      <c r="H30" s="43">
        <v>262</v>
      </c>
      <c r="I30" s="43">
        <v>185</v>
      </c>
      <c r="J30" s="30" t="s">
        <v>187</v>
      </c>
      <c r="K30" s="43">
        <v>1</v>
      </c>
      <c r="L30" s="143" t="s">
        <v>51</v>
      </c>
      <c r="M30" s="144">
        <f t="shared" si="0"/>
        <v>97.152000000000001</v>
      </c>
      <c r="N30" s="145" t="str">
        <f>VLOOKUP(C30,'Trips&amp;Operators'!$C$1:$G$99999,5,FALSE)</f>
        <v>STARKS ANGELINA</v>
      </c>
      <c r="O30" s="194" t="s">
        <v>185</v>
      </c>
      <c r="P30" s="146"/>
      <c r="Q30" s="30"/>
      <c r="R30" s="89" t="str">
        <f>IF(VLOOKUP(C30,'Train Runs'!$A$13:$AE$9950,1,1)=C30,VLOOKUP(C30,'Train Runs'!$A$13:$AE$9950,31,1),NA())</f>
        <v>aws s3 cp s3://rtdc.mdm.uploadarchive.raw/RTDC4030/ "%USERPROFILE%\AppData\Local\Temp\OnboardLogs"\RTDC4030\2017-03-16 --exclude "*" --recursive --include "*20170316*" &amp; "%USERPROFILE%\Documents\GitHub\mrs-test-scripts\Headless Mode &amp; Sideloading\WalkAndUnGZ.bat" "%USERPROFILE%\AppData\Local\Temp\OnboardLogs"\RTDC4030\2017-03-16 &amp; aws s3 cp s3://rtdc.mdm.uploadarchive.raw/RTDC4030/ "%USERPROFILE%\AppData\Local\Temp\OnboardLogs"\RTDC4030\2017-03-17 --exclude "*" --recursive --include "*20170317*" &amp; "%USERPROFILE%\Documents\GitHub\mrs-test-scripts\Headless Mode &amp; Sideloading\WalkAndUnGZ.bat" "%USERPROFILE%\AppData\Local\Temp\OnboardLogs"\RTDC4030\2017-03-17</v>
      </c>
      <c r="S30" s="92" t="str">
        <f>VLOOKUP(C30,'Train Runs'!$A$13:$AE$9950,22,0)</f>
        <v>https://d0f6bd738d7f1b3e5a7ca70fe4ff75f0.us-east-1.aws.found.io/app/kibana#/discover/Steve-Slow-Train-Analysis-(2080s-and-2083s)?_g=(refreshInterval:(display:Off,pause:!f,section:0,value:0),time:(from:'2017-03-16T07:05:47-0600',mode:absolute,to:'2017-03-16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0" s="94" t="str">
        <f t="shared" si="1"/>
        <v>"C:\Program Files (x86)\AstroGrep\AstroGrep.exe" /e /r /s /spath="%USERPROFILE%\AppData\Local\Temp\OnboardLogs" /stypes="*4030*201703161*" /stext=" 14:.+((SYSTEM_STATE.+slice.+state.+changed )|(ment ac)|(multiple cpu faults)|(system.+state.+changed )|(\[timeout)|(PRM\|1\|D)|(kpr)|(kdp)|(\|lc)|(penalty))"</v>
      </c>
      <c r="U30" s="9" t="str">
        <f t="shared" si="2"/>
        <v>4030</v>
      </c>
      <c r="V30" s="32">
        <f t="shared" si="3"/>
        <v>42810.619270833333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{"issue":{"subject":"","project_id":79,"tracker_id":40,"status_id":1,"priority_id":2,"assigned_to_id":23,"start_date":"2017-03-16","description":"","custom_fields":[{"id":1,"name":"Subdivision","value":"EC"},{"id":4,"name":"Milepost","value":"0.0001"},{"id":17,"name":"Train ID","value":"130-16"},{"id":16,"name":"Locomotive ID","value":"4030"},{"id":130,"name":"Impact","value":""},{"id":150,"name":"Time of Event (Mountain Time)","value":"08:51:45"},{"id":151,"name":"Denver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"%USERPROFILE%\AppData\Local\Temp\OnboardLogs"\RTDC4030\*4030*201703161*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"%USERPROFILE%\AppData\Local\Temp\OnboardLogs"\RTDC4030\*4030*201703161* &gt;&gt; 2017-03-16-SliceDisagreementCheck.txt</v>
      </c>
      <c r="AE30" s="157" t="str">
        <f t="shared" si="9"/>
        <v>start /low /b %USERPROFILE%\Documents\GitHub\eaglep3\Utilities\DownloadLogsFromS3.py --loco 4030 --day 2017-03-16</v>
      </c>
      <c r="AF30" s="1"/>
    </row>
    <row r="31" spans="1:32" x14ac:dyDescent="0.25">
      <c r="A31" s="32">
        <v>42810.390601851854</v>
      </c>
      <c r="B31" s="30" t="s">
        <v>597</v>
      </c>
      <c r="C31" s="30" t="s">
        <v>606</v>
      </c>
      <c r="D31" s="30" t="s">
        <v>49</v>
      </c>
      <c r="E31" s="30" t="s">
        <v>186</v>
      </c>
      <c r="F31" s="43">
        <v>0</v>
      </c>
      <c r="G31" s="43">
        <v>81</v>
      </c>
      <c r="H31" s="43">
        <v>274</v>
      </c>
      <c r="I31" s="43">
        <v>178</v>
      </c>
      <c r="J31" s="30" t="s">
        <v>187</v>
      </c>
      <c r="K31" s="43">
        <v>1</v>
      </c>
      <c r="L31" s="143" t="s">
        <v>51</v>
      </c>
      <c r="M31" s="144">
        <f t="shared" si="0"/>
        <v>93.456000000000003</v>
      </c>
      <c r="N31" s="145" t="str">
        <f>VLOOKUP(C31,'Trips&amp;Operators'!$C$1:$G$99999,5,FALSE)</f>
        <v>GUZMAN DANNY</v>
      </c>
      <c r="O31" s="194" t="s">
        <v>185</v>
      </c>
      <c r="P31" s="146"/>
      <c r="Q31" s="30"/>
      <c r="R31" s="89" t="str">
        <f>IF(VLOOKUP(C31,'Train Runs'!$A$13:$AE$9950,1,1)=C31,VLOOKUP(C31,'Train Runs'!$A$13:$AE$9950,31,1),NA())</f>
        <v>aws s3 cp s3://rtdc.mdm.uploadarchive.raw/RTDC4004/ "%USERPROFILE%\AppData\Local\Temp\OnboardLogs"\RTDC4004\2017-03-16 --exclude "*" --recursive --include "*20170316*" &amp; "%USERPROFILE%\Documents\GitHub\mrs-test-scripts\Headless Mode &amp; Sideloading\WalkAndUnGZ.bat" "%USERPROFILE%\AppData\Local\Temp\OnboardLogs"\RTDC4004\2017-03-16 &amp; aws s3 cp s3://rtdc.mdm.uploadarchive.raw/RTDC4004/ "%USERPROFILE%\AppData\Local\Temp\OnboardLogs"\RTDC4004\2017-03-17 --exclude "*" --recursive --include "*20170317*" &amp; "%USERPROFILE%\Documents\GitHub\mrs-test-scripts\Headless Mode &amp; Sideloading\WalkAndUnGZ.bat" "%USERPROFILE%\AppData\Local\Temp\OnboardLogs"\RTDC4004\2017-03-17</v>
      </c>
      <c r="S31" s="92" t="str">
        <f>VLOOKUP(C31,'Train Runs'!$A$13:$AE$9950,22,0)</f>
        <v>https://d0f6bd738d7f1b3e5a7ca70fe4ff75f0.us-east-1.aws.found.io/app/kibana#/discover/Steve-Slow-Train-Analysis-(2080s-and-2083s)?_g=(refreshInterval:(display:Off,pause:!f,section:0,value:0),time:(from:'2017-03-16T07:31:15-0600',mode:absolute,to:'2017-03-16T10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1" s="94" t="str">
        <f t="shared" si="1"/>
        <v>"C:\Program Files (x86)\AstroGrep\AstroGrep.exe" /e /r /s /spath="%USERPROFILE%\AppData\Local\Temp\OnboardLogs" /stypes="*4004*201703161*" /stext=" 15:.+((SYSTEM_STATE.+slice.+state.+changed )|(ment ac)|(multiple cpu faults)|(system.+state.+changed )|(\[timeout)|(PRM\|1\|D)|(kpr)|(kdp)|(\|lc)|(penalty))"</v>
      </c>
      <c r="U31" s="9" t="str">
        <f t="shared" si="2"/>
        <v>4004</v>
      </c>
      <c r="V31" s="32">
        <f t="shared" si="3"/>
        <v>42810.640601851854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{"issue":{"subject":"","project_id":79,"tracker_id":40,"status_id":1,"priority_id":2,"assigned_to_id":23,"start_date":"2017-03-16","description":"","custom_fields":[{"id":1,"name":"Subdivision","value":"EC"},{"id":4,"name":"Milepost","value":"0.0001"},{"id":17,"name":"Train ID","value":"134-16"},{"id":16,"name":"Locomotive ID","value":"4004"},{"id":130,"name":"Impact","value":""},{"id":150,"name":"Time of Event (Mountain Time)","value":"09:22:28"},{"id":151,"name":"Denver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"%USERPROFILE%\AppData\Local\Temp\OnboardLogs"\RTDC4004\*4004*201703161*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"%USERPROFILE%\AppData\Local\Temp\OnboardLogs"\RTDC4004\*4004*201703161* &gt;&gt; 2017-03-16-SliceDisagreementCheck.txt</v>
      </c>
      <c r="AE31" s="157" t="str">
        <f t="shared" si="9"/>
        <v>start /low /b %USERPROFILE%\Documents\GitHub\eaglep3\Utilities\DownloadLogsFromS3.py --loco 4004 --day 2017-03-16</v>
      </c>
      <c r="AF31" s="1"/>
    </row>
    <row r="32" spans="1:32" x14ac:dyDescent="0.25">
      <c r="A32" s="32">
        <v>42810.411724537036</v>
      </c>
      <c r="B32" s="30" t="s">
        <v>421</v>
      </c>
      <c r="C32" s="30" t="s">
        <v>608</v>
      </c>
      <c r="D32" s="30" t="s">
        <v>49</v>
      </c>
      <c r="E32" s="30" t="s">
        <v>186</v>
      </c>
      <c r="F32" s="43">
        <v>0</v>
      </c>
      <c r="G32" s="43">
        <v>83</v>
      </c>
      <c r="H32" s="43">
        <v>265</v>
      </c>
      <c r="I32" s="43">
        <v>185</v>
      </c>
      <c r="J32" s="30" t="s">
        <v>187</v>
      </c>
      <c r="K32" s="43">
        <v>1</v>
      </c>
      <c r="L32" s="143" t="s">
        <v>51</v>
      </c>
      <c r="M32" s="144">
        <f t="shared" si="0"/>
        <v>97.152000000000001</v>
      </c>
      <c r="N32" s="145" t="str">
        <f>VLOOKUP(C32,'Trips&amp;Operators'!$C$1:$G$99999,5,FALSE)</f>
        <v>SULLIVAN BRANDON</v>
      </c>
      <c r="O32" s="194" t="s">
        <v>185</v>
      </c>
      <c r="P32" s="146"/>
      <c r="Q32" s="30"/>
      <c r="R32" s="89" t="str">
        <f>IF(VLOOKUP(C32,'Train Runs'!$A$13:$AE$9950,1,1)=C32,VLOOKUP(C32,'Train Runs'!$A$13:$AE$9950,31,1),NA())</f>
        <v>aws s3 cp s3://rtdc.mdm.uploadarchive.raw/RTDC4039/ "%USERPROFILE%\AppData\Local\Temp\OnboardLogs"\RTDC4039\2017-03-16 --exclude "*" --recursive --include "*20170316*" &amp; "%USERPROFILE%\Documents\GitHub\mrs-test-scripts\Headless Mode &amp; Sideloading\WalkAndUnGZ.bat" "%USERPROFILE%\AppData\Local\Temp\OnboardLogs"\RTDC4039\2017-03-16 &amp; aws s3 cp s3://rtdc.mdm.uploadarchive.raw/RTDC4039/ "%USERPROFILE%\AppData\Local\Temp\OnboardLogs"\RTDC4039\2017-03-17 --exclude "*" --recursive --include "*20170317*" &amp; "%USERPROFILE%\Documents\GitHub\mrs-test-scripts\Headless Mode &amp; Sideloading\WalkAndUnGZ.bat" "%USERPROFILE%\AppData\Local\Temp\OnboardLogs"\RTDC4039\2017-03-17</v>
      </c>
      <c r="S32" s="92" t="str">
        <f>VLOOKUP(C32,'Train Runs'!$A$13:$AE$9950,22,0)</f>
        <v>https://d0f6bd738d7f1b3e5a7ca70fe4ff75f0.us-east-1.aws.found.io/app/kibana#/discover/Steve-Slow-Train-Analysis-(2080s-and-2083s)?_g=(refreshInterval:(display:Off,pause:!f,section:0,value:0),time:(from:'2017-03-16T07:56:44-0600',mode:absolute,to:'2017-03-16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2" s="94" t="str">
        <f t="shared" si="1"/>
        <v>"C:\Program Files (x86)\AstroGrep\AstroGrep.exe" /e /r /s /spath="%USERPROFILE%\AppData\Local\Temp\OnboardLogs" /stypes="*4039*201703161*" /stext=" 15:.+((SYSTEM_STATE.+slice.+state.+changed )|(ment ac)|(multiple cpu faults)|(system.+state.+changed )|(\[timeout)|(PRM\|1\|D)|(kpr)|(kdp)|(\|lc)|(penalty))"</v>
      </c>
      <c r="U32" s="9" t="str">
        <f t="shared" si="2"/>
        <v>4039</v>
      </c>
      <c r="V32" s="32">
        <f t="shared" si="3"/>
        <v>42810.661724537036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{"issue":{"subject":"","project_id":79,"tracker_id":40,"status_id":1,"priority_id":2,"assigned_to_id":23,"start_date":"2017-03-16","description":"","custom_fields":[{"id":1,"name":"Subdivision","value":"EC"},{"id":4,"name":"Milepost","value":"0.0001"},{"id":17,"name":"Train ID","value":"138-16"},{"id":16,"name":"Locomotive ID","value":"4039"},{"id":130,"name":"Impact","value":""},{"id":150,"name":"Time of Event (Mountain Time)","value":"09:52:53"},{"id":151,"name":"Denver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"%USERPROFILE%\AppData\Local\Temp\OnboardLogs"\RTDC4039\*4039*201703161*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"%USERPROFILE%\AppData\Local\Temp\OnboardLogs"\RTDC4039\*4039*201703161* &gt;&gt; 2017-03-16-SliceDisagreementCheck.txt</v>
      </c>
      <c r="AE32" s="157" t="str">
        <f t="shared" si="9"/>
        <v>start /low /b %USERPROFILE%\Documents\GitHub\eaglep3\Utilities\DownloadLogsFromS3.py --loco 4039 --day 2017-03-16</v>
      </c>
      <c r="AF32" s="1"/>
    </row>
    <row r="33" spans="1:32" x14ac:dyDescent="0.25">
      <c r="A33" s="32">
        <v>42810.566689814812</v>
      </c>
      <c r="B33" s="30" t="s">
        <v>613</v>
      </c>
      <c r="C33" s="30" t="s">
        <v>614</v>
      </c>
      <c r="D33" s="30" t="s">
        <v>49</v>
      </c>
      <c r="E33" s="30" t="s">
        <v>186</v>
      </c>
      <c r="F33" s="43">
        <v>0</v>
      </c>
      <c r="G33" s="43">
        <v>58</v>
      </c>
      <c r="H33" s="43">
        <v>221</v>
      </c>
      <c r="I33" s="43">
        <v>178</v>
      </c>
      <c r="J33" s="30" t="s">
        <v>187</v>
      </c>
      <c r="K33" s="43">
        <v>1</v>
      </c>
      <c r="L33" s="143" t="s">
        <v>51</v>
      </c>
      <c r="M33" s="144">
        <f t="shared" si="0"/>
        <v>93.456000000000003</v>
      </c>
      <c r="N33" s="145" t="str">
        <f>VLOOKUP(C33,'Trips&amp;Operators'!$C$1:$G$99999,5,FALSE)</f>
        <v>BRANDNER MELINDA</v>
      </c>
      <c r="O33" s="194" t="s">
        <v>185</v>
      </c>
      <c r="P33" s="146"/>
      <c r="Q33" s="30"/>
      <c r="R33" s="89" t="str">
        <f>IF(VLOOKUP(C33,'Train Runs'!$A$13:$AE$9950,1,1)=C33,VLOOKUP(C33,'Train Runs'!$A$13:$AE$9950,31,1),NA())</f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S33" s="92" t="str">
        <f>VLOOKUP(C33,'Train Runs'!$A$13:$AE$9950,22,0)</f>
        <v>https://d0f6bd738d7f1b3e5a7ca70fe4ff75f0.us-east-1.aws.found.io/app/kibana#/discover/Steve-Slow-Train-Analysis-(2080s-and-2083s)?_g=(refreshInterval:(display:Off,pause:!f,section:0,value:0),time:(from:'2017-03-16T11:42:00-0600',mode:absolute,to:'2017-03-16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94" t="str">
        <f t="shared" si="1"/>
        <v>"C:\Program Files (x86)\AstroGrep\AstroGrep.exe" /e /r /s /spath="%USERPROFILE%\AppData\Local\Temp\OnboardLogs" /stypes="*4005*201703161*" /stext=" 19:.+((SYSTEM_STATE.+slice.+state.+changed )|(ment ac)|(multiple cpu faults)|(system.+state.+changed )|(\[timeout)|(PRM\|1\|D)|(kpr)|(kdp)|(\|lc)|(penalty))"</v>
      </c>
      <c r="U33" s="9" t="str">
        <f t="shared" si="2"/>
        <v>4005</v>
      </c>
      <c r="V33" s="32">
        <f t="shared" si="3"/>
        <v>42810.816689814812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{"issue":{"subject":"","project_id":79,"tracker_id":40,"status_id":1,"priority_id":2,"assigned_to_id":23,"start_date":"2017-03-16","description":"","custom_fields":[{"id":1,"name":"Subdivision","value":"EC"},{"id":4,"name":"Milepost","value":"0.0001"},{"id":17,"name":"Train ID","value":"168-16"},{"id":16,"name":"Locomotive ID","value":"4005"},{"id":130,"name":"Impact","value":""},{"id":150,"name":"Time of Event (Mountain Time)","value":"13:36:02"},{"id":151,"name":"Denver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"%USERPROFILE%\AppData\Local\Temp\OnboardLogs"\RTDC4005\*4005*201703161*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"%USERPROFILE%\AppData\Local\Temp\OnboardLogs"\RTDC4005\*4005*201703161* &gt;&gt; 2017-03-16-SliceDisagreementCheck.txt</v>
      </c>
      <c r="AE33" s="157" t="str">
        <f t="shared" si="9"/>
        <v>start /low /b %USERPROFILE%\Documents\GitHub\eaglep3\Utilities\DownloadLogsFromS3.py --loco 4005 --day 2017-03-16</v>
      </c>
      <c r="AF33" s="1"/>
    </row>
    <row r="34" spans="1:32" x14ac:dyDescent="0.25">
      <c r="A34" s="32">
        <v>42810.643194444441</v>
      </c>
      <c r="B34" s="30" t="s">
        <v>613</v>
      </c>
      <c r="C34" s="30" t="s">
        <v>619</v>
      </c>
      <c r="D34" s="30" t="s">
        <v>49</v>
      </c>
      <c r="E34" s="30" t="s">
        <v>186</v>
      </c>
      <c r="F34" s="43">
        <v>0</v>
      </c>
      <c r="G34" s="43">
        <v>43</v>
      </c>
      <c r="H34" s="43">
        <v>975</v>
      </c>
      <c r="I34" s="43">
        <v>949</v>
      </c>
      <c r="J34" s="30" t="s">
        <v>187</v>
      </c>
      <c r="K34" s="43">
        <v>826</v>
      </c>
      <c r="L34" s="143" t="s">
        <v>51</v>
      </c>
      <c r="M34" s="144">
        <f t="shared" si="0"/>
        <v>64.944000000000003</v>
      </c>
      <c r="N34" s="145" t="str">
        <f>VLOOKUP(C34,'Trips&amp;Operators'!$C$1:$G$99999,5,FALSE)</f>
        <v>BRANDNER MELINDA</v>
      </c>
      <c r="O34" s="194" t="s">
        <v>185</v>
      </c>
      <c r="P34" s="146"/>
      <c r="Q34" s="30"/>
      <c r="R34" s="89" t="str">
        <f>IF(VLOOKUP(C34,'Train Runs'!$A$13:$AE$9950,1,1)=C34,VLOOKUP(C34,'Train Runs'!$A$13:$AE$9950,31,1),NA())</f>
        <v>aws s3 cp s3://rtdc.mdm.uploadarchive.raw/RTDC4005/ "%USERPROFILE%\AppData\Local\Temp\OnboardLogs"\RTDC4005\2017-03-16 --exclude "*" --recursive --include "*20170316*" &amp; "%USERPROFILE%\Documents\GitHub\mrs-test-scripts\Headless Mode &amp; Sideloading\WalkAndUnGZ.bat" "%USERPROFILE%\AppData\Local\Temp\OnboardLogs"\RTDC4005\2017-03-16 &amp; aws s3 cp s3://rtdc.mdm.uploadarchive.raw/RTDC4005/ "%USERPROFILE%\AppData\Local\Temp\OnboardLogs"\RTDC4005\2017-03-17 --exclude "*" --recursive --include "*20170317*" &amp; "%USERPROFILE%\Documents\GitHub\mrs-test-scripts\Headless Mode &amp; Sideloading\WalkAndUnGZ.bat" "%USERPROFILE%\AppData\Local\Temp\OnboardLogs"\RTDC4005\2017-03-17</v>
      </c>
      <c r="S34" s="92" t="str">
        <f>VLOOKUP(C34,'Train Runs'!$A$13:$AE$9950,22,0)</f>
        <v>https://d0f6bd738d7f1b3e5a7ca70fe4ff75f0.us-east-1.aws.found.io/app/kibana#/discover/Steve-Slow-Train-Analysis-(2080s-and-2083s)?_g=(refreshInterval:(display:Off,pause:!f,section:0,value:0),time:(from:'2017-03-16T13:37:16-0600',mode:absolute,to:'2017-03-16T16:26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4" s="94" t="str">
        <f t="shared" si="1"/>
        <v>"C:\Program Files (x86)\AstroGrep\AstroGrep.exe" /e /r /s /spath="%USERPROFILE%\AppData\Local\Temp\OnboardLogs" /stypes="*4005*201703162*" /stext=" 21:.+((SYSTEM_STATE.+slice.+state.+changed )|(ment ac)|(multiple cpu faults)|(system.+state.+changed )|(\[timeout)|(PRM\|1\|D)|(kpr)|(kdp)|(\|lc)|(penalty))"</v>
      </c>
      <c r="U34" s="9" t="str">
        <f t="shared" si="2"/>
        <v>4005</v>
      </c>
      <c r="V34" s="32">
        <f t="shared" si="3"/>
        <v>42810.893194444441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{"issue":{"subject":"","project_id":79,"tracker_id":40,"status_id":1,"priority_id":2,"assigned_to_id":23,"start_date":"2017-03-16","description":"","custom_fields":[{"id":1,"name":"Subdivision","value":"EC"},{"id":4,"name":"Milepost","value":"0.0826"},{"id":17,"name":"Train ID","value":"182-16"},{"id":16,"name":"Locomotive ID","value":"4005"},{"id":130,"name":"Impact","value":""},{"id":150,"name":"Time of Event (Mountain Time)","value":"15:26:12"},{"id":151,"name":"Denver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"%USERPROFILE%\AppData\Local\Temp\OnboardLogs"\RTDC4005\*4005*201703162*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"%USERPROFILE%\AppData\Local\Temp\OnboardLogs"\RTDC4005\*4005*201703162* &gt;&gt; 2017-03-16-SliceDisagreementCheck.txt</v>
      </c>
      <c r="AE34" s="157" t="str">
        <f t="shared" si="9"/>
        <v>start /low /b %USERPROFILE%\Documents\GitHub\eaglep3\Utilities\DownloadLogsFromS3.py --loco 4005 --day 2017-03-16</v>
      </c>
      <c r="AF34" s="1"/>
    </row>
    <row r="35" spans="1:32" x14ac:dyDescent="0.25">
      <c r="A35" s="32">
        <v>42810.726678240739</v>
      </c>
      <c r="B35" s="30" t="s">
        <v>601</v>
      </c>
      <c r="C35" s="30" t="s">
        <v>625</v>
      </c>
      <c r="D35" s="30" t="s">
        <v>49</v>
      </c>
      <c r="E35" s="30" t="s">
        <v>224</v>
      </c>
      <c r="F35" s="43">
        <v>300</v>
      </c>
      <c r="G35" s="43">
        <v>352</v>
      </c>
      <c r="H35" s="43">
        <v>20653</v>
      </c>
      <c r="I35" s="43">
        <v>21801</v>
      </c>
      <c r="J35" s="30" t="s">
        <v>225</v>
      </c>
      <c r="K35" s="43">
        <v>21299</v>
      </c>
      <c r="L35" s="143" t="s">
        <v>50</v>
      </c>
      <c r="M35" s="144">
        <f t="shared" si="0"/>
        <v>-265.05599999999998</v>
      </c>
      <c r="N35" s="145" t="str">
        <f>VLOOKUP(C35,'Trips&amp;Operators'!$C$1:$G$99999,5,FALSE)</f>
        <v>FORTUNATO FRANK</v>
      </c>
      <c r="O35" s="194" t="s">
        <v>185</v>
      </c>
      <c r="P35" s="146"/>
      <c r="Q35" s="30"/>
      <c r="R35" s="89" t="str">
        <f>IF(VLOOKUP(C35,'Train Runs'!$A$13:$AE$9950,1,1)=C35,VLOOKUP(C35,'Train Runs'!$A$13:$AE$9950,31,1),NA())</f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S35" s="92" t="str">
        <f>VLOOKUP(C35,'Train Runs'!$A$13:$AE$9950,22,0)</f>
        <v>https://d0f6bd738d7f1b3e5a7ca70fe4ff75f0.us-east-1.aws.found.io/app/kibana#/discover/Steve-Slow-Train-Analysis-(2080s-and-2083s)?_g=(refreshInterval:(display:Off,pause:!f,section:0,value:0),time:(from:'2017-03-16T16:10:23-0600',mode:absolute,to:'2017-03-16T18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5" s="94" t="str">
        <f t="shared" si="1"/>
        <v>"C:\Program Files (x86)\AstroGrep\AstroGrep.exe" /e /r /s /spath="%USERPROFILE%\AppData\Local\Temp\OnboardLogs" /stypes="*4018*201703162*" /stext=" 23:.+((SYSTEM_STATE.+slice.+state.+changed )|(ment ac)|(multiple cpu faults)|(system.+state.+changed )|(\[timeout)|(PRM\|1\|D)|(kpr)|(kdp)|(\|lc)|(penalty))"</v>
      </c>
      <c r="U35" s="9" t="str">
        <f t="shared" si="2"/>
        <v>4018</v>
      </c>
      <c r="V35" s="32">
        <f t="shared" si="3"/>
        <v>42810.976678240739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{"issue":{"subject":"","project_id":79,"tracker_id":40,"status_id":1,"priority_id":2,"assigned_to_id":23,"start_date":"2017-03-16","description":"","custom_fields":[{"id":1,"name":"Subdivision","value":"NW"},{"id":4,"name":"Milepost","value":"2.1299"},{"id":17,"name":"Train ID","value":"833-16"},{"id":16,"name":"Locomotive ID","value":"4018"},{"id":130,"name":"Impact","value":""},{"id":150,"name":"Time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"%USERPROFILE%\AppData\Local\Temp\OnboardLogs"\RTDC4018\*4018*201703162*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"%USERPROFILE%\AppData\Local\Temp\OnboardLogs"\RTDC4018\*4018*201703162* &gt;&gt; 2017-03-16-SliceDisagreementCheck.txt</v>
      </c>
      <c r="AE35" s="157" t="str">
        <f t="shared" si="9"/>
        <v>start /low /b %USERPROFILE%\Documents\GitHub\eaglep3\Utilities\DownloadLogsFromS3.py --loco 4018 --day 2017-03-16</v>
      </c>
      <c r="AF35" s="1"/>
    </row>
    <row r="36" spans="1:32" x14ac:dyDescent="0.25">
      <c r="A36" s="32">
        <v>42810.935277777775</v>
      </c>
      <c r="B36" s="30" t="s">
        <v>601</v>
      </c>
      <c r="C36" s="30" t="s">
        <v>638</v>
      </c>
      <c r="D36" s="30" t="s">
        <v>49</v>
      </c>
      <c r="E36" s="30" t="s">
        <v>224</v>
      </c>
      <c r="F36" s="43">
        <v>300</v>
      </c>
      <c r="G36" s="43">
        <v>351</v>
      </c>
      <c r="H36" s="43">
        <v>20966</v>
      </c>
      <c r="I36" s="43">
        <v>21894</v>
      </c>
      <c r="J36" s="30" t="s">
        <v>225</v>
      </c>
      <c r="K36" s="43">
        <v>21299</v>
      </c>
      <c r="L36" s="143" t="s">
        <v>50</v>
      </c>
      <c r="M36" s="144">
        <f t="shared" si="0"/>
        <v>-314.16000000000003</v>
      </c>
      <c r="N36" s="145" t="str">
        <f>VLOOKUP(C36,'Trips&amp;Operators'!$C$1:$G$99999,5,FALSE)</f>
        <v>MENGES BRAD</v>
      </c>
      <c r="O36" s="194" t="s">
        <v>185</v>
      </c>
      <c r="P36" s="146"/>
      <c r="Q36" s="30"/>
      <c r="R36" s="89" t="e">
        <f>IF(VLOOKUP(C36,'Train Runs'!$A$13:$AE$9950,1,1)=C36,VLOOKUP(C36,'Train Runs'!$A$13:$AE$9950,31,1),NA())</f>
        <v>#N/A</v>
      </c>
      <c r="S36" s="92" t="str">
        <f>VLOOKUP(C36,'Train Runs'!$A$13:$AE$9950,22,0)</f>
        <v>https://d0f6bd738d7f1b3e5a7ca70fe4ff75f0.us-east-1.aws.found.io/app/kibana#/discover/Steve-Slow-Train-Analysis-(2080s-and-2083s)?_g=(refreshInterval:(display:Off,pause:!f,section:0,value:0),time:(from:'2017-03-16T21:06:01-0600',mode:absolute,to:'2017-03-16T23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94" t="str">
        <f t="shared" si="1"/>
        <v>"C:\Program Files (x86)\AstroGrep\AstroGrep.exe" /e /r /s /spath="%USERPROFILE%\AppData\Local\Temp\OnboardLogs" /stypes="*4018*201703170*" /stext=" 04:.+((SYSTEM_STATE.+slice.+state.+changed )|(ment ac)|(multiple cpu faults)|(system.+state.+changed )|(\[timeout)|(PRM\|1\|D)|(kpr)|(kdp)|(\|lc)|(penalty))"</v>
      </c>
      <c r="U36" s="9" t="str">
        <f t="shared" si="2"/>
        <v>4018</v>
      </c>
      <c r="V36" s="32">
        <f t="shared" si="3"/>
        <v>42811.185277777775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{"issue":{"subject":"","project_id":79,"tracker_id":40,"status_id":1,"priority_id":2,"assigned_to_id":23,"start_date":"2017-03-16","description":"","custom_fields":[{"id":1,"name":"Subdivision","value":"NW"},{"id":4,"name":"Milepost","value":"2.1299"},{"id":17,"name":"Train ID","value":"847-16"},{"id":16,"name":"Locomotive ID","value":"4018"},{"id":130,"name":"Impact","value":""},{"id":150,"name":"Time of Event (Mountain Time)","value":"22:26:48"},{"id":151,"name":"Denver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"%USERPROFILE%\AppData\Local\Temp\OnboardLogs"\RTDC4018\*4018*201703170*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"%USERPROFILE%\AppData\Local\Temp\OnboardLogs"\RTDC4018\*4018*201703170* &gt;&gt; 2017-03-16-SliceDisagreementCheck.txt</v>
      </c>
      <c r="AE36" s="157" t="str">
        <f t="shared" si="9"/>
        <v>start /low /b %USERPROFILE%\Documents\GitHub\eaglep3\Utilities\DownloadLogsFromS3.py --loco 4018 --day 2017-03-17</v>
      </c>
      <c r="AF36" s="1"/>
    </row>
    <row r="37" spans="1:32" x14ac:dyDescent="0.25">
      <c r="A37" s="32">
        <v>42810.662442129629</v>
      </c>
      <c r="B37" s="30" t="s">
        <v>611</v>
      </c>
      <c r="C37" s="30" t="s">
        <v>621</v>
      </c>
      <c r="D37" s="30" t="s">
        <v>49</v>
      </c>
      <c r="E37" s="30" t="s">
        <v>224</v>
      </c>
      <c r="F37" s="43">
        <v>300</v>
      </c>
      <c r="G37" s="43">
        <v>380</v>
      </c>
      <c r="H37" s="43">
        <v>24714</v>
      </c>
      <c r="I37" s="43">
        <v>23546</v>
      </c>
      <c r="J37" s="30" t="s">
        <v>225</v>
      </c>
      <c r="K37" s="43">
        <v>23561</v>
      </c>
      <c r="L37" s="143" t="s">
        <v>51</v>
      </c>
      <c r="M37" s="144">
        <f t="shared" si="0"/>
        <v>-7.92</v>
      </c>
      <c r="N37" s="145" t="str">
        <f>VLOOKUP(C37,'Trips&amp;Operators'!$C$1:$G$99999,5,FALSE)</f>
        <v>FORTUNATO FRANK</v>
      </c>
      <c r="O37" s="194" t="s">
        <v>185</v>
      </c>
      <c r="P37" s="146"/>
      <c r="Q37" s="30"/>
      <c r="R37" s="89" t="str">
        <f>IF(VLOOKUP(C37,'Train Runs'!$A$13:$AE$9950,1,1)=C37,VLOOKUP(C37,'Train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37" s="92" t="str">
        <f>VLOOKUP(C37,'Train Runs'!$A$13:$AE$9950,22,0)</f>
        <v>https://d0f6bd738d7f1b3e5a7ca70fe4ff75f0.us-east-1.aws.found.io/app/kibana#/discover/Steve-Slow-Train-Analysis-(2080s-and-2083s)?_g=(refreshInterval:(display:Off,pause:!f,section:0,value:0),time:(from:'2017-03-16T14:44:09-0600',mode:absolute,to:'2017-03-16T17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7" s="94" t="str">
        <f t="shared" si="1"/>
        <v>"C:\Program Files (x86)\AstroGrep\AstroGrep.exe" /e /r /s /spath="%USERPROFILE%\AppData\Local\Temp\OnboardLogs" /stypes="*4017*201703162*" /stext=" 21:.+((SYSTEM_STATE.+slice.+state.+changed )|(ment ac)|(multiple cpu faults)|(system.+state.+changed )|(\[timeout)|(PRM\|1\|D)|(kpr)|(kdp)|(\|lc)|(penalty))"</v>
      </c>
      <c r="U37" s="9" t="str">
        <f t="shared" si="2"/>
        <v>4017</v>
      </c>
      <c r="V37" s="32">
        <f t="shared" si="3"/>
        <v>42810.912442129629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{"issue":{"subject":"","project_id":79,"tracker_id":40,"status_id":1,"priority_id":2,"assigned_to_id":23,"start_date":"2017-03-16","description":"","custom_fields":[{"id":1,"name":"Subdivision","value":"NW"},{"id":4,"name":"Milepost","value":"2.3561"},{"id":17,"name":"Train ID","value":"826-16"},{"id":16,"name":"Locomotive ID","value":"4017"},{"id":130,"name":"Impact","value":""},{"id":150,"name":"Time of Event (Mountain Time)","value":"15:53:55"},{"id":151,"name":"Denver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"%USERPROFILE%\AppData\Local\Temp\OnboardLogs"\RTDC4017\*4017*201703162*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"%USERPROFILE%\AppData\Local\Temp\OnboardLogs"\RTDC4017\*4017*201703162* &gt;&gt; 2017-03-16-SliceDisagreementCheck.txt</v>
      </c>
      <c r="AE37" s="157" t="str">
        <f t="shared" si="9"/>
        <v>start /low /b %USERPROFILE%\Documents\GitHub\eaglep3\Utilities\DownloadLogsFromS3.py --loco 4017 --day 2017-03-16</v>
      </c>
      <c r="AF37" s="1"/>
    </row>
    <row r="38" spans="1:32" x14ac:dyDescent="0.25">
      <c r="A38" s="32">
        <v>42810.721666666665</v>
      </c>
      <c r="B38" s="30" t="s">
        <v>452</v>
      </c>
      <c r="C38" s="30" t="s">
        <v>624</v>
      </c>
      <c r="D38" s="30" t="s">
        <v>49</v>
      </c>
      <c r="E38" s="30" t="s">
        <v>224</v>
      </c>
      <c r="F38" s="43">
        <v>300</v>
      </c>
      <c r="G38" s="43">
        <v>425</v>
      </c>
      <c r="H38" s="43">
        <v>25177</v>
      </c>
      <c r="I38" s="43">
        <v>23913</v>
      </c>
      <c r="J38" s="30" t="s">
        <v>225</v>
      </c>
      <c r="K38" s="43">
        <v>23561</v>
      </c>
      <c r="L38" s="143" t="s">
        <v>51</v>
      </c>
      <c r="M38" s="144">
        <f t="shared" si="0"/>
        <v>185.85599999999999</v>
      </c>
      <c r="N38" s="145" t="str">
        <f>VLOOKUP(C38,'Trips&amp;Operators'!$C$1:$G$99999,5,FALSE)</f>
        <v>MENGES BRAD</v>
      </c>
      <c r="O38" s="194" t="s">
        <v>185</v>
      </c>
      <c r="P38" s="146"/>
      <c r="Q38" s="30"/>
      <c r="R38" s="89" t="str">
        <f>IF(VLOOKUP(C38,'Train Runs'!$A$13:$AE$9950,1,1)=C38,VLOOKUP(C38,'Train Runs'!$A$13:$AE$9950,31,1),NA())</f>
        <v>aws s3 cp s3://rtdc.mdm.uploadarchive.raw/RTDC4010/ "%USERPROFILE%\AppData\Local\Temp\OnboardLogs"\RTDC4010\2017-03-16 --exclude "*" --recursive --include "*20170316*" &amp; "%USERPROFILE%\Documents\GitHub\mrs-test-scripts\Headless Mode &amp; Sideloading\WalkAndUnGZ.bat" "%USERPROFILE%\AppData\Local\Temp\OnboardLogs"\RTDC4010\2017-03-16 &amp; aws s3 cp s3://rtdc.mdm.uploadarchive.raw/RTDC4010/ "%USERPROFILE%\AppData\Local\Temp\OnboardLogs"\RTDC4010\2017-03-17 --exclude "*" --recursive --include "*20170317*" &amp; "%USERPROFILE%\Documents\GitHub\mrs-test-scripts\Headless Mode &amp; Sideloading\WalkAndUnGZ.bat" "%USERPROFILE%\AppData\Local\Temp\OnboardLogs"\RTDC4010\2017-03-17</v>
      </c>
      <c r="S38" s="92" t="str">
        <f>VLOOKUP(C38,'Train Runs'!$A$13:$AE$9950,22,0)</f>
        <v>https://d0f6bd738d7f1b3e5a7ca70fe4ff75f0.us-east-1.aws.found.io/app/kibana#/discover/Steve-Slow-Train-Analysis-(2080s-and-2083s)?_g=(refreshInterval:(display:Off,pause:!f,section:0,value:0),time:(from:'2017-03-16T16:08:12-0600',mode:absolute,to:'2017-03-16T18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8" s="94" t="str">
        <f t="shared" si="1"/>
        <v>"C:\Program Files (x86)\AstroGrep\AstroGrep.exe" /e /r /s /spath="%USERPROFILE%\AppData\Local\Temp\OnboardLogs" /stypes="*4010*201703162*" /stext=" 23:.+((SYSTEM_STATE.+slice.+state.+changed )|(ment ac)|(multiple cpu faults)|(system.+state.+changed )|(\[timeout)|(PRM\|1\|D)|(kpr)|(kdp)|(\|lc)|(penalty))"</v>
      </c>
      <c r="U38" s="9" t="str">
        <f t="shared" si="2"/>
        <v>4010</v>
      </c>
      <c r="V38" s="32">
        <f t="shared" si="3"/>
        <v>42810.971666666665</v>
      </c>
      <c r="W38" s="46" t="str">
        <f t="shared" si="4"/>
        <v>NW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{"issue":{"subject":"","project_id":79,"tracker_id":40,"status_id":1,"priority_id":2,"assigned_to_id":23,"start_date":"2017-03-16","description":"","custom_fields":[{"id":1,"name":"Subdivision","value":"NW"},{"id":4,"name":"Milepost","value":"2.3561"},{"id":17,"name":"Train ID","value":"832-16"},{"id":16,"name":"Locomotive ID","value":"4010"},{"id":130,"name":"Impact","value":""},{"id":150,"name":"Time of Event (Mountain Time)","value":"17:19:12"},{"id":151,"name":"Denver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"%USERPROFILE%\AppData\Local\Temp\OnboardLogs"\RTDC4010\*4010*201703162*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"%USERPROFILE%\AppData\Local\Temp\OnboardLogs"\RTDC4010\*4010*201703162* &gt;&gt; 2017-03-16-SliceDisagreementCheck.txt</v>
      </c>
      <c r="AE38" s="157" t="str">
        <f t="shared" si="9"/>
        <v>start /low /b %USERPROFILE%\Documents\GitHub\eaglep3\Utilities\DownloadLogsFromS3.py --loco 4010 --day 2017-03-16</v>
      </c>
      <c r="AF38" s="1"/>
    </row>
    <row r="39" spans="1:32" x14ac:dyDescent="0.25">
      <c r="A39" s="32">
        <v>42810.743344907409</v>
      </c>
      <c r="B39" s="30" t="s">
        <v>611</v>
      </c>
      <c r="C39" s="30" t="s">
        <v>628</v>
      </c>
      <c r="D39" s="30" t="s">
        <v>49</v>
      </c>
      <c r="E39" s="30" t="s">
        <v>224</v>
      </c>
      <c r="F39" s="43">
        <v>300</v>
      </c>
      <c r="G39" s="43">
        <v>414</v>
      </c>
      <c r="H39" s="43">
        <v>25205</v>
      </c>
      <c r="I39" s="43">
        <v>23940</v>
      </c>
      <c r="J39" s="30" t="s">
        <v>225</v>
      </c>
      <c r="K39" s="43">
        <v>23561</v>
      </c>
      <c r="L39" s="143" t="s">
        <v>51</v>
      </c>
      <c r="M39" s="144">
        <f t="shared" ref="M39:M70" si="10">CONVERT((I39-K39)/10000,"mi","ft")*IF(L39="Increasing Mileposts (1)",-1,1)</f>
        <v>200.11199999999999</v>
      </c>
      <c r="N39" s="145" t="str">
        <f>VLOOKUP(C39,'Trips&amp;Operators'!$C$1:$G$99999,5,FALSE)</f>
        <v>FORTUNATO FRANK</v>
      </c>
      <c r="O39" s="194" t="s">
        <v>185</v>
      </c>
      <c r="P39" s="146"/>
      <c r="Q39" s="30"/>
      <c r="R39" s="89" t="str">
        <f>IF(VLOOKUP(C39,'Train Runs'!$A$13:$AE$9950,1,1)=C39,VLOOKUP(C39,'Train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39" s="92" t="str">
        <f>VLOOKUP(C39,'Train Runs'!$A$13:$AE$9950,22,0)</f>
        <v>https://d0f6bd738d7f1b3e5a7ca70fe4ff75f0.us-east-1.aws.found.io/app/kibana#/discover/Steve-Slow-Train-Analysis-(2080s-and-2083s)?_g=(refreshInterval:(display:Off,pause:!f,section:0,value:0),time:(from:'2017-03-16T16:38:53-0600',mode:absolute,to:'2017-03-16T18:58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9" s="94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/stypes="*4017*201703162*" /stext=" 23:.+((SYSTEM_STATE.+slice.+state.+changed )|(ment ac)|(multiple cpu faults)|(system.+state.+changed )|(\[timeout)|(PRM\|1\|D)|(kpr)|(kdp)|(\|lc)|(penalty))"</v>
      </c>
      <c r="U39" s="9" t="str">
        <f t="shared" ref="U39:U60" si="12">MID(B39,13,4)</f>
        <v>4017</v>
      </c>
      <c r="V39" s="32">
        <f t="shared" ref="V39:V60" si="13">A39-utc_offset/24</f>
        <v>42810.993344907409</v>
      </c>
      <c r="W39" s="46" t="str">
        <f t="shared" ref="W39:W60" si="14">IFERROR(IF(VALUE(LEFT(IF(LEN(C39)=6,"0"&amp;C39,C39),2))&lt;=2,"EC",IF(OR(VALUE(LEFT(IF(LEN(C39)=6,"0"&amp;C39,C39),2))=8,VALUE(LEFT(IF(LEN(C39)=6,"0"&amp;C39,C39),2))=18),"NW","Other")),"Other")</f>
        <v>NW</v>
      </c>
      <c r="X39" s="46" t="str">
        <f t="shared" ref="X39:X60" si="15">IF(AND(E39="TRACK WARRANT AUTHORITY",G39&lt;10),"OMIT","KEEP")</f>
        <v>KEEP</v>
      </c>
      <c r="Y39" s="108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{"issue":{"subject":"","project_id":79,"tracker_id":40,"status_id":1,"priority_id":2,"assigned_to_id":23,"start_date":"2017-03-16","description":"","custom_fields":[{"id":1,"name":"Subdivision","value":"NW"},{"id":4,"name":"Milepost","value":"2.3561"},{"id":17,"name":"Train ID","value":"834-16"},{"id":16,"name":"Locomotive ID","value":"4017"},{"id":130,"name":"Impact","value":""},{"id":150,"name":"Time of Event (Mountain Time)","value":"17:50:25"},{"id":151,"name":"Denver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0" si="17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"%USERPROFILE%\AppData\Local\Temp\OnboardLogs"\RTDC4017\*4017*201703162*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"%USERPROFILE%\AppData\Local\Temp\OnboardLogs"\RTDC4017\*4017*201703162* &gt;&gt; 2017-03-16-SliceDisagreementCheck.txt</v>
      </c>
      <c r="AE39" s="157" t="str">
        <f t="shared" si="9"/>
        <v>start /low /b %USERPROFILE%\Documents\GitHub\eaglep3\Utilities\DownloadLogsFromS3.py --loco 4017 --day 2017-03-16</v>
      </c>
      <c r="AF39" s="1"/>
    </row>
    <row r="40" spans="1:32" x14ac:dyDescent="0.25">
      <c r="A40" s="32">
        <v>42810.777777777781</v>
      </c>
      <c r="B40" s="30" t="s">
        <v>611</v>
      </c>
      <c r="C40" s="30" t="s">
        <v>632</v>
      </c>
      <c r="D40" s="30" t="s">
        <v>49</v>
      </c>
      <c r="E40" s="30" t="s">
        <v>386</v>
      </c>
      <c r="F40" s="43">
        <v>0</v>
      </c>
      <c r="G40" s="43">
        <v>24</v>
      </c>
      <c r="H40" s="43">
        <v>57920</v>
      </c>
      <c r="I40" s="43">
        <v>57804</v>
      </c>
      <c r="J40" s="30" t="s">
        <v>387</v>
      </c>
      <c r="K40" s="43">
        <v>24235</v>
      </c>
      <c r="L40" s="143" t="s">
        <v>51</v>
      </c>
      <c r="M40" s="144">
        <f t="shared" si="10"/>
        <v>17724.432000000001</v>
      </c>
      <c r="N40" s="145" t="str">
        <f>VLOOKUP(C40,'Trips&amp;Operators'!$C$1:$G$99999,5,FALSE)</f>
        <v>FORTUNATO FRANK</v>
      </c>
      <c r="O40" s="194" t="s">
        <v>389</v>
      </c>
      <c r="P40" s="146" t="s">
        <v>1041</v>
      </c>
      <c r="Q40" s="30"/>
      <c r="R40" s="89" t="str">
        <f>IF(VLOOKUP(C40,'Train Runs'!$A$13:$AE$9950,1,1)=C40,VLOOKUP(C40,'Train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0" s="92" t="str">
        <f>VLOOKUP(C40,'Train Runs'!$A$13:$AE$9950,22,0)</f>
        <v>https://d0f6bd738d7f1b3e5a7ca70fe4ff75f0.us-east-1.aws.found.io/app/kibana#/discover/Steve-Slow-Train-Analysis-(2080s-and-2083s)?_g=(refreshInterval:(display:Off,pause:!f,section:0,value:0),time:(from:'2017-03-16T17:37:08-0600',mode:absolute,to:'2017-03-16T19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94" t="str">
        <f t="shared" si="11"/>
        <v>"C:\Program Files (x86)\AstroGrep\AstroGrep.exe" /e /r /s /spath="%USERPROFILE%\AppData\Local\Temp\OnboardLogs" /stypes="*4017*201703170*" /stext=" 00:.+((SYSTEM_STATE.+slice.+state.+changed )|(ment ac)|(multiple cpu faults)|(system.+state.+changed )|(\[timeout)|(PRM\|1\|D)|(kpr)|(kdp)|(\|lc)|(penalty))"</v>
      </c>
      <c r="U40" s="9" t="str">
        <f t="shared" si="12"/>
        <v>4017</v>
      </c>
      <c r="V40" s="32">
        <f t="shared" si="13"/>
        <v>42811.027777777781</v>
      </c>
      <c r="W40" s="46" t="str">
        <f t="shared" si="14"/>
        <v>NW</v>
      </c>
      <c r="X40" s="46" t="str">
        <f t="shared" si="15"/>
        <v>KEEP</v>
      </c>
      <c r="Y40" s="108" t="str">
        <f t="shared" si="16"/>
        <v>echo {"issue":{"subject":"Minor onboard in-route failure (braking algorithm enforced target 2.5 mi away)","project_id":79,"tracker_id":40,"status_id":1,"priority_id":2,"assigned_to_id":23,"start_date":"2017-03-16","description":"","custom_fields":[{"id":1,"name":"Subdivision","value":"NW"},{"id":4,"name":"Milepost","value":"2.4235"},{"id":17,"name":"Train ID","value":"838-16"},{"id":16,"name":"Locomotive ID","value":"4017"},{"id":130,"name":"Impact","value":""},{"id":150,"name":"Time of Event (Mountain Time)","value":"18:40:00"},{"id":151,"name":"Denver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7"/>
        <v>grep -hSE -A400 "Enforcement Action" "%USERPROFILE%\AppData\Local\Temp\OnboardLogs"\RTDC4017\*4017*201703170*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"%USERPROFILE%\AppData\Local\Temp\OnboardLogs"\RTDC4017\*4017*201703170* &gt;&gt; 2017-03-16-SliceDisagreementCheck.txt</v>
      </c>
      <c r="AE40" s="157" t="str">
        <f t="shared" si="9"/>
        <v>start /low /b %USERPROFILE%\Documents\GitHub\eaglep3\Utilities\DownloadLogsFromS3.py --loco 4017 --day 2017-03-17</v>
      </c>
      <c r="AF40" s="1"/>
    </row>
    <row r="41" spans="1:32" x14ac:dyDescent="0.25">
      <c r="A41" s="32">
        <v>42810.654074074075</v>
      </c>
      <c r="B41" s="30" t="s">
        <v>611</v>
      </c>
      <c r="C41" s="30" t="s">
        <v>621</v>
      </c>
      <c r="D41" s="30" t="s">
        <v>98</v>
      </c>
      <c r="E41" s="30" t="s">
        <v>386</v>
      </c>
      <c r="F41" s="43">
        <v>0</v>
      </c>
      <c r="G41" s="43">
        <v>108</v>
      </c>
      <c r="H41" s="43">
        <v>58025</v>
      </c>
      <c r="I41" s="43">
        <v>57844</v>
      </c>
      <c r="J41" s="30" t="s">
        <v>387</v>
      </c>
      <c r="K41" s="43">
        <v>48761</v>
      </c>
      <c r="L41" s="143" t="s">
        <v>50</v>
      </c>
      <c r="M41" s="144">
        <f t="shared" si="10"/>
        <v>-4795.8239999999996</v>
      </c>
      <c r="N41" s="145" t="str">
        <f>VLOOKUP(C41,'Trips&amp;Operators'!$C$1:$G$99999,5,FALSE)</f>
        <v>FORTUNATO FRANK</v>
      </c>
      <c r="O41" s="194" t="s">
        <v>185</v>
      </c>
      <c r="P41" s="146" t="s">
        <v>1040</v>
      </c>
      <c r="Q41" s="30"/>
      <c r="R41" s="89" t="str">
        <f>IF(VLOOKUP(C41,'Train Runs'!$A$13:$AE$9950,1,1)=C41,VLOOKUP(C41,'Train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1" s="92" t="str">
        <f>VLOOKUP(C41,'Train Runs'!$A$13:$AE$9950,22,0)</f>
        <v>https://d0f6bd738d7f1b3e5a7ca70fe4ff75f0.us-east-1.aws.found.io/app/kibana#/discover/Steve-Slow-Train-Analysis-(2080s-and-2083s)?_g=(refreshInterval:(display:Off,pause:!f,section:0,value:0),time:(from:'2017-03-16T14:44:09-0600',mode:absolute,to:'2017-03-16T17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1" s="94" t="str">
        <f t="shared" si="11"/>
        <v>"C:\Program Files (x86)\AstroGrep\AstroGrep.exe" /e /r /s /spath="%USERPROFILE%\AppData\Local\Temp\OnboardLogs" /stypes="*4017*201703162*" /stext=" 21:.+((SYSTEM_STATE.+slice.+state.+changed )|(ment ac)|(multiple cpu faults)|(system.+state.+changed )|(\[timeout)|(PRM\|1\|D)|(kpr)|(kdp)|(\|lc)|(penalty))"</v>
      </c>
      <c r="U41" s="9" t="str">
        <f t="shared" si="12"/>
        <v>4017</v>
      </c>
      <c r="V41" s="32">
        <f t="shared" si="13"/>
        <v>42810.904074074075</v>
      </c>
      <c r="W41" s="46" t="str">
        <f t="shared" si="14"/>
        <v>NW</v>
      </c>
      <c r="X41" s="46" t="str">
        <f t="shared" si="15"/>
        <v>KEEP</v>
      </c>
      <c r="Y41" s="108" t="str">
        <f t="shared" si="16"/>
        <v>echo {"issue":{"subject":"Reverser handle in neutral","project_id":79,"tracker_id":40,"status_id":1,"priority_id":2,"assigned_to_id":23,"start_date":"2017-03-16","description":"","custom_fields":[{"id":1,"name":"Subdivision","value":"NW"},{"id":4,"name":"Milepost","value":"4.8761"},{"id":17,"name":"Train ID","value":"826-16"},{"id":16,"name":"Locomotive ID","value":"4017"},{"id":130,"name":"Impact","value":""},{"id":150,"name":"Time of Event (Mountain Time)","value":"15:41:52"},{"id":151,"name":"Denver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7"/>
        <v>grep -hSE -A400 "Enforcement Action" "%USERPROFILE%\AppData\Local\Temp\OnboardLogs"\RTDC4017\*4017*201703162*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"%USERPROFILE%\AppData\Local\Temp\OnboardLogs"\RTDC4017\*4017*201703162* &gt;&gt; 2017-03-16-SliceDisagreementCheck.txt</v>
      </c>
      <c r="AE41" s="157" t="str">
        <f t="shared" si="9"/>
        <v>start /low /b %USERPROFILE%\Documents\GitHub\eaglep3\Utilities\DownloadLogsFromS3.py --loco 4017 --day 2017-03-16</v>
      </c>
      <c r="AF41" s="1"/>
    </row>
    <row r="42" spans="1:32" x14ac:dyDescent="0.25">
      <c r="A42" s="32">
        <v>42810.497094907405</v>
      </c>
      <c r="B42" s="30" t="s">
        <v>611</v>
      </c>
      <c r="C42" s="30" t="s">
        <v>612</v>
      </c>
      <c r="D42" s="30" t="s">
        <v>49</v>
      </c>
      <c r="E42" s="30" t="s">
        <v>186</v>
      </c>
      <c r="F42" s="43">
        <v>0</v>
      </c>
      <c r="G42" s="43">
        <v>50</v>
      </c>
      <c r="H42" s="43">
        <v>745</v>
      </c>
      <c r="I42" s="43">
        <v>694</v>
      </c>
      <c r="J42" s="30" t="s">
        <v>187</v>
      </c>
      <c r="K42" s="43">
        <v>575</v>
      </c>
      <c r="L42" s="143" t="s">
        <v>51</v>
      </c>
      <c r="M42" s="144">
        <f t="shared" si="10"/>
        <v>62.832000000000001</v>
      </c>
      <c r="N42" s="145" t="str">
        <f>VLOOKUP(C42,'Trips&amp;Operators'!$C$1:$G$99999,5,FALSE)</f>
        <v>WILLIAMS DONTE</v>
      </c>
      <c r="O42" s="194" t="s">
        <v>185</v>
      </c>
      <c r="P42" s="146"/>
      <c r="Q42" s="30"/>
      <c r="R42" s="89" t="str">
        <f>IF(VLOOKUP(C42,'Train Runs'!$A$13:$AE$9950,1,1)=C42,VLOOKUP(C42,'Train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2" s="92" t="str">
        <f>VLOOKUP(C42,'Train Runs'!$A$13:$AE$9950,22,0)</f>
        <v>https://d0f6bd738d7f1b3e5a7ca70fe4ff75f0.us-east-1.aws.found.io/app/kibana#/discover/Steve-Slow-Train-Analysis-(2080s-and-2083s)?_g=(refreshInterval:(display:Off,pause:!f,section:0,value:0),time:(from:'2017-03-16T10:38:22-0600',mode:absolute,to:'2017-03-16T12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2" s="94" t="str">
        <f t="shared" si="11"/>
        <v>"C:\Program Files (x86)\AstroGrep\AstroGrep.exe" /e /r /s /spath="%USERPROFILE%\AppData\Local\Temp\OnboardLogs" /stypes="*4017*201703161*" /stext=" 17:.+((SYSTEM_STATE.+slice.+state.+changed )|(ment ac)|(multiple cpu faults)|(system.+state.+changed )|(\[timeout)|(PRM\|1\|D)|(kpr)|(kdp)|(\|lc)|(penalty))"</v>
      </c>
      <c r="U42" s="9" t="str">
        <f t="shared" si="12"/>
        <v>4017</v>
      </c>
      <c r="V42" s="32">
        <f t="shared" si="13"/>
        <v>42810.747094907405</v>
      </c>
      <c r="W42" s="46" t="str">
        <f t="shared" si="14"/>
        <v>NW</v>
      </c>
      <c r="X42" s="46" t="str">
        <f t="shared" si="15"/>
        <v>KEEP</v>
      </c>
      <c r="Y42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{"issue":{"subject":"","project_id":79,"tracker_id":40,"status_id":1,"priority_id":2,"assigned_to_id":23,"start_date":"2017-03-16","description":"","custom_fields":[{"id":1,"name":"Subdivision","value":"NW"},{"id":4,"name":"Milepost","value":"0.0575"},{"id":17,"name":"Train ID","value":"818-16"},{"id":16,"name":"Locomotive ID","value":"4017"},{"id":130,"name":"Impact","value":""},{"id":150,"name":"Time of Event (Mountain Time)","value":"11:55:49"},{"id":151,"name":"Denver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7"/>
        <v>grep -hSE -A400 "Enforcement Action" "%USERPROFILE%\AppData\Local\Temp\OnboardLogs"\RTDC4017\*4017*201703161*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"%USERPROFILE%\AppData\Local\Temp\OnboardLogs"\RTDC4017\*4017*201703161* &gt;&gt; 2017-03-16-SliceDisagreementCheck.txt</v>
      </c>
      <c r="AE42" s="157" t="str">
        <f t="shared" si="9"/>
        <v>start /low /b %USERPROFILE%\Documents\GitHub\eaglep3\Utilities\DownloadLogsFromS3.py --loco 4017 --day 2017-03-16</v>
      </c>
      <c r="AF42" s="1"/>
    </row>
    <row r="43" spans="1:32" x14ac:dyDescent="0.25">
      <c r="A43" s="32">
        <v>42810.581446759257</v>
      </c>
      <c r="B43" s="30" t="s">
        <v>611</v>
      </c>
      <c r="C43" s="30" t="s">
        <v>615</v>
      </c>
      <c r="D43" s="30" t="s">
        <v>49</v>
      </c>
      <c r="E43" s="30" t="s">
        <v>186</v>
      </c>
      <c r="F43" s="43">
        <v>0</v>
      </c>
      <c r="G43" s="43">
        <v>57</v>
      </c>
      <c r="H43" s="43">
        <v>757</v>
      </c>
      <c r="I43" s="43">
        <v>727</v>
      </c>
      <c r="J43" s="30" t="s">
        <v>187</v>
      </c>
      <c r="K43" s="43">
        <v>575</v>
      </c>
      <c r="L43" s="143" t="s">
        <v>51</v>
      </c>
      <c r="M43" s="144">
        <f t="shared" si="10"/>
        <v>80.256</v>
      </c>
      <c r="N43" s="145" t="str">
        <f>VLOOKUP(C43,'Trips&amp;Operators'!$C$1:$G$99999,5,FALSE)</f>
        <v>FORTUNATO FRANK</v>
      </c>
      <c r="O43" s="194" t="s">
        <v>185</v>
      </c>
      <c r="P43" s="146"/>
      <c r="Q43" s="30"/>
      <c r="R43" s="89" t="str">
        <f>IF(VLOOKUP(C43,'Train Runs'!$A$13:$AE$9950,1,1)=C43,VLOOKUP(C43,'Train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3" s="92" t="str">
        <f>VLOOKUP(C43,'Train Runs'!$A$13:$AE$9950,22,0)</f>
        <v>https://d0f6bd738d7f1b3e5a7ca70fe4ff75f0.us-east-1.aws.found.io/app/kibana#/discover/Steve-Slow-Train-Analysis-(2080s-and-2083s)?_g=(refreshInterval:(display:Off,pause:!f,section:0,value:0),time:(from:'2017-03-16T12:36:46-0600',mode:absolute,to:'2017-03-16T14:57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3" s="94" t="str">
        <f t="shared" si="11"/>
        <v>"C:\Program Files (x86)\AstroGrep\AstroGrep.exe" /e /r /s /spath="%USERPROFILE%\AppData\Local\Temp\OnboardLogs" /stypes="*4017*201703161*" /stext=" 19:.+((SYSTEM_STATE.+slice.+state.+changed )|(ment ac)|(multiple cpu faults)|(system.+state.+changed )|(\[timeout)|(PRM\|1\|D)|(kpr)|(kdp)|(\|lc)|(penalty))"</v>
      </c>
      <c r="U43" s="9" t="str">
        <f t="shared" si="12"/>
        <v>4017</v>
      </c>
      <c r="V43" s="32">
        <f t="shared" si="13"/>
        <v>42810.831446759257</v>
      </c>
      <c r="W43" s="46" t="str">
        <f t="shared" si="14"/>
        <v>NW</v>
      </c>
      <c r="X43" s="46" t="str">
        <f t="shared" si="15"/>
        <v>KEEP</v>
      </c>
      <c r="Y43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{"issue":{"subject":"","project_id":79,"tracker_id":40,"status_id":1,"priority_id":2,"assigned_to_id":23,"start_date":"2017-03-16","description":"","custom_fields":[{"id":1,"name":"Subdivision","value":"NW"},{"id":4,"name":"Milepost","value":"0.0575"},{"id":17,"name":"Train ID","value":"822-16"},{"id":16,"name":"Locomotive ID","value":"4017"},{"id":130,"name":"Impact","value":""},{"id":150,"name":"Time of Event (Mountain Time)","value":"13:57:17"},{"id":151,"name":"Denver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7"/>
        <v>grep -hSE -A400 "Enforcement Action" "%USERPROFILE%\AppData\Local\Temp\OnboardLogs"\RTDC4017\*4017*201703161*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"%USERPROFILE%\AppData\Local\Temp\OnboardLogs"\RTDC4017\*4017*201703161* &gt;&gt; 2017-03-16-SliceDisagreementCheck.txt</v>
      </c>
      <c r="AE43" s="157" t="str">
        <f t="shared" si="9"/>
        <v>start /low /b %USERPROFILE%\Documents\GitHub\eaglep3\Utilities\DownloadLogsFromS3.py --loco 4017 --day 2017-03-16</v>
      </c>
      <c r="AF43" s="1"/>
    </row>
    <row r="44" spans="1:32" x14ac:dyDescent="0.25">
      <c r="A44" s="32">
        <v>42810.622430555559</v>
      </c>
      <c r="B44" s="30" t="s">
        <v>611</v>
      </c>
      <c r="C44" s="30" t="s">
        <v>618</v>
      </c>
      <c r="D44" s="30" t="s">
        <v>49</v>
      </c>
      <c r="E44" s="30" t="s">
        <v>186</v>
      </c>
      <c r="F44" s="43">
        <v>0</v>
      </c>
      <c r="G44" s="43">
        <v>66</v>
      </c>
      <c r="H44" s="43">
        <v>778</v>
      </c>
      <c r="I44" s="43">
        <v>719</v>
      </c>
      <c r="J44" s="30" t="s">
        <v>187</v>
      </c>
      <c r="K44" s="43">
        <v>575</v>
      </c>
      <c r="L44" s="143" t="s">
        <v>51</v>
      </c>
      <c r="M44" s="144">
        <f t="shared" si="10"/>
        <v>76.031999999999996</v>
      </c>
      <c r="N44" s="145" t="str">
        <f>VLOOKUP(C44,'Trips&amp;Operators'!$C$1:$G$99999,5,FALSE)</f>
        <v>FORTUNATO FRANK</v>
      </c>
      <c r="O44" s="194" t="s">
        <v>185</v>
      </c>
      <c r="P44" s="146"/>
      <c r="Q44" s="30"/>
      <c r="R44" s="89" t="str">
        <f>IF(VLOOKUP(C44,'Train Runs'!$A$13:$AE$9950,1,1)=C44,VLOOKUP(C44,'Train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4" s="92" t="str">
        <f>VLOOKUP(C44,'Train Runs'!$A$13:$AE$9950,22,0)</f>
        <v>https://d0f6bd738d7f1b3e5a7ca70fe4ff75f0.us-east-1.aws.found.io/app/kibana#/discover/Steve-Slow-Train-Analysis-(2080s-and-2083s)?_g=(refreshInterval:(display:Off,pause:!f,section:0,value:0),time:(from:'2017-03-16T13:37:42-0600',mode:absolute,to:'2017-03-16T15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94" t="str">
        <f t="shared" si="11"/>
        <v>"C:\Program Files (x86)\AstroGrep\AstroGrep.exe" /e /r /s /spath="%USERPROFILE%\AppData\Local\Temp\OnboardLogs" /stypes="*4017*201703162*" /stext=" 20:.+((SYSTEM_STATE.+slice.+state.+changed )|(ment ac)|(multiple cpu faults)|(system.+state.+changed )|(\[timeout)|(PRM\|1\|D)|(kpr)|(kdp)|(\|lc)|(penalty))"</v>
      </c>
      <c r="U44" s="9" t="str">
        <f t="shared" si="12"/>
        <v>4017</v>
      </c>
      <c r="V44" s="32">
        <f t="shared" si="13"/>
        <v>42810.872430555559</v>
      </c>
      <c r="W44" s="46" t="str">
        <f t="shared" si="14"/>
        <v>NW</v>
      </c>
      <c r="X44" s="46" t="str">
        <f t="shared" si="15"/>
        <v>KEEP</v>
      </c>
      <c r="Y44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{"issue":{"subject":"","project_id":79,"tracker_id":40,"status_id":1,"priority_id":2,"assigned_to_id":23,"start_date":"2017-03-16","description":"","custom_fields":[{"id":1,"name":"Subdivision","value":"NW"},{"id":4,"name":"Milepost","value":"0.0575"},{"id":17,"name":"Train ID","value":"824-16"},{"id":16,"name":"Locomotive ID","value":"4017"},{"id":130,"name":"Impact","value":""},{"id":150,"name":"Time of Event (Mountain Time)","value":"14:56:18"},{"id":151,"name":"Denver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7"/>
        <v>grep -hSE -A400 "Enforcement Action" "%USERPROFILE%\AppData\Local\Temp\OnboardLogs"\RTDC4017\*4017*201703162*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"%USERPROFILE%\AppData\Local\Temp\OnboardLogs"\RTDC4017\*4017*201703162* &gt;&gt; 2017-03-16-SliceDisagreementCheck.txt</v>
      </c>
      <c r="AE44" s="157" t="str">
        <f t="shared" si="9"/>
        <v>start /low /b %USERPROFILE%\Documents\GitHub\eaglep3\Utilities\DownloadLogsFromS3.py --loco 4017 --day 2017-03-16</v>
      </c>
      <c r="AF44" s="1"/>
    </row>
    <row r="45" spans="1:32" x14ac:dyDescent="0.25">
      <c r="A45" s="32">
        <v>42810.789641203701</v>
      </c>
      <c r="B45" s="30" t="s">
        <v>611</v>
      </c>
      <c r="C45" s="30" t="s">
        <v>632</v>
      </c>
      <c r="D45" s="30" t="s">
        <v>49</v>
      </c>
      <c r="E45" s="30" t="s">
        <v>186</v>
      </c>
      <c r="F45" s="43">
        <v>0</v>
      </c>
      <c r="G45" s="43">
        <v>41</v>
      </c>
      <c r="H45" s="43">
        <v>719</v>
      </c>
      <c r="I45" s="43">
        <v>692</v>
      </c>
      <c r="J45" s="30" t="s">
        <v>187</v>
      </c>
      <c r="K45" s="43">
        <v>575</v>
      </c>
      <c r="L45" s="143" t="s">
        <v>51</v>
      </c>
      <c r="M45" s="144">
        <f t="shared" si="10"/>
        <v>61.776000000000003</v>
      </c>
      <c r="N45" s="145" t="str">
        <f>VLOOKUP(C45,'Trips&amp;Operators'!$C$1:$G$99999,5,FALSE)</f>
        <v>FORTUNATO FRANK</v>
      </c>
      <c r="O45" s="194" t="s">
        <v>185</v>
      </c>
      <c r="P45" s="146"/>
      <c r="Q45" s="30"/>
      <c r="R45" s="89" t="str">
        <f>IF(VLOOKUP(C45,'Train Runs'!$A$13:$AE$9950,1,1)=C45,VLOOKUP(C45,'Train Runs'!$A$13:$AE$9950,31,1),NA())</f>
        <v>aws s3 cp s3://rtdc.mdm.uploadarchive.raw/RTDC4017/ "%USERPROFILE%\AppData\Local\Temp\OnboardLogs"\RTDC4017\2017-03-16 --exclude "*" --recursive --include "*20170316*" &amp; "%USERPROFILE%\Documents\GitHub\mrs-test-scripts\Headless Mode &amp; Sideloading\WalkAndUnGZ.bat" "%USERPROFILE%\AppData\Local\Temp\OnboardLogs"\RTDC4017\2017-03-16 &amp; aws s3 cp s3://rtdc.mdm.uploadarchive.raw/RTDC4017/ "%USERPROFILE%\AppData\Local\Temp\OnboardLogs"\RTDC4017\2017-03-17 --exclude "*" --recursive --include "*20170317*" &amp; "%USERPROFILE%\Documents\GitHub\mrs-test-scripts\Headless Mode &amp; Sideloading\WalkAndUnGZ.bat" "%USERPROFILE%\AppData\Local\Temp\OnboardLogs"\RTDC4017\2017-03-17</v>
      </c>
      <c r="S45" s="92" t="str">
        <f>VLOOKUP(C45,'Train Runs'!$A$13:$AE$9950,22,0)</f>
        <v>https://d0f6bd738d7f1b3e5a7ca70fe4ff75f0.us-east-1.aws.found.io/app/kibana#/discover/Steve-Slow-Train-Analysis-(2080s-and-2083s)?_g=(refreshInterval:(display:Off,pause:!f,section:0,value:0),time:(from:'2017-03-16T17:37:08-0600',mode:absolute,to:'2017-03-16T19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94" t="str">
        <f t="shared" si="11"/>
        <v>"C:\Program Files (x86)\AstroGrep\AstroGrep.exe" /e /r /s /spath="%USERPROFILE%\AppData\Local\Temp\OnboardLogs" /stypes="*4017*201703170*" /stext=" 00:.+((SYSTEM_STATE.+slice.+state.+changed )|(ment ac)|(multiple cpu faults)|(system.+state.+changed )|(\[timeout)|(PRM\|1\|D)|(kpr)|(kdp)|(\|lc)|(penalty))"</v>
      </c>
      <c r="U45" s="9" t="str">
        <f t="shared" si="12"/>
        <v>4017</v>
      </c>
      <c r="V45" s="32">
        <f t="shared" si="13"/>
        <v>42811.039641203701</v>
      </c>
      <c r="W45" s="46" t="str">
        <f t="shared" si="14"/>
        <v>NW</v>
      </c>
      <c r="X45" s="46" t="str">
        <f t="shared" si="15"/>
        <v>KEEP</v>
      </c>
      <c r="Y45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{"issue":{"subject":"","project_id":79,"tracker_id":40,"status_id":1,"priority_id":2,"assigned_to_id":23,"start_date":"2017-03-16","description":"","custom_fields":[{"id":1,"name":"Subdivision","value":"NW"},{"id":4,"name":"Milepost","value":"0.0575"},{"id":17,"name":"Train ID","value":"838-16"},{"id":16,"name":"Locomotive ID","value":"4017"},{"id":130,"name":"Impact","value":""},{"id":150,"name":"Time of Event (Mountain Time)","value":"18:57:05"},{"id":151,"name":"Denver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7"/>
        <v>grep -hSE -A400 "Enforcement Action" "%USERPROFILE%\AppData\Local\Temp\OnboardLogs"\RTDC4017\*4017*201703170*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"%USERPROFILE%\AppData\Local\Temp\OnboardLogs"\RTDC4017\*4017*201703170* &gt;&gt; 2017-03-16-SliceDisagreementCheck.txt</v>
      </c>
      <c r="AE45" s="157" t="str">
        <f t="shared" si="9"/>
        <v>start /low /b %USERPROFILE%\Documents\GitHub\eaglep3\Utilities\DownloadLogsFromS3.py --loco 4017 --day 2017-03-17</v>
      </c>
      <c r="AF45" s="1"/>
    </row>
    <row r="46" spans="1:32" x14ac:dyDescent="0.25">
      <c r="A46" s="32">
        <v>42810.357789351852</v>
      </c>
      <c r="B46" s="30" t="s">
        <v>601</v>
      </c>
      <c r="C46" s="30" t="s">
        <v>602</v>
      </c>
      <c r="D46" s="30" t="s">
        <v>49</v>
      </c>
      <c r="E46" s="30" t="s">
        <v>186</v>
      </c>
      <c r="F46" s="43">
        <v>0</v>
      </c>
      <c r="G46" s="43">
        <v>73</v>
      </c>
      <c r="H46" s="43">
        <v>58839</v>
      </c>
      <c r="I46" s="43">
        <v>58907</v>
      </c>
      <c r="J46" s="30" t="s">
        <v>187</v>
      </c>
      <c r="K46" s="43">
        <v>59048</v>
      </c>
      <c r="L46" s="143" t="s">
        <v>50</v>
      </c>
      <c r="M46" s="144">
        <f t="shared" si="10"/>
        <v>74.447999999999993</v>
      </c>
      <c r="N46" s="145" t="str">
        <f>VLOOKUP(C46,'Trips&amp;Operators'!$C$1:$G$99999,5,FALSE)</f>
        <v>WILLIAMS DONTE</v>
      </c>
      <c r="O46" s="194" t="s">
        <v>185</v>
      </c>
      <c r="P46" s="146"/>
      <c r="Q46" s="30"/>
      <c r="R46" s="89" t="str">
        <f>IF(VLOOKUP(C46,'Train Runs'!$A$13:$AE$9950,1,1)=C46,VLOOKUP(C46,'Train Runs'!$A$13:$AE$9950,31,1),NA())</f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S46" s="92" t="str">
        <f>VLOOKUP(C46,'Train Runs'!$A$13:$AE$9950,22,0)</f>
        <v>https://d0f6bd738d7f1b3e5a7ca70fe4ff75f0.us-east-1.aws.found.io/app/kibana#/discover/Steve-Slow-Train-Analysis-(2080s-and-2083s)?_g=(refreshInterval:(display:Off,pause:!f,section:0,value:0),time:(from:'2017-03-16T07:17:20-0600',mode:absolute,to:'2017-03-16T09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94" t="str">
        <f t="shared" si="11"/>
        <v>"C:\Program Files (x86)\AstroGrep\AstroGrep.exe" /e /r /s /spath="%USERPROFILE%\AppData\Local\Temp\OnboardLogs" /stypes="*4018*201703161*" /stext=" 14:.+((SYSTEM_STATE.+slice.+state.+changed )|(ment ac)|(multiple cpu faults)|(system.+state.+changed )|(\[timeout)|(PRM\|1\|D)|(kpr)|(kdp)|(\|lc)|(penalty))"</v>
      </c>
      <c r="U46" s="9" t="str">
        <f t="shared" si="12"/>
        <v>4018</v>
      </c>
      <c r="V46" s="32">
        <f t="shared" si="13"/>
        <v>42810.607789351852</v>
      </c>
      <c r="W46" s="46" t="str">
        <f t="shared" si="14"/>
        <v>NW</v>
      </c>
      <c r="X46" s="46" t="str">
        <f t="shared" si="15"/>
        <v>KEEP</v>
      </c>
      <c r="Y46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{"issue":{"subject":"","project_id":79,"tracker_id":40,"status_id":1,"priority_id":2,"assigned_to_id":23,"start_date":"2017-03-16","description":"","custom_fields":[{"id":1,"name":"Subdivision","value":"NW"},{"id":4,"name":"Milepost","value":"5.9048"},{"id":17,"name":"Train ID","value":"811-16"},{"id":16,"name":"Locomotive ID","value":"4018"},{"id":130,"name":"Impact","value":""},{"id":150,"name":"Time of Event (Mountain Time)","value":"08:35:13"},{"id":151,"name":"Denver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7"/>
        <v>grep -hSE -A400 "Enforcement Action" "%USERPROFILE%\AppData\Local\Temp\OnboardLogs"\RTDC4018\*4018*201703161*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"%USERPROFILE%\AppData\Local\Temp\OnboardLogs"\RTDC4018\*4018*201703161* &gt;&gt; 2017-03-16-SliceDisagreementCheck.txt</v>
      </c>
      <c r="AE46" s="157" t="str">
        <f t="shared" si="9"/>
        <v>start /low /b %USERPROFILE%\Documents\GitHub\eaglep3\Utilities\DownloadLogsFromS3.py --loco 4018 --day 2017-03-16</v>
      </c>
      <c r="AF46" s="1"/>
    </row>
    <row r="47" spans="1:32" x14ac:dyDescent="0.25">
      <c r="A47" s="32">
        <v>42810.691319444442</v>
      </c>
      <c r="B47" s="30" t="s">
        <v>601</v>
      </c>
      <c r="C47" s="30" t="s">
        <v>622</v>
      </c>
      <c r="D47" s="30" t="s">
        <v>49</v>
      </c>
      <c r="E47" s="30" t="s">
        <v>186</v>
      </c>
      <c r="F47" s="43">
        <v>0</v>
      </c>
      <c r="G47" s="43">
        <v>31</v>
      </c>
      <c r="H47" s="43">
        <v>58980</v>
      </c>
      <c r="I47" s="43">
        <v>59003</v>
      </c>
      <c r="J47" s="30" t="s">
        <v>187</v>
      </c>
      <c r="K47" s="43">
        <v>59048</v>
      </c>
      <c r="L47" s="143" t="s">
        <v>50</v>
      </c>
      <c r="M47" s="144">
        <f t="shared" si="10"/>
        <v>23.76</v>
      </c>
      <c r="N47" s="145" t="str">
        <f>VLOOKUP(C47,'Trips&amp;Operators'!$C$1:$G$99999,5,FALSE)</f>
        <v>FORTUNATO FRANK</v>
      </c>
      <c r="O47" s="194" t="s">
        <v>185</v>
      </c>
      <c r="P47" s="146"/>
      <c r="Q47" s="30"/>
      <c r="R47" s="89" t="str">
        <f>IF(VLOOKUP(C47,'Train Runs'!$A$13:$AE$9950,1,1)=C47,VLOOKUP(C47,'Train Runs'!$A$13:$AE$9950,31,1),NA())</f>
        <v>aws s3 cp s3://rtdc.mdm.uploadarchive.raw/RTDC4018/ "%USERPROFILE%\AppData\Local\Temp\OnboardLogs"\RTDC4018\2017-03-16 --exclude "*" --recursive --include "*20170316*" &amp; "%USERPROFILE%\Documents\GitHub\mrs-test-scripts\Headless Mode &amp; Sideloading\WalkAndUnGZ.bat" "%USERPROFILE%\AppData\Local\Temp\OnboardLogs"\RTDC4018\2017-03-16 &amp; aws s3 cp s3://rtdc.mdm.uploadarchive.raw/RTDC4018/ "%USERPROFILE%\AppData\Local\Temp\OnboardLogs"\RTDC4018\2017-03-17 --exclude "*" --recursive --include "*20170317*" &amp; "%USERPROFILE%\Documents\GitHub\mrs-test-scripts\Headless Mode &amp; Sideloading\WalkAndUnGZ.bat" "%USERPROFILE%\AppData\Local\Temp\OnboardLogs"\RTDC4018\2017-03-17</v>
      </c>
      <c r="S47" s="92" t="str">
        <f>VLOOKUP(C47,'Train Runs'!$A$13:$AE$9950,22,0)</f>
        <v>https://d0f6bd738d7f1b3e5a7ca70fe4ff75f0.us-east-1.aws.found.io/app/kibana#/discover/Steve-Slow-Train-Analysis-(2080s-and-2083s)?_g=(refreshInterval:(display:Off,pause:!f,section:0,value:0),time:(from:'2017-03-16T15:13:31-0600',mode:absolute,to:'2017-03-16T17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94" t="str">
        <f t="shared" si="11"/>
        <v>"C:\Program Files (x86)\AstroGrep\AstroGrep.exe" /e /r /s /spath="%USERPROFILE%\AppData\Local\Temp\OnboardLogs" /stypes="*4018*201703162*" /stext=" 22:.+((SYSTEM_STATE.+slice.+state.+changed )|(ment ac)|(multiple cpu faults)|(system.+state.+changed )|(\[timeout)|(PRM\|1\|D)|(kpr)|(kdp)|(\|lc)|(penalty))"</v>
      </c>
      <c r="U47" s="9" t="str">
        <f t="shared" si="12"/>
        <v>4018</v>
      </c>
      <c r="V47" s="32">
        <f t="shared" si="13"/>
        <v>42810.941319444442</v>
      </c>
      <c r="W47" s="46" t="str">
        <f t="shared" si="14"/>
        <v>NW</v>
      </c>
      <c r="X47" s="46" t="str">
        <f t="shared" si="15"/>
        <v>KEEP</v>
      </c>
      <c r="Y47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{"issue":{"subject":"","project_id":79,"tracker_id":40,"status_id":1,"priority_id":2,"assigned_to_id":23,"start_date":"2017-03-16","description":"","custom_fields":[{"id":1,"name":"Subdivision","value":"NW"},{"id":4,"name":"Milepost","value":"5.9048"},{"id":17,"name":"Train ID","value":"829-16"},{"id":16,"name":"Locomotive ID","value":"4018"},{"id":130,"name":"Impact","value":""},{"id":150,"name":"Time of Event (Mountain Time)","value":"16:35:30"},{"id":151,"name":"Denver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7"/>
        <v>grep -hSE -A400 "Enforcement Action" "%USERPROFILE%\AppData\Local\Temp\OnboardLogs"\RTDC4018\*4018*201703162*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"%USERPROFILE%\AppData\Local\Temp\OnboardLogs"\RTDC4018\*4018*201703162* &gt;&gt; 2017-03-16-SliceDisagreementCheck.txt</v>
      </c>
      <c r="AE47" s="157" t="str">
        <f t="shared" si="9"/>
        <v>start /low /b %USERPROFILE%\Documents\GitHub\eaglep3\Utilities\DownloadLogsFromS3.py --loco 4018 --day 2017-03-16</v>
      </c>
      <c r="AF47" s="1"/>
    </row>
    <row r="48" spans="1:32" x14ac:dyDescent="0.25">
      <c r="A48" s="32">
        <v>42810.944421296299</v>
      </c>
      <c r="B48" s="30" t="s">
        <v>601</v>
      </c>
      <c r="C48" s="30" t="s">
        <v>638</v>
      </c>
      <c r="D48" s="30" t="s">
        <v>49</v>
      </c>
      <c r="E48" s="30" t="s">
        <v>186</v>
      </c>
      <c r="F48" s="43">
        <v>0</v>
      </c>
      <c r="G48" s="43">
        <v>32</v>
      </c>
      <c r="H48" s="43">
        <v>58950</v>
      </c>
      <c r="I48" s="43">
        <v>58990</v>
      </c>
      <c r="J48" s="30" t="s">
        <v>187</v>
      </c>
      <c r="K48" s="43">
        <v>59048</v>
      </c>
      <c r="L48" s="143" t="s">
        <v>50</v>
      </c>
      <c r="M48" s="144">
        <f t="shared" si="10"/>
        <v>30.623999999999999</v>
      </c>
      <c r="N48" s="145" t="str">
        <f>VLOOKUP(C48,'Trips&amp;Operators'!$C$1:$G$99999,5,FALSE)</f>
        <v>MENGES BRAD</v>
      </c>
      <c r="O48" s="194" t="s">
        <v>185</v>
      </c>
      <c r="P48" s="146"/>
      <c r="Q48" s="30"/>
      <c r="R48" s="89" t="e">
        <f>IF(VLOOKUP(C48,'Train Runs'!$A$13:$AE$9950,1,1)=C48,VLOOKUP(C48,'Train Runs'!$A$13:$AE$9950,31,1),NA())</f>
        <v>#N/A</v>
      </c>
      <c r="S48" s="92" t="str">
        <f>VLOOKUP(C48,'Train Runs'!$A$13:$AE$9950,22,0)</f>
        <v>https://d0f6bd738d7f1b3e5a7ca70fe4ff75f0.us-east-1.aws.found.io/app/kibana#/discover/Steve-Slow-Train-Analysis-(2080s-and-2083s)?_g=(refreshInterval:(display:Off,pause:!f,section:0,value:0),time:(from:'2017-03-16T21:06:01-0600',mode:absolute,to:'2017-03-16T23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8" s="94" t="str">
        <f t="shared" si="11"/>
        <v>"C:\Program Files (x86)\AstroGrep\AstroGrep.exe" /e /r /s /spath="%USERPROFILE%\AppData\Local\Temp\OnboardLogs" /stypes="*4018*201703170*" /stext=" 04:.+((SYSTEM_STATE.+slice.+state.+changed )|(ment ac)|(multiple cpu faults)|(system.+state.+changed )|(\[timeout)|(PRM\|1\|D)|(kpr)|(kdp)|(\|lc)|(penalty))"</v>
      </c>
      <c r="U48" s="9" t="str">
        <f t="shared" si="12"/>
        <v>4018</v>
      </c>
      <c r="V48" s="32">
        <f t="shared" si="13"/>
        <v>42811.194421296299</v>
      </c>
      <c r="W48" s="46" t="str">
        <f t="shared" si="14"/>
        <v>NW</v>
      </c>
      <c r="X48" s="46" t="str">
        <f t="shared" si="15"/>
        <v>KEEP</v>
      </c>
      <c r="Y48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{"issue":{"subject":"","project_id":79,"tracker_id":40,"status_id":1,"priority_id":2,"assigned_to_id":23,"start_date":"2017-03-16","description":"","custom_fields":[{"id":1,"name":"Subdivision","value":"NW"},{"id":4,"name":"Milepost","value":"5.9048"},{"id":17,"name":"Train ID","value":"847-16"},{"id":16,"name":"Locomotive ID","value":"4018"},{"id":130,"name":"Impact","value":""},{"id":150,"name":"Time of Event (Mountain Time)","value":"22:39:58"},{"id":151,"name":"Denver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7"/>
        <v>grep -hSE -A400 "Enforcement Action" "%USERPROFILE%\AppData\Local\Temp\OnboardLogs"\RTDC4018\*4018*201703170*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"%USERPROFILE%\AppData\Local\Temp\OnboardLogs"\RTDC4018\*4018*201703170* &gt;&gt; 2017-03-16-SliceDisagreementCheck.txt</v>
      </c>
      <c r="AE48" s="157" t="str">
        <f t="shared" si="9"/>
        <v>start /low /b %USERPROFILE%\Documents\GitHub\eaglep3\Utilities\DownloadLogsFromS3.py --loco 4018 --day 2017-03-17</v>
      </c>
      <c r="AF48" s="1"/>
    </row>
    <row r="49" spans="1:32" x14ac:dyDescent="0.25">
      <c r="A49" s="32">
        <v>42810.71234953704</v>
      </c>
      <c r="B49" s="30" t="s">
        <v>380</v>
      </c>
      <c r="C49" s="30" t="s">
        <v>623</v>
      </c>
      <c r="D49" s="30" t="s">
        <v>49</v>
      </c>
      <c r="E49" s="30" t="s">
        <v>186</v>
      </c>
      <c r="F49" s="43">
        <v>0</v>
      </c>
      <c r="G49" s="43">
        <v>50</v>
      </c>
      <c r="H49" s="43">
        <v>58859</v>
      </c>
      <c r="I49" s="43">
        <v>58935</v>
      </c>
      <c r="J49" s="30" t="s">
        <v>187</v>
      </c>
      <c r="K49" s="43">
        <v>59058</v>
      </c>
      <c r="L49" s="143" t="s">
        <v>50</v>
      </c>
      <c r="M49" s="144">
        <f t="shared" si="10"/>
        <v>64.944000000000003</v>
      </c>
      <c r="N49" s="145" t="str">
        <f>VLOOKUP(C49,'Trips&amp;Operators'!$C$1:$G$99999,5,FALSE)</f>
        <v>MENGES BRAD</v>
      </c>
      <c r="O49" s="194" t="s">
        <v>185</v>
      </c>
      <c r="P49" s="146"/>
      <c r="Q49" s="30"/>
      <c r="R49" s="89" t="str">
        <f>IF(VLOOKUP(C49,'Train Runs'!$A$13:$AE$9950,1,1)=C49,VLOOKUP(C49,'Train Runs'!$A$13:$AE$9950,31,1),NA())</f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S49" s="92" t="str">
        <f>VLOOKUP(C49,'Train Runs'!$A$13:$AE$9950,22,0)</f>
        <v>https://d0f6bd738d7f1b3e5a7ca70fe4ff75f0.us-east-1.aws.found.io/app/kibana#/discover/Steve-Slow-Train-Analysis-(2080s-and-2083s)?_g=(refreshInterval:(display:Off,pause:!f,section:0,value:0),time:(from:'2017-03-16T15:40:53-0600',mode:absolute,to:'2017-03-16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9" s="94" t="str">
        <f t="shared" si="11"/>
        <v>"C:\Program Files (x86)\AstroGrep\AstroGrep.exe" /e /r /s /spath="%USERPROFILE%\AppData\Local\Temp\OnboardLogs" /stypes="*4009*201703162*" /stext=" 23:.+((SYSTEM_STATE.+slice.+state.+changed )|(ment ac)|(multiple cpu faults)|(system.+state.+changed )|(\[timeout)|(PRM\|1\|D)|(kpr)|(kdp)|(\|lc)|(penalty))"</v>
      </c>
      <c r="U49" s="9" t="str">
        <f t="shared" si="12"/>
        <v>4009</v>
      </c>
      <c r="V49" s="32">
        <f t="shared" si="13"/>
        <v>42810.96234953704</v>
      </c>
      <c r="W49" s="46" t="str">
        <f t="shared" si="14"/>
        <v>NW</v>
      </c>
      <c r="X49" s="46" t="str">
        <f t="shared" si="15"/>
        <v>KEEP</v>
      </c>
      <c r="Y49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{"issue":{"subject":"","project_id":79,"tracker_id":40,"status_id":1,"priority_id":2,"assigned_to_id":23,"start_date":"2017-03-16","description":"","custom_fields":[{"id":1,"name":"Subdivision","value":"NW"},{"id":4,"name":"Milepost","value":"5.9058"},{"id":17,"name":"Train ID","value":"831-16"},{"id":16,"name":"Locomotive ID","value":"4009"},{"id":130,"name":"Impact","value":""},{"id":150,"name":"Time of Event (Mountain Time)","value":"17:05:47"},{"id":151,"name":"Denver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7"/>
        <v>grep -hSE -A400 "Enforcement Action" "%USERPROFILE%\AppData\Local\Temp\OnboardLogs"\RTDC4009\*4009*201703162*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"%USERPROFILE%\AppData\Local\Temp\OnboardLogs"\RTDC4009\*4009*201703162* &gt;&gt; 2017-03-16-SliceDisagreementCheck.txt</v>
      </c>
      <c r="AE49" s="157" t="str">
        <f t="shared" si="9"/>
        <v>start /low /b %USERPROFILE%\Documents\GitHub\eaglep3\Utilities\DownloadLogsFromS3.py --loco 4009 --day 2017-03-16</v>
      </c>
      <c r="AF49" s="1"/>
    </row>
    <row r="50" spans="1:32" x14ac:dyDescent="0.25">
      <c r="A50" s="32">
        <v>42810.712719907409</v>
      </c>
      <c r="B50" s="30" t="s">
        <v>380</v>
      </c>
      <c r="C50" s="30" t="s">
        <v>623</v>
      </c>
      <c r="D50" s="30" t="s">
        <v>49</v>
      </c>
      <c r="E50" s="30" t="s">
        <v>186</v>
      </c>
      <c r="F50" s="43">
        <v>0</v>
      </c>
      <c r="G50" s="43">
        <v>40</v>
      </c>
      <c r="H50" s="43">
        <v>58950</v>
      </c>
      <c r="I50" s="43">
        <v>58992</v>
      </c>
      <c r="J50" s="30" t="s">
        <v>187</v>
      </c>
      <c r="K50" s="43">
        <v>59058</v>
      </c>
      <c r="L50" s="143" t="s">
        <v>50</v>
      </c>
      <c r="M50" s="144">
        <f t="shared" si="10"/>
        <v>34.847999999999999</v>
      </c>
      <c r="N50" s="145" t="str">
        <f>VLOOKUP(C50,'Trips&amp;Operators'!$C$1:$G$99999,5,FALSE)</f>
        <v>MENGES BRAD</v>
      </c>
      <c r="O50" s="194" t="s">
        <v>185</v>
      </c>
      <c r="P50" s="146"/>
      <c r="Q50" s="30"/>
      <c r="R50" s="89" t="str">
        <f>IF(VLOOKUP(C50,'Train Runs'!$A$13:$AE$9950,1,1)=C50,VLOOKUP(C50,'Train Runs'!$A$13:$AE$9950,31,1),NA())</f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S50" s="92" t="str">
        <f>VLOOKUP(C50,'Train Runs'!$A$13:$AE$9950,22,0)</f>
        <v>https://d0f6bd738d7f1b3e5a7ca70fe4ff75f0.us-east-1.aws.found.io/app/kibana#/discover/Steve-Slow-Train-Analysis-(2080s-and-2083s)?_g=(refreshInterval:(display:Off,pause:!f,section:0,value:0),time:(from:'2017-03-16T15:40:53-0600',mode:absolute,to:'2017-03-16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0" s="94" t="str">
        <f t="shared" si="11"/>
        <v>"C:\Program Files (x86)\AstroGrep\AstroGrep.exe" /e /r /s /spath="%USERPROFILE%\AppData\Local\Temp\OnboardLogs" /stypes="*4009*201703162*" /stext=" 23:.+((SYSTEM_STATE.+slice.+state.+changed )|(ment ac)|(multiple cpu faults)|(system.+state.+changed )|(\[timeout)|(PRM\|1\|D)|(kpr)|(kdp)|(\|lc)|(penalty))"</v>
      </c>
      <c r="U50" s="9" t="str">
        <f t="shared" si="12"/>
        <v>4009</v>
      </c>
      <c r="V50" s="32">
        <f t="shared" si="13"/>
        <v>42810.962719907409</v>
      </c>
      <c r="W50" s="46" t="str">
        <f t="shared" si="14"/>
        <v>NW</v>
      </c>
      <c r="X50" s="46" t="str">
        <f t="shared" si="15"/>
        <v>KEEP</v>
      </c>
      <c r="Y50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{"issue":{"subject":"","project_id":79,"tracker_id":40,"status_id":1,"priority_id":2,"assigned_to_id":23,"start_date":"2017-03-16","description":"","custom_fields":[{"id":1,"name":"Subdivision","value":"NW"},{"id":4,"name":"Milepost","value":"5.9058"},{"id":17,"name":"Train ID","value":"831-16"},{"id":16,"name":"Locomotive ID","value":"4009"},{"id":130,"name":"Impact","value":""},{"id":150,"name":"Time of Event (Mountain Time)","value":"17:06:19"},{"id":151,"name":"Denver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7"/>
        <v>grep -hSE -A400 "Enforcement Action" "%USERPROFILE%\AppData\Local\Temp\OnboardLogs"\RTDC4009\*4009*201703162*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"%USERPROFILE%\AppData\Local\Temp\OnboardLogs"\RTDC4009\*4009*201703162* &gt;&gt; 2017-03-16-SliceDisagreementCheck.txt</v>
      </c>
      <c r="AE50" s="157" t="str">
        <f t="shared" si="9"/>
        <v>start /low /b %USERPROFILE%\Documents\GitHub\eaglep3\Utilities\DownloadLogsFromS3.py --loco 4009 --day 2017-03-16</v>
      </c>
      <c r="AF50" s="1"/>
    </row>
    <row r="51" spans="1:32" x14ac:dyDescent="0.25">
      <c r="A51" s="32">
        <v>42810.75403935185</v>
      </c>
      <c r="B51" s="30" t="s">
        <v>380</v>
      </c>
      <c r="C51" s="30" t="s">
        <v>629</v>
      </c>
      <c r="D51" s="30" t="s">
        <v>49</v>
      </c>
      <c r="E51" s="30" t="s">
        <v>186</v>
      </c>
      <c r="F51" s="43">
        <v>0</v>
      </c>
      <c r="G51" s="43">
        <v>24</v>
      </c>
      <c r="H51" s="43">
        <v>58980</v>
      </c>
      <c r="I51" s="43">
        <v>58988</v>
      </c>
      <c r="J51" s="30" t="s">
        <v>187</v>
      </c>
      <c r="K51" s="43">
        <v>59058</v>
      </c>
      <c r="L51" s="143" t="s">
        <v>50</v>
      </c>
      <c r="M51" s="144">
        <f t="shared" si="10"/>
        <v>36.96</v>
      </c>
      <c r="N51" s="145" t="str">
        <f>VLOOKUP(C51,'Trips&amp;Operators'!$C$1:$G$99999,5,FALSE)</f>
        <v>MENGES BRAD</v>
      </c>
      <c r="O51" s="194" t="s">
        <v>185</v>
      </c>
      <c r="P51" s="146"/>
      <c r="Q51" s="30"/>
      <c r="R51" s="89" t="str">
        <f>IF(VLOOKUP(C51,'Train Runs'!$A$13:$AE$9950,1,1)=C51,VLOOKUP(C51,'Train Runs'!$A$13:$AE$9950,31,1),NA())</f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S51" s="92" t="str">
        <f>VLOOKUP(C51,'Train Runs'!$A$13:$AE$9950,22,0)</f>
        <v>https://d0f6bd738d7f1b3e5a7ca70fe4ff75f0.us-east-1.aws.found.io/app/kibana#/discover/Steve-Slow-Train-Analysis-(2080s-and-2083s)?_g=(refreshInterval:(display:Off,pause:!f,section:0,value:0),time:(from:'2017-03-16T16:47:35-0600',mode:absolute,to:'2017-03-16T19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 t="shared" si="11"/>
        <v>"C:\Program Files (x86)\AstroGrep\AstroGrep.exe" /e /r /s /spath="%USERPROFILE%\AppData\Local\Temp\OnboardLogs" /stypes="*4009*201703170*" /stext=" 00:.+((SYSTEM_STATE.+slice.+state.+changed )|(ment ac)|(multiple cpu faults)|(system.+state.+changed )|(\[timeout)|(PRM\|1\|D)|(kpr)|(kdp)|(\|lc)|(penalty))"</v>
      </c>
      <c r="U51" s="9" t="str">
        <f t="shared" si="12"/>
        <v>4009</v>
      </c>
      <c r="V51" s="32">
        <f t="shared" si="13"/>
        <v>42811.00403935185</v>
      </c>
      <c r="W51" s="46" t="str">
        <f t="shared" si="14"/>
        <v>NW</v>
      </c>
      <c r="X51" s="46" t="str">
        <f t="shared" si="15"/>
        <v>KEEP</v>
      </c>
      <c r="Y51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{"issue":{"subject":"","project_id":79,"tracker_id":40,"status_id":1,"priority_id":2,"assigned_to_id":23,"start_date":"2017-03-16","description":"","custom_fields":[{"id":1,"name":"Subdivision","value":"NW"},{"id":4,"name":"Milepost","value":"5.9058"},{"id":17,"name":"Train ID","value":"835-16"},{"id":16,"name":"Locomotive ID","value":"4009"},{"id":130,"name":"Impact","value":""},{"id":150,"name":"Time of Event (Mountain Time)","value":"18:05:49"},{"id":151,"name":"Denver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7"/>
        <v>grep -hSE -A400 "Enforcement Action" "%USERPROFILE%\AppData\Local\Temp\OnboardLogs"\RTDC4009\*4009*201703170*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"%USERPROFILE%\AppData\Local\Temp\OnboardLogs"\RTDC4009\*4009*201703170* &gt;&gt; 2017-03-16-SliceDisagreementCheck.txt</v>
      </c>
      <c r="AE51" s="157" t="str">
        <f t="shared" si="9"/>
        <v>start /low /b %USERPROFILE%\Documents\GitHub\eaglep3\Utilities\DownloadLogsFromS3.py --loco 4009 --day 2017-03-17</v>
      </c>
      <c r="AF51" s="1"/>
    </row>
    <row r="52" spans="1:32" x14ac:dyDescent="0.25">
      <c r="A52" s="32">
        <v>42810.795844907407</v>
      </c>
      <c r="B52" s="30" t="s">
        <v>380</v>
      </c>
      <c r="C52" s="30" t="s">
        <v>633</v>
      </c>
      <c r="D52" s="30" t="s">
        <v>49</v>
      </c>
      <c r="E52" s="30" t="s">
        <v>186</v>
      </c>
      <c r="F52" s="43">
        <v>0</v>
      </c>
      <c r="G52" s="43">
        <v>55</v>
      </c>
      <c r="H52" s="43">
        <v>58874</v>
      </c>
      <c r="I52" s="43">
        <v>58918</v>
      </c>
      <c r="J52" s="30" t="s">
        <v>187</v>
      </c>
      <c r="K52" s="43">
        <v>59058</v>
      </c>
      <c r="L52" s="143" t="s">
        <v>50</v>
      </c>
      <c r="M52" s="144">
        <f t="shared" si="10"/>
        <v>73.92</v>
      </c>
      <c r="N52" s="145" t="str">
        <f>VLOOKUP(C52,'Trips&amp;Operators'!$C$1:$G$99999,5,FALSE)</f>
        <v>MENGES BRAD</v>
      </c>
      <c r="O52" s="194" t="s">
        <v>185</v>
      </c>
      <c r="P52" s="146"/>
      <c r="Q52" s="30"/>
      <c r="R52" s="89" t="str">
        <f>IF(VLOOKUP(C52,'Train Runs'!$A$13:$AE$9950,1,1)=C52,VLOOKUP(C52,'Train Runs'!$A$13:$AE$9950,31,1),NA())</f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S52" s="92" t="str">
        <f>VLOOKUP(C52,'Train Runs'!$A$13:$AE$9950,22,0)</f>
        <v>https://d0f6bd738d7f1b3e5a7ca70fe4ff75f0.us-east-1.aws.found.io/app/kibana#/discover/Steve-Slow-Train-Analysis-(2080s-and-2083s)?_g=(refreshInterval:(display:Off,pause:!f,section:0,value:0),time:(from:'2017-03-16T17:44:14-0600',mode:absolute,to:'2017-03-16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2" s="94" t="str">
        <f t="shared" si="11"/>
        <v>"C:\Program Files (x86)\AstroGrep\AstroGrep.exe" /e /r /s /spath="%USERPROFILE%\AppData\Local\Temp\OnboardLogs" /stypes="*4009*201703170*" /stext=" 01:.+((SYSTEM_STATE.+slice.+state.+changed )|(ment ac)|(multiple cpu faults)|(system.+state.+changed )|(\[timeout)|(PRM\|1\|D)|(kpr)|(kdp)|(\|lc)|(penalty))"</v>
      </c>
      <c r="U52" s="9" t="str">
        <f t="shared" si="12"/>
        <v>4009</v>
      </c>
      <c r="V52" s="32">
        <f t="shared" si="13"/>
        <v>42811.045844907407</v>
      </c>
      <c r="W52" s="46" t="str">
        <f t="shared" si="14"/>
        <v>NW</v>
      </c>
      <c r="X52" s="46" t="str">
        <f t="shared" si="15"/>
        <v>KEEP</v>
      </c>
      <c r="Y52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{"issue":{"subject":"","project_id":79,"tracker_id":40,"status_id":1,"priority_id":2,"assigned_to_id":23,"start_date":"2017-03-16","description":"","custom_fields":[{"id":1,"name":"Subdivision","value":"NW"},{"id":4,"name":"Milepost","value":"5.9058"},{"id":17,"name":"Train ID","value":"839-16"},{"id":16,"name":"Locomotive ID","value":"4009"},{"id":130,"name":"Impact","value":""},{"id":150,"name":"Time of Event (Mountain Time)","value":"19:06:01"},{"id":151,"name":"Denver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7"/>
        <v>grep -hSE -A400 "Enforcement Action" "%USERPROFILE%\AppData\Local\Temp\OnboardLogs"\RTDC4009\*4009*201703170*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"%USERPROFILE%\AppData\Local\Temp\OnboardLogs"\RTDC4009\*4009*201703170* &gt;&gt; 2017-03-16-SliceDisagreementCheck.txt</v>
      </c>
      <c r="AE52" s="157" t="str">
        <f t="shared" si="9"/>
        <v>start /low /b %USERPROFILE%\Documents\GitHub\eaglep3\Utilities\DownloadLogsFromS3.py --loco 4009 --day 2017-03-17</v>
      </c>
      <c r="AF52" s="1"/>
    </row>
    <row r="53" spans="1:32" x14ac:dyDescent="0.25">
      <c r="A53" s="32">
        <v>42810.796307870369</v>
      </c>
      <c r="B53" s="30" t="s">
        <v>380</v>
      </c>
      <c r="C53" s="30" t="s">
        <v>633</v>
      </c>
      <c r="D53" s="30" t="s">
        <v>49</v>
      </c>
      <c r="E53" s="30" t="s">
        <v>186</v>
      </c>
      <c r="F53" s="43">
        <v>0</v>
      </c>
      <c r="G53" s="43">
        <v>36</v>
      </c>
      <c r="H53" s="43">
        <v>58944</v>
      </c>
      <c r="I53" s="43">
        <v>58975</v>
      </c>
      <c r="J53" s="30" t="s">
        <v>187</v>
      </c>
      <c r="K53" s="43">
        <v>59058</v>
      </c>
      <c r="L53" s="143" t="s">
        <v>50</v>
      </c>
      <c r="M53" s="144">
        <f t="shared" si="10"/>
        <v>43.823999999999998</v>
      </c>
      <c r="N53" s="145" t="str">
        <f>VLOOKUP(C53,'Trips&amp;Operators'!$C$1:$G$99999,5,FALSE)</f>
        <v>MENGES BRAD</v>
      </c>
      <c r="O53" s="194" t="s">
        <v>185</v>
      </c>
      <c r="P53" s="146"/>
      <c r="Q53" s="30"/>
      <c r="R53" s="89" t="str">
        <f>IF(VLOOKUP(C53,'Train Runs'!$A$13:$AE$9950,1,1)=C53,VLOOKUP(C53,'Train Runs'!$A$13:$AE$9950,31,1),NA())</f>
        <v>aws s3 cp s3://rtdc.mdm.uploadarchive.raw/RTDC4009/ "%USERPROFILE%\AppData\Local\Temp\OnboardLogs"\RTDC4009\2017-03-16 --exclude "*" --recursive --include "*20170316*" &amp; "%USERPROFILE%\Documents\GitHub\mrs-test-scripts\Headless Mode &amp; Sideloading\WalkAndUnGZ.bat" "%USERPROFILE%\AppData\Local\Temp\OnboardLogs"\RTDC4009\2017-03-16 &amp; aws s3 cp s3://rtdc.mdm.uploadarchive.raw/RTDC4009/ "%USERPROFILE%\AppData\Local\Temp\OnboardLogs"\RTDC4009\2017-03-17 --exclude "*" --recursive --include "*20170317*" &amp; "%USERPROFILE%\Documents\GitHub\mrs-test-scripts\Headless Mode &amp; Sideloading\WalkAndUnGZ.bat" "%USERPROFILE%\AppData\Local\Temp\OnboardLogs"\RTDC4009\2017-03-17</v>
      </c>
      <c r="S53" s="92" t="str">
        <f>VLOOKUP(C53,'Train Runs'!$A$13:$AE$9950,22,0)</f>
        <v>https://d0f6bd738d7f1b3e5a7ca70fe4ff75f0.us-east-1.aws.found.io/app/kibana#/discover/Steve-Slow-Train-Analysis-(2080s-and-2083s)?_g=(refreshInterval:(display:Off,pause:!f,section:0,value:0),time:(from:'2017-03-16T17:44:14-0600',mode:absolute,to:'2017-03-16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3" s="94" t="str">
        <f t="shared" si="11"/>
        <v>"C:\Program Files (x86)\AstroGrep\AstroGrep.exe" /e /r /s /spath="%USERPROFILE%\AppData\Local\Temp\OnboardLogs" /stypes="*4009*201703170*" /stext=" 01:.+((SYSTEM_STATE.+slice.+state.+changed )|(ment ac)|(multiple cpu faults)|(system.+state.+changed )|(\[timeout)|(PRM\|1\|D)|(kpr)|(kdp)|(\|lc)|(penalty))"</v>
      </c>
      <c r="U53" s="9" t="str">
        <f t="shared" si="12"/>
        <v>4009</v>
      </c>
      <c r="V53" s="32">
        <f t="shared" si="13"/>
        <v>42811.046307870369</v>
      </c>
      <c r="W53" s="46" t="str">
        <f t="shared" si="14"/>
        <v>NW</v>
      </c>
      <c r="X53" s="46" t="str">
        <f t="shared" si="15"/>
        <v>KEEP</v>
      </c>
      <c r="Y53" s="108" t="str">
        <f t="shared" si="16"/>
        <v>echo {"issue":{"subject":"","project_id":79,"tracker_id":40,"status_id":1,"priority_id":2,"assigned_to_id":23,"start_date":"2017-03-16","description":"","custom_fields":[{"id":1,"name":"Subdivision","value":"NW"},{"id":4,"name":"Milepost","value":"5.9058"},{"id":17,"name":"Train ID","value":"839-16"},{"id":16,"name":"Locomotive ID","value":"4009"},{"id":130,"name":"Impact","value":""},{"id":150,"name":"Time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7"/>
        <v>grep -hSE -A400 "Enforcement Action" "%USERPROFILE%\AppData\Local\Temp\OnboardLogs"\RTDC4009\*4009*201703170*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"%USERPROFILE%\AppData\Local\Temp\OnboardLogs"\RTDC4009\*4009*201703170* &gt;&gt; 2017-03-16-SliceDisagreementCheck.txt</v>
      </c>
      <c r="AE53" s="157" t="str">
        <f t="shared" si="9"/>
        <v>start /low /b %USERPROFILE%\Documents\GitHub\eaglep3\Utilities\DownloadLogsFromS3.py --loco 4009 --day 2017-03-17</v>
      </c>
      <c r="AF53" s="1"/>
    </row>
    <row r="54" spans="1:32" x14ac:dyDescent="0.25">
      <c r="A54" s="32">
        <v>42810.899861111109</v>
      </c>
      <c r="B54" s="30" t="s">
        <v>636</v>
      </c>
      <c r="C54" s="30" t="s">
        <v>637</v>
      </c>
      <c r="D54" s="30" t="s">
        <v>98</v>
      </c>
      <c r="E54" s="30" t="s">
        <v>193</v>
      </c>
      <c r="F54" s="43">
        <v>0</v>
      </c>
      <c r="G54" s="43">
        <v>122</v>
      </c>
      <c r="H54" s="43">
        <v>27322</v>
      </c>
      <c r="I54" s="43">
        <v>27173</v>
      </c>
      <c r="J54" s="30" t="s">
        <v>194</v>
      </c>
      <c r="K54" s="43">
        <v>27350</v>
      </c>
      <c r="L54" s="143" t="s">
        <v>51</v>
      </c>
      <c r="M54" s="144">
        <f t="shared" si="10"/>
        <v>-93.456000000000003</v>
      </c>
      <c r="N54" s="145" t="str">
        <f>VLOOKUP(C54,'Trips&amp;Operators'!$C$1:$G$99999,5,FALSE)</f>
        <v>PERKINS DARREN</v>
      </c>
      <c r="O54" s="194" t="s">
        <v>185</v>
      </c>
      <c r="P54" s="146"/>
      <c r="Q54" s="30"/>
      <c r="R54" s="89" t="e">
        <f>IF(VLOOKUP(C54,'Train Runs'!$A$13:$AE$9950,1,1)=C54,VLOOKUP(C54,'Train Runs'!$A$13:$AE$9950,31,1),NA())</f>
        <v>#N/A</v>
      </c>
      <c r="S54" s="92" t="str">
        <f>VLOOKUP(C54,'Train Runs'!$A$13:$AE$9950,22,0)</f>
        <v>https://d0f6bd738d7f1b3e5a7ca70fe4ff75f0.us-east-1.aws.found.io/app/kibana#/discover/Steve-Slow-Train-Analysis-(2080s-and-2083s)?_g=(refreshInterval:(display:Off,pause:!f,section:0,value:0),time:(from:'2017-03-16T20:05:22-0600',mode:absolute,to:'2017-03-16T23:32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4" s="94" t="str">
        <f t="shared" si="11"/>
        <v>"C:\Program Files (x86)\AstroGrep\AstroGrep.exe" /e /r /s /spath="%USERPROFILE%\AppData\Local\Temp\OnboardLogs" /stypes="*4021*201703170*" /stext=" 03:.+((SYSTEM_STATE.+slice.+state.+changed )|(ment ac)|(multiple cpu faults)|(system.+state.+changed )|(\[timeout)|(PRM\|1\|D)|(kpr)|(kdp)|(\|lc)|(penalty))"</v>
      </c>
      <c r="U54" s="9" t="str">
        <f t="shared" si="12"/>
        <v>4021</v>
      </c>
      <c r="V54" s="32">
        <f t="shared" si="13"/>
        <v>42811.149861111109</v>
      </c>
      <c r="W54" s="46" t="str">
        <f t="shared" si="14"/>
        <v>Other</v>
      </c>
      <c r="X54" s="46" t="str">
        <f t="shared" si="15"/>
        <v>KEEP</v>
      </c>
      <c r="Y54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{"issue":{"subject":"","project_id":79,"tracker_id":40,"status_id":1,"priority_id":2,"assigned_to_id":23,"start_date":"2017-03-16","description":"","custom_fields":[{"id":1,"name":"Subdivision","value":"Other"},{"id":4,"name":"Milepost","value":"2.735"},{"id":17,"name":"Train ID","value":"88-16"},{"id":16,"name":"Locomotive ID","value":"4021"},{"id":130,"name":"Impact","value":""},{"id":150,"name":"Time of Event (Mountain Time)","value":"21:35:48"},{"id":151,"name":"Denver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7"/>
        <v>grep -hSE -A400 "Enforcement Action" "%USERPROFILE%\AppData\Local\Temp\OnboardLogs"\RTDC4021\*4021*201703170*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"%USERPROFILE%\AppData\Local\Temp\OnboardLogs"\RTDC4021\*4021*201703170* &gt;&gt; 2017-03-16-SliceDisagreementCheck.txt</v>
      </c>
      <c r="AE54" s="157" t="str">
        <f t="shared" si="9"/>
        <v>start /low /b %USERPROFILE%\Documents\GitHub\eaglep3\Utilities\DownloadLogsFromS3.py --loco 4021 --day 2017-03-17</v>
      </c>
      <c r="AF54" s="1"/>
    </row>
    <row r="55" spans="1:32" x14ac:dyDescent="0.25">
      <c r="A55" s="32">
        <v>42810.646319444444</v>
      </c>
      <c r="B55" s="30" t="s">
        <v>452</v>
      </c>
      <c r="C55" s="30" t="s">
        <v>620</v>
      </c>
      <c r="D55" s="30" t="s">
        <v>49</v>
      </c>
      <c r="E55" s="30" t="s">
        <v>386</v>
      </c>
      <c r="F55" s="43">
        <v>0</v>
      </c>
      <c r="G55" s="43">
        <v>92</v>
      </c>
      <c r="H55" s="43">
        <v>24656</v>
      </c>
      <c r="I55" s="43">
        <v>24557</v>
      </c>
      <c r="J55" s="30" t="s">
        <v>387</v>
      </c>
      <c r="K55" s="43">
        <v>24235</v>
      </c>
      <c r="L55" s="143" t="s">
        <v>51</v>
      </c>
      <c r="M55" s="144">
        <f t="shared" si="10"/>
        <v>170.01599999999999</v>
      </c>
      <c r="N55" s="145" t="str">
        <f>VLOOKUP(C55,'Trips&amp;Operators'!$C$1:$G$99999,5,FALSE)</f>
        <v>MENGES BRAD</v>
      </c>
      <c r="O55" s="194" t="s">
        <v>185</v>
      </c>
      <c r="P55" s="146"/>
      <c r="Q55" s="30"/>
      <c r="R55" s="89" t="e">
        <f>IF(VLOOKUP(C55,'Train Runs'!$A$13:$AE$9950,1,1)=C55,VLOOKUP(C55,'Train Runs'!$A$13:$AE$9950,31,1),NA())</f>
        <v>#N/A</v>
      </c>
      <c r="S55" s="92" t="str">
        <f>VLOOKUP(C55,'Train Runs'!$A$13:$AE$9950,22,0)</f>
        <v>https://d0f6bd738d7f1b3e5a7ca70fe4ff75f0.us-east-1.aws.found.io/app/kibana#/discover/Steve-Slow-Train-Analysis-(2080s-and-2083s)?_g=(refreshInterval:(display:Off,pause:!f,section:0,value:0),time:(from:'2017-03-16T14:33:04-0600',mode:absolute,to:'2017-03-16T16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5" s="94" t="str">
        <f t="shared" si="11"/>
        <v>"C:\Program Files (x86)\AstroGrep\AstroGrep.exe" /e /r /s /spath="%USERPROFILE%\AppData\Local\Temp\OnboardLogs" /stypes="*4010*201703162*" /stext=" 21:.+((SYSTEM_STATE.+slice.+state.+changed )|(ment ac)|(multiple cpu faults)|(system.+state.+changed )|(\[timeout)|(PRM\|1\|D)|(kpr)|(kdp)|(\|lc)|(penalty))"</v>
      </c>
      <c r="U55" s="9" t="str">
        <f t="shared" si="12"/>
        <v>4010</v>
      </c>
      <c r="V55" s="32">
        <f t="shared" si="13"/>
        <v>42810.896319444444</v>
      </c>
      <c r="W55" s="46" t="str">
        <f t="shared" si="14"/>
        <v>Other</v>
      </c>
      <c r="X55" s="46" t="str">
        <f t="shared" si="15"/>
        <v>KEEP</v>
      </c>
      <c r="Y55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{"issue":{"subject":"","project_id":79,"tracker_id":40,"status_id":1,"priority_id":2,"assigned_to_id":23,"start_date":"2017-03-16","description":"","custom_fields":[{"id":1,"name":"Subdivision","value":"Other"},{"id":4,"name":"Milepost","value":"2.4235"},{"id":17,"name":"Train ID","value":"904-16"},{"id":16,"name":"Locomotive ID","value":"4010"},{"id":130,"name":"Impact","value":""},{"id":150,"name":"Time of Event (Mountain Time)","value":"15:30:42"},{"id":151,"name":"Denver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7"/>
        <v>grep -hSE -A400 "Enforcement Action" "%USERPROFILE%\AppData\Local\Temp\OnboardLogs"\RTDC4010\*4010*201703162*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"%USERPROFILE%\AppData\Local\Temp\OnboardLogs"\RTDC4010\*4010*201703162* &gt;&gt; 2017-03-16-SliceDisagreementCheck.txt</v>
      </c>
      <c r="AE55" s="157" t="str">
        <f t="shared" si="9"/>
        <v>start /low /b %USERPROFILE%\Documents\GitHub\eaglep3\Utilities\DownloadLogsFromS3.py --loco 4010 --day 2017-03-16</v>
      </c>
      <c r="AF55" s="1"/>
    </row>
    <row r="56" spans="1:32" x14ac:dyDescent="0.25">
      <c r="A56" s="32">
        <v>42810.733263888891</v>
      </c>
      <c r="B56" s="30" t="s">
        <v>626</v>
      </c>
      <c r="C56" s="30" t="s">
        <v>627</v>
      </c>
      <c r="D56" s="30" t="s">
        <v>98</v>
      </c>
      <c r="E56" s="30" t="s">
        <v>617</v>
      </c>
      <c r="F56" s="43">
        <v>0</v>
      </c>
      <c r="G56" s="43">
        <v>93</v>
      </c>
      <c r="H56" s="43">
        <v>23824</v>
      </c>
      <c r="I56" s="43">
        <v>23728</v>
      </c>
      <c r="J56" s="30" t="s">
        <v>442</v>
      </c>
      <c r="K56" s="43">
        <v>24235</v>
      </c>
      <c r="L56" s="143" t="s">
        <v>51</v>
      </c>
      <c r="M56" s="144">
        <f t="shared" si="10"/>
        <v>-267.69600000000003</v>
      </c>
      <c r="N56" s="145" t="str">
        <f>VLOOKUP(C56,'Trips&amp;Operators'!$C$1:$G$99999,5,FALSE)</f>
        <v>BROWN JACOB</v>
      </c>
      <c r="O56" s="194" t="s">
        <v>185</v>
      </c>
      <c r="P56" s="146"/>
      <c r="Q56" s="30"/>
      <c r="R56" s="89" t="e">
        <f>IF(VLOOKUP(C56,'Train Runs'!$A$13:$AE$9950,1,1)=C56,VLOOKUP(C56,'Train Runs'!$A$13:$AE$9950,31,1),NA())</f>
        <v>#N/A</v>
      </c>
      <c r="S56" s="92" t="str">
        <f>VLOOKUP(C56,'Train Runs'!$A$13:$AE$9950,22,0)</f>
        <v>https://d0f6bd738d7f1b3e5a7ca70fe4ff75f0.us-east-1.aws.found.io/app/kibana#/discover/Steve-Slow-Train-Analysis-(2080s-and-2083s)?_g=(refreshInterval:(display:Off,pause:!f,section:0,value:0),time:(from:'2017-03-16T16:37:36-0600',mode:absolute,to:'2017-03-16T18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6" s="94" t="str">
        <f t="shared" si="11"/>
        <v>"C:\Program Files (x86)\AstroGrep\AstroGrep.exe" /e /r /s /spath="%USERPROFILE%\AppData\Local\Temp\OnboardLogs" /stypes="*4013*201703162*" /stext=" 23:.+((SYSTEM_STATE.+slice.+state.+changed )|(ment ac)|(multiple cpu faults)|(system.+state.+changed )|(\[timeout)|(PRM\|1\|D)|(kpr)|(kdp)|(\|lc)|(penalty))"</v>
      </c>
      <c r="U56" s="9" t="str">
        <f t="shared" si="12"/>
        <v>4013</v>
      </c>
      <c r="V56" s="32">
        <f t="shared" si="13"/>
        <v>42810.983263888891</v>
      </c>
      <c r="W56" s="46" t="str">
        <f t="shared" si="14"/>
        <v>Other</v>
      </c>
      <c r="X56" s="46" t="str">
        <f t="shared" si="15"/>
        <v>KEEP</v>
      </c>
      <c r="Y56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{"issue":{"subject":"","project_id":79,"tracker_id":40,"status_id":1,"priority_id":2,"assigned_to_id":23,"start_date":"2017-03-16","description":"","custom_fields":[{"id":1,"name":"Subdivision","value":"Other"},{"id":4,"name":"Milepost","value":"2.4235"},{"id":17,"name":"Train ID","value":"72-16"},{"id":16,"name":"Locomotive ID","value":"4013"},{"id":130,"name":"Impact","value":""},{"id":150,"name":"Time of Event (Mountain Time)","value":"17:35:54"},{"id":151,"name":"Denver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7"/>
        <v>grep -hSE -A400 "Enforcement Action" "%USERPROFILE%\AppData\Local\Temp\OnboardLogs"\RTDC4013\*4013*201703162*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"%USERPROFILE%\AppData\Local\Temp\OnboardLogs"\RTDC4013\*4013*201703162* &gt;&gt; 2017-03-16-SliceDisagreementCheck.txt</v>
      </c>
      <c r="AE56" s="157" t="str">
        <f t="shared" si="9"/>
        <v>start /low /b %USERPROFILE%\Documents\GitHub\eaglep3\Utilities\DownloadLogsFromS3.py --loco 4013 --day 2017-03-16</v>
      </c>
      <c r="AF56" s="1"/>
    </row>
    <row r="57" spans="1:32" x14ac:dyDescent="0.25">
      <c r="A57" s="32">
        <v>42810.277175925927</v>
      </c>
      <c r="B57" s="30" t="s">
        <v>452</v>
      </c>
      <c r="C57" s="30" t="s">
        <v>596</v>
      </c>
      <c r="D57" s="30" t="s">
        <v>49</v>
      </c>
      <c r="E57" s="30" t="s">
        <v>186</v>
      </c>
      <c r="F57" s="43">
        <v>0</v>
      </c>
      <c r="G57" s="43">
        <v>27</v>
      </c>
      <c r="H57" s="43">
        <v>633</v>
      </c>
      <c r="I57" s="43">
        <v>612</v>
      </c>
      <c r="J57" s="30" t="s">
        <v>187</v>
      </c>
      <c r="K57" s="43">
        <v>575</v>
      </c>
      <c r="L57" s="143" t="s">
        <v>51</v>
      </c>
      <c r="M57" s="144">
        <f t="shared" si="10"/>
        <v>19.536000000000001</v>
      </c>
      <c r="N57" s="145" t="str">
        <f>VLOOKUP(C57,'Trips&amp;Operators'!$C$1:$G$99999,5,FALSE)</f>
        <v>COOLAHAN JOHN</v>
      </c>
      <c r="O57" s="194" t="s">
        <v>185</v>
      </c>
      <c r="P57" s="146"/>
      <c r="Q57" s="30"/>
      <c r="R57" s="89" t="e">
        <f>IF(VLOOKUP(C57,'Train Runs'!$A$13:$AE$9950,1,1)=C57,VLOOKUP(C57,'Train Runs'!$A$13:$AE$9950,31,1),NA())</f>
        <v>#N/A</v>
      </c>
      <c r="S57" s="92" t="str">
        <f>VLOOKUP(C57,'Train Runs'!$A$13:$AE$9950,22,0)</f>
        <v>https://d0f6bd738d7f1b3e5a7ca70fe4ff75f0.us-east-1.aws.found.io/app/kibana#/discover/Steve-Slow-Train-Analysis-(2080s-and-2083s)?_g=(refreshInterval:(display:Off,pause:!f,section:0,value:0),time:(from:'2017-03-16T05:26:31-0600',mode:absolute,to:'2017-03-16T07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7" s="94" t="str">
        <f t="shared" si="11"/>
        <v>"C:\Program Files (x86)\AstroGrep\AstroGrep.exe" /e /r /s /spath="%USERPROFILE%\AppData\Local\Temp\OnboardLogs" /stypes="*4010*201703161*" /stext=" 12:.+((SYSTEM_STATE.+slice.+state.+changed )|(ment ac)|(multiple cpu faults)|(system.+state.+changed )|(\[timeout)|(PRM\|1\|D)|(kpr)|(kdp)|(\|lc)|(penalty))"</v>
      </c>
      <c r="U57" s="9" t="str">
        <f t="shared" si="12"/>
        <v>4010</v>
      </c>
      <c r="V57" s="32">
        <f t="shared" si="13"/>
        <v>42810.527175925927</v>
      </c>
      <c r="W57" s="46" t="str">
        <f t="shared" si="14"/>
        <v>Other</v>
      </c>
      <c r="X57" s="46" t="str">
        <f t="shared" si="15"/>
        <v>KEEP</v>
      </c>
      <c r="Y57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{"issue":{"subject":"","project_id":79,"tracker_id":40,"status_id":1,"priority_id":2,"assigned_to_id":23,"start_date":"2017-03-16","description":"","custom_fields":[{"id":1,"name":"Subdivision","value":"Other"},{"id":4,"name":"Milepost","value":"0.0575"},{"id":17,"name":"Train ID","value":"50-16"},{"id":16,"name":"Locomotive ID","value":"4010"},{"id":130,"name":"Impact","value":""},{"id":150,"name":"Time of Event (Mountain Time)","value":"06:39:08"},{"id":151,"name":"Denver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7"/>
        <v>grep -hSE -A400 "Enforcement Action" "%USERPROFILE%\AppData\Local\Temp\OnboardLogs"\RTDC4010\*4010*201703161*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"%USERPROFILE%\AppData\Local\Temp\OnboardLogs"\RTDC4010\*4010*201703161* &gt;&gt; 2017-03-16-SliceDisagreementCheck.txt</v>
      </c>
      <c r="AE57" s="157" t="str">
        <f t="shared" si="9"/>
        <v>start /low /b %USERPROFILE%\Documents\GitHub\eaglep3\Utilities\DownloadLogsFromS3.py --loco 4010 --day 2017-03-16</v>
      </c>
      <c r="AF57" s="1"/>
    </row>
    <row r="58" spans="1:32" x14ac:dyDescent="0.25">
      <c r="A58" s="32">
        <v>42810.654108796298</v>
      </c>
      <c r="B58" s="30" t="s">
        <v>452</v>
      </c>
      <c r="C58" s="30" t="s">
        <v>620</v>
      </c>
      <c r="D58" s="30" t="s">
        <v>49</v>
      </c>
      <c r="E58" s="30" t="s">
        <v>186</v>
      </c>
      <c r="F58" s="43">
        <v>0</v>
      </c>
      <c r="G58" s="43">
        <v>58</v>
      </c>
      <c r="H58" s="43">
        <v>762</v>
      </c>
      <c r="I58" s="43">
        <v>719</v>
      </c>
      <c r="J58" s="30" t="s">
        <v>187</v>
      </c>
      <c r="K58" s="43">
        <v>575</v>
      </c>
      <c r="L58" s="143" t="s">
        <v>51</v>
      </c>
      <c r="M58" s="144">
        <f t="shared" si="10"/>
        <v>76.031999999999996</v>
      </c>
      <c r="N58" s="145" t="str">
        <f>VLOOKUP(C58,'Trips&amp;Operators'!$C$1:$G$99999,5,FALSE)</f>
        <v>MENGES BRAD</v>
      </c>
      <c r="O58" s="194" t="s">
        <v>185</v>
      </c>
      <c r="P58" s="146"/>
      <c r="Q58" s="30"/>
      <c r="R58" s="89" t="e">
        <f>IF(VLOOKUP(C58,'Train Runs'!$A$13:$AE$9950,1,1)=C58,VLOOKUP(C58,'Train Runs'!$A$13:$AE$9950,31,1),NA())</f>
        <v>#N/A</v>
      </c>
      <c r="S58" s="92" t="str">
        <f>VLOOKUP(C58,'Train Runs'!$A$13:$AE$9950,22,0)</f>
        <v>https://d0f6bd738d7f1b3e5a7ca70fe4ff75f0.us-east-1.aws.found.io/app/kibana#/discover/Steve-Slow-Train-Analysis-(2080s-and-2083s)?_g=(refreshInterval:(display:Off,pause:!f,section:0,value:0),time:(from:'2017-03-16T14:33:04-0600',mode:absolute,to:'2017-03-16T16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58" s="94" t="str">
        <f t="shared" si="11"/>
        <v>"C:\Program Files (x86)\AstroGrep\AstroGrep.exe" /e /r /s /spath="%USERPROFILE%\AppData\Local\Temp\OnboardLogs" /stypes="*4010*201703162*" /stext=" 21:.+((SYSTEM_STATE.+slice.+state.+changed )|(ment ac)|(multiple cpu faults)|(system.+state.+changed )|(\[timeout)|(PRM\|1\|D)|(kpr)|(kdp)|(\|lc)|(penalty))"</v>
      </c>
      <c r="U58" s="9" t="str">
        <f t="shared" si="12"/>
        <v>4010</v>
      </c>
      <c r="V58" s="32">
        <f t="shared" si="13"/>
        <v>42810.904108796298</v>
      </c>
      <c r="W58" s="46" t="str">
        <f t="shared" si="14"/>
        <v>Other</v>
      </c>
      <c r="X58" s="46" t="str">
        <f t="shared" si="15"/>
        <v>KEEP</v>
      </c>
      <c r="Y58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{"issue":{"subject":"","project_id":79,"tracker_id":40,"status_id":1,"priority_id":2,"assigned_to_id":23,"start_date":"2017-03-16","description":"","custom_fields":[{"id":1,"name":"Subdivision","value":"Other"},{"id":4,"name":"Milepost","value":"0.0575"},{"id":17,"name":"Train ID","value":"904-16"},{"id":16,"name":"Locomotive ID","value":"4010"},{"id":130,"name":"Impact","value":""},{"id":150,"name":"Time of Event (Mountain Time)","value":"15:41:55"},{"id":151,"name":"Denver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7"/>
        <v>grep -hSE -A400 "Enforcement Action" "%USERPROFILE%\AppData\Local\Temp\OnboardLogs"\RTDC4010\*4010*201703162*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"%USERPROFILE%\AppData\Local\Temp\OnboardLogs"\RTDC4010\*4010*201703162* &gt;&gt; 2017-03-16-SliceDisagreementCheck.txt</v>
      </c>
      <c r="AE58" s="157" t="str">
        <f t="shared" si="9"/>
        <v>start /low /b %USERPROFILE%\Documents\GitHub\eaglep3\Utilities\DownloadLogsFromS3.py --loco 4010 --day 2017-03-16</v>
      </c>
      <c r="AF58" s="1"/>
    </row>
    <row r="59" spans="1:32" x14ac:dyDescent="0.25">
      <c r="A59" s="32">
        <v>42810.740995370368</v>
      </c>
      <c r="B59" s="30" t="s">
        <v>626</v>
      </c>
      <c r="C59" s="30" t="s">
        <v>627</v>
      </c>
      <c r="D59" s="30" t="s">
        <v>49</v>
      </c>
      <c r="E59" s="30" t="s">
        <v>186</v>
      </c>
      <c r="F59" s="43">
        <v>0</v>
      </c>
      <c r="G59" s="43">
        <v>32</v>
      </c>
      <c r="H59" s="43">
        <v>930</v>
      </c>
      <c r="I59" s="43">
        <v>904</v>
      </c>
      <c r="J59" s="30" t="s">
        <v>187</v>
      </c>
      <c r="K59" s="43">
        <v>826</v>
      </c>
      <c r="L59" s="143" t="s">
        <v>51</v>
      </c>
      <c r="M59" s="144">
        <f t="shared" si="10"/>
        <v>41.183999999999997</v>
      </c>
      <c r="N59" s="145" t="str">
        <f>VLOOKUP(C59,'Trips&amp;Operators'!$C$1:$G$99999,5,FALSE)</f>
        <v>BROWN JACOB</v>
      </c>
      <c r="O59" s="194" t="s">
        <v>185</v>
      </c>
      <c r="P59" s="146"/>
      <c r="Q59" s="30"/>
      <c r="R59" s="89" t="e">
        <f>IF(VLOOKUP(C59,'Train Runs'!$A$13:$AE$9950,1,1)=C59,VLOOKUP(C59,'Train Runs'!$A$13:$AE$9950,31,1),NA())</f>
        <v>#N/A</v>
      </c>
      <c r="S59" s="92" t="str">
        <f>VLOOKUP(C59,'Train Runs'!$A$13:$AE$9950,22,0)</f>
        <v>https://d0f6bd738d7f1b3e5a7ca70fe4ff75f0.us-east-1.aws.found.io/app/kibana#/discover/Steve-Slow-Train-Analysis-(2080s-and-2083s)?_g=(refreshInterval:(display:Off,pause:!f,section:0,value:0),time:(from:'2017-03-16T16:37:36-0600',mode:absolute,to:'2017-03-16T18:47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9" s="94" t="str">
        <f t="shared" si="11"/>
        <v>"C:\Program Files (x86)\AstroGrep\AstroGrep.exe" /e /r /s /spath="%USERPROFILE%\AppData\Local\Temp\OnboardLogs" /stypes="*4013*201703162*" /stext=" 23:.+((SYSTEM_STATE.+slice.+state.+changed )|(ment ac)|(multiple cpu faults)|(system.+state.+changed )|(\[timeout)|(PRM\|1\|D)|(kpr)|(kdp)|(\|lc)|(penalty))"</v>
      </c>
      <c r="U59" s="9" t="str">
        <f t="shared" si="12"/>
        <v>4013</v>
      </c>
      <c r="V59" s="32">
        <f t="shared" si="13"/>
        <v>42810.990995370368</v>
      </c>
      <c r="W59" s="46" t="str">
        <f t="shared" si="14"/>
        <v>Other</v>
      </c>
      <c r="X59" s="46" t="str">
        <f t="shared" si="15"/>
        <v>KEEP</v>
      </c>
      <c r="Y59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{"issue":{"subject":"","project_id":79,"tracker_id":40,"status_id":1,"priority_id":2,"assigned_to_id":23,"start_date":"2017-03-16","description":"","custom_fields":[{"id":1,"name":"Subdivision","value":"Other"},{"id":4,"name":"Milepost","value":"0.0826"},{"id":17,"name":"Train ID","value":"72-16"},{"id":16,"name":"Locomotive ID","value":"4013"},{"id":130,"name":"Impact","value":""},{"id":150,"name":"Time of Event (Mountain Time)","value":"17:47:02"},{"id":151,"name":"Denver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7"/>
        <v>grep -hSE -A400 "Enforcement Action" "%USERPROFILE%\AppData\Local\Temp\OnboardLogs"\RTDC4013\*4013*201703162*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"%USERPROFILE%\AppData\Local\Temp\OnboardLogs"\RTDC4013\*4013*201703162* &gt;&gt; 2017-03-16-SliceDisagreementCheck.txt</v>
      </c>
      <c r="AE59" s="157" t="str">
        <f t="shared" si="9"/>
        <v>start /low /b %USERPROFILE%\Documents\GitHub\eaglep3\Utilities\DownloadLogsFromS3.py --loco 4013 --day 2017-03-16</v>
      </c>
      <c r="AF59" s="1"/>
    </row>
    <row r="60" spans="1:32" x14ac:dyDescent="0.25">
      <c r="A60" s="32">
        <v>42810.756319444445</v>
      </c>
      <c r="B60" s="30" t="s">
        <v>377</v>
      </c>
      <c r="C60" s="30" t="s">
        <v>631</v>
      </c>
      <c r="D60" s="30" t="s">
        <v>98</v>
      </c>
      <c r="E60" s="30" t="s">
        <v>186</v>
      </c>
      <c r="F60" s="43">
        <v>0</v>
      </c>
      <c r="G60" s="43">
        <v>9</v>
      </c>
      <c r="H60" s="43">
        <v>839</v>
      </c>
      <c r="I60" s="43">
        <v>0</v>
      </c>
      <c r="J60" s="30" t="s">
        <v>187</v>
      </c>
      <c r="K60" s="43">
        <v>839</v>
      </c>
      <c r="L60" s="143" t="s">
        <v>51</v>
      </c>
      <c r="M60" s="144">
        <f t="shared" si="10"/>
        <v>-442.99200000000002</v>
      </c>
      <c r="N60" s="145" t="str">
        <f>VLOOKUP(C60,'Trips&amp;Operators'!$C$1:$G$99999,5,FALSE)</f>
        <v>MACDONALD THOMAS</v>
      </c>
      <c r="O60" s="194" t="s">
        <v>185</v>
      </c>
      <c r="P60" s="146"/>
      <c r="Q60" s="30"/>
      <c r="R60" s="89" t="e">
        <f>IF(VLOOKUP(C60,'Train Runs'!$A$13:$AE$9950,1,1)=C60,VLOOKUP(C60,'Train Runs'!$A$13:$AE$9950,31,1),NA())</f>
        <v>#N/A</v>
      </c>
      <c r="S60" s="92" t="str">
        <f>VLOOKUP(C60,'Train Runs'!$A$13:$AE$9950,22,0)</f>
        <v>https://d0f6bd738d7f1b3e5a7ca70fe4ff75f0.us-east-1.aws.found.io/app/kibana#/discover/Steve-Slow-Train-Analysis-(2080s-and-2083s)?_g=(refreshInterval:(display:Off,pause:!f,section:0,value:0),time:(from:'2017-03-16T16:53:16-0600',mode:absolute,to:'2017-03-16T19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60" s="94" t="str">
        <f t="shared" si="11"/>
        <v>"C:\Program Files (x86)\AstroGrep\AstroGrep.exe" /e /r /s /spath="%USERPROFILE%\AppData\Local\Temp\OnboardLogs" /stypes="*4019*201703170*" /stext=" 00:.+((SYSTEM_STATE.+slice.+state.+changed )|(ment ac)|(multiple cpu faults)|(system.+state.+changed )|(\[timeout)|(PRM\|1\|D)|(kpr)|(kdp)|(\|lc)|(penalty))"</v>
      </c>
      <c r="U60" s="9" t="str">
        <f t="shared" si="12"/>
        <v>4019</v>
      </c>
      <c r="V60" s="32">
        <f t="shared" si="13"/>
        <v>42811.006319444445</v>
      </c>
      <c r="W60" s="46" t="str">
        <f t="shared" si="14"/>
        <v>Other</v>
      </c>
      <c r="X60" s="46" t="str">
        <f t="shared" si="15"/>
        <v>OMIT</v>
      </c>
      <c r="Y60" s="108" t="str">
        <f t="shared" si="16"/>
        <v>echo {"issue":{"subject":"","project_id":79,"tracker_id":40,"status_id":1,"priority_id":2,"assigned_to_id":23,"start_date":"2017-03-16","description":"","custom_fields":[{"id":1,"name":"Subdivision","value":"Other"},{"id":4,"name":"Milepost","value":"0.0839"},{"id":17,"name":"Train ID","value":"70-16"},{"id":16,"name":"Locomotive ID","value":"4019"},{"id":130,"name":"Impact","value":""},{"id":150,"name":"Time of Event (Mountain Time)","value":"18:09:06"},{"id":151,"name":"Denver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7"/>
        <v>grep -hSE -A400 "Enforcement Action" "%USERPROFILE%\AppData\Local\Temp\OnboardLogs"\RTDC4019\*4019*201703170*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"%USERPROFILE%\AppData\Local\Temp\OnboardLogs"\RTDC4019\*4019*201703170* &gt;&gt; 2017-03-16-SliceDisagreementCheck.txt</v>
      </c>
      <c r="AE60" s="157" t="str">
        <f t="shared" si="9"/>
        <v>start /low /b %USERPROFILE%\Documents\GitHub\eaglep3\Utilities\DownloadLogsFromS3.py --loco 4019 --day 2017-03-17</v>
      </c>
      <c r="AF60" s="1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</sheetData>
  <autoFilter ref="A6:AC63">
    <sortState ref="A7:AC67">
      <sortCondition ref="W7:W64"/>
      <sortCondition ref="E7:E64"/>
      <sortCondition ref="K7:K64"/>
      <sortCondition ref="F7:F64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4:O1048576 O7:O6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workbookViewId="0">
      <selection activeCell="A3" sqref="A3:A6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2017-03-16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-16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Runs'!$A$13:$A$99947,1,FALSE)</f>
        <v>#N/A</v>
      </c>
    </row>
    <row r="4" spans="1:10" x14ac:dyDescent="0.25">
      <c r="A4" s="185"/>
      <c r="B4" s="43" t="str">
        <f>A4&amp;"-"&amp;IF(DAY(Variables!$A$2)&lt;10,0,"")&amp;DAY(Variables!$A$2)</f>
        <v>-16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" s="30" t="e">
        <f>VLOOKUP(B4,'Train Runs'!$A$13:$A$99947,1,FALSE)</f>
        <v>#N/A</v>
      </c>
    </row>
    <row r="5" spans="1:10" x14ac:dyDescent="0.25">
      <c r="A5" s="185"/>
      <c r="B5" s="43" t="str">
        <f>A5&amp;"-"&amp;IF(DAY(Variables!$A$2)&lt;10,0,"")&amp;DAY(Variables!$A$2)</f>
        <v>-16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" s="30" t="e">
        <f>VLOOKUP(B5,'Train Runs'!$A$13:$A$99947,1,FALSE)</f>
        <v>#N/A</v>
      </c>
    </row>
    <row r="6" spans="1:10" x14ac:dyDescent="0.25">
      <c r="A6" s="185"/>
      <c r="B6" s="43" t="str">
        <f>A6&amp;"-"&amp;IF(DAY(Variables!$A$2)&lt;10,0,"")&amp;DAY(Variables!$A$2)</f>
        <v>-16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" s="30" t="e">
        <f>VLOOKUP(B6,'Train Runs'!$A$13:$A$99947,1,FALSE)</f>
        <v>#N/A</v>
      </c>
    </row>
    <row r="7" spans="1:10" x14ac:dyDescent="0.25">
      <c r="A7" s="185"/>
      <c r="B7" s="43" t="str">
        <f>A7&amp;"-"&amp;IF(DAY(Variables!$A$2)&lt;10,0,"")&amp;DAY(Variables!$A$2)</f>
        <v>-16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Runs'!$A$13:$A$99947,1,FALSE)</f>
        <v>#N/A</v>
      </c>
    </row>
    <row r="8" spans="1:10" x14ac:dyDescent="0.25">
      <c r="A8" s="185"/>
      <c r="B8" s="43" t="str">
        <f>A8&amp;"-"&amp;IF(DAY(Variables!$A$2)&lt;10,0,"")&amp;DAY(Variables!$A$2)</f>
        <v>-16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Runs'!$A$13:$A$99947,1,FALSE)</f>
        <v>#N/A</v>
      </c>
    </row>
    <row r="9" spans="1:10" x14ac:dyDescent="0.25">
      <c r="A9" s="185"/>
      <c r="B9" s="43" t="str">
        <f>A9&amp;"-"&amp;IF(DAY(Variables!$A$2)&lt;10,0,"")&amp;DAY(Variables!$A$2)</f>
        <v>-16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Runs'!$A$13:$A$99947,1,FALSE)</f>
        <v>#N/A</v>
      </c>
    </row>
    <row r="10" spans="1:10" x14ac:dyDescent="0.25">
      <c r="A10" s="185"/>
      <c r="B10" s="43" t="str">
        <f>A10&amp;"-"&amp;IF(DAY(Variables!$A$2)&lt;10,0,"")&amp;DAY(Variables!$A$2)</f>
        <v>-16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ref="I10:I4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Runs'!$A$13:$A$99947,1,FALSE)</f>
        <v>#N/A</v>
      </c>
    </row>
    <row r="11" spans="1:10" x14ac:dyDescent="0.25">
      <c r="A11" s="185"/>
      <c r="B11" s="43" t="str">
        <f>A11&amp;"-"&amp;IF(DAY(Variables!$A$2)&lt;10,0,"")&amp;DAY(Variables!$A$2)</f>
        <v>-16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Runs'!$A$13:$A$99947,1,FALSE)</f>
        <v>#N/A</v>
      </c>
    </row>
    <row r="12" spans="1:10" x14ac:dyDescent="0.25">
      <c r="A12" s="185"/>
      <c r="B12" s="43" t="str">
        <f>A12&amp;"-"&amp;IF(DAY(Variables!$A$2)&lt;10,0,"")&amp;DAY(Variables!$A$2)</f>
        <v>-16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Runs'!$A$13:$A$99947,1,FALSE)</f>
        <v>#N/A</v>
      </c>
    </row>
    <row r="13" spans="1:10" x14ac:dyDescent="0.25">
      <c r="A13" s="185"/>
      <c r="B13" s="43" t="str">
        <f>A13&amp;"-"&amp;IF(DAY(Variables!$A$2)&lt;10,0,"")&amp;DAY(Variables!$A$2)</f>
        <v>-16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Runs'!$A$13:$A$99947,1,FALSE)</f>
        <v>#N/A</v>
      </c>
    </row>
    <row r="14" spans="1:10" x14ac:dyDescent="0.25">
      <c r="A14" s="185"/>
      <c r="B14" s="43" t="str">
        <f>A14&amp;"-"&amp;IF(DAY(Variables!$A$2)&lt;10,0,"")&amp;DAY(Variables!$A$2)</f>
        <v>-16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Runs'!$A$13:$A$99947,1,FALSE)</f>
        <v>#N/A</v>
      </c>
    </row>
    <row r="15" spans="1:10" x14ac:dyDescent="0.25">
      <c r="A15" s="185"/>
      <c r="B15" s="43" t="str">
        <f>A15&amp;"-"&amp;IF(DAY(Variables!$A$2)&lt;10,0,"")&amp;DAY(Variables!$A$2)</f>
        <v>-16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Runs'!$A$13:$A$99947,1,FALSE)</f>
        <v>#N/A</v>
      </c>
    </row>
    <row r="16" spans="1:10" x14ac:dyDescent="0.25">
      <c r="A16" s="185"/>
      <c r="B16" s="43" t="str">
        <f>A16&amp;"-"&amp;IF(DAY(Variables!$A$2)&lt;10,0,"")&amp;DAY(Variables!$A$2)</f>
        <v>-16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Runs'!$A$13:$A$99947,1,FALSE)</f>
        <v>#N/A</v>
      </c>
    </row>
    <row r="17" spans="1:10" x14ac:dyDescent="0.25">
      <c r="A17" s="185"/>
      <c r="B17" s="43" t="str">
        <f>A17&amp;"-"&amp;IF(DAY(Variables!$A$2)&lt;10,0,"")&amp;DAY(Variables!$A$2)</f>
        <v>-16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Runs'!$A$13:$A$99947,1,FALSE)</f>
        <v>#N/A</v>
      </c>
    </row>
    <row r="18" spans="1:10" x14ac:dyDescent="0.25">
      <c r="A18" s="185"/>
      <c r="B18" s="43" t="str">
        <f>A18&amp;"-"&amp;IF(DAY(Variables!$A$2)&lt;10,0,"")&amp;DAY(Variables!$A$2)</f>
        <v>-16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Runs'!$A$13:$A$99947,1,FALSE)</f>
        <v>#N/A</v>
      </c>
    </row>
    <row r="19" spans="1:10" x14ac:dyDescent="0.25">
      <c r="A19" s="185"/>
      <c r="B19" s="43" t="str">
        <f>A19&amp;"-"&amp;IF(DAY(Variables!$A$2)&lt;10,0,"")&amp;DAY(Variables!$A$2)</f>
        <v>-16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Runs'!$A$13:$A$99947,1,FALSE)</f>
        <v>#N/A</v>
      </c>
    </row>
    <row r="20" spans="1:10" x14ac:dyDescent="0.25">
      <c r="A20" s="185"/>
      <c r="B20" s="43" t="str">
        <f>A20&amp;"-"&amp;IF(DAY(Variables!$A$2)&lt;10,0,"")&amp;DAY(Variables!$A$2)</f>
        <v>-16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Runs'!$A$13:$A$99947,1,FALSE)</f>
        <v>#N/A</v>
      </c>
    </row>
    <row r="21" spans="1:10" x14ac:dyDescent="0.25">
      <c r="A21" s="185"/>
      <c r="B21" s="43" t="str">
        <f>A21&amp;"-"&amp;IF(DAY(Variables!$A$2)&lt;10,0,"")&amp;DAY(Variables!$A$2)</f>
        <v>-16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Runs'!$A$13:$A$99947,1,FALSE)</f>
        <v>#N/A</v>
      </c>
    </row>
    <row r="22" spans="1:10" x14ac:dyDescent="0.25">
      <c r="A22" s="185"/>
      <c r="B22" s="43" t="str">
        <f>A22&amp;"-"&amp;IF(DAY(Variables!$A$2)&lt;10,0,"")&amp;DAY(Variables!$A$2)</f>
        <v>-16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Runs'!$A$13:$A$99947,1,FALSE)</f>
        <v>#N/A</v>
      </c>
    </row>
    <row r="23" spans="1:10" x14ac:dyDescent="0.25">
      <c r="A23" s="185"/>
      <c r="B23" s="43" t="str">
        <f>A23&amp;"-"&amp;IF(DAY(Variables!$A$2)&lt;10,0,"")&amp;DAY(Variables!$A$2)</f>
        <v>-16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Runs'!$A$13:$A$99947,1,FALSE)</f>
        <v>#N/A</v>
      </c>
    </row>
    <row r="24" spans="1:10" x14ac:dyDescent="0.25">
      <c r="A24" s="185"/>
      <c r="B24" s="43" t="str">
        <f>A24&amp;"-"&amp;IF(DAY(Variables!$A$2)&lt;10,0,"")&amp;DAY(Variables!$A$2)</f>
        <v>-16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Runs'!$A$13:$A$99947,1,FALSE)</f>
        <v>#N/A</v>
      </c>
    </row>
    <row r="25" spans="1:10" x14ac:dyDescent="0.25">
      <c r="A25" s="185"/>
      <c r="B25" s="43" t="str">
        <f>A25&amp;"-"&amp;IF(DAY(Variables!$A$2)&lt;10,0,"")&amp;DAY(Variables!$A$2)</f>
        <v>-16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Runs'!$A$13:$A$99947,1,FALSE)</f>
        <v>#N/A</v>
      </c>
    </row>
    <row r="26" spans="1:10" x14ac:dyDescent="0.25">
      <c r="A26" s="185"/>
      <c r="B26" s="43" t="str">
        <f>A26&amp;"-"&amp;IF(DAY(Variables!$A$2)&lt;10,0,"")&amp;DAY(Variables!$A$2)</f>
        <v>-16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6" s="30" t="e">
        <f>VLOOKUP(B26,'Train Runs'!$A$13:$A$99947,1,FALSE)</f>
        <v>#N/A</v>
      </c>
    </row>
    <row r="27" spans="1:10" x14ac:dyDescent="0.25">
      <c r="A27" s="185"/>
      <c r="B27" s="43" t="str">
        <f>A27&amp;"-"&amp;IF(DAY(Variables!$A$2)&lt;10,0,"")&amp;DAY(Variables!$A$2)</f>
        <v>-16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7" s="30" t="e">
        <f>VLOOKUP(B27,'Train Runs'!$A$13:$A$99947,1,FALSE)</f>
        <v>#N/A</v>
      </c>
    </row>
    <row r="28" spans="1:10" x14ac:dyDescent="0.25">
      <c r="A28" s="185"/>
      <c r="B28" s="43" t="str">
        <f>A28&amp;"-"&amp;IF(DAY(Variables!$A$2)&lt;10,0,"")&amp;DAY(Variables!$A$2)</f>
        <v>-16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8" s="30" t="e">
        <f>VLOOKUP(B28,'Train Runs'!$A$13:$A$99947,1,FALSE)</f>
        <v>#N/A</v>
      </c>
    </row>
    <row r="29" spans="1:10" x14ac:dyDescent="0.25">
      <c r="A29" s="185"/>
      <c r="B29" s="43" t="str">
        <f>A29&amp;"-"&amp;IF(DAY(Variables!$A$2)&lt;10,0,"")&amp;DAY(Variables!$A$2)</f>
        <v>-16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9" s="30" t="e">
        <f>VLOOKUP(B29,'Train Runs'!$A$13:$A$99947,1,FALSE)</f>
        <v>#N/A</v>
      </c>
    </row>
    <row r="30" spans="1:10" x14ac:dyDescent="0.25">
      <c r="A30" s="185"/>
      <c r="B30" s="43" t="str">
        <f>A30&amp;"-"&amp;IF(DAY(Variables!$A$2)&lt;10,0,"")&amp;DAY(Variables!$A$2)</f>
        <v>-16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0" s="30" t="e">
        <f>VLOOKUP(B30,'Train Runs'!$A$13:$A$99947,1,FALSE)</f>
        <v>#N/A</v>
      </c>
    </row>
    <row r="31" spans="1:10" x14ac:dyDescent="0.25">
      <c r="A31" s="185"/>
      <c r="B31" s="43" t="str">
        <f>A31&amp;"-"&amp;IF(DAY(Variables!$A$2)&lt;10,0,"")&amp;DAY(Variables!$A$2)</f>
        <v>-16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1" s="30" t="e">
        <f>VLOOKUP(B31,'Train Runs'!$A$13:$A$99947,1,FALSE)</f>
        <v>#N/A</v>
      </c>
    </row>
    <row r="32" spans="1:10" x14ac:dyDescent="0.25">
      <c r="A32" s="185"/>
      <c r="B32" s="43" t="str">
        <f>A32&amp;"-"&amp;IF(DAY(Variables!$A$2)&lt;10,0,"")&amp;DAY(Variables!$A$2)</f>
        <v>-16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2" s="30" t="e">
        <f>VLOOKUP(B32,'Train Runs'!$A$13:$A$99947,1,FALSE)</f>
        <v>#N/A</v>
      </c>
    </row>
    <row r="33" spans="1:10" x14ac:dyDescent="0.25">
      <c r="A33" s="185"/>
      <c r="B33" s="43" t="str">
        <f>A33&amp;"-"&amp;IF(DAY(Variables!$A$2)&lt;10,0,"")&amp;DAY(Variables!$A$2)</f>
        <v>-16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3" s="30" t="e">
        <f>VLOOKUP(B33,'Train Runs'!$A$13:$A$99947,1,FALSE)</f>
        <v>#N/A</v>
      </c>
    </row>
    <row r="34" spans="1:10" x14ac:dyDescent="0.25">
      <c r="A34" s="185"/>
      <c r="B34" s="43" t="str">
        <f>A34&amp;"-"&amp;IF(DAY(Variables!$A$2)&lt;10,0,"")&amp;DAY(Variables!$A$2)</f>
        <v>-16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4" s="30" t="e">
        <f>VLOOKUP(B34,'Train Runs'!$A$13:$A$99947,1,FALSE)</f>
        <v>#N/A</v>
      </c>
    </row>
    <row r="35" spans="1:10" x14ac:dyDescent="0.25">
      <c r="A35" s="185"/>
      <c r="B35" s="43" t="str">
        <f>A35&amp;"-"&amp;IF(DAY(Variables!$A$2)&lt;10,0,"")&amp;DAY(Variables!$A$2)</f>
        <v>-16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5" s="30" t="e">
        <f>VLOOKUP(B35,'Train Runs'!$A$13:$A$99947,1,FALSE)</f>
        <v>#N/A</v>
      </c>
    </row>
    <row r="36" spans="1:10" x14ac:dyDescent="0.25">
      <c r="A36" s="185"/>
      <c r="B36" s="43" t="str">
        <f>A36&amp;"-"&amp;IF(DAY(Variables!$A$2)&lt;10,0,"")&amp;DAY(Variables!$A$2)</f>
        <v>-16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6" s="30" t="e">
        <f>VLOOKUP(B36,'Train Runs'!$A$13:$A$99947,1,FALSE)</f>
        <v>#N/A</v>
      </c>
    </row>
    <row r="37" spans="1:10" x14ac:dyDescent="0.25">
      <c r="A37" s="185"/>
      <c r="B37" s="43" t="str">
        <f>A37&amp;"-"&amp;IF(DAY(Variables!$A$2)&lt;10,0,"")&amp;DAY(Variables!$A$2)</f>
        <v>-16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7" s="30" t="e">
        <f>VLOOKUP(B37,'Train Runs'!$A$13:$A$99947,1,FALSE)</f>
        <v>#N/A</v>
      </c>
    </row>
    <row r="38" spans="1:10" x14ac:dyDescent="0.25">
      <c r="A38" s="185"/>
      <c r="B38" s="43" t="str">
        <f>A38&amp;"-"&amp;IF(DAY(Variables!$A$2)&lt;10,0,"")&amp;DAY(Variables!$A$2)</f>
        <v>-16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8" s="30" t="e">
        <f>VLOOKUP(B38,'Train Runs'!$A$13:$A$99947,1,FALSE)</f>
        <v>#N/A</v>
      </c>
    </row>
    <row r="39" spans="1:10" x14ac:dyDescent="0.25">
      <c r="A39" s="185"/>
      <c r="B39" s="43" t="str">
        <f>A39&amp;"-"&amp;IF(DAY(Variables!$A$2)&lt;10,0,"")&amp;DAY(Variables!$A$2)</f>
        <v>-16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9" s="30" t="e">
        <f>VLOOKUP(B39,'Train Runs'!$A$13:$A$99947,1,FALSE)</f>
        <v>#N/A</v>
      </c>
    </row>
    <row r="40" spans="1:10" x14ac:dyDescent="0.25">
      <c r="A40" s="185"/>
      <c r="B40" s="43" t="str">
        <f>A40&amp;"-"&amp;IF(DAY(Variables!$A$2)&lt;10,0,"")&amp;DAY(Variables!$A$2)</f>
        <v>-16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0" s="30" t="e">
        <f>VLOOKUP(B40,'Train Runs'!$A$13:$A$99947,1,FALSE)</f>
        <v>#N/A</v>
      </c>
    </row>
    <row r="41" spans="1:10" x14ac:dyDescent="0.25">
      <c r="A41" s="185"/>
      <c r="B41" s="43" t="str">
        <f>A41&amp;"-"&amp;IF(DAY(Variables!$A$2)&lt;10,0,"")&amp;DAY(Variables!$A$2)</f>
        <v>-16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1" s="30" t="e">
        <f>VLOOKUP(B41,'Train Runs'!$A$13:$A$99947,1,FALSE)</f>
        <v>#N/A</v>
      </c>
    </row>
    <row r="42" spans="1:10" x14ac:dyDescent="0.25">
      <c r="A42" s="185"/>
      <c r="B42" s="43" t="str">
        <f>A42&amp;"-"&amp;IF(DAY(Variables!$A$2)&lt;10,0,"")&amp;DAY(Variables!$A$2)</f>
        <v>-16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ref="I42:I7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2" s="30" t="e">
        <f>VLOOKUP(B42,'Train Runs'!$A$13:$A$99947,1,FALSE)</f>
        <v>#N/A</v>
      </c>
    </row>
    <row r="43" spans="1:10" x14ac:dyDescent="0.25">
      <c r="A43" s="185"/>
      <c r="B43" s="43" t="str">
        <f>A43&amp;"-"&amp;IF(DAY(Variables!$A$2)&lt;10,0,"")&amp;DAY(Variables!$A$2)</f>
        <v>-16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3" s="30" t="e">
        <f>VLOOKUP(B43,'Train Runs'!$A$13:$A$99947,1,FALSE)</f>
        <v>#N/A</v>
      </c>
    </row>
    <row r="44" spans="1:10" x14ac:dyDescent="0.25">
      <c r="A44" s="185"/>
      <c r="B44" s="43" t="str">
        <f>A44&amp;"-"&amp;IF(DAY(Variables!$A$2)&lt;10,0,"")&amp;DAY(Variables!$A$2)</f>
        <v>-16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4" s="30" t="e">
        <f>VLOOKUP(B44,'Train Runs'!$A$13:$A$99947,1,FALSE)</f>
        <v>#N/A</v>
      </c>
    </row>
    <row r="45" spans="1:10" x14ac:dyDescent="0.25">
      <c r="A45" s="185"/>
      <c r="B45" s="43" t="str">
        <f>A45&amp;"-"&amp;IF(DAY(Variables!$A$2)&lt;10,0,"")&amp;DAY(Variables!$A$2)</f>
        <v>-16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5" s="30" t="e">
        <f>VLOOKUP(B45,'Train Runs'!$A$13:$A$99947,1,FALSE)</f>
        <v>#N/A</v>
      </c>
    </row>
    <row r="46" spans="1:10" x14ac:dyDescent="0.25">
      <c r="A46" s="185"/>
      <c r="B46" s="43" t="str">
        <f>A46&amp;"-"&amp;IF(DAY(Variables!$A$2)&lt;10,0,"")&amp;DAY(Variables!$A$2)</f>
        <v>-16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6" s="30" t="e">
        <f>VLOOKUP(B46,'Train Runs'!$A$13:$A$99947,1,FALSE)</f>
        <v>#N/A</v>
      </c>
    </row>
    <row r="47" spans="1:10" x14ac:dyDescent="0.25">
      <c r="A47" s="185"/>
      <c r="B47" s="43" t="str">
        <f>A47&amp;"-"&amp;IF(DAY(Variables!$A$2)&lt;10,0,"")&amp;DAY(Variables!$A$2)</f>
        <v>-16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7" s="30" t="e">
        <f>VLOOKUP(B47,'Train Runs'!$A$13:$A$99947,1,FALSE)</f>
        <v>#N/A</v>
      </c>
    </row>
    <row r="48" spans="1:10" x14ac:dyDescent="0.25">
      <c r="A48" s="185"/>
      <c r="B48" s="43" t="str">
        <f>A48&amp;"-"&amp;IF(DAY(Variables!$A$2)&lt;10,0,"")&amp;DAY(Variables!$A$2)</f>
        <v>-16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8" s="30" t="e">
        <f>VLOOKUP(B48,'Train Runs'!$A$13:$A$99947,1,FALSE)</f>
        <v>#N/A</v>
      </c>
    </row>
    <row r="49" spans="1:10" x14ac:dyDescent="0.25">
      <c r="A49" s="185"/>
      <c r="B49" s="43" t="str">
        <f>A49&amp;"-"&amp;IF(DAY(Variables!$A$2)&lt;10,0,"")&amp;DAY(Variables!$A$2)</f>
        <v>-16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49" s="30" t="e">
        <f>VLOOKUP(B49,'Train Runs'!$A$13:$A$99947,1,FALSE)</f>
        <v>#N/A</v>
      </c>
    </row>
    <row r="50" spans="1:10" x14ac:dyDescent="0.25">
      <c r="A50" s="185"/>
      <c r="B50" s="43" t="str">
        <f>A50&amp;"-"&amp;IF(DAY(Variables!$A$2)&lt;10,0,"")&amp;DAY(Variables!$A$2)</f>
        <v>-16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0" s="30" t="e">
        <f>VLOOKUP(B50,'Train Runs'!$A$13:$A$99947,1,FALSE)</f>
        <v>#N/A</v>
      </c>
    </row>
    <row r="51" spans="1:10" x14ac:dyDescent="0.25">
      <c r="A51" s="185"/>
      <c r="B51" s="43" t="str">
        <f>A51&amp;"-"&amp;IF(DAY(Variables!$A$2)&lt;10,0,"")&amp;DAY(Variables!$A$2)</f>
        <v>-16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1" s="30" t="e">
        <f>VLOOKUP(B51,'Train Runs'!$A$13:$A$99947,1,FALSE)</f>
        <v>#N/A</v>
      </c>
    </row>
    <row r="52" spans="1:10" x14ac:dyDescent="0.25">
      <c r="A52" s="185"/>
      <c r="B52" s="43" t="str">
        <f>A52&amp;"-"&amp;IF(DAY(Variables!$A$2)&lt;10,0,"")&amp;DAY(Variables!$A$2)</f>
        <v>-16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2" s="30" t="e">
        <f>VLOOKUP(B52,'Train Runs'!$A$13:$A$99947,1,FALSE)</f>
        <v>#N/A</v>
      </c>
    </row>
    <row r="53" spans="1:10" x14ac:dyDescent="0.25">
      <c r="A53" s="185"/>
      <c r="B53" s="43" t="str">
        <f>A53&amp;"-"&amp;IF(DAY(Variables!$A$2)&lt;10,0,"")&amp;DAY(Variables!$A$2)</f>
        <v>-16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3" s="30" t="e">
        <f>VLOOKUP(B53,'Train Runs'!$A$13:$A$99947,1,FALSE)</f>
        <v>#N/A</v>
      </c>
    </row>
    <row r="54" spans="1:10" x14ac:dyDescent="0.25">
      <c r="A54" s="185"/>
      <c r="B54" s="43" t="str">
        <f>A54&amp;"-"&amp;IF(DAY(Variables!$A$2)&lt;10,0,"")&amp;DAY(Variables!$A$2)</f>
        <v>-16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4" s="30" t="e">
        <f>VLOOKUP(B54,'Train Runs'!$A$13:$A$99947,1,FALSE)</f>
        <v>#N/A</v>
      </c>
    </row>
    <row r="55" spans="1:10" x14ac:dyDescent="0.25">
      <c r="A55" s="185"/>
      <c r="B55" s="43" t="str">
        <f>A55&amp;"-"&amp;IF(DAY(Variables!$A$2)&lt;10,0,"")&amp;DAY(Variables!$A$2)</f>
        <v>-16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5" s="30" t="e">
        <f>VLOOKUP(B55,'Train Runs'!$A$13:$A$99947,1,FALSE)</f>
        <v>#N/A</v>
      </c>
    </row>
    <row r="56" spans="1:10" x14ac:dyDescent="0.25">
      <c r="A56" s="185"/>
      <c r="B56" s="43" t="str">
        <f>A56&amp;"-"&amp;IF(DAY(Variables!$A$2)&lt;10,0,"")&amp;DAY(Variables!$A$2)</f>
        <v>-16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6" s="30" t="e">
        <f>VLOOKUP(B56,'Train Runs'!$A$13:$A$99947,1,FALSE)</f>
        <v>#N/A</v>
      </c>
    </row>
    <row r="57" spans="1:10" x14ac:dyDescent="0.25">
      <c r="A57" s="185"/>
      <c r="B57" s="43" t="str">
        <f>A57&amp;"-"&amp;IF(DAY(Variables!$A$2)&lt;10,0,"")&amp;DAY(Variables!$A$2)</f>
        <v>-16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7" s="30" t="e">
        <f>VLOOKUP(B57,'Train Runs'!$A$13:$A$99947,1,FALSE)</f>
        <v>#N/A</v>
      </c>
    </row>
    <row r="58" spans="1:10" x14ac:dyDescent="0.25">
      <c r="A58" s="185"/>
      <c r="B58" s="43" t="str">
        <f>A58&amp;"-"&amp;IF(DAY(Variables!$A$2)&lt;10,0,"")&amp;DAY(Variables!$A$2)</f>
        <v>-16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8" s="30" t="e">
        <f>VLOOKUP(B58,'Train Runs'!$A$13:$A$99947,1,FALSE)</f>
        <v>#N/A</v>
      </c>
    </row>
    <row r="59" spans="1:10" x14ac:dyDescent="0.25">
      <c r="A59" s="185"/>
      <c r="B59" s="43" t="str">
        <f>A59&amp;"-"&amp;IF(DAY(Variables!$A$2)&lt;10,0,"")&amp;DAY(Variables!$A$2)</f>
        <v>-16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59" s="30" t="e">
        <f>VLOOKUP(B59,'Train Runs'!$A$13:$A$99947,1,FALSE)</f>
        <v>#N/A</v>
      </c>
    </row>
    <row r="60" spans="1:10" x14ac:dyDescent="0.25">
      <c r="A60" s="185"/>
      <c r="B60" s="43" t="str">
        <f>A60&amp;"-"&amp;IF(DAY(Variables!$A$2)&lt;10,0,"")&amp;DAY(Variables!$A$2)</f>
        <v>-16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0" s="30" t="e">
        <f>VLOOKUP(B60,'Train Runs'!$A$13:$A$99947,1,FALSE)</f>
        <v>#N/A</v>
      </c>
    </row>
    <row r="61" spans="1:10" x14ac:dyDescent="0.25">
      <c r="A61" s="185"/>
      <c r="B61" s="43" t="str">
        <f>A61&amp;"-"&amp;IF(DAY(Variables!$A$2)&lt;10,0,"")&amp;DAY(Variables!$A$2)</f>
        <v>-16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1" s="30" t="e">
        <f>VLOOKUP(B61,'Train Runs'!$A$13:$A$99947,1,FALSE)</f>
        <v>#N/A</v>
      </c>
    </row>
    <row r="62" spans="1:10" x14ac:dyDescent="0.25">
      <c r="A62" s="185"/>
      <c r="B62" s="43" t="str">
        <f>A62&amp;"-"&amp;IF(DAY(Variables!$A$2)&lt;10,0,"")&amp;DAY(Variables!$A$2)</f>
        <v>-16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2" s="30" t="e">
        <f>VLOOKUP(B62,'Train Runs'!$A$13:$A$99947,1,FALSE)</f>
        <v>#N/A</v>
      </c>
    </row>
    <row r="63" spans="1:10" x14ac:dyDescent="0.25">
      <c r="A63" s="185"/>
      <c r="B63" s="43" t="str">
        <f>A63&amp;"-"&amp;IF(DAY(Variables!$A$2)&lt;10,0,"")&amp;DAY(Variables!$A$2)</f>
        <v>-16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3" s="30" t="e">
        <f>VLOOKUP(B63,'Train Runs'!$A$13:$A$99947,1,FALSE)</f>
        <v>#N/A</v>
      </c>
    </row>
    <row r="64" spans="1:10" x14ac:dyDescent="0.25">
      <c r="A64" s="185"/>
      <c r="B64" s="43" t="str">
        <f>A64&amp;"-"&amp;IF(DAY(Variables!$A$2)&lt;10,0,"")&amp;DAY(Variables!$A$2)</f>
        <v>-16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4" s="30" t="e">
        <f>VLOOKUP(B64,'Train Runs'!$A$13:$A$99947,1,FALSE)</f>
        <v>#N/A</v>
      </c>
    </row>
    <row r="65" spans="1:10" x14ac:dyDescent="0.25">
      <c r="A65" s="185"/>
      <c r="B65" s="43" t="str">
        <f>A65&amp;"-"&amp;IF(DAY(Variables!$A$2)&lt;10,0,"")&amp;DAY(Variables!$A$2)</f>
        <v>-16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5" s="30" t="e">
        <f>VLOOKUP(B65,'Train Runs'!$A$13:$A$99947,1,FALSE)</f>
        <v>#N/A</v>
      </c>
    </row>
    <row r="66" spans="1:10" x14ac:dyDescent="0.25">
      <c r="A66" s="185"/>
      <c r="B66" s="43" t="str">
        <f>A66&amp;"-"&amp;IF(DAY(Variables!$A$2)&lt;10,0,"")&amp;DAY(Variables!$A$2)</f>
        <v>-16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6" s="30" t="e">
        <f>VLOOKUP(B66,'Train Runs'!$A$13:$A$99947,1,FALSE)</f>
        <v>#N/A</v>
      </c>
    </row>
    <row r="67" spans="1:10" x14ac:dyDescent="0.25">
      <c r="A67" s="185"/>
      <c r="B67" s="43" t="str">
        <f>A67&amp;"-"&amp;IF(DAY(Variables!$A$2)&lt;10,0,"")&amp;DAY(Variables!$A$2)</f>
        <v>-16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7" s="30" t="e">
        <f>VLOOKUP(B67,'Train Runs'!$A$13:$A$99947,1,FALSE)</f>
        <v>#N/A</v>
      </c>
    </row>
    <row r="68" spans="1:10" x14ac:dyDescent="0.25">
      <c r="A68" s="185"/>
      <c r="B68" s="43" t="str">
        <f>A68&amp;"-"&amp;IF(DAY(Variables!$A$2)&lt;10,0,"")&amp;DAY(Variables!$A$2)</f>
        <v>-16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8" s="30" t="e">
        <f>VLOOKUP(B68,'Train Runs'!$A$13:$A$99947,1,FALSE)</f>
        <v>#N/A</v>
      </c>
    </row>
    <row r="69" spans="1:10" x14ac:dyDescent="0.25">
      <c r="A69" s="185"/>
      <c r="B69" s="43" t="str">
        <f>A69&amp;"-"&amp;IF(DAY(Variables!$A$2)&lt;10,0,"")&amp;DAY(Variables!$A$2)</f>
        <v>-16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69" s="30" t="e">
        <f>VLOOKUP(B69,'Train Runs'!$A$13:$A$99947,1,FALSE)</f>
        <v>#N/A</v>
      </c>
    </row>
    <row r="70" spans="1:10" x14ac:dyDescent="0.25">
      <c r="A70" s="185"/>
      <c r="B70" s="43" t="str">
        <f>A70&amp;"-"&amp;IF(DAY(Variables!$A$2)&lt;10,0,"")&amp;DAY(Variables!$A$2)</f>
        <v>-16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0" s="30" t="e">
        <f>VLOOKUP(B70,'Train Runs'!$A$13:$A$99947,1,FALSE)</f>
        <v>#N/A</v>
      </c>
    </row>
    <row r="71" spans="1:10" x14ac:dyDescent="0.25">
      <c r="A71" s="185"/>
      <c r="B71" s="43" t="str">
        <f>A71&amp;"-"&amp;IF(DAY(Variables!$A$2)&lt;10,0,"")&amp;DAY(Variables!$A$2)</f>
        <v>-16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1" s="30" t="e">
        <f>VLOOKUP(B71,'Train Runs'!$A$13:$A$99947,1,FALSE)</f>
        <v>#N/A</v>
      </c>
    </row>
    <row r="72" spans="1:10" x14ac:dyDescent="0.25">
      <c r="A72" s="185"/>
      <c r="B72" s="43" t="str">
        <f>A72&amp;"-"&amp;IF(DAY(Variables!$A$2)&lt;10,0,"")&amp;DAY(Variables!$A$2)</f>
        <v>-16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2" s="30" t="e">
        <f>VLOOKUP(B72,'Train Runs'!$A$13:$A$99947,1,FALSE)</f>
        <v>#N/A</v>
      </c>
    </row>
    <row r="73" spans="1:10" x14ac:dyDescent="0.25">
      <c r="A73" s="185"/>
      <c r="B73" s="43" t="str">
        <f>A73&amp;"-"&amp;IF(DAY(Variables!$A$2)&lt;10,0,"")&amp;DAY(Variables!$A$2)</f>
        <v>-16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3" s="30" t="e">
        <f>VLOOKUP(B73,'Train Runs'!$A$13:$A$99947,1,FALSE)</f>
        <v>#N/A</v>
      </c>
    </row>
    <row r="74" spans="1:10" x14ac:dyDescent="0.25">
      <c r="A74" s="185"/>
      <c r="B74" s="43" t="str">
        <f>A74&amp;"-"&amp;IF(DAY(Variables!$A$2)&lt;10,0,"")&amp;DAY(Variables!$A$2)</f>
        <v>-16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ref="I74:I9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4" s="30" t="e">
        <f>VLOOKUP(B74,'Train Runs'!$A$13:$A$99947,1,FALSE)</f>
        <v>#N/A</v>
      </c>
    </row>
    <row r="75" spans="1:10" x14ac:dyDescent="0.25">
      <c r="A75" s="185"/>
      <c r="B75" s="43" t="str">
        <f>A75&amp;"-"&amp;IF(DAY(Variables!$A$2)&lt;10,0,"")&amp;DAY(Variables!$A$2)</f>
        <v>-16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5" s="30" t="e">
        <f>VLOOKUP(B75,'Train Runs'!$A$13:$A$99947,1,FALSE)</f>
        <v>#N/A</v>
      </c>
    </row>
    <row r="76" spans="1:10" x14ac:dyDescent="0.25">
      <c r="A76" s="185"/>
      <c r="B76" s="43" t="str">
        <f>A76&amp;"-"&amp;IF(DAY(Variables!$A$2)&lt;10,0,"")&amp;DAY(Variables!$A$2)</f>
        <v>-16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6" s="30" t="e">
        <f>VLOOKUP(B76,'Train Runs'!$A$13:$A$99947,1,FALSE)</f>
        <v>#N/A</v>
      </c>
    </row>
    <row r="77" spans="1:10" x14ac:dyDescent="0.25">
      <c r="A77" s="185"/>
      <c r="B77" s="43" t="str">
        <f>A77&amp;"-"&amp;IF(DAY(Variables!$A$2)&lt;10,0,"")&amp;DAY(Variables!$A$2)</f>
        <v>-16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7" s="30" t="e">
        <f>VLOOKUP(B77,'Train Runs'!$A$13:$A$99947,1,FALSE)</f>
        <v>#N/A</v>
      </c>
    </row>
    <row r="78" spans="1:10" x14ac:dyDescent="0.25">
      <c r="A78" s="185"/>
      <c r="B78" s="43" t="str">
        <f>A78&amp;"-"&amp;IF(DAY(Variables!$A$2)&lt;10,0,"")&amp;DAY(Variables!$A$2)</f>
        <v>-16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8" s="30" t="e">
        <f>VLOOKUP(B78,'Train Runs'!$A$13:$A$99947,1,FALSE)</f>
        <v>#N/A</v>
      </c>
    </row>
    <row r="79" spans="1:10" x14ac:dyDescent="0.25">
      <c r="A79" s="185"/>
      <c r="B79" s="43" t="str">
        <f>A79&amp;"-"&amp;IF(DAY(Variables!$A$2)&lt;10,0,"")&amp;DAY(Variables!$A$2)</f>
        <v>-16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9" s="30" t="e">
        <f>VLOOKUP(B79,'Train Runs'!$A$13:$A$99947,1,FALSE)</f>
        <v>#N/A</v>
      </c>
    </row>
    <row r="80" spans="1:10" x14ac:dyDescent="0.25">
      <c r="A80" s="185"/>
      <c r="B80" s="43" t="str">
        <f>A80&amp;"-"&amp;IF(DAY(Variables!$A$2)&lt;10,0,"")&amp;DAY(Variables!$A$2)</f>
        <v>-16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0" s="30" t="e">
        <f>VLOOKUP(B80,'Train Runs'!$A$13:$A$99947,1,FALSE)</f>
        <v>#N/A</v>
      </c>
    </row>
    <row r="81" spans="1:10" x14ac:dyDescent="0.25">
      <c r="A81" s="185"/>
      <c r="B81" s="43" t="str">
        <f>A81&amp;"-"&amp;IF(DAY(Variables!$A$2)&lt;10,0,"")&amp;DAY(Variables!$A$2)</f>
        <v>-16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1" s="30" t="e">
        <f>VLOOKUP(B81,'Train Runs'!$A$13:$A$99947,1,FALSE)</f>
        <v>#N/A</v>
      </c>
    </row>
    <row r="82" spans="1:10" x14ac:dyDescent="0.25">
      <c r="A82" s="185"/>
      <c r="B82" s="43" t="str">
        <f>A82&amp;"-"&amp;IF(DAY(Variables!$A$2)&lt;10,0,"")&amp;DAY(Variables!$A$2)</f>
        <v>-16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2" s="30" t="e">
        <f>VLOOKUP(B82,'Train Runs'!$A$13:$A$99947,1,FALSE)</f>
        <v>#N/A</v>
      </c>
    </row>
    <row r="83" spans="1:10" x14ac:dyDescent="0.25">
      <c r="A83" s="185"/>
      <c r="B83" s="43" t="str">
        <f>A83&amp;"-"&amp;IF(DAY(Variables!$A$2)&lt;10,0,"")&amp;DAY(Variables!$A$2)</f>
        <v>-16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3" s="30" t="e">
        <f>VLOOKUP(B83,'Train Runs'!$A$13:$A$99947,1,FALSE)</f>
        <v>#N/A</v>
      </c>
    </row>
    <row r="84" spans="1:10" x14ac:dyDescent="0.25">
      <c r="A84" s="185"/>
      <c r="B84" s="43" t="str">
        <f>A84&amp;"-"&amp;IF(DAY(Variables!$A$2)&lt;10,0,"")&amp;DAY(Variables!$A$2)</f>
        <v>-16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4" s="30" t="e">
        <f>VLOOKUP(B84,'Train Runs'!$A$13:$A$99947,1,FALSE)</f>
        <v>#N/A</v>
      </c>
    </row>
    <row r="85" spans="1:10" x14ac:dyDescent="0.25">
      <c r="A85" s="185"/>
      <c r="B85" s="43" t="str">
        <f>A85&amp;"-"&amp;IF(DAY(Variables!$A$2)&lt;10,0,"")&amp;DAY(Variables!$A$2)</f>
        <v>-16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5" s="30" t="e">
        <f>VLOOKUP(B85,'Train Runs'!$A$13:$A$99947,1,FALSE)</f>
        <v>#N/A</v>
      </c>
    </row>
    <row r="86" spans="1:10" x14ac:dyDescent="0.25">
      <c r="A86" s="185"/>
      <c r="B86" s="43" t="str">
        <f>A86&amp;"-"&amp;IF(DAY(Variables!$A$2)&lt;10,0,"")&amp;DAY(Variables!$A$2)</f>
        <v>-16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6" s="30" t="e">
        <f>VLOOKUP(B86,'Train Runs'!$A$13:$A$99947,1,FALSE)</f>
        <v>#N/A</v>
      </c>
    </row>
    <row r="87" spans="1:10" x14ac:dyDescent="0.25">
      <c r="A87" s="185"/>
      <c r="B87" s="43" t="str">
        <f>A87&amp;"-"&amp;IF(DAY(Variables!$A$2)&lt;10,0,"")&amp;DAY(Variables!$A$2)</f>
        <v>-16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7" s="30" t="e">
        <f>VLOOKUP(B87,'Train Runs'!$A$13:$A$99947,1,FALSE)</f>
        <v>#N/A</v>
      </c>
    </row>
    <row r="88" spans="1:10" x14ac:dyDescent="0.25">
      <c r="A88" s="185"/>
      <c r="B88" s="43" t="str">
        <f>A88&amp;"-"&amp;IF(DAY(Variables!$A$2)&lt;10,0,"")&amp;DAY(Variables!$A$2)</f>
        <v>-16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8" s="30" t="e">
        <f>VLOOKUP(B88,'Train Runs'!$A$13:$A$99947,1,FALSE)</f>
        <v>#N/A</v>
      </c>
    </row>
    <row r="89" spans="1:10" x14ac:dyDescent="0.25">
      <c r="A89" s="185"/>
      <c r="B89" s="43" t="str">
        <f>A89&amp;"-"&amp;IF(DAY(Variables!$A$2)&lt;10,0,"")&amp;DAY(Variables!$A$2)</f>
        <v>-16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9" s="30" t="e">
        <f>VLOOKUP(B89,'Train Runs'!$A$13:$A$99947,1,FALSE)</f>
        <v>#N/A</v>
      </c>
    </row>
    <row r="90" spans="1:10" x14ac:dyDescent="0.25">
      <c r="A90" s="185"/>
      <c r="B90" s="43" t="str">
        <f>A90&amp;"-"&amp;IF(DAY(Variables!$A$2)&lt;10,0,"")&amp;DAY(Variables!$A$2)</f>
        <v>-16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0" s="30" t="e">
        <f>VLOOKUP(B90,'Train Runs'!$A$13:$A$99947,1,FALSE)</f>
        <v>#N/A</v>
      </c>
    </row>
    <row r="91" spans="1:10" x14ac:dyDescent="0.25">
      <c r="A91" s="185"/>
      <c r="B91" s="43" t="str">
        <f>A91&amp;"-"&amp;IF(DAY(Variables!$A$2)&lt;10,0,"")&amp;DAY(Variables!$A$2)</f>
        <v>-16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1" s="30" t="e">
        <f>VLOOKUP(B91,'Train Runs'!$A$13:$A$99947,1,FALSE)</f>
        <v>#N/A</v>
      </c>
    </row>
    <row r="92" spans="1:10" x14ac:dyDescent="0.25">
      <c r="A92" s="185"/>
      <c r="B92" s="43" t="str">
        <f>A92&amp;"-"&amp;IF(DAY(Variables!$A$2)&lt;10,0,"")&amp;DAY(Variables!$A$2)</f>
        <v>-16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2" s="30" t="e">
        <f>VLOOKUP(B92,'Train Runs'!$A$13:$A$99947,1,FALSE)</f>
        <v>#N/A</v>
      </c>
    </row>
    <row r="93" spans="1:10" x14ac:dyDescent="0.25">
      <c r="A93" s="185"/>
      <c r="B93" s="43" t="str">
        <f>A93&amp;"-"&amp;IF(DAY(Variables!$A$2)&lt;10,0,"")&amp;DAY(Variables!$A$2)</f>
        <v>-16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3" s="30" t="e">
        <f>VLOOKUP(B93,'Train Runs'!$A$13:$A$99947,1,FALSE)</f>
        <v>#N/A</v>
      </c>
    </row>
    <row r="94" spans="1:10" x14ac:dyDescent="0.25">
      <c r="A94" s="185"/>
      <c r="B94" s="43" t="str">
        <f>A94&amp;"-"&amp;IF(DAY(Variables!$A$2)&lt;10,0,"")&amp;DAY(Variables!$A$2)</f>
        <v>-16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4" s="30" t="e">
        <f>VLOOKUP(B94,'Train Runs'!$A$13:$A$99947,1,FALSE)</f>
        <v>#N/A</v>
      </c>
    </row>
    <row r="95" spans="1:10" x14ac:dyDescent="0.25">
      <c r="A95" s="185"/>
      <c r="B95" s="43" t="str">
        <f>A95&amp;"-"&amp;IF(DAY(Variables!$A$2)&lt;10,0,"")&amp;DAY(Variables!$A$2)</f>
        <v>-16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5" s="30" t="e">
        <f>VLOOKUP(B95,'Train Runs'!$A$13:$A$99947,1,FALSE)</f>
        <v>#N/A</v>
      </c>
    </row>
  </sheetData>
  <autoFilter ref="A2:J9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397</v>
      </c>
      <c r="B1" s="207" t="s">
        <v>398</v>
      </c>
      <c r="C1" s="199" t="s">
        <v>406</v>
      </c>
      <c r="D1" s="211" t="s">
        <v>58</v>
      </c>
      <c r="E1" s="196" t="s">
        <v>24</v>
      </c>
      <c r="F1" s="211" t="s">
        <v>412</v>
      </c>
      <c r="G1" s="215" t="s">
        <v>94</v>
      </c>
      <c r="H1" s="217" t="s">
        <v>416</v>
      </c>
      <c r="I1" s="213" t="s">
        <v>415</v>
      </c>
      <c r="J1" s="209" t="s">
        <v>84</v>
      </c>
      <c r="K1" s="209" t="s">
        <v>411</v>
      </c>
      <c r="L1" s="204" t="s">
        <v>408</v>
      </c>
      <c r="M1" s="204" t="s">
        <v>399</v>
      </c>
      <c r="N1" s="204" t="s">
        <v>401</v>
      </c>
      <c r="O1" s="204" t="s">
        <v>402</v>
      </c>
      <c r="P1" s="204" t="s">
        <v>403</v>
      </c>
      <c r="Q1" s="203" t="s">
        <v>400</v>
      </c>
    </row>
    <row r="2" spans="1:17" x14ac:dyDescent="0.25">
      <c r="A2" s="201">
        <v>42800.21875</v>
      </c>
      <c r="B2" s="208" t="s">
        <v>405</v>
      </c>
      <c r="C2" s="198" t="s">
        <v>407</v>
      </c>
      <c r="D2" s="212">
        <v>104</v>
      </c>
      <c r="E2" s="30" t="s">
        <v>410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/stypes="*4001*201703061*" /stext=" 11:.+((SYSTEM_STATE.+slice.+state.+changed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"%USERPROFILE%\AppData\Local\Temp\OnboardLogs"\RTDC4001\*4001*201703061*</v>
      </c>
      <c r="I2" s="214" t="str">
        <f>IF(VLOOKUP(K2,'Train Runs'!$A$13:$V$1003,1,TRUE)=K2,VLOOKUP(K2,'Train Runs'!$A$13:$V$1003,22,TRUE),NA())</f>
        <v>https://d0f6bd738d7f1b3e5a7ca70fe4ff75f0.us-east-1.aws.found.io/app/kibana#/discover/Steve-Slow-Train-Analysis-(2080s-and-2083s)?_g=(refreshInterval:(display:Off,pause:!f,section:0,value:0),time:(from:'2017-03-16T03:31:53-0600',mode:absolute,to:'2017-03-16T06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" s="210">
        <f t="shared" ref="J2:J35" si="2">A2-utc_offset/24</f>
        <v>42800.46875</v>
      </c>
      <c r="K2" s="210" t="str">
        <f>D2&amp;"-"&amp;IF(DAY(Variables!$A$2)&lt;10,0,"")&amp;DAY(Variables!$A$2)</f>
        <v>104-16</v>
      </c>
      <c r="L2" s="206">
        <f>IF(VLOOKUP(K2,'Train Runs'!$A$12:$B$1003,1,TRUE)=K2,VLOOKUP(K2,'Train Runs'!$A$12:$B$1003,2,TRUE),NA())</f>
        <v>4001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405</v>
      </c>
      <c r="C3" s="198" t="s">
        <v>407</v>
      </c>
      <c r="D3" s="212">
        <v>126</v>
      </c>
      <c r="E3" s="30" t="s">
        <v>409</v>
      </c>
      <c r="F3" s="212" t="b">
        <v>1</v>
      </c>
      <c r="G3" s="216" t="str">
        <f t="shared" si="0"/>
        <v>"C:\Program Files (x86)\AstroGrep\AstroGrep.exe" /e /r /s /spath="%USERPROFILE%\AppData\Local\Temp\OnboardLogs" /stypes="*4005*201703061*" /stext=" 14:.+((SYSTEM_STATE.+slice.+state.+changed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14:.+((\|PRM\|1\|D)|(crossing.((167)|(168)|(199)|(200))))" "%USERPROFILE%\AppData\Local\Temp\OnboardLogs"\RTDC4005\*4005*201703061*</v>
      </c>
      <c r="I3" s="214" t="str">
        <f>IF(VLOOKUP(K3,'Train Runs'!$A$13:$V$1003,1,TRUE)=K3,VLOOKUP(K3,'Train Runs'!$A$13:$V$1003,22,TRUE),NA())</f>
        <v>https://d0f6bd738d7f1b3e5a7ca70fe4ff75f0.us-east-1.aws.found.io/app/kibana#/discover/Steve-Slow-Train-Analysis-(2080s-and-2083s)?_g=(refreshInterval:(display:Off,pause:!f,section:0,value:0),time:(from:'2017-03-16T06:21:45-0600',mode:absolute,to:'2017-03-16T09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3" s="210">
        <f t="shared" si="2"/>
        <v>42800.593055555553</v>
      </c>
      <c r="K3" s="210" t="str">
        <f>D3&amp;"-"&amp;IF(DAY(Variables!$A$2)&lt;10,0,"")&amp;DAY(Variables!$A$2)</f>
        <v>126-16</v>
      </c>
      <c r="L3" s="206">
        <f>IF(VLOOKUP(K3,'Train Runs'!$A$12:$B$1003,1,TRUE)=K3,VLOOKUP(K3,'Train Runs'!$A$12:$B$1003,2,TRUE),NA())</f>
        <v>4005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405</v>
      </c>
      <c r="C4" s="198" t="s">
        <v>407</v>
      </c>
      <c r="D4" s="212">
        <v>128</v>
      </c>
      <c r="E4" s="30" t="s">
        <v>409</v>
      </c>
      <c r="F4" s="212" t="b">
        <v>1</v>
      </c>
      <c r="G4" s="216" t="str">
        <f t="shared" si="0"/>
        <v>"C:\Program Files (x86)\AstroGrep\AstroGrep.exe" /e /r /s /spath="%USERPROFILE%\AppData\Local\Temp\OnboardLogs" /stypes="*4045*201703061*" /stext=" 14:.+((SYSTEM_STATE.+slice.+state.+changed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14:.+((\|PRM\|1\|D)|(crossing.((167)|(168)|(199)|(200))))" "%USERPROFILE%\AppData\Local\Temp\OnboardLogs"\RTDC4045\*4045*201703061*</v>
      </c>
      <c r="I4" s="214" t="str">
        <f>IF(VLOOKUP(K4,'Train Runs'!$A$13:$V$1003,1,TRUE)=K4,VLOOKUP(K4,'Train Runs'!$A$13:$V$1003,22,TRUE),NA())</f>
        <v>https://d0f6bd738d7f1b3e5a7ca70fe4ff75f0.us-east-1.aws.found.io/app/kibana#/discover/Steve-Slow-Train-Analysis-(2080s-and-2083s)?_g=(refreshInterval:(display:Off,pause:!f,section:0,value:0),time:(from:'2017-03-16T06:44:18-0600',mode:absolute,to:'2017-03-16T09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4" s="210">
        <f t="shared" si="2"/>
        <v>42800.604861111111</v>
      </c>
      <c r="K4" s="210" t="str">
        <f>D4&amp;"-"&amp;IF(DAY(Variables!$A$2)&lt;10,0,"")&amp;DAY(Variables!$A$2)</f>
        <v>128-16</v>
      </c>
      <c r="L4" s="206">
        <f>IF(VLOOKUP(K4,'Train Runs'!$A$12:$B$1003,1,TRUE)=K4,VLOOKUP(K4,'Train Runs'!$A$12:$B$1003,2,TRUE),NA())</f>
        <v>4045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405</v>
      </c>
      <c r="C5" s="198" t="s">
        <v>407</v>
      </c>
      <c r="D5" s="212">
        <f>D4+2</f>
        <v>130</v>
      </c>
      <c r="E5" s="30" t="s">
        <v>409</v>
      </c>
      <c r="F5" s="212" t="b">
        <v>1</v>
      </c>
      <c r="G5" s="216" t="str">
        <f t="shared" si="0"/>
        <v>"C:\Program Files (x86)\AstroGrep\AstroGrep.exe" /e /r /s /spath="%USERPROFILE%\AppData\Local\Temp\OnboardLogs" /stypes="*4030*201703061*" /stext=" 14:.+((SYSTEM_STATE.+slice.+state.+changed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14:.+((\|PRM\|1\|D)|(crossing.((167)|(168)|(199)|(200))))" "%USERPROFILE%\AppData\Local\Temp\OnboardLogs"\RTDC4030\*4030*201703061*</v>
      </c>
      <c r="I5" s="214" t="str">
        <f>IF(VLOOKUP(K5,'Train Runs'!$A$13:$V$1003,1,TRUE)=K5,VLOOKUP(K5,'Train Runs'!$A$13:$V$1003,22,TRUE),NA())</f>
        <v>https://d0f6bd738d7f1b3e5a7ca70fe4ff75f0.us-east-1.aws.found.io/app/kibana#/discover/Steve-Slow-Train-Analysis-(2080s-and-2083s)?_g=(refreshInterval:(display:Off,pause:!f,section:0,value:0),time:(from:'2017-03-16T07:05:47-0600',mode:absolute,to:'2017-03-16T09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5" s="210">
        <f t="shared" si="2"/>
        <v>42800.614583333336</v>
      </c>
      <c r="K5" s="210" t="str">
        <f>D5&amp;"-"&amp;IF(DAY(Variables!$A$2)&lt;10,0,"")&amp;DAY(Variables!$A$2)</f>
        <v>130-16</v>
      </c>
      <c r="L5" s="206">
        <f>IF(VLOOKUP(K5,'Train Runs'!$A$12:$B$1003,1,TRUE)=K5,VLOOKUP(K5,'Train Runs'!$A$12:$B$1003,2,TRUE),NA())</f>
        <v>4030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405</v>
      </c>
      <c r="C6" s="198" t="s">
        <v>407</v>
      </c>
      <c r="D6" s="212">
        <f>D5+2</f>
        <v>132</v>
      </c>
      <c r="E6" s="30" t="s">
        <v>409</v>
      </c>
      <c r="F6" s="212" t="b">
        <v>1</v>
      </c>
      <c r="G6" s="216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15:.+((\|PRM\|1\|D)|(crossing.((167)|(168)|(199)|(200))))" "%USERPROFILE%\AppData\Local\Temp\OnboardLogs"\RTDC4001\*4001*201703061*</v>
      </c>
      <c r="I6" s="214" t="str">
        <f>IF(VLOOKUP(K6,'Train Runs'!$A$13:$V$1003,1,TRUE)=K6,VLOOKUP(K6,'Train Runs'!$A$13:$V$1003,22,TRUE),NA())</f>
        <v>https://d0f6bd738d7f1b3e5a7ca70fe4ff75f0.us-east-1.aws.found.io/app/kibana#/discover/Steve-Slow-Train-Analysis-(2080s-and-2083s)?_g=(refreshInterval:(display:Off,pause:!f,section:0,value:0),time:(from:'2017-03-16T07:07:46-0600',mode:absolute,to:'2017-03-16T10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6" s="210">
        <f t="shared" si="2"/>
        <v>42800.625</v>
      </c>
      <c r="K6" s="210" t="str">
        <f>D6&amp;"-"&amp;IF(DAY(Variables!$A$2)&lt;10,0,"")&amp;DAY(Variables!$A$2)</f>
        <v>132-16</v>
      </c>
      <c r="L6" s="206">
        <f>IF(VLOOKUP(K6,'Train Runs'!$A$12:$B$1003,1,TRUE)=K6,VLOOKUP(K6,'Train Runs'!$A$12:$B$1003,2,TRUE),NA())</f>
        <v>4001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405</v>
      </c>
      <c r="C7" s="198" t="s">
        <v>407</v>
      </c>
      <c r="D7" s="212">
        <f t="shared" ref="D7:D11" si="4">D6+2</f>
        <v>134</v>
      </c>
      <c r="E7" s="30" t="s">
        <v>409</v>
      </c>
      <c r="F7" s="212" t="b">
        <v>1</v>
      </c>
      <c r="G7" s="216" t="str">
        <f t="shared" si="0"/>
        <v>"C:\Program Files (x86)\AstroGrep\AstroGrep.exe" /e /r /s /spath="%USERPROFILE%\AppData\Local\Temp\OnboardLogs" /stypes="*4004*201703061*" /stext=" 15:.+((SYSTEM_STATE.+slice.+state.+changed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15:.+((\|PRM\|1\|D)|(crossing.((167)|(168)|(199)|(200))))" "%USERPROFILE%\AppData\Local\Temp\OnboardLogs"\RTDC4004\*4004*201703061*</v>
      </c>
      <c r="I7" s="214" t="str">
        <f>IF(VLOOKUP(K7,'Train Runs'!$A$13:$V$1003,1,TRUE)=K7,VLOOKUP(K7,'Train Runs'!$A$13:$V$1003,22,TRUE),NA())</f>
        <v>https://d0f6bd738d7f1b3e5a7ca70fe4ff75f0.us-east-1.aws.found.io/app/kibana#/discover/Steve-Slow-Train-Analysis-(2080s-and-2083s)?_g=(refreshInterval:(display:Off,pause:!f,section:0,value:0),time:(from:'2017-03-16T07:31:15-0600',mode:absolute,to:'2017-03-16T10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7" s="210">
        <f t="shared" si="2"/>
        <v>42800.633333333331</v>
      </c>
      <c r="K7" s="210" t="str">
        <f>D7&amp;"-"&amp;IF(DAY(Variables!$A$2)&lt;10,0,"")&amp;DAY(Variables!$A$2)</f>
        <v>134-16</v>
      </c>
      <c r="L7" s="206">
        <f>IF(VLOOKUP(K7,'Train Runs'!$A$12:$B$1003,1,TRUE)=K7,VLOOKUP(K7,'Train Runs'!$A$12:$B$1003,2,TRUE),NA())</f>
        <v>4004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405</v>
      </c>
      <c r="C8" s="198" t="s">
        <v>407</v>
      </c>
      <c r="D8" s="212">
        <f t="shared" si="4"/>
        <v>136</v>
      </c>
      <c r="E8" s="30" t="s">
        <v>409</v>
      </c>
      <c r="F8" s="212" t="b">
        <v>1</v>
      </c>
      <c r="G8" s="216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15:.+((\|PRM\|1\|D)|(crossing.((167)|(168)|(199)|(200))))" "%USERPROFILE%\AppData\Local\Temp\OnboardLogs"\RTDC4026\*4026*201703061*</v>
      </c>
      <c r="I8" s="214" t="str">
        <f>IF(VLOOKUP(K8,'Train Runs'!$A$13:$V$1003,1,TRUE)=K8,VLOOKUP(K8,'Train Runs'!$A$13:$V$1003,22,TRUE),NA())</f>
        <v>https://d0f6bd738d7f1b3e5a7ca70fe4ff75f0.us-east-1.aws.found.io/app/kibana#/discover/Steve-Slow-Train-Analysis-(2080s-and-2083s)?_g=(refreshInterval:(display:Off,pause:!f,section:0,value:0),time:(from:'2017-03-16T07:48:54-0600',mode:absolute,to:'2017-03-16T10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8" s="210">
        <f t="shared" si="2"/>
        <v>42800.643750000003</v>
      </c>
      <c r="K8" s="210" t="str">
        <f>D8&amp;"-"&amp;IF(DAY(Variables!$A$2)&lt;10,0,"")&amp;DAY(Variables!$A$2)</f>
        <v>136-16</v>
      </c>
      <c r="L8" s="206">
        <f>IF(VLOOKUP(K8,'Train Runs'!$A$12:$B$1003,1,TRUE)=K8,VLOOKUP(K8,'Train Runs'!$A$12:$B$1003,2,TRUE),NA())</f>
        <v>4026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405</v>
      </c>
      <c r="C9" s="198" t="s">
        <v>407</v>
      </c>
      <c r="D9" s="212">
        <f t="shared" si="4"/>
        <v>138</v>
      </c>
      <c r="E9" s="30" t="s">
        <v>409</v>
      </c>
      <c r="F9" s="212" t="b">
        <v>1</v>
      </c>
      <c r="G9" s="216" t="str">
        <f t="shared" si="0"/>
        <v>"C:\Program Files (x86)\AstroGrep\AstroGrep.exe" /e /r /s /spath="%USERPROFILE%\AppData\Local\Temp\OnboardLogs" /stypes="*4039*201703061*" /stext=" 15:.+((SYSTEM_STATE.+slice.+state.+changed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15:.+((\|PRM\|1\|D)|(crossing.((167)|(168)|(199)|(200))))" "%USERPROFILE%\AppData\Local\Temp\OnboardLogs"\RTDC4039\*4039*201703061*</v>
      </c>
      <c r="I9" s="214" t="str">
        <f>IF(VLOOKUP(K9,'Train Runs'!$A$13:$V$1003,1,TRUE)=K9,VLOOKUP(K9,'Train Runs'!$A$13:$V$1003,22,TRUE),NA())</f>
        <v>https://d0f6bd738d7f1b3e5a7ca70fe4ff75f0.us-east-1.aws.found.io/app/kibana#/discover/Steve-Slow-Train-Analysis-(2080s-and-2083s)?_g=(refreshInterval:(display:Off,pause:!f,section:0,value:0),time:(from:'2017-03-16T07:56:44-0600',mode:absolute,to:'2017-03-16T10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9" s="210">
        <f t="shared" si="2"/>
        <v>42800.654861111114</v>
      </c>
      <c r="K9" s="210" t="str">
        <f>D9&amp;"-"&amp;IF(DAY(Variables!$A$2)&lt;10,0,"")&amp;DAY(Variables!$A$2)</f>
        <v>138-16</v>
      </c>
      <c r="L9" s="206">
        <f>IF(VLOOKUP(K9,'Train Runs'!$A$12:$B$1003,1,TRUE)=K9,VLOOKUP(K9,'Train Runs'!$A$12:$B$1003,2,TRUE),NA())</f>
        <v>4039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405</v>
      </c>
      <c r="C10" s="198" t="s">
        <v>407</v>
      </c>
      <c r="D10" s="212">
        <f t="shared" si="4"/>
        <v>140</v>
      </c>
      <c r="E10" s="30" t="s">
        <v>409</v>
      </c>
      <c r="F10" s="212" t="b">
        <v>1</v>
      </c>
      <c r="G10" s="216" t="str">
        <f t="shared" si="0"/>
        <v>"C:\Program Files (x86)\AstroGrep\AstroGrep.exe" /e /r /s /spath="%USERPROFILE%\AppData\Local\Temp\OnboardLogs" /stypes="*4005*201703061*" /stext=" 15:.+((SYSTEM_STATE.+slice.+state.+changed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15:.+((\|PRM\|1\|D)|(crossing.((167)|(168)|(199)|(200))))" "%USERPROFILE%\AppData\Local\Temp\OnboardLogs"\RTDC4005\*4005*201703061*</v>
      </c>
      <c r="I10" s="214" t="str">
        <f>IF(VLOOKUP(K10,'Train Runs'!$A$13:$V$1003,1,TRUE)=K10,VLOOKUP(K10,'Train Runs'!$A$13:$V$1003,22,TRUE),NA())</f>
        <v>https://d0f6bd738d7f1b3e5a7ca70fe4ff75f0.us-east-1.aws.found.io/app/kibana#/discover/Steve-Slow-Train-Analysis-(2080s-and-2083s)?_g=(refreshInterval:(display:Off,pause:!f,section:0,value:0),time:(from:'2017-03-16T08:10:55-0600',mode:absolute,to:'2017-03-16T11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0" s="210">
        <f t="shared" si="2"/>
        <v>42800.665972222225</v>
      </c>
      <c r="K10" s="210" t="str">
        <f>D10&amp;"-"&amp;IF(DAY(Variables!$A$2)&lt;10,0,"")&amp;DAY(Variables!$A$2)</f>
        <v>140-16</v>
      </c>
      <c r="L10" s="206">
        <f>IF(VLOOKUP(K10,'Train Runs'!$A$12:$B$1003,1,TRUE)=K10,VLOOKUP(K10,'Train Runs'!$A$12:$B$1003,2,TRUE),NA())</f>
        <v>4005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405</v>
      </c>
      <c r="C11" s="198" t="s">
        <v>407</v>
      </c>
      <c r="D11" s="212">
        <f t="shared" si="4"/>
        <v>142</v>
      </c>
      <c r="E11" s="30" t="s">
        <v>409</v>
      </c>
      <c r="F11" s="212" t="b">
        <v>1</v>
      </c>
      <c r="G11" s="216" t="str">
        <f t="shared" si="0"/>
        <v>"C:\Program Files (x86)\AstroGrep\AstroGrep.exe" /e /r /s /spath="%USERPROFILE%\AppData\Local\Temp\OnboardLogs" /stypes="*4045*201703061*" /stext=" 16:.+((SYSTEM_STATE.+slice.+state.+changed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16:.+((\|PRM\|1\|D)|(crossing.((167)|(168)|(199)|(200))))" "%USERPROFILE%\AppData\Local\Temp\OnboardLogs"\RTDC4045\*4045*201703061*</v>
      </c>
      <c r="I11" s="214" t="str">
        <f>IF(VLOOKUP(K11,'Train Runs'!$A$13:$V$1003,1,TRUE)=K11,VLOOKUP(K11,'Train Runs'!$A$13:$V$1003,22,TRUE),NA())</f>
        <v>https://d0f6bd738d7f1b3e5a7ca70fe4ff75f0.us-east-1.aws.found.io/app/kibana#/discover/Steve-Slow-Train-Analysis-(2080s-and-2083s)?_g=(refreshInterval:(display:Off,pause:!f,section:0,value:0),time:(from:'2017-03-16T08:25:59-0600',mode:absolute,to:'2017-03-16T11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11" s="210">
        <f t="shared" si="2"/>
        <v>42800.675000000003</v>
      </c>
      <c r="K11" s="210" t="str">
        <f>D11&amp;"-"&amp;IF(DAY(Variables!$A$2)&lt;10,0,"")&amp;DAY(Variables!$A$2)</f>
        <v>142-16</v>
      </c>
      <c r="L11" s="206">
        <f>IF(VLOOKUP(K11,'Train Runs'!$A$12:$B$1003,1,TRUE)=K11,VLOOKUP(K11,'Train Runs'!$A$12:$B$1003,2,TRUE),NA())</f>
        <v>4045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405</v>
      </c>
      <c r="C12" s="198" t="s">
        <v>407</v>
      </c>
      <c r="D12" s="212">
        <v>144</v>
      </c>
      <c r="E12" s="30" t="s">
        <v>409</v>
      </c>
      <c r="F12" s="212" t="b">
        <v>1</v>
      </c>
      <c r="G12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16:.+((\|PRM\|1\|D)|(crossing.((167)|(168)|(199)|(200))))" "%USERPROFILE%\AppData\Local\Temp\OnboardLogs"\RTDC4030\*4030*201703061*</v>
      </c>
      <c r="I12" s="214" t="str">
        <f>IF(VLOOKUP(K12,'Train Runs'!$A$13:$V$1003,1,TRUE)=K12,VLOOKUP(K12,'Train Runs'!$A$13:$V$1003,22,TRUE),NA())</f>
        <v>https://d0f6bd738d7f1b3e5a7ca70fe4ff75f0.us-east-1.aws.found.io/app/kibana#/discover/Steve-Slow-Train-Analysis-(2080s-and-2083s)?_g=(refreshInterval:(display:Off,pause:!f,section:0,value:0),time:(from:'2017-03-16T08:54:06-0600',mode:absolute,to:'2017-03-16T11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2" s="210">
        <f t="shared" si="2"/>
        <v>42800.685416666667</v>
      </c>
      <c r="K12" s="210" t="str">
        <f>D12&amp;"-"&amp;IF(DAY(Variables!$A$2)&lt;10,0,"")&amp;DAY(Variables!$A$2)</f>
        <v>144-16</v>
      </c>
      <c r="L12" s="206">
        <f>IF(VLOOKUP(K12,'Train Runs'!$A$12:$B$1003,1,TRUE)=K12,VLOOKUP(K12,'Train Runs'!$A$12:$B$1003,2,TRUE),NA())</f>
        <v>4030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405</v>
      </c>
      <c r="C13" s="198" t="s">
        <v>407</v>
      </c>
      <c r="D13" s="212">
        <v>146</v>
      </c>
      <c r="E13" s="30" t="s">
        <v>409</v>
      </c>
      <c r="F13" s="212" t="b">
        <v>1</v>
      </c>
      <c r="G13" s="216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16:.+((\|PRM\|1\|D)|(crossing.((167)|(168)|(199)|(200))))" "%USERPROFILE%\AppData\Local\Temp\OnboardLogs"\RTDC4001\*4001*201703061*</v>
      </c>
      <c r="I13" s="214" t="str">
        <f>IF(VLOOKUP(K13,'Train Runs'!$A$13:$V$1003,1,TRUE)=K13,VLOOKUP(K13,'Train Runs'!$A$13:$V$1003,22,TRUE),NA())</f>
        <v>https://d0f6bd738d7f1b3e5a7ca70fe4ff75f0.us-east-1.aws.found.io/app/kibana#/discover/Steve-Slow-Train-Analysis-(2080s-and-2083s)?_g=(refreshInterval:(display:Off,pause:!f,section:0,value:0),time:(from:'2017-03-16T08:53:41-0600',mode:absolute,to:'2017-03-16T11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3" s="210">
        <f t="shared" si="2"/>
        <v>42800.695833333331</v>
      </c>
      <c r="K13" s="210" t="str">
        <f>D13&amp;"-"&amp;IF(DAY(Variables!$A$2)&lt;10,0,"")&amp;DAY(Variables!$A$2)</f>
        <v>146-16</v>
      </c>
      <c r="L13" s="206">
        <f>IF(VLOOKUP(K13,'Train Runs'!$A$12:$B$1003,1,TRUE)=K13,VLOOKUP(K13,'Train Runs'!$A$12:$B$1003,2,TRUE),NA())</f>
        <v>4001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405</v>
      </c>
      <c r="C14" s="198" t="s">
        <v>407</v>
      </c>
      <c r="D14" s="212">
        <v>148</v>
      </c>
      <c r="E14" s="30" t="s">
        <v>413</v>
      </c>
      <c r="F14" s="212" t="b">
        <v>1</v>
      </c>
      <c r="G14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16:.+((\|PRM\|1\|D)|(crossing.((167)|(168)|(199)|(200))))" "%USERPROFILE%\AppData\Local\Temp\OnboardLogs"\RTDC4004\*4004*201703061*</v>
      </c>
      <c r="I14" s="214" t="str">
        <f>IF(VLOOKUP(K14,'Train Runs'!$A$13:$V$1003,1,TRUE)=K14,VLOOKUP(K14,'Train Runs'!$A$13:$V$1003,22,TRUE),NA())</f>
        <v>https://d0f6bd738d7f1b3e5a7ca70fe4ff75f0.us-east-1.aws.found.io/app/kibana#/discover/Steve-Slow-Train-Analysis-(2080s-and-2083s)?_g=(refreshInterval:(display:Off,pause:!f,section:0,value:0),time:(from:'2017-03-16T09:17:20-0600',mode:absolute,to:'2017-03-16T12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4" s="210">
        <f t="shared" si="2"/>
        <v>42800.706944444442</v>
      </c>
      <c r="K14" s="210" t="str">
        <f>D14&amp;"-"&amp;IF(DAY(Variables!$A$2)&lt;10,0,"")&amp;DAY(Variables!$A$2)</f>
        <v>148-16</v>
      </c>
      <c r="L14" s="206">
        <f>IF(VLOOKUP(K14,'Train Runs'!$A$12:$B$1003,1,TRUE)=K14,VLOOKUP(K14,'Train Runs'!$A$12:$B$1003,2,TRUE),NA())</f>
        <v>4004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405</v>
      </c>
      <c r="C15" s="198" t="s">
        <v>407</v>
      </c>
      <c r="D15" s="212">
        <v>178</v>
      </c>
      <c r="E15" s="30" t="s">
        <v>414</v>
      </c>
      <c r="F15" s="212" t="b">
        <v>1</v>
      </c>
      <c r="G15" s="216" t="str">
        <f t="shared" si="0"/>
        <v>"C:\Program Files (x86)\AstroGrep\AstroGrep.exe" /e /r /s /spath="%USERPROFILE%\AppData\Local\Temp\OnboardLogs" /stypes="*4026*201703062*" /stext=" 20:.+((SYSTEM_STATE.+slice.+state.+changed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20:.+((\|PRM\|1\|D)|(crossing.((167)|(168)|(199)|(200))))" "%USERPROFILE%\AppData\Local\Temp\OnboardLogs"\RTDC4026\*4026*201703062*</v>
      </c>
      <c r="I15" s="214" t="str">
        <f>IF(VLOOKUP(K15,'Train Runs'!$A$13:$V$1003,1,TRUE)=K15,VLOOKUP(K15,'Train Runs'!$A$13:$V$1003,22,TRUE),NA())</f>
        <v>https://d0f6bd738d7f1b3e5a7ca70fe4ff75f0.us-east-1.aws.found.io/app/kibana#/discover/Steve-Slow-Train-Analysis-(2080s-and-2083s)?_g=(refreshInterval:(display:Off,pause:!f,section:0,value:0),time:(from:'2017-03-16T13:10:01-0600',mode:absolute,to:'2017-03-16T15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5" s="210">
        <f t="shared" si="2"/>
        <v>42800.864583333336</v>
      </c>
      <c r="K15" s="210" t="str">
        <f>D15&amp;"-"&amp;IF(DAY(Variables!$A$2)&lt;10,0,"")&amp;DAY(Variables!$A$2)</f>
        <v>178-16</v>
      </c>
      <c r="L15" s="206">
        <f>IF(VLOOKUP(K15,'Train Runs'!$A$12:$B$1003,1,TRUE)=K15,VLOOKUP(K15,'Train Runs'!$A$12:$B$1003,2,TRUE),NA())</f>
        <v>4026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405</v>
      </c>
      <c r="C16" s="198" t="s">
        <v>407</v>
      </c>
      <c r="D16" s="212">
        <v>194</v>
      </c>
      <c r="E16" s="30" t="s">
        <v>414</v>
      </c>
      <c r="F16" s="212" t="b">
        <v>1</v>
      </c>
      <c r="G16" s="216" t="str">
        <f t="shared" si="0"/>
        <v>"C:\Program Files (x86)\AstroGrep\AstroGrep.exe" /e /r /s /spath="%USERPROFILE%\AppData\Local\Temp\OnboardLogs" /stypes="*4039*201703062*" /stext=" 22:.+((SYSTEM_STATE.+slice.+state.+changed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22:.+((\|PRM\|1\|D)|(crossing.((167)|(168)|(199)|(200))))" "%USERPROFILE%\AppData\Local\Temp\OnboardLogs"\RTDC4039\*4039*201703062*</v>
      </c>
      <c r="I16" s="214" t="str">
        <f>IF(VLOOKUP(K16,'Train Runs'!$A$13:$V$1003,1,TRUE)=K16,VLOOKUP(K16,'Train Runs'!$A$13:$V$1003,22,TRUE),NA())</f>
        <v>https://d0f6bd738d7f1b3e5a7ca70fe4ff75f0.us-east-1.aws.found.io/app/kibana#/discover/Steve-Slow-Train-Analysis-(2080s-and-2083s)?_g=(refreshInterval:(display:Off,pause:!f,section:0,value:0),time:(from:'2017-03-16T15:02:33-0600',mode:absolute,to:'2017-03-16T17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10">
        <f t="shared" si="2"/>
        <v>42800.949305555558</v>
      </c>
      <c r="K16" s="210" t="str">
        <f>D16&amp;"-"&amp;IF(DAY(Variables!$A$2)&lt;10,0,"")&amp;DAY(Variables!$A$2)</f>
        <v>194-16</v>
      </c>
      <c r="L16" s="206">
        <f>IF(VLOOKUP(K16,'Train Runs'!$A$12:$B$1003,1,TRUE)=K16,VLOOKUP(K16,'Train Runs'!$A$12:$B$1003,2,TRUE),NA())</f>
        <v>4039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405</v>
      </c>
      <c r="C17" s="198" t="s">
        <v>407</v>
      </c>
      <c r="D17" s="212">
        <v>206</v>
      </c>
      <c r="E17" s="30" t="s">
        <v>409</v>
      </c>
      <c r="F17" s="212" t="b">
        <v>1</v>
      </c>
      <c r="G17" s="216" t="str">
        <f t="shared" si="0"/>
        <v>"C:\Program Files (x86)\AstroGrep\AstroGrep.exe" /e /r /s /spath="%USERPROFILE%\AppData\Local\Temp\OnboardLogs" /stypes="*4026*201703070*" /stext=" 00:.+((SYSTEM_STATE.+slice.+state.+changed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00:.+((\|PRM\|1\|D)|(crossing.((167)|(168)|(199)|(200))))" "%USERPROFILE%\AppData\Local\Temp\OnboardLogs"\RTDC4026\*4026*201703070*</v>
      </c>
      <c r="I17" s="214" t="str">
        <f>IF(VLOOKUP(K17,'Train Runs'!$A$13:$V$1003,1,TRUE)=K17,VLOOKUP(K17,'Train Runs'!$A$13:$V$1003,22,TRUE),NA())</f>
        <v>https://d0f6bd738d7f1b3e5a7ca70fe4ff75f0.us-east-1.aws.found.io/app/kibana#/discover/Steve-Slow-Train-Analysis-(2080s-and-2083s)?_g=(refreshInterval:(display:Off,pause:!f,section:0,value:0),time:(from:'2017-03-16T16:34:25-0600',mode:absolute,to:'2017-03-16T19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7" s="210">
        <f t="shared" si="2"/>
        <v>42801.021527777775</v>
      </c>
      <c r="K17" s="210" t="str">
        <f>D17&amp;"-"&amp;IF(DAY(Variables!$A$2)&lt;10,0,"")&amp;DAY(Variables!$A$2)</f>
        <v>206-16</v>
      </c>
      <c r="L17" s="206">
        <f>IF(VLOOKUP(K17,'Train Runs'!$A$12:$B$1003,1,TRUE)=K17,VLOOKUP(K17,'Train Runs'!$A$12:$B$1003,2,TRUE),NA())</f>
        <v>4026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405</v>
      </c>
      <c r="C18" s="198" t="s">
        <v>407</v>
      </c>
      <c r="D18" s="212">
        <v>210</v>
      </c>
      <c r="E18" s="30" t="s">
        <v>409</v>
      </c>
      <c r="F18" s="212" t="b">
        <v>1</v>
      </c>
      <c r="G18" s="216" t="str">
        <f t="shared" si="0"/>
        <v>"C:\Program Files (x86)\AstroGrep\AstroGrep.exe" /e /r /s /spath="%USERPROFILE%\AppData\Local\Temp\OnboardLogs" /stypes="*4030*201703070*" /stext=" 00:.+((SYSTEM_STATE.+slice.+state.+changed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00:.+((\|PRM\|1\|D)|(crossing.((167)|(168)|(199)|(200))))" "%USERPROFILE%\AppData\Local\Temp\OnboardLogs"\RTDC4030\*4030*201703070*</v>
      </c>
      <c r="I18" s="214" t="str">
        <f>IF(VLOOKUP(K18,'Train Runs'!$A$13:$V$1003,1,TRUE)=K18,VLOOKUP(K18,'Train Runs'!$A$13:$V$1003,22,TRUE),NA())</f>
        <v>https://d0f6bd738d7f1b3e5a7ca70fe4ff75f0.us-east-1.aws.found.io/app/kibana#/discover/Steve-Slow-Train-Analysis-(2080s-and-2083s)?_g=(refreshInterval:(display:Off,pause:!f,section:0,value:0),time:(from:'2017-03-16T17:07:24-0600',mode:absolute,to:'2017-03-16T19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8" s="210">
        <f t="shared" si="2"/>
        <v>42801.034722222219</v>
      </c>
      <c r="K18" s="210" t="str">
        <f>D18&amp;"-"&amp;IF(DAY(Variables!$A$2)&lt;10,0,"")&amp;DAY(Variables!$A$2)</f>
        <v>210-16</v>
      </c>
      <c r="L18" s="206">
        <f>IF(VLOOKUP(K18,'Train Runs'!$A$12:$B$1003,1,TRUE)=K18,VLOOKUP(K18,'Train Runs'!$A$12:$B$1003,2,TRUE),NA())</f>
        <v>4030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405</v>
      </c>
      <c r="C19" s="198" t="s">
        <v>407</v>
      </c>
      <c r="D19" s="212">
        <f>D18+2</f>
        <v>212</v>
      </c>
      <c r="E19" s="30" t="s">
        <v>409</v>
      </c>
      <c r="F19" s="212" t="b">
        <v>1</v>
      </c>
      <c r="G19" s="216" t="str">
        <f t="shared" si="0"/>
        <v>"C:\Program Files (x86)\AstroGrep\AstroGrep.exe" /e /r /s /spath="%USERPROFILE%\AppData\Local\Temp\OnboardLogs" /stypes="*4028*201703070*" /stext=" 00:.+((SYSTEM_STATE.+slice.+state.+changed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00:.+((\|PRM\|1\|D)|(crossing.((167)|(168)|(199)|(200))))" "%USERPROFILE%\AppData\Local\Temp\OnboardLogs"\RTDC4028\*4028*201703070*</v>
      </c>
      <c r="I19" s="214" t="str">
        <f>IF(VLOOKUP(K19,'Train Runs'!$A$13:$V$1003,1,TRUE)=K19,VLOOKUP(K19,'Train Runs'!$A$13:$V$1003,22,TRUE),NA())</f>
        <v>https://d0f6bd738d7f1b3e5a7ca70fe4ff75f0.us-east-1.aws.found.io/app/kibana#/discover/Steve-Slow-Train-Analysis-(2080s-and-2083s)?_g=(refreshInterval:(display:Off,pause:!f,section:0,value:0),time:(from:'2017-03-16T17:17:59-0600',mode:absolute,to:'2017-03-16T20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9" s="210">
        <f t="shared" si="2"/>
        <v>42801.040277777778</v>
      </c>
      <c r="K19" s="210" t="str">
        <f>D19&amp;"-"&amp;IF(DAY(Variables!$A$2)&lt;10,0,"")&amp;DAY(Variables!$A$2)</f>
        <v>212-16</v>
      </c>
      <c r="L19" s="206">
        <f>IF(VLOOKUP(K19,'Train Runs'!$A$12:$B$1003,1,TRUE)=K19,VLOOKUP(K19,'Train Runs'!$A$12:$B$1003,2,TRUE),NA())</f>
        <v>4028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405</v>
      </c>
      <c r="C20" s="198" t="s">
        <v>407</v>
      </c>
      <c r="D20" s="212">
        <v>214</v>
      </c>
      <c r="E20" s="30" t="s">
        <v>409</v>
      </c>
      <c r="F20" s="212" t="b">
        <v>1</v>
      </c>
      <c r="G20" s="216" t="str">
        <f t="shared" si="0"/>
        <v>"C:\Program Files (x86)\AstroGrep\AstroGrep.exe" /e /r /s /spath="%USERPROFILE%\AppData\Local\Temp\OnboardLogs" /stypes="*4045*201703070*" /stext=" 01:.+((SYSTEM_STATE.+slice.+state.+changed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01:.+((\|PRM\|1\|D)|(crossing.((167)|(168)|(199)|(200))))" "%USERPROFILE%\AppData\Local\Temp\OnboardLogs"\RTDC4045\*4045*201703070*</v>
      </c>
      <c r="I20" s="214" t="str">
        <f>IF(VLOOKUP(K20,'Train Runs'!$A$13:$V$1003,1,TRUE)=K20,VLOOKUP(K20,'Train Runs'!$A$13:$V$1003,22,TRUE),NA())</f>
        <v>https://d0f6bd738d7f1b3e5a7ca70fe4ff75f0.us-east-1.aws.found.io/app/kibana#/discover/Steve-Slow-Train-Analysis-(2080s-and-2083s)?_g=(refreshInterval:(display:Off,pause:!f,section:0,value:0),time:(from:'2017-03-16T17:27:05-0600',mode:absolute,to:'2017-03-16T20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0" s="210">
        <f t="shared" si="2"/>
        <v>42801.053472222222</v>
      </c>
      <c r="K20" s="210" t="str">
        <f>D20&amp;"-"&amp;IF(DAY(Variables!$A$2)&lt;10,0,"")&amp;DAY(Variables!$A$2)</f>
        <v>214-16</v>
      </c>
      <c r="L20" s="206">
        <f>IF(VLOOKUP(K20,'Train Runs'!$A$12:$B$1003,1,TRUE)=K20,VLOOKUP(K20,'Train Runs'!$A$12:$B$1003,2,TRUE),NA())</f>
        <v>4045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405</v>
      </c>
      <c r="C21" s="198" t="s">
        <v>407</v>
      </c>
      <c r="D21" s="212">
        <v>216</v>
      </c>
      <c r="E21" s="30" t="s">
        <v>409</v>
      </c>
      <c r="F21" s="212" t="b">
        <v>1</v>
      </c>
      <c r="G21" s="216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01:.+((\|PRM\|1\|D)|(crossing.((167)|(168)|(199)|(200))))" "%USERPROFILE%\AppData\Local\Temp\OnboardLogs"\RTDC4001\*4001*201703070*</v>
      </c>
      <c r="I21" s="214" t="str">
        <f>IF(VLOOKUP(K21,'Train Runs'!$A$13:$V$1003,1,TRUE)=K21,VLOOKUP(K21,'Train Runs'!$A$13:$V$1003,22,TRUE),NA())</f>
        <v>https://d0f6bd738d7f1b3e5a7ca70fe4ff75f0.us-east-1.aws.found.io/app/kibana#/discover/Steve-Slow-Train-Analysis-(2080s-and-2083s)?_g=(refreshInterval:(display:Off,pause:!f,section:0,value:0),time:(from:'2017-03-16T17:42:04-0600',mode:absolute,to:'2017-03-16T20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1" s="210">
        <f t="shared" si="2"/>
        <v>42801.069444444445</v>
      </c>
      <c r="K21" s="210" t="str">
        <f>D21&amp;"-"&amp;IF(DAY(Variables!$A$2)&lt;10,0,"")&amp;DAY(Variables!$A$2)</f>
        <v>216-16</v>
      </c>
      <c r="L21" s="206">
        <f>IF(VLOOKUP(K21,'Train Runs'!$A$12:$B$1003,1,TRUE)=K21,VLOOKUP(K21,'Train Runs'!$A$12:$B$1003,2,TRUE),NA())</f>
        <v>4001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405</v>
      </c>
      <c r="C22" s="198" t="s">
        <v>407</v>
      </c>
      <c r="D22" s="212">
        <f>D21+2</f>
        <v>218</v>
      </c>
      <c r="E22" s="30" t="s">
        <v>409</v>
      </c>
      <c r="F22" s="212" t="b">
        <v>1</v>
      </c>
      <c r="G22" s="216" t="str">
        <f t="shared" si="0"/>
        <v>"C:\Program Files (x86)\AstroGrep\AstroGrep.exe" /e /r /s /spath="%USERPROFILE%\AppData\Local\Temp\OnboardLogs" /stypes="*4032*201703070*" /stext=" 01:.+((SYSTEM_STATE.+slice.+state.+changed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01:.+((\|PRM\|1\|D)|(crossing.((167)|(168)|(199)|(200))))" "%USERPROFILE%\AppData\Local\Temp\OnboardLogs"\RTDC4032\*4032*201703070*</v>
      </c>
      <c r="I22" s="214" t="str">
        <f>IF(VLOOKUP(K22,'Train Runs'!$A$13:$V$1003,1,TRUE)=K22,VLOOKUP(K22,'Train Runs'!$A$13:$V$1003,22,TRUE),NA())</f>
        <v>https://d0f6bd738d7f1b3e5a7ca70fe4ff75f0.us-east-1.aws.found.io/app/kibana#/discover/Steve-Slow-Train-Analysis-(2080s-and-2083s)?_g=(refreshInterval:(display:Off,pause:!f,section:0,value:0),time:(from:'2017-03-16T18:06:10-0600',mode:absolute,to:'2017-03-16T20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2" s="210">
        <f t="shared" si="2"/>
        <v>42801.078472222223</v>
      </c>
      <c r="K22" s="210" t="str">
        <f>D22&amp;"-"&amp;IF(DAY(Variables!$A$2)&lt;10,0,"")&amp;DAY(Variables!$A$2)</f>
        <v>218-16</v>
      </c>
      <c r="L22" s="206">
        <f>IF(VLOOKUP(K22,'Train Runs'!$A$12:$B$1003,1,TRUE)=K22,VLOOKUP(K22,'Train Runs'!$A$12:$B$1003,2,TRUE),NA())</f>
        <v>4032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405</v>
      </c>
      <c r="C23" s="198" t="s">
        <v>407</v>
      </c>
      <c r="D23" s="212">
        <f>D22+2</f>
        <v>220</v>
      </c>
      <c r="E23" s="30" t="s">
        <v>409</v>
      </c>
      <c r="F23" s="212" t="b">
        <v>1</v>
      </c>
      <c r="G23" s="216" t="str">
        <f t="shared" si="0"/>
        <v>"C:\Program Files (x86)\AstroGrep\AstroGrep.exe" /e /r /s /spath="%USERPROFILE%\AppData\Local\Temp\OnboardLogs" /stypes="*4026*201703070*" /stext=" 02:.+((SYSTEM_STATE.+slice.+state.+changed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02:.+((\|PRM\|1\|D)|(crossing.((167)|(168)|(199)|(200))))" "%USERPROFILE%\AppData\Local\Temp\OnboardLogs"\RTDC4026\*4026*201703070*</v>
      </c>
      <c r="I23" s="214" t="str">
        <f>IF(VLOOKUP(K23,'Train Runs'!$A$13:$V$1003,1,TRUE)=K23,VLOOKUP(K23,'Train Runs'!$A$13:$V$1003,22,TRUE),NA())</f>
        <v>https://d0f6bd738d7f1b3e5a7ca70fe4ff75f0.us-east-1.aws.found.io/app/kibana#/discover/Steve-Slow-Train-Analysis-(2080s-and-2083s)?_g=(refreshInterval:(display:Off,pause:!f,section:0,value:0),time:(from:'2017-03-16T18:10:30-0600',mode:absolute,to:'2017-03-16T21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3" s="210">
        <f t="shared" si="2"/>
        <v>42801.085416666669</v>
      </c>
      <c r="K23" s="210" t="str">
        <f>D23&amp;"-"&amp;IF(DAY(Variables!$A$2)&lt;10,0,"")&amp;DAY(Variables!$A$2)</f>
        <v>220-16</v>
      </c>
      <c r="L23" s="206">
        <f>IF(VLOOKUP(K23,'Train Runs'!$A$12:$B$1003,1,TRUE)=K23,VLOOKUP(K23,'Train Runs'!$A$12:$B$1003,2,TRUE),NA())</f>
        <v>4026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405</v>
      </c>
      <c r="C24" s="198" t="s">
        <v>407</v>
      </c>
      <c r="D24" s="212">
        <f>D23+2</f>
        <v>222</v>
      </c>
      <c r="E24" s="30" t="s">
        <v>409</v>
      </c>
      <c r="F24" s="212" t="b">
        <v>1</v>
      </c>
      <c r="G24" s="216" t="str">
        <f t="shared" si="0"/>
        <v>"C:\Program Files (x86)\AstroGrep\AstroGrep.exe" /e /r /s /spath="%USERPROFILE%\AppData\Local\Temp\OnboardLogs" /stypes="*4030*201703070*" /stext=" 02:.+((SYSTEM_STATE.+slice.+state.+changed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02:.+((\|PRM\|1\|D)|(crossing.((167)|(168)|(199)|(200))))" "%USERPROFILE%\AppData\Local\Temp\OnboardLogs"\RTDC4030\*4030*201703070*</v>
      </c>
      <c r="I24" s="214" t="str">
        <f>IF(VLOOKUP(K24,'Train Runs'!$A$13:$V$1003,1,TRUE)=K24,VLOOKUP(K24,'Train Runs'!$A$13:$V$1003,22,TRUE),NA())</f>
        <v>https://d0f6bd738d7f1b3e5a7ca70fe4ff75f0.us-east-1.aws.found.io/app/kibana#/discover/Steve-Slow-Train-Analysis-(2080s-and-2083s)?_g=(refreshInterval:(display:Off,pause:!f,section:0,value:0),time:(from:'2017-03-16T18:51:24-0600',mode:absolute,to:'2017-03-16T21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4" s="210">
        <f t="shared" si="2"/>
        <v>42801.104166666664</v>
      </c>
      <c r="K24" s="210" t="str">
        <f>D24&amp;"-"&amp;IF(DAY(Variables!$A$2)&lt;10,0,"")&amp;DAY(Variables!$A$2)</f>
        <v>222-16</v>
      </c>
      <c r="L24" s="206">
        <f>IF(VLOOKUP(K24,'Train Runs'!$A$12:$B$1003,1,TRUE)=K24,VLOOKUP(K24,'Train Runs'!$A$12:$B$1003,2,TRUE),NA())</f>
        <v>4030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405</v>
      </c>
      <c r="C25" s="198" t="s">
        <v>407</v>
      </c>
      <c r="D25" s="212">
        <f>D24+2</f>
        <v>224</v>
      </c>
      <c r="E25" s="30" t="s">
        <v>409</v>
      </c>
      <c r="F25" s="212" t="b">
        <v>1</v>
      </c>
      <c r="G25" s="216" t="str">
        <f t="shared" si="0"/>
        <v>"C:\Program Files (x86)\AstroGrep\AstroGrep.exe" /e /r /s /spath="%USERPROFILE%\AppData\Local\Temp\OnboardLogs" /stypes="*4045*201703070*" /stext=" 02:.+((SYSTEM_STATE.+slice.+state.+changed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02:.+((\|PRM\|1\|D)|(crossing.((167)|(168)|(199)|(200))))" "%USERPROFILE%\AppData\Local\Temp\OnboardLogs"\RTDC4045\*4045*201703070*</v>
      </c>
      <c r="I25" s="214" t="str">
        <f>IF(VLOOKUP(K25,'Train Runs'!$A$13:$V$1003,1,TRUE)=K25,VLOOKUP(K25,'Train Runs'!$A$13:$V$1003,22,TRUE),NA())</f>
        <v>https://d0f6bd738d7f1b3e5a7ca70fe4ff75f0.us-east-1.aws.found.io/app/kibana#/discover/Steve-Slow-Train-Analysis-(2080s-and-2083s)?_g=(refreshInterval:(display:Off,pause:!f,section:0,value:0),time:(from:'2017-03-16T19:09:00-0600',mode:absolute,to:'2017-03-16T22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5" s="210">
        <f t="shared" si="2"/>
        <v>42801.122916666667</v>
      </c>
      <c r="K25" s="210" t="str">
        <f>D25&amp;"-"&amp;IF(DAY(Variables!$A$2)&lt;10,0,"")&amp;DAY(Variables!$A$2)</f>
        <v>224-16</v>
      </c>
      <c r="L25" s="206">
        <f>IF(VLOOKUP(K25,'Train Runs'!$A$12:$B$1003,1,TRUE)=K25,VLOOKUP(K25,'Train Runs'!$A$12:$B$1003,2,TRUE),NA())</f>
        <v>4045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405</v>
      </c>
      <c r="C26" s="198" t="s">
        <v>407</v>
      </c>
      <c r="D26" s="212">
        <f>D25+2</f>
        <v>226</v>
      </c>
      <c r="E26" s="30" t="s">
        <v>409</v>
      </c>
      <c r="F26" s="212" t="b">
        <v>1</v>
      </c>
      <c r="G26" s="216" t="str">
        <f t="shared" si="0"/>
        <v>"C:\Program Files (x86)\AstroGrep\AstroGrep.exe" /e /r /s /spath="%USERPROFILE%\AppData\Local\Temp\OnboardLogs" /stypes="*4032*201703070*" /stext=" 03:.+((SYSTEM_STATE.+slice.+state.+changed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03:.+((\|PRM\|1\|D)|(crossing.((167)|(168)|(199)|(200))))" "%USERPROFILE%\AppData\Local\Temp\OnboardLogs"\RTDC4032\*4032*201703070*</v>
      </c>
      <c r="I26" s="214" t="str">
        <f>IF(VLOOKUP(K26,'Train Runs'!$A$13:$V$1003,1,TRUE)=K26,VLOOKUP(K26,'Train Runs'!$A$13:$V$1003,22,TRUE),NA())</f>
        <v>https://d0f6bd738d7f1b3e5a7ca70fe4ff75f0.us-east-1.aws.found.io/app/kibana#/discover/Steve-Slow-Train-Analysis-(2080s-and-2083s)?_g=(refreshInterval:(display:Off,pause:!f,section:0,value:0),time:(from:'2017-03-16T19:44:38-0600',mode:absolute,to:'2017-03-16T22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26" s="210">
        <f t="shared" si="2"/>
        <v>42801.145138888889</v>
      </c>
      <c r="K26" s="210" t="str">
        <f>D26&amp;"-"&amp;IF(DAY(Variables!$A$2)&lt;10,0,"")&amp;DAY(Variables!$A$2)</f>
        <v>226-16</v>
      </c>
      <c r="L26" s="206">
        <f>IF(VLOOKUP(K26,'Train Runs'!$A$12:$B$1003,1,TRUE)=K26,VLOOKUP(K26,'Train Runs'!$A$12:$B$1003,2,TRUE),NA())</f>
        <v>4032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405</v>
      </c>
      <c r="C27" s="198" t="s">
        <v>407</v>
      </c>
      <c r="D27" s="212">
        <f t="shared" ref="D27:D33" si="5">D26+2</f>
        <v>228</v>
      </c>
      <c r="E27" s="30" t="s">
        <v>409</v>
      </c>
      <c r="F27" s="212" t="b">
        <v>1</v>
      </c>
      <c r="G27" s="216" t="str">
        <f t="shared" si="0"/>
        <v>"C:\Program Files (x86)\AstroGrep\AstroGrep.exe" /e /r /s /spath="%USERPROFILE%\AppData\Local\Temp\OnboardLogs" /stypes="*4026*201703070*" /stext=" 04:.+((SYSTEM_STATE.+slice.+state.+changed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04:.+((\|PRM\|1\|D)|(crossing.((167)|(168)|(199)|(200))))" "%USERPROFILE%\AppData\Local\Temp\OnboardLogs"\RTDC4026\*4026*201703070*</v>
      </c>
      <c r="I27" s="214" t="str">
        <f>IF(VLOOKUP(K27,'Train Runs'!$A$13:$V$1003,1,TRUE)=K27,VLOOKUP(K27,'Train Runs'!$A$13:$V$1003,22,TRUE),NA())</f>
        <v>https://d0f6bd738d7f1b3e5a7ca70fe4ff75f0.us-east-1.aws.found.io/app/kibana#/discover/Steve-Slow-Train-Analysis-(2080s-and-2083s)?_g=(refreshInterval:(display:Off,pause:!f,section:0,value:0),time:(from:'2017-03-16T20:09:40-0600',mode:absolute,to:'2017-03-16T23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7" s="210">
        <f t="shared" si="2"/>
        <v>42801.166666666664</v>
      </c>
      <c r="K27" s="210" t="str">
        <f>D27&amp;"-"&amp;IF(DAY(Variables!$A$2)&lt;10,0,"")&amp;DAY(Variables!$A$2)</f>
        <v>228-16</v>
      </c>
      <c r="L27" s="206">
        <f>IF(VLOOKUP(K27,'Train Runs'!$A$12:$B$1003,1,TRUE)=K27,VLOOKUP(K27,'Train Runs'!$A$12:$B$1003,2,TRUE),NA())</f>
        <v>4026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405</v>
      </c>
      <c r="C28" s="198" t="s">
        <v>407</v>
      </c>
      <c r="D28" s="212">
        <f t="shared" si="5"/>
        <v>230</v>
      </c>
      <c r="E28" s="30" t="s">
        <v>409</v>
      </c>
      <c r="F28" s="212" t="b">
        <v>1</v>
      </c>
      <c r="G28" s="216" t="str">
        <f t="shared" si="0"/>
        <v>"C:\Program Files (x86)\AstroGrep\AstroGrep.exe" /e /r /s /spath="%USERPROFILE%\AppData\Local\Temp\OnboardLogs" /stypes="*4030*201703070*" /stext=" 04:.+((SYSTEM_STATE.+slice.+state.+changed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04:.+((\|PRM\|1\|D)|(crossing.((167)|(168)|(199)|(200))))" "%USERPROFILE%\AppData\Local\Temp\OnboardLogs"\RTDC4030\*4030*201703070*</v>
      </c>
      <c r="I28" s="214" t="str">
        <f>IF(VLOOKUP(K28,'Train Runs'!$A$13:$V$1003,1,TRUE)=K28,VLOOKUP(K28,'Train Runs'!$A$13:$V$1003,22,TRUE),NA())</f>
        <v>https://d0f6bd738d7f1b3e5a7ca70fe4ff75f0.us-east-1.aws.found.io/app/kibana#/discover/Steve-Slow-Train-Analysis-(2080s-and-2083s)?_g=(refreshInterval:(display:Off,pause:!f,section:0,value:0),time:(from:'2017-03-16T20:50:17-0600',mode:absolute,to:'2017-03-16T23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28" s="210">
        <f t="shared" si="2"/>
        <v>42801.189583333333</v>
      </c>
      <c r="K28" s="210" t="str">
        <f>D28&amp;"-"&amp;IF(DAY(Variables!$A$2)&lt;10,0,"")&amp;DAY(Variables!$A$2)</f>
        <v>230-16</v>
      </c>
      <c r="L28" s="206">
        <f>IF(VLOOKUP(K28,'Train Runs'!$A$12:$B$1003,1,TRUE)=K28,VLOOKUP(K28,'Train Runs'!$A$12:$B$1003,2,TRUE),NA())</f>
        <v>4030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405</v>
      </c>
      <c r="C29" s="198" t="s">
        <v>407</v>
      </c>
      <c r="D29" s="212">
        <f t="shared" si="5"/>
        <v>232</v>
      </c>
      <c r="E29" s="30" t="s">
        <v>409</v>
      </c>
      <c r="F29" s="212" t="b">
        <v>1</v>
      </c>
      <c r="G29" s="216" t="str">
        <f t="shared" si="0"/>
        <v>"C:\Program Files (x86)\AstroGrep\AstroGrep.exe" /e /r /s /spath="%USERPROFILE%\AppData\Local\Temp\OnboardLogs" /stypes="*4045*201703070*" /stext=" 04:.+((SYSTEM_STATE.+slice.+state.+changed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04:.+((\|PRM\|1\|D)|(crossing.((167)|(168)|(199)|(200))))" "%USERPROFILE%\AppData\Local\Temp\OnboardLogs"\RTDC4045\*4045*201703070*</v>
      </c>
      <c r="I29" s="214" t="str">
        <f>IF(VLOOKUP(K29,'Train Runs'!$A$13:$V$1003,1,TRUE)=K29,VLOOKUP(K29,'Train Runs'!$A$13:$V$1003,22,TRUE),NA())</f>
        <v>https://d0f6bd738d7f1b3e5a7ca70fe4ff75f0.us-east-1.aws.found.io/app/kibana#/discover/Steve-Slow-Train-Analysis-(2080s-and-2083s)?_g=(refreshInterval:(display:Off,pause:!f,section:0,value:0),time:(from:'2017-03-16T21:23:20-0600',mode:absolute,to:'2017-03-17T00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29" s="210">
        <f t="shared" si="2"/>
        <v>42801.207638888889</v>
      </c>
      <c r="K29" s="210" t="str">
        <f>D29&amp;"-"&amp;IF(DAY(Variables!$A$2)&lt;10,0,"")&amp;DAY(Variables!$A$2)</f>
        <v>232-16</v>
      </c>
      <c r="L29" s="206">
        <f>IF(VLOOKUP(K29,'Train Runs'!$A$12:$B$1003,1,TRUE)=K29,VLOOKUP(K29,'Train Runs'!$A$12:$B$1003,2,TRUE),NA())</f>
        <v>4045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405</v>
      </c>
      <c r="C30" s="198" t="s">
        <v>407</v>
      </c>
      <c r="D30" s="212">
        <f t="shared" si="5"/>
        <v>234</v>
      </c>
      <c r="E30" s="30" t="s">
        <v>409</v>
      </c>
      <c r="F30" s="212" t="b">
        <v>1</v>
      </c>
      <c r="G30" s="216" t="str">
        <f t="shared" si="0"/>
        <v>"C:\Program Files (x86)\AstroGrep\AstroGrep.exe" /e /r /s /spath="%USERPROFILE%\AppData\Local\Temp\OnboardLogs" /stypes="*4032*201703070*" /stext=" 05:.+((SYSTEM_STATE.+slice.+state.+changed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05:.+((\|PRM\|1\|D)|(crossing.((167)|(168)|(199)|(200))))" "%USERPROFILE%\AppData\Local\Temp\OnboardLogs"\RTDC4032\*4032*201703070*</v>
      </c>
      <c r="I30" s="214" t="str">
        <f>IF(VLOOKUP(K30,'Train Runs'!$A$13:$V$1003,1,TRUE)=K30,VLOOKUP(K30,'Train Runs'!$A$13:$V$1003,22,TRUE),NA())</f>
        <v>https://d0f6bd738d7f1b3e5a7ca70fe4ff75f0.us-east-1.aws.found.io/app/kibana#/discover/Steve-Slow-Train-Analysis-(2080s-and-2083s)?_g=(refreshInterval:(display:Off,pause:!f,section:0,value:0),time:(from:'2017-03-16T21:48:51-0600',mode:absolute,to:'2017-03-17T00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0" s="210">
        <f t="shared" si="2"/>
        <v>42801.21875</v>
      </c>
      <c r="K30" s="210" t="str">
        <f>D30&amp;"-"&amp;IF(DAY(Variables!$A$2)&lt;10,0,"")&amp;DAY(Variables!$A$2)</f>
        <v>234-16</v>
      </c>
      <c r="L30" s="206">
        <f>IF(VLOOKUP(K30,'Train Runs'!$A$12:$B$1003,1,TRUE)=K30,VLOOKUP(K30,'Train Runs'!$A$12:$B$1003,2,TRUE),NA())</f>
        <v>4032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405</v>
      </c>
      <c r="C31" s="198" t="s">
        <v>407</v>
      </c>
      <c r="D31" s="212">
        <f t="shared" si="5"/>
        <v>236</v>
      </c>
      <c r="E31" s="30" t="s">
        <v>409</v>
      </c>
      <c r="F31" s="212" t="b">
        <v>1</v>
      </c>
      <c r="G31" s="216" t="str">
        <f t="shared" si="0"/>
        <v>"C:\Program Files (x86)\AstroGrep\AstroGrep.exe" /e /r /s /spath="%USERPROFILE%\AppData\Local\Temp\OnboardLogs" /stypes="*4026*201703070*" /stext=" 05:.+((SYSTEM_STATE.+slice.+state.+changed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05:.+((\|PRM\|1\|D)|(crossing.((167)|(168)|(199)|(200))))" "%USERPROFILE%\AppData\Local\Temp\OnboardLogs"\RTDC4026\*4026*201703070*</v>
      </c>
      <c r="I31" s="214" t="str">
        <f>IF(VLOOKUP(K31,'Train Runs'!$A$13:$V$1003,1,TRUE)=K31,VLOOKUP(K31,'Train Runs'!$A$13:$V$1003,22,TRUE),NA())</f>
        <v>https://d0f6bd738d7f1b3e5a7ca70fe4ff75f0.us-east-1.aws.found.io/app/kibana#/discover/Steve-Slow-Train-Analysis-(2080s-and-2083s)?_g=(refreshInterval:(display:Off,pause:!f,section:0,value:0),time:(from:'2017-03-16T22:12:47-0600',mode:absolute,to:'2017-03-17T01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31" s="210">
        <f t="shared" si="2"/>
        <v>42801.229861111111</v>
      </c>
      <c r="K31" s="210" t="str">
        <f>D31&amp;"-"&amp;IF(DAY(Variables!$A$2)&lt;10,0,"")&amp;DAY(Variables!$A$2)</f>
        <v>236-16</v>
      </c>
      <c r="L31" s="206">
        <f>IF(VLOOKUP(K31,'Train Runs'!$A$12:$B$1003,1,TRUE)=K31,VLOOKUP(K31,'Train Runs'!$A$12:$B$1003,2,TRUE),NA())</f>
        <v>4026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405</v>
      </c>
      <c r="C32" s="198" t="s">
        <v>407</v>
      </c>
      <c r="D32" s="212">
        <f t="shared" si="5"/>
        <v>238</v>
      </c>
      <c r="E32" s="30" t="s">
        <v>409</v>
      </c>
      <c r="F32" s="212" t="b">
        <v>1</v>
      </c>
      <c r="G32" s="216" t="str">
        <f t="shared" si="0"/>
        <v>"C:\Program Files (x86)\AstroGrep\AstroGrep.exe" /e /r /s /spath="%USERPROFILE%\AppData\Local\Temp\OnboardLogs" /stypes="*4030*201703070*" /stext=" 05:.+((SYSTEM_STATE.+slice.+state.+changed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05:.+((\|PRM\|1\|D)|(crossing.((167)|(168)|(199)|(200))))" "%USERPROFILE%\AppData\Local\Temp\OnboardLogs"\RTDC4030\*4030*201703070*</v>
      </c>
      <c r="I32" s="214" t="str">
        <f>IF(VLOOKUP(K32,'Train Runs'!$A$13:$V$1003,1,TRUE)=K32,VLOOKUP(K32,'Train Runs'!$A$13:$V$1003,22,TRUE),NA())</f>
        <v>https://d0f6bd738d7f1b3e5a7ca70fe4ff75f0.us-east-1.aws.found.io/app/kibana#/discover/Steve-Slow-Train-Analysis-(2080s-and-2083s)?_g=(refreshInterval:(display:Off,pause:!f,section:0,value:0),time:(from:'2017-03-16T22:49:09-0600',mode:absolute,to:'2017-03-17T01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32" s="210">
        <f t="shared" si="2"/>
        <v>42801.249305555553</v>
      </c>
      <c r="K32" s="210" t="str">
        <f>D32&amp;"-"&amp;IF(DAY(Variables!$A$2)&lt;10,0,"")&amp;DAY(Variables!$A$2)</f>
        <v>238-16</v>
      </c>
      <c r="L32" s="206">
        <f>IF(VLOOKUP(K32,'Train Runs'!$A$12:$B$1003,1,TRUE)=K32,VLOOKUP(K32,'Train Runs'!$A$12:$B$1003,2,TRUE),NA())</f>
        <v>4030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405</v>
      </c>
      <c r="C33" s="198" t="s">
        <v>407</v>
      </c>
      <c r="D33" s="212">
        <f t="shared" si="5"/>
        <v>240</v>
      </c>
      <c r="E33" s="30" t="s">
        <v>409</v>
      </c>
      <c r="F33" s="212" t="b">
        <v>1</v>
      </c>
      <c r="G33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06:.+((\|PRM\|1\|D)|(crossing.((167)|(168)|(199)|(200))))" "%USERPROFILE%\AppData\Local\Temp\OnboardLogs"\RTDC4045\*4045*201703070*</v>
      </c>
      <c r="I33" s="214" t="str">
        <f>IF(VLOOKUP(K33,'Train Runs'!$A$13:$V$1003,1,TRUE)=K33,VLOOKUP(K33,'Train Runs'!$A$13:$V$1003,22,TRUE),NA())</f>
        <v>https://d0f6bd738d7f1b3e5a7ca70fe4ff75f0.us-east-1.aws.found.io/app/kibana#/discover/Steve-Slow-Train-Analysis-(2080s-and-2083s)?_g=(refreshInterval:(display:Off,pause:!f,section:0,value:0),time:(from:'2017-03-16T23:22:09-0600',mode:absolute,to:'2017-03-17T02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3" s="210">
        <f t="shared" si="2"/>
        <v>42801.272222222222</v>
      </c>
      <c r="K33" s="210" t="str">
        <f>D33&amp;"-"&amp;IF(DAY(Variables!$A$2)&lt;10,0,"")&amp;DAY(Variables!$A$2)</f>
        <v>240-16</v>
      </c>
      <c r="L33" s="206">
        <f>IF(VLOOKUP(K33,'Train Runs'!$A$12:$B$1003,1,TRUE)=K33,VLOOKUP(K33,'Train Runs'!$A$12:$B$1003,2,TRUE),NA())</f>
        <v>4045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405</v>
      </c>
      <c r="C34" s="198" t="s">
        <v>407</v>
      </c>
      <c r="D34" s="212">
        <v>240</v>
      </c>
      <c r="E34" s="30" t="s">
        <v>409</v>
      </c>
      <c r="F34" s="212" t="b">
        <v>1</v>
      </c>
      <c r="G34" s="216" t="str">
        <f t="shared" si="0"/>
        <v>"C:\Program Files (x86)\AstroGrep\AstroGrep.exe" /e /r /s /spath="%USERPROFILE%\AppData\Local\Temp\OnboardLogs" /stypes="*4045*201703070*" /stext=" 06:.+((SYSTEM_STATE.+slice.+state.+changed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06:.+((\|PRM\|1\|D)|(crossing.((167)|(168)|(199)|(200))))" "%USERPROFILE%\AppData\Local\Temp\OnboardLogs"\RTDC4045\*4045*201703070*</v>
      </c>
      <c r="I34" s="214" t="str">
        <f>IF(VLOOKUP(K34,'Train Runs'!$A$13:$V$1003,1,TRUE)=K34,VLOOKUP(K34,'Train Runs'!$A$13:$V$1003,22,TRUE),NA())</f>
        <v>https://d0f6bd738d7f1b3e5a7ca70fe4ff75f0.us-east-1.aws.found.io/app/kibana#/discover/Steve-Slow-Train-Analysis-(2080s-and-2083s)?_g=(refreshInterval:(display:Off,pause:!f,section:0,value:0),time:(from:'2017-03-16T23:22:09-0600',mode:absolute,to:'2017-03-17T02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J34" s="210">
        <f t="shared" si="2"/>
        <v>42801.290277777778</v>
      </c>
      <c r="K34" s="210" t="str">
        <f>D34&amp;"-"&amp;IF(DAY(Variables!$A$2)&lt;10,0,"")&amp;DAY(Variables!$A$2)</f>
        <v>240-16</v>
      </c>
      <c r="L34" s="206">
        <f>IF(VLOOKUP(K34,'Train Runs'!$A$12:$B$1003,1,TRUE)=K34,VLOOKUP(K34,'Train Runs'!$A$12:$B$1003,2,TRUE),NA())</f>
        <v>4045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405</v>
      </c>
      <c r="C35" s="198" t="s">
        <v>407</v>
      </c>
      <c r="D35" s="212">
        <v>242</v>
      </c>
      <c r="E35" s="30" t="s">
        <v>409</v>
      </c>
      <c r="F35" s="212" t="b">
        <v>1</v>
      </c>
      <c r="G35" s="216" t="str">
        <f t="shared" si="0"/>
        <v>"C:\Program Files (x86)\AstroGrep\AstroGrep.exe" /e /r /s /spath="%USERPROFILE%\AppData\Local\Temp\OnboardLogs" /stypes="*4032*201703070*" /stext=" 07:.+((SYSTEM_STATE.+slice.+state.+changed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07:.+((\|PRM\|1\|D)|(crossing.((167)|(168)|(199)|(200))))" "%USERPROFILE%\AppData\Local\Temp\OnboardLogs"\RTDC4032\*4032*201703070*</v>
      </c>
      <c r="I35" s="214" t="str">
        <f>IF(VLOOKUP(K35,'Train Runs'!$A$13:$V$1003,1,TRUE)=K35,VLOOKUP(K35,'Train Runs'!$A$13:$V$1003,22,TRUE),NA())</f>
        <v>https://d0f6bd738d7f1b3e5a7ca70fe4ff75f0.us-east-1.aws.found.io/app/kibana#/discover/Steve-Slow-Train-Analysis-(2080s-and-2083s)?_g=(refreshInterval:(display:Off,pause:!f,section:0,value:0),time:(from:'2017-03-16T23:49:29-0600',mode:absolute,to:'2017-03-17T02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J35" s="210">
        <f t="shared" si="2"/>
        <v>42801.311805555553</v>
      </c>
      <c r="K35" s="210" t="str">
        <f>D35&amp;"-"&amp;IF(DAY(Variables!$A$2)&lt;10,0,"")&amp;DAY(Variables!$A$2)</f>
        <v>242-16</v>
      </c>
      <c r="L35" s="206">
        <f>IF(VLOOKUP(K35,'Train Runs'!$A$12:$B$1003,1,TRUE)=K35,VLOOKUP(K35,'Train Runs'!$A$12:$B$1003,2,TRUE),NA())</f>
        <v>4032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42810.035486111112</v>
      </c>
      <c r="B2" s="20" t="s">
        <v>377</v>
      </c>
      <c r="C2" s="20" t="s">
        <v>537</v>
      </c>
      <c r="D2" s="150">
        <v>2270000</v>
      </c>
      <c r="E2" s="20" t="s">
        <v>211</v>
      </c>
      <c r="F2" s="20" t="s">
        <v>212</v>
      </c>
      <c r="G2" s="8" t="str">
        <f>E2&amp;" "&amp;F2</f>
        <v>BROWN JACOB</v>
      </c>
    </row>
    <row r="3" spans="1:7" x14ac:dyDescent="0.25">
      <c r="A3" s="8">
        <v>42810.048784722225</v>
      </c>
      <c r="B3" s="20" t="s">
        <v>388</v>
      </c>
      <c r="C3" s="20" t="s">
        <v>514</v>
      </c>
      <c r="D3" s="150">
        <v>3020000</v>
      </c>
      <c r="E3" s="20" t="s">
        <v>533</v>
      </c>
      <c r="F3" s="20" t="s">
        <v>534</v>
      </c>
      <c r="G3" s="8" t="str">
        <f t="shared" ref="G3:G66" si="0">E3&amp;" "&amp;F3</f>
        <v>MENGES BRAD</v>
      </c>
    </row>
    <row r="4" spans="1:7" x14ac:dyDescent="0.25">
      <c r="A4" s="8">
        <v>42810.058125000003</v>
      </c>
      <c r="B4" s="20" t="s">
        <v>439</v>
      </c>
      <c r="C4" s="20" t="s">
        <v>538</v>
      </c>
      <c r="D4" s="150">
        <v>1810000</v>
      </c>
      <c r="E4" s="20" t="s">
        <v>199</v>
      </c>
      <c r="F4" s="20" t="s">
        <v>195</v>
      </c>
      <c r="G4" s="8" t="str">
        <f t="shared" si="0"/>
        <v>NEWELL JAMES</v>
      </c>
    </row>
    <row r="5" spans="1:7" x14ac:dyDescent="0.25">
      <c r="A5" s="8">
        <v>42810.068888888891</v>
      </c>
      <c r="B5" s="20" t="s">
        <v>241</v>
      </c>
      <c r="C5" s="20" t="s">
        <v>539</v>
      </c>
      <c r="D5" s="150">
        <v>2270000</v>
      </c>
      <c r="E5" s="20" t="s">
        <v>211</v>
      </c>
      <c r="F5" s="20" t="s">
        <v>212</v>
      </c>
      <c r="G5" s="8" t="str">
        <f t="shared" si="0"/>
        <v>BROWN JACOB</v>
      </c>
    </row>
    <row r="6" spans="1:7" x14ac:dyDescent="0.25">
      <c r="A6" s="8">
        <v>42810.091238425928</v>
      </c>
      <c r="B6" s="20" t="s">
        <v>438</v>
      </c>
      <c r="C6" s="20" t="s">
        <v>540</v>
      </c>
      <c r="D6" s="150">
        <v>1810000</v>
      </c>
      <c r="E6" s="20" t="s">
        <v>199</v>
      </c>
      <c r="F6" s="20" t="s">
        <v>195</v>
      </c>
      <c r="G6" s="8" t="str">
        <f t="shared" si="0"/>
        <v>NEWELL JAMES</v>
      </c>
    </row>
    <row r="7" spans="1:7" x14ac:dyDescent="0.25">
      <c r="A7" s="8">
        <v>42810.11451388889</v>
      </c>
      <c r="B7" s="20" t="s">
        <v>512</v>
      </c>
      <c r="C7" s="20" t="s">
        <v>541</v>
      </c>
      <c r="D7" s="150">
        <v>2550000</v>
      </c>
      <c r="E7" s="20" t="s">
        <v>493</v>
      </c>
      <c r="F7" s="20" t="s">
        <v>494</v>
      </c>
      <c r="G7" s="8" t="str">
        <f t="shared" si="0"/>
        <v>BADERTSCHER DIANE</v>
      </c>
    </row>
    <row r="8" spans="1:7" x14ac:dyDescent="0.25">
      <c r="A8" s="8">
        <v>42810.126909722225</v>
      </c>
      <c r="B8" s="20" t="s">
        <v>594</v>
      </c>
      <c r="C8" s="20" t="s">
        <v>641</v>
      </c>
      <c r="D8" s="150">
        <v>2550000</v>
      </c>
      <c r="E8" s="20" t="s">
        <v>493</v>
      </c>
      <c r="F8" s="20" t="s">
        <v>494</v>
      </c>
      <c r="G8" s="8" t="str">
        <f t="shared" si="0"/>
        <v>BADERTSCHER DIANE</v>
      </c>
    </row>
    <row r="9" spans="1:7" ht="15.75" thickBot="1" x14ac:dyDescent="0.3">
      <c r="A9" s="24">
        <v>42810.14199074074</v>
      </c>
      <c r="B9" s="20" t="s">
        <v>515</v>
      </c>
      <c r="C9" s="20" t="s">
        <v>642</v>
      </c>
      <c r="D9" s="150">
        <v>1230000</v>
      </c>
      <c r="E9" s="20" t="s">
        <v>455</v>
      </c>
      <c r="F9" s="20" t="s">
        <v>456</v>
      </c>
      <c r="G9" s="8" t="str">
        <f t="shared" si="0"/>
        <v>YANAI IAN</v>
      </c>
    </row>
    <row r="10" spans="1:7" x14ac:dyDescent="0.25">
      <c r="A10" s="8">
        <v>42810.142500000002</v>
      </c>
      <c r="B10" s="20" t="s">
        <v>515</v>
      </c>
      <c r="C10" s="20" t="s">
        <v>643</v>
      </c>
      <c r="D10" s="150">
        <v>1230000</v>
      </c>
      <c r="E10" s="20" t="s">
        <v>455</v>
      </c>
      <c r="F10" s="20" t="s">
        <v>456</v>
      </c>
      <c r="G10" s="8" t="str">
        <f t="shared" si="0"/>
        <v>YANAI IAN</v>
      </c>
    </row>
    <row r="11" spans="1:7" x14ac:dyDescent="0.25">
      <c r="A11" s="8">
        <v>42810.154456018521</v>
      </c>
      <c r="B11" s="20" t="s">
        <v>379</v>
      </c>
      <c r="C11" s="20" t="s">
        <v>644</v>
      </c>
      <c r="D11" s="150">
        <v>1230000</v>
      </c>
      <c r="E11" s="20" t="s">
        <v>455</v>
      </c>
      <c r="F11" s="20" t="s">
        <v>456</v>
      </c>
      <c r="G11" s="8" t="str">
        <f t="shared" si="0"/>
        <v>YANAI IAN</v>
      </c>
    </row>
    <row r="12" spans="1:7" x14ac:dyDescent="0.25">
      <c r="A12" s="8">
        <v>42810.156539351854</v>
      </c>
      <c r="B12" s="20" t="s">
        <v>440</v>
      </c>
      <c r="C12" s="20" t="s">
        <v>645</v>
      </c>
      <c r="D12" s="150">
        <v>2140000</v>
      </c>
      <c r="E12" s="20" t="s">
        <v>646</v>
      </c>
      <c r="F12" s="20" t="s">
        <v>647</v>
      </c>
      <c r="G12" s="8" t="str">
        <f t="shared" si="0"/>
        <v>ROBINSON KADDIBA</v>
      </c>
    </row>
    <row r="13" spans="1:7" x14ac:dyDescent="0.25">
      <c r="A13" s="8">
        <v>42810.169074074074</v>
      </c>
      <c r="B13" s="20" t="s">
        <v>591</v>
      </c>
      <c r="C13" s="20" t="s">
        <v>592</v>
      </c>
      <c r="D13" s="150">
        <v>2140000</v>
      </c>
      <c r="E13" s="20" t="s">
        <v>646</v>
      </c>
      <c r="F13" s="20" t="s">
        <v>647</v>
      </c>
      <c r="G13" s="8" t="str">
        <f t="shared" si="0"/>
        <v>ROBINSON KADDIBA</v>
      </c>
    </row>
    <row r="14" spans="1:7" x14ac:dyDescent="0.25">
      <c r="A14" s="8">
        <v>42810.16914351852</v>
      </c>
      <c r="B14" s="20" t="s">
        <v>512</v>
      </c>
      <c r="C14" s="20" t="s">
        <v>648</v>
      </c>
      <c r="D14" s="150">
        <v>2550000</v>
      </c>
      <c r="E14" s="20" t="s">
        <v>493</v>
      </c>
      <c r="F14" s="20" t="s">
        <v>494</v>
      </c>
      <c r="G14" s="8" t="str">
        <f t="shared" si="0"/>
        <v>BADERTSCHER DIANE</v>
      </c>
    </row>
    <row r="15" spans="1:7" x14ac:dyDescent="0.25">
      <c r="A15" s="8">
        <v>42810.170081018521</v>
      </c>
      <c r="B15" s="20" t="s">
        <v>470</v>
      </c>
      <c r="C15" s="20" t="s">
        <v>649</v>
      </c>
      <c r="D15" s="150">
        <v>1100000</v>
      </c>
      <c r="E15" s="20" t="s">
        <v>516</v>
      </c>
      <c r="F15" s="20" t="s">
        <v>517</v>
      </c>
      <c r="G15" s="8" t="str">
        <f t="shared" si="0"/>
        <v>GEBRETEKLE DAGNEW</v>
      </c>
    </row>
    <row r="16" spans="1:7" x14ac:dyDescent="0.25">
      <c r="A16" s="8">
        <v>42810.183842592596</v>
      </c>
      <c r="B16" s="20" t="s">
        <v>441</v>
      </c>
      <c r="C16" s="20" t="s">
        <v>650</v>
      </c>
      <c r="D16" s="150">
        <v>1100000</v>
      </c>
      <c r="E16" s="20" t="s">
        <v>516</v>
      </c>
      <c r="F16" s="20" t="s">
        <v>517</v>
      </c>
      <c r="G16" s="8" t="str">
        <f t="shared" si="0"/>
        <v>GEBRETEKLE DAGNEW</v>
      </c>
    </row>
    <row r="17" spans="1:7" x14ac:dyDescent="0.25">
      <c r="A17" s="8">
        <v>42810.185486111113</v>
      </c>
      <c r="B17" s="20" t="s">
        <v>421</v>
      </c>
      <c r="C17" s="20" t="s">
        <v>651</v>
      </c>
      <c r="D17" s="150">
        <v>900000</v>
      </c>
      <c r="E17" s="20" t="s">
        <v>453</v>
      </c>
      <c r="F17" s="20" t="s">
        <v>454</v>
      </c>
      <c r="G17" s="8" t="str">
        <f t="shared" si="0"/>
        <v>ROCHA YAOTL</v>
      </c>
    </row>
    <row r="18" spans="1:7" x14ac:dyDescent="0.25">
      <c r="A18" s="8">
        <v>42810.189375000002</v>
      </c>
      <c r="B18" s="20" t="s">
        <v>515</v>
      </c>
      <c r="C18" s="20" t="s">
        <v>593</v>
      </c>
      <c r="D18" s="150">
        <v>1230000</v>
      </c>
      <c r="E18" s="20" t="s">
        <v>455</v>
      </c>
      <c r="F18" s="20" t="s">
        <v>456</v>
      </c>
      <c r="G18" s="8" t="str">
        <f t="shared" si="0"/>
        <v>YANAI IAN</v>
      </c>
    </row>
    <row r="19" spans="1:7" x14ac:dyDescent="0.25">
      <c r="A19" s="8">
        <v>42810.19672453704</v>
      </c>
      <c r="B19" s="20" t="s">
        <v>423</v>
      </c>
      <c r="C19" s="20" t="s">
        <v>652</v>
      </c>
      <c r="D19" s="150">
        <v>900000</v>
      </c>
      <c r="E19" s="20" t="s">
        <v>453</v>
      </c>
      <c r="F19" s="20" t="s">
        <v>454</v>
      </c>
      <c r="G19" s="8" t="str">
        <f t="shared" si="0"/>
        <v>ROCHA YAOTL</v>
      </c>
    </row>
    <row r="20" spans="1:7" x14ac:dyDescent="0.25">
      <c r="A20" s="8">
        <v>42810.200057870374</v>
      </c>
      <c r="B20" s="20" t="s">
        <v>653</v>
      </c>
      <c r="C20" s="20" t="s">
        <v>654</v>
      </c>
      <c r="D20" s="150">
        <v>2020000</v>
      </c>
      <c r="E20" s="20" t="s">
        <v>655</v>
      </c>
      <c r="F20" s="20" t="s">
        <v>521</v>
      </c>
      <c r="G20" s="8" t="str">
        <f t="shared" si="0"/>
        <v>SHOOK JOHN</v>
      </c>
    </row>
    <row r="21" spans="1:7" x14ac:dyDescent="0.25">
      <c r="A21" s="8">
        <v>42810.208252314813</v>
      </c>
      <c r="B21" s="20" t="s">
        <v>594</v>
      </c>
      <c r="C21" s="20" t="s">
        <v>595</v>
      </c>
      <c r="D21" s="150">
        <v>1830000</v>
      </c>
      <c r="E21" s="20" t="s">
        <v>656</v>
      </c>
      <c r="F21" s="20" t="s">
        <v>657</v>
      </c>
      <c r="G21" s="8" t="str">
        <f t="shared" si="0"/>
        <v>YORK EDGAR</v>
      </c>
    </row>
    <row r="22" spans="1:7" x14ac:dyDescent="0.25">
      <c r="A22" s="26">
        <v>42810.208981481483</v>
      </c>
      <c r="B22" s="20" t="s">
        <v>513</v>
      </c>
      <c r="C22" s="20" t="s">
        <v>658</v>
      </c>
      <c r="D22" s="150">
        <v>2550000</v>
      </c>
      <c r="E22" s="20" t="s">
        <v>493</v>
      </c>
      <c r="F22" s="20" t="s">
        <v>494</v>
      </c>
      <c r="G22" s="8" t="str">
        <f t="shared" si="0"/>
        <v>BADERTSCHER DIANE</v>
      </c>
    </row>
    <row r="23" spans="1:7" x14ac:dyDescent="0.25">
      <c r="A23" s="8">
        <v>42810.2106712963</v>
      </c>
      <c r="B23" s="20" t="s">
        <v>440</v>
      </c>
      <c r="C23" s="20" t="s">
        <v>659</v>
      </c>
      <c r="D23" s="150">
        <v>2140000</v>
      </c>
      <c r="E23" s="20" t="s">
        <v>646</v>
      </c>
      <c r="F23" s="20" t="s">
        <v>647</v>
      </c>
      <c r="G23" s="8" t="str">
        <f t="shared" si="0"/>
        <v>ROBINSON KADDIBA</v>
      </c>
    </row>
    <row r="24" spans="1:7" x14ac:dyDescent="0.25">
      <c r="A24" s="8">
        <v>42810.223043981481</v>
      </c>
      <c r="B24" s="20" t="s">
        <v>470</v>
      </c>
      <c r="C24" s="20" t="s">
        <v>660</v>
      </c>
      <c r="D24" s="150">
        <v>1100000</v>
      </c>
      <c r="E24" s="20" t="s">
        <v>516</v>
      </c>
      <c r="F24" s="20" t="s">
        <v>517</v>
      </c>
      <c r="G24" s="8" t="str">
        <f t="shared" si="0"/>
        <v>GEBRETEKLE DAGNEW</v>
      </c>
    </row>
    <row r="25" spans="1:7" x14ac:dyDescent="0.25">
      <c r="A25" s="8">
        <v>42810.225277777776</v>
      </c>
      <c r="B25" s="20" t="s">
        <v>379</v>
      </c>
      <c r="C25" s="20" t="s">
        <v>661</v>
      </c>
      <c r="D25" s="150">
        <v>1110000</v>
      </c>
      <c r="E25" s="20" t="s">
        <v>471</v>
      </c>
      <c r="F25" s="20" t="s">
        <v>472</v>
      </c>
      <c r="G25" s="8" t="str">
        <f t="shared" si="0"/>
        <v>STARKS ANGELINA</v>
      </c>
    </row>
    <row r="26" spans="1:7" x14ac:dyDescent="0.25">
      <c r="A26" s="8">
        <v>42810.232893518521</v>
      </c>
      <c r="B26" s="20" t="s">
        <v>522</v>
      </c>
      <c r="C26" s="20" t="s">
        <v>642</v>
      </c>
      <c r="D26" s="150">
        <v>1230000</v>
      </c>
      <c r="E26" s="20" t="s">
        <v>455</v>
      </c>
      <c r="F26" s="20" t="s">
        <v>456</v>
      </c>
      <c r="G26" s="8" t="str">
        <f t="shared" si="0"/>
        <v>YANAI IAN</v>
      </c>
    </row>
    <row r="27" spans="1:7" x14ac:dyDescent="0.25">
      <c r="A27" s="8">
        <v>42810.235775462963</v>
      </c>
      <c r="B27" s="20" t="s">
        <v>613</v>
      </c>
      <c r="C27" s="20" t="s">
        <v>662</v>
      </c>
      <c r="D27" s="150">
        <v>1830000</v>
      </c>
      <c r="E27" s="20" t="s">
        <v>656</v>
      </c>
      <c r="F27" s="20" t="s">
        <v>657</v>
      </c>
      <c r="G27" s="8" t="str">
        <f t="shared" si="0"/>
        <v>YORK EDGAR</v>
      </c>
    </row>
    <row r="28" spans="1:7" x14ac:dyDescent="0.25">
      <c r="A28" s="8">
        <v>42810.235856481479</v>
      </c>
      <c r="B28" s="20" t="s">
        <v>421</v>
      </c>
      <c r="C28" s="20" t="s">
        <v>663</v>
      </c>
      <c r="D28" s="150">
        <v>900000</v>
      </c>
      <c r="E28" s="20" t="s">
        <v>453</v>
      </c>
      <c r="F28" s="20" t="s">
        <v>454</v>
      </c>
      <c r="G28" s="8" t="str">
        <f t="shared" si="0"/>
        <v>ROCHA YAOTL</v>
      </c>
    </row>
    <row r="29" spans="1:7" x14ac:dyDescent="0.25">
      <c r="A29" s="8">
        <v>42810.235937500001</v>
      </c>
      <c r="B29" s="20" t="s">
        <v>653</v>
      </c>
      <c r="C29" s="20" t="s">
        <v>664</v>
      </c>
      <c r="D29" s="150">
        <v>2020000</v>
      </c>
      <c r="E29" s="20" t="s">
        <v>655</v>
      </c>
      <c r="F29" s="20" t="s">
        <v>521</v>
      </c>
      <c r="G29" s="8" t="str">
        <f t="shared" si="0"/>
        <v>SHOOK JOHN</v>
      </c>
    </row>
    <row r="30" spans="1:7" x14ac:dyDescent="0.25">
      <c r="A30" s="8">
        <v>42810.247453703705</v>
      </c>
      <c r="B30" s="20" t="s">
        <v>591</v>
      </c>
      <c r="C30" s="20" t="s">
        <v>665</v>
      </c>
      <c r="D30" s="150">
        <v>2140000</v>
      </c>
      <c r="E30" s="20" t="s">
        <v>646</v>
      </c>
      <c r="F30" s="20" t="s">
        <v>647</v>
      </c>
      <c r="G30" s="8" t="str">
        <f t="shared" si="0"/>
        <v>ROBINSON KADDIBA</v>
      </c>
    </row>
    <row r="31" spans="1:7" x14ac:dyDescent="0.25">
      <c r="A31" s="8">
        <v>42810.25304398148</v>
      </c>
      <c r="B31" s="20" t="s">
        <v>512</v>
      </c>
      <c r="C31" s="20" t="s">
        <v>666</v>
      </c>
      <c r="D31" s="150">
        <v>2550000</v>
      </c>
      <c r="E31" s="20" t="s">
        <v>493</v>
      </c>
      <c r="F31" s="20" t="s">
        <v>494</v>
      </c>
      <c r="G31" s="8" t="str">
        <f t="shared" si="0"/>
        <v>BADERTSCHER DIANE</v>
      </c>
    </row>
    <row r="32" spans="1:7" x14ac:dyDescent="0.25">
      <c r="A32" s="8">
        <v>42810.25335648148</v>
      </c>
      <c r="B32" s="20" t="s">
        <v>611</v>
      </c>
      <c r="C32" s="20" t="s">
        <v>667</v>
      </c>
      <c r="D32" s="150">
        <v>890000</v>
      </c>
      <c r="E32" s="20" t="s">
        <v>473</v>
      </c>
      <c r="F32" s="20" t="s">
        <v>474</v>
      </c>
      <c r="G32" s="8" t="str">
        <f t="shared" si="0"/>
        <v>LOZA FIDEL</v>
      </c>
    </row>
    <row r="33" spans="1:7" x14ac:dyDescent="0.25">
      <c r="A33" s="8">
        <v>42810.257361111115</v>
      </c>
      <c r="B33" s="20" t="s">
        <v>441</v>
      </c>
      <c r="C33" s="20" t="s">
        <v>668</v>
      </c>
      <c r="D33" s="150">
        <v>1100000</v>
      </c>
      <c r="E33" s="20" t="s">
        <v>516</v>
      </c>
      <c r="F33" s="20" t="s">
        <v>517</v>
      </c>
      <c r="G33" s="8" t="str">
        <f t="shared" si="0"/>
        <v>GEBRETEKLE DAGNEW</v>
      </c>
    </row>
    <row r="34" spans="1:7" x14ac:dyDescent="0.25">
      <c r="A34" s="8">
        <v>42810.257800925923</v>
      </c>
      <c r="B34" s="20" t="s">
        <v>202</v>
      </c>
      <c r="C34" s="20" t="s">
        <v>669</v>
      </c>
      <c r="D34" s="150">
        <v>1110000</v>
      </c>
      <c r="E34" s="20" t="s">
        <v>471</v>
      </c>
      <c r="F34" s="20" t="s">
        <v>472</v>
      </c>
      <c r="G34" s="8" t="str">
        <f t="shared" si="0"/>
        <v>STARKS ANGELINA</v>
      </c>
    </row>
    <row r="35" spans="1:7" x14ac:dyDescent="0.25">
      <c r="A35" s="8">
        <v>42810.263298611113</v>
      </c>
      <c r="B35" s="20" t="s">
        <v>601</v>
      </c>
      <c r="C35" s="20" t="s">
        <v>670</v>
      </c>
      <c r="D35" s="150">
        <v>890000</v>
      </c>
      <c r="E35" s="20" t="s">
        <v>473</v>
      </c>
      <c r="F35" s="20" t="s">
        <v>474</v>
      </c>
      <c r="G35" s="8" t="str">
        <f t="shared" si="0"/>
        <v>LOZA FIDEL</v>
      </c>
    </row>
    <row r="36" spans="1:7" x14ac:dyDescent="0.25">
      <c r="A36" s="8">
        <v>42810.267291666663</v>
      </c>
      <c r="B36" s="20" t="s">
        <v>515</v>
      </c>
      <c r="C36" s="20" t="s">
        <v>671</v>
      </c>
      <c r="D36" s="150">
        <v>1230000</v>
      </c>
      <c r="E36" s="20" t="s">
        <v>455</v>
      </c>
      <c r="F36" s="20" t="s">
        <v>456</v>
      </c>
      <c r="G36" s="8" t="str">
        <f t="shared" si="0"/>
        <v>YANAI IAN</v>
      </c>
    </row>
    <row r="37" spans="1:7" x14ac:dyDescent="0.25">
      <c r="A37" s="8">
        <v>42810.26771990741</v>
      </c>
      <c r="B37" s="20" t="s">
        <v>452</v>
      </c>
      <c r="C37" s="20" t="s">
        <v>596</v>
      </c>
      <c r="D37" s="150">
        <v>1290000</v>
      </c>
      <c r="E37" s="20" t="s">
        <v>520</v>
      </c>
      <c r="F37" s="20" t="s">
        <v>521</v>
      </c>
      <c r="G37" s="8" t="str">
        <f t="shared" si="0"/>
        <v>COOLAHAN JOHN</v>
      </c>
    </row>
    <row r="38" spans="1:7" x14ac:dyDescent="0.25">
      <c r="A38" s="8">
        <v>42810.268900462965</v>
      </c>
      <c r="B38" s="20" t="s">
        <v>452</v>
      </c>
      <c r="C38" s="20" t="s">
        <v>596</v>
      </c>
      <c r="D38" s="150">
        <v>1290000</v>
      </c>
      <c r="E38" s="20" t="s">
        <v>520</v>
      </c>
      <c r="F38" s="20" t="s">
        <v>521</v>
      </c>
      <c r="G38" s="8" t="str">
        <f t="shared" si="0"/>
        <v>COOLAHAN JOHN</v>
      </c>
    </row>
    <row r="39" spans="1:7" x14ac:dyDescent="0.25">
      <c r="A39" s="8">
        <v>42810.271493055552</v>
      </c>
      <c r="B39" s="20" t="s">
        <v>423</v>
      </c>
      <c r="C39" s="20" t="s">
        <v>672</v>
      </c>
      <c r="D39" s="150">
        <v>900000</v>
      </c>
      <c r="E39" s="20" t="s">
        <v>453</v>
      </c>
      <c r="F39" s="20" t="s">
        <v>454</v>
      </c>
      <c r="G39" s="8" t="str">
        <f t="shared" si="0"/>
        <v>ROCHA YAOTL</v>
      </c>
    </row>
    <row r="40" spans="1:7" x14ac:dyDescent="0.25">
      <c r="A40" s="8">
        <v>42810.275682870371</v>
      </c>
      <c r="B40" s="25" t="s">
        <v>594</v>
      </c>
      <c r="C40" s="20" t="s">
        <v>673</v>
      </c>
      <c r="D40" s="150">
        <v>1830000</v>
      </c>
      <c r="E40" s="20" t="s">
        <v>656</v>
      </c>
      <c r="F40" s="20" t="s">
        <v>657</v>
      </c>
      <c r="G40" s="8" t="str">
        <f t="shared" si="0"/>
        <v>YORK EDGAR</v>
      </c>
    </row>
    <row r="41" spans="1:7" x14ac:dyDescent="0.25">
      <c r="A41" s="8">
        <v>42810.277129629627</v>
      </c>
      <c r="B41" s="20" t="s">
        <v>611</v>
      </c>
      <c r="C41" s="20" t="s">
        <v>674</v>
      </c>
      <c r="D41" s="150">
        <v>890000</v>
      </c>
      <c r="E41" s="20" t="s">
        <v>473</v>
      </c>
      <c r="F41" s="20" t="s">
        <v>474</v>
      </c>
      <c r="G41" s="8" t="str">
        <f t="shared" si="0"/>
        <v>LOZA FIDEL</v>
      </c>
    </row>
    <row r="42" spans="1:7" x14ac:dyDescent="0.25">
      <c r="A42" s="8">
        <v>42810.280405092592</v>
      </c>
      <c r="B42" s="20" t="s">
        <v>380</v>
      </c>
      <c r="C42" s="20" t="s">
        <v>675</v>
      </c>
      <c r="D42" s="150">
        <v>2020000</v>
      </c>
      <c r="E42" s="20" t="s">
        <v>655</v>
      </c>
      <c r="F42" s="20" t="s">
        <v>521</v>
      </c>
      <c r="G42" s="8" t="str">
        <f t="shared" si="0"/>
        <v>SHOOK JOHN</v>
      </c>
    </row>
    <row r="43" spans="1:7" x14ac:dyDescent="0.25">
      <c r="A43" s="8">
        <v>42810.286412037036</v>
      </c>
      <c r="B43" s="20" t="s">
        <v>597</v>
      </c>
      <c r="C43" s="20" t="s">
        <v>598</v>
      </c>
      <c r="D43" s="150">
        <v>2140000</v>
      </c>
      <c r="E43" s="20" t="s">
        <v>646</v>
      </c>
      <c r="F43" s="20" t="s">
        <v>647</v>
      </c>
      <c r="G43" s="8" t="str">
        <f t="shared" si="0"/>
        <v>ROBINSON KADDIBA</v>
      </c>
    </row>
    <row r="44" spans="1:7" x14ac:dyDescent="0.25">
      <c r="A44" s="8">
        <v>42810.287060185183</v>
      </c>
      <c r="B44" s="20" t="s">
        <v>597</v>
      </c>
      <c r="C44" s="20" t="s">
        <v>598</v>
      </c>
      <c r="D44" s="150">
        <v>2140000</v>
      </c>
      <c r="E44" s="20" t="s">
        <v>646</v>
      </c>
      <c r="F44" s="20" t="s">
        <v>647</v>
      </c>
      <c r="G44" s="8" t="str">
        <f t="shared" si="0"/>
        <v>ROBINSON KADDIBA</v>
      </c>
    </row>
    <row r="45" spans="1:7" x14ac:dyDescent="0.25">
      <c r="A45" s="8">
        <v>42810.287395833337</v>
      </c>
      <c r="B45" s="20" t="s">
        <v>653</v>
      </c>
      <c r="C45" s="20" t="s">
        <v>676</v>
      </c>
      <c r="D45" s="150">
        <v>1290000</v>
      </c>
      <c r="E45" s="20" t="s">
        <v>520</v>
      </c>
      <c r="F45" s="20" t="s">
        <v>521</v>
      </c>
      <c r="G45" s="8" t="str">
        <f t="shared" si="0"/>
        <v>COOLAHAN JOHN</v>
      </c>
    </row>
    <row r="46" spans="1:7" x14ac:dyDescent="0.25">
      <c r="A46" s="8">
        <v>42810.287673611114</v>
      </c>
      <c r="B46" s="20" t="s">
        <v>597</v>
      </c>
      <c r="C46" s="20" t="s">
        <v>677</v>
      </c>
      <c r="D46" s="150">
        <v>2140000</v>
      </c>
      <c r="E46" s="20" t="s">
        <v>646</v>
      </c>
      <c r="F46" s="20" t="s">
        <v>647</v>
      </c>
      <c r="G46" s="8" t="str">
        <f t="shared" si="0"/>
        <v>ROBINSON KADDIBA</v>
      </c>
    </row>
    <row r="47" spans="1:7" x14ac:dyDescent="0.25">
      <c r="A47" s="8">
        <v>42810.289236111108</v>
      </c>
      <c r="B47" s="20" t="s">
        <v>597</v>
      </c>
      <c r="C47" s="20" t="s">
        <v>598</v>
      </c>
      <c r="D47" s="150">
        <v>2970000</v>
      </c>
      <c r="E47" s="20" t="s">
        <v>518</v>
      </c>
      <c r="F47" s="20" t="s">
        <v>519</v>
      </c>
      <c r="G47" s="8" t="str">
        <f t="shared" si="0"/>
        <v>GUZMAN DANNY</v>
      </c>
    </row>
    <row r="48" spans="1:7" x14ac:dyDescent="0.25">
      <c r="A48" s="8">
        <v>42810.289317129631</v>
      </c>
      <c r="B48" s="20" t="s">
        <v>513</v>
      </c>
      <c r="C48" s="20" t="s">
        <v>678</v>
      </c>
      <c r="D48" s="150">
        <v>2550000</v>
      </c>
      <c r="E48" s="20" t="s">
        <v>493</v>
      </c>
      <c r="F48" s="20" t="s">
        <v>494</v>
      </c>
      <c r="G48" s="8" t="str">
        <f t="shared" si="0"/>
        <v>BADERTSCHER DIANE</v>
      </c>
    </row>
    <row r="49" spans="1:7" x14ac:dyDescent="0.25">
      <c r="A49" s="8">
        <v>42810.295648148145</v>
      </c>
      <c r="B49" s="20" t="s">
        <v>470</v>
      </c>
      <c r="C49" s="20" t="s">
        <v>679</v>
      </c>
      <c r="D49" s="150">
        <v>1100000</v>
      </c>
      <c r="E49" s="20" t="s">
        <v>516</v>
      </c>
      <c r="F49" s="20" t="s">
        <v>517</v>
      </c>
      <c r="G49" s="8" t="str">
        <f t="shared" si="0"/>
        <v>GEBRETEKLE DAGNEW</v>
      </c>
    </row>
    <row r="50" spans="1:7" x14ac:dyDescent="0.25">
      <c r="A50" s="8">
        <v>42810.298090277778</v>
      </c>
      <c r="B50" s="20" t="s">
        <v>452</v>
      </c>
      <c r="C50" s="20" t="s">
        <v>680</v>
      </c>
      <c r="D50" s="150">
        <v>2020000</v>
      </c>
      <c r="E50" s="20" t="s">
        <v>655</v>
      </c>
      <c r="F50" s="20" t="s">
        <v>521</v>
      </c>
      <c r="G50" s="8" t="str">
        <f t="shared" si="0"/>
        <v>SHOOK JOHN</v>
      </c>
    </row>
    <row r="51" spans="1:7" x14ac:dyDescent="0.25">
      <c r="A51" s="8">
        <v>42810.299710648149</v>
      </c>
      <c r="B51" s="20" t="s">
        <v>601</v>
      </c>
      <c r="C51" s="20" t="s">
        <v>681</v>
      </c>
      <c r="D51" s="150">
        <v>890000</v>
      </c>
      <c r="E51" s="20" t="s">
        <v>473</v>
      </c>
      <c r="F51" s="20" t="s">
        <v>474</v>
      </c>
      <c r="G51" s="8" t="str">
        <f t="shared" si="0"/>
        <v>LOZA FIDEL</v>
      </c>
    </row>
    <row r="52" spans="1:7" x14ac:dyDescent="0.25">
      <c r="A52" s="8">
        <v>42810.300208333334</v>
      </c>
      <c r="B52" s="20" t="s">
        <v>379</v>
      </c>
      <c r="C52" s="20" t="s">
        <v>682</v>
      </c>
      <c r="D52" s="150">
        <v>1110000</v>
      </c>
      <c r="E52" s="20" t="s">
        <v>471</v>
      </c>
      <c r="F52" s="20" t="s">
        <v>472</v>
      </c>
      <c r="G52" s="8" t="str">
        <f t="shared" si="0"/>
        <v>STARKS ANGELINA</v>
      </c>
    </row>
    <row r="53" spans="1:7" x14ac:dyDescent="0.25">
      <c r="A53" s="8">
        <v>42810.30704861111</v>
      </c>
      <c r="B53" s="20" t="s">
        <v>613</v>
      </c>
      <c r="C53" s="20" t="s">
        <v>683</v>
      </c>
      <c r="D53" s="150">
        <v>1830000</v>
      </c>
      <c r="E53" s="20" t="s">
        <v>656</v>
      </c>
      <c r="F53" s="20" t="s">
        <v>657</v>
      </c>
      <c r="G53" s="8" t="str">
        <f t="shared" si="0"/>
        <v>YORK EDGAR</v>
      </c>
    </row>
    <row r="54" spans="1:7" x14ac:dyDescent="0.25">
      <c r="A54" s="8">
        <v>42810.307870370372</v>
      </c>
      <c r="B54" s="20" t="s">
        <v>522</v>
      </c>
      <c r="C54" s="20" t="s">
        <v>684</v>
      </c>
      <c r="D54" s="150">
        <v>1230000</v>
      </c>
      <c r="E54" s="20" t="s">
        <v>455</v>
      </c>
      <c r="F54" s="20" t="s">
        <v>456</v>
      </c>
      <c r="G54" s="8" t="str">
        <f t="shared" si="0"/>
        <v>YANAI IAN</v>
      </c>
    </row>
    <row r="55" spans="1:7" x14ac:dyDescent="0.25">
      <c r="A55" s="8">
        <v>42810.309131944443</v>
      </c>
      <c r="B55" s="20" t="s">
        <v>421</v>
      </c>
      <c r="C55" s="20" t="s">
        <v>599</v>
      </c>
      <c r="D55" s="150">
        <v>900000</v>
      </c>
      <c r="E55" s="20" t="s">
        <v>453</v>
      </c>
      <c r="F55" s="20" t="s">
        <v>454</v>
      </c>
      <c r="G55" s="8" t="str">
        <f t="shared" si="0"/>
        <v>ROCHA YAOTL</v>
      </c>
    </row>
    <row r="56" spans="1:7" x14ac:dyDescent="0.25">
      <c r="A56" s="8">
        <v>42810.311319444445</v>
      </c>
      <c r="B56" s="20" t="s">
        <v>380</v>
      </c>
      <c r="C56" s="20" t="s">
        <v>685</v>
      </c>
      <c r="D56" s="150">
        <v>2020000</v>
      </c>
      <c r="E56" s="20" t="s">
        <v>655</v>
      </c>
      <c r="F56" s="20" t="s">
        <v>521</v>
      </c>
      <c r="G56" s="8" t="str">
        <f t="shared" si="0"/>
        <v>SHOOK JOHN</v>
      </c>
    </row>
    <row r="57" spans="1:7" x14ac:dyDescent="0.25">
      <c r="A57" s="8">
        <v>42810.313796296294</v>
      </c>
      <c r="B57" s="20" t="s">
        <v>613</v>
      </c>
      <c r="C57" s="20" t="s">
        <v>683</v>
      </c>
      <c r="D57" s="150">
        <v>1830000</v>
      </c>
      <c r="E57" s="20" t="s">
        <v>656</v>
      </c>
      <c r="F57" s="20" t="s">
        <v>657</v>
      </c>
      <c r="G57" s="8" t="str">
        <f t="shared" si="0"/>
        <v>YORK EDGAR</v>
      </c>
    </row>
    <row r="58" spans="1:7" x14ac:dyDescent="0.25">
      <c r="A58" s="8">
        <v>42810.31517361111</v>
      </c>
      <c r="B58" s="20" t="s">
        <v>613</v>
      </c>
      <c r="C58" s="20" t="s">
        <v>683</v>
      </c>
      <c r="D58" s="150">
        <v>1830000</v>
      </c>
      <c r="E58" s="20" t="s">
        <v>656</v>
      </c>
      <c r="F58" s="20" t="s">
        <v>657</v>
      </c>
      <c r="G58" s="8" t="str">
        <f t="shared" si="0"/>
        <v>YORK EDGAR</v>
      </c>
    </row>
    <row r="59" spans="1:7" x14ac:dyDescent="0.25">
      <c r="A59" s="8">
        <v>42810.317013888889</v>
      </c>
      <c r="B59" s="20" t="s">
        <v>611</v>
      </c>
      <c r="C59" s="20" t="s">
        <v>686</v>
      </c>
      <c r="D59" s="150">
        <v>890000</v>
      </c>
      <c r="E59" s="20" t="s">
        <v>473</v>
      </c>
      <c r="F59" s="20" t="s">
        <v>474</v>
      </c>
      <c r="G59" s="8" t="str">
        <f t="shared" si="0"/>
        <v>LOZA FIDEL</v>
      </c>
    </row>
    <row r="60" spans="1:7" x14ac:dyDescent="0.25">
      <c r="A60" s="8">
        <v>42810.321006944447</v>
      </c>
      <c r="B60" s="20" t="s">
        <v>591</v>
      </c>
      <c r="C60" s="20" t="s">
        <v>600</v>
      </c>
      <c r="D60" s="150">
        <v>2140000</v>
      </c>
      <c r="E60" s="20" t="s">
        <v>646</v>
      </c>
      <c r="F60" s="20" t="s">
        <v>647</v>
      </c>
      <c r="G60" s="8" t="str">
        <f t="shared" si="0"/>
        <v>ROBINSON KADDIBA</v>
      </c>
    </row>
    <row r="61" spans="1:7" x14ac:dyDescent="0.25">
      <c r="A61" s="8">
        <v>42810.322893518518</v>
      </c>
      <c r="B61" s="20" t="s">
        <v>512</v>
      </c>
      <c r="C61" s="20" t="s">
        <v>687</v>
      </c>
      <c r="D61" s="150">
        <v>2550000</v>
      </c>
      <c r="E61" s="20" t="s">
        <v>493</v>
      </c>
      <c r="F61" s="20" t="s">
        <v>494</v>
      </c>
      <c r="G61" s="8" t="str">
        <f t="shared" si="0"/>
        <v>BADERTSCHER DIANE</v>
      </c>
    </row>
    <row r="62" spans="1:7" x14ac:dyDescent="0.25">
      <c r="A62" s="8">
        <v>42810.329641203702</v>
      </c>
      <c r="B62" s="20" t="s">
        <v>441</v>
      </c>
      <c r="C62" s="20" t="s">
        <v>688</v>
      </c>
      <c r="D62" s="150">
        <v>1100000</v>
      </c>
      <c r="E62" s="20" t="s">
        <v>516</v>
      </c>
      <c r="F62" s="20" t="s">
        <v>517</v>
      </c>
      <c r="G62" s="8" t="str">
        <f t="shared" si="0"/>
        <v>GEBRETEKLE DAGNEW</v>
      </c>
    </row>
    <row r="63" spans="1:7" x14ac:dyDescent="0.25">
      <c r="A63" s="8">
        <v>42810.338125000002</v>
      </c>
      <c r="B63" s="20" t="s">
        <v>202</v>
      </c>
      <c r="C63" s="20" t="s">
        <v>603</v>
      </c>
      <c r="D63" s="150">
        <v>1110000</v>
      </c>
      <c r="E63" s="20" t="s">
        <v>471</v>
      </c>
      <c r="F63" s="20" t="s">
        <v>472</v>
      </c>
      <c r="G63" s="8" t="str">
        <f t="shared" si="0"/>
        <v>STARKS ANGELINA</v>
      </c>
    </row>
    <row r="64" spans="1:7" x14ac:dyDescent="0.25">
      <c r="A64" s="26">
        <v>42810.339166666665</v>
      </c>
      <c r="B64" s="20" t="s">
        <v>452</v>
      </c>
      <c r="C64" s="20" t="s">
        <v>689</v>
      </c>
      <c r="D64" s="150">
        <v>2020000</v>
      </c>
      <c r="E64" s="20" t="s">
        <v>655</v>
      </c>
      <c r="F64" s="20" t="s">
        <v>521</v>
      </c>
      <c r="G64" s="8" t="str">
        <f t="shared" si="0"/>
        <v>SHOOK JOHN</v>
      </c>
    </row>
    <row r="65" spans="1:7" x14ac:dyDescent="0.25">
      <c r="A65" s="8">
        <v>42810.339224537034</v>
      </c>
      <c r="B65" s="20" t="s">
        <v>515</v>
      </c>
      <c r="C65" s="20" t="s">
        <v>690</v>
      </c>
      <c r="D65" s="150">
        <v>1230000</v>
      </c>
      <c r="E65" s="20" t="s">
        <v>455</v>
      </c>
      <c r="F65" s="20" t="s">
        <v>456</v>
      </c>
      <c r="G65" s="8" t="str">
        <f t="shared" si="0"/>
        <v>YANAI IAN</v>
      </c>
    </row>
    <row r="66" spans="1:7" x14ac:dyDescent="0.25">
      <c r="A66" s="8">
        <v>42810.343043981484</v>
      </c>
      <c r="B66" s="20" t="s">
        <v>423</v>
      </c>
      <c r="C66" s="20" t="s">
        <v>604</v>
      </c>
      <c r="D66" s="150">
        <v>3010000</v>
      </c>
      <c r="E66" s="20" t="s">
        <v>691</v>
      </c>
      <c r="F66" s="20" t="s">
        <v>692</v>
      </c>
      <c r="G66" s="8" t="str">
        <f t="shared" si="0"/>
        <v>SULLIVAN BRANDON</v>
      </c>
    </row>
    <row r="67" spans="1:7" x14ac:dyDescent="0.25">
      <c r="A67" s="8">
        <v>42810.346145833333</v>
      </c>
      <c r="B67" s="20" t="s">
        <v>601</v>
      </c>
      <c r="C67" s="20" t="s">
        <v>602</v>
      </c>
      <c r="D67" s="150">
        <v>3040000</v>
      </c>
      <c r="E67" s="20" t="s">
        <v>523</v>
      </c>
      <c r="F67" s="20" t="s">
        <v>524</v>
      </c>
      <c r="G67" s="8" t="str">
        <f t="shared" ref="G67:G130" si="1">E67&amp;" "&amp;F67</f>
        <v>WILLIAMS DONTE</v>
      </c>
    </row>
    <row r="68" spans="1:7" x14ac:dyDescent="0.25">
      <c r="A68" s="8">
        <v>42810.349085648151</v>
      </c>
      <c r="B68" s="20" t="s">
        <v>594</v>
      </c>
      <c r="C68" s="20" t="s">
        <v>693</v>
      </c>
      <c r="D68" s="150">
        <v>1830000</v>
      </c>
      <c r="E68" s="20" t="s">
        <v>656</v>
      </c>
      <c r="F68" s="20" t="s">
        <v>657</v>
      </c>
      <c r="G68" s="8" t="str">
        <f t="shared" si="1"/>
        <v>YORK EDGAR</v>
      </c>
    </row>
    <row r="69" spans="1:7" x14ac:dyDescent="0.25">
      <c r="A69" s="8">
        <v>42810.353391203702</v>
      </c>
      <c r="B69" s="20" t="s">
        <v>380</v>
      </c>
      <c r="C69" s="20" t="s">
        <v>694</v>
      </c>
      <c r="D69" s="150">
        <v>2020000</v>
      </c>
      <c r="E69" s="20" t="s">
        <v>655</v>
      </c>
      <c r="F69" s="20" t="s">
        <v>521</v>
      </c>
      <c r="G69" s="8" t="str">
        <f t="shared" si="1"/>
        <v>SHOOK JOHN</v>
      </c>
    </row>
    <row r="70" spans="1:7" x14ac:dyDescent="0.25">
      <c r="A70" s="8">
        <v>42810.355416666665</v>
      </c>
      <c r="B70" s="20" t="s">
        <v>597</v>
      </c>
      <c r="C70" s="20" t="s">
        <v>606</v>
      </c>
      <c r="D70" s="150">
        <v>2970000</v>
      </c>
      <c r="E70" s="20" t="s">
        <v>518</v>
      </c>
      <c r="F70" s="20" t="s">
        <v>519</v>
      </c>
      <c r="G70" s="8" t="str">
        <f t="shared" si="1"/>
        <v>GUZMAN DANNY</v>
      </c>
    </row>
    <row r="71" spans="1:7" x14ac:dyDescent="0.25">
      <c r="A71" s="8">
        <v>42810.360393518517</v>
      </c>
      <c r="B71" s="20" t="s">
        <v>611</v>
      </c>
      <c r="C71" s="20" t="s">
        <v>695</v>
      </c>
      <c r="D71" s="150">
        <v>3040000</v>
      </c>
      <c r="E71" s="20" t="s">
        <v>523</v>
      </c>
      <c r="F71" s="20" t="s">
        <v>524</v>
      </c>
      <c r="G71" s="8" t="str">
        <f t="shared" si="1"/>
        <v>WILLIAMS DONTE</v>
      </c>
    </row>
    <row r="72" spans="1:7" x14ac:dyDescent="0.25">
      <c r="A72" s="8">
        <v>42810.36136574074</v>
      </c>
      <c r="B72" s="20" t="s">
        <v>513</v>
      </c>
      <c r="C72" s="20" t="s">
        <v>696</v>
      </c>
      <c r="D72" s="150">
        <v>2550000</v>
      </c>
      <c r="E72" s="20" t="s">
        <v>493</v>
      </c>
      <c r="F72" s="20" t="s">
        <v>494</v>
      </c>
      <c r="G72" s="8" t="str">
        <f t="shared" si="1"/>
        <v>BADERTSCHER DIANE</v>
      </c>
    </row>
    <row r="73" spans="1:7" x14ac:dyDescent="0.25">
      <c r="A73" s="8">
        <v>42810.367708333331</v>
      </c>
      <c r="B73" s="20" t="s">
        <v>470</v>
      </c>
      <c r="C73" s="20" t="s">
        <v>697</v>
      </c>
      <c r="D73" s="150">
        <v>1100000</v>
      </c>
      <c r="E73" s="20" t="s">
        <v>516</v>
      </c>
      <c r="F73" s="20" t="s">
        <v>517</v>
      </c>
      <c r="G73" s="8" t="str">
        <f t="shared" si="1"/>
        <v>GEBRETEKLE DAGNEW</v>
      </c>
    </row>
    <row r="74" spans="1:7" x14ac:dyDescent="0.25">
      <c r="A74" s="8">
        <v>42810.372824074075</v>
      </c>
      <c r="B74" s="20" t="s">
        <v>379</v>
      </c>
      <c r="C74" s="20" t="s">
        <v>603</v>
      </c>
      <c r="D74" s="150">
        <v>1110000</v>
      </c>
      <c r="E74" s="20" t="s">
        <v>471</v>
      </c>
      <c r="F74" s="20" t="s">
        <v>472</v>
      </c>
      <c r="G74" s="8" t="str">
        <f t="shared" si="1"/>
        <v>STARKS ANGELINA</v>
      </c>
    </row>
    <row r="75" spans="1:7" x14ac:dyDescent="0.25">
      <c r="A75" s="8">
        <v>42810.37394675926</v>
      </c>
      <c r="B75" s="20" t="s">
        <v>379</v>
      </c>
      <c r="C75" s="20" t="s">
        <v>605</v>
      </c>
      <c r="D75" s="150">
        <v>1110000</v>
      </c>
      <c r="E75" s="20" t="s">
        <v>471</v>
      </c>
      <c r="F75" s="20" t="s">
        <v>472</v>
      </c>
      <c r="G75" s="8" t="str">
        <f t="shared" si="1"/>
        <v>STARKS ANGELINA</v>
      </c>
    </row>
    <row r="76" spans="1:7" x14ac:dyDescent="0.25">
      <c r="A76" s="8">
        <v>42810.374074074076</v>
      </c>
      <c r="B76" s="20" t="s">
        <v>421</v>
      </c>
      <c r="C76" s="20" t="s">
        <v>608</v>
      </c>
      <c r="D76" s="150">
        <v>3010000</v>
      </c>
      <c r="E76" s="20" t="s">
        <v>691</v>
      </c>
      <c r="F76" s="20" t="s">
        <v>692</v>
      </c>
      <c r="G76" s="8" t="str">
        <f t="shared" si="1"/>
        <v>SULLIVAN BRANDON</v>
      </c>
    </row>
    <row r="77" spans="1:7" x14ac:dyDescent="0.25">
      <c r="A77" s="8">
        <v>42810.381724537037</v>
      </c>
      <c r="B77" s="20" t="s">
        <v>522</v>
      </c>
      <c r="C77" s="20" t="s">
        <v>607</v>
      </c>
      <c r="D77" s="150">
        <v>1230000</v>
      </c>
      <c r="E77" s="20" t="s">
        <v>455</v>
      </c>
      <c r="F77" s="20" t="s">
        <v>456</v>
      </c>
      <c r="G77" s="8" t="str">
        <f t="shared" si="1"/>
        <v>YANAI IAN</v>
      </c>
    </row>
    <row r="78" spans="1:7" x14ac:dyDescent="0.25">
      <c r="A78" s="8">
        <v>42810.38590277778</v>
      </c>
      <c r="B78" s="20" t="s">
        <v>613</v>
      </c>
      <c r="C78" s="20" t="s">
        <v>698</v>
      </c>
      <c r="D78" s="150">
        <v>1830000</v>
      </c>
      <c r="E78" s="20" t="s">
        <v>656</v>
      </c>
      <c r="F78" s="20" t="s">
        <v>657</v>
      </c>
      <c r="G78" s="8" t="str">
        <f t="shared" si="1"/>
        <v>YORK EDGAR</v>
      </c>
    </row>
    <row r="79" spans="1:7" x14ac:dyDescent="0.25">
      <c r="A79" s="8">
        <v>42810.386076388888</v>
      </c>
      <c r="B79" s="20" t="s">
        <v>601</v>
      </c>
      <c r="C79" s="20" t="s">
        <v>699</v>
      </c>
      <c r="D79" s="150">
        <v>3040000</v>
      </c>
      <c r="E79" s="20" t="s">
        <v>523</v>
      </c>
      <c r="F79" s="20" t="s">
        <v>524</v>
      </c>
      <c r="G79" s="8" t="str">
        <f t="shared" si="1"/>
        <v>WILLIAMS DONTE</v>
      </c>
    </row>
    <row r="80" spans="1:7" x14ac:dyDescent="0.25">
      <c r="A80" s="8">
        <v>42810.392777777779</v>
      </c>
      <c r="B80" s="20" t="s">
        <v>591</v>
      </c>
      <c r="C80" s="20" t="s">
        <v>700</v>
      </c>
      <c r="D80" s="150">
        <v>2140000</v>
      </c>
      <c r="E80" s="20" t="s">
        <v>646</v>
      </c>
      <c r="F80" s="20" t="s">
        <v>647</v>
      </c>
      <c r="G80" s="8" t="str">
        <f t="shared" si="1"/>
        <v>ROBINSON KADDIBA</v>
      </c>
    </row>
    <row r="81" spans="1:7" x14ac:dyDescent="0.25">
      <c r="A81" s="8">
        <v>42810.393414351849</v>
      </c>
      <c r="B81" s="20" t="s">
        <v>512</v>
      </c>
      <c r="C81" s="20" t="s">
        <v>701</v>
      </c>
      <c r="D81" s="150">
        <v>2550000</v>
      </c>
      <c r="E81" s="20" t="s">
        <v>493</v>
      </c>
      <c r="F81" s="20" t="s">
        <v>494</v>
      </c>
      <c r="G81" s="8" t="str">
        <f t="shared" si="1"/>
        <v>BADERTSCHER DIANE</v>
      </c>
    </row>
    <row r="82" spans="1:7" x14ac:dyDescent="0.25">
      <c r="A82" s="8">
        <v>42810.402361111112</v>
      </c>
      <c r="B82" s="20" t="s">
        <v>441</v>
      </c>
      <c r="C82" s="20" t="s">
        <v>702</v>
      </c>
      <c r="D82" s="150">
        <v>1100000</v>
      </c>
      <c r="E82" s="20" t="s">
        <v>516</v>
      </c>
      <c r="F82" s="20" t="s">
        <v>517</v>
      </c>
      <c r="G82" s="8" t="str">
        <f t="shared" si="1"/>
        <v>GEBRETEKLE DAGNEW</v>
      </c>
    </row>
    <row r="83" spans="1:7" x14ac:dyDescent="0.25">
      <c r="A83" s="8">
        <v>42810.403240740743</v>
      </c>
      <c r="B83" s="20" t="s">
        <v>611</v>
      </c>
      <c r="C83" s="20" t="s">
        <v>703</v>
      </c>
      <c r="D83" s="150">
        <v>3040000</v>
      </c>
      <c r="E83" s="20" t="s">
        <v>523</v>
      </c>
      <c r="F83" s="20" t="s">
        <v>524</v>
      </c>
      <c r="G83" s="8" t="str">
        <f t="shared" si="1"/>
        <v>WILLIAMS DONTE</v>
      </c>
    </row>
    <row r="84" spans="1:7" x14ac:dyDescent="0.25">
      <c r="A84" s="8">
        <v>42810.412615740737</v>
      </c>
      <c r="B84" s="20" t="s">
        <v>515</v>
      </c>
      <c r="C84" s="20" t="s">
        <v>704</v>
      </c>
      <c r="D84" s="150">
        <v>1230000</v>
      </c>
      <c r="E84" s="20" t="s">
        <v>455</v>
      </c>
      <c r="F84" s="20" t="s">
        <v>456</v>
      </c>
      <c r="G84" s="8" t="str">
        <f t="shared" si="1"/>
        <v>YANAI IAN</v>
      </c>
    </row>
    <row r="85" spans="1:7" x14ac:dyDescent="0.25">
      <c r="A85" s="8">
        <v>42810.412881944445</v>
      </c>
      <c r="B85" s="20" t="s">
        <v>202</v>
      </c>
      <c r="C85" s="20" t="s">
        <v>609</v>
      </c>
      <c r="D85" s="150">
        <v>1110000</v>
      </c>
      <c r="E85" s="20" t="s">
        <v>471</v>
      </c>
      <c r="F85" s="20" t="s">
        <v>472</v>
      </c>
      <c r="G85" s="8" t="str">
        <f t="shared" si="1"/>
        <v>STARKS ANGELINA</v>
      </c>
    </row>
    <row r="86" spans="1:7" x14ac:dyDescent="0.25">
      <c r="A86" s="8">
        <v>42810.415798611109</v>
      </c>
      <c r="B86" s="20" t="s">
        <v>423</v>
      </c>
      <c r="C86" s="20" t="s">
        <v>705</v>
      </c>
      <c r="D86" s="150">
        <v>900000</v>
      </c>
      <c r="E86" s="20" t="s">
        <v>453</v>
      </c>
      <c r="F86" s="20" t="s">
        <v>454</v>
      </c>
      <c r="G86" s="8" t="str">
        <f t="shared" si="1"/>
        <v>ROCHA YAOTL</v>
      </c>
    </row>
    <row r="87" spans="1:7" x14ac:dyDescent="0.25">
      <c r="A87" s="8">
        <v>42810.422337962962</v>
      </c>
      <c r="B87" s="20" t="s">
        <v>594</v>
      </c>
      <c r="C87" s="20" t="s">
        <v>706</v>
      </c>
      <c r="D87" s="150">
        <v>1830000</v>
      </c>
      <c r="E87" s="20" t="s">
        <v>656</v>
      </c>
      <c r="F87" s="20" t="s">
        <v>657</v>
      </c>
      <c r="G87" s="8" t="str">
        <f t="shared" si="1"/>
        <v>YORK EDGAR</v>
      </c>
    </row>
    <row r="88" spans="1:7" x14ac:dyDescent="0.25">
      <c r="A88" s="8">
        <v>42810.426759259259</v>
      </c>
      <c r="B88" s="20" t="s">
        <v>601</v>
      </c>
      <c r="C88" s="20" t="s">
        <v>707</v>
      </c>
      <c r="D88" s="150">
        <v>3040000</v>
      </c>
      <c r="E88" s="20" t="s">
        <v>523</v>
      </c>
      <c r="F88" s="20" t="s">
        <v>524</v>
      </c>
      <c r="G88" s="8" t="str">
        <f t="shared" si="1"/>
        <v>WILLIAMS DONTE</v>
      </c>
    </row>
    <row r="89" spans="1:7" x14ac:dyDescent="0.25">
      <c r="A89" s="8">
        <v>42810.429224537038</v>
      </c>
      <c r="B89" s="20" t="s">
        <v>597</v>
      </c>
      <c r="C89" s="20" t="s">
        <v>708</v>
      </c>
      <c r="D89" s="150">
        <v>2970000</v>
      </c>
      <c r="E89" s="20" t="s">
        <v>518</v>
      </c>
      <c r="F89" s="20" t="s">
        <v>519</v>
      </c>
      <c r="G89" s="8" t="str">
        <f t="shared" si="1"/>
        <v>GUZMAN DANNY</v>
      </c>
    </row>
    <row r="90" spans="1:7" x14ac:dyDescent="0.25">
      <c r="A90" s="8">
        <v>42810.435023148151</v>
      </c>
      <c r="B90" s="20" t="s">
        <v>513</v>
      </c>
      <c r="C90" s="20" t="s">
        <v>709</v>
      </c>
      <c r="D90" s="150">
        <v>2020000</v>
      </c>
      <c r="E90" s="20" t="s">
        <v>655</v>
      </c>
      <c r="F90" s="20" t="s">
        <v>521</v>
      </c>
      <c r="G90" s="8" t="str">
        <f t="shared" si="1"/>
        <v>SHOOK JOHN</v>
      </c>
    </row>
    <row r="91" spans="1:7" x14ac:dyDescent="0.25">
      <c r="A91" s="8">
        <v>42810.440694444442</v>
      </c>
      <c r="B91" s="20" t="s">
        <v>470</v>
      </c>
      <c r="C91" s="20" t="s">
        <v>710</v>
      </c>
      <c r="D91" s="150">
        <v>1100000</v>
      </c>
      <c r="E91" s="20" t="s">
        <v>516</v>
      </c>
      <c r="F91" s="20" t="s">
        <v>517</v>
      </c>
      <c r="G91" s="8" t="str">
        <f t="shared" si="1"/>
        <v>GEBRETEKLE DAGNEW</v>
      </c>
    </row>
    <row r="92" spans="1:7" x14ac:dyDescent="0.25">
      <c r="A92" s="8">
        <v>42810.443599537037</v>
      </c>
      <c r="B92" s="20" t="s">
        <v>611</v>
      </c>
      <c r="C92" s="20" t="s">
        <v>711</v>
      </c>
      <c r="D92" s="150">
        <v>3040000</v>
      </c>
      <c r="E92" s="20" t="s">
        <v>523</v>
      </c>
      <c r="F92" s="20" t="s">
        <v>524</v>
      </c>
      <c r="G92" s="8" t="str">
        <f t="shared" si="1"/>
        <v>WILLIAMS DONTE</v>
      </c>
    </row>
    <row r="93" spans="1:7" x14ac:dyDescent="0.25">
      <c r="A93" s="8">
        <v>42810.445081018515</v>
      </c>
      <c r="B93" s="20" t="s">
        <v>379</v>
      </c>
      <c r="C93" s="20" t="s">
        <v>610</v>
      </c>
      <c r="D93" s="150">
        <v>1110000</v>
      </c>
      <c r="E93" s="20" t="s">
        <v>471</v>
      </c>
      <c r="F93" s="20" t="s">
        <v>472</v>
      </c>
      <c r="G93" s="8" t="str">
        <f t="shared" si="1"/>
        <v>STARKS ANGELINA</v>
      </c>
    </row>
    <row r="94" spans="1:7" x14ac:dyDescent="0.25">
      <c r="A94" s="8">
        <v>42810.453449074077</v>
      </c>
      <c r="B94" s="20" t="s">
        <v>613</v>
      </c>
      <c r="C94" s="20" t="s">
        <v>712</v>
      </c>
      <c r="D94" s="150">
        <v>1830000</v>
      </c>
      <c r="E94" s="20" t="s">
        <v>656</v>
      </c>
      <c r="F94" s="20" t="s">
        <v>657</v>
      </c>
      <c r="G94" s="8" t="str">
        <f t="shared" si="1"/>
        <v>YORK EDGAR</v>
      </c>
    </row>
    <row r="95" spans="1:7" x14ac:dyDescent="0.25">
      <c r="A95" s="8">
        <v>42810.453622685185</v>
      </c>
      <c r="B95" s="20" t="s">
        <v>626</v>
      </c>
      <c r="C95" s="20" t="s">
        <v>713</v>
      </c>
      <c r="D95" s="150">
        <v>2230000</v>
      </c>
      <c r="E95" s="20" t="s">
        <v>714</v>
      </c>
      <c r="F95" s="20" t="s">
        <v>198</v>
      </c>
      <c r="G95" s="8" t="str">
        <f t="shared" si="1"/>
        <v>SMITH MICHAEL</v>
      </c>
    </row>
    <row r="96" spans="1:7" x14ac:dyDescent="0.25">
      <c r="A96" s="8">
        <v>42810.454479166663</v>
      </c>
      <c r="B96" s="20" t="s">
        <v>421</v>
      </c>
      <c r="C96" s="20" t="s">
        <v>715</v>
      </c>
      <c r="D96" s="150">
        <v>900000</v>
      </c>
      <c r="E96" s="20" t="s">
        <v>453</v>
      </c>
      <c r="F96" s="20" t="s">
        <v>454</v>
      </c>
      <c r="G96" s="8" t="str">
        <f t="shared" si="1"/>
        <v>ROCHA YAOTL</v>
      </c>
    </row>
    <row r="97" spans="1:7" x14ac:dyDescent="0.25">
      <c r="A97" s="8">
        <v>42810.456006944441</v>
      </c>
      <c r="B97" s="20" t="s">
        <v>522</v>
      </c>
      <c r="C97" s="20" t="s">
        <v>716</v>
      </c>
      <c r="D97" s="150">
        <v>930000</v>
      </c>
      <c r="E97" s="20" t="s">
        <v>457</v>
      </c>
      <c r="F97" s="20" t="s">
        <v>458</v>
      </c>
      <c r="G97" s="8" t="str">
        <f t="shared" si="1"/>
        <v>CLARK KATHLEEN</v>
      </c>
    </row>
    <row r="98" spans="1:7" x14ac:dyDescent="0.25">
      <c r="A98" s="8">
        <v>42810.464236111111</v>
      </c>
      <c r="B98" s="20" t="s">
        <v>591</v>
      </c>
      <c r="C98" s="20" t="s">
        <v>717</v>
      </c>
      <c r="D98" s="150">
        <v>2040000</v>
      </c>
      <c r="E98" s="20" t="s">
        <v>242</v>
      </c>
      <c r="F98" s="20" t="s">
        <v>243</v>
      </c>
      <c r="G98" s="8" t="str">
        <f t="shared" si="1"/>
        <v>MOSES BRADLEY</v>
      </c>
    </row>
    <row r="99" spans="1:7" x14ac:dyDescent="0.25">
      <c r="A99" s="8">
        <v>42810.467476851853</v>
      </c>
      <c r="B99" s="20" t="s">
        <v>512</v>
      </c>
      <c r="C99" s="20" t="s">
        <v>718</v>
      </c>
      <c r="D99" s="150">
        <v>2020000</v>
      </c>
      <c r="E99" s="20" t="s">
        <v>655</v>
      </c>
      <c r="F99" s="20" t="s">
        <v>521</v>
      </c>
      <c r="G99" s="8" t="str">
        <f t="shared" si="1"/>
        <v>SHOOK JOHN</v>
      </c>
    </row>
    <row r="100" spans="1:7" x14ac:dyDescent="0.25">
      <c r="A100" s="8">
        <v>42810.468518518515</v>
      </c>
      <c r="B100" s="20" t="s">
        <v>601</v>
      </c>
      <c r="C100" s="20" t="s">
        <v>719</v>
      </c>
      <c r="D100" s="150">
        <v>3040000</v>
      </c>
      <c r="E100" s="20" t="s">
        <v>523</v>
      </c>
      <c r="F100" s="20" t="s">
        <v>524</v>
      </c>
      <c r="G100" s="8" t="str">
        <f t="shared" si="1"/>
        <v>WILLIAMS DONTE</v>
      </c>
    </row>
    <row r="101" spans="1:7" x14ac:dyDescent="0.25">
      <c r="A101" s="8">
        <v>42810.476759259262</v>
      </c>
      <c r="B101" s="20" t="s">
        <v>441</v>
      </c>
      <c r="C101" s="20" t="s">
        <v>720</v>
      </c>
      <c r="D101" s="150">
        <v>1770000</v>
      </c>
      <c r="E101" s="20" t="s">
        <v>529</v>
      </c>
      <c r="F101" s="20" t="s">
        <v>530</v>
      </c>
      <c r="G101" s="8" t="str">
        <f t="shared" si="1"/>
        <v>BRUDER RICHARD</v>
      </c>
    </row>
    <row r="102" spans="1:7" x14ac:dyDescent="0.25">
      <c r="A102" s="8">
        <v>42810.485405092593</v>
      </c>
      <c r="B102" s="20" t="s">
        <v>611</v>
      </c>
      <c r="C102" s="20" t="s">
        <v>612</v>
      </c>
      <c r="D102" s="150">
        <v>3040000</v>
      </c>
      <c r="E102" s="20" t="s">
        <v>523</v>
      </c>
      <c r="F102" s="20" t="s">
        <v>524</v>
      </c>
      <c r="G102" s="8" t="str">
        <f t="shared" si="1"/>
        <v>WILLIAMS DONTE</v>
      </c>
    </row>
    <row r="103" spans="1:7" x14ac:dyDescent="0.25">
      <c r="A103" s="8">
        <v>42810.485949074071</v>
      </c>
      <c r="B103" s="20" t="s">
        <v>202</v>
      </c>
      <c r="C103" s="20" t="s">
        <v>721</v>
      </c>
      <c r="D103" s="150">
        <v>1110000</v>
      </c>
      <c r="E103" s="20" t="s">
        <v>471</v>
      </c>
      <c r="F103" s="20" t="s">
        <v>472</v>
      </c>
      <c r="G103" s="8" t="str">
        <f t="shared" si="1"/>
        <v>STARKS ANGELINA</v>
      </c>
    </row>
    <row r="104" spans="1:7" x14ac:dyDescent="0.25">
      <c r="A104" s="8">
        <v>42810.486851851849</v>
      </c>
      <c r="B104" s="20" t="s">
        <v>423</v>
      </c>
      <c r="C104" s="20" t="s">
        <v>722</v>
      </c>
      <c r="D104" s="150">
        <v>2230000</v>
      </c>
      <c r="E104" s="20" t="s">
        <v>714</v>
      </c>
      <c r="F104" s="20" t="s">
        <v>198</v>
      </c>
      <c r="G104" s="8" t="str">
        <f t="shared" si="1"/>
        <v>SMITH MICHAEL</v>
      </c>
    </row>
    <row r="105" spans="1:7" x14ac:dyDescent="0.25">
      <c r="A105" s="8">
        <v>42810.494340277779</v>
      </c>
      <c r="B105" s="20" t="s">
        <v>515</v>
      </c>
      <c r="C105" s="20" t="s">
        <v>723</v>
      </c>
      <c r="D105" s="150">
        <v>930000</v>
      </c>
      <c r="E105" s="20" t="s">
        <v>457</v>
      </c>
      <c r="F105" s="20" t="s">
        <v>458</v>
      </c>
      <c r="G105" s="8" t="str">
        <f t="shared" si="1"/>
        <v>CLARK KATHLEEN</v>
      </c>
    </row>
    <row r="106" spans="1:7" x14ac:dyDescent="0.25">
      <c r="A106" s="8">
        <v>42810.498749999999</v>
      </c>
      <c r="B106" s="20" t="s">
        <v>594</v>
      </c>
      <c r="C106" s="20" t="s">
        <v>724</v>
      </c>
      <c r="D106" s="150">
        <v>2360000</v>
      </c>
      <c r="E106" s="20" t="s">
        <v>725</v>
      </c>
      <c r="F106" s="20" t="s">
        <v>726</v>
      </c>
      <c r="G106" s="8" t="str">
        <f t="shared" si="1"/>
        <v>BRANDNER MELINDA</v>
      </c>
    </row>
    <row r="107" spans="1:7" x14ac:dyDescent="0.25">
      <c r="A107" s="8">
        <v>42810.505312499998</v>
      </c>
      <c r="B107" s="20" t="s">
        <v>597</v>
      </c>
      <c r="C107" s="20" t="s">
        <v>727</v>
      </c>
      <c r="D107" s="150">
        <v>2040000</v>
      </c>
      <c r="E107" s="20" t="s">
        <v>242</v>
      </c>
      <c r="F107" s="20" t="s">
        <v>243</v>
      </c>
      <c r="G107" s="8" t="str">
        <f t="shared" si="1"/>
        <v>MOSES BRADLEY</v>
      </c>
    </row>
    <row r="108" spans="1:7" x14ac:dyDescent="0.25">
      <c r="A108" s="8">
        <v>42810.507511574076</v>
      </c>
      <c r="B108" s="20" t="s">
        <v>601</v>
      </c>
      <c r="C108" s="20" t="s">
        <v>728</v>
      </c>
      <c r="D108" s="150">
        <v>3040000</v>
      </c>
      <c r="E108" s="20" t="s">
        <v>523</v>
      </c>
      <c r="F108" s="20" t="s">
        <v>524</v>
      </c>
      <c r="G108" s="8" t="str">
        <f t="shared" si="1"/>
        <v>WILLIAMS DONTE</v>
      </c>
    </row>
    <row r="109" spans="1:7" x14ac:dyDescent="0.25">
      <c r="A109" s="8">
        <v>42810.509062500001</v>
      </c>
      <c r="B109" s="20" t="s">
        <v>513</v>
      </c>
      <c r="C109" s="20" t="s">
        <v>729</v>
      </c>
      <c r="D109" s="150">
        <v>1540000</v>
      </c>
      <c r="E109" s="20" t="s">
        <v>525</v>
      </c>
      <c r="F109" s="20" t="s">
        <v>526</v>
      </c>
      <c r="G109" s="8" t="str">
        <f t="shared" si="1"/>
        <v>HELVIE ADAM</v>
      </c>
    </row>
    <row r="110" spans="1:7" x14ac:dyDescent="0.25">
      <c r="A110" s="8">
        <v>42810.514664351853</v>
      </c>
      <c r="B110" s="20" t="s">
        <v>470</v>
      </c>
      <c r="C110" s="20" t="s">
        <v>730</v>
      </c>
      <c r="D110" s="150">
        <v>1770000</v>
      </c>
      <c r="E110" s="20" t="s">
        <v>529</v>
      </c>
      <c r="F110" s="20" t="s">
        <v>530</v>
      </c>
      <c r="G110" s="8" t="str">
        <f t="shared" si="1"/>
        <v>BRUDER RICHARD</v>
      </c>
    </row>
    <row r="111" spans="1:7" x14ac:dyDescent="0.25">
      <c r="A111" s="8">
        <v>42810.517245370371</v>
      </c>
      <c r="B111" s="20" t="s">
        <v>379</v>
      </c>
      <c r="C111" s="20" t="s">
        <v>731</v>
      </c>
      <c r="D111" s="150">
        <v>2370000</v>
      </c>
      <c r="E111" s="20" t="s">
        <v>527</v>
      </c>
      <c r="F111" s="20" t="s">
        <v>528</v>
      </c>
      <c r="G111" s="8" t="str">
        <f t="shared" si="1"/>
        <v>DELGADO DIANAH</v>
      </c>
    </row>
    <row r="112" spans="1:7" x14ac:dyDescent="0.25">
      <c r="A112" s="8">
        <v>42810.520092592589</v>
      </c>
      <c r="B112" s="20" t="s">
        <v>421</v>
      </c>
      <c r="C112" s="20" t="s">
        <v>732</v>
      </c>
      <c r="D112" s="150">
        <v>2230000</v>
      </c>
      <c r="E112" s="20" t="s">
        <v>714</v>
      </c>
      <c r="F112" s="20" t="s">
        <v>198</v>
      </c>
      <c r="G112" s="8" t="str">
        <f t="shared" si="1"/>
        <v>SMITH MICHAEL</v>
      </c>
    </row>
    <row r="113" spans="1:7" x14ac:dyDescent="0.25">
      <c r="A113" s="8">
        <v>42810.527048611111</v>
      </c>
      <c r="B113" s="20" t="s">
        <v>522</v>
      </c>
      <c r="C113" s="20" t="s">
        <v>733</v>
      </c>
      <c r="D113" s="150">
        <v>930000</v>
      </c>
      <c r="E113" s="20" t="s">
        <v>457</v>
      </c>
      <c r="F113" s="20" t="s">
        <v>458</v>
      </c>
      <c r="G113" s="8" t="str">
        <f t="shared" si="1"/>
        <v>CLARK KATHLEEN</v>
      </c>
    </row>
    <row r="114" spans="1:7" x14ac:dyDescent="0.25">
      <c r="A114" s="8">
        <v>42810.527858796297</v>
      </c>
      <c r="B114" s="20" t="s">
        <v>611</v>
      </c>
      <c r="C114" s="20" t="s">
        <v>734</v>
      </c>
      <c r="D114" s="150">
        <v>3040000</v>
      </c>
      <c r="E114" s="20" t="s">
        <v>523</v>
      </c>
      <c r="F114" s="20" t="s">
        <v>524</v>
      </c>
      <c r="G114" s="8" t="str">
        <f t="shared" si="1"/>
        <v>WILLIAMS DONTE</v>
      </c>
    </row>
    <row r="115" spans="1:7" x14ac:dyDescent="0.25">
      <c r="A115" s="8">
        <v>42810.529953703706</v>
      </c>
      <c r="B115" s="20" t="s">
        <v>613</v>
      </c>
      <c r="C115" s="20" t="s">
        <v>614</v>
      </c>
      <c r="D115" s="150">
        <v>2360000</v>
      </c>
      <c r="E115" s="20" t="s">
        <v>725</v>
      </c>
      <c r="F115" s="20" t="s">
        <v>726</v>
      </c>
      <c r="G115" s="8" t="str">
        <f t="shared" si="1"/>
        <v>BRANDNER MELINDA</v>
      </c>
    </row>
    <row r="116" spans="1:7" x14ac:dyDescent="0.25">
      <c r="A116" s="8">
        <v>42810.539050925923</v>
      </c>
      <c r="B116" s="20" t="s">
        <v>591</v>
      </c>
      <c r="C116" s="20" t="s">
        <v>735</v>
      </c>
      <c r="D116" s="150">
        <v>2040000</v>
      </c>
      <c r="E116" s="20" t="s">
        <v>242</v>
      </c>
      <c r="F116" s="20" t="s">
        <v>243</v>
      </c>
      <c r="G116" s="8" t="str">
        <f t="shared" si="1"/>
        <v>MOSES BRADLEY</v>
      </c>
    </row>
    <row r="117" spans="1:7" x14ac:dyDescent="0.25">
      <c r="A117" s="8">
        <v>42810.546226851853</v>
      </c>
      <c r="B117" s="20" t="s">
        <v>601</v>
      </c>
      <c r="C117" s="20" t="s">
        <v>736</v>
      </c>
      <c r="D117" s="150">
        <v>3000000</v>
      </c>
      <c r="E117" s="20" t="s">
        <v>737</v>
      </c>
      <c r="F117" s="20" t="s">
        <v>738</v>
      </c>
      <c r="G117" s="8" t="str">
        <f t="shared" si="1"/>
        <v>FORTUNATO FRANK</v>
      </c>
    </row>
    <row r="118" spans="1:7" x14ac:dyDescent="0.25">
      <c r="A118" s="8">
        <v>42810.548113425924</v>
      </c>
      <c r="B118" s="20" t="s">
        <v>512</v>
      </c>
      <c r="C118" s="20" t="s">
        <v>739</v>
      </c>
      <c r="D118" s="150">
        <v>1540000</v>
      </c>
      <c r="E118" s="20" t="s">
        <v>525</v>
      </c>
      <c r="F118" s="20" t="s">
        <v>526</v>
      </c>
      <c r="G118" s="8" t="str">
        <f t="shared" si="1"/>
        <v>HELVIE ADAM</v>
      </c>
    </row>
    <row r="119" spans="1:7" x14ac:dyDescent="0.25">
      <c r="A119" s="8">
        <v>42810.548368055555</v>
      </c>
      <c r="B119" s="20" t="s">
        <v>441</v>
      </c>
      <c r="C119" s="20" t="s">
        <v>740</v>
      </c>
      <c r="D119" s="150">
        <v>1770000</v>
      </c>
      <c r="E119" s="20" t="s">
        <v>529</v>
      </c>
      <c r="F119" s="20" t="s">
        <v>530</v>
      </c>
      <c r="G119" s="8" t="str">
        <f t="shared" si="1"/>
        <v>BRUDER RICHARD</v>
      </c>
    </row>
    <row r="120" spans="1:7" x14ac:dyDescent="0.25">
      <c r="A120" s="8">
        <v>42810.554988425924</v>
      </c>
      <c r="B120" s="20" t="s">
        <v>202</v>
      </c>
      <c r="C120" s="20" t="s">
        <v>741</v>
      </c>
      <c r="D120" s="150">
        <v>2370000</v>
      </c>
      <c r="E120" s="20" t="s">
        <v>527</v>
      </c>
      <c r="F120" s="20" t="s">
        <v>528</v>
      </c>
      <c r="G120" s="8" t="str">
        <f t="shared" si="1"/>
        <v>DELGADO DIANAH</v>
      </c>
    </row>
    <row r="121" spans="1:7" x14ac:dyDescent="0.25">
      <c r="A121" s="8">
        <v>42810.558125000003</v>
      </c>
      <c r="B121" s="20" t="s">
        <v>423</v>
      </c>
      <c r="C121" s="20" t="s">
        <v>742</v>
      </c>
      <c r="D121" s="150">
        <v>2230000</v>
      </c>
      <c r="E121" s="20" t="s">
        <v>714</v>
      </c>
      <c r="F121" s="20" t="s">
        <v>198</v>
      </c>
      <c r="G121" s="8" t="str">
        <f t="shared" si="1"/>
        <v>SMITH MICHAEL</v>
      </c>
    </row>
    <row r="122" spans="1:7" x14ac:dyDescent="0.25">
      <c r="A122" s="8">
        <v>42810.566770833335</v>
      </c>
      <c r="B122" s="25" t="s">
        <v>515</v>
      </c>
      <c r="C122" s="20" t="s">
        <v>743</v>
      </c>
      <c r="D122" s="150">
        <v>930000</v>
      </c>
      <c r="E122" s="20" t="s">
        <v>457</v>
      </c>
      <c r="F122" s="20" t="s">
        <v>458</v>
      </c>
      <c r="G122" s="8" t="str">
        <f t="shared" si="1"/>
        <v>CLARK KATHLEEN</v>
      </c>
    </row>
    <row r="123" spans="1:7" x14ac:dyDescent="0.25">
      <c r="A123" s="8">
        <v>42810.567789351851</v>
      </c>
      <c r="B123" s="20" t="s">
        <v>611</v>
      </c>
      <c r="C123" s="20" t="s">
        <v>615</v>
      </c>
      <c r="D123" s="150">
        <v>3000000</v>
      </c>
      <c r="E123" s="20" t="s">
        <v>737</v>
      </c>
      <c r="F123" s="20" t="s">
        <v>738</v>
      </c>
      <c r="G123" s="8" t="str">
        <f t="shared" si="1"/>
        <v>FORTUNATO FRANK</v>
      </c>
    </row>
    <row r="124" spans="1:7" x14ac:dyDescent="0.25">
      <c r="A124" s="8">
        <v>42810.569965277777</v>
      </c>
      <c r="B124" s="20" t="s">
        <v>594</v>
      </c>
      <c r="C124" s="20" t="s">
        <v>744</v>
      </c>
      <c r="D124" s="150">
        <v>2360000</v>
      </c>
      <c r="E124" s="20" t="s">
        <v>725</v>
      </c>
      <c r="F124" s="20" t="s">
        <v>726</v>
      </c>
      <c r="G124" s="8" t="str">
        <f t="shared" si="1"/>
        <v>BRANDNER MELINDA</v>
      </c>
    </row>
    <row r="125" spans="1:7" x14ac:dyDescent="0.25">
      <c r="A125" s="8">
        <v>42810.576967592591</v>
      </c>
      <c r="B125" s="20" t="s">
        <v>512</v>
      </c>
      <c r="C125" s="20" t="s">
        <v>739</v>
      </c>
      <c r="D125" s="150">
        <v>1540000</v>
      </c>
      <c r="E125" s="20" t="s">
        <v>525</v>
      </c>
      <c r="F125" s="20" t="s">
        <v>526</v>
      </c>
      <c r="G125" s="8" t="str">
        <f t="shared" si="1"/>
        <v>HELVIE ADAM</v>
      </c>
    </row>
    <row r="126" spans="1:7" x14ac:dyDescent="0.25">
      <c r="A126" s="8">
        <v>42810.57707175926</v>
      </c>
      <c r="B126" s="20" t="s">
        <v>597</v>
      </c>
      <c r="C126" s="20" t="s">
        <v>745</v>
      </c>
      <c r="D126" s="150">
        <v>2040000</v>
      </c>
      <c r="E126" s="20" t="s">
        <v>242</v>
      </c>
      <c r="F126" s="20" t="s">
        <v>243</v>
      </c>
      <c r="G126" s="8" t="str">
        <f t="shared" si="1"/>
        <v>MOSES BRADLEY</v>
      </c>
    </row>
    <row r="127" spans="1:7" x14ac:dyDescent="0.25">
      <c r="A127" s="8">
        <v>42810.580543981479</v>
      </c>
      <c r="B127" s="20" t="s">
        <v>443</v>
      </c>
      <c r="C127" s="20" t="s">
        <v>616</v>
      </c>
      <c r="D127" s="150">
        <v>2260000</v>
      </c>
      <c r="E127" s="20" t="s">
        <v>746</v>
      </c>
      <c r="F127" s="20" t="s">
        <v>747</v>
      </c>
      <c r="G127" s="8" t="str">
        <f t="shared" si="1"/>
        <v>ARVIDSON DANIEL</v>
      </c>
    </row>
    <row r="128" spans="1:7" x14ac:dyDescent="0.25">
      <c r="A128" s="8">
        <v>42810.589571759258</v>
      </c>
      <c r="B128" s="20" t="s">
        <v>601</v>
      </c>
      <c r="C128" s="20" t="s">
        <v>748</v>
      </c>
      <c r="D128" s="150">
        <v>3000000</v>
      </c>
      <c r="E128" s="20" t="s">
        <v>737</v>
      </c>
      <c r="F128" s="20" t="s">
        <v>738</v>
      </c>
      <c r="G128" s="8" t="str">
        <f t="shared" si="1"/>
        <v>FORTUNATO FRANK</v>
      </c>
    </row>
    <row r="129" spans="1:7" x14ac:dyDescent="0.25">
      <c r="A129" s="8">
        <v>42810.590277777781</v>
      </c>
      <c r="B129" s="20" t="s">
        <v>513</v>
      </c>
      <c r="C129" s="20" t="s">
        <v>749</v>
      </c>
      <c r="D129" s="150">
        <v>1540000</v>
      </c>
      <c r="E129" s="20" t="s">
        <v>525</v>
      </c>
      <c r="F129" s="20" t="s">
        <v>526</v>
      </c>
      <c r="G129" s="8" t="str">
        <f t="shared" si="1"/>
        <v>HELVIE ADAM</v>
      </c>
    </row>
    <row r="130" spans="1:7" x14ac:dyDescent="0.25">
      <c r="A130" s="8">
        <v>42810.59070601852</v>
      </c>
      <c r="B130" s="20" t="s">
        <v>470</v>
      </c>
      <c r="C130" s="20" t="s">
        <v>750</v>
      </c>
      <c r="D130" s="150">
        <v>1770000</v>
      </c>
      <c r="E130" s="20" t="s">
        <v>529</v>
      </c>
      <c r="F130" s="20" t="s">
        <v>530</v>
      </c>
      <c r="G130" s="8" t="str">
        <f t="shared" si="1"/>
        <v>BRUDER RICHARD</v>
      </c>
    </row>
    <row r="131" spans="1:7" x14ac:dyDescent="0.25">
      <c r="A131" s="8">
        <v>42810.591111111113</v>
      </c>
      <c r="B131" s="20" t="s">
        <v>443</v>
      </c>
      <c r="C131" s="20" t="s">
        <v>616</v>
      </c>
      <c r="D131" s="150">
        <v>2260000</v>
      </c>
      <c r="E131" s="20" t="s">
        <v>746</v>
      </c>
      <c r="F131" s="20" t="s">
        <v>747</v>
      </c>
      <c r="G131" s="8" t="str">
        <f t="shared" ref="G131:G194" si="2">E131&amp;" "&amp;F131</f>
        <v>ARVIDSON DANIEL</v>
      </c>
    </row>
    <row r="132" spans="1:7" x14ac:dyDescent="0.25">
      <c r="A132" s="8">
        <v>42810.597870370373</v>
      </c>
      <c r="B132" s="20" t="s">
        <v>421</v>
      </c>
      <c r="C132" s="20" t="s">
        <v>751</v>
      </c>
      <c r="D132" s="150">
        <v>2230000</v>
      </c>
      <c r="E132" s="20" t="s">
        <v>714</v>
      </c>
      <c r="F132" s="20" t="s">
        <v>198</v>
      </c>
      <c r="G132" s="8" t="str">
        <f t="shared" si="2"/>
        <v>SMITH MICHAEL</v>
      </c>
    </row>
    <row r="133" spans="1:7" x14ac:dyDescent="0.25">
      <c r="A133" s="8">
        <v>42810.601840277777</v>
      </c>
      <c r="B133" s="20" t="s">
        <v>522</v>
      </c>
      <c r="C133" s="20" t="s">
        <v>752</v>
      </c>
      <c r="D133" s="150">
        <v>930000</v>
      </c>
      <c r="E133" s="20" t="s">
        <v>457</v>
      </c>
      <c r="F133" s="20" t="s">
        <v>458</v>
      </c>
      <c r="G133" s="8" t="str">
        <f t="shared" si="2"/>
        <v>CLARK KATHLEEN</v>
      </c>
    </row>
    <row r="134" spans="1:7" x14ac:dyDescent="0.25">
      <c r="A134" s="8">
        <v>42810.609699074077</v>
      </c>
      <c r="B134" s="20" t="s">
        <v>613</v>
      </c>
      <c r="C134" s="20" t="s">
        <v>619</v>
      </c>
      <c r="D134" s="150">
        <v>2360000</v>
      </c>
      <c r="E134" s="20" t="s">
        <v>725</v>
      </c>
      <c r="F134" s="20" t="s">
        <v>726</v>
      </c>
      <c r="G134" s="8" t="str">
        <f t="shared" si="2"/>
        <v>BRANDNER MELINDA</v>
      </c>
    </row>
    <row r="135" spans="1:7" x14ac:dyDescent="0.25">
      <c r="A135" s="8">
        <v>42810.61005787037</v>
      </c>
      <c r="B135" s="20" t="s">
        <v>611</v>
      </c>
      <c r="C135" s="20" t="s">
        <v>618</v>
      </c>
      <c r="D135" s="150">
        <v>3000000</v>
      </c>
      <c r="E135" s="20" t="s">
        <v>737</v>
      </c>
      <c r="F135" s="20" t="s">
        <v>738</v>
      </c>
      <c r="G135" s="8" t="str">
        <f t="shared" si="2"/>
        <v>FORTUNATO FRANK</v>
      </c>
    </row>
    <row r="136" spans="1:7" x14ac:dyDescent="0.25">
      <c r="A136" s="8">
        <v>42810.610381944447</v>
      </c>
      <c r="B136" s="20" t="s">
        <v>613</v>
      </c>
      <c r="C136" s="20" t="s">
        <v>619</v>
      </c>
      <c r="D136" s="150">
        <v>2360000</v>
      </c>
      <c r="E136" s="20" t="s">
        <v>725</v>
      </c>
      <c r="F136" s="20" t="s">
        <v>726</v>
      </c>
      <c r="G136" s="8" t="str">
        <f t="shared" si="2"/>
        <v>BRANDNER MELINDA</v>
      </c>
    </row>
    <row r="137" spans="1:7" x14ac:dyDescent="0.25">
      <c r="A137" s="8">
        <v>42810.611539351848</v>
      </c>
      <c r="B137" s="20" t="s">
        <v>591</v>
      </c>
      <c r="C137" s="20" t="s">
        <v>753</v>
      </c>
      <c r="D137" s="150">
        <v>2040000</v>
      </c>
      <c r="E137" s="20" t="s">
        <v>242</v>
      </c>
      <c r="F137" s="20" t="s">
        <v>243</v>
      </c>
      <c r="G137" s="8" t="str">
        <f t="shared" si="2"/>
        <v>MOSES BRADLEY</v>
      </c>
    </row>
    <row r="138" spans="1:7" x14ac:dyDescent="0.25">
      <c r="A138" s="8">
        <v>42810.621412037035</v>
      </c>
      <c r="B138" s="20" t="s">
        <v>440</v>
      </c>
      <c r="C138" s="20" t="s">
        <v>754</v>
      </c>
      <c r="D138" s="150">
        <v>2260000</v>
      </c>
      <c r="E138" s="20" t="s">
        <v>746</v>
      </c>
      <c r="F138" s="20" t="s">
        <v>747</v>
      </c>
      <c r="G138" s="8" t="str">
        <f t="shared" si="2"/>
        <v>ARVIDSON DANIEL</v>
      </c>
    </row>
    <row r="139" spans="1:7" x14ac:dyDescent="0.25">
      <c r="A139" s="8">
        <v>42810.62232638889</v>
      </c>
      <c r="B139" s="20" t="s">
        <v>441</v>
      </c>
      <c r="C139" s="20" t="s">
        <v>755</v>
      </c>
      <c r="D139" s="150">
        <v>1770000</v>
      </c>
      <c r="E139" s="20" t="s">
        <v>529</v>
      </c>
      <c r="F139" s="20" t="s">
        <v>530</v>
      </c>
      <c r="G139" s="8" t="str">
        <f t="shared" si="2"/>
        <v>BRUDER RICHARD</v>
      </c>
    </row>
    <row r="140" spans="1:7" x14ac:dyDescent="0.25">
      <c r="A140" s="8">
        <v>42810.62427083333</v>
      </c>
      <c r="B140" s="20" t="s">
        <v>601</v>
      </c>
      <c r="C140" s="20" t="s">
        <v>756</v>
      </c>
      <c r="D140" s="150">
        <v>3000000</v>
      </c>
      <c r="E140" s="20" t="s">
        <v>737</v>
      </c>
      <c r="F140" s="20" t="s">
        <v>738</v>
      </c>
      <c r="G140" s="8" t="str">
        <f t="shared" si="2"/>
        <v>FORTUNATO FRANK</v>
      </c>
    </row>
    <row r="141" spans="1:7" x14ac:dyDescent="0.25">
      <c r="A141" s="8">
        <v>42810.631412037037</v>
      </c>
      <c r="B141" s="20" t="s">
        <v>512</v>
      </c>
      <c r="C141" s="20" t="s">
        <v>757</v>
      </c>
      <c r="D141" s="150">
        <v>1540000</v>
      </c>
      <c r="E141" s="20" t="s">
        <v>525</v>
      </c>
      <c r="F141" s="20" t="s">
        <v>526</v>
      </c>
      <c r="G141" s="8" t="str">
        <f t="shared" si="2"/>
        <v>HELVIE ADAM</v>
      </c>
    </row>
    <row r="142" spans="1:7" x14ac:dyDescent="0.25">
      <c r="A142" s="8">
        <v>42810.631874999999</v>
      </c>
      <c r="B142" s="20" t="s">
        <v>423</v>
      </c>
      <c r="C142" s="20" t="s">
        <v>758</v>
      </c>
      <c r="D142" s="150">
        <v>2230000</v>
      </c>
      <c r="E142" s="20" t="s">
        <v>714</v>
      </c>
      <c r="F142" s="20" t="s">
        <v>198</v>
      </c>
      <c r="G142" s="8" t="str">
        <f t="shared" si="2"/>
        <v>SMITH MICHAEL</v>
      </c>
    </row>
    <row r="143" spans="1:7" x14ac:dyDescent="0.25">
      <c r="A143" s="8">
        <v>42810.637569444443</v>
      </c>
      <c r="B143" s="20" t="s">
        <v>441</v>
      </c>
      <c r="C143" s="20" t="s">
        <v>755</v>
      </c>
      <c r="D143" s="150">
        <v>1770000</v>
      </c>
      <c r="E143" s="20" t="s">
        <v>529</v>
      </c>
      <c r="F143" s="20" t="s">
        <v>530</v>
      </c>
      <c r="G143" s="8" t="str">
        <f t="shared" si="2"/>
        <v>BRUDER RICHARD</v>
      </c>
    </row>
    <row r="144" spans="1:7" x14ac:dyDescent="0.25">
      <c r="A144" s="8">
        <v>42810.638402777775</v>
      </c>
      <c r="B144" s="20" t="s">
        <v>379</v>
      </c>
      <c r="C144" s="20" t="s">
        <v>759</v>
      </c>
      <c r="D144" s="150">
        <v>1340000</v>
      </c>
      <c r="E144" s="20" t="s">
        <v>476</v>
      </c>
      <c r="F144" s="20" t="s">
        <v>477</v>
      </c>
      <c r="G144" s="8" t="str">
        <f t="shared" si="2"/>
        <v>BEAM ROSS</v>
      </c>
    </row>
    <row r="145" spans="1:7" x14ac:dyDescent="0.25">
      <c r="A145" s="8">
        <v>42810.640104166669</v>
      </c>
      <c r="B145" s="20" t="s">
        <v>515</v>
      </c>
      <c r="C145" s="20" t="s">
        <v>760</v>
      </c>
      <c r="D145" s="150">
        <v>930000</v>
      </c>
      <c r="E145" s="20" t="s">
        <v>457</v>
      </c>
      <c r="F145" s="20" t="s">
        <v>458</v>
      </c>
      <c r="G145" s="8" t="str">
        <f t="shared" si="2"/>
        <v>CLARK KATHLEEN</v>
      </c>
    </row>
    <row r="146" spans="1:7" x14ac:dyDescent="0.25">
      <c r="A146" s="8">
        <v>42810.642581018517</v>
      </c>
      <c r="B146" s="20" t="s">
        <v>452</v>
      </c>
      <c r="C146" s="20" t="s">
        <v>620</v>
      </c>
      <c r="D146" s="150">
        <v>3020000</v>
      </c>
      <c r="E146" s="20" t="s">
        <v>533</v>
      </c>
      <c r="F146" s="20" t="s">
        <v>534</v>
      </c>
      <c r="G146" s="8" t="str">
        <f t="shared" si="2"/>
        <v>MENGES BRAD</v>
      </c>
    </row>
    <row r="147" spans="1:7" x14ac:dyDescent="0.25">
      <c r="A147" s="8">
        <v>42810.643796296295</v>
      </c>
      <c r="B147" s="20" t="s">
        <v>452</v>
      </c>
      <c r="C147" s="20" t="s">
        <v>620</v>
      </c>
      <c r="D147" s="150">
        <v>3020000</v>
      </c>
      <c r="E147" s="20" t="s">
        <v>533</v>
      </c>
      <c r="F147" s="20" t="s">
        <v>534</v>
      </c>
      <c r="G147" s="8" t="str">
        <f t="shared" si="2"/>
        <v>MENGES BRAD</v>
      </c>
    </row>
    <row r="148" spans="1:7" x14ac:dyDescent="0.25">
      <c r="A148" s="8">
        <v>42810.648136574076</v>
      </c>
      <c r="B148" s="20" t="s">
        <v>452</v>
      </c>
      <c r="C148" s="20" t="s">
        <v>620</v>
      </c>
      <c r="D148" s="150">
        <v>3020000</v>
      </c>
      <c r="E148" s="20" t="s">
        <v>533</v>
      </c>
      <c r="F148" s="20" t="s">
        <v>534</v>
      </c>
      <c r="G148" s="8" t="str">
        <f t="shared" si="2"/>
        <v>MENGES BRAD</v>
      </c>
    </row>
    <row r="149" spans="1:7" x14ac:dyDescent="0.25">
      <c r="A149" s="8">
        <v>42810.649004629631</v>
      </c>
      <c r="B149" s="20" t="s">
        <v>597</v>
      </c>
      <c r="C149" s="20" t="s">
        <v>761</v>
      </c>
      <c r="D149" s="150">
        <v>2040000</v>
      </c>
      <c r="E149" s="20" t="s">
        <v>242</v>
      </c>
      <c r="F149" s="20" t="s">
        <v>243</v>
      </c>
      <c r="G149" s="8" t="str">
        <f t="shared" si="2"/>
        <v>MOSES BRADLEY</v>
      </c>
    </row>
    <row r="150" spans="1:7" x14ac:dyDescent="0.25">
      <c r="A150" s="8">
        <v>42810.652337962965</v>
      </c>
      <c r="B150" s="20" t="s">
        <v>611</v>
      </c>
      <c r="C150" s="20" t="s">
        <v>621</v>
      </c>
      <c r="D150" s="150">
        <v>3000000</v>
      </c>
      <c r="E150" s="20" t="s">
        <v>737</v>
      </c>
      <c r="F150" s="20" t="s">
        <v>738</v>
      </c>
      <c r="G150" s="8" t="str">
        <f t="shared" si="2"/>
        <v>FORTUNATO FRANK</v>
      </c>
    </row>
    <row r="151" spans="1:7" x14ac:dyDescent="0.25">
      <c r="A151" s="8">
        <v>42810.654594907406</v>
      </c>
      <c r="B151" s="20" t="s">
        <v>443</v>
      </c>
      <c r="C151" s="20" t="s">
        <v>762</v>
      </c>
      <c r="D151" s="150">
        <v>2370000</v>
      </c>
      <c r="E151" s="20" t="s">
        <v>527</v>
      </c>
      <c r="F151" s="20" t="s">
        <v>528</v>
      </c>
      <c r="G151" s="8" t="str">
        <f t="shared" si="2"/>
        <v>DELGADO DIANAH</v>
      </c>
    </row>
    <row r="152" spans="1:7" x14ac:dyDescent="0.25">
      <c r="A152" s="8">
        <v>42810.656018518515</v>
      </c>
      <c r="B152" s="20" t="s">
        <v>611</v>
      </c>
      <c r="C152" s="20" t="s">
        <v>621</v>
      </c>
      <c r="D152" s="150">
        <v>3000000</v>
      </c>
      <c r="E152" s="20" t="s">
        <v>737</v>
      </c>
      <c r="F152" s="20" t="s">
        <v>738</v>
      </c>
      <c r="G152" s="8" t="str">
        <f t="shared" si="2"/>
        <v>FORTUNATO FRANK</v>
      </c>
    </row>
    <row r="153" spans="1:7" x14ac:dyDescent="0.25">
      <c r="A153" s="8">
        <v>42810.657719907409</v>
      </c>
      <c r="B153" s="20" t="s">
        <v>380</v>
      </c>
      <c r="C153" s="20" t="s">
        <v>763</v>
      </c>
      <c r="D153" s="150">
        <v>3020000</v>
      </c>
      <c r="E153" s="20" t="s">
        <v>533</v>
      </c>
      <c r="F153" s="20" t="s">
        <v>534</v>
      </c>
      <c r="G153" s="8" t="str">
        <f t="shared" si="2"/>
        <v>MENGES BRAD</v>
      </c>
    </row>
    <row r="154" spans="1:7" x14ac:dyDescent="0.25">
      <c r="A154" s="8">
        <v>42810.659513888888</v>
      </c>
      <c r="B154" s="20" t="s">
        <v>470</v>
      </c>
      <c r="C154" s="20" t="s">
        <v>764</v>
      </c>
      <c r="D154" s="150">
        <v>1770000</v>
      </c>
      <c r="E154" s="20" t="s">
        <v>529</v>
      </c>
      <c r="F154" s="20" t="s">
        <v>530</v>
      </c>
      <c r="G154" s="8" t="str">
        <f t="shared" si="2"/>
        <v>BRUDER RICHARD</v>
      </c>
    </row>
    <row r="155" spans="1:7" x14ac:dyDescent="0.25">
      <c r="A155" s="8">
        <v>42810.667129629626</v>
      </c>
      <c r="B155" s="20" t="s">
        <v>513</v>
      </c>
      <c r="C155" s="20" t="s">
        <v>765</v>
      </c>
      <c r="D155" s="150">
        <v>1540000</v>
      </c>
      <c r="E155" s="20" t="s">
        <v>525</v>
      </c>
      <c r="F155" s="20" t="s">
        <v>526</v>
      </c>
      <c r="G155" s="8" t="str">
        <f t="shared" si="2"/>
        <v>HELVIE ADAM</v>
      </c>
    </row>
    <row r="156" spans="1:7" x14ac:dyDescent="0.25">
      <c r="A156" s="8">
        <v>42810.668842592589</v>
      </c>
      <c r="B156" s="20" t="s">
        <v>421</v>
      </c>
      <c r="C156" s="20" t="s">
        <v>766</v>
      </c>
      <c r="D156" s="150">
        <v>2230000</v>
      </c>
      <c r="E156" s="20" t="s">
        <v>714</v>
      </c>
      <c r="F156" s="20" t="s">
        <v>198</v>
      </c>
      <c r="G156" s="8" t="str">
        <f t="shared" si="2"/>
        <v>SMITH MICHAEL</v>
      </c>
    </row>
    <row r="157" spans="1:7" x14ac:dyDescent="0.25">
      <c r="A157" s="8">
        <v>42810.672152777777</v>
      </c>
      <c r="B157" s="20" t="s">
        <v>452</v>
      </c>
      <c r="C157" s="20" t="s">
        <v>767</v>
      </c>
      <c r="D157" s="150">
        <v>3020000</v>
      </c>
      <c r="E157" s="20" t="s">
        <v>533</v>
      </c>
      <c r="F157" s="20" t="s">
        <v>534</v>
      </c>
      <c r="G157" s="8" t="str">
        <f t="shared" si="2"/>
        <v>MENGES BRAD</v>
      </c>
    </row>
    <row r="158" spans="1:7" x14ac:dyDescent="0.25">
      <c r="A158" s="8">
        <v>42810.673946759256</v>
      </c>
      <c r="B158" s="20" t="s">
        <v>522</v>
      </c>
      <c r="C158" s="20" t="s">
        <v>768</v>
      </c>
      <c r="D158" s="150">
        <v>930000</v>
      </c>
      <c r="E158" s="20" t="s">
        <v>457</v>
      </c>
      <c r="F158" s="20" t="s">
        <v>458</v>
      </c>
      <c r="G158" s="8" t="str">
        <f t="shared" si="2"/>
        <v>CLARK KATHLEEN</v>
      </c>
    </row>
    <row r="159" spans="1:7" x14ac:dyDescent="0.25">
      <c r="A159" s="8">
        <v>42810.676481481481</v>
      </c>
      <c r="B159" s="20" t="s">
        <v>601</v>
      </c>
      <c r="C159" s="20" t="s">
        <v>622</v>
      </c>
      <c r="D159" s="150">
        <v>3000000</v>
      </c>
      <c r="E159" s="20" t="s">
        <v>737</v>
      </c>
      <c r="F159" s="20" t="s">
        <v>738</v>
      </c>
      <c r="G159" s="8" t="str">
        <f t="shared" si="2"/>
        <v>FORTUNATO FRANK</v>
      </c>
    </row>
    <row r="160" spans="1:7" x14ac:dyDescent="0.25">
      <c r="A160" s="8">
        <v>42810.680300925924</v>
      </c>
      <c r="B160" s="20" t="s">
        <v>202</v>
      </c>
      <c r="C160" s="20" t="s">
        <v>769</v>
      </c>
      <c r="D160" s="150">
        <v>1340000</v>
      </c>
      <c r="E160" s="20" t="s">
        <v>476</v>
      </c>
      <c r="F160" s="20" t="s">
        <v>477</v>
      </c>
      <c r="G160" s="8" t="str">
        <f t="shared" si="2"/>
        <v>BEAM ROSS</v>
      </c>
    </row>
    <row r="161" spans="1:7" x14ac:dyDescent="0.25">
      <c r="A161" s="8">
        <v>42810.685173611113</v>
      </c>
      <c r="B161" s="20" t="s">
        <v>591</v>
      </c>
      <c r="C161" s="20" t="s">
        <v>770</v>
      </c>
      <c r="D161" s="150">
        <v>2040000</v>
      </c>
      <c r="E161" s="20" t="s">
        <v>242</v>
      </c>
      <c r="F161" s="20" t="s">
        <v>243</v>
      </c>
      <c r="G161" s="8" t="str">
        <f t="shared" si="2"/>
        <v>MOSES BRADLEY</v>
      </c>
    </row>
    <row r="162" spans="1:7" x14ac:dyDescent="0.25">
      <c r="A162" s="8">
        <v>42810.686354166668</v>
      </c>
      <c r="B162" s="20" t="s">
        <v>440</v>
      </c>
      <c r="C162" s="20" t="s">
        <v>771</v>
      </c>
      <c r="D162" s="150">
        <v>2370000</v>
      </c>
      <c r="E162" s="20" t="s">
        <v>527</v>
      </c>
      <c r="F162" s="20" t="s">
        <v>528</v>
      </c>
      <c r="G162" s="8" t="str">
        <f t="shared" si="2"/>
        <v>DELGADO DIANAH</v>
      </c>
    </row>
    <row r="163" spans="1:7" x14ac:dyDescent="0.25">
      <c r="A163" s="8">
        <v>42810.69290509259</v>
      </c>
      <c r="B163" s="20" t="s">
        <v>611</v>
      </c>
      <c r="C163" s="20" t="s">
        <v>772</v>
      </c>
      <c r="D163" s="150">
        <v>3000000</v>
      </c>
      <c r="E163" s="20" t="s">
        <v>737</v>
      </c>
      <c r="F163" s="20" t="s">
        <v>738</v>
      </c>
      <c r="G163" s="8" t="str">
        <f t="shared" si="2"/>
        <v>FORTUNATO FRANK</v>
      </c>
    </row>
    <row r="164" spans="1:7" x14ac:dyDescent="0.25">
      <c r="A164" s="8">
        <v>42810.695069444446</v>
      </c>
      <c r="B164" s="20" t="s">
        <v>441</v>
      </c>
      <c r="C164" s="20" t="s">
        <v>773</v>
      </c>
      <c r="D164" s="150">
        <v>1770000</v>
      </c>
      <c r="E164" s="20" t="s">
        <v>529</v>
      </c>
      <c r="F164" s="20" t="s">
        <v>530</v>
      </c>
      <c r="G164" s="8" t="str">
        <f t="shared" si="2"/>
        <v>BRUDER RICHARD</v>
      </c>
    </row>
    <row r="165" spans="1:7" x14ac:dyDescent="0.25">
      <c r="A165" s="8">
        <v>42810.695925925924</v>
      </c>
      <c r="B165" s="20" t="s">
        <v>380</v>
      </c>
      <c r="C165" s="20" t="s">
        <v>623</v>
      </c>
      <c r="D165" s="150">
        <v>3020000</v>
      </c>
      <c r="E165" s="20" t="s">
        <v>533</v>
      </c>
      <c r="F165" s="20" t="s">
        <v>534</v>
      </c>
      <c r="G165" s="8" t="str">
        <f t="shared" si="2"/>
        <v>MENGES BRAD</v>
      </c>
    </row>
    <row r="166" spans="1:7" x14ac:dyDescent="0.25">
      <c r="A166" s="8">
        <v>42810.703599537039</v>
      </c>
      <c r="B166" s="20" t="s">
        <v>512</v>
      </c>
      <c r="C166" s="20" t="s">
        <v>774</v>
      </c>
      <c r="D166" s="150">
        <v>1540000</v>
      </c>
      <c r="E166" s="20" t="s">
        <v>525</v>
      </c>
      <c r="F166" s="20" t="s">
        <v>526</v>
      </c>
      <c r="G166" s="8" t="str">
        <f t="shared" si="2"/>
        <v>HELVIE ADAM</v>
      </c>
    </row>
    <row r="167" spans="1:7" x14ac:dyDescent="0.25">
      <c r="A167" s="8">
        <v>42810.704965277779</v>
      </c>
      <c r="B167" s="20" t="s">
        <v>423</v>
      </c>
      <c r="C167" s="20" t="s">
        <v>775</v>
      </c>
      <c r="D167" s="150">
        <v>2230000</v>
      </c>
      <c r="E167" s="20" t="s">
        <v>714</v>
      </c>
      <c r="F167" s="20" t="s">
        <v>198</v>
      </c>
      <c r="G167" s="8" t="str">
        <f t="shared" si="2"/>
        <v>SMITH MICHAEL</v>
      </c>
    </row>
    <row r="168" spans="1:7" x14ac:dyDescent="0.25">
      <c r="A168" s="8">
        <v>42810.711284722223</v>
      </c>
      <c r="B168" s="20" t="s">
        <v>515</v>
      </c>
      <c r="C168" s="20" t="s">
        <v>776</v>
      </c>
      <c r="D168" s="150">
        <v>930000</v>
      </c>
      <c r="E168" s="20" t="s">
        <v>457</v>
      </c>
      <c r="F168" s="20" t="s">
        <v>458</v>
      </c>
      <c r="G168" s="8" t="str">
        <f t="shared" si="2"/>
        <v>CLARK KATHLEEN</v>
      </c>
    </row>
    <row r="169" spans="1:7" x14ac:dyDescent="0.25">
      <c r="A169" s="8">
        <v>42810.714502314811</v>
      </c>
      <c r="B169" s="20" t="s">
        <v>452</v>
      </c>
      <c r="C169" s="20" t="s">
        <v>624</v>
      </c>
      <c r="D169" s="150">
        <v>3020000</v>
      </c>
      <c r="E169" s="20" t="s">
        <v>533</v>
      </c>
      <c r="F169" s="20" t="s">
        <v>534</v>
      </c>
      <c r="G169" s="8" t="str">
        <f t="shared" si="2"/>
        <v>MENGES BRAD</v>
      </c>
    </row>
    <row r="170" spans="1:7" x14ac:dyDescent="0.25">
      <c r="A170" s="8">
        <v>42810.715914351851</v>
      </c>
      <c r="B170" s="20" t="s">
        <v>601</v>
      </c>
      <c r="C170" s="20" t="s">
        <v>625</v>
      </c>
      <c r="D170" s="150">
        <v>3000000</v>
      </c>
      <c r="E170" s="20" t="s">
        <v>737</v>
      </c>
      <c r="F170" s="20" t="s">
        <v>738</v>
      </c>
      <c r="G170" s="8" t="str">
        <f t="shared" si="2"/>
        <v>FORTUNATO FRANK</v>
      </c>
    </row>
    <row r="171" spans="1:7" x14ac:dyDescent="0.25">
      <c r="A171" s="8">
        <v>42810.71638888889</v>
      </c>
      <c r="B171" s="20" t="s">
        <v>379</v>
      </c>
      <c r="C171" s="20" t="s">
        <v>777</v>
      </c>
      <c r="D171" s="150">
        <v>1800000</v>
      </c>
      <c r="E171" s="20" t="s">
        <v>214</v>
      </c>
      <c r="F171" s="20" t="s">
        <v>215</v>
      </c>
      <c r="G171" s="8" t="str">
        <f t="shared" si="2"/>
        <v>CHANDLER KELVIN</v>
      </c>
    </row>
    <row r="172" spans="1:7" x14ac:dyDescent="0.25">
      <c r="A172" s="8">
        <v>42810.722685185188</v>
      </c>
      <c r="B172" s="20" t="s">
        <v>597</v>
      </c>
      <c r="C172" s="20" t="s">
        <v>778</v>
      </c>
      <c r="D172" s="150">
        <v>2040000</v>
      </c>
      <c r="E172" s="20" t="s">
        <v>242</v>
      </c>
      <c r="F172" s="20" t="s">
        <v>243</v>
      </c>
      <c r="G172" s="8" t="str">
        <f t="shared" si="2"/>
        <v>MOSES BRADLEY</v>
      </c>
    </row>
    <row r="173" spans="1:7" x14ac:dyDescent="0.25">
      <c r="A173" s="8">
        <v>42810.725034722222</v>
      </c>
      <c r="B173" s="20" t="s">
        <v>443</v>
      </c>
      <c r="C173" s="20" t="s">
        <v>779</v>
      </c>
      <c r="D173" s="150">
        <v>2360000</v>
      </c>
      <c r="E173" s="20" t="s">
        <v>725</v>
      </c>
      <c r="F173" s="20" t="s">
        <v>726</v>
      </c>
      <c r="G173" s="8" t="str">
        <f t="shared" si="2"/>
        <v>BRANDNER MELINDA</v>
      </c>
    </row>
    <row r="174" spans="1:7" x14ac:dyDescent="0.25">
      <c r="A174" s="8">
        <v>42810.725381944445</v>
      </c>
      <c r="B174" s="20" t="s">
        <v>594</v>
      </c>
      <c r="C174" s="20" t="s">
        <v>780</v>
      </c>
      <c r="D174" s="150">
        <v>1340000</v>
      </c>
      <c r="E174" s="20" t="s">
        <v>476</v>
      </c>
      <c r="F174" s="20" t="s">
        <v>477</v>
      </c>
      <c r="G174" s="8" t="str">
        <f t="shared" si="2"/>
        <v>BEAM ROSS</v>
      </c>
    </row>
    <row r="175" spans="1:7" x14ac:dyDescent="0.25">
      <c r="A175" s="8">
        <v>42810.730370370373</v>
      </c>
      <c r="B175" s="20" t="s">
        <v>626</v>
      </c>
      <c r="C175" s="20" t="s">
        <v>627</v>
      </c>
      <c r="D175" s="150">
        <v>2270000</v>
      </c>
      <c r="E175" s="20" t="s">
        <v>211</v>
      </c>
      <c r="F175" s="20" t="s">
        <v>212</v>
      </c>
      <c r="G175" s="8" t="str">
        <f t="shared" si="2"/>
        <v>BROWN JACOB</v>
      </c>
    </row>
    <row r="176" spans="1:7" x14ac:dyDescent="0.25">
      <c r="A176" s="8">
        <v>42810.732581018521</v>
      </c>
      <c r="B176" s="20" t="s">
        <v>470</v>
      </c>
      <c r="C176" s="20" t="s">
        <v>781</v>
      </c>
      <c r="D176" s="150">
        <v>1770000</v>
      </c>
      <c r="E176" s="20" t="s">
        <v>529</v>
      </c>
      <c r="F176" s="20" t="s">
        <v>530</v>
      </c>
      <c r="G176" s="8" t="str">
        <f t="shared" si="2"/>
        <v>BRUDER RICHARD</v>
      </c>
    </row>
    <row r="177" spans="1:7" x14ac:dyDescent="0.25">
      <c r="A177" s="8">
        <v>42810.734618055554</v>
      </c>
      <c r="B177" s="20" t="s">
        <v>626</v>
      </c>
      <c r="C177" s="20" t="s">
        <v>627</v>
      </c>
      <c r="D177" s="150">
        <v>2270000</v>
      </c>
      <c r="E177" s="20" t="s">
        <v>211</v>
      </c>
      <c r="F177" s="20" t="s">
        <v>212</v>
      </c>
      <c r="G177" s="8" t="str">
        <f t="shared" si="2"/>
        <v>BROWN JACOB</v>
      </c>
    </row>
    <row r="178" spans="1:7" x14ac:dyDescent="0.25">
      <c r="A178" s="8">
        <v>42810.735821759263</v>
      </c>
      <c r="B178" s="20" t="s">
        <v>611</v>
      </c>
      <c r="C178" s="20" t="s">
        <v>628</v>
      </c>
      <c r="D178" s="150">
        <v>3000000</v>
      </c>
      <c r="E178" s="20" t="s">
        <v>737</v>
      </c>
      <c r="F178" s="20" t="s">
        <v>738</v>
      </c>
      <c r="G178" s="8" t="str">
        <f t="shared" si="2"/>
        <v>FORTUNATO FRANK</v>
      </c>
    </row>
    <row r="179" spans="1:7" x14ac:dyDescent="0.25">
      <c r="A179" s="8">
        <v>42810.736018518517</v>
      </c>
      <c r="B179" s="20" t="s">
        <v>513</v>
      </c>
      <c r="C179" s="20" t="s">
        <v>782</v>
      </c>
      <c r="D179" s="150">
        <v>1810000</v>
      </c>
      <c r="E179" s="20" t="s">
        <v>199</v>
      </c>
      <c r="F179" s="20" t="s">
        <v>195</v>
      </c>
      <c r="G179" s="8" t="str">
        <f t="shared" si="2"/>
        <v>NEWELL JAMES</v>
      </c>
    </row>
    <row r="180" spans="1:7" x14ac:dyDescent="0.25">
      <c r="A180" s="8">
        <v>42810.73909722222</v>
      </c>
      <c r="B180" s="20" t="s">
        <v>421</v>
      </c>
      <c r="C180" s="20" t="s">
        <v>783</v>
      </c>
      <c r="D180" s="150">
        <v>2230000</v>
      </c>
      <c r="E180" s="20" t="s">
        <v>714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42810.74181712963</v>
      </c>
      <c r="B181" s="20" t="s">
        <v>380</v>
      </c>
      <c r="C181" s="20" t="s">
        <v>629</v>
      </c>
      <c r="D181" s="150">
        <v>3020000</v>
      </c>
      <c r="E181" s="20" t="s">
        <v>533</v>
      </c>
      <c r="F181" s="20" t="s">
        <v>534</v>
      </c>
      <c r="G181" s="8" t="str">
        <f t="shared" si="2"/>
        <v>MENGES BRAD</v>
      </c>
    </row>
    <row r="182" spans="1:7" x14ac:dyDescent="0.25">
      <c r="A182" s="8">
        <v>42810.746388888889</v>
      </c>
      <c r="B182" s="20" t="s">
        <v>522</v>
      </c>
      <c r="C182" s="20" t="s">
        <v>630</v>
      </c>
      <c r="D182" s="150">
        <v>2370000</v>
      </c>
      <c r="E182" s="20" t="s">
        <v>527</v>
      </c>
      <c r="F182" s="20" t="s">
        <v>528</v>
      </c>
      <c r="G182" s="8" t="str">
        <f t="shared" si="2"/>
        <v>DELGADO DIANAH</v>
      </c>
    </row>
    <row r="183" spans="1:7" x14ac:dyDescent="0.25">
      <c r="A183" s="8">
        <v>42810.746886574074</v>
      </c>
      <c r="B183" s="20" t="s">
        <v>377</v>
      </c>
      <c r="C183" s="20" t="s">
        <v>631</v>
      </c>
      <c r="D183" s="150">
        <v>2560000</v>
      </c>
      <c r="E183" s="20" t="s">
        <v>784</v>
      </c>
      <c r="F183" s="20" t="s">
        <v>785</v>
      </c>
      <c r="G183" s="8" t="str">
        <f t="shared" si="2"/>
        <v>MACDONALD THOMAS</v>
      </c>
    </row>
    <row r="184" spans="1:7" x14ac:dyDescent="0.25">
      <c r="A184" s="8">
        <v>42810.755752314813</v>
      </c>
      <c r="B184" s="20" t="s">
        <v>202</v>
      </c>
      <c r="C184" s="20" t="s">
        <v>786</v>
      </c>
      <c r="D184" s="150">
        <v>1800000</v>
      </c>
      <c r="E184" s="20" t="s">
        <v>214</v>
      </c>
      <c r="F184" s="20" t="s">
        <v>215</v>
      </c>
      <c r="G184" s="8" t="str">
        <f t="shared" si="2"/>
        <v>CHANDLER KELVIN</v>
      </c>
    </row>
    <row r="185" spans="1:7" x14ac:dyDescent="0.25">
      <c r="A185" s="8">
        <v>42810.756018518521</v>
      </c>
      <c r="B185" s="20" t="s">
        <v>467</v>
      </c>
      <c r="C185" s="20" t="s">
        <v>787</v>
      </c>
      <c r="D185" s="150">
        <v>2270000</v>
      </c>
      <c r="E185" s="20" t="s">
        <v>211</v>
      </c>
      <c r="F185" s="20" t="s">
        <v>212</v>
      </c>
      <c r="G185" s="8" t="str">
        <f t="shared" si="2"/>
        <v>BROWN JACOB</v>
      </c>
    </row>
    <row r="186" spans="1:7" x14ac:dyDescent="0.25">
      <c r="A186" s="8">
        <v>42810.756701388891</v>
      </c>
      <c r="B186" s="20" t="s">
        <v>452</v>
      </c>
      <c r="C186" s="20" t="s">
        <v>788</v>
      </c>
      <c r="D186" s="150">
        <v>3020000</v>
      </c>
      <c r="E186" s="20" t="s">
        <v>533</v>
      </c>
      <c r="F186" s="20" t="s">
        <v>534</v>
      </c>
      <c r="G186" s="8" t="str">
        <f t="shared" si="2"/>
        <v>MENGES BRAD</v>
      </c>
    </row>
    <row r="187" spans="1:7" x14ac:dyDescent="0.25">
      <c r="A187" s="8">
        <v>42810.7578587963</v>
      </c>
      <c r="B187" s="20" t="s">
        <v>591</v>
      </c>
      <c r="C187" s="20" t="s">
        <v>789</v>
      </c>
      <c r="D187" s="150">
        <v>2040000</v>
      </c>
      <c r="E187" s="20" t="s">
        <v>242</v>
      </c>
      <c r="F187" s="20" t="s">
        <v>243</v>
      </c>
      <c r="G187" s="8" t="str">
        <f t="shared" si="2"/>
        <v>MOSES BRADLEY</v>
      </c>
    </row>
    <row r="188" spans="1:7" x14ac:dyDescent="0.25">
      <c r="A188" s="8">
        <v>42810.758020833331</v>
      </c>
      <c r="B188" s="20" t="s">
        <v>601</v>
      </c>
      <c r="C188" s="20" t="s">
        <v>790</v>
      </c>
      <c r="D188" s="150">
        <v>3000000</v>
      </c>
      <c r="E188" s="20" t="s">
        <v>737</v>
      </c>
      <c r="F188" s="20" t="s">
        <v>738</v>
      </c>
      <c r="G188" s="8" t="str">
        <f t="shared" si="2"/>
        <v>FORTUNATO FRANK</v>
      </c>
    </row>
    <row r="189" spans="1:7" x14ac:dyDescent="0.25">
      <c r="A189" s="8">
        <v>42810.758379629631</v>
      </c>
      <c r="B189" s="20" t="s">
        <v>791</v>
      </c>
      <c r="C189" s="20" t="s">
        <v>792</v>
      </c>
      <c r="D189" s="150">
        <v>1780000</v>
      </c>
      <c r="E189" s="20" t="s">
        <v>531</v>
      </c>
      <c r="F189" s="20" t="s">
        <v>532</v>
      </c>
      <c r="G189" s="8" t="str">
        <f t="shared" si="2"/>
        <v>DE LA ROSA ALEX</v>
      </c>
    </row>
    <row r="190" spans="1:7" x14ac:dyDescent="0.25">
      <c r="A190" s="8">
        <v>42810.763275462959</v>
      </c>
      <c r="B190" s="20" t="s">
        <v>440</v>
      </c>
      <c r="C190" s="20" t="s">
        <v>793</v>
      </c>
      <c r="D190" s="150">
        <v>2360000</v>
      </c>
      <c r="E190" s="20" t="s">
        <v>725</v>
      </c>
      <c r="F190" s="20" t="s">
        <v>726</v>
      </c>
      <c r="G190" s="8" t="str">
        <f t="shared" si="2"/>
        <v>BRANDNER MELINDA</v>
      </c>
    </row>
    <row r="191" spans="1:7" x14ac:dyDescent="0.25">
      <c r="A191" s="8">
        <v>42810.766909722224</v>
      </c>
      <c r="B191" s="20" t="s">
        <v>441</v>
      </c>
      <c r="C191" s="20" t="s">
        <v>794</v>
      </c>
      <c r="D191" s="150">
        <v>2150000</v>
      </c>
      <c r="E191" s="20" t="s">
        <v>424</v>
      </c>
      <c r="F191" s="20" t="s">
        <v>425</v>
      </c>
      <c r="G191" s="8" t="str">
        <f t="shared" si="2"/>
        <v>SWANSON BRYCE</v>
      </c>
    </row>
    <row r="192" spans="1:7" x14ac:dyDescent="0.25">
      <c r="A192" s="8">
        <v>42810.769432870373</v>
      </c>
      <c r="B192" s="20" t="s">
        <v>512</v>
      </c>
      <c r="C192" s="20" t="s">
        <v>795</v>
      </c>
      <c r="D192" s="150">
        <v>1810000</v>
      </c>
      <c r="E192" s="20" t="s">
        <v>199</v>
      </c>
      <c r="F192" s="20" t="s">
        <v>195</v>
      </c>
      <c r="G192" s="8" t="str">
        <f t="shared" si="2"/>
        <v>NEWELL JAMES</v>
      </c>
    </row>
    <row r="193" spans="1:7" x14ac:dyDescent="0.25">
      <c r="A193" s="8">
        <v>42810.77615740741</v>
      </c>
      <c r="B193" s="20" t="s">
        <v>611</v>
      </c>
      <c r="C193" s="20" t="s">
        <v>632</v>
      </c>
      <c r="D193" s="150">
        <v>3000000</v>
      </c>
      <c r="E193" s="20" t="s">
        <v>737</v>
      </c>
      <c r="F193" s="20" t="s">
        <v>738</v>
      </c>
      <c r="G193" s="8" t="str">
        <f t="shared" si="2"/>
        <v>FORTUNATO FRANK</v>
      </c>
    </row>
    <row r="194" spans="1:7" x14ac:dyDescent="0.25">
      <c r="A194" s="8">
        <v>42810.777430555558</v>
      </c>
      <c r="B194" s="20" t="s">
        <v>423</v>
      </c>
      <c r="C194" s="20" t="s">
        <v>796</v>
      </c>
      <c r="D194" s="150">
        <v>2230000</v>
      </c>
      <c r="E194" s="20" t="s">
        <v>714</v>
      </c>
      <c r="F194" s="20" t="s">
        <v>198</v>
      </c>
      <c r="G194" s="8" t="str">
        <f t="shared" si="2"/>
        <v>SMITH MICHAEL</v>
      </c>
    </row>
    <row r="195" spans="1:7" x14ac:dyDescent="0.25">
      <c r="A195" s="8">
        <v>42810.779791666668</v>
      </c>
      <c r="B195" s="20" t="s">
        <v>515</v>
      </c>
      <c r="C195" s="20" t="s">
        <v>797</v>
      </c>
      <c r="D195" s="150">
        <v>2370000</v>
      </c>
      <c r="E195" s="20" t="s">
        <v>527</v>
      </c>
      <c r="F195" s="20" t="s">
        <v>528</v>
      </c>
      <c r="G195" s="8" t="str">
        <f t="shared" ref="G195:G258" si="3">E195&amp;" "&amp;F195</f>
        <v>DELGADO DIANAH</v>
      </c>
    </row>
    <row r="196" spans="1:7" x14ac:dyDescent="0.25">
      <c r="A196" s="8">
        <v>42810.781076388892</v>
      </c>
      <c r="B196" s="20" t="s">
        <v>380</v>
      </c>
      <c r="C196" s="20" t="s">
        <v>633</v>
      </c>
      <c r="D196" s="150">
        <v>3020000</v>
      </c>
      <c r="E196" s="20" t="s">
        <v>533</v>
      </c>
      <c r="F196" s="20" t="s">
        <v>534</v>
      </c>
      <c r="G196" s="8" t="str">
        <f t="shared" si="3"/>
        <v>MENGES BRAD</v>
      </c>
    </row>
    <row r="197" spans="1:7" x14ac:dyDescent="0.25">
      <c r="A197" s="8">
        <v>42810.789722222224</v>
      </c>
      <c r="B197" s="20" t="s">
        <v>379</v>
      </c>
      <c r="C197" s="20" t="s">
        <v>798</v>
      </c>
      <c r="D197" s="150">
        <v>1800000</v>
      </c>
      <c r="E197" s="20" t="s">
        <v>214</v>
      </c>
      <c r="F197" s="20" t="s">
        <v>215</v>
      </c>
      <c r="G197" s="8" t="str">
        <f t="shared" si="3"/>
        <v>CHANDLER KELVIN</v>
      </c>
    </row>
    <row r="198" spans="1:7" x14ac:dyDescent="0.25">
      <c r="A198" s="8">
        <v>42810.796481481484</v>
      </c>
      <c r="B198" s="20" t="s">
        <v>466</v>
      </c>
      <c r="C198" s="20" t="s">
        <v>799</v>
      </c>
      <c r="D198" s="150">
        <v>2270000</v>
      </c>
      <c r="E198" s="20" t="s">
        <v>211</v>
      </c>
      <c r="F198" s="20" t="s">
        <v>212</v>
      </c>
      <c r="G198" s="8" t="str">
        <f t="shared" si="3"/>
        <v>BROWN JACOB</v>
      </c>
    </row>
    <row r="199" spans="1:7" x14ac:dyDescent="0.25">
      <c r="A199" s="8">
        <v>42810.798136574071</v>
      </c>
      <c r="B199" s="20" t="s">
        <v>452</v>
      </c>
      <c r="C199" s="20" t="s">
        <v>800</v>
      </c>
      <c r="D199" s="150">
        <v>3020000</v>
      </c>
      <c r="E199" s="20" t="s">
        <v>533</v>
      </c>
      <c r="F199" s="20" t="s">
        <v>534</v>
      </c>
      <c r="G199" s="8" t="str">
        <f t="shared" si="3"/>
        <v>MENGES BRAD</v>
      </c>
    </row>
    <row r="200" spans="1:7" x14ac:dyDescent="0.25">
      <c r="A200" s="8">
        <v>42810.799629629626</v>
      </c>
      <c r="B200" s="20" t="s">
        <v>470</v>
      </c>
      <c r="C200" s="20" t="s">
        <v>634</v>
      </c>
      <c r="D200" s="150">
        <v>2150000</v>
      </c>
      <c r="E200" s="20" t="s">
        <v>424</v>
      </c>
      <c r="F200" s="20" t="s">
        <v>425</v>
      </c>
      <c r="G200" s="8" t="str">
        <f t="shared" si="3"/>
        <v>SWANSON BRYCE</v>
      </c>
    </row>
    <row r="201" spans="1:7" x14ac:dyDescent="0.25">
      <c r="A201" s="8">
        <v>42810.800324074073</v>
      </c>
      <c r="B201" s="20" t="s">
        <v>443</v>
      </c>
      <c r="C201" s="20" t="s">
        <v>801</v>
      </c>
      <c r="D201" s="150">
        <v>2360000</v>
      </c>
      <c r="E201" s="20" t="s">
        <v>725</v>
      </c>
      <c r="F201" s="20" t="s">
        <v>726</v>
      </c>
      <c r="G201" s="8" t="str">
        <f t="shared" si="3"/>
        <v>BRANDNER MELINDA</v>
      </c>
    </row>
    <row r="202" spans="1:7" x14ac:dyDescent="0.25">
      <c r="A202" s="26">
        <v>42810.801168981481</v>
      </c>
      <c r="B202" s="20" t="s">
        <v>601</v>
      </c>
      <c r="C202" s="20" t="s">
        <v>802</v>
      </c>
      <c r="D202" s="150">
        <v>3000000</v>
      </c>
      <c r="E202" s="20" t="s">
        <v>737</v>
      </c>
      <c r="F202" s="20" t="s">
        <v>738</v>
      </c>
      <c r="G202" s="8" t="str">
        <f t="shared" si="3"/>
        <v>FORTUNATO FRANK</v>
      </c>
    </row>
    <row r="203" spans="1:7" x14ac:dyDescent="0.25">
      <c r="A203" s="8">
        <v>42810.806944444441</v>
      </c>
      <c r="B203" s="20" t="s">
        <v>513</v>
      </c>
      <c r="C203" s="20" t="s">
        <v>803</v>
      </c>
      <c r="D203" s="150">
        <v>1810000</v>
      </c>
      <c r="E203" s="20" t="s">
        <v>199</v>
      </c>
      <c r="F203" s="20" t="s">
        <v>195</v>
      </c>
      <c r="G203" s="8" t="str">
        <f t="shared" si="3"/>
        <v>NEWELL JAMES</v>
      </c>
    </row>
    <row r="204" spans="1:7" x14ac:dyDescent="0.25">
      <c r="A204" s="8">
        <v>42810.818333333336</v>
      </c>
      <c r="B204" s="20" t="s">
        <v>611</v>
      </c>
      <c r="C204" s="20" t="s">
        <v>804</v>
      </c>
      <c r="D204" s="150">
        <v>3000000</v>
      </c>
      <c r="E204" s="20" t="s">
        <v>737</v>
      </c>
      <c r="F204" s="20" t="s">
        <v>738</v>
      </c>
      <c r="G204" s="8" t="str">
        <f t="shared" si="3"/>
        <v>FORTUNATO FRANK</v>
      </c>
    </row>
    <row r="205" spans="1:7" x14ac:dyDescent="0.25">
      <c r="A205" s="8">
        <v>42810.819467592592</v>
      </c>
      <c r="B205" s="20" t="s">
        <v>522</v>
      </c>
      <c r="C205" s="20" t="s">
        <v>805</v>
      </c>
      <c r="D205" s="150">
        <v>2370000</v>
      </c>
      <c r="E205" s="20" t="s">
        <v>527</v>
      </c>
      <c r="F205" s="20" t="s">
        <v>528</v>
      </c>
      <c r="G205" s="8" t="str">
        <f t="shared" si="3"/>
        <v>DELGADO DIANAH</v>
      </c>
    </row>
    <row r="206" spans="1:7" x14ac:dyDescent="0.25">
      <c r="A206" s="8">
        <v>42810.828125</v>
      </c>
      <c r="B206" s="20" t="s">
        <v>202</v>
      </c>
      <c r="C206" s="20" t="s">
        <v>806</v>
      </c>
      <c r="D206" s="150">
        <v>1800000</v>
      </c>
      <c r="E206" s="20" t="s">
        <v>214</v>
      </c>
      <c r="F206" s="20" t="s">
        <v>215</v>
      </c>
      <c r="G206" s="8" t="str">
        <f t="shared" si="3"/>
        <v>CHANDLER KELVIN</v>
      </c>
    </row>
    <row r="207" spans="1:7" x14ac:dyDescent="0.25">
      <c r="A207" s="8">
        <v>42810.831759259258</v>
      </c>
      <c r="B207" s="20" t="s">
        <v>467</v>
      </c>
      <c r="C207" s="20" t="s">
        <v>635</v>
      </c>
      <c r="D207" s="150">
        <v>2270000</v>
      </c>
      <c r="E207" s="20" t="s">
        <v>211</v>
      </c>
      <c r="F207" s="20" t="s">
        <v>212</v>
      </c>
      <c r="G207" s="8" t="str">
        <f t="shared" si="3"/>
        <v>BROWN JACOB</v>
      </c>
    </row>
    <row r="208" spans="1:7" x14ac:dyDescent="0.25">
      <c r="A208" s="8">
        <v>42810.839085648149</v>
      </c>
      <c r="B208" s="20" t="s">
        <v>636</v>
      </c>
      <c r="C208" s="20" t="s">
        <v>637</v>
      </c>
      <c r="D208" s="150">
        <v>2620000</v>
      </c>
      <c r="E208" s="20" t="s">
        <v>807</v>
      </c>
      <c r="F208" s="20" t="s">
        <v>808</v>
      </c>
      <c r="G208" s="8" t="str">
        <f t="shared" si="3"/>
        <v>PERKINS DARREN</v>
      </c>
    </row>
    <row r="209" spans="1:7" x14ac:dyDescent="0.25">
      <c r="A209" s="8">
        <v>42810.841157407405</v>
      </c>
      <c r="B209" s="20" t="s">
        <v>636</v>
      </c>
      <c r="C209" s="20" t="s">
        <v>637</v>
      </c>
      <c r="D209" s="150">
        <v>2620000</v>
      </c>
      <c r="E209" s="20" t="s">
        <v>807</v>
      </c>
      <c r="F209" s="20" t="s">
        <v>808</v>
      </c>
      <c r="G209" s="8" t="str">
        <f t="shared" si="3"/>
        <v>PERKINS DARREN</v>
      </c>
    </row>
    <row r="210" spans="1:7" x14ac:dyDescent="0.25">
      <c r="A210" s="8">
        <v>42810.841608796298</v>
      </c>
      <c r="B210" s="20" t="s">
        <v>441</v>
      </c>
      <c r="C210" s="20" t="s">
        <v>809</v>
      </c>
      <c r="D210" s="150">
        <v>2150000</v>
      </c>
      <c r="E210" s="20" t="s">
        <v>424</v>
      </c>
      <c r="F210" s="20" t="s">
        <v>425</v>
      </c>
      <c r="G210" s="8" t="str">
        <f t="shared" si="3"/>
        <v>SWANSON BRYCE</v>
      </c>
    </row>
    <row r="211" spans="1:7" x14ac:dyDescent="0.25">
      <c r="A211" s="8">
        <v>42810.843935185185</v>
      </c>
      <c r="B211" s="20" t="s">
        <v>512</v>
      </c>
      <c r="C211" s="20" t="s">
        <v>810</v>
      </c>
      <c r="D211" s="150">
        <v>2480000</v>
      </c>
      <c r="E211" s="20" t="s">
        <v>535</v>
      </c>
      <c r="F211" s="20" t="s">
        <v>536</v>
      </c>
      <c r="G211" s="8" t="str">
        <f t="shared" si="3"/>
        <v>WHITED DUSTIN</v>
      </c>
    </row>
    <row r="212" spans="1:7" x14ac:dyDescent="0.25">
      <c r="A212" s="8">
        <v>42810.844687500001</v>
      </c>
      <c r="B212" s="20" t="s">
        <v>601</v>
      </c>
      <c r="C212" s="20" t="s">
        <v>811</v>
      </c>
      <c r="D212" s="150">
        <v>3000000</v>
      </c>
      <c r="E212" s="20" t="s">
        <v>737</v>
      </c>
      <c r="F212" s="20" t="s">
        <v>738</v>
      </c>
      <c r="G212" s="8" t="str">
        <f t="shared" si="3"/>
        <v>FORTUNATO FRANK</v>
      </c>
    </row>
    <row r="213" spans="1:7" x14ac:dyDescent="0.25">
      <c r="A213" s="8">
        <v>42810.854907407411</v>
      </c>
      <c r="B213" s="20" t="s">
        <v>653</v>
      </c>
      <c r="C213" s="20" t="s">
        <v>637</v>
      </c>
      <c r="D213" s="150">
        <v>2620000</v>
      </c>
      <c r="E213" s="20" t="s">
        <v>807</v>
      </c>
      <c r="F213" s="20" t="s">
        <v>808</v>
      </c>
      <c r="G213" s="8" t="str">
        <f t="shared" si="3"/>
        <v>PERKINS DARREN</v>
      </c>
    </row>
    <row r="214" spans="1:7" x14ac:dyDescent="0.25">
      <c r="A214" s="8">
        <v>42810.860185185185</v>
      </c>
      <c r="B214" s="20" t="s">
        <v>611</v>
      </c>
      <c r="C214" s="20" t="s">
        <v>812</v>
      </c>
      <c r="D214" s="150">
        <v>3000000</v>
      </c>
      <c r="E214" s="20" t="s">
        <v>737</v>
      </c>
      <c r="F214" s="20" t="s">
        <v>738</v>
      </c>
      <c r="G214" s="8" t="str">
        <f t="shared" si="3"/>
        <v>FORTUNATO FRANK</v>
      </c>
    </row>
    <row r="215" spans="1:7" x14ac:dyDescent="0.25">
      <c r="A215" s="8">
        <v>42810.864837962959</v>
      </c>
      <c r="B215" s="20" t="s">
        <v>466</v>
      </c>
      <c r="C215" s="20" t="s">
        <v>813</v>
      </c>
      <c r="D215" s="150">
        <v>2540000</v>
      </c>
      <c r="E215" s="20" t="s">
        <v>814</v>
      </c>
      <c r="F215" s="20" t="s">
        <v>815</v>
      </c>
      <c r="G215" s="8" t="str">
        <f t="shared" si="3"/>
        <v>MCREYNOLDS KYLE</v>
      </c>
    </row>
    <row r="216" spans="1:7" x14ac:dyDescent="0.25">
      <c r="A216" s="8">
        <v>42810.874155092592</v>
      </c>
      <c r="B216" s="20" t="s">
        <v>379</v>
      </c>
      <c r="C216" s="20" t="s">
        <v>816</v>
      </c>
      <c r="D216" s="150">
        <v>1800000</v>
      </c>
      <c r="E216" s="20" t="s">
        <v>214</v>
      </c>
      <c r="F216" s="20" t="s">
        <v>215</v>
      </c>
      <c r="G216" s="8" t="str">
        <f t="shared" si="3"/>
        <v>CHANDLER KELVIN</v>
      </c>
    </row>
    <row r="217" spans="1:7" x14ac:dyDescent="0.25">
      <c r="A217" s="8">
        <v>42810.877523148149</v>
      </c>
      <c r="B217" s="20" t="s">
        <v>636</v>
      </c>
      <c r="C217" s="20" t="s">
        <v>637</v>
      </c>
      <c r="D217" s="150">
        <v>2620000</v>
      </c>
      <c r="E217" s="20" t="s">
        <v>807</v>
      </c>
      <c r="F217" s="20" t="s">
        <v>808</v>
      </c>
      <c r="G217" s="8" t="str">
        <f t="shared" si="3"/>
        <v>PERKINS DARREN</v>
      </c>
    </row>
    <row r="218" spans="1:7" x14ac:dyDescent="0.25">
      <c r="A218" s="8">
        <v>42810.878854166665</v>
      </c>
      <c r="B218" s="20" t="s">
        <v>601</v>
      </c>
      <c r="C218" s="20" t="s">
        <v>817</v>
      </c>
      <c r="D218" s="150">
        <v>3020000</v>
      </c>
      <c r="E218" s="20" t="s">
        <v>533</v>
      </c>
      <c r="F218" s="20" t="s">
        <v>534</v>
      </c>
      <c r="G218" s="8" t="str">
        <f t="shared" si="3"/>
        <v>MENGES BRAD</v>
      </c>
    </row>
    <row r="219" spans="1:7" x14ac:dyDescent="0.25">
      <c r="A219" s="8">
        <v>42810.879016203704</v>
      </c>
      <c r="B219" s="20" t="s">
        <v>636</v>
      </c>
      <c r="C219" s="20" t="s">
        <v>637</v>
      </c>
      <c r="D219" s="150">
        <v>2620000</v>
      </c>
      <c r="E219" s="20" t="s">
        <v>807</v>
      </c>
      <c r="F219" s="20" t="s">
        <v>808</v>
      </c>
      <c r="G219" s="8" t="str">
        <f t="shared" si="3"/>
        <v>PERKINS DARREN</v>
      </c>
    </row>
    <row r="220" spans="1:7" x14ac:dyDescent="0.25">
      <c r="A220" s="8">
        <v>42810.882222222222</v>
      </c>
      <c r="B220" s="20" t="s">
        <v>470</v>
      </c>
      <c r="C220" s="20" t="s">
        <v>818</v>
      </c>
      <c r="D220" s="150">
        <v>2150000</v>
      </c>
      <c r="E220" s="20" t="s">
        <v>424</v>
      </c>
      <c r="F220" s="20" t="s">
        <v>425</v>
      </c>
      <c r="G220" s="8" t="str">
        <f t="shared" si="3"/>
        <v>SWANSON BRYCE</v>
      </c>
    </row>
    <row r="221" spans="1:7" x14ac:dyDescent="0.25">
      <c r="A221" s="8">
        <v>42810.888275462959</v>
      </c>
      <c r="B221" s="20" t="s">
        <v>513</v>
      </c>
      <c r="C221" s="20" t="s">
        <v>819</v>
      </c>
      <c r="D221" s="150">
        <v>2560000</v>
      </c>
      <c r="E221" s="20" t="s">
        <v>784</v>
      </c>
      <c r="F221" s="20" t="s">
        <v>785</v>
      </c>
      <c r="G221" s="8" t="str">
        <f t="shared" si="3"/>
        <v>MACDONALD THOMAS</v>
      </c>
    </row>
    <row r="222" spans="1:7" x14ac:dyDescent="0.25">
      <c r="A222" s="8">
        <v>42810.902974537035</v>
      </c>
      <c r="B222" s="20" t="s">
        <v>611</v>
      </c>
      <c r="C222" s="20" t="s">
        <v>820</v>
      </c>
      <c r="D222" s="150">
        <v>3020000</v>
      </c>
      <c r="E222" s="20" t="s">
        <v>533</v>
      </c>
      <c r="F222" s="20" t="s">
        <v>534</v>
      </c>
      <c r="G222" s="8" t="str">
        <f t="shared" si="3"/>
        <v>MENGES BRAD</v>
      </c>
    </row>
    <row r="223" spans="1:7" x14ac:dyDescent="0.25">
      <c r="A223" s="8">
        <v>42810.907800925925</v>
      </c>
      <c r="B223" s="20" t="s">
        <v>636</v>
      </c>
      <c r="C223" s="20" t="s">
        <v>637</v>
      </c>
      <c r="D223" s="150">
        <v>2620000</v>
      </c>
      <c r="E223" s="20" t="s">
        <v>807</v>
      </c>
      <c r="F223" s="20" t="s">
        <v>808</v>
      </c>
      <c r="G223" s="8" t="str">
        <f t="shared" si="3"/>
        <v>PERKINS DARREN</v>
      </c>
    </row>
    <row r="224" spans="1:7" x14ac:dyDescent="0.25">
      <c r="A224" s="8">
        <v>42810.908865740741</v>
      </c>
      <c r="B224" t="s">
        <v>636</v>
      </c>
      <c r="C224" t="s">
        <v>637</v>
      </c>
      <c r="D224" s="150">
        <v>2620000</v>
      </c>
      <c r="E224" t="s">
        <v>807</v>
      </c>
      <c r="F224" s="20" t="s">
        <v>808</v>
      </c>
      <c r="G224" s="8" t="str">
        <f t="shared" si="3"/>
        <v>PERKINS DARREN</v>
      </c>
    </row>
    <row r="225" spans="1:7" x14ac:dyDescent="0.25">
      <c r="A225" s="8">
        <v>42810.910439814812</v>
      </c>
      <c r="B225" t="s">
        <v>202</v>
      </c>
      <c r="C225" t="s">
        <v>821</v>
      </c>
      <c r="D225" s="150">
        <v>1800000</v>
      </c>
      <c r="E225" t="s">
        <v>214</v>
      </c>
      <c r="F225" s="20" t="s">
        <v>215</v>
      </c>
      <c r="G225" s="8" t="str">
        <f t="shared" si="3"/>
        <v>CHANDLER KELVIN</v>
      </c>
    </row>
    <row r="226" spans="1:7" x14ac:dyDescent="0.25">
      <c r="A226" s="8">
        <v>42810.911805555559</v>
      </c>
      <c r="B226" t="s">
        <v>467</v>
      </c>
      <c r="C226" t="s">
        <v>822</v>
      </c>
      <c r="D226" s="150">
        <v>2270000</v>
      </c>
      <c r="E226" t="s">
        <v>211</v>
      </c>
      <c r="F226" s="20" t="s">
        <v>212</v>
      </c>
      <c r="G226" s="8" t="str">
        <f t="shared" si="3"/>
        <v>BROWN JACOB</v>
      </c>
    </row>
    <row r="227" spans="1:7" x14ac:dyDescent="0.25">
      <c r="A227" s="8">
        <v>42810.916006944448</v>
      </c>
      <c r="B227" t="s">
        <v>653</v>
      </c>
      <c r="C227" t="s">
        <v>637</v>
      </c>
      <c r="D227" s="150">
        <v>2620000</v>
      </c>
      <c r="E227" t="s">
        <v>807</v>
      </c>
      <c r="F227" s="20" t="s">
        <v>808</v>
      </c>
      <c r="G227" s="8" t="str">
        <f t="shared" si="3"/>
        <v>PERKINS DARREN</v>
      </c>
    </row>
    <row r="228" spans="1:7" x14ac:dyDescent="0.25">
      <c r="A228" s="8">
        <v>42810.922083333331</v>
      </c>
      <c r="B228" t="s">
        <v>601</v>
      </c>
      <c r="C228" t="s">
        <v>638</v>
      </c>
      <c r="D228" s="150">
        <v>3020000</v>
      </c>
      <c r="E228" t="s">
        <v>533</v>
      </c>
      <c r="F228" s="20" t="s">
        <v>534</v>
      </c>
      <c r="G228" s="8" t="str">
        <f t="shared" si="3"/>
        <v>MENGES BRAD</v>
      </c>
    </row>
    <row r="229" spans="1:7" x14ac:dyDescent="0.25">
      <c r="A229" s="8">
        <v>42810.927766203706</v>
      </c>
      <c r="B229" t="s">
        <v>441</v>
      </c>
      <c r="C229" t="s">
        <v>823</v>
      </c>
      <c r="D229" s="150">
        <v>2150000</v>
      </c>
      <c r="E229" t="s">
        <v>424</v>
      </c>
      <c r="F229" s="20" t="s">
        <v>425</v>
      </c>
      <c r="G229" s="8" t="str">
        <f t="shared" si="3"/>
        <v>SWANSON BRYCE</v>
      </c>
    </row>
    <row r="230" spans="1:7" x14ac:dyDescent="0.25">
      <c r="A230" s="8">
        <v>42810.933287037034</v>
      </c>
      <c r="B230" t="s">
        <v>512</v>
      </c>
      <c r="C230" t="s">
        <v>639</v>
      </c>
      <c r="D230" s="150">
        <v>2560000</v>
      </c>
      <c r="E230" t="s">
        <v>784</v>
      </c>
      <c r="F230" s="20" t="s">
        <v>785</v>
      </c>
      <c r="G230" s="8" t="str">
        <f t="shared" si="3"/>
        <v>MACDONALD THOMAS</v>
      </c>
    </row>
    <row r="231" spans="1:7" x14ac:dyDescent="0.25">
      <c r="A231" s="8">
        <v>42810.941307870373</v>
      </c>
      <c r="B231" t="s">
        <v>636</v>
      </c>
      <c r="C231" t="s">
        <v>637</v>
      </c>
      <c r="D231" s="150">
        <v>2620000</v>
      </c>
      <c r="E231" t="s">
        <v>807</v>
      </c>
      <c r="F231" s="20" t="s">
        <v>808</v>
      </c>
      <c r="G231" s="8" t="str">
        <f t="shared" si="3"/>
        <v>PERKINS DARREN</v>
      </c>
    </row>
    <row r="232" spans="1:7" x14ac:dyDescent="0.25">
      <c r="A232" s="8">
        <v>42810.945763888885</v>
      </c>
      <c r="B232" t="s">
        <v>611</v>
      </c>
      <c r="C232" t="s">
        <v>824</v>
      </c>
      <c r="D232" s="150">
        <v>3020000</v>
      </c>
      <c r="E232" t="s">
        <v>533</v>
      </c>
      <c r="F232" s="20" t="s">
        <v>534</v>
      </c>
      <c r="G232" s="8" t="str">
        <f t="shared" si="3"/>
        <v>MENGES BRAD</v>
      </c>
    </row>
    <row r="233" spans="1:7" x14ac:dyDescent="0.25">
      <c r="A233" s="8">
        <v>42810.951655092591</v>
      </c>
      <c r="B233" t="s">
        <v>466</v>
      </c>
      <c r="C233" t="s">
        <v>825</v>
      </c>
      <c r="D233" s="150">
        <v>2270000</v>
      </c>
      <c r="E233" t="s">
        <v>211</v>
      </c>
      <c r="F233" s="20" t="s">
        <v>212</v>
      </c>
      <c r="G233" s="8" t="str">
        <f t="shared" si="3"/>
        <v>BROWN JACOB</v>
      </c>
    </row>
    <row r="234" spans="1:7" x14ac:dyDescent="0.25">
      <c r="A234" s="8">
        <v>42810.953969907408</v>
      </c>
      <c r="B234" t="s">
        <v>601</v>
      </c>
      <c r="C234" t="s">
        <v>824</v>
      </c>
      <c r="D234" s="150">
        <v>3020000</v>
      </c>
      <c r="E234" t="s">
        <v>533</v>
      </c>
      <c r="F234" s="20" t="s">
        <v>534</v>
      </c>
      <c r="G234" s="8" t="str">
        <f t="shared" si="3"/>
        <v>MENGES BRAD</v>
      </c>
    </row>
    <row r="235" spans="1:7" x14ac:dyDescent="0.25">
      <c r="A235" s="8">
        <v>42810.955833333333</v>
      </c>
      <c r="B235" t="s">
        <v>601</v>
      </c>
      <c r="C235" t="s">
        <v>824</v>
      </c>
      <c r="D235" s="150">
        <v>3020000</v>
      </c>
      <c r="E235" t="s">
        <v>533</v>
      </c>
      <c r="F235" s="20" t="s">
        <v>534</v>
      </c>
      <c r="G235" s="8" t="str">
        <f t="shared" si="3"/>
        <v>MENGES BRAD</v>
      </c>
    </row>
    <row r="236" spans="1:7" x14ac:dyDescent="0.25">
      <c r="A236" s="8">
        <v>42810.957592592589</v>
      </c>
      <c r="B236" t="s">
        <v>379</v>
      </c>
      <c r="C236" t="s">
        <v>826</v>
      </c>
      <c r="D236" s="150">
        <v>1800000</v>
      </c>
      <c r="E236" t="s">
        <v>214</v>
      </c>
      <c r="F236" s="20" t="s">
        <v>215</v>
      </c>
      <c r="G236" s="8" t="str">
        <f t="shared" si="3"/>
        <v>CHANDLER KELVIN</v>
      </c>
    </row>
    <row r="237" spans="1:7" x14ac:dyDescent="0.25">
      <c r="A237" s="8">
        <v>42810.967557870368</v>
      </c>
      <c r="B237" t="s">
        <v>470</v>
      </c>
      <c r="C237" t="s">
        <v>827</v>
      </c>
      <c r="D237" s="150">
        <v>2150000</v>
      </c>
      <c r="E237" t="s">
        <v>424</v>
      </c>
      <c r="F237" s="20" t="s">
        <v>425</v>
      </c>
      <c r="G237" s="8" t="str">
        <f t="shared" si="3"/>
        <v>SWANSON BRYCE</v>
      </c>
    </row>
    <row r="238" spans="1:7" x14ac:dyDescent="0.25">
      <c r="A238" s="8">
        <v>42810.972268518519</v>
      </c>
      <c r="B238" t="s">
        <v>636</v>
      </c>
      <c r="C238" t="s">
        <v>828</v>
      </c>
      <c r="D238" s="150">
        <v>2620000</v>
      </c>
      <c r="E238" t="s">
        <v>807</v>
      </c>
      <c r="F238" s="20" t="s">
        <v>808</v>
      </c>
      <c r="G238" s="8" t="str">
        <f t="shared" si="3"/>
        <v>PERKINS DARREN</v>
      </c>
    </row>
    <row r="239" spans="1:7" x14ac:dyDescent="0.25">
      <c r="A239" s="8">
        <v>42810.977303240739</v>
      </c>
      <c r="B239" t="s">
        <v>513</v>
      </c>
      <c r="C239" t="s">
        <v>829</v>
      </c>
      <c r="D239" s="150">
        <v>1810000</v>
      </c>
      <c r="E239" t="s">
        <v>199</v>
      </c>
      <c r="F239" s="20" t="s">
        <v>195</v>
      </c>
      <c r="G239" s="8" t="str">
        <f t="shared" si="3"/>
        <v>NEWELL JAMES</v>
      </c>
    </row>
    <row r="240" spans="1:7" x14ac:dyDescent="0.25">
      <c r="A240" s="8">
        <v>42810.99291666667</v>
      </c>
      <c r="B240" t="s">
        <v>202</v>
      </c>
      <c r="C240" t="s">
        <v>830</v>
      </c>
      <c r="D240" s="150">
        <v>1800000</v>
      </c>
      <c r="E240" t="s">
        <v>214</v>
      </c>
      <c r="F240" s="20" t="s">
        <v>215</v>
      </c>
      <c r="G240" s="8" t="str">
        <f t="shared" si="3"/>
        <v>CHANDLER KELVIN</v>
      </c>
    </row>
    <row r="241" spans="1:7" x14ac:dyDescent="0.25">
      <c r="A241" s="8">
        <v>42810.995578703703</v>
      </c>
      <c r="B241" t="s">
        <v>467</v>
      </c>
      <c r="C241" t="s">
        <v>640</v>
      </c>
      <c r="D241" s="150">
        <v>2270000</v>
      </c>
      <c r="E241" t="s">
        <v>211</v>
      </c>
      <c r="F241" s="20" t="s">
        <v>212</v>
      </c>
      <c r="G241" s="8" t="str">
        <f t="shared" si="3"/>
        <v>BROWN JACOB</v>
      </c>
    </row>
    <row r="242" spans="1:7" x14ac:dyDescent="0.25">
      <c r="A242" s="8">
        <v>42811.010057870371</v>
      </c>
      <c r="B242" t="s">
        <v>441</v>
      </c>
      <c r="C242" t="s">
        <v>831</v>
      </c>
      <c r="D242" s="150">
        <v>2150000</v>
      </c>
      <c r="E242" t="s">
        <v>424</v>
      </c>
      <c r="F242" s="20" t="s">
        <v>425</v>
      </c>
      <c r="G242" s="8" t="str">
        <f t="shared" si="3"/>
        <v>SWANSON BRYCE</v>
      </c>
    </row>
    <row r="243" spans="1:7" x14ac:dyDescent="0.25">
      <c r="A243" s="8">
        <v>42811.014976851853</v>
      </c>
      <c r="B243" t="s">
        <v>653</v>
      </c>
      <c r="C243" t="s">
        <v>832</v>
      </c>
      <c r="D243" s="150">
        <v>2620000</v>
      </c>
      <c r="E243" t="s">
        <v>807</v>
      </c>
      <c r="F243" s="20" t="s">
        <v>808</v>
      </c>
      <c r="G243" s="8" t="str">
        <f t="shared" si="3"/>
        <v>PERKINS DARREN</v>
      </c>
    </row>
    <row r="244" spans="1:7" x14ac:dyDescent="0.25">
      <c r="A244" s="8">
        <v>42811.015810185185</v>
      </c>
      <c r="B244" t="s">
        <v>512</v>
      </c>
      <c r="C244" t="s">
        <v>833</v>
      </c>
      <c r="D244" s="150">
        <v>1810000</v>
      </c>
      <c r="E244" t="s">
        <v>199</v>
      </c>
      <c r="F244" s="20" t="s">
        <v>195</v>
      </c>
      <c r="G244" s="8" t="str">
        <f t="shared" si="3"/>
        <v>NEWELL JAMES</v>
      </c>
    </row>
    <row r="245" spans="1:7" x14ac:dyDescent="0.25">
      <c r="A245" s="8">
        <v>42811.028935185182</v>
      </c>
      <c r="B245" t="s">
        <v>379</v>
      </c>
      <c r="C245" t="s">
        <v>834</v>
      </c>
      <c r="D245" s="150">
        <v>1800000</v>
      </c>
      <c r="E245" t="s">
        <v>214</v>
      </c>
      <c r="F245" s="20" t="s">
        <v>215</v>
      </c>
      <c r="G245" s="8" t="str">
        <f t="shared" si="3"/>
        <v>CHANDLER KELVIN</v>
      </c>
    </row>
    <row r="246" spans="1:7" x14ac:dyDescent="0.25">
      <c r="A246" s="8">
        <v>42811.034884259258</v>
      </c>
      <c r="B246" t="s">
        <v>466</v>
      </c>
      <c r="C246" t="s">
        <v>835</v>
      </c>
      <c r="D246" s="150">
        <v>2270000</v>
      </c>
      <c r="E246" t="s">
        <v>211</v>
      </c>
      <c r="F246" s="20" t="s">
        <v>212</v>
      </c>
      <c r="G246" s="8" t="str">
        <f t="shared" si="3"/>
        <v>BROWN JACOB</v>
      </c>
    </row>
    <row r="247" spans="1:7" x14ac:dyDescent="0.25">
      <c r="A247" s="8">
        <v>42811.04351851852</v>
      </c>
      <c r="B247" t="s">
        <v>636</v>
      </c>
      <c r="C247" t="s">
        <v>828</v>
      </c>
      <c r="D247" s="150">
        <v>2620000</v>
      </c>
      <c r="E247" t="s">
        <v>807</v>
      </c>
      <c r="F247" s="20" t="s">
        <v>808</v>
      </c>
      <c r="G247" s="8" t="str">
        <f t="shared" si="3"/>
        <v>PERKINS DARREN</v>
      </c>
    </row>
    <row r="248" spans="1:7" x14ac:dyDescent="0.25">
      <c r="A248" s="8">
        <v>42811.048171296294</v>
      </c>
      <c r="B248" t="s">
        <v>513</v>
      </c>
      <c r="C248" t="s">
        <v>836</v>
      </c>
      <c r="D248" s="150">
        <v>1810000</v>
      </c>
      <c r="E248" t="s">
        <v>199</v>
      </c>
      <c r="F248" s="20" t="s">
        <v>195</v>
      </c>
      <c r="G248" s="8" t="str">
        <f t="shared" si="3"/>
        <v>NEWELL JAMES</v>
      </c>
    </row>
    <row r="249" spans="1:7" x14ac:dyDescent="0.25">
      <c r="A249" s="8">
        <v>42811.050069444442</v>
      </c>
      <c r="B249" t="s">
        <v>470</v>
      </c>
      <c r="C249" t="s">
        <v>837</v>
      </c>
      <c r="D249" s="150">
        <v>2150000</v>
      </c>
      <c r="E249" t="s">
        <v>424</v>
      </c>
      <c r="F249" s="20" t="s">
        <v>425</v>
      </c>
      <c r="G249" s="8" t="str">
        <f t="shared" si="3"/>
        <v>SWANSON BRYCE</v>
      </c>
    </row>
    <row r="250" spans="1:7" x14ac:dyDescent="0.25">
      <c r="A250" s="8">
        <v>42811.066469907404</v>
      </c>
      <c r="B250" t="s">
        <v>653</v>
      </c>
      <c r="C250" t="s">
        <v>832</v>
      </c>
      <c r="D250" s="150">
        <v>2620000</v>
      </c>
      <c r="E250" t="s">
        <v>807</v>
      </c>
      <c r="F250" s="20" t="s">
        <v>808</v>
      </c>
      <c r="G250" s="8" t="str">
        <f t="shared" si="3"/>
        <v>PERKINS DARREN</v>
      </c>
    </row>
    <row r="251" spans="1:7" x14ac:dyDescent="0.25">
      <c r="A251" s="8">
        <v>42811.07130787037</v>
      </c>
      <c r="B251" t="s">
        <v>467</v>
      </c>
      <c r="C251" t="s">
        <v>838</v>
      </c>
      <c r="D251" s="150">
        <v>2270000</v>
      </c>
      <c r="E251" t="s">
        <v>211</v>
      </c>
      <c r="F251" s="20" t="s">
        <v>212</v>
      </c>
      <c r="G251" s="8" t="str">
        <f t="shared" si="3"/>
        <v>BROWN JACOB</v>
      </c>
    </row>
    <row r="252" spans="1:7" x14ac:dyDescent="0.25">
      <c r="A252" s="8">
        <v>42811.09002314815</v>
      </c>
      <c r="B252" t="s">
        <v>441</v>
      </c>
      <c r="C252" t="s">
        <v>839</v>
      </c>
      <c r="D252" s="150">
        <v>2150000</v>
      </c>
      <c r="E252" t="s">
        <v>424</v>
      </c>
      <c r="F252" s="20" t="s">
        <v>425</v>
      </c>
      <c r="G252" s="8" t="str">
        <f t="shared" si="3"/>
        <v>SWANSON BRYCE</v>
      </c>
    </row>
    <row r="253" spans="1:7" x14ac:dyDescent="0.25">
      <c r="A253" s="8">
        <v>42810.068888888891</v>
      </c>
      <c r="B253" t="s">
        <v>241</v>
      </c>
      <c r="C253" t="s">
        <v>539</v>
      </c>
      <c r="D253" s="150">
        <v>2270000</v>
      </c>
      <c r="E253" t="s">
        <v>211</v>
      </c>
      <c r="F253" s="20" t="s">
        <v>212</v>
      </c>
      <c r="G253" s="8" t="str">
        <f t="shared" si="3"/>
        <v>BROWN JACOB</v>
      </c>
    </row>
    <row r="254" spans="1:7" x14ac:dyDescent="0.25">
      <c r="A254" s="8">
        <v>42810.091238425928</v>
      </c>
      <c r="B254" t="s">
        <v>438</v>
      </c>
      <c r="C254" t="s">
        <v>540</v>
      </c>
      <c r="D254" s="150">
        <v>1810000</v>
      </c>
      <c r="E254" t="s">
        <v>199</v>
      </c>
      <c r="F254" s="20" t="s">
        <v>195</v>
      </c>
      <c r="G254" s="8" t="str">
        <f t="shared" si="3"/>
        <v>NEWELL JAMES</v>
      </c>
    </row>
    <row r="255" spans="1:7" x14ac:dyDescent="0.25">
      <c r="A255" s="8">
        <v>42810.11451388889</v>
      </c>
      <c r="B255" t="s">
        <v>512</v>
      </c>
      <c r="C255" t="s">
        <v>541</v>
      </c>
      <c r="D255" s="150">
        <v>2550000</v>
      </c>
      <c r="E255" t="s">
        <v>493</v>
      </c>
      <c r="F255" s="20" t="s">
        <v>494</v>
      </c>
      <c r="G255" s="8" t="str">
        <f t="shared" si="3"/>
        <v>BADERTSCHER DIANE</v>
      </c>
    </row>
    <row r="256" spans="1:7" x14ac:dyDescent="0.25">
      <c r="A256" s="8">
        <v>42808.945451388892</v>
      </c>
      <c r="B256" t="s">
        <v>422</v>
      </c>
      <c r="C256" t="s">
        <v>478</v>
      </c>
      <c r="D256" s="150">
        <v>2730000</v>
      </c>
      <c r="E256" t="s">
        <v>226</v>
      </c>
      <c r="F256" s="20" t="s">
        <v>227</v>
      </c>
      <c r="G256" s="8" t="str">
        <f t="shared" si="3"/>
        <v>YANG JAN</v>
      </c>
    </row>
    <row r="257" spans="1:7" x14ac:dyDescent="0.25">
      <c r="A257" s="8">
        <v>42808.949513888889</v>
      </c>
      <c r="B257" t="s">
        <v>202</v>
      </c>
      <c r="C257" t="s">
        <v>480</v>
      </c>
      <c r="D257" s="150">
        <v>1740000</v>
      </c>
      <c r="E257" t="s">
        <v>390</v>
      </c>
      <c r="F257" s="20" t="s">
        <v>391</v>
      </c>
      <c r="G257" s="8" t="str">
        <f t="shared" si="3"/>
        <v>STORY SAMANTHA</v>
      </c>
    </row>
    <row r="258" spans="1:7" x14ac:dyDescent="0.25">
      <c r="A258" s="8">
        <v>42808.957430555558</v>
      </c>
      <c r="B258" t="s">
        <v>388</v>
      </c>
      <c r="C258" t="s">
        <v>481</v>
      </c>
      <c r="D258" s="150">
        <v>1800000</v>
      </c>
      <c r="E258" t="s">
        <v>214</v>
      </c>
      <c r="F258" s="20" t="s">
        <v>215</v>
      </c>
      <c r="G258" s="8" t="str">
        <f t="shared" si="3"/>
        <v>CHANDLER KELVIN</v>
      </c>
    </row>
    <row r="259" spans="1:7" x14ac:dyDescent="0.25">
      <c r="A259" s="8">
        <v>42808.961782407408</v>
      </c>
      <c r="B259" t="s">
        <v>420</v>
      </c>
      <c r="C259" t="s">
        <v>479</v>
      </c>
      <c r="D259" s="150">
        <v>2730000</v>
      </c>
      <c r="E259" t="s">
        <v>226</v>
      </c>
      <c r="F259" s="20" t="s">
        <v>227</v>
      </c>
      <c r="G259" s="8" t="str">
        <f t="shared" ref="G259:G322" si="4">E259&amp;" "&amp;F259</f>
        <v>YANG JAN</v>
      </c>
    </row>
    <row r="260" spans="1:7" x14ac:dyDescent="0.25">
      <c r="A260" s="8">
        <v>42808.963113425925</v>
      </c>
      <c r="B260" t="s">
        <v>443</v>
      </c>
      <c r="C260" t="s">
        <v>482</v>
      </c>
      <c r="D260" s="150">
        <v>1810000</v>
      </c>
      <c r="E260" t="s">
        <v>199</v>
      </c>
      <c r="F260" s="20" t="s">
        <v>195</v>
      </c>
      <c r="G260" s="8" t="str">
        <f t="shared" si="4"/>
        <v>NEWELL JAMES</v>
      </c>
    </row>
    <row r="261" spans="1:7" x14ac:dyDescent="0.25">
      <c r="A261" s="8">
        <v>42808.975474537037</v>
      </c>
      <c r="B261" t="s">
        <v>466</v>
      </c>
      <c r="C261" t="s">
        <v>468</v>
      </c>
      <c r="D261" s="150">
        <v>2000000</v>
      </c>
      <c r="E261" t="s">
        <v>444</v>
      </c>
      <c r="F261" s="20" t="s">
        <v>195</v>
      </c>
      <c r="G261" s="8" t="str">
        <f t="shared" si="4"/>
        <v>STAMBAUGH JAMES</v>
      </c>
    </row>
    <row r="262" spans="1:7" x14ac:dyDescent="0.25">
      <c r="A262" s="8">
        <v>42808.984259259261</v>
      </c>
      <c r="B262" t="s">
        <v>466</v>
      </c>
      <c r="C262" t="s">
        <v>468</v>
      </c>
      <c r="D262" s="150">
        <v>2000000</v>
      </c>
      <c r="E262" t="s">
        <v>444</v>
      </c>
      <c r="F262" s="20" t="s">
        <v>195</v>
      </c>
      <c r="G262" s="8" t="str">
        <f t="shared" si="4"/>
        <v>STAMBAUGH JAMES</v>
      </c>
    </row>
    <row r="263" spans="1:7" x14ac:dyDescent="0.25">
      <c r="A263" s="8">
        <v>42808.993217592593</v>
      </c>
      <c r="B263" t="s">
        <v>422</v>
      </c>
      <c r="C263" t="s">
        <v>478</v>
      </c>
      <c r="D263" s="150">
        <v>2730000</v>
      </c>
      <c r="E263" t="s">
        <v>226</v>
      </c>
      <c r="F263" s="20" t="s">
        <v>227</v>
      </c>
      <c r="G263" s="8" t="str">
        <f t="shared" si="4"/>
        <v>YANG JAN</v>
      </c>
    </row>
    <row r="264" spans="1:7" x14ac:dyDescent="0.25">
      <c r="A264" s="8">
        <v>42808.995312500003</v>
      </c>
      <c r="B264" t="s">
        <v>380</v>
      </c>
      <c r="C264" t="s">
        <v>483</v>
      </c>
      <c r="D264" s="150">
        <v>1740000</v>
      </c>
      <c r="E264" t="s">
        <v>390</v>
      </c>
      <c r="F264" s="20" t="s">
        <v>391</v>
      </c>
      <c r="G264" s="8" t="str">
        <f t="shared" si="4"/>
        <v>STORY SAMANTHA</v>
      </c>
    </row>
    <row r="265" spans="1:7" x14ac:dyDescent="0.25">
      <c r="A265" s="8">
        <v>42808.996435185189</v>
      </c>
      <c r="B265" t="s">
        <v>475</v>
      </c>
      <c r="C265" t="s">
        <v>484</v>
      </c>
      <c r="D265" s="150">
        <v>1800000</v>
      </c>
      <c r="E265" t="s">
        <v>214</v>
      </c>
      <c r="F265" s="20" t="s">
        <v>215</v>
      </c>
      <c r="G265" s="8" t="str">
        <f t="shared" si="4"/>
        <v>CHANDLER KELVIN</v>
      </c>
    </row>
    <row r="266" spans="1:7" x14ac:dyDescent="0.25">
      <c r="A266" s="8">
        <v>42809.009120370371</v>
      </c>
      <c r="B266" t="s">
        <v>467</v>
      </c>
      <c r="C266" t="s">
        <v>485</v>
      </c>
      <c r="D266" s="150">
        <v>2000000</v>
      </c>
      <c r="E266" t="s">
        <v>444</v>
      </c>
      <c r="F266" s="20" t="s">
        <v>195</v>
      </c>
      <c r="G266" s="8" t="str">
        <f t="shared" si="4"/>
        <v>STAMBAUGH JAMES</v>
      </c>
    </row>
    <row r="267" spans="1:7" x14ac:dyDescent="0.25">
      <c r="A267" s="8">
        <v>42809.014606481483</v>
      </c>
      <c r="B267" t="s">
        <v>420</v>
      </c>
      <c r="C267" t="s">
        <v>479</v>
      </c>
      <c r="D267" s="150">
        <v>2730000</v>
      </c>
      <c r="E267" t="s">
        <v>226</v>
      </c>
      <c r="F267" s="20" t="s">
        <v>227</v>
      </c>
      <c r="G267" s="8" t="str">
        <f t="shared" si="4"/>
        <v>YANG JAN</v>
      </c>
    </row>
    <row r="268" spans="1:7" x14ac:dyDescent="0.25">
      <c r="A268" s="8">
        <v>42809.016122685185</v>
      </c>
      <c r="B268" t="s">
        <v>440</v>
      </c>
      <c r="C268" t="s">
        <v>486</v>
      </c>
      <c r="D268" s="150">
        <v>1810000</v>
      </c>
      <c r="E268" t="s">
        <v>199</v>
      </c>
      <c r="F268" s="20" t="s">
        <v>195</v>
      </c>
      <c r="G268" s="8" t="str">
        <f t="shared" si="4"/>
        <v>NEWELL JAMES</v>
      </c>
    </row>
    <row r="269" spans="1:7" x14ac:dyDescent="0.25">
      <c r="A269" s="8">
        <v>42809.029895833337</v>
      </c>
      <c r="B269" t="s">
        <v>452</v>
      </c>
      <c r="C269" t="s">
        <v>487</v>
      </c>
      <c r="D269" s="150">
        <v>1740000</v>
      </c>
      <c r="E269" t="s">
        <v>390</v>
      </c>
      <c r="F269" s="20" t="s">
        <v>391</v>
      </c>
      <c r="G269" s="8" t="str">
        <f t="shared" si="4"/>
        <v>STORY SAMANTHA</v>
      </c>
    </row>
    <row r="270" spans="1:7" x14ac:dyDescent="0.25">
      <c r="A270" s="8">
        <v>42809.030381944445</v>
      </c>
      <c r="B270" t="s">
        <v>388</v>
      </c>
      <c r="C270" t="s">
        <v>488</v>
      </c>
      <c r="D270" s="150">
        <v>1800000</v>
      </c>
      <c r="E270" t="s">
        <v>214</v>
      </c>
      <c r="F270" s="20" t="s">
        <v>215</v>
      </c>
      <c r="G270" s="8" t="str">
        <f t="shared" si="4"/>
        <v>CHANDLER KELVIN</v>
      </c>
    </row>
    <row r="271" spans="1:7" x14ac:dyDescent="0.25">
      <c r="A271" s="8">
        <v>42809.041238425925</v>
      </c>
      <c r="B271" t="s">
        <v>422</v>
      </c>
      <c r="C271" t="s">
        <v>478</v>
      </c>
      <c r="D271" s="150">
        <v>2730000</v>
      </c>
      <c r="E271" t="s">
        <v>226</v>
      </c>
      <c r="F271" s="20" t="s">
        <v>227</v>
      </c>
      <c r="G271" s="8" t="str">
        <f t="shared" si="4"/>
        <v>YANG JAN</v>
      </c>
    </row>
    <row r="272" spans="1:7" x14ac:dyDescent="0.25">
      <c r="A272" s="8">
        <v>42809.048750000002</v>
      </c>
      <c r="B272" t="s">
        <v>443</v>
      </c>
      <c r="C272" t="s">
        <v>489</v>
      </c>
      <c r="D272" s="150">
        <v>1810000</v>
      </c>
      <c r="E272" t="s">
        <v>199</v>
      </c>
      <c r="F272" s="20" t="s">
        <v>195</v>
      </c>
      <c r="G272" s="8" t="str">
        <f t="shared" si="4"/>
        <v>NEWELL JAMES</v>
      </c>
    </row>
    <row r="273" spans="1:7" x14ac:dyDescent="0.25">
      <c r="A273" s="8">
        <v>42809.057754629626</v>
      </c>
      <c r="B273" t="s">
        <v>466</v>
      </c>
      <c r="C273" t="s">
        <v>469</v>
      </c>
      <c r="D273" s="150">
        <v>2000000</v>
      </c>
      <c r="E273" t="s">
        <v>444</v>
      </c>
      <c r="F273" s="20" t="s">
        <v>195</v>
      </c>
      <c r="G273" s="8" t="str">
        <f t="shared" si="4"/>
        <v>STAMBAUGH JAMES</v>
      </c>
    </row>
    <row r="274" spans="1:7" x14ac:dyDescent="0.25">
      <c r="A274" s="8">
        <v>42809.067384259259</v>
      </c>
      <c r="B274" t="s">
        <v>380</v>
      </c>
      <c r="C274" t="s">
        <v>490</v>
      </c>
      <c r="D274" s="150">
        <v>1740000</v>
      </c>
      <c r="E274" t="s">
        <v>390</v>
      </c>
      <c r="F274" s="20" t="s">
        <v>391</v>
      </c>
      <c r="G274" s="8" t="str">
        <f t="shared" si="4"/>
        <v>STORY SAMANTHA</v>
      </c>
    </row>
    <row r="275" spans="1:7" x14ac:dyDescent="0.25">
      <c r="A275" s="8">
        <v>42809.088877314818</v>
      </c>
      <c r="B275" t="s">
        <v>467</v>
      </c>
      <c r="C275" t="s">
        <v>491</v>
      </c>
      <c r="D275" s="150">
        <v>2000000</v>
      </c>
      <c r="E275" t="s">
        <v>444</v>
      </c>
      <c r="F275" s="20" t="s">
        <v>195</v>
      </c>
      <c r="G275" s="8" t="str">
        <f t="shared" si="4"/>
        <v>STAMBAUGH JAMES</v>
      </c>
    </row>
    <row r="276" spans="1:7" x14ac:dyDescent="0.25">
      <c r="A276" s="8">
        <v>42809.112395833334</v>
      </c>
      <c r="B276" t="s">
        <v>421</v>
      </c>
      <c r="C276" t="s">
        <v>492</v>
      </c>
      <c r="D276" s="150">
        <v>2550000</v>
      </c>
      <c r="E276" t="s">
        <v>493</v>
      </c>
      <c r="F276" s="20" t="s">
        <v>494</v>
      </c>
      <c r="G276" s="8" t="str">
        <f t="shared" si="4"/>
        <v>BADERTSCHER DIANE</v>
      </c>
    </row>
    <row r="277" spans="1:7" x14ac:dyDescent="0.25">
      <c r="F277" s="20">
        <f t="shared" ref="F277:F281" si="5">B277</f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53.91</v>
      </c>
      <c r="B2" s="168">
        <v>0.5</v>
      </c>
      <c r="C2" s="168">
        <v>14.08</v>
      </c>
      <c r="D2" s="8">
        <v>42810</v>
      </c>
      <c r="E2" s="168">
        <v>0.2</v>
      </c>
      <c r="F2" s="168" t="s">
        <v>840</v>
      </c>
      <c r="G2" s="168">
        <v>298.58</v>
      </c>
      <c r="H2" s="168">
        <v>0</v>
      </c>
      <c r="I2" s="168">
        <v>0</v>
      </c>
      <c r="J2" s="168">
        <v>1015.75</v>
      </c>
      <c r="K2" s="168" t="s">
        <v>841</v>
      </c>
      <c r="L2" s="168">
        <v>53.91</v>
      </c>
      <c r="M2" s="168">
        <v>1489644000</v>
      </c>
      <c r="N2" s="168">
        <v>1.1000000000000001</v>
      </c>
      <c r="O2" s="168">
        <v>225</v>
      </c>
      <c r="P2" s="168">
        <v>2.92</v>
      </c>
      <c r="Q2"/>
      <c r="R2"/>
    </row>
    <row r="3" spans="1:18" x14ac:dyDescent="0.25">
      <c r="A3" s="168">
        <v>51.05</v>
      </c>
      <c r="B3" s="168">
        <v>0.62</v>
      </c>
      <c r="C3" s="168">
        <v>16.05</v>
      </c>
      <c r="D3" s="8">
        <v>42810.041666666664</v>
      </c>
      <c r="E3" s="168">
        <v>0.25</v>
      </c>
      <c r="F3" s="168" t="s">
        <v>840</v>
      </c>
      <c r="G3" s="168">
        <v>298.74</v>
      </c>
      <c r="H3" s="168">
        <v>0</v>
      </c>
      <c r="I3" s="168">
        <v>0</v>
      </c>
      <c r="J3" s="168">
        <v>1015.94</v>
      </c>
      <c r="K3" s="168" t="s">
        <v>841</v>
      </c>
      <c r="L3" s="168">
        <v>51.05</v>
      </c>
      <c r="M3" s="168">
        <v>1489647600</v>
      </c>
      <c r="N3" s="168">
        <v>1.1000000000000001</v>
      </c>
      <c r="O3" s="168">
        <v>221</v>
      </c>
      <c r="P3" s="168">
        <v>2.99</v>
      </c>
      <c r="Q3"/>
      <c r="R3"/>
    </row>
    <row r="4" spans="1:18" x14ac:dyDescent="0.25">
      <c r="A4" s="168">
        <v>50.28</v>
      </c>
      <c r="B4" s="168">
        <v>0.78</v>
      </c>
      <c r="C4" s="168">
        <v>16.920000000000002</v>
      </c>
      <c r="D4" s="8">
        <v>42810.083333333336</v>
      </c>
      <c r="E4" s="168">
        <v>0.26</v>
      </c>
      <c r="F4" s="168" t="s">
        <v>840</v>
      </c>
      <c r="G4" s="168">
        <v>298.91000000000003</v>
      </c>
      <c r="H4" s="168">
        <v>0</v>
      </c>
      <c r="I4" s="168">
        <v>0</v>
      </c>
      <c r="J4" s="168">
        <v>1016.08</v>
      </c>
      <c r="K4" s="168" t="s">
        <v>841</v>
      </c>
      <c r="L4" s="168">
        <v>50.28</v>
      </c>
      <c r="M4" s="168">
        <v>1489651200</v>
      </c>
      <c r="N4" s="168">
        <v>1.1000000000000001</v>
      </c>
      <c r="O4" s="168">
        <v>219</v>
      </c>
      <c r="P4" s="168">
        <v>2.63</v>
      </c>
      <c r="Q4"/>
      <c r="R4"/>
    </row>
    <row r="5" spans="1:18" x14ac:dyDescent="0.25">
      <c r="A5" s="168">
        <v>48.52</v>
      </c>
      <c r="B5" s="168">
        <v>0.9</v>
      </c>
      <c r="C5" s="168">
        <v>17.32</v>
      </c>
      <c r="D5" s="8">
        <v>42810.125</v>
      </c>
      <c r="E5" s="168">
        <v>0.28000000000000003</v>
      </c>
      <c r="F5" s="168" t="s">
        <v>381</v>
      </c>
      <c r="G5" s="168">
        <v>299.07</v>
      </c>
      <c r="H5" s="168">
        <v>0</v>
      </c>
      <c r="I5" s="168">
        <v>0</v>
      </c>
      <c r="J5" s="168">
        <v>1016.28</v>
      </c>
      <c r="K5" s="168" t="s">
        <v>542</v>
      </c>
      <c r="L5" s="168">
        <v>48.52</v>
      </c>
      <c r="M5" s="168">
        <v>1489654800</v>
      </c>
      <c r="N5" s="168"/>
      <c r="O5" s="168">
        <v>264</v>
      </c>
      <c r="P5" s="168">
        <v>2.81</v>
      </c>
      <c r="Q5"/>
      <c r="R5"/>
    </row>
    <row r="6" spans="1:18" x14ac:dyDescent="0.25">
      <c r="A6" s="168">
        <v>46.7</v>
      </c>
      <c r="B6" s="168">
        <v>0.8</v>
      </c>
      <c r="C6" s="168">
        <v>15.66</v>
      </c>
      <c r="D6" s="8">
        <v>42810.166666666664</v>
      </c>
      <c r="E6" s="168">
        <v>0.28000000000000003</v>
      </c>
      <c r="F6" s="168" t="s">
        <v>840</v>
      </c>
      <c r="G6" s="168">
        <v>300.23</v>
      </c>
      <c r="H6" s="168">
        <v>0</v>
      </c>
      <c r="I6" s="168">
        <v>0</v>
      </c>
      <c r="J6" s="168">
        <v>1015.81</v>
      </c>
      <c r="K6" s="168" t="s">
        <v>841</v>
      </c>
      <c r="L6" s="168">
        <v>46.7</v>
      </c>
      <c r="M6" s="168">
        <v>1489658400</v>
      </c>
      <c r="N6" s="168">
        <v>1.1000000000000001</v>
      </c>
      <c r="O6" s="168">
        <v>263</v>
      </c>
      <c r="P6" s="168">
        <v>2.74</v>
      </c>
      <c r="Q6"/>
      <c r="R6"/>
    </row>
    <row r="7" spans="1:18" x14ac:dyDescent="0.25">
      <c r="A7" s="168">
        <v>45.01</v>
      </c>
      <c r="B7" s="168">
        <v>0.66</v>
      </c>
      <c r="C7" s="168">
        <v>16.329999999999998</v>
      </c>
      <c r="D7" s="8">
        <v>42810.208333333336</v>
      </c>
      <c r="E7" s="168">
        <v>0.31</v>
      </c>
      <c r="F7" s="168" t="s">
        <v>840</v>
      </c>
      <c r="G7" s="168">
        <v>301.77</v>
      </c>
      <c r="H7" s="168">
        <v>0</v>
      </c>
      <c r="I7" s="168">
        <v>0</v>
      </c>
      <c r="J7" s="168">
        <v>1014.96</v>
      </c>
      <c r="K7" s="168" t="s">
        <v>841</v>
      </c>
      <c r="L7" s="168">
        <v>45.01</v>
      </c>
      <c r="M7" s="168">
        <v>1489662000</v>
      </c>
      <c r="N7" s="168">
        <v>1.1000000000000001</v>
      </c>
      <c r="O7" s="168">
        <v>270</v>
      </c>
      <c r="P7" s="168">
        <v>2.98</v>
      </c>
      <c r="Q7"/>
      <c r="R7"/>
    </row>
    <row r="8" spans="1:18" x14ac:dyDescent="0.25">
      <c r="A8" s="168">
        <v>44.12</v>
      </c>
      <c r="B8" s="168">
        <v>0.59</v>
      </c>
      <c r="C8" s="168">
        <v>18.239999999999998</v>
      </c>
      <c r="D8" s="8">
        <v>42810.25</v>
      </c>
      <c r="E8" s="168">
        <v>0.33</v>
      </c>
      <c r="F8" s="168" t="s">
        <v>840</v>
      </c>
      <c r="G8" s="168">
        <v>303.07</v>
      </c>
      <c r="H8" s="168">
        <v>0</v>
      </c>
      <c r="I8" s="168">
        <v>0</v>
      </c>
      <c r="J8" s="168">
        <v>1014.5</v>
      </c>
      <c r="K8" s="168" t="s">
        <v>841</v>
      </c>
      <c r="L8" s="168">
        <v>45.7</v>
      </c>
      <c r="M8" s="168">
        <v>1489665600</v>
      </c>
      <c r="N8" s="168">
        <v>1.1000000000000001</v>
      </c>
      <c r="O8" s="168">
        <v>262</v>
      </c>
      <c r="P8" s="168">
        <v>3.73</v>
      </c>
      <c r="Q8"/>
      <c r="R8"/>
    </row>
    <row r="9" spans="1:18" x14ac:dyDescent="0.25">
      <c r="A9" s="168">
        <v>45.63</v>
      </c>
      <c r="B9" s="168">
        <v>0.62</v>
      </c>
      <c r="C9" s="168">
        <v>19.55</v>
      </c>
      <c r="D9" s="8">
        <v>42810.291666666664</v>
      </c>
      <c r="E9" s="168">
        <v>0.35</v>
      </c>
      <c r="F9" s="168" t="s">
        <v>840</v>
      </c>
      <c r="G9" s="168">
        <v>303.36</v>
      </c>
      <c r="H9" s="168">
        <v>0</v>
      </c>
      <c r="I9" s="168">
        <v>0</v>
      </c>
      <c r="J9" s="168">
        <v>1014.55</v>
      </c>
      <c r="K9" s="168" t="s">
        <v>841</v>
      </c>
      <c r="L9" s="168">
        <v>45.63</v>
      </c>
      <c r="M9" s="168">
        <v>1489669200</v>
      </c>
      <c r="N9" s="168">
        <v>1.1000000000000001</v>
      </c>
      <c r="O9" s="168">
        <v>238</v>
      </c>
      <c r="P9" s="168">
        <v>2.2000000000000002</v>
      </c>
      <c r="Q9"/>
      <c r="R9"/>
    </row>
    <row r="10" spans="1:18" x14ac:dyDescent="0.25">
      <c r="A10" s="168">
        <v>47.04</v>
      </c>
      <c r="B10" s="168">
        <v>0.72</v>
      </c>
      <c r="C10" s="168">
        <v>19.62</v>
      </c>
      <c r="D10" s="8">
        <v>42810.333333333336</v>
      </c>
      <c r="E10" s="168">
        <v>0.33</v>
      </c>
      <c r="F10" s="168" t="s">
        <v>840</v>
      </c>
      <c r="G10" s="168">
        <v>303.39999999999998</v>
      </c>
      <c r="H10" s="168">
        <v>0</v>
      </c>
      <c r="I10" s="168">
        <v>0</v>
      </c>
      <c r="J10" s="168">
        <v>1014.82</v>
      </c>
      <c r="K10" s="168" t="s">
        <v>841</v>
      </c>
      <c r="L10" s="168">
        <v>47.04</v>
      </c>
      <c r="M10" s="168">
        <v>1489672800</v>
      </c>
      <c r="N10" s="168">
        <v>1.1000000000000001</v>
      </c>
      <c r="O10" s="168">
        <v>210</v>
      </c>
      <c r="P10" s="168">
        <v>2.13</v>
      </c>
      <c r="Q10"/>
      <c r="R10"/>
    </row>
    <row r="11" spans="1:18" x14ac:dyDescent="0.25">
      <c r="A11" s="168">
        <v>48.71</v>
      </c>
      <c r="B11" s="168">
        <v>0.78</v>
      </c>
      <c r="C11" s="168">
        <v>20.170000000000002</v>
      </c>
      <c r="D11" s="8">
        <v>42810.375</v>
      </c>
      <c r="E11" s="168">
        <v>0.32</v>
      </c>
      <c r="F11" s="168" t="s">
        <v>840</v>
      </c>
      <c r="G11" s="168">
        <v>304.83</v>
      </c>
      <c r="H11" s="168">
        <v>0</v>
      </c>
      <c r="I11" s="168">
        <v>0</v>
      </c>
      <c r="J11" s="168">
        <v>1014.82</v>
      </c>
      <c r="K11" s="168" t="s">
        <v>841</v>
      </c>
      <c r="L11" s="168">
        <v>48.71</v>
      </c>
      <c r="M11" s="168">
        <v>1489676400</v>
      </c>
      <c r="N11" s="168">
        <v>1.1000000000000001</v>
      </c>
      <c r="O11" s="168">
        <v>240</v>
      </c>
      <c r="P11" s="168">
        <v>2.52</v>
      </c>
      <c r="Q11"/>
      <c r="R11"/>
    </row>
    <row r="12" spans="1:18" x14ac:dyDescent="0.25">
      <c r="A12" s="168">
        <v>52.21</v>
      </c>
      <c r="B12" s="168">
        <v>0.71</v>
      </c>
      <c r="C12" s="168">
        <v>20.91</v>
      </c>
      <c r="D12" s="8">
        <v>42810.416666666664</v>
      </c>
      <c r="E12" s="168">
        <v>0.28999999999999998</v>
      </c>
      <c r="F12" s="168" t="s">
        <v>840</v>
      </c>
      <c r="G12" s="168">
        <v>309.39</v>
      </c>
      <c r="H12" s="168">
        <v>0</v>
      </c>
      <c r="I12" s="168">
        <v>0</v>
      </c>
      <c r="J12" s="168">
        <v>1014.11</v>
      </c>
      <c r="K12" s="168" t="s">
        <v>841</v>
      </c>
      <c r="L12" s="168">
        <v>52.21</v>
      </c>
      <c r="M12" s="168">
        <v>1489680000</v>
      </c>
      <c r="N12" s="168">
        <v>1.1000000000000001</v>
      </c>
      <c r="O12" s="168">
        <v>252</v>
      </c>
      <c r="P12" s="168">
        <v>2.96</v>
      </c>
      <c r="Q12"/>
      <c r="R12"/>
    </row>
    <row r="13" spans="1:18" x14ac:dyDescent="0.25">
      <c r="A13" s="168">
        <v>58.02</v>
      </c>
      <c r="B13" s="168">
        <v>0.59</v>
      </c>
      <c r="C13" s="168">
        <v>23.32</v>
      </c>
      <c r="D13" s="8">
        <v>42810.458333333336</v>
      </c>
      <c r="E13" s="168">
        <v>0.26</v>
      </c>
      <c r="F13" s="168" t="s">
        <v>840</v>
      </c>
      <c r="G13" s="168">
        <v>315.33999999999997</v>
      </c>
      <c r="H13" s="168">
        <v>0</v>
      </c>
      <c r="I13" s="168">
        <v>0</v>
      </c>
      <c r="J13" s="168">
        <v>1013.19</v>
      </c>
      <c r="K13" s="168" t="s">
        <v>841</v>
      </c>
      <c r="L13" s="168">
        <v>58.02</v>
      </c>
      <c r="M13" s="168">
        <v>1489683600</v>
      </c>
      <c r="N13" s="168">
        <v>1.1000000000000001</v>
      </c>
      <c r="O13" s="168">
        <v>235</v>
      </c>
      <c r="P13" s="168">
        <v>2.61</v>
      </c>
      <c r="Q13"/>
      <c r="R13"/>
    </row>
    <row r="14" spans="1:18" x14ac:dyDescent="0.25">
      <c r="A14" s="168">
        <v>66.11</v>
      </c>
      <c r="B14" s="168">
        <v>0.53</v>
      </c>
      <c r="C14" s="168">
        <v>23.73</v>
      </c>
      <c r="D14" s="8">
        <v>42810.5</v>
      </c>
      <c r="E14" s="168">
        <v>0.2</v>
      </c>
      <c r="F14" s="168" t="s">
        <v>840</v>
      </c>
      <c r="G14" s="168">
        <v>319.06</v>
      </c>
      <c r="H14" s="168">
        <v>0</v>
      </c>
      <c r="I14" s="168">
        <v>0</v>
      </c>
      <c r="J14" s="168">
        <v>1012.43</v>
      </c>
      <c r="K14" s="168" t="s">
        <v>841</v>
      </c>
      <c r="L14" s="168">
        <v>66.11</v>
      </c>
      <c r="M14" s="168">
        <v>1489687200</v>
      </c>
      <c r="N14" s="168">
        <v>1.1000000000000001</v>
      </c>
      <c r="O14" s="168">
        <v>290</v>
      </c>
      <c r="P14" s="168">
        <v>2.54</v>
      </c>
      <c r="Q14"/>
      <c r="R14"/>
    </row>
    <row r="15" spans="1:18" x14ac:dyDescent="0.25">
      <c r="A15" s="168">
        <v>69.88</v>
      </c>
      <c r="B15" s="168">
        <v>0.54</v>
      </c>
      <c r="C15" s="168">
        <v>20.54</v>
      </c>
      <c r="D15" s="8">
        <v>42810.541666666664</v>
      </c>
      <c r="E15" s="168">
        <v>0.15</v>
      </c>
      <c r="F15" s="168" t="s">
        <v>840</v>
      </c>
      <c r="G15" s="168">
        <v>318.51</v>
      </c>
      <c r="H15" s="168">
        <v>0</v>
      </c>
      <c r="I15" s="168">
        <v>0</v>
      </c>
      <c r="J15" s="168">
        <v>1011.91</v>
      </c>
      <c r="K15" s="168" t="s">
        <v>841</v>
      </c>
      <c r="L15" s="168">
        <v>69.88</v>
      </c>
      <c r="M15" s="168">
        <v>1489690800</v>
      </c>
      <c r="N15" s="168">
        <v>1.1000000000000001</v>
      </c>
      <c r="O15" s="168">
        <v>312</v>
      </c>
      <c r="P15" s="168">
        <v>4.3099999999999996</v>
      </c>
      <c r="Q15"/>
      <c r="R15"/>
    </row>
    <row r="16" spans="1:18" x14ac:dyDescent="0.25">
      <c r="A16" s="168">
        <v>71.41</v>
      </c>
      <c r="B16" s="168">
        <v>0.62</v>
      </c>
      <c r="C16" s="168">
        <v>19.2</v>
      </c>
      <c r="D16" s="8">
        <v>42810.583333333336</v>
      </c>
      <c r="E16" s="168">
        <v>0.14000000000000001</v>
      </c>
      <c r="F16" s="168" t="s">
        <v>840</v>
      </c>
      <c r="G16" s="168">
        <v>315.73</v>
      </c>
      <c r="H16" s="168">
        <v>0</v>
      </c>
      <c r="I16" s="168">
        <v>0</v>
      </c>
      <c r="J16" s="168">
        <v>1011.47</v>
      </c>
      <c r="K16" s="168" t="s">
        <v>841</v>
      </c>
      <c r="L16" s="168">
        <v>71.41</v>
      </c>
      <c r="M16" s="168">
        <v>1489694400</v>
      </c>
      <c r="N16" s="168">
        <v>1.1000000000000001</v>
      </c>
      <c r="O16" s="168">
        <v>316</v>
      </c>
      <c r="P16" s="168">
        <v>5.64</v>
      </c>
      <c r="Q16"/>
      <c r="R16"/>
    </row>
    <row r="17" spans="1:18" x14ac:dyDescent="0.25">
      <c r="A17" s="168">
        <v>72.19</v>
      </c>
      <c r="B17" s="168">
        <v>0.48</v>
      </c>
      <c r="C17" s="168">
        <v>17.54</v>
      </c>
      <c r="D17" s="8">
        <v>42810.625</v>
      </c>
      <c r="E17" s="168">
        <v>0.12</v>
      </c>
      <c r="F17" s="168" t="s">
        <v>383</v>
      </c>
      <c r="G17" s="168">
        <v>313.26</v>
      </c>
      <c r="H17" s="168">
        <v>0</v>
      </c>
      <c r="I17" s="168">
        <v>0</v>
      </c>
      <c r="J17" s="168">
        <v>1011.07</v>
      </c>
      <c r="K17" s="168" t="s">
        <v>382</v>
      </c>
      <c r="L17" s="168">
        <v>72.19</v>
      </c>
      <c r="M17" s="168">
        <v>1489698000</v>
      </c>
      <c r="N17" s="168">
        <v>3.03</v>
      </c>
      <c r="O17" s="168">
        <v>321</v>
      </c>
      <c r="P17" s="168">
        <v>6.98</v>
      </c>
      <c r="Q17"/>
      <c r="R17"/>
    </row>
    <row r="18" spans="1:18" x14ac:dyDescent="0.25">
      <c r="A18" s="168">
        <v>72.239999999999995</v>
      </c>
      <c r="B18" s="168">
        <v>0.49</v>
      </c>
      <c r="C18" s="168">
        <v>18.12</v>
      </c>
      <c r="D18" s="8">
        <v>42810.666666666664</v>
      </c>
      <c r="E18" s="168">
        <v>0.13</v>
      </c>
      <c r="F18" s="168" t="s">
        <v>383</v>
      </c>
      <c r="G18" s="168">
        <v>311.95999999999998</v>
      </c>
      <c r="H18" s="168">
        <v>0</v>
      </c>
      <c r="I18" s="168">
        <v>0</v>
      </c>
      <c r="J18" s="168">
        <v>1010.58</v>
      </c>
      <c r="K18" s="168" t="s">
        <v>382</v>
      </c>
      <c r="L18" s="168">
        <v>72.239999999999995</v>
      </c>
      <c r="M18" s="168">
        <v>1489701600</v>
      </c>
      <c r="N18" s="168">
        <v>5.26</v>
      </c>
      <c r="O18" s="168">
        <v>315</v>
      </c>
      <c r="P18" s="168">
        <v>8.8800000000000008</v>
      </c>
      <c r="Q18"/>
      <c r="R18"/>
    </row>
    <row r="19" spans="1:18" x14ac:dyDescent="0.25">
      <c r="A19" s="168">
        <v>72.540000000000006</v>
      </c>
      <c r="B19" s="168">
        <v>0.55000000000000004</v>
      </c>
      <c r="C19" s="168">
        <v>18.5</v>
      </c>
      <c r="D19" s="8">
        <v>42810.708333333336</v>
      </c>
      <c r="E19" s="168">
        <v>0.13</v>
      </c>
      <c r="F19" s="168" t="s">
        <v>383</v>
      </c>
      <c r="G19" s="168">
        <v>310.95999999999998</v>
      </c>
      <c r="H19" s="168">
        <v>0</v>
      </c>
      <c r="I19" s="168">
        <v>0</v>
      </c>
      <c r="J19" s="168">
        <v>1010.21</v>
      </c>
      <c r="K19" s="168" t="s">
        <v>382</v>
      </c>
      <c r="L19" s="168">
        <v>72.540000000000006</v>
      </c>
      <c r="M19" s="168">
        <v>1489705200</v>
      </c>
      <c r="N19" s="168">
        <v>5.4</v>
      </c>
      <c r="O19" s="168">
        <v>324</v>
      </c>
      <c r="P19" s="168">
        <v>8.7200000000000006</v>
      </c>
      <c r="Q19"/>
      <c r="R19"/>
    </row>
    <row r="20" spans="1:18" x14ac:dyDescent="0.25">
      <c r="A20" s="168">
        <v>70.7</v>
      </c>
      <c r="B20" s="168">
        <v>0.49</v>
      </c>
      <c r="C20" s="168">
        <v>17.36</v>
      </c>
      <c r="D20" s="8">
        <v>42810.75</v>
      </c>
      <c r="E20" s="168">
        <v>0.13</v>
      </c>
      <c r="F20" s="168" t="s">
        <v>383</v>
      </c>
      <c r="G20" s="168">
        <v>310.27</v>
      </c>
      <c r="H20" s="168">
        <v>0</v>
      </c>
      <c r="I20" s="168">
        <v>0</v>
      </c>
      <c r="J20" s="168">
        <v>1010.35</v>
      </c>
      <c r="K20" s="168" t="s">
        <v>382</v>
      </c>
      <c r="L20" s="168">
        <v>70.7</v>
      </c>
      <c r="M20" s="168">
        <v>1489708800</v>
      </c>
      <c r="N20" s="168">
        <v>5.81</v>
      </c>
      <c r="O20" s="168">
        <v>326</v>
      </c>
      <c r="P20" s="168">
        <v>7.45</v>
      </c>
      <c r="Q20"/>
      <c r="R20"/>
    </row>
    <row r="21" spans="1:18" x14ac:dyDescent="0.25">
      <c r="A21" s="168">
        <v>67.900000000000006</v>
      </c>
      <c r="B21" s="168">
        <v>0.42</v>
      </c>
      <c r="C21" s="168">
        <v>19.77</v>
      </c>
      <c r="D21" s="8">
        <v>42810.791666666664</v>
      </c>
      <c r="E21" s="168">
        <v>0.16</v>
      </c>
      <c r="F21" s="168" t="s">
        <v>383</v>
      </c>
      <c r="G21" s="168">
        <v>309.94</v>
      </c>
      <c r="H21" s="168">
        <v>0</v>
      </c>
      <c r="I21" s="168">
        <v>0</v>
      </c>
      <c r="J21" s="168">
        <v>1010.94</v>
      </c>
      <c r="K21" s="168" t="s">
        <v>382</v>
      </c>
      <c r="L21" s="168">
        <v>67.900000000000006</v>
      </c>
      <c r="M21" s="168">
        <v>1489712400</v>
      </c>
      <c r="N21" s="168">
        <v>6.33</v>
      </c>
      <c r="O21" s="168">
        <v>325</v>
      </c>
      <c r="P21" s="168">
        <v>5.89</v>
      </c>
      <c r="Q21"/>
      <c r="R21"/>
    </row>
    <row r="22" spans="1:18" x14ac:dyDescent="0.25">
      <c r="A22" s="168">
        <v>64.66</v>
      </c>
      <c r="B22" s="168">
        <v>0.28000000000000003</v>
      </c>
      <c r="C22" s="168">
        <v>21.46</v>
      </c>
      <c r="D22" s="8">
        <v>42810.833333333336</v>
      </c>
      <c r="E22" s="168">
        <v>0.19</v>
      </c>
      <c r="F22" s="168" t="s">
        <v>381</v>
      </c>
      <c r="G22" s="168">
        <v>309.91000000000003</v>
      </c>
      <c r="H22" s="168">
        <v>0</v>
      </c>
      <c r="I22" s="168">
        <v>0</v>
      </c>
      <c r="J22" s="168">
        <v>1012.44</v>
      </c>
      <c r="K22" s="168" t="s">
        <v>382</v>
      </c>
      <c r="L22" s="168">
        <v>64.66</v>
      </c>
      <c r="M22" s="168">
        <v>1489716000</v>
      </c>
      <c r="N22" s="168">
        <v>7.34</v>
      </c>
      <c r="O22" s="168">
        <v>312</v>
      </c>
      <c r="P22" s="168">
        <v>4.4800000000000004</v>
      </c>
      <c r="Q22"/>
      <c r="R22"/>
    </row>
    <row r="23" spans="1:18" x14ac:dyDescent="0.25">
      <c r="A23" s="168">
        <v>61.59</v>
      </c>
      <c r="B23" s="168">
        <v>0.23</v>
      </c>
      <c r="C23" s="168">
        <v>20.5</v>
      </c>
      <c r="D23" s="8">
        <v>42810.875</v>
      </c>
      <c r="E23" s="168">
        <v>0.2</v>
      </c>
      <c r="F23" s="168" t="s">
        <v>496</v>
      </c>
      <c r="G23" s="168">
        <v>309.97000000000003</v>
      </c>
      <c r="H23" s="168">
        <v>0</v>
      </c>
      <c r="I23" s="168">
        <v>0</v>
      </c>
      <c r="J23" s="168">
        <v>1013.85</v>
      </c>
      <c r="K23" s="168" t="s">
        <v>495</v>
      </c>
      <c r="L23" s="168">
        <v>61.59</v>
      </c>
      <c r="M23" s="168">
        <v>1489719600</v>
      </c>
      <c r="N23" s="168">
        <v>6.82</v>
      </c>
      <c r="O23" s="168">
        <v>289</v>
      </c>
      <c r="P23" s="168">
        <v>4.3899999999999997</v>
      </c>
      <c r="Q23"/>
      <c r="R23"/>
    </row>
    <row r="24" spans="1:18" x14ac:dyDescent="0.25">
      <c r="A24" s="168">
        <v>61.53</v>
      </c>
      <c r="B24" s="168">
        <v>0.34</v>
      </c>
      <c r="C24" s="168">
        <v>21.14</v>
      </c>
      <c r="D24" s="8">
        <v>42810.916666666664</v>
      </c>
      <c r="E24" s="168">
        <v>0.21</v>
      </c>
      <c r="F24" s="168" t="s">
        <v>381</v>
      </c>
      <c r="G24" s="168">
        <v>310.07</v>
      </c>
      <c r="H24" s="168">
        <v>0</v>
      </c>
      <c r="I24" s="168">
        <v>0</v>
      </c>
      <c r="J24" s="168">
        <v>1014.42</v>
      </c>
      <c r="K24" s="168" t="s">
        <v>382</v>
      </c>
      <c r="L24" s="168">
        <v>61.53</v>
      </c>
      <c r="M24" s="168">
        <v>1489723200</v>
      </c>
      <c r="N24" s="168">
        <v>5.81</v>
      </c>
      <c r="O24" s="168">
        <v>278</v>
      </c>
      <c r="P24" s="168">
        <v>5.36</v>
      </c>
      <c r="Q24"/>
      <c r="R24"/>
    </row>
    <row r="25" spans="1:18" x14ac:dyDescent="0.25">
      <c r="A25" s="168">
        <v>61.22</v>
      </c>
      <c r="B25" s="168">
        <v>0.45</v>
      </c>
      <c r="C25" s="168">
        <v>19.899999999999999</v>
      </c>
      <c r="D25" s="8">
        <v>42810.958333333336</v>
      </c>
      <c r="E25" s="168">
        <v>0.2</v>
      </c>
      <c r="F25" s="168" t="s">
        <v>381</v>
      </c>
      <c r="G25" s="168">
        <v>310.26</v>
      </c>
      <c r="H25" s="168">
        <v>0</v>
      </c>
      <c r="I25" s="168">
        <v>0</v>
      </c>
      <c r="J25" s="168">
        <v>1014.64</v>
      </c>
      <c r="K25" s="168" t="s">
        <v>382</v>
      </c>
      <c r="L25" s="168">
        <v>61.22</v>
      </c>
      <c r="M25" s="168">
        <v>1489726800</v>
      </c>
      <c r="N25" s="168">
        <v>5.47</v>
      </c>
      <c r="O25" s="168">
        <v>265</v>
      </c>
      <c r="P25" s="168">
        <v>4.21</v>
      </c>
      <c r="Q25"/>
      <c r="R25"/>
    </row>
    <row r="26" spans="1:18" x14ac:dyDescent="0.25">
      <c r="A26" s="168">
        <v>58.75</v>
      </c>
      <c r="B26" s="168">
        <v>0.5</v>
      </c>
      <c r="C26" s="168">
        <v>20.190000000000001</v>
      </c>
      <c r="D26" s="8">
        <v>42811</v>
      </c>
      <c r="E26" s="168">
        <v>0.22</v>
      </c>
      <c r="F26" s="168" t="s">
        <v>381</v>
      </c>
      <c r="G26" s="168">
        <v>310.48</v>
      </c>
      <c r="H26" s="168">
        <v>0</v>
      </c>
      <c r="I26" s="168">
        <v>0</v>
      </c>
      <c r="J26" s="168">
        <v>1015.13</v>
      </c>
      <c r="K26" s="168" t="s">
        <v>382</v>
      </c>
      <c r="L26" s="168">
        <v>58.75</v>
      </c>
      <c r="M26" s="168">
        <v>1489730400</v>
      </c>
      <c r="N26" s="168">
        <v>5.57</v>
      </c>
      <c r="O26" s="168">
        <v>263</v>
      </c>
      <c r="P26" s="168">
        <v>5.15</v>
      </c>
      <c r="Q26"/>
      <c r="R26"/>
    </row>
    <row r="27" spans="1:18" x14ac:dyDescent="0.25">
      <c r="A27" s="168">
        <v>57.45</v>
      </c>
      <c r="B27" s="168">
        <v>0.66</v>
      </c>
      <c r="C27" s="168">
        <v>19.66</v>
      </c>
      <c r="D27" s="8">
        <v>42811.041666666664</v>
      </c>
      <c r="E27" s="168">
        <v>0.23</v>
      </c>
      <c r="F27" s="168" t="s">
        <v>381</v>
      </c>
      <c r="G27" s="168">
        <v>310.75</v>
      </c>
      <c r="H27" s="168">
        <v>0</v>
      </c>
      <c r="I27" s="168">
        <v>0</v>
      </c>
      <c r="J27" s="168">
        <v>1016.44</v>
      </c>
      <c r="K27" s="168" t="s">
        <v>542</v>
      </c>
      <c r="L27" s="168">
        <v>57.45</v>
      </c>
      <c r="M27" s="168">
        <v>1489734000</v>
      </c>
      <c r="N27" s="168">
        <v>5.67</v>
      </c>
      <c r="O27" s="168">
        <v>255</v>
      </c>
      <c r="P27" s="168">
        <v>3.88</v>
      </c>
      <c r="Q27"/>
      <c r="R27"/>
    </row>
    <row r="28" spans="1:18" x14ac:dyDescent="0.25">
      <c r="A28" s="168">
        <v>55.72</v>
      </c>
      <c r="B28" s="168">
        <v>0.61</v>
      </c>
      <c r="C28" s="168">
        <v>19.2</v>
      </c>
      <c r="D28" s="8">
        <v>42811.083333333336</v>
      </c>
      <c r="E28" s="168">
        <v>0.24</v>
      </c>
      <c r="F28" s="168" t="s">
        <v>381</v>
      </c>
      <c r="G28" s="168">
        <v>311.02</v>
      </c>
      <c r="H28" s="168">
        <v>0</v>
      </c>
      <c r="I28" s="168">
        <v>0</v>
      </c>
      <c r="J28" s="168">
        <v>1017.74</v>
      </c>
      <c r="K28" s="168" t="s">
        <v>542</v>
      </c>
      <c r="L28" s="168">
        <v>55.72</v>
      </c>
      <c r="M28" s="168">
        <v>1489737600</v>
      </c>
      <c r="N28" s="168">
        <v>5.54</v>
      </c>
      <c r="O28" s="168">
        <v>298</v>
      </c>
      <c r="P28" s="168">
        <v>2.25</v>
      </c>
      <c r="Q28"/>
      <c r="R28"/>
    </row>
    <row r="29" spans="1:18" x14ac:dyDescent="0.25">
      <c r="A29" s="168">
        <v>52.75</v>
      </c>
      <c r="B29" s="168">
        <v>0.62</v>
      </c>
      <c r="C29" s="168">
        <v>20.95</v>
      </c>
      <c r="D29" s="8">
        <v>42811.125</v>
      </c>
      <c r="E29" s="168">
        <v>0.28000000000000003</v>
      </c>
      <c r="F29" s="168" t="s">
        <v>381</v>
      </c>
      <c r="G29" s="168">
        <v>311.29000000000002</v>
      </c>
      <c r="H29" s="168">
        <v>0</v>
      </c>
      <c r="I29" s="168">
        <v>0</v>
      </c>
      <c r="J29" s="168">
        <v>1019.09</v>
      </c>
      <c r="K29" s="168" t="s">
        <v>542</v>
      </c>
      <c r="L29" s="168">
        <v>52.75</v>
      </c>
      <c r="M29" s="168">
        <v>1489741200</v>
      </c>
      <c r="N29" s="168">
        <v>3.96</v>
      </c>
      <c r="O29" s="168">
        <v>253</v>
      </c>
      <c r="P29" s="168">
        <v>0.89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404</v>
      </c>
      <c r="U1" s="219"/>
      <c r="V1" s="219"/>
      <c r="W1" s="219"/>
      <c r="X1" s="219"/>
    </row>
    <row r="2" spans="1:24" ht="15.75" thickBot="1" x14ac:dyDescent="0.3">
      <c r="A2" s="12">
        <v>42810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405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417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418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419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1009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588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1010</v>
      </c>
      <c r="J20" s="152" t="s">
        <v>87</v>
      </c>
      <c r="M20" s="168" t="s">
        <v>396</v>
      </c>
      <c r="N20" s="168" t="s">
        <v>396</v>
      </c>
      <c r="T20" s="197"/>
      <c r="U20" s="197"/>
      <c r="V20" s="197"/>
      <c r="W20" s="197"/>
      <c r="X20" s="197"/>
    </row>
    <row r="21" spans="3:24" x14ac:dyDescent="0.25">
      <c r="C21" t="s">
        <v>1011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1012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1013</v>
      </c>
      <c r="J23" s="162" t="s">
        <v>95</v>
      </c>
      <c r="M23" s="168" t="str">
        <f>"-06"</f>
        <v>-06</v>
      </c>
      <c r="T23" s="197"/>
      <c r="U23" s="197"/>
      <c r="V23" s="197"/>
      <c r="W23" s="197"/>
      <c r="X23" s="197"/>
    </row>
    <row r="24" spans="3:24" x14ac:dyDescent="0.25">
      <c r="C24" t="s">
        <v>1014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1015</v>
      </c>
      <c r="J25" s="152" t="s">
        <v>150</v>
      </c>
      <c r="M25" s="168" t="b">
        <v>1</v>
      </c>
    </row>
    <row r="26" spans="3:24" x14ac:dyDescent="0.25">
      <c r="C26" t="s">
        <v>1016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C:\Users\stu\Documents\GitHub\eaglep3-reporting\EC\2017-03-16-refined-times.txt</v>
      </c>
    </row>
    <row r="27" spans="3:24" x14ac:dyDescent="0.25">
      <c r="C27" t="s">
        <v>1017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C:\Users\stu\Documents\GitHub\eaglep3-reporting\EC\2017-03-16-Enforcements.txt</v>
      </c>
    </row>
    <row r="28" spans="3:24" x14ac:dyDescent="0.25">
      <c r="C28" t="s">
        <v>1018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C:\Users\stu\Documents\GitHub\eaglep3-reporting\EC\2017-03-16-Runs-refined.txt</v>
      </c>
    </row>
    <row r="29" spans="3:24" x14ac:dyDescent="0.25">
      <c r="C29" t="s">
        <v>1019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C:\Users\stu\Documents\GitHub\eaglep3-reporting\EC\2017-03-16-Trips.txt</v>
      </c>
    </row>
    <row r="30" spans="3:24" x14ac:dyDescent="0.25">
      <c r="C30" t="s">
        <v>1020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C:\Users\stu\Documents\GitHub\eaglep3-reporting\EC\2017-03-16-Weather.txt</v>
      </c>
    </row>
    <row r="31" spans="3:24" x14ac:dyDescent="0.25">
      <c r="C31" t="s">
        <v>1021</v>
      </c>
      <c r="J31" s="152" t="s">
        <v>204</v>
      </c>
      <c r="M31" s="168" t="s">
        <v>205</v>
      </c>
    </row>
    <row r="32" spans="3:24" x14ac:dyDescent="0.25">
      <c r="C32" t="s">
        <v>1022</v>
      </c>
    </row>
    <row r="33" spans="3:3" x14ac:dyDescent="0.25">
      <c r="C33" t="s">
        <v>1023</v>
      </c>
    </row>
    <row r="34" spans="3:3" x14ac:dyDescent="0.25">
      <c r="C34" t="s">
        <v>1024</v>
      </c>
    </row>
    <row r="35" spans="3:3" x14ac:dyDescent="0.25">
      <c r="C35" t="s">
        <v>1025</v>
      </c>
    </row>
    <row r="36" spans="3:3" x14ac:dyDescent="0.25">
      <c r="C36" t="s">
        <v>1026</v>
      </c>
    </row>
    <row r="37" spans="3:3" x14ac:dyDescent="0.25">
      <c r="C37" t="s">
        <v>1027</v>
      </c>
    </row>
    <row r="38" spans="3:3" x14ac:dyDescent="0.25">
      <c r="C38" t="s">
        <v>1028</v>
      </c>
    </row>
    <row r="39" spans="3:3" x14ac:dyDescent="0.25">
      <c r="C39" t="s">
        <v>1029</v>
      </c>
    </row>
    <row r="40" spans="3:3" x14ac:dyDescent="0.25">
      <c r="C40" t="s">
        <v>1030</v>
      </c>
    </row>
    <row r="41" spans="3:3" x14ac:dyDescent="0.25">
      <c r="C41" t="s">
        <v>1031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247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248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249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250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251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252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253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254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255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256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257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258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259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260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261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262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263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264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265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266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267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268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269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270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271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272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273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274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275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276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277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278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279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280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281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282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283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284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285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286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287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288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289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290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291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292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293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294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295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296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297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298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299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300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301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302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303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304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305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306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307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308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309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310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311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312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313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314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315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316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317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318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319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320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321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322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323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324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325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326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327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328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329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330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331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332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333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334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335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336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337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338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339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340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341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342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343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344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345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346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347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348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349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350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351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352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353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354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355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356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357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358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359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360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361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362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363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364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365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366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367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368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369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370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371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372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373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374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375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376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2017-03-17T15:47:47Z</dcterms:modified>
</cp:coreProperties>
</file>