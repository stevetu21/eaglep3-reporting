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Enforcements!$A$6:$AC$36</definedName>
    <definedName name="_xlnm._FilterDatabase" localSheetId="2" hidden="1">'Missing Trips'!$A$2:$J$142</definedName>
    <definedName name="_xlnm._FilterDatabase" localSheetId="0" hidden="1">'Train Runs'!$A$12:$AG$250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8" i="1" l="1"/>
  <c r="X29" i="1"/>
  <c r="X30" i="1"/>
  <c r="X31" i="1"/>
  <c r="K28" i="1"/>
  <c r="L28" i="1"/>
  <c r="M28" i="1"/>
  <c r="T28" i="1"/>
  <c r="V28" i="1"/>
  <c r="Y28" i="1"/>
  <c r="Z28" i="1"/>
  <c r="AA28" i="1" s="1"/>
  <c r="AB28" i="1"/>
  <c r="AC28" i="1"/>
  <c r="AD28" i="1"/>
  <c r="AG28" i="1" s="1"/>
  <c r="AE28" i="1"/>
  <c r="AF28" i="1"/>
  <c r="AH28" i="1"/>
  <c r="AM28" i="1"/>
  <c r="AN28" i="1"/>
  <c r="K16" i="1"/>
  <c r="L16" i="1"/>
  <c r="M16" i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U28" i="1" l="1"/>
  <c r="S28" i="1" s="1"/>
  <c r="AI28" i="1"/>
  <c r="W28" i="1"/>
  <c r="AG16" i="1"/>
  <c r="X16" i="1"/>
  <c r="P15" i="1"/>
  <c r="K15" i="1"/>
  <c r="L15" i="1"/>
  <c r="M15" i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X171" i="1"/>
  <c r="V145" i="1"/>
  <c r="V146" i="1"/>
  <c r="S25" i="3" s="1"/>
  <c r="V147" i="1"/>
  <c r="K147" i="1"/>
  <c r="L147" i="1"/>
  <c r="M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V148" i="1"/>
  <c r="Y148" i="1"/>
  <c r="Z148" i="1"/>
  <c r="AB148" i="1"/>
  <c r="AC148" i="1"/>
  <c r="AD148" i="1"/>
  <c r="X148" i="1" s="1"/>
  <c r="AE148" i="1"/>
  <c r="AF148" i="1"/>
  <c r="AH148" i="1"/>
  <c r="AM148" i="1"/>
  <c r="AN148" i="1"/>
  <c r="K149" i="1"/>
  <c r="L149" i="1"/>
  <c r="M149" i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V151" i="1"/>
  <c r="Y151" i="1"/>
  <c r="Z151" i="1"/>
  <c r="AB151" i="1"/>
  <c r="AC151" i="1"/>
  <c r="AD151" i="1"/>
  <c r="X151" i="1" s="1"/>
  <c r="AE151" i="1"/>
  <c r="AF151" i="1"/>
  <c r="AH151" i="1"/>
  <c r="AM151" i="1"/>
  <c r="AN151" i="1"/>
  <c r="K152" i="1"/>
  <c r="L152" i="1"/>
  <c r="M152" i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D145" i="1"/>
  <c r="T145" i="1" s="1"/>
  <c r="AG14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7" i="1"/>
  <c r="L17" i="1"/>
  <c r="M17" i="1"/>
  <c r="P17" i="1" s="1"/>
  <c r="V17" i="1"/>
  <c r="S11" i="3" s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L18" i="1"/>
  <c r="M18" i="1"/>
  <c r="P18" i="1" s="1"/>
  <c r="V18" i="1"/>
  <c r="Y18" i="1"/>
  <c r="Z18" i="1"/>
  <c r="AB18" i="1"/>
  <c r="AC18" i="1"/>
  <c r="AD18" i="1"/>
  <c r="X18" i="1" s="1"/>
  <c r="AE18" i="1"/>
  <c r="R17" i="3" s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P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P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9" i="1"/>
  <c r="L29" i="1"/>
  <c r="M29" i="1"/>
  <c r="N29" i="1" s="1"/>
  <c r="V29" i="1"/>
  <c r="Y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S21" i="3" s="1"/>
  <c r="Y41" i="1"/>
  <c r="Z41" i="1"/>
  <c r="AB41" i="1"/>
  <c r="AC41" i="1"/>
  <c r="AD41" i="1"/>
  <c r="T41" i="1" s="1"/>
  <c r="AE41" i="1"/>
  <c r="R21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S7" i="3" s="1"/>
  <c r="Y44" i="1"/>
  <c r="Z44" i="1"/>
  <c r="AA44" i="1" s="1"/>
  <c r="AB44" i="1"/>
  <c r="AC44" i="1"/>
  <c r="AD44" i="1"/>
  <c r="AG44" i="1" s="1"/>
  <c r="AE44" i="1"/>
  <c r="R7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K48" i="1"/>
  <c r="L48" i="1"/>
  <c r="M48" i="1"/>
  <c r="N48" i="1"/>
  <c r="V48" i="1"/>
  <c r="Y48" i="1"/>
  <c r="Z48" i="1"/>
  <c r="AB48" i="1"/>
  <c r="AC48" i="1"/>
  <c r="AD48" i="1"/>
  <c r="AG48" i="1" s="1"/>
  <c r="AE48" i="1"/>
  <c r="AF48" i="1"/>
  <c r="AH48" i="1"/>
  <c r="AI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AA53" i="1" s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AA57" i="1" s="1"/>
  <c r="Z57" i="1"/>
  <c r="AB57" i="1"/>
  <c r="AC57" i="1"/>
  <c r="AD57" i="1"/>
  <c r="AG57" i="1" s="1"/>
  <c r="AE57" i="1"/>
  <c r="R12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I64" i="1" s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S19" i="3" s="1"/>
  <c r="Y82" i="1"/>
  <c r="Z82" i="1"/>
  <c r="AB82" i="1"/>
  <c r="AC82" i="1"/>
  <c r="AD82" i="1"/>
  <c r="T82" i="1" s="1"/>
  <c r="AE82" i="1"/>
  <c r="R19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S22" i="3" s="1"/>
  <c r="Y87" i="1"/>
  <c r="Z87" i="1"/>
  <c r="AB87" i="1"/>
  <c r="AC87" i="1"/>
  <c r="AD87" i="1"/>
  <c r="AE87" i="1"/>
  <c r="R22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P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3" i="1"/>
  <c r="AM103" i="1"/>
  <c r="AN103" i="1"/>
  <c r="K94" i="1"/>
  <c r="L94" i="1"/>
  <c r="M94" i="1"/>
  <c r="N94" i="1"/>
  <c r="V94" i="1"/>
  <c r="Y94" i="1"/>
  <c r="Z94" i="1"/>
  <c r="AB94" i="1"/>
  <c r="AC94" i="1"/>
  <c r="AD94" i="1"/>
  <c r="AE94" i="1"/>
  <c r="AF94" i="1"/>
  <c r="AH104" i="1"/>
  <c r="AM104" i="1"/>
  <c r="AN104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05" i="1"/>
  <c r="AM105" i="1"/>
  <c r="AN105" i="1"/>
  <c r="AH106" i="1"/>
  <c r="AM106" i="1"/>
  <c r="AN106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7" i="1"/>
  <c r="AM107" i="1"/>
  <c r="AN107" i="1"/>
  <c r="K170" i="1"/>
  <c r="L170" i="1"/>
  <c r="M170" i="1"/>
  <c r="N170" i="1" s="1"/>
  <c r="V170" i="1"/>
  <c r="Y170" i="1"/>
  <c r="Z170" i="1"/>
  <c r="AI170" i="1" s="1"/>
  <c r="AB170" i="1"/>
  <c r="AC170" i="1"/>
  <c r="AD170" i="1"/>
  <c r="AG170" i="1" s="1"/>
  <c r="AE170" i="1"/>
  <c r="AF170" i="1"/>
  <c r="AH108" i="1"/>
  <c r="AM108" i="1"/>
  <c r="AN108" i="1"/>
  <c r="K171" i="1"/>
  <c r="L171" i="1"/>
  <c r="M171" i="1"/>
  <c r="N171" i="1" s="1"/>
  <c r="V171" i="1"/>
  <c r="Y171" i="1"/>
  <c r="Z171" i="1"/>
  <c r="AI171" i="1" s="1"/>
  <c r="AB171" i="1"/>
  <c r="AC171" i="1"/>
  <c r="AD171" i="1"/>
  <c r="AG171" i="1" s="1"/>
  <c r="AE171" i="1"/>
  <c r="AF171" i="1"/>
  <c r="AH109" i="1"/>
  <c r="AM109" i="1"/>
  <c r="AN109" i="1"/>
  <c r="K172" i="1"/>
  <c r="L172" i="1"/>
  <c r="M172" i="1"/>
  <c r="V172" i="1"/>
  <c r="Y172" i="1"/>
  <c r="Z172" i="1"/>
  <c r="AB172" i="1"/>
  <c r="AC172" i="1"/>
  <c r="AD172" i="1"/>
  <c r="X172" i="1" s="1"/>
  <c r="AE172" i="1"/>
  <c r="AF172" i="1"/>
  <c r="AH110" i="1"/>
  <c r="AM110" i="1"/>
  <c r="AN11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1" i="1"/>
  <c r="AM111" i="1"/>
  <c r="AN111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12" i="1"/>
  <c r="AM112" i="1"/>
  <c r="AN112" i="1"/>
  <c r="K175" i="1"/>
  <c r="L175" i="1"/>
  <c r="M175" i="1"/>
  <c r="N175" i="1"/>
  <c r="V175" i="1"/>
  <c r="Y175" i="1"/>
  <c r="Z175" i="1"/>
  <c r="AB175" i="1"/>
  <c r="AC175" i="1"/>
  <c r="AD175" i="1"/>
  <c r="AG175" i="1" s="1"/>
  <c r="AE175" i="1"/>
  <c r="AF175" i="1"/>
  <c r="AH113" i="1"/>
  <c r="AM113" i="1"/>
  <c r="AN11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4" i="1"/>
  <c r="AM114" i="1"/>
  <c r="AN11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5" i="1"/>
  <c r="AM115" i="1"/>
  <c r="AN115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16" i="1"/>
  <c r="AM116" i="1"/>
  <c r="AN11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7" i="1"/>
  <c r="AM117" i="1"/>
  <c r="AN117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8" i="1"/>
  <c r="AM118" i="1"/>
  <c r="AN118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9" i="1"/>
  <c r="AM119" i="1"/>
  <c r="AN119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120" i="1"/>
  <c r="AM120" i="1"/>
  <c r="AN120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1" i="1"/>
  <c r="AM121" i="1"/>
  <c r="AN121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22" i="1"/>
  <c r="AM122" i="1"/>
  <c r="AN12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3" i="1"/>
  <c r="AM123" i="1"/>
  <c r="AN123" i="1"/>
  <c r="K185" i="1"/>
  <c r="L185" i="1"/>
  <c r="M185" i="1"/>
  <c r="N185" i="1"/>
  <c r="V185" i="1"/>
  <c r="Y185" i="1"/>
  <c r="Z185" i="1"/>
  <c r="AB185" i="1"/>
  <c r="AC185" i="1"/>
  <c r="AD185" i="1"/>
  <c r="AG185" i="1" s="1"/>
  <c r="AE185" i="1"/>
  <c r="AF185" i="1"/>
  <c r="AH124" i="1"/>
  <c r="AM124" i="1"/>
  <c r="AN124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5" i="1"/>
  <c r="AM125" i="1"/>
  <c r="AN12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6" i="1"/>
  <c r="AM126" i="1"/>
  <c r="AN126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7" i="1"/>
  <c r="AM127" i="1"/>
  <c r="AN127" i="1"/>
  <c r="K188" i="1"/>
  <c r="L188" i="1"/>
  <c r="M188" i="1"/>
  <c r="N188" i="1"/>
  <c r="V188" i="1"/>
  <c r="Y188" i="1"/>
  <c r="Z188" i="1"/>
  <c r="AB188" i="1"/>
  <c r="AC188" i="1"/>
  <c r="AD188" i="1"/>
  <c r="AE188" i="1"/>
  <c r="AF188" i="1"/>
  <c r="AH128" i="1"/>
  <c r="AM128" i="1"/>
  <c r="AN12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9" i="1"/>
  <c r="AM129" i="1"/>
  <c r="AN12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30" i="1"/>
  <c r="AM130" i="1"/>
  <c r="AN13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31" i="1"/>
  <c r="AM131" i="1"/>
  <c r="AN131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2" i="1"/>
  <c r="AM132" i="1"/>
  <c r="AN132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3" i="1"/>
  <c r="AM133" i="1"/>
  <c r="AN133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4" i="1"/>
  <c r="AM134" i="1"/>
  <c r="AN134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7" i="1"/>
  <c r="AM137" i="1"/>
  <c r="AN137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8" i="1"/>
  <c r="AM138" i="1"/>
  <c r="AN138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139" i="1"/>
  <c r="AM139" i="1"/>
  <c r="AN13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140" i="1"/>
  <c r="AM140" i="1"/>
  <c r="AN140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41" i="1"/>
  <c r="AM141" i="1"/>
  <c r="AN141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2" i="1"/>
  <c r="AM142" i="1"/>
  <c r="AN142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4" i="1"/>
  <c r="AM144" i="1"/>
  <c r="AN144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6" i="1"/>
  <c r="AM146" i="1"/>
  <c r="AN146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58" i="1"/>
  <c r="AM158" i="1"/>
  <c r="AN158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59" i="1"/>
  <c r="AM159" i="1"/>
  <c r="AN159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60" i="1"/>
  <c r="AM160" i="1"/>
  <c r="AN160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61" i="1"/>
  <c r="AM161" i="1"/>
  <c r="AN161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62" i="1"/>
  <c r="AM162" i="1"/>
  <c r="AN16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63" i="1"/>
  <c r="AM163" i="1"/>
  <c r="AN163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64" i="1"/>
  <c r="AM164" i="1"/>
  <c r="AN164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65" i="1"/>
  <c r="AM165" i="1"/>
  <c r="AN165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66" i="1"/>
  <c r="AM166" i="1"/>
  <c r="AN166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67" i="1"/>
  <c r="AM167" i="1"/>
  <c r="AN167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68" i="1"/>
  <c r="AM168" i="1"/>
  <c r="AN168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9" i="1"/>
  <c r="AM169" i="1"/>
  <c r="AN169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70" i="1"/>
  <c r="AM170" i="1"/>
  <c r="AN170" i="1"/>
  <c r="K124" i="1"/>
  <c r="L124" i="1"/>
  <c r="M124" i="1"/>
  <c r="N124" i="1" s="1"/>
  <c r="V124" i="1"/>
  <c r="S16" i="3" s="1"/>
  <c r="Y124" i="1"/>
  <c r="Z124" i="1"/>
  <c r="AB124" i="1"/>
  <c r="AC124" i="1"/>
  <c r="AD124" i="1"/>
  <c r="AG124" i="1" s="1"/>
  <c r="AE124" i="1"/>
  <c r="R16" i="3" s="1"/>
  <c r="AF124" i="1"/>
  <c r="AH171" i="1"/>
  <c r="AM171" i="1"/>
  <c r="AN171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72" i="1"/>
  <c r="AM172" i="1"/>
  <c r="AN172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73" i="1"/>
  <c r="AM173" i="1"/>
  <c r="AN173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74" i="1"/>
  <c r="AM174" i="1"/>
  <c r="AN174" i="1"/>
  <c r="K128" i="1"/>
  <c r="L128" i="1"/>
  <c r="M128" i="1"/>
  <c r="N128" i="1" s="1"/>
  <c r="V128" i="1"/>
  <c r="Y128" i="1"/>
  <c r="Z128" i="1"/>
  <c r="AA128" i="1" s="1"/>
  <c r="W128" i="1" s="1"/>
  <c r="AB128" i="1"/>
  <c r="AC128" i="1"/>
  <c r="AD128" i="1"/>
  <c r="AG128" i="1" s="1"/>
  <c r="AE128" i="1"/>
  <c r="AF128" i="1"/>
  <c r="AH175" i="1"/>
  <c r="AI175" i="1"/>
  <c r="AM175" i="1"/>
  <c r="AN175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R20" i="3" s="1"/>
  <c r="AF129" i="1"/>
  <c r="AH176" i="1"/>
  <c r="AM176" i="1"/>
  <c r="AN176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77" i="1"/>
  <c r="AM177" i="1"/>
  <c r="AN177" i="1"/>
  <c r="K131" i="1"/>
  <c r="L131" i="1"/>
  <c r="M131" i="1"/>
  <c r="N131" i="1" s="1"/>
  <c r="V131" i="1"/>
  <c r="Y131" i="1"/>
  <c r="Z131" i="1"/>
  <c r="AB131" i="1"/>
  <c r="AC131" i="1"/>
  <c r="AD131" i="1"/>
  <c r="X132" i="1" s="1"/>
  <c r="AE131" i="1"/>
  <c r="AF131" i="1"/>
  <c r="AH178" i="1"/>
  <c r="AM178" i="1"/>
  <c r="AN178" i="1"/>
  <c r="K132" i="1"/>
  <c r="L132" i="1"/>
  <c r="M132" i="1"/>
  <c r="N132" i="1" s="1"/>
  <c r="V132" i="1"/>
  <c r="Y132" i="1"/>
  <c r="Z132" i="1"/>
  <c r="AA132" i="1"/>
  <c r="W132" i="1" s="1"/>
  <c r="AB132" i="1"/>
  <c r="AC132" i="1"/>
  <c r="AD132" i="1"/>
  <c r="AG132" i="1" s="1"/>
  <c r="AI132" i="1" s="1"/>
  <c r="AE132" i="1"/>
  <c r="AF132" i="1"/>
  <c r="AH179" i="1"/>
  <c r="AM179" i="1"/>
  <c r="AN179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80" i="1"/>
  <c r="AM180" i="1"/>
  <c r="AN180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81" i="1"/>
  <c r="AM181" i="1"/>
  <c r="AN181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82" i="1"/>
  <c r="AM182" i="1"/>
  <c r="AN182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83" i="1"/>
  <c r="AM183" i="1"/>
  <c r="AN183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84" i="1"/>
  <c r="AM184" i="1"/>
  <c r="AN184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85" i="1"/>
  <c r="AM185" i="1"/>
  <c r="AN185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86" i="1"/>
  <c r="AM186" i="1"/>
  <c r="AN186" i="1"/>
  <c r="K140" i="1"/>
  <c r="L140" i="1"/>
  <c r="M140" i="1"/>
  <c r="N140" i="1" s="1"/>
  <c r="V140" i="1"/>
  <c r="S13" i="3" s="1"/>
  <c r="Y140" i="1"/>
  <c r="Z140" i="1"/>
  <c r="AB140" i="1"/>
  <c r="AC140" i="1"/>
  <c r="AD140" i="1"/>
  <c r="AG140" i="1" s="1"/>
  <c r="AE140" i="1"/>
  <c r="R13" i="3" s="1"/>
  <c r="AF140" i="1"/>
  <c r="AH187" i="1"/>
  <c r="AM187" i="1"/>
  <c r="AN187" i="1"/>
  <c r="K141" i="1"/>
  <c r="L141" i="1"/>
  <c r="M141" i="1"/>
  <c r="N141" i="1" s="1"/>
  <c r="V141" i="1"/>
  <c r="S18" i="3" s="1"/>
  <c r="Y141" i="1"/>
  <c r="Z141" i="1"/>
  <c r="AB141" i="1"/>
  <c r="AC141" i="1"/>
  <c r="AD141" i="1"/>
  <c r="T141" i="1" s="1"/>
  <c r="AE141" i="1"/>
  <c r="R10" i="3" s="1"/>
  <c r="AF141" i="1"/>
  <c r="AH188" i="1"/>
  <c r="AM188" i="1"/>
  <c r="AN188" i="1"/>
  <c r="K142" i="1"/>
  <c r="L142" i="1"/>
  <c r="M142" i="1"/>
  <c r="N142" i="1" s="1"/>
  <c r="V142" i="1"/>
  <c r="S23" i="3" s="1"/>
  <c r="Y142" i="1"/>
  <c r="Z142" i="1"/>
  <c r="AB142" i="1"/>
  <c r="AC142" i="1"/>
  <c r="AD142" i="1"/>
  <c r="T142" i="1" s="1"/>
  <c r="AE142" i="1"/>
  <c r="R9" i="3" s="1"/>
  <c r="AF142" i="1"/>
  <c r="AH189" i="1"/>
  <c r="AM189" i="1"/>
  <c r="AN189" i="1"/>
  <c r="K143" i="1"/>
  <c r="L143" i="1"/>
  <c r="M143" i="1"/>
  <c r="N143" i="1" s="1"/>
  <c r="V143" i="1"/>
  <c r="S14" i="3" s="1"/>
  <c r="Y143" i="1"/>
  <c r="Z143" i="1"/>
  <c r="AB143" i="1"/>
  <c r="AC143" i="1"/>
  <c r="AD143" i="1"/>
  <c r="AG143" i="1" s="1"/>
  <c r="AE143" i="1"/>
  <c r="R14" i="3" s="1"/>
  <c r="AF143" i="1"/>
  <c r="AH190" i="1"/>
  <c r="AM190" i="1"/>
  <c r="AN190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91" i="1"/>
  <c r="AM191" i="1"/>
  <c r="AN191" i="1"/>
  <c r="K146" i="1"/>
  <c r="L146" i="1"/>
  <c r="M146" i="1"/>
  <c r="N146" i="1" s="1"/>
  <c r="Y146" i="1"/>
  <c r="Z146" i="1"/>
  <c r="AB146" i="1"/>
  <c r="AC146" i="1"/>
  <c r="AD146" i="1"/>
  <c r="T146" i="1" s="1"/>
  <c r="AE146" i="1"/>
  <c r="AF146" i="1"/>
  <c r="AH192" i="1"/>
  <c r="AM192" i="1"/>
  <c r="AN192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4" i="1"/>
  <c r="AM194" i="1"/>
  <c r="AN194" i="1"/>
  <c r="K193" i="1"/>
  <c r="L193" i="1"/>
  <c r="M193" i="1"/>
  <c r="N193" i="1"/>
  <c r="V193" i="1"/>
  <c r="Y193" i="1"/>
  <c r="Z193" i="1"/>
  <c r="AB193" i="1"/>
  <c r="AC193" i="1"/>
  <c r="AD193" i="1"/>
  <c r="AG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G196" i="1" s="1"/>
  <c r="AI196" i="1" s="1"/>
  <c r="AE196" i="1"/>
  <c r="AF196" i="1"/>
  <c r="AH198" i="1"/>
  <c r="AM198" i="1"/>
  <c r="AN198" i="1"/>
  <c r="K197" i="1"/>
  <c r="L197" i="1"/>
  <c r="M197" i="1"/>
  <c r="N197" i="1" s="1"/>
  <c r="V197" i="1"/>
  <c r="S28" i="3" s="1"/>
  <c r="Y197" i="1"/>
  <c r="Z197" i="1"/>
  <c r="AB197" i="1"/>
  <c r="AC197" i="1"/>
  <c r="AD197" i="1"/>
  <c r="AG197" i="1" s="1"/>
  <c r="AE197" i="1"/>
  <c r="R28" i="3" s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2" i="1"/>
  <c r="AM202" i="1"/>
  <c r="AN20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3" i="1"/>
  <c r="AM203" i="1"/>
  <c r="AN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4" i="1"/>
  <c r="AM204" i="1"/>
  <c r="AN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5" i="1"/>
  <c r="AM205" i="1"/>
  <c r="AN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22" i="1"/>
  <c r="AM222" i="1"/>
  <c r="AN222" i="1"/>
  <c r="M28" i="3"/>
  <c r="U28" i="3"/>
  <c r="T28" i="3" s="1"/>
  <c r="V28" i="3"/>
  <c r="W28" i="3"/>
  <c r="X28" i="3"/>
  <c r="M11" i="3"/>
  <c r="R11" i="3"/>
  <c r="U11" i="3"/>
  <c r="V11" i="3"/>
  <c r="W11" i="3"/>
  <c r="X11" i="3"/>
  <c r="M15" i="3"/>
  <c r="U15" i="3"/>
  <c r="AC15" i="3" s="1"/>
  <c r="V15" i="3"/>
  <c r="W15" i="3"/>
  <c r="X15" i="3"/>
  <c r="M17" i="3"/>
  <c r="S17" i="3"/>
  <c r="U17" i="3"/>
  <c r="T17" i="3" s="1"/>
  <c r="V17" i="3"/>
  <c r="W17" i="3"/>
  <c r="X17" i="3"/>
  <c r="AC17" i="3"/>
  <c r="M21" i="3"/>
  <c r="U21" i="3"/>
  <c r="AC21" i="3" s="1"/>
  <c r="V21" i="3"/>
  <c r="W21" i="3"/>
  <c r="X21" i="3"/>
  <c r="M7" i="3"/>
  <c r="U7" i="3"/>
  <c r="V7" i="3"/>
  <c r="W7" i="3"/>
  <c r="X7" i="3"/>
  <c r="AC7" i="3"/>
  <c r="M12" i="3"/>
  <c r="S12" i="3"/>
  <c r="U12" i="3"/>
  <c r="T12" i="3" s="1"/>
  <c r="V12" i="3"/>
  <c r="W12" i="3"/>
  <c r="X12" i="3"/>
  <c r="AC12" i="3"/>
  <c r="M26" i="3"/>
  <c r="R26" i="3"/>
  <c r="S26" i="3"/>
  <c r="U26" i="3"/>
  <c r="V26" i="3"/>
  <c r="W26" i="3"/>
  <c r="X26" i="3"/>
  <c r="M22" i="3"/>
  <c r="U22" i="3"/>
  <c r="AC22" i="3" s="1"/>
  <c r="V22" i="3"/>
  <c r="W22" i="3"/>
  <c r="X22" i="3"/>
  <c r="M19" i="3"/>
  <c r="U19" i="3"/>
  <c r="V19" i="3"/>
  <c r="W19" i="3"/>
  <c r="X19" i="3"/>
  <c r="AC19" i="3"/>
  <c r="M16" i="3"/>
  <c r="U16" i="3"/>
  <c r="T16" i="3" s="1"/>
  <c r="V16" i="3"/>
  <c r="W16" i="3"/>
  <c r="X16" i="3"/>
  <c r="M29" i="3"/>
  <c r="R29" i="3"/>
  <c r="S29" i="3"/>
  <c r="U29" i="3"/>
  <c r="V29" i="3"/>
  <c r="W29" i="3"/>
  <c r="X29" i="3"/>
  <c r="M20" i="3"/>
  <c r="S20" i="3"/>
  <c r="U20" i="3"/>
  <c r="AC20" i="3" s="1"/>
  <c r="V20" i="3"/>
  <c r="W20" i="3"/>
  <c r="X20" i="3"/>
  <c r="M13" i="3"/>
  <c r="U13" i="3"/>
  <c r="V13" i="3"/>
  <c r="W13" i="3"/>
  <c r="X13" i="3"/>
  <c r="AC13" i="3"/>
  <c r="M9" i="3"/>
  <c r="S9" i="3"/>
  <c r="U9" i="3"/>
  <c r="T9" i="3" s="1"/>
  <c r="V9" i="3"/>
  <c r="W9" i="3"/>
  <c r="X9" i="3"/>
  <c r="AC9" i="3"/>
  <c r="M8" i="3"/>
  <c r="U8" i="3"/>
  <c r="V8" i="3"/>
  <c r="W8" i="3"/>
  <c r="X8" i="3"/>
  <c r="M18" i="3"/>
  <c r="U18" i="3"/>
  <c r="AC18" i="3" s="1"/>
  <c r="V18" i="3"/>
  <c r="W18" i="3"/>
  <c r="X18" i="3"/>
  <c r="M23" i="3"/>
  <c r="R23" i="3"/>
  <c r="U23" i="3"/>
  <c r="V23" i="3"/>
  <c r="W23" i="3"/>
  <c r="X23" i="3"/>
  <c r="AC23" i="3"/>
  <c r="M24" i="3"/>
  <c r="U24" i="3"/>
  <c r="T24" i="3" s="1"/>
  <c r="V24" i="3"/>
  <c r="W24" i="3"/>
  <c r="X24" i="3"/>
  <c r="AC24" i="3"/>
  <c r="M10" i="3"/>
  <c r="U10" i="3"/>
  <c r="V10" i="3"/>
  <c r="W10" i="3"/>
  <c r="X10" i="3"/>
  <c r="AC10" i="3"/>
  <c r="M14" i="3"/>
  <c r="U14" i="3"/>
  <c r="AC14" i="3" s="1"/>
  <c r="V14" i="3"/>
  <c r="W14" i="3"/>
  <c r="X14" i="3"/>
  <c r="M25" i="3"/>
  <c r="R25" i="3"/>
  <c r="U25" i="3"/>
  <c r="V25" i="3"/>
  <c r="W25" i="3"/>
  <c r="X25" i="3"/>
  <c r="AC25" i="3"/>
  <c r="S15" i="3" l="1"/>
  <c r="W44" i="1"/>
  <c r="AG17" i="1"/>
  <c r="X17" i="1"/>
  <c r="AI16" i="1"/>
  <c r="U16" i="1"/>
  <c r="S16" i="1" s="1"/>
  <c r="W16" i="1"/>
  <c r="X19" i="1"/>
  <c r="AD28" i="3"/>
  <c r="AD25" i="3"/>
  <c r="AG15" i="1"/>
  <c r="X15" i="1"/>
  <c r="AC28" i="3"/>
  <c r="Y8" i="3"/>
  <c r="AE26" i="3"/>
  <c r="S8" i="3"/>
  <c r="AE25" i="3"/>
  <c r="AA202" i="1"/>
  <c r="AA196" i="1"/>
  <c r="W196" i="1" s="1"/>
  <c r="X138" i="1"/>
  <c r="AA120" i="1"/>
  <c r="W120" i="1" s="1"/>
  <c r="AA116" i="1"/>
  <c r="W116" i="1" s="1"/>
  <c r="AA112" i="1"/>
  <c r="W112" i="1" s="1"/>
  <c r="AA190" i="1"/>
  <c r="AA186" i="1"/>
  <c r="W186" i="1" s="1"/>
  <c r="AI183" i="1"/>
  <c r="AA180" i="1"/>
  <c r="AA177" i="1"/>
  <c r="AA175" i="1"/>
  <c r="W175" i="1" s="1"/>
  <c r="X85" i="1"/>
  <c r="AG65" i="1"/>
  <c r="X65" i="1"/>
  <c r="X34" i="1"/>
  <c r="AG14" i="1"/>
  <c r="AI14" i="1" s="1"/>
  <c r="X170" i="1"/>
  <c r="X189" i="1"/>
  <c r="T25" i="1"/>
  <c r="U25" i="1" s="1"/>
  <c r="S25" i="1" s="1"/>
  <c r="X169" i="1"/>
  <c r="AA217" i="1"/>
  <c r="AA205" i="1"/>
  <c r="AA197" i="1"/>
  <c r="W197" i="1" s="1"/>
  <c r="AA102" i="1"/>
  <c r="W102" i="1" s="1"/>
  <c r="AA98" i="1"/>
  <c r="W98" i="1" s="1"/>
  <c r="AA95" i="1"/>
  <c r="W95" i="1" s="1"/>
  <c r="AA171" i="1"/>
  <c r="AI164" i="1"/>
  <c r="AG58" i="1"/>
  <c r="AA27" i="1"/>
  <c r="W27" i="1" s="1"/>
  <c r="X142" i="1"/>
  <c r="S10" i="3"/>
  <c r="X175" i="1"/>
  <c r="X156" i="1"/>
  <c r="X152" i="1"/>
  <c r="X144" i="1"/>
  <c r="X158" i="1"/>
  <c r="W171" i="1"/>
  <c r="X21" i="1"/>
  <c r="R8" i="3"/>
  <c r="Y25" i="3"/>
  <c r="Y11" i="3"/>
  <c r="T129" i="1"/>
  <c r="U129" i="1" s="1"/>
  <c r="S129" i="1" s="1"/>
  <c r="AD23" i="3"/>
  <c r="AA198" i="1"/>
  <c r="AA124" i="1"/>
  <c r="W124" i="1" s="1"/>
  <c r="T120" i="1"/>
  <c r="U120" i="1" s="1"/>
  <c r="S120" i="1" s="1"/>
  <c r="AA119" i="1"/>
  <c r="AA117" i="1"/>
  <c r="AA166" i="1"/>
  <c r="AA162" i="1"/>
  <c r="W162" i="1" s="1"/>
  <c r="AA92" i="1"/>
  <c r="AG84" i="1"/>
  <c r="AI84" i="1" s="1"/>
  <c r="AA75" i="1"/>
  <c r="AA69" i="1"/>
  <c r="AA60" i="1"/>
  <c r="AG42" i="1"/>
  <c r="X42" i="1"/>
  <c r="AI36" i="1"/>
  <c r="AI19" i="1"/>
  <c r="T17" i="1"/>
  <c r="AA157" i="1"/>
  <c r="AA155" i="1"/>
  <c r="AA153" i="1"/>
  <c r="AA151" i="1"/>
  <c r="AA149" i="1"/>
  <c r="AA147" i="1"/>
  <c r="X155" i="1"/>
  <c r="X147" i="1"/>
  <c r="X143" i="1"/>
  <c r="X154" i="1"/>
  <c r="X150" i="1"/>
  <c r="X146" i="1"/>
  <c r="R24" i="3"/>
  <c r="AD26" i="3"/>
  <c r="AD17" i="3"/>
  <c r="AA218" i="1"/>
  <c r="AA214" i="1"/>
  <c r="W214" i="1" s="1"/>
  <c r="AA194" i="1"/>
  <c r="AA123" i="1"/>
  <c r="W123" i="1" s="1"/>
  <c r="AA91" i="1"/>
  <c r="AA84" i="1"/>
  <c r="AA76" i="1"/>
  <c r="AI68" i="1"/>
  <c r="AA63" i="1"/>
  <c r="AA54" i="1"/>
  <c r="AA35" i="1"/>
  <c r="W35" i="1" s="1"/>
  <c r="AA156" i="1"/>
  <c r="AA154" i="1"/>
  <c r="AA152" i="1"/>
  <c r="AA150" i="1"/>
  <c r="AA148" i="1"/>
  <c r="X157" i="1"/>
  <c r="X153" i="1"/>
  <c r="X149" i="1"/>
  <c r="X145" i="1"/>
  <c r="X159" i="1"/>
  <c r="W152" i="1"/>
  <c r="AI152" i="1"/>
  <c r="T155" i="1"/>
  <c r="U155" i="1" s="1"/>
  <c r="S155" i="1" s="1"/>
  <c r="T151" i="1"/>
  <c r="T152" i="1"/>
  <c r="U152" i="1" s="1"/>
  <c r="S152" i="1" s="1"/>
  <c r="AG151" i="1"/>
  <c r="W151" i="1" s="1"/>
  <c r="AG150" i="1"/>
  <c r="AG148" i="1"/>
  <c r="T148" i="1"/>
  <c r="AG147" i="1"/>
  <c r="W147" i="1" s="1"/>
  <c r="AG157" i="1"/>
  <c r="AG153" i="1"/>
  <c r="AG149" i="1"/>
  <c r="AG156" i="1"/>
  <c r="AG154" i="1"/>
  <c r="W155" i="1"/>
  <c r="U147" i="1"/>
  <c r="S147" i="1" s="1"/>
  <c r="AI155" i="1"/>
  <c r="AI151" i="1"/>
  <c r="T219" i="1"/>
  <c r="X219" i="1"/>
  <c r="AG219" i="1"/>
  <c r="AI219" i="1" s="1"/>
  <c r="AG194" i="1"/>
  <c r="T194" i="1"/>
  <c r="T125" i="1"/>
  <c r="AG125" i="1"/>
  <c r="AI125" i="1" s="1"/>
  <c r="T172" i="1"/>
  <c r="AA23" i="1"/>
  <c r="W23" i="1" s="1"/>
  <c r="AI23" i="1"/>
  <c r="AA222" i="1"/>
  <c r="W222" i="1" s="1"/>
  <c r="T215" i="1"/>
  <c r="AG215" i="1"/>
  <c r="T198" i="1"/>
  <c r="X198" i="1"/>
  <c r="AG198" i="1"/>
  <c r="W198" i="1" s="1"/>
  <c r="X62" i="1"/>
  <c r="T62" i="1"/>
  <c r="T211" i="1"/>
  <c r="X211" i="1"/>
  <c r="AG211" i="1"/>
  <c r="AI211" i="1" s="1"/>
  <c r="X218" i="1"/>
  <c r="T203" i="1"/>
  <c r="X203" i="1"/>
  <c r="AG203" i="1"/>
  <c r="AI203" i="1" s="1"/>
  <c r="AI165" i="1"/>
  <c r="T61" i="1"/>
  <c r="AG61" i="1"/>
  <c r="AI61" i="1" s="1"/>
  <c r="Y18" i="3"/>
  <c r="Y26" i="3"/>
  <c r="Y15" i="3"/>
  <c r="R15" i="3"/>
  <c r="AG146" i="1"/>
  <c r="X104" i="1"/>
  <c r="AI102" i="1"/>
  <c r="AI98" i="1"/>
  <c r="AG82" i="1"/>
  <c r="AI82" i="1" s="1"/>
  <c r="X77" i="1"/>
  <c r="X61" i="1"/>
  <c r="AG54" i="1"/>
  <c r="AI44" i="1"/>
  <c r="X37" i="1"/>
  <c r="AG29" i="1"/>
  <c r="AI29" i="1" s="1"/>
  <c r="AA19" i="1"/>
  <c r="W19" i="1" s="1"/>
  <c r="AA209" i="1"/>
  <c r="X199" i="1"/>
  <c r="AA104" i="1"/>
  <c r="W104" i="1" s="1"/>
  <c r="AA183" i="1"/>
  <c r="AA86" i="1"/>
  <c r="AE23" i="3"/>
  <c r="S24" i="3"/>
  <c r="R18" i="3"/>
  <c r="Y29" i="3"/>
  <c r="AA141" i="1"/>
  <c r="X120" i="1"/>
  <c r="AG190" i="1"/>
  <c r="U190" i="1" s="1"/>
  <c r="S190" i="1" s="1"/>
  <c r="AD13" i="3"/>
  <c r="Y22" i="3"/>
  <c r="Y7" i="3"/>
  <c r="AA210" i="1"/>
  <c r="W210" i="1" s="1"/>
  <c r="AA208" i="1"/>
  <c r="AA193" i="1"/>
  <c r="W193" i="1" s="1"/>
  <c r="AA144" i="1"/>
  <c r="W144" i="1" s="1"/>
  <c r="AA135" i="1"/>
  <c r="W135" i="1" s="1"/>
  <c r="AA133" i="1"/>
  <c r="AA121" i="1"/>
  <c r="AA107" i="1"/>
  <c r="AG105" i="1"/>
  <c r="U105" i="1" s="1"/>
  <c r="S105" i="1" s="1"/>
  <c r="X105" i="1"/>
  <c r="AA201" i="1"/>
  <c r="AA97" i="1"/>
  <c r="W97" i="1" s="1"/>
  <c r="X187" i="1"/>
  <c r="AA187" i="1"/>
  <c r="AG184" i="1"/>
  <c r="AI184" i="1" s="1"/>
  <c r="X184" i="1"/>
  <c r="X90" i="1"/>
  <c r="AA81" i="1"/>
  <c r="AA80" i="1"/>
  <c r="X74" i="1"/>
  <c r="AA45" i="1"/>
  <c r="AA40" i="1"/>
  <c r="AI35" i="1"/>
  <c r="AA140" i="1"/>
  <c r="W140" i="1" s="1"/>
  <c r="X136" i="1"/>
  <c r="AA127" i="1"/>
  <c r="T117" i="1"/>
  <c r="AG117" i="1"/>
  <c r="W117" i="1" s="1"/>
  <c r="X117" i="1"/>
  <c r="AA206" i="1"/>
  <c r="W206" i="1" s="1"/>
  <c r="AG142" i="1"/>
  <c r="U142" i="1" s="1"/>
  <c r="S142" i="1" s="1"/>
  <c r="T121" i="1"/>
  <c r="AG121" i="1"/>
  <c r="AA221" i="1"/>
  <c r="AA213" i="1"/>
  <c r="AA216" i="1"/>
  <c r="X215" i="1"/>
  <c r="X207" i="1"/>
  <c r="AG207" i="1"/>
  <c r="U207" i="1" s="1"/>
  <c r="S207" i="1" s="1"/>
  <c r="X193" i="1"/>
  <c r="AI53" i="1"/>
  <c r="AA220" i="1"/>
  <c r="W218" i="1"/>
  <c r="AA212" i="1"/>
  <c r="W212" i="1" s="1"/>
  <c r="X210" i="1"/>
  <c r="AA204" i="1"/>
  <c r="AA199" i="1"/>
  <c r="AA146" i="1"/>
  <c r="AA142" i="1"/>
  <c r="AA139" i="1"/>
  <c r="AA136" i="1"/>
  <c r="W136" i="1" s="1"/>
  <c r="X130" i="1"/>
  <c r="AG113" i="1"/>
  <c r="AI113" i="1" s="1"/>
  <c r="X113" i="1"/>
  <c r="AA111" i="1"/>
  <c r="AG109" i="1"/>
  <c r="AI109" i="1" s="1"/>
  <c r="X109" i="1"/>
  <c r="AA106" i="1"/>
  <c r="X103" i="1"/>
  <c r="AA103" i="1"/>
  <c r="AA101" i="1"/>
  <c r="AI97" i="1"/>
  <c r="AA189" i="1"/>
  <c r="W189" i="1" s="1"/>
  <c r="AA188" i="1"/>
  <c r="AA184" i="1"/>
  <c r="T183" i="1"/>
  <c r="U183" i="1" s="1"/>
  <c r="S183" i="1" s="1"/>
  <c r="AA182" i="1"/>
  <c r="AG177" i="1"/>
  <c r="W177" i="1" s="1"/>
  <c r="AA170" i="1"/>
  <c r="W170" i="1" s="1"/>
  <c r="X166" i="1"/>
  <c r="AA164" i="1"/>
  <c r="W164" i="1" s="1"/>
  <c r="AA160" i="1"/>
  <c r="T158" i="1"/>
  <c r="AA93" i="1"/>
  <c r="AG90" i="1"/>
  <c r="AI90" i="1" s="1"/>
  <c r="T89" i="1"/>
  <c r="AA83" i="1"/>
  <c r="X82" i="1"/>
  <c r="AA78" i="1"/>
  <c r="AG76" i="1"/>
  <c r="AI76" i="1" s="1"/>
  <c r="AG74" i="1"/>
  <c r="U74" i="1" s="1"/>
  <c r="S74" i="1" s="1"/>
  <c r="T73" i="1"/>
  <c r="AG70" i="1"/>
  <c r="AI70" i="1" s="1"/>
  <c r="X70" i="1"/>
  <c r="AA64" i="1"/>
  <c r="W64" i="1" s="1"/>
  <c r="AA61" i="1"/>
  <c r="T53" i="1"/>
  <c r="U53" i="1" s="1"/>
  <c r="S53" i="1" s="1"/>
  <c r="AG50" i="1"/>
  <c r="AI50" i="1" s="1"/>
  <c r="X50" i="1"/>
  <c r="AG38" i="1"/>
  <c r="U38" i="1" s="1"/>
  <c r="S38" i="1" s="1"/>
  <c r="X38" i="1"/>
  <c r="AG37" i="1"/>
  <c r="U37" i="1" s="1"/>
  <c r="S37" i="1" s="1"/>
  <c r="AA34" i="1"/>
  <c r="AA32" i="1"/>
  <c r="AA26" i="1"/>
  <c r="X24" i="1"/>
  <c r="AA24" i="1"/>
  <c r="T20" i="1"/>
  <c r="T19" i="1"/>
  <c r="U19" i="1" s="1"/>
  <c r="S19" i="1" s="1"/>
  <c r="AA118" i="1"/>
  <c r="AA115" i="1"/>
  <c r="AA108" i="1"/>
  <c r="W108" i="1" s="1"/>
  <c r="AA99" i="1"/>
  <c r="AA179" i="1"/>
  <c r="X178" i="1"/>
  <c r="AA176" i="1"/>
  <c r="AA165" i="1"/>
  <c r="W165" i="1" s="1"/>
  <c r="T162" i="1"/>
  <c r="U162" i="1" s="1"/>
  <c r="S162" i="1" s="1"/>
  <c r="AA89" i="1"/>
  <c r="AA88" i="1"/>
  <c r="AA73" i="1"/>
  <c r="AA72" i="1"/>
  <c r="X58" i="1"/>
  <c r="X54" i="1"/>
  <c r="AA49" i="1"/>
  <c r="W49" i="1" s="1"/>
  <c r="W53" i="1"/>
  <c r="AA33" i="1"/>
  <c r="W33" i="1" s="1"/>
  <c r="AA29" i="1"/>
  <c r="AI27" i="1"/>
  <c r="AI116" i="1"/>
  <c r="AA113" i="1"/>
  <c r="AA109" i="1"/>
  <c r="AG99" i="1"/>
  <c r="AI99" i="1" s="1"/>
  <c r="X99" i="1"/>
  <c r="X167" i="1"/>
  <c r="AG166" i="1"/>
  <c r="X68" i="1"/>
  <c r="AG45" i="1"/>
  <c r="AI45" i="1" s="1"/>
  <c r="X45" i="1"/>
  <c r="X222" i="1"/>
  <c r="AA219" i="1"/>
  <c r="T218" i="1"/>
  <c r="U218" i="1" s="1"/>
  <c r="S218" i="1" s="1"/>
  <c r="X214" i="1"/>
  <c r="AA211" i="1"/>
  <c r="T210" i="1"/>
  <c r="X206" i="1"/>
  <c r="AA203" i="1"/>
  <c r="X197" i="1"/>
  <c r="AG141" i="1"/>
  <c r="AG137" i="1"/>
  <c r="U137" i="1" s="1"/>
  <c r="S137" i="1" s="1"/>
  <c r="AG133" i="1"/>
  <c r="AA131" i="1"/>
  <c r="AA129" i="1"/>
  <c r="W129" i="1" s="1"/>
  <c r="AA126" i="1"/>
  <c r="AA122" i="1"/>
  <c r="X121" i="1"/>
  <c r="X116" i="1"/>
  <c r="U113" i="1"/>
  <c r="S113" i="1" s="1"/>
  <c r="AA110" i="1"/>
  <c r="X108" i="1"/>
  <c r="AA105" i="1"/>
  <c r="T104" i="1"/>
  <c r="U104" i="1" s="1"/>
  <c r="S104" i="1" s="1"/>
  <c r="AA100" i="1"/>
  <c r="AA192" i="1"/>
  <c r="X137" i="1"/>
  <c r="T136" i="1"/>
  <c r="U136" i="1" s="1"/>
  <c r="S136" i="1" s="1"/>
  <c r="AI129" i="1"/>
  <c r="W127" i="1"/>
  <c r="X112" i="1"/>
  <c r="AA200" i="1"/>
  <c r="X102" i="1"/>
  <c r="X98" i="1"/>
  <c r="AA191" i="1"/>
  <c r="T187" i="1"/>
  <c r="W183" i="1"/>
  <c r="AA178" i="1"/>
  <c r="W178" i="1" s="1"/>
  <c r="AG176" i="1"/>
  <c r="AI176" i="1" s="1"/>
  <c r="X177" i="1"/>
  <c r="W69" i="1"/>
  <c r="T222" i="1"/>
  <c r="U222" i="1" s="1"/>
  <c r="S222" i="1" s="1"/>
  <c r="AA215" i="1"/>
  <c r="T214" i="1"/>
  <c r="U214" i="1" s="1"/>
  <c r="S214" i="1" s="1"/>
  <c r="AA207" i="1"/>
  <c r="W207" i="1" s="1"/>
  <c r="T206" i="1"/>
  <c r="U206" i="1" s="1"/>
  <c r="S206" i="1" s="1"/>
  <c r="T197" i="1"/>
  <c r="AA195" i="1"/>
  <c r="U146" i="1"/>
  <c r="S146" i="1" s="1"/>
  <c r="AA143" i="1"/>
  <c r="W143" i="1" s="1"/>
  <c r="AA138" i="1"/>
  <c r="AG126" i="1"/>
  <c r="U126" i="1" s="1"/>
  <c r="S126" i="1" s="1"/>
  <c r="X126" i="1"/>
  <c r="AA125" i="1"/>
  <c r="AG122" i="1"/>
  <c r="U122" i="1" s="1"/>
  <c r="S122" i="1" s="1"/>
  <c r="X122" i="1"/>
  <c r="T116" i="1"/>
  <c r="U116" i="1" s="1"/>
  <c r="S116" i="1" s="1"/>
  <c r="T108" i="1"/>
  <c r="U108" i="1" s="1"/>
  <c r="S108" i="1" s="1"/>
  <c r="T103" i="1"/>
  <c r="AG179" i="1"/>
  <c r="AI179" i="1" s="1"/>
  <c r="X179" i="1"/>
  <c r="U158" i="1"/>
  <c r="S158" i="1" s="1"/>
  <c r="AI69" i="1"/>
  <c r="AI49" i="1"/>
  <c r="AI215" i="1"/>
  <c r="T112" i="1"/>
  <c r="AG103" i="1"/>
  <c r="T102" i="1"/>
  <c r="U102" i="1" s="1"/>
  <c r="S102" i="1" s="1"/>
  <c r="T98" i="1"/>
  <c r="U98" i="1" s="1"/>
  <c r="S98" i="1" s="1"/>
  <c r="AG191" i="1"/>
  <c r="AI191" i="1" s="1"/>
  <c r="X191" i="1"/>
  <c r="AG187" i="1"/>
  <c r="W187" i="1" s="1"/>
  <c r="X180" i="1"/>
  <c r="T176" i="1"/>
  <c r="AI57" i="1"/>
  <c r="AI33" i="1"/>
  <c r="T178" i="1"/>
  <c r="U178" i="1" s="1"/>
  <c r="S178" i="1" s="1"/>
  <c r="AA169" i="1"/>
  <c r="AA168" i="1"/>
  <c r="AA163" i="1"/>
  <c r="X93" i="1"/>
  <c r="AA87" i="1"/>
  <c r="X86" i="1"/>
  <c r="AA79" i="1"/>
  <c r="X78" i="1"/>
  <c r="AA71" i="1"/>
  <c r="U65" i="1"/>
  <c r="S65" i="1" s="1"/>
  <c r="X57" i="1"/>
  <c r="X49" i="1"/>
  <c r="T33" i="1"/>
  <c r="U33" i="1" s="1"/>
  <c r="S33" i="1" s="1"/>
  <c r="AA31" i="1"/>
  <c r="T30" i="1"/>
  <c r="T27" i="1"/>
  <c r="U27" i="1" s="1"/>
  <c r="S27" i="1" s="1"/>
  <c r="X25" i="1"/>
  <c r="T24" i="1"/>
  <c r="AA22" i="1"/>
  <c r="AA21" i="1"/>
  <c r="AA18" i="1"/>
  <c r="T165" i="1"/>
  <c r="U165" i="1" s="1"/>
  <c r="S165" i="1" s="1"/>
  <c r="W57" i="1"/>
  <c r="AG55" i="1"/>
  <c r="AI55" i="1" s="1"/>
  <c r="AA52" i="1"/>
  <c r="AA51" i="1"/>
  <c r="X48" i="1"/>
  <c r="T44" i="1"/>
  <c r="U44" i="1" s="1"/>
  <c r="S44" i="1" s="1"/>
  <c r="AG41" i="1"/>
  <c r="AI41" i="1" s="1"/>
  <c r="AA172" i="1"/>
  <c r="AG169" i="1"/>
  <c r="U169" i="1" s="1"/>
  <c r="S169" i="1" s="1"/>
  <c r="AG163" i="1"/>
  <c r="U163" i="1" s="1"/>
  <c r="S163" i="1" s="1"/>
  <c r="X163" i="1"/>
  <c r="AG160" i="1"/>
  <c r="AA158" i="1"/>
  <c r="W158" i="1" s="1"/>
  <c r="AG88" i="1"/>
  <c r="AI88" i="1" s="1"/>
  <c r="AG86" i="1"/>
  <c r="AI86" i="1" s="1"/>
  <c r="AG80" i="1"/>
  <c r="AI80" i="1" s="1"/>
  <c r="AG78" i="1"/>
  <c r="AG72" i="1"/>
  <c r="AI72" i="1" s="1"/>
  <c r="T69" i="1"/>
  <c r="U69" i="1" s="1"/>
  <c r="S69" i="1" s="1"/>
  <c r="T57" i="1"/>
  <c r="U57" i="1" s="1"/>
  <c r="S57" i="1" s="1"/>
  <c r="T49" i="1"/>
  <c r="U49" i="1" s="1"/>
  <c r="S49" i="1" s="1"/>
  <c r="W39" i="1"/>
  <c r="T36" i="1"/>
  <c r="U36" i="1" s="1"/>
  <c r="S36" i="1" s="1"/>
  <c r="T34" i="1"/>
  <c r="AG30" i="1"/>
  <c r="AG24" i="1"/>
  <c r="AI24" i="1" s="1"/>
  <c r="T23" i="1"/>
  <c r="U23" i="1" s="1"/>
  <c r="S23" i="1" s="1"/>
  <c r="AG21" i="1"/>
  <c r="U21" i="1" s="1"/>
  <c r="S21" i="1" s="1"/>
  <c r="AA20" i="1"/>
  <c r="AA185" i="1"/>
  <c r="W185" i="1" s="1"/>
  <c r="AG172" i="1"/>
  <c r="U172" i="1" s="1"/>
  <c r="S172" i="1" s="1"/>
  <c r="AA94" i="1"/>
  <c r="X165" i="1"/>
  <c r="AA161" i="1"/>
  <c r="W161" i="1" s="1"/>
  <c r="AA159" i="1"/>
  <c r="W159" i="1" s="1"/>
  <c r="T159" i="1"/>
  <c r="U159" i="1" s="1"/>
  <c r="S159" i="1" s="1"/>
  <c r="AG92" i="1"/>
  <c r="AI92" i="1" s="1"/>
  <c r="AA90" i="1"/>
  <c r="X89" i="1"/>
  <c r="AA85" i="1"/>
  <c r="T85" i="1"/>
  <c r="AA82" i="1"/>
  <c r="X81" i="1"/>
  <c r="AA77" i="1"/>
  <c r="T77" i="1"/>
  <c r="AA74" i="1"/>
  <c r="X73" i="1"/>
  <c r="AA70" i="1"/>
  <c r="AA68" i="1"/>
  <c r="W68" i="1" s="1"/>
  <c r="AA67" i="1"/>
  <c r="AA65" i="1"/>
  <c r="W65" i="1" s="1"/>
  <c r="T64" i="1"/>
  <c r="U64" i="1" s="1"/>
  <c r="S64" i="1" s="1"/>
  <c r="AG62" i="1"/>
  <c r="AA58" i="1"/>
  <c r="W58" i="1" s="1"/>
  <c r="AA56" i="1"/>
  <c r="AA55" i="1"/>
  <c r="AG51" i="1"/>
  <c r="AA48" i="1"/>
  <c r="W48" i="1" s="1"/>
  <c r="T48" i="1"/>
  <c r="U48" i="1" s="1"/>
  <c r="S48" i="1" s="1"/>
  <c r="X44" i="1"/>
  <c r="AA43" i="1"/>
  <c r="AA37" i="1"/>
  <c r="AA36" i="1"/>
  <c r="W36" i="1" s="1"/>
  <c r="AG34" i="1"/>
  <c r="AG20" i="1"/>
  <c r="AI20" i="1" s="1"/>
  <c r="AI218" i="1"/>
  <c r="AI212" i="1"/>
  <c r="AI210" i="1"/>
  <c r="U210" i="1"/>
  <c r="S210" i="1" s="1"/>
  <c r="AI198" i="1"/>
  <c r="W119" i="1"/>
  <c r="AI222" i="1"/>
  <c r="AI214" i="1"/>
  <c r="AI206" i="1"/>
  <c r="T131" i="1"/>
  <c r="X131" i="1"/>
  <c r="T115" i="1"/>
  <c r="X115" i="1"/>
  <c r="T114" i="1"/>
  <c r="X114" i="1"/>
  <c r="U17" i="1"/>
  <c r="S17" i="1" s="1"/>
  <c r="T199" i="1"/>
  <c r="AG195" i="1"/>
  <c r="AI195" i="1" s="1"/>
  <c r="X195" i="1"/>
  <c r="T144" i="1"/>
  <c r="U144" i="1" s="1"/>
  <c r="S144" i="1" s="1"/>
  <c r="X140" i="1"/>
  <c r="T139" i="1"/>
  <c r="X139" i="1"/>
  <c r="T138" i="1"/>
  <c r="AG134" i="1"/>
  <c r="AI134" i="1" s="1"/>
  <c r="X134" i="1"/>
  <c r="X129" i="1"/>
  <c r="T128" i="1"/>
  <c r="U128" i="1" s="1"/>
  <c r="S128" i="1" s="1"/>
  <c r="X124" i="1"/>
  <c r="T123" i="1"/>
  <c r="U123" i="1" s="1"/>
  <c r="S123" i="1" s="1"/>
  <c r="X123" i="1"/>
  <c r="AG118" i="1"/>
  <c r="AI118" i="1" s="1"/>
  <c r="X118" i="1"/>
  <c r="AI161" i="1"/>
  <c r="AG110" i="1"/>
  <c r="W110" i="1" s="1"/>
  <c r="T110" i="1"/>
  <c r="X110" i="1"/>
  <c r="AG200" i="1"/>
  <c r="AI200" i="1" s="1"/>
  <c r="T200" i="1"/>
  <c r="X200" i="1"/>
  <c r="AI122" i="1"/>
  <c r="AG182" i="1"/>
  <c r="AI182" i="1" s="1"/>
  <c r="T182" i="1"/>
  <c r="X183" i="1"/>
  <c r="X182" i="1"/>
  <c r="T174" i="1"/>
  <c r="X174" i="1"/>
  <c r="AG174" i="1"/>
  <c r="AI174" i="1" s="1"/>
  <c r="X173" i="1"/>
  <c r="AG173" i="1"/>
  <c r="AI173" i="1" s="1"/>
  <c r="AI108" i="1"/>
  <c r="AI63" i="1"/>
  <c r="T192" i="1"/>
  <c r="X192" i="1"/>
  <c r="AI189" i="1"/>
  <c r="AG106" i="1"/>
  <c r="T106" i="1"/>
  <c r="X106" i="1"/>
  <c r="AI124" i="1"/>
  <c r="AI106" i="1"/>
  <c r="AG168" i="1"/>
  <c r="AI168" i="1" s="1"/>
  <c r="T168" i="1"/>
  <c r="AI17" i="1"/>
  <c r="AG220" i="1"/>
  <c r="AG216" i="1"/>
  <c r="AG208" i="1"/>
  <c r="AG204" i="1"/>
  <c r="T196" i="1"/>
  <c r="U196" i="1" s="1"/>
  <c r="S196" i="1" s="1"/>
  <c r="X196" i="1"/>
  <c r="AG221" i="1"/>
  <c r="X220" i="1"/>
  <c r="AG217" i="1"/>
  <c r="X216" i="1"/>
  <c r="AG213" i="1"/>
  <c r="X212" i="1"/>
  <c r="T212" i="1"/>
  <c r="U212" i="1" s="1"/>
  <c r="S212" i="1" s="1"/>
  <c r="AG209" i="1"/>
  <c r="X208" i="1"/>
  <c r="AG205" i="1"/>
  <c r="W205" i="1" s="1"/>
  <c r="X204" i="1"/>
  <c r="T202" i="1"/>
  <c r="X202" i="1"/>
  <c r="X221" i="1"/>
  <c r="X217" i="1"/>
  <c r="X213" i="1"/>
  <c r="X209" i="1"/>
  <c r="X205" i="1"/>
  <c r="AG202" i="1"/>
  <c r="AG199" i="1"/>
  <c r="AI199" i="1" s="1"/>
  <c r="U197" i="1"/>
  <c r="S197" i="1" s="1"/>
  <c r="X194" i="1"/>
  <c r="T193" i="1"/>
  <c r="U193" i="1" s="1"/>
  <c r="S193" i="1" s="1"/>
  <c r="T143" i="1"/>
  <c r="U143" i="1" s="1"/>
  <c r="S143" i="1" s="1"/>
  <c r="AG139" i="1"/>
  <c r="AG138" i="1"/>
  <c r="W138" i="1" s="1"/>
  <c r="X133" i="1"/>
  <c r="T132" i="1"/>
  <c r="U132" i="1" s="1"/>
  <c r="S132" i="1" s="1"/>
  <c r="AA130" i="1"/>
  <c r="X128" i="1"/>
  <c r="T127" i="1"/>
  <c r="U127" i="1" s="1"/>
  <c r="S127" i="1" s="1"/>
  <c r="X127" i="1"/>
  <c r="AA114" i="1"/>
  <c r="U112" i="1"/>
  <c r="S112" i="1" s="1"/>
  <c r="T130" i="1"/>
  <c r="AG100" i="1"/>
  <c r="AI100" i="1" s="1"/>
  <c r="T100" i="1"/>
  <c r="X100" i="1"/>
  <c r="U191" i="1"/>
  <c r="S191" i="1" s="1"/>
  <c r="T188" i="1"/>
  <c r="X188" i="1"/>
  <c r="AG188" i="1"/>
  <c r="X96" i="1"/>
  <c r="AG96" i="1"/>
  <c r="AI96" i="1" s="1"/>
  <c r="AI42" i="1"/>
  <c r="U42" i="1"/>
  <c r="S42" i="1" s="1"/>
  <c r="AA41" i="1"/>
  <c r="U41" i="1"/>
  <c r="S41" i="1" s="1"/>
  <c r="AG192" i="1"/>
  <c r="X141" i="1"/>
  <c r="T140" i="1"/>
  <c r="U140" i="1" s="1"/>
  <c r="S140" i="1" s="1"/>
  <c r="T135" i="1"/>
  <c r="U135" i="1" s="1"/>
  <c r="S135" i="1" s="1"/>
  <c r="X135" i="1"/>
  <c r="AG131" i="1"/>
  <c r="AI131" i="1" s="1"/>
  <c r="AG130" i="1"/>
  <c r="AI130" i="1" s="1"/>
  <c r="X125" i="1"/>
  <c r="T124" i="1"/>
  <c r="U124" i="1" s="1"/>
  <c r="S124" i="1" s="1"/>
  <c r="T119" i="1"/>
  <c r="U119" i="1" s="1"/>
  <c r="S119" i="1" s="1"/>
  <c r="X119" i="1"/>
  <c r="AG115" i="1"/>
  <c r="AI115" i="1" s="1"/>
  <c r="AG114" i="1"/>
  <c r="AI114" i="1" s="1"/>
  <c r="W200" i="1"/>
  <c r="U99" i="1"/>
  <c r="S99" i="1" s="1"/>
  <c r="AI123" i="1"/>
  <c r="AG111" i="1"/>
  <c r="AG107" i="1"/>
  <c r="AI107" i="1" s="1"/>
  <c r="AG201" i="1"/>
  <c r="AG101" i="1"/>
  <c r="AI101" i="1" s="1"/>
  <c r="T186" i="1"/>
  <c r="U186" i="1" s="1"/>
  <c r="S186" i="1" s="1"/>
  <c r="T181" i="1"/>
  <c r="X181" i="1"/>
  <c r="T180" i="1"/>
  <c r="T171" i="1"/>
  <c r="U171" i="1" s="1"/>
  <c r="S171" i="1" s="1"/>
  <c r="T94" i="1"/>
  <c r="X94" i="1"/>
  <c r="T167" i="1"/>
  <c r="AI91" i="1"/>
  <c r="AI74" i="1"/>
  <c r="X111" i="1"/>
  <c r="X107" i="1"/>
  <c r="X201" i="1"/>
  <c r="X101" i="1"/>
  <c r="X190" i="1"/>
  <c r="T189" i="1"/>
  <c r="U189" i="1" s="1"/>
  <c r="S189" i="1" s="1"/>
  <c r="AA96" i="1"/>
  <c r="X186" i="1"/>
  <c r="T185" i="1"/>
  <c r="U185" i="1" s="1"/>
  <c r="S185" i="1" s="1"/>
  <c r="X185" i="1"/>
  <c r="AG181" i="1"/>
  <c r="AG180" i="1"/>
  <c r="AI180" i="1" s="1"/>
  <c r="X176" i="1"/>
  <c r="T175" i="1"/>
  <c r="U175" i="1" s="1"/>
  <c r="S175" i="1" s="1"/>
  <c r="AA173" i="1"/>
  <c r="T170" i="1"/>
  <c r="U170" i="1" s="1"/>
  <c r="S170" i="1" s="1"/>
  <c r="AG94" i="1"/>
  <c r="AI94" i="1" s="1"/>
  <c r="AG167" i="1"/>
  <c r="AI167" i="1" s="1"/>
  <c r="X162" i="1"/>
  <c r="X161" i="1"/>
  <c r="AI95" i="1"/>
  <c r="X91" i="1"/>
  <c r="U78" i="1"/>
  <c r="S78" i="1" s="1"/>
  <c r="T67" i="1"/>
  <c r="X67" i="1"/>
  <c r="AG67" i="1"/>
  <c r="X66" i="1"/>
  <c r="AG66" i="1"/>
  <c r="AI58" i="1"/>
  <c r="U58" i="1"/>
  <c r="S58" i="1" s="1"/>
  <c r="X46" i="1"/>
  <c r="AG46" i="1"/>
  <c r="T46" i="1"/>
  <c r="T97" i="1"/>
  <c r="U97" i="1" s="1"/>
  <c r="S97" i="1" s="1"/>
  <c r="X97" i="1"/>
  <c r="T95" i="1"/>
  <c r="U95" i="1" s="1"/>
  <c r="S95" i="1" s="1"/>
  <c r="X95" i="1"/>
  <c r="AA167" i="1"/>
  <c r="T164" i="1"/>
  <c r="U164" i="1" s="1"/>
  <c r="S164" i="1" s="1"/>
  <c r="X164" i="1"/>
  <c r="T161" i="1"/>
  <c r="U161" i="1" s="1"/>
  <c r="S161" i="1" s="1"/>
  <c r="AG93" i="1"/>
  <c r="W91" i="1"/>
  <c r="T91" i="1"/>
  <c r="U91" i="1" s="1"/>
  <c r="S91" i="1" s="1"/>
  <c r="AG87" i="1"/>
  <c r="W87" i="1" s="1"/>
  <c r="T87" i="1"/>
  <c r="X87" i="1"/>
  <c r="U84" i="1"/>
  <c r="S84" i="1" s="1"/>
  <c r="AG83" i="1"/>
  <c r="T83" i="1"/>
  <c r="X83" i="1"/>
  <c r="AG79" i="1"/>
  <c r="T79" i="1"/>
  <c r="X79" i="1"/>
  <c r="AG75" i="1"/>
  <c r="T75" i="1"/>
  <c r="X75" i="1"/>
  <c r="T71" i="1"/>
  <c r="AG71" i="1"/>
  <c r="W71" i="1" s="1"/>
  <c r="X71" i="1"/>
  <c r="AI43" i="1"/>
  <c r="W63" i="1"/>
  <c r="T59" i="1"/>
  <c r="X59" i="1"/>
  <c r="T56" i="1"/>
  <c r="X56" i="1"/>
  <c r="AG56" i="1"/>
  <c r="U54" i="1"/>
  <c r="S54" i="1" s="1"/>
  <c r="AI51" i="1"/>
  <c r="W43" i="1"/>
  <c r="AG32" i="1"/>
  <c r="T32" i="1"/>
  <c r="X32" i="1"/>
  <c r="X33" i="1"/>
  <c r="X160" i="1"/>
  <c r="X92" i="1"/>
  <c r="AG89" i="1"/>
  <c r="X88" i="1"/>
  <c r="AG85" i="1"/>
  <c r="X84" i="1"/>
  <c r="AG81" i="1"/>
  <c r="X80" i="1"/>
  <c r="AG77" i="1"/>
  <c r="X76" i="1"/>
  <c r="AG73" i="1"/>
  <c r="X72" i="1"/>
  <c r="X69" i="1"/>
  <c r="T68" i="1"/>
  <c r="U68" i="1" s="1"/>
  <c r="S68" i="1" s="1"/>
  <c r="AA66" i="1"/>
  <c r="AI65" i="1"/>
  <c r="X64" i="1"/>
  <c r="T63" i="1"/>
  <c r="U63" i="1" s="1"/>
  <c r="S63" i="1" s="1"/>
  <c r="X63" i="1"/>
  <c r="AA62" i="1"/>
  <c r="W62" i="1" s="1"/>
  <c r="T60" i="1"/>
  <c r="X60" i="1"/>
  <c r="AG60" i="1"/>
  <c r="AG59" i="1"/>
  <c r="U51" i="1"/>
  <c r="S51" i="1" s="1"/>
  <c r="W17" i="1"/>
  <c r="AI62" i="1"/>
  <c r="AA59" i="1"/>
  <c r="X53" i="1"/>
  <c r="T52" i="1"/>
  <c r="X52" i="1"/>
  <c r="AG52" i="1"/>
  <c r="T47" i="1"/>
  <c r="X47" i="1"/>
  <c r="AG47" i="1"/>
  <c r="W47" i="1" s="1"/>
  <c r="AG40" i="1"/>
  <c r="X40" i="1"/>
  <c r="T40" i="1"/>
  <c r="X41" i="1"/>
  <c r="X55" i="1"/>
  <c r="AI54" i="1"/>
  <c r="X51" i="1"/>
  <c r="AI39" i="1"/>
  <c r="AA38" i="1"/>
  <c r="W38" i="1" s="1"/>
  <c r="X36" i="1"/>
  <c r="T35" i="1"/>
  <c r="U35" i="1" s="1"/>
  <c r="S35" i="1" s="1"/>
  <c r="X35" i="1"/>
  <c r="AA30" i="1"/>
  <c r="AA25" i="1"/>
  <c r="W25" i="1" s="1"/>
  <c r="T22" i="1"/>
  <c r="X22" i="1"/>
  <c r="AG22" i="1"/>
  <c r="X23" i="1"/>
  <c r="AA14" i="1"/>
  <c r="AA42" i="1"/>
  <c r="W42" i="1" s="1"/>
  <c r="T39" i="1"/>
  <c r="U39" i="1" s="1"/>
  <c r="S39" i="1" s="1"/>
  <c r="X39" i="1"/>
  <c r="T31" i="1"/>
  <c r="AG31" i="1"/>
  <c r="T26" i="1"/>
  <c r="X26" i="1"/>
  <c r="AG26" i="1"/>
  <c r="X27" i="1"/>
  <c r="T18" i="1"/>
  <c r="AG18" i="1"/>
  <c r="AA46" i="1"/>
  <c r="T43" i="1"/>
  <c r="U43" i="1" s="1"/>
  <c r="S43" i="1" s="1"/>
  <c r="X43" i="1"/>
  <c r="AI25" i="1"/>
  <c r="T23" i="3"/>
  <c r="T13" i="3"/>
  <c r="Y23" i="3"/>
  <c r="Y21" i="3"/>
  <c r="AD7" i="3"/>
  <c r="Y17" i="3"/>
  <c r="AC16" i="3"/>
  <c r="AE12" i="3"/>
  <c r="AD19" i="3"/>
  <c r="AD8" i="3"/>
  <c r="AD29" i="3"/>
  <c r="Y16" i="3"/>
  <c r="T25" i="3"/>
  <c r="Y10" i="3"/>
  <c r="Y20" i="3"/>
  <c r="AD16" i="3"/>
  <c r="T22" i="3"/>
  <c r="AD22" i="3"/>
  <c r="T7" i="3"/>
  <c r="AD21" i="3"/>
  <c r="T15" i="3"/>
  <c r="AD11" i="3"/>
  <c r="Y28" i="3"/>
  <c r="Y14" i="3"/>
  <c r="T21" i="3"/>
  <c r="Y24" i="3"/>
  <c r="AC8" i="3"/>
  <c r="AE13" i="3"/>
  <c r="Y13" i="3"/>
  <c r="T19" i="3"/>
  <c r="Y12" i="3"/>
  <c r="AD24" i="3"/>
  <c r="Y9" i="3"/>
  <c r="AC29" i="3"/>
  <c r="AE19" i="3"/>
  <c r="Y19" i="3"/>
  <c r="AE17" i="3"/>
  <c r="AE15" i="3"/>
  <c r="AD9" i="3"/>
  <c r="AC26" i="3"/>
  <c r="AC11" i="3"/>
  <c r="AE18" i="3"/>
  <c r="T18" i="3"/>
  <c r="AE20" i="3"/>
  <c r="T20" i="3"/>
  <c r="AD14" i="3"/>
  <c r="T10" i="3"/>
  <c r="AE8" i="3"/>
  <c r="T8" i="3"/>
  <c r="AD12" i="3"/>
  <c r="AE7" i="3"/>
  <c r="AD15" i="3"/>
  <c r="AE11" i="3"/>
  <c r="T11" i="3"/>
  <c r="AE14" i="3"/>
  <c r="T14" i="3"/>
  <c r="AD18" i="3"/>
  <c r="AD20" i="3"/>
  <c r="AE29" i="3"/>
  <c r="T29" i="3"/>
  <c r="AE22" i="3"/>
  <c r="T26" i="3"/>
  <c r="AE24" i="3"/>
  <c r="AE9" i="3"/>
  <c r="AE16" i="3"/>
  <c r="AE21" i="3"/>
  <c r="AE28" i="3"/>
  <c r="R27" i="3"/>
  <c r="M27" i="3"/>
  <c r="S27" i="3"/>
  <c r="U27" i="3"/>
  <c r="T27" i="3" s="1"/>
  <c r="V27" i="3"/>
  <c r="W27" i="3"/>
  <c r="X27" i="3"/>
  <c r="AC27" i="3"/>
  <c r="M28" i="5"/>
  <c r="U14" i="1" l="1"/>
  <c r="S14" i="1" s="1"/>
  <c r="AI15" i="1"/>
  <c r="U15" i="1"/>
  <c r="S15" i="1" s="1"/>
  <c r="W15" i="1"/>
  <c r="U88" i="1"/>
  <c r="S88" i="1" s="1"/>
  <c r="W67" i="1"/>
  <c r="AI190" i="1"/>
  <c r="W105" i="1"/>
  <c r="W194" i="1"/>
  <c r="W14" i="1"/>
  <c r="U62" i="1"/>
  <c r="S62" i="1" s="1"/>
  <c r="W174" i="1"/>
  <c r="W188" i="1"/>
  <c r="U179" i="1"/>
  <c r="S179" i="1" s="1"/>
  <c r="W208" i="1"/>
  <c r="W190" i="1"/>
  <c r="U125" i="1"/>
  <c r="S125" i="1" s="1"/>
  <c r="W54" i="1"/>
  <c r="W84" i="1"/>
  <c r="W216" i="1"/>
  <c r="W125" i="1"/>
  <c r="W126" i="1"/>
  <c r="U50" i="1"/>
  <c r="S50" i="1" s="1"/>
  <c r="AI126" i="1"/>
  <c r="U219" i="1"/>
  <c r="S219" i="1" s="1"/>
  <c r="W219" i="1"/>
  <c r="W121" i="1"/>
  <c r="W215" i="1"/>
  <c r="W166" i="1"/>
  <c r="W103" i="1"/>
  <c r="U203" i="1"/>
  <c r="S203" i="1" s="1"/>
  <c r="U211" i="1"/>
  <c r="S211" i="1" s="1"/>
  <c r="W203" i="1"/>
  <c r="W146" i="1"/>
  <c r="U55" i="1"/>
  <c r="S55" i="1" s="1"/>
  <c r="W106" i="1"/>
  <c r="U117" i="1"/>
  <c r="S117" i="1" s="1"/>
  <c r="U215" i="1"/>
  <c r="S215" i="1" s="1"/>
  <c r="W26" i="1"/>
  <c r="U82" i="1"/>
  <c r="S82" i="1" s="1"/>
  <c r="U184" i="1"/>
  <c r="S184" i="1" s="1"/>
  <c r="W192" i="1"/>
  <c r="W134" i="1"/>
  <c r="W221" i="1"/>
  <c r="W82" i="1"/>
  <c r="W90" i="1"/>
  <c r="U177" i="1"/>
  <c r="S177" i="1" s="1"/>
  <c r="AI117" i="1"/>
  <c r="W141" i="1"/>
  <c r="AI146" i="1"/>
  <c r="U109" i="1"/>
  <c r="S109" i="1" s="1"/>
  <c r="W109" i="1"/>
  <c r="W29" i="1"/>
  <c r="W184" i="1"/>
  <c r="U198" i="1"/>
  <c r="S198" i="1" s="1"/>
  <c r="U194" i="1"/>
  <c r="S194" i="1" s="1"/>
  <c r="AI147" i="1"/>
  <c r="AI110" i="1"/>
  <c r="U29" i="1"/>
  <c r="S29" i="1" s="1"/>
  <c r="U151" i="1"/>
  <c r="S151" i="1" s="1"/>
  <c r="AI154" i="1"/>
  <c r="U154" i="1"/>
  <c r="S154" i="1" s="1"/>
  <c r="U148" i="1"/>
  <c r="S148" i="1" s="1"/>
  <c r="W148" i="1"/>
  <c r="AI148" i="1"/>
  <c r="W154" i="1"/>
  <c r="U156" i="1"/>
  <c r="S156" i="1" s="1"/>
  <c r="W156" i="1"/>
  <c r="AI156" i="1"/>
  <c r="W153" i="1"/>
  <c r="AI153" i="1"/>
  <c r="U153" i="1"/>
  <c r="S153" i="1" s="1"/>
  <c r="U157" i="1"/>
  <c r="S157" i="1" s="1"/>
  <c r="W157" i="1"/>
  <c r="AI157" i="1"/>
  <c r="AI150" i="1"/>
  <c r="U150" i="1"/>
  <c r="S150" i="1" s="1"/>
  <c r="W150" i="1"/>
  <c r="U149" i="1"/>
  <c r="S149" i="1" s="1"/>
  <c r="W149" i="1"/>
  <c r="AI149" i="1"/>
  <c r="W52" i="1"/>
  <c r="U80" i="1"/>
  <c r="S80" i="1" s="1"/>
  <c r="U90" i="1"/>
  <c r="W41" i="1"/>
  <c r="U70" i="1"/>
  <c r="S70" i="1" s="1"/>
  <c r="W168" i="1"/>
  <c r="W211" i="1"/>
  <c r="W61" i="1"/>
  <c r="U61" i="1"/>
  <c r="S61" i="1" s="1"/>
  <c r="W70" i="1"/>
  <c r="W142" i="1"/>
  <c r="AE10" i="3"/>
  <c r="W31" i="1"/>
  <c r="W111" i="1"/>
  <c r="AI141" i="1"/>
  <c r="W78" i="1"/>
  <c r="U76" i="1"/>
  <c r="S76" i="1" s="1"/>
  <c r="AI137" i="1"/>
  <c r="W37" i="1"/>
  <c r="W50" i="1"/>
  <c r="AI21" i="1"/>
  <c r="AI37" i="1"/>
  <c r="W173" i="1"/>
  <c r="AI78" i="1"/>
  <c r="U20" i="1"/>
  <c r="S20" i="1" s="1"/>
  <c r="W182" i="1"/>
  <c r="W199" i="1"/>
  <c r="U34" i="1"/>
  <c r="S34" i="1" s="1"/>
  <c r="U30" i="1"/>
  <c r="S30" i="1" s="1"/>
  <c r="U45" i="1"/>
  <c r="S45" i="1" s="1"/>
  <c r="W113" i="1"/>
  <c r="U121" i="1"/>
  <c r="S121" i="1" s="1"/>
  <c r="W86" i="1"/>
  <c r="W169" i="1"/>
  <c r="U24" i="1"/>
  <c r="S24" i="1" s="1"/>
  <c r="AI38" i="1"/>
  <c r="W46" i="1"/>
  <c r="U86" i="1"/>
  <c r="S86" i="1" s="1"/>
  <c r="W195" i="1"/>
  <c r="AI169" i="1"/>
  <c r="AI207" i="1"/>
  <c r="AI172" i="1"/>
  <c r="W74" i="1"/>
  <c r="AI34" i="1"/>
  <c r="W77" i="1"/>
  <c r="W85" i="1"/>
  <c r="W32" i="1"/>
  <c r="W93" i="1"/>
  <c r="AI30" i="1"/>
  <c r="W30" i="1"/>
  <c r="W66" i="1"/>
  <c r="U72" i="1"/>
  <c r="S72" i="1" s="1"/>
  <c r="W167" i="1"/>
  <c r="AI142" i="1"/>
  <c r="U166" i="1"/>
  <c r="S166" i="1" s="1"/>
  <c r="U103" i="1"/>
  <c r="S103" i="1" s="1"/>
  <c r="W45" i="1"/>
  <c r="W99" i="1"/>
  <c r="W76" i="1"/>
  <c r="W55" i="1"/>
  <c r="W21" i="1"/>
  <c r="W20" i="1"/>
  <c r="U160" i="1"/>
  <c r="S160" i="1" s="1"/>
  <c r="AI160" i="1"/>
  <c r="W180" i="1"/>
  <c r="U176" i="1"/>
  <c r="S176" i="1" s="1"/>
  <c r="W160" i="1"/>
  <c r="W122" i="1"/>
  <c r="U133" i="1"/>
  <c r="S133" i="1" s="1"/>
  <c r="AI133" i="1"/>
  <c r="W133" i="1"/>
  <c r="AI138" i="1"/>
  <c r="AI192" i="1"/>
  <c r="U92" i="1"/>
  <c r="S92" i="1" s="1"/>
  <c r="W172" i="1"/>
  <c r="W34" i="1"/>
  <c r="W163" i="1"/>
  <c r="W80" i="1"/>
  <c r="U187" i="1"/>
  <c r="S187" i="1" s="1"/>
  <c r="AI187" i="1"/>
  <c r="W72" i="1"/>
  <c r="W191" i="1"/>
  <c r="W179" i="1"/>
  <c r="W96" i="1"/>
  <c r="AI188" i="1"/>
  <c r="W118" i="1"/>
  <c r="W24" i="1"/>
  <c r="W51" i="1"/>
  <c r="W92" i="1"/>
  <c r="W88" i="1"/>
  <c r="W176" i="1"/>
  <c r="U141" i="1"/>
  <c r="S141" i="1" s="1"/>
  <c r="W137" i="1"/>
  <c r="U60" i="1"/>
  <c r="S60" i="1" s="1"/>
  <c r="AI60" i="1"/>
  <c r="U56" i="1"/>
  <c r="S56" i="1" s="1"/>
  <c r="AI56" i="1"/>
  <c r="U75" i="1"/>
  <c r="S75" i="1" s="1"/>
  <c r="AI75" i="1"/>
  <c r="U79" i="1"/>
  <c r="S79" i="1" s="1"/>
  <c r="AI79" i="1"/>
  <c r="AI66" i="1"/>
  <c r="U66" i="1"/>
  <c r="S66" i="1" s="1"/>
  <c r="AI119" i="1"/>
  <c r="U180" i="1"/>
  <c r="S180" i="1" s="1"/>
  <c r="U101" i="1"/>
  <c r="S101" i="1" s="1"/>
  <c r="W101" i="1"/>
  <c r="AI136" i="1"/>
  <c r="AI177" i="1"/>
  <c r="U130" i="1"/>
  <c r="S130" i="1" s="1"/>
  <c r="AI193" i="1"/>
  <c r="W75" i="1"/>
  <c r="W114" i="1"/>
  <c r="AI201" i="1"/>
  <c r="U199" i="1"/>
  <c r="S199" i="1" s="1"/>
  <c r="U217" i="1"/>
  <c r="S217" i="1" s="1"/>
  <c r="AI217" i="1"/>
  <c r="AI220" i="1"/>
  <c r="U220" i="1"/>
  <c r="S220" i="1" s="1"/>
  <c r="AI112" i="1"/>
  <c r="U174" i="1"/>
  <c r="S174" i="1" s="1"/>
  <c r="AI166" i="1"/>
  <c r="U118" i="1"/>
  <c r="S118" i="1" s="1"/>
  <c r="AI181" i="1"/>
  <c r="U134" i="1"/>
  <c r="S134" i="1" s="1"/>
  <c r="AI197" i="1"/>
  <c r="U195" i="1"/>
  <c r="S195" i="1" s="1"/>
  <c r="W217" i="1"/>
  <c r="W220" i="1"/>
  <c r="U18" i="1"/>
  <c r="S18" i="1" s="1"/>
  <c r="AI18" i="1"/>
  <c r="U31" i="1"/>
  <c r="S31" i="1" s="1"/>
  <c r="AI31" i="1"/>
  <c r="U26" i="1"/>
  <c r="S26" i="1" s="1"/>
  <c r="AI26" i="1"/>
  <c r="AI52" i="1"/>
  <c r="U52" i="1"/>
  <c r="S52" i="1" s="1"/>
  <c r="W59" i="1"/>
  <c r="AI73" i="1"/>
  <c r="U73" i="1"/>
  <c r="S73" i="1" s="1"/>
  <c r="AI81" i="1"/>
  <c r="U81" i="1"/>
  <c r="S81" i="1" s="1"/>
  <c r="AI89" i="1"/>
  <c r="U89" i="1"/>
  <c r="S89" i="1" s="1"/>
  <c r="W60" i="1"/>
  <c r="U83" i="1"/>
  <c r="S83" i="1" s="1"/>
  <c r="AI83" i="1"/>
  <c r="AI103" i="1"/>
  <c r="U167" i="1"/>
  <c r="S167" i="1" s="1"/>
  <c r="AI120" i="1"/>
  <c r="U181" i="1"/>
  <c r="S181" i="1" s="1"/>
  <c r="W181" i="1"/>
  <c r="U201" i="1"/>
  <c r="S201" i="1" s="1"/>
  <c r="AI140" i="1"/>
  <c r="W83" i="1"/>
  <c r="AI162" i="1"/>
  <c r="U114" i="1"/>
  <c r="S114" i="1" s="1"/>
  <c r="AI178" i="1"/>
  <c r="U131" i="1"/>
  <c r="S131" i="1" s="1"/>
  <c r="AI194" i="1"/>
  <c r="U192" i="1"/>
  <c r="S192" i="1" s="1"/>
  <c r="AI127" i="1"/>
  <c r="U96" i="1"/>
  <c r="S96" i="1" s="1"/>
  <c r="U100" i="1"/>
  <c r="S100" i="1" s="1"/>
  <c r="AI135" i="1"/>
  <c r="W130" i="1"/>
  <c r="AI185" i="1"/>
  <c r="U138" i="1"/>
  <c r="S138" i="1" s="1"/>
  <c r="AI202" i="1"/>
  <c r="W202" i="1"/>
  <c r="U202" i="1"/>
  <c r="S202" i="1" s="1"/>
  <c r="AI204" i="1"/>
  <c r="U204" i="1"/>
  <c r="S204" i="1" s="1"/>
  <c r="W89" i="1"/>
  <c r="W79" i="1"/>
  <c r="W201" i="1"/>
  <c r="W204" i="1"/>
  <c r="U22" i="1"/>
  <c r="S22" i="1" s="1"/>
  <c r="AI22" i="1"/>
  <c r="W22" i="1"/>
  <c r="AI47" i="1"/>
  <c r="U47" i="1"/>
  <c r="S47" i="1" s="1"/>
  <c r="U87" i="1"/>
  <c r="S87" i="1" s="1"/>
  <c r="AI87" i="1"/>
  <c r="AI46" i="1"/>
  <c r="U46" i="1"/>
  <c r="S46" i="1" s="1"/>
  <c r="AI67" i="1"/>
  <c r="U67" i="1"/>
  <c r="S67" i="1" s="1"/>
  <c r="AI104" i="1"/>
  <c r="U94" i="1"/>
  <c r="S94" i="1" s="1"/>
  <c r="W94" i="1"/>
  <c r="U107" i="1"/>
  <c r="S107" i="1" s="1"/>
  <c r="W107" i="1"/>
  <c r="AI144" i="1"/>
  <c r="AI163" i="1"/>
  <c r="U115" i="1"/>
  <c r="S115" i="1" s="1"/>
  <c r="W56" i="1"/>
  <c r="AI186" i="1"/>
  <c r="U139" i="1"/>
  <c r="S139" i="1" s="1"/>
  <c r="W139" i="1"/>
  <c r="U209" i="1"/>
  <c r="S209" i="1" s="1"/>
  <c r="AI209" i="1"/>
  <c r="U213" i="1"/>
  <c r="S213" i="1" s="1"/>
  <c r="AI213" i="1"/>
  <c r="U221" i="1"/>
  <c r="S221" i="1" s="1"/>
  <c r="AI221" i="1"/>
  <c r="AI208" i="1"/>
  <c r="U208" i="1"/>
  <c r="S208" i="1" s="1"/>
  <c r="U106" i="1"/>
  <c r="S106" i="1" s="1"/>
  <c r="AI143" i="1"/>
  <c r="AI111" i="1"/>
  <c r="U173" i="1"/>
  <c r="S173" i="1" s="1"/>
  <c r="U200" i="1"/>
  <c r="S200" i="1" s="1"/>
  <c r="AI139" i="1"/>
  <c r="W209" i="1"/>
  <c r="W131" i="1"/>
  <c r="W18" i="1"/>
  <c r="U40" i="1"/>
  <c r="S40" i="1" s="1"/>
  <c r="AI40" i="1"/>
  <c r="AI59" i="1"/>
  <c r="U59" i="1"/>
  <c r="S59" i="1" s="1"/>
  <c r="AI77" i="1"/>
  <c r="U77" i="1"/>
  <c r="S77" i="1" s="1"/>
  <c r="AI85" i="1"/>
  <c r="U85" i="1"/>
  <c r="S85" i="1" s="1"/>
  <c r="U32" i="1"/>
  <c r="S32" i="1" s="1"/>
  <c r="AI32" i="1"/>
  <c r="U71" i="1"/>
  <c r="S71" i="1" s="1"/>
  <c r="AI71" i="1"/>
  <c r="AI93" i="1"/>
  <c r="U93" i="1"/>
  <c r="S93" i="1" s="1"/>
  <c r="W40" i="1"/>
  <c r="U111" i="1"/>
  <c r="S111" i="1" s="1"/>
  <c r="AI159" i="1"/>
  <c r="AI128" i="1"/>
  <c r="U188" i="1"/>
  <c r="S188" i="1" s="1"/>
  <c r="W100" i="1"/>
  <c r="U205" i="1"/>
  <c r="S205" i="1" s="1"/>
  <c r="AI205" i="1"/>
  <c r="AI216" i="1"/>
  <c r="U216" i="1"/>
  <c r="S216" i="1" s="1"/>
  <c r="W81" i="1"/>
  <c r="U168" i="1"/>
  <c r="S168" i="1" s="1"/>
  <c r="AI105" i="1"/>
  <c r="W73" i="1"/>
  <c r="U182" i="1"/>
  <c r="S182" i="1" s="1"/>
  <c r="AI121" i="1"/>
  <c r="U110" i="1"/>
  <c r="S110" i="1" s="1"/>
  <c r="AI158" i="1"/>
  <c r="W115" i="1"/>
  <c r="W213" i="1"/>
  <c r="AD10" i="3"/>
  <c r="AD27" i="3"/>
  <c r="AE27" i="3"/>
  <c r="Y27" i="3"/>
  <c r="AN13" i="1" l="1"/>
  <c r="V13" i="1" l="1"/>
  <c r="B31" i="9" l="1"/>
  <c r="B32" i="9"/>
  <c r="C32" i="9" s="1"/>
  <c r="B33" i="9"/>
  <c r="B34" i="9"/>
  <c r="B35" i="9"/>
  <c r="B36" i="9"/>
  <c r="B37" i="9"/>
  <c r="B38" i="9"/>
  <c r="B39" i="9"/>
  <c r="B40" i="9"/>
  <c r="C40" i="9"/>
  <c r="B41" i="9"/>
  <c r="B42" i="9"/>
  <c r="C42" i="9" s="1"/>
  <c r="B43" i="9"/>
  <c r="C44" i="9" s="1"/>
  <c r="B44" i="9"/>
  <c r="B45" i="9"/>
  <c r="B46" i="9"/>
  <c r="C41" i="9" l="1"/>
  <c r="C39" i="9"/>
  <c r="C34" i="9"/>
  <c r="C46" i="9"/>
  <c r="C45" i="9"/>
  <c r="C38" i="9"/>
  <c r="C37" i="9"/>
  <c r="C33" i="9"/>
  <c r="C43" i="9"/>
  <c r="C36" i="9"/>
  <c r="C35" i="9"/>
  <c r="B3" i="6" l="1"/>
  <c r="I3" i="6" s="1"/>
  <c r="B4" i="6" l="1"/>
  <c r="I4" i="6" s="1"/>
  <c r="F3" i="6"/>
  <c r="J3" i="6"/>
  <c r="G3" i="6"/>
  <c r="G4" i="6" l="1"/>
  <c r="J4" i="6"/>
  <c r="F4" i="6"/>
  <c r="B5" i="6"/>
  <c r="I5" i="6" s="1"/>
  <c r="Z13" i="1"/>
  <c r="Y13" i="1"/>
  <c r="G5" i="6" l="1"/>
  <c r="F5" i="6"/>
  <c r="J5" i="6"/>
  <c r="B6" i="6"/>
  <c r="I6" i="6" s="1"/>
  <c r="B7" i="6" l="1"/>
  <c r="I7" i="6" s="1"/>
  <c r="G6" i="6"/>
  <c r="F6" i="6"/>
  <c r="J6" i="6"/>
  <c r="AM13" i="1"/>
  <c r="B8" i="6" l="1"/>
  <c r="I8" i="6" s="1"/>
  <c r="F7" i="6"/>
  <c r="J7" i="6"/>
  <c r="G7" i="6"/>
  <c r="H7" i="6"/>
  <c r="G8" i="6" l="1"/>
  <c r="J8" i="6"/>
  <c r="F8" i="6"/>
  <c r="H8" i="6"/>
  <c r="B9" i="6"/>
  <c r="I9" i="6" s="1"/>
  <c r="B10" i="6" l="1"/>
  <c r="I10" i="6" s="1"/>
  <c r="G9" i="6"/>
  <c r="H9" i="6"/>
  <c r="F9" i="6"/>
  <c r="J9" i="6"/>
  <c r="B11" i="6" l="1"/>
  <c r="I11" i="6" s="1"/>
  <c r="G10" i="6"/>
  <c r="F10" i="6"/>
  <c r="J10" i="6"/>
  <c r="H10" i="6"/>
  <c r="B12" i="6" l="1"/>
  <c r="I12" i="6" s="1"/>
  <c r="F11" i="6"/>
  <c r="J11" i="6"/>
  <c r="G11" i="6"/>
  <c r="H11" i="6"/>
  <c r="G12" i="6" l="1"/>
  <c r="J12" i="6"/>
  <c r="F12" i="6"/>
  <c r="H12" i="6"/>
  <c r="B13" i="6"/>
  <c r="I13" i="6" s="1"/>
  <c r="G13" i="6" l="1"/>
  <c r="H13" i="6"/>
  <c r="J13" i="6"/>
  <c r="F13" i="6"/>
  <c r="B14" i="6"/>
  <c r="I14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N28" i="3" s="1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N21" i="3" s="1"/>
  <c r="G45" i="4"/>
  <c r="G46" i="4"/>
  <c r="G47" i="4"/>
  <c r="G48" i="4"/>
  <c r="G49" i="4"/>
  <c r="G50" i="4"/>
  <c r="G51" i="4"/>
  <c r="G52" i="4"/>
  <c r="G53" i="4"/>
  <c r="G54" i="4"/>
  <c r="G55" i="4"/>
  <c r="N7" i="3" s="1"/>
  <c r="G56" i="4"/>
  <c r="G57" i="4"/>
  <c r="G58" i="4"/>
  <c r="G59" i="4"/>
  <c r="G60" i="4"/>
  <c r="G61" i="4"/>
  <c r="G62" i="4"/>
  <c r="G63" i="4"/>
  <c r="G64" i="4"/>
  <c r="N12" i="3" s="1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N26" i="3" s="1"/>
  <c r="G105" i="4"/>
  <c r="G106" i="4"/>
  <c r="N22" i="3" s="1"/>
  <c r="G107" i="4"/>
  <c r="G108" i="4"/>
  <c r="N19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16" i="3" s="1"/>
  <c r="G157" i="4"/>
  <c r="G158" i="4"/>
  <c r="G159" i="4"/>
  <c r="G160" i="4"/>
  <c r="G161" i="4"/>
  <c r="G162" i="4"/>
  <c r="N29" i="3" s="1"/>
  <c r="G163" i="4"/>
  <c r="G164" i="4"/>
  <c r="G165" i="4"/>
  <c r="G166" i="4"/>
  <c r="G167" i="4"/>
  <c r="G168" i="4"/>
  <c r="G169" i="4"/>
  <c r="G170" i="4"/>
  <c r="G171" i="4"/>
  <c r="N20" i="3" s="1"/>
  <c r="G172" i="4"/>
  <c r="G173" i="4"/>
  <c r="G174" i="4"/>
  <c r="G175" i="4"/>
  <c r="G176" i="4"/>
  <c r="G177" i="4"/>
  <c r="G178" i="4"/>
  <c r="G179" i="4"/>
  <c r="G180" i="4"/>
  <c r="G181" i="4"/>
  <c r="G182" i="4"/>
  <c r="G183" i="4"/>
  <c r="N13" i="3" s="1"/>
  <c r="G184" i="4"/>
  <c r="G185" i="4"/>
  <c r="G186" i="4"/>
  <c r="G187" i="4"/>
  <c r="G188" i="4"/>
  <c r="G189" i="4"/>
  <c r="G190" i="4"/>
  <c r="G191" i="4"/>
  <c r="G192" i="4"/>
  <c r="G193" i="4"/>
  <c r="G194" i="4"/>
  <c r="N25" i="3" s="1"/>
  <c r="G195" i="4"/>
  <c r="N14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4" i="3" l="1"/>
  <c r="N9" i="3"/>
  <c r="N8" i="3"/>
  <c r="N23" i="3"/>
  <c r="N10" i="3"/>
  <c r="N18" i="3"/>
  <c r="N17" i="3"/>
  <c r="N11" i="3"/>
  <c r="N15" i="3"/>
  <c r="N27" i="3"/>
  <c r="H5" i="6"/>
  <c r="H3" i="6"/>
  <c r="H4" i="6"/>
  <c r="H6" i="6"/>
  <c r="B15" i="6"/>
  <c r="I15" i="6" s="1"/>
  <c r="G14" i="6"/>
  <c r="F14" i="6"/>
  <c r="J14" i="6"/>
  <c r="H14" i="6"/>
  <c r="L13" i="1"/>
  <c r="F15" i="6" l="1"/>
  <c r="J15" i="6"/>
  <c r="G15" i="6"/>
  <c r="H15" i="6"/>
  <c r="B16" i="6"/>
  <c r="I16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16" i="6" l="1"/>
  <c r="J16" i="6"/>
  <c r="F16" i="6"/>
  <c r="H16" i="6"/>
  <c r="B17" i="6"/>
  <c r="I17" i="6" s="1"/>
  <c r="K13" i="1"/>
  <c r="M13" i="1"/>
  <c r="N13" i="1" s="1"/>
  <c r="AB13" i="1"/>
  <c r="AC13" i="1"/>
  <c r="AD13" i="1"/>
  <c r="X14" i="1" s="1"/>
  <c r="AE13" i="1"/>
  <c r="G17" i="6" l="1"/>
  <c r="H17" i="6"/>
  <c r="F17" i="6"/>
  <c r="J17" i="6"/>
  <c r="B18" i="6"/>
  <c r="I18" i="6" s="1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9" i="6" l="1"/>
  <c r="I19" i="6" s="1"/>
  <c r="G18" i="6"/>
  <c r="F18" i="6"/>
  <c r="J18" i="6"/>
  <c r="H18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20" i="6" l="1"/>
  <c r="I20" i="6" s="1"/>
  <c r="F19" i="6"/>
  <c r="J19" i="6"/>
  <c r="G19" i="6"/>
  <c r="H19" i="6"/>
  <c r="M30" i="5"/>
  <c r="M29" i="5"/>
  <c r="M27" i="5"/>
  <c r="G20" i="6" l="1"/>
  <c r="J20" i="6"/>
  <c r="F20" i="6"/>
  <c r="H20" i="6"/>
  <c r="B21" i="6"/>
  <c r="I21" i="6" s="1"/>
  <c r="M26" i="5"/>
  <c r="G21" i="6" l="1"/>
  <c r="H21" i="6"/>
  <c r="F21" i="6"/>
  <c r="J21" i="6"/>
  <c r="B22" i="6"/>
  <c r="I22" i="6" s="1"/>
  <c r="AH13" i="1"/>
  <c r="J7" i="1"/>
  <c r="B23" i="6" l="1"/>
  <c r="I23" i="6" s="1"/>
  <c r="G22" i="6"/>
  <c r="F22" i="6"/>
  <c r="J22" i="6"/>
  <c r="H22" i="6"/>
  <c r="X6" i="1"/>
  <c r="W6" i="1"/>
  <c r="V6" i="1"/>
  <c r="S6" i="1"/>
  <c r="R2" i="1"/>
  <c r="I2" i="1"/>
  <c r="O6" i="1"/>
  <c r="N6" i="1"/>
  <c r="M6" i="1"/>
  <c r="J6" i="1"/>
  <c r="F23" i="6" l="1"/>
  <c r="J23" i="6"/>
  <c r="G23" i="6"/>
  <c r="H23" i="6"/>
  <c r="B24" i="6"/>
  <c r="I24" i="6" s="1"/>
  <c r="P3" i="5"/>
  <c r="G24" i="6" l="1"/>
  <c r="J24" i="6"/>
  <c r="F24" i="6"/>
  <c r="H24" i="6"/>
  <c r="B25" i="6"/>
  <c r="I25" i="6" s="1"/>
  <c r="M18" i="5"/>
  <c r="G25" i="6" l="1"/>
  <c r="H25" i="6"/>
  <c r="F25" i="6"/>
  <c r="J25" i="6"/>
  <c r="B26" i="6"/>
  <c r="I26" i="6" s="1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27" i="6" l="1"/>
  <c r="I27" i="6" s="1"/>
  <c r="G26" i="6"/>
  <c r="F26" i="6"/>
  <c r="J26" i="6"/>
  <c r="H26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8" i="6" l="1"/>
  <c r="I28" i="6" s="1"/>
  <c r="F27" i="6"/>
  <c r="J27" i="6"/>
  <c r="G27" i="6"/>
  <c r="H27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8" i="6" l="1"/>
  <c r="J28" i="6"/>
  <c r="G28" i="6"/>
  <c r="H28" i="6"/>
  <c r="B29" i="6"/>
  <c r="I29" i="6" s="1"/>
  <c r="M14" i="5"/>
  <c r="M13" i="5"/>
  <c r="M12" i="5"/>
  <c r="M11" i="5"/>
  <c r="M10" i="5"/>
  <c r="M9" i="5"/>
  <c r="M8" i="5"/>
  <c r="M7" i="5"/>
  <c r="M6" i="5"/>
  <c r="M5" i="5"/>
  <c r="M4" i="5"/>
  <c r="M3" i="5"/>
  <c r="F29" i="6" l="1"/>
  <c r="H29" i="6"/>
  <c r="J29" i="6"/>
  <c r="G29" i="6"/>
  <c r="B30" i="6"/>
  <c r="I30" i="6" s="1"/>
  <c r="U13" i="1"/>
  <c r="S13" i="1" s="1"/>
  <c r="O2" i="3"/>
  <c r="O3" i="3" s="1"/>
  <c r="F30" i="6" l="1"/>
  <c r="J30" i="6"/>
  <c r="G30" i="6"/>
  <c r="H30" i="6"/>
  <c r="B31" i="6"/>
  <c r="I31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31" i="6" l="1"/>
  <c r="F31" i="6"/>
  <c r="G31" i="6"/>
  <c r="H31" i="6"/>
  <c r="B32" i="6"/>
  <c r="I32" i="6" s="1"/>
  <c r="J8" i="1"/>
  <c r="J4" i="1"/>
  <c r="S8" i="1"/>
  <c r="S4" i="1"/>
  <c r="F32" i="6" l="1"/>
  <c r="J32" i="6"/>
  <c r="H32" i="6"/>
  <c r="G32" i="6"/>
  <c r="B33" i="6"/>
  <c r="I33" i="6" s="1"/>
  <c r="S9" i="1"/>
  <c r="J9" i="1"/>
  <c r="B34" i="6" l="1"/>
  <c r="I34" i="6" s="1"/>
  <c r="F33" i="6"/>
  <c r="G33" i="6"/>
  <c r="J33" i="6"/>
  <c r="H33" i="6"/>
  <c r="S11" i="1"/>
  <c r="A11" i="1"/>
  <c r="B35" i="6" l="1"/>
  <c r="I35" i="6" s="1"/>
  <c r="G34" i="6"/>
  <c r="H34" i="6"/>
  <c r="J34" i="6"/>
  <c r="F34" i="6"/>
  <c r="B1" i="6"/>
  <c r="A5" i="3"/>
  <c r="G35" i="6" l="1"/>
  <c r="F35" i="6"/>
  <c r="J35" i="6"/>
  <c r="H35" i="6"/>
  <c r="B36" i="6"/>
  <c r="I36" i="6" s="1"/>
  <c r="F36" i="6" l="1"/>
  <c r="J36" i="6"/>
  <c r="G36" i="6"/>
  <c r="H36" i="6"/>
  <c r="B37" i="6"/>
  <c r="I37" i="6" s="1"/>
  <c r="B38" i="6" l="1"/>
  <c r="I38" i="6" s="1"/>
  <c r="J37" i="6"/>
  <c r="G37" i="6"/>
  <c r="F37" i="6"/>
  <c r="H37" i="6"/>
  <c r="F38" i="6" l="1"/>
  <c r="G38" i="6"/>
  <c r="H38" i="6"/>
  <c r="J38" i="6"/>
  <c r="B39" i="6"/>
  <c r="I39" i="6" s="1"/>
  <c r="J39" i="6" l="1"/>
  <c r="H39" i="6"/>
  <c r="F39" i="6"/>
  <c r="G39" i="6"/>
  <c r="B40" i="6"/>
  <c r="I40" i="6" s="1"/>
  <c r="B41" i="6" l="1"/>
  <c r="I41" i="6" s="1"/>
  <c r="J40" i="6"/>
  <c r="F40" i="6"/>
  <c r="H40" i="6"/>
  <c r="G40" i="6"/>
  <c r="F41" i="6" l="1"/>
  <c r="G41" i="6"/>
  <c r="H41" i="6"/>
  <c r="J41" i="6"/>
  <c r="B42" i="6"/>
  <c r="I42" i="6" s="1"/>
  <c r="G42" i="6" l="1"/>
  <c r="H42" i="6"/>
  <c r="J42" i="6"/>
  <c r="F42" i="6"/>
  <c r="B43" i="6"/>
  <c r="I43" i="6" s="1"/>
  <c r="F43" i="6" l="1"/>
  <c r="H43" i="6"/>
  <c r="J43" i="6"/>
  <c r="G43" i="6"/>
  <c r="B44" i="6"/>
  <c r="I44" i="6" s="1"/>
  <c r="F44" i="6" l="1"/>
  <c r="J44" i="6"/>
  <c r="G44" i="6"/>
  <c r="H44" i="6"/>
  <c r="B45" i="6"/>
  <c r="I45" i="6" s="1"/>
  <c r="B46" i="6" l="1"/>
  <c r="I46" i="6" s="1"/>
  <c r="F45" i="6"/>
  <c r="H45" i="6"/>
  <c r="J45" i="6"/>
  <c r="G45" i="6"/>
  <c r="F46" i="6" l="1"/>
  <c r="H46" i="6"/>
  <c r="J46" i="6"/>
  <c r="G46" i="6"/>
  <c r="B47" i="6"/>
  <c r="I47" i="6" s="1"/>
  <c r="J47" i="6" l="1"/>
  <c r="H47" i="6"/>
  <c r="F47" i="6"/>
  <c r="G47" i="6"/>
  <c r="B48" i="6"/>
  <c r="I48" i="6" s="1"/>
  <c r="B49" i="6" l="1"/>
  <c r="I49" i="6" s="1"/>
  <c r="F48" i="6"/>
  <c r="G48" i="6"/>
  <c r="H48" i="6"/>
  <c r="J48" i="6"/>
  <c r="B50" i="6" l="1"/>
  <c r="I50" i="6" s="1"/>
  <c r="H49" i="6"/>
  <c r="F49" i="6"/>
  <c r="J49" i="6"/>
  <c r="G49" i="6"/>
  <c r="B51" i="6" l="1"/>
  <c r="I51" i="6" s="1"/>
  <c r="F50" i="6"/>
  <c r="H50" i="6"/>
  <c r="J50" i="6"/>
  <c r="G50" i="6"/>
  <c r="F51" i="6" l="1"/>
  <c r="G51" i="6"/>
  <c r="J51" i="6"/>
  <c r="H51" i="6"/>
  <c r="B52" i="6"/>
  <c r="I52" i="6" s="1"/>
  <c r="F52" i="6" l="1"/>
  <c r="J52" i="6"/>
  <c r="H52" i="6"/>
  <c r="G52" i="6"/>
  <c r="B53" i="6"/>
  <c r="I53" i="6" s="1"/>
  <c r="F53" i="6" l="1"/>
  <c r="H53" i="6"/>
  <c r="G53" i="6"/>
  <c r="J53" i="6"/>
  <c r="B54" i="6"/>
  <c r="I54" i="6" s="1"/>
  <c r="B55" i="6" l="1"/>
  <c r="I55" i="6" s="1"/>
  <c r="G54" i="6"/>
  <c r="F54" i="6"/>
  <c r="H54" i="6"/>
  <c r="J54" i="6"/>
  <c r="J55" i="6" l="1"/>
  <c r="H55" i="6"/>
  <c r="F55" i="6"/>
  <c r="G55" i="6"/>
  <c r="B56" i="6"/>
  <c r="I56" i="6" s="1"/>
  <c r="H56" i="6" l="1"/>
  <c r="J56" i="6"/>
  <c r="F56" i="6"/>
  <c r="G56" i="6"/>
  <c r="B57" i="6"/>
  <c r="I57" i="6" s="1"/>
  <c r="H57" i="6" l="1"/>
  <c r="J57" i="6"/>
  <c r="F57" i="6"/>
  <c r="G57" i="6"/>
  <c r="B58" i="6"/>
  <c r="I58" i="6" s="1"/>
  <c r="H58" i="6" l="1"/>
  <c r="J58" i="6"/>
  <c r="F58" i="6"/>
  <c r="G58" i="6"/>
  <c r="B59" i="6"/>
  <c r="I59" i="6" s="1"/>
  <c r="G59" i="6" l="1"/>
  <c r="F59" i="6"/>
  <c r="H59" i="6"/>
  <c r="J59" i="6"/>
  <c r="B60" i="6"/>
  <c r="I60" i="6" s="1"/>
  <c r="B61" i="6" l="1"/>
  <c r="I61" i="6" s="1"/>
  <c r="J60" i="6"/>
  <c r="G60" i="6"/>
  <c r="F60" i="6"/>
  <c r="H60" i="6"/>
  <c r="B62" i="6" l="1"/>
  <c r="I62" i="6" s="1"/>
  <c r="J61" i="6"/>
  <c r="G61" i="6"/>
  <c r="F61" i="6"/>
  <c r="H61" i="6"/>
  <c r="F62" i="6" l="1"/>
  <c r="H62" i="6"/>
  <c r="J62" i="6"/>
  <c r="G62" i="6"/>
  <c r="B63" i="6"/>
  <c r="I63" i="6" s="1"/>
  <c r="B64" i="6" l="1"/>
  <c r="I64" i="6" s="1"/>
  <c r="F63" i="6"/>
  <c r="G63" i="6"/>
  <c r="J63" i="6"/>
  <c r="H63" i="6"/>
  <c r="G64" i="6" l="1"/>
  <c r="F64" i="6"/>
  <c r="H64" i="6"/>
  <c r="J64" i="6"/>
  <c r="B65" i="6"/>
  <c r="I65" i="6" s="1"/>
  <c r="F65" i="6" l="1"/>
  <c r="J65" i="6"/>
  <c r="G65" i="6"/>
  <c r="H65" i="6"/>
  <c r="B66" i="6"/>
  <c r="I66" i="6" s="1"/>
  <c r="G66" i="6" l="1"/>
  <c r="H66" i="6"/>
  <c r="J66" i="6"/>
  <c r="F66" i="6"/>
  <c r="B67" i="6"/>
  <c r="I67" i="6" s="1"/>
  <c r="B68" i="6" l="1"/>
  <c r="I68" i="6" s="1"/>
  <c r="J67" i="6"/>
  <c r="H67" i="6"/>
  <c r="F67" i="6"/>
  <c r="G67" i="6"/>
  <c r="J68" i="6" l="1"/>
  <c r="G68" i="6"/>
  <c r="F68" i="6"/>
  <c r="H68" i="6"/>
  <c r="B69" i="6"/>
  <c r="I69" i="6" s="1"/>
  <c r="B70" i="6" l="1"/>
  <c r="I70" i="6" s="1"/>
  <c r="G69" i="6"/>
  <c r="J69" i="6"/>
  <c r="F69" i="6"/>
  <c r="H69" i="6"/>
  <c r="F70" i="6" l="1"/>
  <c r="G70" i="6"/>
  <c r="J70" i="6"/>
  <c r="H70" i="6"/>
  <c r="B71" i="6"/>
  <c r="I71" i="6" s="1"/>
  <c r="B72" i="6" l="1"/>
  <c r="I72" i="6" s="1"/>
  <c r="F71" i="6"/>
  <c r="G71" i="6"/>
  <c r="J71" i="6"/>
  <c r="H71" i="6"/>
  <c r="G72" i="6" l="1"/>
  <c r="H72" i="6"/>
  <c r="J72" i="6"/>
  <c r="F72" i="6"/>
  <c r="B73" i="6"/>
  <c r="I73" i="6" s="1"/>
  <c r="B74" i="6" l="1"/>
  <c r="I74" i="6" s="1"/>
  <c r="G73" i="6"/>
  <c r="H73" i="6"/>
  <c r="J73" i="6"/>
  <c r="F73" i="6"/>
  <c r="F74" i="6" l="1"/>
  <c r="G74" i="6"/>
  <c r="H74" i="6"/>
  <c r="J74" i="6"/>
  <c r="B75" i="6"/>
  <c r="I75" i="6" s="1"/>
  <c r="G75" i="6" l="1"/>
  <c r="F75" i="6"/>
  <c r="H75" i="6"/>
  <c r="J75" i="6"/>
  <c r="B76" i="6"/>
  <c r="I76" i="6" s="1"/>
  <c r="B77" i="6" l="1"/>
  <c r="I77" i="6" s="1"/>
  <c r="J76" i="6"/>
  <c r="G76" i="6"/>
  <c r="F76" i="6"/>
  <c r="H76" i="6"/>
  <c r="B78" i="6" l="1"/>
  <c r="I78" i="6" s="1"/>
  <c r="J77" i="6"/>
  <c r="G77" i="6"/>
  <c r="F77" i="6"/>
  <c r="H77" i="6"/>
  <c r="H78" i="6" l="1"/>
  <c r="F78" i="6"/>
  <c r="G78" i="6"/>
  <c r="J78" i="6"/>
  <c r="B79" i="6"/>
  <c r="I79" i="6" s="1"/>
  <c r="B80" i="6" l="1"/>
  <c r="I80" i="6" s="1"/>
  <c r="F79" i="6"/>
  <c r="G79" i="6"/>
  <c r="J79" i="6"/>
  <c r="H79" i="6"/>
  <c r="B81" i="6" l="1"/>
  <c r="I81" i="6" s="1"/>
  <c r="J80" i="6"/>
  <c r="F80" i="6"/>
  <c r="G80" i="6"/>
  <c r="H80" i="6"/>
  <c r="F81" i="6" l="1"/>
  <c r="J81" i="6"/>
  <c r="G81" i="6"/>
  <c r="H81" i="6"/>
  <c r="B82" i="6"/>
  <c r="I82" i="6" s="1"/>
  <c r="H82" i="6" l="1"/>
  <c r="J82" i="6"/>
  <c r="G82" i="6"/>
  <c r="F82" i="6"/>
  <c r="B83" i="6"/>
  <c r="I83" i="6" s="1"/>
  <c r="B84" i="6" l="1"/>
  <c r="I84" i="6" s="1"/>
  <c r="J83" i="6"/>
  <c r="H83" i="6"/>
  <c r="F83" i="6"/>
  <c r="G83" i="6"/>
  <c r="J84" i="6" l="1"/>
  <c r="G84" i="6"/>
  <c r="F84" i="6"/>
  <c r="H84" i="6"/>
  <c r="B85" i="6"/>
  <c r="I85" i="6" s="1"/>
  <c r="G85" i="6" l="1"/>
  <c r="H85" i="6"/>
  <c r="J85" i="6"/>
  <c r="F85" i="6"/>
  <c r="B86" i="6"/>
  <c r="I86" i="6" s="1"/>
  <c r="G86" i="6" l="1"/>
  <c r="F86" i="6"/>
  <c r="H86" i="6"/>
  <c r="J86" i="6"/>
  <c r="B87" i="6"/>
  <c r="I87" i="6" s="1"/>
  <c r="B88" i="6" l="1"/>
  <c r="I88" i="6" s="1"/>
  <c r="J87" i="6"/>
  <c r="F87" i="6"/>
  <c r="H87" i="6"/>
  <c r="G87" i="6"/>
  <c r="B89" i="6" l="1"/>
  <c r="I89" i="6" s="1"/>
  <c r="J88" i="6"/>
  <c r="F88" i="6"/>
  <c r="G88" i="6"/>
  <c r="H88" i="6"/>
  <c r="H89" i="6" l="1"/>
  <c r="G89" i="6"/>
  <c r="F89" i="6"/>
  <c r="J89" i="6"/>
  <c r="B90" i="6"/>
  <c r="I90" i="6" s="1"/>
  <c r="G90" i="6" l="1"/>
  <c r="H90" i="6"/>
  <c r="J90" i="6"/>
  <c r="F90" i="6"/>
  <c r="B91" i="6"/>
  <c r="I91" i="6" s="1"/>
  <c r="B92" i="6" l="1"/>
  <c r="I92" i="6" s="1"/>
  <c r="J91" i="6"/>
  <c r="F91" i="6"/>
  <c r="H91" i="6"/>
  <c r="G91" i="6"/>
  <c r="B93" i="6" l="1"/>
  <c r="I93" i="6" s="1"/>
  <c r="J92" i="6"/>
  <c r="F92" i="6"/>
  <c r="G92" i="6"/>
  <c r="H92" i="6"/>
  <c r="B94" i="6" l="1"/>
  <c r="I94" i="6" s="1"/>
  <c r="J93" i="6"/>
  <c r="F93" i="6"/>
  <c r="G93" i="6"/>
  <c r="H93" i="6"/>
  <c r="J94" i="6" l="1"/>
  <c r="F94" i="6"/>
  <c r="H94" i="6"/>
  <c r="G94" i="6"/>
  <c r="B95" i="6"/>
  <c r="I95" i="6" s="1"/>
  <c r="F95" i="6" l="1"/>
  <c r="J95" i="6"/>
  <c r="H95" i="6"/>
  <c r="G95" i="6"/>
  <c r="B96" i="6"/>
  <c r="I96" i="6" s="1"/>
  <c r="J96" i="6" l="1"/>
  <c r="G96" i="6"/>
  <c r="F96" i="6"/>
  <c r="H96" i="6"/>
  <c r="B97" i="6"/>
  <c r="I97" i="6" s="1"/>
  <c r="B98" i="6" l="1"/>
  <c r="I98" i="6" s="1"/>
  <c r="F97" i="6"/>
  <c r="G97" i="6"/>
  <c r="H97" i="6"/>
  <c r="J97" i="6"/>
  <c r="F98" i="6" l="1"/>
  <c r="G98" i="6"/>
  <c r="H98" i="6"/>
  <c r="J98" i="6"/>
  <c r="B99" i="6"/>
  <c r="I99" i="6" s="1"/>
  <c r="B100" i="6" l="1"/>
  <c r="I100" i="6" s="1"/>
  <c r="J99" i="6"/>
  <c r="F99" i="6"/>
  <c r="G99" i="6"/>
  <c r="H99" i="6"/>
  <c r="F100" i="6" l="1"/>
  <c r="H100" i="6"/>
  <c r="G100" i="6"/>
  <c r="J100" i="6"/>
  <c r="B101" i="6"/>
  <c r="I101" i="6" s="1"/>
  <c r="B102" i="6" l="1"/>
  <c r="I102" i="6" s="1"/>
  <c r="H101" i="6"/>
  <c r="G101" i="6"/>
  <c r="F101" i="6"/>
  <c r="J101" i="6"/>
  <c r="B103" i="6" l="1"/>
  <c r="I103" i="6" s="1"/>
  <c r="J102" i="6"/>
  <c r="H102" i="6"/>
  <c r="F102" i="6"/>
  <c r="G102" i="6"/>
  <c r="J103" i="6" l="1"/>
  <c r="H103" i="6"/>
  <c r="F103" i="6"/>
  <c r="G103" i="6"/>
  <c r="B104" i="6"/>
  <c r="I104" i="6" s="1"/>
  <c r="J104" i="6" l="1"/>
  <c r="F104" i="6"/>
  <c r="H104" i="6"/>
  <c r="G104" i="6"/>
  <c r="B105" i="6"/>
  <c r="I105" i="6" s="1"/>
  <c r="B106" i="6" l="1"/>
  <c r="I106" i="6" s="1"/>
  <c r="F105" i="6"/>
  <c r="J105" i="6"/>
  <c r="G105" i="6"/>
  <c r="H105" i="6"/>
  <c r="B107" i="6" l="1"/>
  <c r="I107" i="6" s="1"/>
  <c r="F106" i="6"/>
  <c r="G106" i="6"/>
  <c r="H106" i="6"/>
  <c r="J106" i="6"/>
  <c r="B108" i="6" l="1"/>
  <c r="I108" i="6" s="1"/>
  <c r="J107" i="6"/>
  <c r="H107" i="6"/>
  <c r="G107" i="6"/>
  <c r="F107" i="6"/>
  <c r="B109" i="6" l="1"/>
  <c r="I109" i="6" s="1"/>
  <c r="H108" i="6"/>
  <c r="J108" i="6"/>
  <c r="F108" i="6"/>
  <c r="G108" i="6"/>
  <c r="G109" i="6" l="1"/>
  <c r="H109" i="6"/>
  <c r="J109" i="6"/>
  <c r="F109" i="6"/>
  <c r="B110" i="6"/>
  <c r="I110" i="6" s="1"/>
  <c r="B111" i="6" l="1"/>
  <c r="I111" i="6" s="1"/>
  <c r="G110" i="6"/>
  <c r="J110" i="6"/>
  <c r="H110" i="6"/>
  <c r="F110" i="6"/>
  <c r="F111" i="6" l="1"/>
  <c r="H111" i="6"/>
  <c r="J111" i="6"/>
  <c r="G111" i="6"/>
  <c r="B112" i="6"/>
  <c r="I112" i="6" s="1"/>
  <c r="H112" i="6" l="1"/>
  <c r="F112" i="6"/>
  <c r="G112" i="6"/>
  <c r="J112" i="6"/>
  <c r="B113" i="6"/>
  <c r="I113" i="6" s="1"/>
  <c r="H113" i="6" l="1"/>
  <c r="G113" i="6"/>
  <c r="F113" i="6"/>
  <c r="J113" i="6"/>
  <c r="B114" i="6"/>
  <c r="I114" i="6" s="1"/>
  <c r="H114" i="6" l="1"/>
  <c r="J114" i="6"/>
  <c r="G114" i="6"/>
  <c r="F114" i="6"/>
  <c r="B115" i="6"/>
  <c r="I115" i="6" s="1"/>
  <c r="J115" i="6" l="1"/>
  <c r="G115" i="6"/>
  <c r="F115" i="6"/>
  <c r="H115" i="6"/>
  <c r="B116" i="6"/>
  <c r="I116" i="6" s="1"/>
  <c r="J116" i="6" l="1"/>
  <c r="F116" i="6"/>
  <c r="H116" i="6"/>
  <c r="G116" i="6"/>
  <c r="B117" i="6"/>
  <c r="I117" i="6" s="1"/>
  <c r="G117" i="6" l="1"/>
  <c r="H117" i="6"/>
  <c r="F117" i="6"/>
  <c r="J117" i="6"/>
  <c r="B118" i="6"/>
  <c r="I118" i="6" s="1"/>
  <c r="B119" i="6" l="1"/>
  <c r="I119" i="6" s="1"/>
  <c r="J118" i="6"/>
  <c r="G118" i="6"/>
  <c r="H118" i="6"/>
  <c r="F118" i="6"/>
  <c r="J119" i="6" l="1"/>
  <c r="F119" i="6"/>
  <c r="H119" i="6"/>
  <c r="G119" i="6"/>
  <c r="B120" i="6"/>
  <c r="I120" i="6" s="1"/>
  <c r="B121" i="6" l="1"/>
  <c r="I121" i="6" s="1"/>
  <c r="J120" i="6"/>
  <c r="G120" i="6"/>
  <c r="H120" i="6"/>
  <c r="F120" i="6"/>
  <c r="B122" i="6" l="1"/>
  <c r="I122" i="6" s="1"/>
  <c r="F121" i="6"/>
  <c r="H121" i="6"/>
  <c r="G121" i="6"/>
  <c r="J121" i="6"/>
  <c r="B123" i="6" l="1"/>
  <c r="I123" i="6" s="1"/>
  <c r="J122" i="6"/>
  <c r="F122" i="6"/>
  <c r="G122" i="6"/>
  <c r="H122" i="6"/>
  <c r="B124" i="6" l="1"/>
  <c r="I124" i="6" s="1"/>
  <c r="J123" i="6"/>
  <c r="H123" i="6"/>
  <c r="G123" i="6"/>
  <c r="F123" i="6"/>
  <c r="G124" i="6" l="1"/>
  <c r="H124" i="6"/>
  <c r="J124" i="6"/>
  <c r="F124" i="6"/>
  <c r="B125" i="6"/>
  <c r="I125" i="6" s="1"/>
  <c r="B126" i="6" l="1"/>
  <c r="I126" i="6" s="1"/>
  <c r="J125" i="6"/>
  <c r="F125" i="6"/>
  <c r="G125" i="6"/>
  <c r="H125" i="6"/>
  <c r="F126" i="6" l="1"/>
  <c r="G126" i="6"/>
  <c r="H126" i="6"/>
  <c r="J126" i="6"/>
  <c r="B127" i="6"/>
  <c r="I127" i="6" s="1"/>
  <c r="F127" i="6" l="1"/>
  <c r="H127" i="6"/>
  <c r="G127" i="6"/>
  <c r="J127" i="6"/>
  <c r="B128" i="6"/>
  <c r="I128" i="6" s="1"/>
  <c r="J128" i="6" l="1"/>
  <c r="H128" i="6"/>
  <c r="F128" i="6"/>
  <c r="G128" i="6"/>
  <c r="B129" i="6"/>
  <c r="I129" i="6" s="1"/>
  <c r="F129" i="6" l="1"/>
  <c r="H129" i="6"/>
  <c r="G129" i="6"/>
  <c r="J129" i="6"/>
  <c r="B130" i="6"/>
  <c r="I130" i="6" s="1"/>
  <c r="F130" i="6" l="1"/>
  <c r="H130" i="6"/>
  <c r="G130" i="6"/>
  <c r="J130" i="6"/>
  <c r="B131" i="6"/>
  <c r="I131" i="6" s="1"/>
  <c r="J131" i="6" l="1"/>
  <c r="F131" i="6"/>
  <c r="G131" i="6"/>
  <c r="H131" i="6"/>
  <c r="B132" i="6"/>
  <c r="I132" i="6" s="1"/>
  <c r="G132" i="6" l="1"/>
  <c r="H132" i="6"/>
  <c r="J132" i="6"/>
  <c r="F132" i="6"/>
  <c r="B133" i="6"/>
  <c r="I133" i="6" s="1"/>
  <c r="B134" i="6" l="1"/>
  <c r="I134" i="6" s="1"/>
  <c r="H133" i="6"/>
  <c r="G133" i="6"/>
  <c r="J133" i="6"/>
  <c r="F133" i="6"/>
  <c r="B135" i="6" l="1"/>
  <c r="I135" i="6" s="1"/>
  <c r="J134" i="6"/>
  <c r="G134" i="6"/>
  <c r="H134" i="6"/>
  <c r="F134" i="6"/>
  <c r="H135" i="6" l="1"/>
  <c r="F135" i="6"/>
  <c r="G135" i="6"/>
  <c r="J135" i="6"/>
  <c r="B136" i="6"/>
  <c r="I136" i="6" s="1"/>
  <c r="F136" i="6" l="1"/>
  <c r="H136" i="6"/>
  <c r="J136" i="6"/>
  <c r="G136" i="6"/>
  <c r="B137" i="6"/>
  <c r="I137" i="6" s="1"/>
  <c r="F137" i="6" l="1"/>
  <c r="G137" i="6"/>
  <c r="J137" i="6"/>
  <c r="H137" i="6"/>
  <c r="B138" i="6"/>
  <c r="I138" i="6" s="1"/>
  <c r="B139" i="6" l="1"/>
  <c r="I139" i="6" s="1"/>
  <c r="H138" i="6"/>
  <c r="J138" i="6"/>
  <c r="F138" i="6"/>
  <c r="G138" i="6"/>
  <c r="B140" i="6" l="1"/>
  <c r="I140" i="6" s="1"/>
  <c r="J139" i="6"/>
  <c r="H139" i="6"/>
  <c r="G139" i="6"/>
  <c r="F139" i="6"/>
  <c r="B142" i="6" l="1"/>
  <c r="I142" i="6" s="1"/>
  <c r="B141" i="6"/>
  <c r="I141" i="6" s="1"/>
  <c r="F140" i="6"/>
  <c r="G140" i="6"/>
  <c r="H140" i="6"/>
  <c r="J140" i="6"/>
  <c r="G141" i="6" l="1"/>
  <c r="H141" i="6"/>
  <c r="J141" i="6"/>
  <c r="F141" i="6"/>
  <c r="J142" i="6"/>
  <c r="F142" i="6"/>
  <c r="G142" i="6"/>
  <c r="H14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<sst xmlns="http://schemas.openxmlformats.org/spreadsheetml/2006/main" count="2443" uniqueCount="884">
  <si>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</si>
  <si>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</si>
  <si>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</si>
  <si>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</si>
  <si>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</si>
  <si>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</si>
  <si>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</si>
  <si>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</si>
  <si>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</si>
  <si>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</si>
  <si>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</si>
  <si>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</si>
  <si>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</si>
  <si>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</si>
  <si>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</si>
  <si>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</si>
  <si>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</si>
  <si>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</si>
  <si>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</si>
  <si>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</si>
  <si>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</si>
  <si>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</si>
  <si>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</si>
  <si>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</si>
  <si>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</si>
  <si>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</si>
  <si>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</si>
  <si>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</si>
  <si>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</si>
  <si>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</si>
  <si>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</si>
  <si>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</si>
  <si>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</si>
  <si>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</si>
  <si>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</si>
  <si>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</si>
  <si>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</si>
  <si>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</si>
  <si>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</si>
  <si>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</si>
  <si>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</si>
  <si>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</si>
  <si>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</si>
  <si>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</si>
  <si>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</si>
  <si>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</si>
  <si>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</si>
  <si>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</si>
  <si>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</si>
  <si>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</si>
  <si>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</si>
  <si>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</si>
  <si>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</si>
  <si>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</si>
  <si>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</si>
  <si>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</si>
  <si>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</si>
  <si>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</si>
  <si>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</si>
  <si>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</si>
  <si>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</si>
  <si>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</si>
  <si>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</si>
  <si>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</si>
  <si>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</si>
  <si>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</si>
  <si>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</si>
  <si>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</si>
  <si>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</si>
  <si>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</si>
  <si>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</si>
  <si>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</si>
  <si>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</si>
  <si>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</si>
  <si>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</si>
  <si>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</si>
  <si>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</si>
  <si>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</si>
  <si>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</si>
  <si>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</si>
  <si>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</si>
  <si>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</si>
  <si>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</si>
  <si>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</si>
  <si>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</si>
  <si>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</si>
  <si>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</si>
  <si>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</si>
  <si>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</si>
  <si>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</si>
  <si>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</si>
  <si>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</si>
  <si>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</si>
  <si>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</si>
  <si>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</si>
  <si>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</si>
  <si>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</si>
  <si>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</si>
  <si>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</si>
  <si>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</si>
  <si>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</si>
  <si>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</si>
  <si>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</si>
  <si>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</si>
  <si>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</si>
  <si>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</si>
  <si>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</si>
  <si>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</si>
  <si>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</si>
  <si>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</si>
  <si>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</si>
  <si>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</si>
  <si>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</si>
  <si>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</si>
  <si>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</si>
  <si>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</si>
  <si>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</si>
  <si>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</si>
  <si>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</si>
  <si>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</si>
  <si>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</si>
  <si>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</si>
  <si>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</si>
  <si>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</si>
  <si>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</si>
  <si>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</si>
  <si>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</si>
  <si>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</si>
  <si>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</si>
  <si>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</si>
  <si>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</si>
  <si>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</si>
  <si>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</si>
  <si>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</si>
  <si>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</si>
  <si>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</si>
  <si>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</si>
  <si>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</si>
  <si>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</si>
  <si>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</si>
  <si>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</si>
  <si>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</si>
  <si>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</si>
  <si>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</si>
  <si>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</si>
  <si>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</si>
  <si>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</si>
  <si>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</si>
  <si>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</si>
  <si>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</si>
  <si>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</si>
  <si>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</si>
  <si>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</si>
  <si>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</si>
  <si>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</si>
  <si>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</si>
  <si>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</si>
  <si>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</si>
  <si>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</si>
  <si>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</si>
  <si>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</si>
  <si>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</si>
  <si>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</si>
  <si>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</si>
  <si>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</si>
  <si>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</si>
  <si>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</si>
  <si>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</si>
  <si>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</si>
  <si>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</si>
  <si>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</si>
  <si>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</si>
  <si>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</si>
  <si>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</si>
  <si>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</si>
  <si>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</si>
  <si>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</si>
  <si>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</si>
  <si>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</si>
  <si>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</si>
  <si>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</si>
  <si>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</si>
  <si>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</si>
  <si>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</si>
  <si>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</si>
  <si>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</si>
  <si>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</si>
  <si>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</si>
  <si>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</si>
  <si>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</si>
  <si>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</si>
  <si>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</si>
  <si>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</si>
  <si>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</si>
  <si>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</si>
  <si>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</si>
  <si>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</si>
  <si>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</si>
  <si>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</si>
  <si>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</si>
  <si>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</si>
  <si>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</si>
  <si>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</si>
  <si>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</si>
  <si>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</si>
  <si>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</si>
  <si>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</si>
  <si>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</si>
  <si>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</si>
  <si>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</si>
  <si>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</si>
  <si>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</si>
  <si>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</si>
  <si>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</si>
  <si>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</si>
  <si>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</si>
  <si>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</si>
  <si>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</si>
  <si>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</si>
  <si>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</si>
  <si>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</si>
  <si>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</si>
  <si>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</si>
  <si>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</si>
  <si>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</si>
  <si>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</si>
  <si>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</si>
  <si>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</si>
  <si>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</si>
  <si>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</si>
  <si>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</si>
  <si>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</si>
  <si>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</si>
  <si>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</si>
  <si>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</si>
  <si>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</si>
  <si>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</si>
  <si>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</si>
  <si>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</si>
  <si>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</si>
  <si>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</si>
  <si>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</si>
  <si>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</si>
  <si>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</si>
  <si>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</si>
  <si>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</si>
  <si>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</si>
  <si>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</si>
  <si>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</si>
  <si>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</si>
  <si>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</si>
  <si>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</si>
  <si>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</si>
  <si>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</si>
  <si>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</si>
  <si>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OUN</t>
  </si>
  <si>
    <t>ZACK</t>
  </si>
  <si>
    <t>302-19</t>
  </si>
  <si>
    <t>204:152</t>
  </si>
  <si>
    <t>204:158</t>
  </si>
  <si>
    <t>204:141</t>
  </si>
  <si>
    <t>204:156</t>
  </si>
  <si>
    <t>204:232989</t>
  </si>
  <si>
    <t>rtdc.l.rtdc.4030:itc</t>
  </si>
  <si>
    <t>204:233000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</si>
  <si>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</si>
  <si>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</si>
  <si>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</si>
  <si>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</si>
  <si>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rtdc.l.rtdc.4007:itc</t>
  </si>
  <si>
    <t>rtdc.l.rtdc.4031:itc</t>
  </si>
  <si>
    <t>204:232983</t>
  </si>
  <si>
    <t>204:446</t>
  </si>
  <si>
    <t>rtdc.l.rtdc.4032:itc</t>
  </si>
  <si>
    <t>PERMANENT SPEED RESTRICTION</t>
  </si>
  <si>
    <t>Speed (6)</t>
  </si>
  <si>
    <t>Y</t>
  </si>
  <si>
    <t>precipType</t>
  </si>
  <si>
    <t>204:469</t>
  </si>
  <si>
    <t>rtdc.l.rtdc.4001:itc</t>
  </si>
  <si>
    <t>204:232987</t>
  </si>
  <si>
    <t>204:233301</t>
  </si>
  <si>
    <t>204:232993</t>
  </si>
  <si>
    <t>204:233006</t>
  </si>
  <si>
    <t>rtdc.l.rtdc.4020:itc</t>
  </si>
  <si>
    <t>204:232969</t>
  </si>
  <si>
    <t>204:232984</t>
  </si>
  <si>
    <t>204:438</t>
  </si>
  <si>
    <t>rtdc.l.rtdc.4026:itc</t>
  </si>
  <si>
    <t>Partly Cloudy</t>
  </si>
  <si>
    <t>partly-cloudy-day</t>
  </si>
  <si>
    <t>204:138</t>
  </si>
  <si>
    <t>204:233317</t>
  </si>
  <si>
    <t>204:233304</t>
  </si>
  <si>
    <t>204:161</t>
  </si>
  <si>
    <t>204:233306</t>
  </si>
  <si>
    <t>204:163</t>
  </si>
  <si>
    <t>204:232980</t>
  </si>
  <si>
    <t>204:154</t>
  </si>
  <si>
    <t>204:232996</t>
  </si>
  <si>
    <t>204:477</t>
  </si>
  <si>
    <t>Onboard in-route failure</t>
  </si>
  <si>
    <t>Early arrival</t>
  </si>
  <si>
    <t>COMELLA</t>
  </si>
  <si>
    <t>JUSTIN</t>
  </si>
  <si>
    <t>204:233297</t>
  </si>
  <si>
    <t>204:233300</t>
  </si>
  <si>
    <t>204:232975</t>
  </si>
  <si>
    <t>204:442</t>
  </si>
  <si>
    <t>204:458</t>
  </si>
  <si>
    <t>204:232991</t>
  </si>
  <si>
    <t>300:58956</t>
  </si>
  <si>
    <t>rtdc.l.rtdc.4018:itc</t>
  </si>
  <si>
    <t>rtdc.l.rtdc.4017:itc</t>
  </si>
  <si>
    <t>rtdc.l.rtdc.4008:itc</t>
  </si>
  <si>
    <t>LOZA</t>
  </si>
  <si>
    <t>FIDEL</t>
  </si>
  <si>
    <t>rtdc.l.rtdc.4025:itc</t>
  </si>
  <si>
    <t>HILLS</t>
  </si>
  <si>
    <t>DUSTIN</t>
  </si>
  <si>
    <t>204:233310</t>
  </si>
  <si>
    <t>204:129</t>
  </si>
  <si>
    <t>204:233305</t>
  </si>
  <si>
    <t>204:460</t>
  </si>
  <si>
    <t>204:233291</t>
  </si>
  <si>
    <t>300:58626</t>
  </si>
  <si>
    <t>300:58967</t>
  </si>
  <si>
    <t>300:58933</t>
  </si>
  <si>
    <t>BRUDER</t>
  </si>
  <si>
    <t>RICHARD</t>
  </si>
  <si>
    <t>rtdc.l.rtdc.4046:itc</t>
  </si>
  <si>
    <t>rtdc.l.rtdc.4045:itc</t>
  </si>
  <si>
    <t>precipAccumulation</t>
  </si>
  <si>
    <t>snow</t>
  </si>
  <si>
    <t>204:233316</t>
  </si>
  <si>
    <t>204:130</t>
  </si>
  <si>
    <t>204:233307</t>
  </si>
  <si>
    <t>204:232965</t>
  </si>
  <si>
    <t>204:478</t>
  </si>
  <si>
    <t>204:233331</t>
  </si>
  <si>
    <t>204:233372</t>
  </si>
  <si>
    <t>204:233055</t>
  </si>
  <si>
    <t>204:134</t>
  </si>
  <si>
    <t>204:233011</t>
  </si>
  <si>
    <t>204:735</t>
  </si>
  <si>
    <t>204:694</t>
  </si>
  <si>
    <t>GEBRETEKLE</t>
  </si>
  <si>
    <t>DAGNEW</t>
  </si>
  <si>
    <t>JOHN</t>
  </si>
  <si>
    <t>rtdc.l.rtdc.4021:itc</t>
  </si>
  <si>
    <t>Uncaught Wi-MAX GREP</t>
  </si>
  <si>
    <t>rtdc.l.rtdc.4028:itc</t>
  </si>
  <si>
    <t>227-12</t>
  </si>
  <si>
    <t>235-12</t>
  </si>
  <si>
    <t>236-12</t>
  </si>
  <si>
    <t>ROBINSON</t>
  </si>
  <si>
    <t>KADDIBA</t>
  </si>
  <si>
    <t>rtdc.l.rtdc.4027:itc</t>
  </si>
  <si>
    <t>SHOOK</t>
  </si>
  <si>
    <t>KILLION</t>
  </si>
  <si>
    <t>DAVID</t>
  </si>
  <si>
    <t>LOPES</t>
  </si>
  <si>
    <t>KIMBERLY</t>
  </si>
  <si>
    <t>MACDONALD</t>
  </si>
  <si>
    <t>THOMAS</t>
  </si>
  <si>
    <t>74-12</t>
  </si>
  <si>
    <t>PERKINS</t>
  </si>
  <si>
    <t>DARREN</t>
  </si>
  <si>
    <t>WHITED</t>
  </si>
  <si>
    <t>222-12</t>
  </si>
  <si>
    <t>843-12</t>
  </si>
  <si>
    <t>224-12</t>
  </si>
  <si>
    <t>226-12</t>
  </si>
  <si>
    <t>842-12</t>
  </si>
  <si>
    <t>229-12</t>
  </si>
  <si>
    <t>228-12</t>
  </si>
  <si>
    <t>81-12</t>
  </si>
  <si>
    <t>231-12</t>
  </si>
  <si>
    <t>845-12</t>
  </si>
  <si>
    <t>844-12</t>
  </si>
  <si>
    <t>233-12</t>
  </si>
  <si>
    <t>230-12</t>
  </si>
  <si>
    <t>847-12</t>
  </si>
  <si>
    <t>232-12</t>
  </si>
  <si>
    <t>908-12</t>
  </si>
  <si>
    <t>234-12</t>
  </si>
  <si>
    <t>237-12</t>
  </si>
  <si>
    <t>239-12</t>
  </si>
  <si>
    <t>241-12</t>
  </si>
  <si>
    <t>238-12</t>
  </si>
  <si>
    <t>84-12</t>
  </si>
  <si>
    <t>65-12</t>
  </si>
  <si>
    <t>240-12</t>
  </si>
  <si>
    <t>88-12</t>
  </si>
  <si>
    <t>MCREYNOLDS</t>
  </si>
  <si>
    <t>KYLE</t>
  </si>
  <si>
    <t>309-12</t>
  </si>
  <si>
    <t>242-12</t>
  </si>
  <si>
    <t>311-12</t>
  </si>
  <si>
    <t>244-12</t>
  </si>
  <si>
    <t>313-12</t>
  </si>
  <si>
    <t>315-12</t>
  </si>
  <si>
    <t>Mostly Cloudy</t>
  </si>
  <si>
    <t>rain</t>
  </si>
  <si>
    <t>204:143</t>
  </si>
  <si>
    <t>204:233295</t>
  </si>
  <si>
    <t>204:136</t>
  </si>
  <si>
    <t>204:233288</t>
  </si>
  <si>
    <t>204:132</t>
  </si>
  <si>
    <t>204:444</t>
  </si>
  <si>
    <t>204:233302</t>
  </si>
  <si>
    <t>204:233010</t>
  </si>
  <si>
    <t>204:233303</t>
  </si>
  <si>
    <t>204:435</t>
  </si>
  <si>
    <t>204:232990</t>
  </si>
  <si>
    <t>204:232988</t>
  </si>
  <si>
    <t>204:178</t>
  </si>
  <si>
    <t>204:471</t>
  </si>
  <si>
    <t>204:440</t>
  </si>
  <si>
    <t>204:233311</t>
  </si>
  <si>
    <t>204:233284</t>
  </si>
  <si>
    <t>204:172</t>
  </si>
  <si>
    <t>204:1035</t>
  </si>
  <si>
    <t>204:729</t>
  </si>
  <si>
    <t>204:1013</t>
  </si>
  <si>
    <t>300:58662</t>
  </si>
  <si>
    <t>300:58990</t>
  </si>
  <si>
    <t>300:58986</t>
  </si>
  <si>
    <t>300:58670</t>
  </si>
  <si>
    <t>300:58619</t>
  </si>
  <si>
    <t>204:1037</t>
  </si>
  <si>
    <t>300:58960</t>
  </si>
  <si>
    <t>300:58649</t>
  </si>
  <si>
    <t>300:58971</t>
  </si>
  <si>
    <t>204:696</t>
  </si>
  <si>
    <t>rtdc.l.rtdc.4041:itc</t>
  </si>
  <si>
    <t>306-14</t>
  </si>
  <si>
    <t>308-14</t>
  </si>
  <si>
    <t>105-14</t>
  </si>
  <si>
    <t>106-14</t>
  </si>
  <si>
    <t>129-14</t>
  </si>
  <si>
    <t>132-14</t>
  </si>
  <si>
    <t>145-14</t>
  </si>
  <si>
    <t>1814-14</t>
  </si>
  <si>
    <t>175-14</t>
  </si>
  <si>
    <t>170-14</t>
  </si>
  <si>
    <t>211-14</t>
  </si>
  <si>
    <t>66-14</t>
  </si>
  <si>
    <t>216-14</t>
  </si>
  <si>
    <t>227-14</t>
  </si>
  <si>
    <t>229-14</t>
  </si>
  <si>
    <t>228-14</t>
  </si>
  <si>
    <t>230-14</t>
  </si>
  <si>
    <t>233-14</t>
  </si>
  <si>
    <t>245-13</t>
  </si>
  <si>
    <t>BROWN</t>
  </si>
  <si>
    <t>JACOB</t>
  </si>
  <si>
    <t>309-13</t>
  </si>
  <si>
    <t>rtdc.l.rtdc.4039:itc</t>
  </si>
  <si>
    <t>244-13</t>
  </si>
  <si>
    <t>rtdc.l.rtdc.4016:itc</t>
  </si>
  <si>
    <t>311-13</t>
  </si>
  <si>
    <t>246-13</t>
  </si>
  <si>
    <t>313-13</t>
  </si>
  <si>
    <t>315-13</t>
  </si>
  <si>
    <t>302-14</t>
  </si>
  <si>
    <t>BEAM</t>
  </si>
  <si>
    <t>ROSS</t>
  </si>
  <si>
    <t>101-14</t>
  </si>
  <si>
    <t>MAELZER</t>
  </si>
  <si>
    <t>KURT</t>
  </si>
  <si>
    <t>102-14</t>
  </si>
  <si>
    <t>DAVIS</t>
  </si>
  <si>
    <t>WENDY</t>
  </si>
  <si>
    <t>310-14</t>
  </si>
  <si>
    <t>107-14</t>
  </si>
  <si>
    <t>109-14</t>
  </si>
  <si>
    <t>111-14</t>
  </si>
  <si>
    <t>rtdc.l.rtdc.4029:itc</t>
  </si>
  <si>
    <t>113-14</t>
  </si>
  <si>
    <t>1901-14</t>
  </si>
  <si>
    <t>108-14</t>
  </si>
  <si>
    <t>117-14</t>
  </si>
  <si>
    <t>110-14</t>
  </si>
  <si>
    <t>1800-14</t>
  </si>
  <si>
    <t>112-14</t>
  </si>
  <si>
    <t>115-14</t>
  </si>
  <si>
    <t>119-14</t>
  </si>
  <si>
    <t>1801-14</t>
  </si>
  <si>
    <t>114-14</t>
  </si>
  <si>
    <t>121-14</t>
  </si>
  <si>
    <t>123-14</t>
  </si>
  <si>
    <t>118-14</t>
  </si>
  <si>
    <t>1802-14</t>
  </si>
  <si>
    <t>125-14</t>
  </si>
  <si>
    <t>120-14</t>
  </si>
  <si>
    <t>127-14</t>
  </si>
  <si>
    <t>SCOTT</t>
  </si>
  <si>
    <t>1803-14</t>
  </si>
  <si>
    <t>122-14</t>
  </si>
  <si>
    <t>124-14</t>
  </si>
  <si>
    <t>131-14</t>
  </si>
  <si>
    <t>133-14</t>
  </si>
  <si>
    <t>126-14</t>
  </si>
  <si>
    <t>1804-14</t>
  </si>
  <si>
    <t>128-14</t>
  </si>
  <si>
    <t>135-14</t>
  </si>
  <si>
    <t>1805-14</t>
  </si>
  <si>
    <t>130-14</t>
  </si>
  <si>
    <t>137-14</t>
  </si>
  <si>
    <t>139-14</t>
  </si>
  <si>
    <t>134-14</t>
  </si>
  <si>
    <t>141-14</t>
  </si>
  <si>
    <t>1806-14</t>
  </si>
  <si>
    <t>136-14</t>
  </si>
  <si>
    <t>143-14</t>
  </si>
  <si>
    <t>1807-14</t>
  </si>
  <si>
    <t>138-14</t>
  </si>
  <si>
    <t>140-14</t>
  </si>
  <si>
    <t>147-14</t>
  </si>
  <si>
    <t>142-14</t>
  </si>
  <si>
    <t>1808-14</t>
  </si>
  <si>
    <t>149-14</t>
  </si>
  <si>
    <t>144-14</t>
  </si>
  <si>
    <t>151-14</t>
  </si>
  <si>
    <t>50-14</t>
  </si>
  <si>
    <t>BRANDNER</t>
  </si>
  <si>
    <t>MELINDA</t>
  </si>
  <si>
    <t>1809-14</t>
  </si>
  <si>
    <t>146-14</t>
  </si>
  <si>
    <t>153-14</t>
  </si>
  <si>
    <t>148-14</t>
  </si>
  <si>
    <t>155-14</t>
  </si>
  <si>
    <t>51-14</t>
  </si>
  <si>
    <t>150-14</t>
  </si>
  <si>
    <t>1810-14</t>
  </si>
  <si>
    <t>157-14</t>
  </si>
  <si>
    <t>152-14</t>
  </si>
  <si>
    <t>52-14</t>
  </si>
  <si>
    <t>159-14</t>
  </si>
  <si>
    <t>STEWART</t>
  </si>
  <si>
    <t>1811-14</t>
  </si>
  <si>
    <t>154-14</t>
  </si>
  <si>
    <t>161-14</t>
  </si>
  <si>
    <t>156-14</t>
  </si>
  <si>
    <t>163-14</t>
  </si>
  <si>
    <t>158-14</t>
  </si>
  <si>
    <t>1812-14</t>
  </si>
  <si>
    <t>165-14</t>
  </si>
  <si>
    <t>53-14</t>
  </si>
  <si>
    <t>160-14</t>
  </si>
  <si>
    <t>167-14</t>
  </si>
  <si>
    <t>1813-14</t>
  </si>
  <si>
    <t>55-14</t>
  </si>
  <si>
    <t>162-14</t>
  </si>
  <si>
    <t>169-14</t>
  </si>
  <si>
    <t>164-14</t>
  </si>
  <si>
    <t>171-14</t>
  </si>
  <si>
    <t>BRANNON</t>
  </si>
  <si>
    <t>JEFFREY</t>
  </si>
  <si>
    <t>166-14</t>
  </si>
  <si>
    <t>173-14</t>
  </si>
  <si>
    <t>168-14</t>
  </si>
  <si>
    <t>1815-14</t>
  </si>
  <si>
    <t>177-14</t>
  </si>
  <si>
    <t>179-14</t>
  </si>
  <si>
    <t>172-14</t>
  </si>
  <si>
    <t>174-14</t>
  </si>
  <si>
    <t>1816-14</t>
  </si>
  <si>
    <t>181-14</t>
  </si>
  <si>
    <t>176-14</t>
  </si>
  <si>
    <t>183-14</t>
  </si>
  <si>
    <t>178-14</t>
  </si>
  <si>
    <t>185-14</t>
  </si>
  <si>
    <t>180-14</t>
  </si>
  <si>
    <t>1817-14</t>
  </si>
  <si>
    <t>HELVIE</t>
  </si>
  <si>
    <t>ADAM</t>
  </si>
  <si>
    <t>187-14</t>
  </si>
  <si>
    <t>182-14</t>
  </si>
  <si>
    <t>1818-14</t>
  </si>
  <si>
    <t>189-14</t>
  </si>
  <si>
    <t>184-14</t>
  </si>
  <si>
    <t>191-14</t>
  </si>
  <si>
    <t>186-14</t>
  </si>
  <si>
    <t>193-14</t>
  </si>
  <si>
    <t>188-14</t>
  </si>
  <si>
    <t>1819-14</t>
  </si>
  <si>
    <t>195-14</t>
  </si>
  <si>
    <t>190-14</t>
  </si>
  <si>
    <t>1820-14</t>
  </si>
  <si>
    <t>197-14</t>
  </si>
  <si>
    <t>192-14</t>
  </si>
  <si>
    <t>199-14</t>
  </si>
  <si>
    <t>194-14</t>
  </si>
  <si>
    <t>201-14</t>
  </si>
  <si>
    <t>1821-14</t>
  </si>
  <si>
    <t>196-14</t>
  </si>
  <si>
    <t>203-14</t>
  </si>
  <si>
    <t>198-14</t>
  </si>
  <si>
    <t>205-14</t>
  </si>
  <si>
    <t>1822-14</t>
  </si>
  <si>
    <t>200-14</t>
  </si>
  <si>
    <t>207-14</t>
  </si>
  <si>
    <t>202-14</t>
  </si>
  <si>
    <t>209-14</t>
  </si>
  <si>
    <t>57-14</t>
  </si>
  <si>
    <t>DELGADO</t>
  </si>
  <si>
    <t>DIANAH</t>
  </si>
  <si>
    <t>1823-14</t>
  </si>
  <si>
    <t>204-14</t>
  </si>
  <si>
    <t>206-14</t>
  </si>
  <si>
    <t>1824-14</t>
  </si>
  <si>
    <t>208-14</t>
  </si>
  <si>
    <t>213-14</t>
  </si>
  <si>
    <t>215-14</t>
  </si>
  <si>
    <t>1825-14</t>
  </si>
  <si>
    <t>210-14</t>
  </si>
  <si>
    <t>217-14</t>
  </si>
  <si>
    <t>212-14</t>
  </si>
  <si>
    <t>219-14</t>
  </si>
  <si>
    <t>214-14</t>
  </si>
  <si>
    <t>1826-14</t>
  </si>
  <si>
    <t>303-14</t>
  </si>
  <si>
    <t>221-14</t>
  </si>
  <si>
    <t>218-14</t>
  </si>
  <si>
    <t>1827-14</t>
  </si>
  <si>
    <t>305-14</t>
  </si>
  <si>
    <t>220-14</t>
  </si>
  <si>
    <t>223-14</t>
  </si>
  <si>
    <t>1828-14</t>
  </si>
  <si>
    <t>307-14</t>
  </si>
  <si>
    <t>222-14</t>
  </si>
  <si>
    <t>225-14</t>
  </si>
  <si>
    <t>1829-14</t>
  </si>
  <si>
    <t>224-14</t>
  </si>
  <si>
    <t>1830-14</t>
  </si>
  <si>
    <t>226-14</t>
  </si>
  <si>
    <t>1831-14</t>
  </si>
  <si>
    <t>231-14</t>
  </si>
  <si>
    <t>1832-14</t>
  </si>
  <si>
    <t>1833-14</t>
  </si>
  <si>
    <t>1902-14</t>
  </si>
  <si>
    <t>81-14</t>
  </si>
  <si>
    <t>MAGEE</t>
  </si>
  <si>
    <t>KENYA</t>
  </si>
  <si>
    <t>71-14</t>
  </si>
  <si>
    <t>SAFIEF</t>
  </si>
  <si>
    <t>AEIMEN</t>
  </si>
  <si>
    <t>72-14</t>
  </si>
  <si>
    <t>82-14</t>
  </si>
  <si>
    <t>Light Rain</t>
  </si>
  <si>
    <t>clear-night</t>
  </si>
  <si>
    <t>Clear</t>
  </si>
  <si>
    <t>204:737</t>
  </si>
  <si>
    <t>204:232670</t>
  </si>
  <si>
    <t>204:17764</t>
  </si>
  <si>
    <t>204:20292</t>
  </si>
  <si>
    <t>204:232779</t>
  </si>
  <si>
    <t>204:146182</t>
  </si>
  <si>
    <t>204:228178</t>
  </si>
  <si>
    <t>204:64694</t>
  </si>
  <si>
    <t>204:232985</t>
  </si>
  <si>
    <t>204:233286</t>
  </si>
  <si>
    <t>204:233320</t>
  </si>
  <si>
    <t>204:486</t>
  </si>
  <si>
    <t>204:482</t>
  </si>
  <si>
    <t>204:233332</t>
  </si>
  <si>
    <t>204:233329</t>
  </si>
  <si>
    <t>204:233017</t>
  </si>
  <si>
    <t>204:451</t>
  </si>
  <si>
    <t>204:233322</t>
  </si>
  <si>
    <t>204:232976</t>
  </si>
  <si>
    <t>204:433</t>
  </si>
  <si>
    <t>204:233285</t>
  </si>
  <si>
    <t>204:232972</t>
  </si>
  <si>
    <t>204:180</t>
  </si>
  <si>
    <t>204:495</t>
  </si>
  <si>
    <t>204:116</t>
  </si>
  <si>
    <t>204:480</t>
  </si>
  <si>
    <t>204:233280</t>
  </si>
  <si>
    <t>204:19123</t>
  </si>
  <si>
    <t>300:58674</t>
  </si>
  <si>
    <t>204:733</t>
  </si>
  <si>
    <t>204:1004</t>
  </si>
  <si>
    <t>300:58664</t>
  </si>
  <si>
    <t>204:740</t>
  </si>
  <si>
    <t>204:1009</t>
  </si>
  <si>
    <t>300:58653</t>
  </si>
  <si>
    <t>204:743</t>
  </si>
  <si>
    <t>204:713</t>
  </si>
  <si>
    <t>204:1021</t>
  </si>
  <si>
    <t>300:58988</t>
  </si>
  <si>
    <t>204:1027</t>
  </si>
  <si>
    <t>300:58997</t>
  </si>
  <si>
    <t>204:424</t>
  </si>
  <si>
    <t>204:233349</t>
  </si>
  <si>
    <t>300:57460</t>
  </si>
  <si>
    <t>204:708</t>
  </si>
  <si>
    <t>204:1018</t>
  </si>
  <si>
    <t>300:59007</t>
  </si>
  <si>
    <t>300:58430</t>
  </si>
  <si>
    <t>204:1011</t>
  </si>
  <si>
    <t>300:58474</t>
  </si>
  <si>
    <t>204:1044</t>
  </si>
  <si>
    <t>300:59008</t>
  </si>
  <si>
    <t>300:58687</t>
  </si>
  <si>
    <t>300:58931</t>
  </si>
  <si>
    <t>204:233027</t>
  </si>
  <si>
    <t>204:112</t>
  </si>
  <si>
    <t>300:58628</t>
  </si>
  <si>
    <t>204:1000</t>
  </si>
  <si>
    <t>204:1006</t>
  </si>
  <si>
    <t>204:736</t>
  </si>
  <si>
    <t>300:58632</t>
  </si>
  <si>
    <t>204:726</t>
  </si>
  <si>
    <t>300:58935</t>
  </si>
  <si>
    <t>300:58617</t>
  </si>
  <si>
    <t>204:734</t>
  </si>
  <si>
    <t>204:1020</t>
  </si>
  <si>
    <t>300:58615</t>
  </si>
  <si>
    <t>300:58999</t>
  </si>
  <si>
    <t>204:738</t>
  </si>
  <si>
    <t>204:1023</t>
  </si>
  <si>
    <t>300:58905</t>
  </si>
  <si>
    <t>204:233283</t>
  </si>
  <si>
    <t>204:232970</t>
  </si>
  <si>
    <t>300:30057</t>
  </si>
  <si>
    <t>300:21774</t>
  </si>
  <si>
    <t>204:233362</t>
  </si>
  <si>
    <t>204:418</t>
  </si>
  <si>
    <t>204:233343</t>
  </si>
  <si>
    <t>204:114</t>
  </si>
  <si>
    <t>204:467</t>
  </si>
  <si>
    <t>204:232952</t>
  </si>
  <si>
    <t>204:70</t>
  </si>
  <si>
    <t>204:233019</t>
  </si>
  <si>
    <t>204:124</t>
  </si>
  <si>
    <t>204:233363</t>
  </si>
  <si>
    <t>204:233090</t>
  </si>
  <si>
    <t>204:107</t>
  </si>
  <si>
    <t>204:233334</t>
  </si>
  <si>
    <t>204:233353</t>
  </si>
  <si>
    <t>204:233032</t>
  </si>
  <si>
    <t>204:407</t>
  </si>
  <si>
    <t>204:233387</t>
  </si>
  <si>
    <t>204:233074</t>
  </si>
  <si>
    <t>204:109</t>
  </si>
  <si>
    <t>204:232858</t>
  </si>
  <si>
    <t>204:233002</t>
  </si>
  <si>
    <t>204:431</t>
  </si>
  <si>
    <t>204:232849</t>
  </si>
  <si>
    <t>300:19693</t>
  </si>
  <si>
    <t>204:361</t>
  </si>
  <si>
    <t>300:23346</t>
  </si>
  <si>
    <t>300:23013</t>
  </si>
  <si>
    <t>300:19895</t>
  </si>
  <si>
    <t>300:23406</t>
  </si>
  <si>
    <t>300:23186</t>
  </si>
  <si>
    <t>204:384</t>
  </si>
  <si>
    <t>300:23318</t>
  </si>
  <si>
    <t>300:22007</t>
  </si>
  <si>
    <t>204:457</t>
  </si>
  <si>
    <t>300:23302</t>
  </si>
  <si>
    <t>300:23347</t>
  </si>
  <si>
    <t>204:339</t>
  </si>
  <si>
    <t>300:24226</t>
  </si>
  <si>
    <t>204:1166</t>
  </si>
  <si>
    <t>300:24246</t>
  </si>
  <si>
    <t>204:1479</t>
  </si>
  <si>
    <t>300:24976</t>
  </si>
  <si>
    <t>204:10136</t>
  </si>
  <si>
    <t>204:70374</t>
  </si>
  <si>
    <t>204:10481</t>
  </si>
  <si>
    <t>204:67890</t>
  </si>
  <si>
    <t>204:10585</t>
  </si>
  <si>
    <t>204:67984</t>
  </si>
  <si>
    <t>204:9968</t>
  </si>
  <si>
    <t>204:67956</t>
  </si>
  <si>
    <t>204:69760</t>
  </si>
  <si>
    <t>204:9900</t>
  </si>
  <si>
    <t>204:69804</t>
  </si>
  <si>
    <t>204:10346</t>
  </si>
  <si>
    <t>204:75210</t>
  </si>
  <si>
    <t>204:9667</t>
  </si>
  <si>
    <t>204:10160</t>
  </si>
  <si>
    <t>204:66452</t>
  </si>
  <si>
    <t>204:10360</t>
  </si>
  <si>
    <t>204:70029</t>
  </si>
  <si>
    <t>204:10479</t>
  </si>
  <si>
    <t>204:67891</t>
  </si>
  <si>
    <t>204:10751</t>
  </si>
  <si>
    <t>204:69719</t>
  </si>
  <si>
    <t>204:10243</t>
  </si>
  <si>
    <t>204:69865</t>
  </si>
  <si>
    <t>204:10124</t>
  </si>
  <si>
    <t>204:76877</t>
  </si>
  <si>
    <t>204:9913</t>
  </si>
  <si>
    <t>start /low /b %USERPROFILE%\Documents\GitHub\eaglep3\Utilities\DownloadLogsFromS3.py --loco 4014 --day 2017-01-14</t>
  </si>
  <si>
    <t>start /low /b %USERPROFILE%\Documents\GitHub\eaglep3\Utilities\DownloadLogsFromS3.py --loco 4041 --day 2017-01-14</t>
  </si>
  <si>
    <t>start /low /b %USERPROFILE%\Documents\GitHub\eaglep3\Utilities\DownloadLogsFromS3.py --loco 4030 --day 1969-12-31</t>
  </si>
  <si>
    <t>start /low /b %USERPROFILE%\Documents\GitHub\eaglep3\Utilities\DownloadLogsFromS3.py --loco 4031 --day 2017-01-14</t>
  </si>
  <si>
    <t>start /low /b %USERPROFILE%\Documents\GitHub\eaglep3\Utilities\DownloadLogsFromS3.py --loco 4038 --day 2017-01-14</t>
  </si>
  <si>
    <t>start /low /b %USERPROFILE%\Documents\GitHub\eaglep3\Utilities\DownloadLogsFromS3.py --loco 4027 --day 2017-01-14</t>
  </si>
  <si>
    <t>start /low /b %USERPROFILE%\Documents\GitHub\eaglep3\Utilities\DownloadLogsFromS3.py --loco 4045 --day 2017-01-14</t>
  </si>
  <si>
    <t>start /low /b %USERPROFILE%\Documents\GitHub\eaglep3\Utilities\DownloadLogsFromS3.py --loco 4037 --day 2017-01-14</t>
  </si>
  <si>
    <t>start /low /b %USERPROFILE%\Documents\GitHub\eaglep3\Utilities\DownloadLogsFromS3.py --loco 4018 --day 2017-01-15</t>
  </si>
  <si>
    <t>start /low /b %USERPROFILE%\Documents\GitHub\eaglep3\Utilities\DownloadLogsFromS3.py --loco 4028 --day 2017-01-15</t>
  </si>
  <si>
    <t>start /low /b %USERPROFILE%\Documents\GitHub\eaglep3\Utilities\DownloadLogsFromS3.py --loco 4027 --day 2017-01-15</t>
  </si>
  <si>
    <t>start /low /b %USERPROFILE%\Documents\GitHub\eaglep3\Utilities\DownloadLogsFromS3.py --loco 4017 --day 2017-01-15</t>
  </si>
  <si>
    <t>start /low /b %USERPROFILE%\Documents\GitHub\eaglep3\Utilities\DownloadLogsFromS3.py --loco 4014 --day 2017-01-15</t>
  </si>
  <si>
    <t>start /low /b %USERPROFILE%\Documents\GitHub\eaglep3\Utilities\DownloadLogsFromS3.py --loco 4013 --day 2017-01-14</t>
  </si>
  <si>
    <t>start /low /b %USERPROFILE%\Documents\GitHub\eaglep3\Utilities\DownloadLogsFromS3.py --loco 4037 --day 2017-01-15</t>
  </si>
  <si>
    <t>start /low /b %USERPROFILE%\Documents\GitHub\eaglep3\Utilities\DownloadLogsFromS3.py --loco 4003 --day 2017-01-14</t>
  </si>
  <si>
    <t>start /low /b %USERPROFILE%\Documents\GitHub\eaglep3\Utilities\DownloadLogsFromS3.py --loco 4003 --day 2017-01-15</t>
  </si>
  <si>
    <t>Wi-MAX data drops</t>
  </si>
  <si>
    <t>232-14</t>
  </si>
  <si>
    <t>234-14</t>
  </si>
  <si>
    <t>235-14</t>
  </si>
  <si>
    <t>236-14</t>
  </si>
  <si>
    <t>237-14</t>
  </si>
  <si>
    <t>238-14</t>
  </si>
  <si>
    <t>239-14</t>
  </si>
  <si>
    <t>240-14</t>
  </si>
  <si>
    <t>241-14</t>
  </si>
  <si>
    <t>242-14</t>
  </si>
  <si>
    <t>243-14</t>
  </si>
  <si>
    <t>244-14</t>
  </si>
  <si>
    <t>Wi-MAX data drop</t>
  </si>
  <si>
    <t>Pena 4S STOP</t>
  </si>
  <si>
    <t>SYS :2017/01/14 10:48:26.753:ENFORCEMENT:Predictive Enforcement Action:  Target Number: 0000601D  Target Speed:   0.0  Current Speed:  12.7</t>
  </si>
  <si>
    <t>SYS :2017/01/14 10:48:26.773:ENFORCEMENT:Predictive Enforcement Action:  Target Number: 0000601E  Target Speed:   0.0  Current Speed:  12.7</t>
  </si>
  <si>
    <t>SYS :2017/01/14 10:48:26.874:ENFORCEMENT:Predictive Enforcement Action:  Target Number: 0000601F  Target Speed:   0.0  Current Speed:  12.7</t>
  </si>
  <si>
    <t>SYS :2017/01/14 11:20:13.622:ENFORCEMENT:Predictive Enforcement Action:  Target Number: 00010061  Target Speed:  40.0  Current Speed:  49.2</t>
  </si>
  <si>
    <t>SYS :2017/01/14 11:20:13.708:ENFORCEMENT:Predictive Enforcement Action:  Target Number: 00010061  Target Speed:  40.0  Current Speed:  49.3</t>
  </si>
  <si>
    <t>SYS :2017/01/14 11:22:42.206:ENFORCEMENT:Predictive Enforcement Action:  Target Number: 000060B7  Target Speed:   0.0  Current Speed:  12.7</t>
  </si>
  <si>
    <t>SYS :2017/01/14 11:22:42.672:ENFORCEMENT:Predictive Enforcement Action:  Target Number: 000060B9  Target Speed:   0.0  Current Speed:  14.3</t>
  </si>
  <si>
    <t>SYS :2017/01/14 11:22:42.766:ENFORCEMENT:Predictive Enforcement Action:  Target Number: 000060BC  Target Speed:   0.0  Current Speed:  12.7</t>
  </si>
  <si>
    <t>SYS :2017/01/14 11:23:51.058:ENFORCEMENT:Predictive Enforcement Action:  Target Number: 000060C3  Target Speed:   0.0  Current Speed:  11.8</t>
  </si>
  <si>
    <t>SYS :2017/01/14 11:23:51.675:ENFORCEMENT:Predictive Enforcement Action:  Target Number: 000060C5  Target Speed:   0.0  Current Speed:  12.0</t>
  </si>
  <si>
    <t>SYS :2017/01/14 11:23:51.723:ENFORCEMENT:Predictive Enforcement Action:  Target Number: 000060C8  Target Speed:   0.0  Current Speed:  11.8</t>
  </si>
  <si>
    <t>SYS :2017/01/14 12:20:37.731:ENFORCEMENT:Predictive Enforcement Action:  Target Number: 0000605D  Target Speed:   0.0  Current Speed:  55.0</t>
  </si>
  <si>
    <t>SYS :2017/01/14 12:20:37.794:ENFORCEMENT:Predictive Enforcement Action:  Target Number: 00006053  Target Speed:   0.0  Current Speed:  55.0</t>
  </si>
  <si>
    <t>SYS :2017/01/14 12:20:37.869:ENFORCEMENT:Predictive Enforcement Action:  Target Number: 00006059  Target Speed:   0.0  Current Speed:  55.0</t>
  </si>
  <si>
    <t>SYS :2017/01/14 12:24:15.969:ENFORCEMENT:Predictive Enforcement Action:  Target Number: 0000606D  Target Speed:   0.0  Current Speed:  58.3</t>
  </si>
  <si>
    <t>SYS :2017/01/14 12:24:16.145:ENFORCEMENT:Predictive Enforcement Action:  Target Number: 00006075  Target Speed:   0.0  Current Speed:  58.3</t>
  </si>
  <si>
    <t>SYS :2017/01/14 12:24:16.572:ENFORCEMENT:Predictive Enforcement Action:  Target Number: 00006070  Target Speed:   0.0  Current Speed:  58.8</t>
  </si>
  <si>
    <t>SYS :2017/01/14 14:53:24.624:ENFORCEMENT:Predictive Enforcement Action:  Target Number: 00001002  Target Speed:   0.0  Current Speed:   4.4</t>
  </si>
  <si>
    <t>SYS :2017/01/14 14:53:24.907:ENFORCEMENT:Predictive Enforcement Action:  Target Number: 00001002  Target Speed:   0.0  Current Speed:   4.4</t>
  </si>
  <si>
    <t>SYS :2017/01/14 15:55:54.880:ENFORCEMENT:Predictive Enforcement Action:  Target Number: 0001702C  Target Speed:   0.0  Current Speed:  15.8</t>
  </si>
  <si>
    <t>SYS :2017/01/14 15:55:54.996:ENFORCEMENT:Predictive Enforcement Action:  Target Number: 0001702C  Target Speed:   0.0  Current Speed:  17.5</t>
  </si>
  <si>
    <t>SYS :2017/01/14 15:55:55.042:ENFORCEMENT:Predictive Enforcement Action:  Target Number: 0001702C  Target Speed:   0.0  Current Speed:  15.8</t>
  </si>
  <si>
    <t>SYS :2017/01/14 16:18:22.878:ENFORCEMENT:Predictive Enforcement Action:  Target Number: 0001004C  Target Speed:  40.0  Current Speed:  46.9</t>
  </si>
  <si>
    <t>SYS :2017/01/14 16:18:22.902:ENFORCEMENT:Predictive Enforcement Action:  Target Number: 0001004C  Target Speed:  40.0  Current Speed:  46.9</t>
  </si>
  <si>
    <t>SYS :2017/01/14 19:41:33.175:ENFORCEMENT:Predictive Enforcement Action:  Target Number: 0000610E  Target Speed:   0.0  Current Speed:   3.6</t>
  </si>
  <si>
    <t>SYS :2017/01/14 19:41:33.841:ENFORCEMENT:Reactive Enforcement Action:  Target Number: 000060BE  Target Speed:   0.0  Current Speed:   3.6</t>
  </si>
  <si>
    <t>SYS :2017/01/14 19:41:33.871:ENFORCEMENT:Reactive Enforcement Action:  Target Number: 0000407B  Target Speed:   0.0  Current Speed:   3.6</t>
  </si>
  <si>
    <t>SYS :2017/01/14 20:37:02.027:ENFORCEMENT:Predictive Enforcement Action:  Target Number: 00001012  Target Speed:   0.0  Current Speed:  15.0</t>
  </si>
  <si>
    <t>SYS :2017/01/14 20:37:02.762:ENFORCEMENT:Predictive Enforcement Action:  Target Number: 00001014  Target Speed:   0.0  Current Speed:  15.0</t>
  </si>
  <si>
    <t>SYS :2017/01/14 20:37:02.873:ENFORCEMENT:Predictive Enforcement Action:  Target Number: 00001014  Target Speed:   0.0  Current Speed:  15.0</t>
  </si>
  <si>
    <t>SYS :2017/01/14 20:37:39.034:ENFORCEMENT:Predictive Enforcement Action:  Target Number: 00001012  Target Speed:   0.0  Current Speed:   6.2</t>
  </si>
  <si>
    <t>SYS :2017/01/14 20:49:56.025:ENFORCEMENT:Predictive Enforcement Action:  Target Number: 0000100A  Target Speed:   0.0  Current Speed:   6.6</t>
  </si>
  <si>
    <t>SYS :2017/01/15 00:35:01.171:ENFORCEMENT:Predictive Enforcement Action:  Target Number: 000061D2  Target Speed:   0.0  Current Speed:  11.7</t>
  </si>
  <si>
    <t>SYS :2017/01/15 00:35:02.188:ENFORCEMENT:Predictive Enforcement Action:  Target Number: 000061CD  Target Speed:   0.0  Current Speed:  15.0</t>
  </si>
  <si>
    <t>SYS :2017/01/15 00:35:02.233:ENFORCEMENT:Predictive Enforcement Action:  Target Number: 000061CC  Target Speed:   0.0  Current Speed:  15.0</t>
  </si>
  <si>
    <t>SYS :2017/01/15 02:35:36.871:ENFORCEMENT:Predictive Enforcement Action:  Target Number: 00001014  Target Speed:   0.0  Current Speed:   6.5</t>
  </si>
  <si>
    <t>SYS :2017/01/15 02:35:36.989:ENFORCEMENT:Predictive Enforcement Action:  Target Number: 00001014  Target Speed:   0.0  Current Speed:   6.6</t>
  </si>
  <si>
    <t>SYS :2017/01/15 02:35:37.028:ENFORCEMENT:Predictive Enforcement Action:  Target Number: 00001013  Target Speed:   0.0  Current Speed:   6.5</t>
  </si>
  <si>
    <t>SYS :2017/01/15 03:35:18.904:ENFORCEMENT:Predictive Enforcement Action:  Target Number: 00010185  Target Speed:  40.0  Current Speed:  45.9</t>
  </si>
  <si>
    <t>SYS :2017/01/15 03:35:19.228:ENFORCEMENT:Predictive Enforcement Action:  Target Number: 000100D4  Target Speed:  40.0  Current Speed:  45.9</t>
  </si>
  <si>
    <t>SYS :2017/01/15 04:33:15.612:ENFORCEMENT:Predictive Enforcement Action:  Target Number: 0000629F  Target Speed:   0.0  Current Speed:   3.5</t>
  </si>
  <si>
    <t>SYS :2017/01/15 04:33:15.841:ENFORCEMENT:Predictive Enforcement Action:  Target Number: 0000629D  Target Speed:   0.0  Current Speed:   3.5</t>
  </si>
  <si>
    <t>SYS :2017/01/15 04:52:36.860:ENFORCEMENT:Predictive Enforcement Action:  Target Number: 000170E0  Target Speed:  35.0  Current Speed:  40.5</t>
  </si>
  <si>
    <t>SYS :2017/01/15 05:35:44.764:ENFORCEMENT:Predictive Enforcement Action:  Target Number: 0000101F  Target Speed:   0.0  Current Speed:  14.4</t>
  </si>
  <si>
    <t>SYS :2017/01/15 05:35:44.870:ENFORCEMENT:Predictive Enforcement Action:  Target Number: 0000101F  Target Speed:   0.0  Current Speed:  14.4</t>
  </si>
  <si>
    <t>SYS :2017/01/15 05:35:45.030:ENFORCEMENT:Predictive Enforcement Action:  Target Number: 0000101D  Target Speed:   0.0  Current Speed:  14.4</t>
  </si>
  <si>
    <t>103-14</t>
  </si>
  <si>
    <t>Extended onboard Wi-MAX outage</t>
  </si>
  <si>
    <t>Banner w/o braking</t>
  </si>
  <si>
    <t>Early arrival, banner w/o braking</t>
  </si>
  <si>
    <t>104-14</t>
  </si>
  <si>
    <t>116-14</t>
  </si>
  <si>
    <t>Ran ATC - planned maintenance (EC 82 cut over)</t>
  </si>
  <si>
    <t>Did not init - Wi-MAX data drops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</si>
</sst>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4"/>
  <sheetViews>
    <sheetView tabSelected="1" topLeftCell="A16" workbookViewId="0">
      <selection activeCell="R16" sqref="R16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42749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42749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COUNTIFS($N$13:$N$9377,"&gt;0",$AG$13:$AG$9377,I1)</f>
        <v>124</v>
      </c>
      <c r="K5" s="41"/>
      <c r="L5" s="41"/>
      <c r="M5" s="42">
        <f>AVERAGEIFS($N$13:$N$9377,$AG$13:$AG$9377,I1)</f>
        <v>38.191263441375696</v>
      </c>
      <c r="N5" s="40">
        <f t="array" ref="N5">MIN(IF($AG$13:$AG$9377=I1,IF(ISNUMBER($N$13:$N$9377),IF($N$13:$N$9377&gt;0,$N$13:$N$9377))))</f>
        <v>34.516666667768732</v>
      </c>
      <c r="O5" s="3">
        <f t="array" ref="O5">MAX(IF($AG$13:$AG$9377=I1,IF(ISNUMBER($N$13:$N$9377),IF($N$13:$N$9377&gt;0,$N$13:$N$9377))))</f>
        <v>45.399999999208376</v>
      </c>
      <c r="P5" s="2"/>
      <c r="R5" s="76" t="s">
        <v>17</v>
      </c>
      <c r="S5" s="52">
        <f>COUNTIFS($N$13:$N$9377,"&gt;0",$AG$13:$AG$9377,R1)</f>
        <v>33</v>
      </c>
      <c r="T5" s="41"/>
      <c r="U5" s="164"/>
      <c r="V5" s="42">
        <f>AVERAGEIFS($N$13:$N$9377,$AG$13:$AG$9377,R1)</f>
        <v>15.384343433701856</v>
      </c>
      <c r="W5" s="40">
        <f t="array" ref="W5">MIN(IF($AG$13:$AG$9377=R1,IF(ISNUMBER($N$13:$N$9377),IF($N$13:$N$9377&gt;0,$N$13:$N$9377))))</f>
        <v>13.666666665812954</v>
      </c>
      <c r="X5" s="169">
        <f t="array" ref="X5">MAX(IF($AG$13:$AG$9377=R1,IF(ISNUMBER($N$13:$N$9377),IF($N$13:$N$9377&gt;0,$N$13:$N$9377))))</f>
        <v>18.683333331719041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COUNT($O$13:$O$130)</f>
        <v>0</v>
      </c>
      <c r="K6" s="41"/>
      <c r="L6" s="41"/>
      <c r="M6" s="42">
        <f>IFERROR(AVERAGE($O$13:$O$130),0)</f>
        <v>0</v>
      </c>
      <c r="N6" s="40">
        <f>MIN($O$13:$O$130)</f>
        <v>0</v>
      </c>
      <c r="O6" s="3">
        <f>MAX($O$13:$O$130)</f>
        <v>0</v>
      </c>
      <c r="P6" s="2"/>
      <c r="R6" s="77" t="s">
        <v>43</v>
      </c>
      <c r="S6" s="52">
        <f>COUNT($O$13:$O$130)</f>
        <v>0</v>
      </c>
      <c r="T6" s="41"/>
      <c r="U6" s="164"/>
      <c r="V6" s="42">
        <f>IFERROR(AVERAGE($O$13:$O$130),0)</f>
        <v>0</v>
      </c>
      <c r="W6" s="40">
        <f>MIN($O$13:$O$130)</f>
        <v>0</v>
      </c>
      <c r="X6" s="169">
        <f>MAX($O$13:$O$130)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COUNTIFS($P$13:$P$9377,"&gt;0",$AG$13:$AG$9377,I1)</f>
        <v>20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COUNTIFS($P$13:$P$9377,"&gt;0",$AG$13:$AG$9377,R1)</f>
        <v>1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124</v>
      </c>
      <c r="K8" s="41"/>
      <c r="L8" s="41"/>
      <c r="M8" s="42">
        <f>M5</f>
        <v>38.191263441375696</v>
      </c>
      <c r="N8" s="40">
        <f>N5</f>
        <v>34.516666667768732</v>
      </c>
      <c r="O8" s="3">
        <f>O5</f>
        <v>45.399999999208376</v>
      </c>
      <c r="P8" s="2"/>
      <c r="R8" s="76" t="s">
        <v>16</v>
      </c>
      <c r="S8" s="52">
        <f>S5</f>
        <v>33</v>
      </c>
      <c r="T8" s="41"/>
      <c r="U8" s="164"/>
      <c r="V8" s="42">
        <f>V5</f>
        <v>15.384343433701856</v>
      </c>
      <c r="W8" s="40">
        <f>W5</f>
        <v>13.666666665812954</v>
      </c>
      <c r="X8" s="169">
        <f>X5</f>
        <v>18.683333331719041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0.86111111111111116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0.97058823529411764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90" t="str">
        <f>"Eagle P3 System Performance - "&amp;TEXT(Variables!A2,"yyyy-mm-dd")</f>
        <v>Eagle P3 System Performance - 2017-01-14</v>
      </c>
      <c r="B11" s="190"/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S11" s="66">
        <f>AVERAGE(S13:S94)</f>
        <v>0.92901234567901236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265</v>
      </c>
      <c r="AN12" s="48" t="s">
        <v>350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468</v>
      </c>
      <c r="B13" s="7">
        <v>4018</v>
      </c>
      <c r="C13" s="22" t="s">
        <v>201</v>
      </c>
      <c r="D13" s="22" t="s">
        <v>654</v>
      </c>
      <c r="E13" s="13">
        <v>42749.131504629629</v>
      </c>
      <c r="F13" s="13">
        <v>42749.135706018518</v>
      </c>
      <c r="G13" s="7">
        <v>1</v>
      </c>
      <c r="H13" s="22" t="s">
        <v>295</v>
      </c>
      <c r="I13" s="13">
        <v>42749.160844907405</v>
      </c>
      <c r="J13" s="7">
        <v>0</v>
      </c>
      <c r="K13" s="105" t="str">
        <f t="shared" ref="K13:K46" si="0">IF(ISEVEN(B13),(B13-1)&amp;"/"&amp;B13,B13&amp;"/"&amp;(B13+1))</f>
        <v>4017/4018</v>
      </c>
      <c r="L13" s="22" t="str">
        <f>VLOOKUP(A13,'Trips&amp;Operators'!$C$1:$G$99999,5,FALSE)</f>
        <v>BEAM ROSS</v>
      </c>
      <c r="M13" s="6">
        <f t="shared" ref="M13:M46" si="1">I13-F13</f>
        <v>2.5138888886431232E-2</v>
      </c>
      <c r="N13" s="7">
        <f>24*60*SUM($M13:$M13)</f>
        <v>36.199999996460974</v>
      </c>
      <c r="O13" s="7"/>
      <c r="P13" s="7"/>
      <c r="Q13" s="23"/>
      <c r="R13" s="23"/>
      <c r="S13" s="32">
        <f t="shared" ref="S13:S46" si="2">SUM(U13:U13)/IF(AG13="EC",12,1)</f>
        <v>1</v>
      </c>
      <c r="T13" s="47" t="str">
        <f t="shared" ref="T13:T46" si="3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8" si="4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https://search-rtdc-monitor-bjffxe2xuh6vdkpspy63sjmuny.us-east-1.es.amazonaws.com/_plugin/kibana/#/discover/Steve-Slow-Train-Analysis-(2080s-and-2083s)?_g=(refreshInterval:(display:Off,section:0,value:0),time:(from:'2017-01-14 02:09:22-700',mode:absolute,to:'2017-01-14 04:51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13" s="49" t="str">
        <f t="shared" ref="W13:W46" si="5">IF(AA13&lt;IF(AG13="EC",23,5.65),"Y","N")</f>
        <v>N</v>
      </c>
      <c r="X13" s="173" t="e">
        <f>VALUE(LEFT(AD13,4))-VALUE(LEFT(AD12,4))</f>
        <v>#VALUE!</v>
      </c>
      <c r="Y13" s="64">
        <f t="shared" ref="Y13:Y46" si="6">RIGHT(D13,LEN(D13)-4)/10000</f>
        <v>7.3700000000000002E-2</v>
      </c>
      <c r="Z13" s="64">
        <f t="shared" ref="Z13:Z27" si="7">RIGHT(H13,LEN(H13)-4)/10000</f>
        <v>23.3306</v>
      </c>
      <c r="AA13" s="64">
        <f t="shared" ref="AA13:AA46" si="8">ABS(Z13-Y13)</f>
        <v>23.256900000000002</v>
      </c>
      <c r="AB13" s="61" t="e">
        <f>VLOOKUP(A13,Enforcements!$C$7:$K$15,8,0)</f>
        <v>#N/A</v>
      </c>
      <c r="AC13" s="57" t="e">
        <f>VLOOKUP(A13,Enforcements!$C$7:$E$15,3,0)</f>
        <v>#N/A</v>
      </c>
      <c r="AD13" s="58" t="str">
        <f t="shared" ref="AD13:AD46" si="9">IF(LEN(A13)=6,"0"&amp;A13,A13)</f>
        <v>0101-14</v>
      </c>
      <c r="AE13" s="87" t="str">
        <f t="shared" ref="AE13:AE4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AF13" s="84" t="str">
        <f t="shared" ref="AF13:AF4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/stypes="app*4018*20170114*" /stext=" 10:.+((SYSTEM_STATE.+slice.+state.+changed )|(ment ac)|(multiple cpu faults)|(system.+state.+changed )|(\[timeout)|(PRM\|1\|D)|(kpr)|(kdp)|(\|lc)|(penalty))" /e /r /s</v>
      </c>
      <c r="AG13" s="1" t="str">
        <f t="shared" ref="AG13:AG46" si="12">IFERROR(IF(VALUE(LEFT(AD13,2))&lt;=2,"EC",IF(OR(VALUE(LEFT(AD13,2))=8,VALUE(LEFT(AD13,2))=18),"NW","Other")),"Other")</f>
        <v>EC</v>
      </c>
      <c r="AH13" s="8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4018 --swversion DE.1.0.8.0 --startMP 204:737 --initTime 2017-01-14T03:09:22 --startdatetime 2017-01-14T03:15:25 --delay 1 --endMP 204:233306 --enddatetime 2017-01-14T03:51:37 --enforcementcount 0 &gt;&gt;C:\Users\stu\Documents\GitHub\eaglep3-reporting\EC\2017-01-14-refined-times.txt</v>
      </c>
      <c r="AI13" s="115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{"issue":{"subject":"","project_id":79,"tracker_id":40,"status_id":1,"priority_id":2,"assigned_to_id":23,"start_date":"2017-01-14","description":"","custom_fields":[{"id":1,"name":"Subdivision","value":"EC"},{"id":4,"name":"Milepost","value":"23.3306"},{"id":17,"name":"Train ID","value":"101-14"},{"id":16,"name":"Locomotive ID","value":"4018"},{"id":130,"name":"Impact","value":""},{"id":150,"name":"Time of Event (Mountain Time)","value":"03:51:37"},{"id":151,"name":"Denver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5">"start /low /b "&amp;dls3logs&amp;" --loco "&amp;B13&amp;" --day "&amp;TEXT(F13,"YYYY-MM-DD")</f>
        <v>start /low /b %USERPROFILE%\Documents\GitHub\eaglep3\Utilities\DownloadLogsFromS3.py --loco 4018 --day 2017-01-14</v>
      </c>
      <c r="AN13" s="189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"%USERPROFILE%\AppData\Local\Temp\OnboardLogs"\RTDC4018\*4018*20170114* | grep -SE "(Enforcement Action)|(\[TIMEOUT)|(CHR.+\|PRM\|1\|D.+(SWITCH|SIGNAL).+UNKNOWN)" - &gt;&gt; 2017-01-14-UncaughtWiMAX.txt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471</v>
      </c>
      <c r="B14" s="7">
        <v>4030</v>
      </c>
      <c r="C14" s="22" t="s">
        <v>201</v>
      </c>
      <c r="D14" s="22" t="s">
        <v>655</v>
      </c>
      <c r="E14" s="13">
        <v>42749.169699074075</v>
      </c>
      <c r="F14" s="13">
        <v>42749.174513888887</v>
      </c>
      <c r="G14" s="7">
        <v>0</v>
      </c>
      <c r="H14" s="22" t="s">
        <v>259</v>
      </c>
      <c r="I14" s="13">
        <v>42749.202349537038</v>
      </c>
      <c r="J14" s="7">
        <v>0</v>
      </c>
      <c r="K14" s="105" t="str">
        <f t="shared" si="0"/>
        <v>4029/4030</v>
      </c>
      <c r="L14" s="22" t="str">
        <f>VLOOKUP(A14,'Trips&amp;Operators'!$C$1:$G$99999,5,FALSE)</f>
        <v>BEAM ROSS</v>
      </c>
      <c r="M14" s="6">
        <f t="shared" si="1"/>
        <v>2.7835648150357883E-2</v>
      </c>
      <c r="N14" s="7">
        <f>24*60*SUM($M14:$M14)</f>
        <v>40.083333336515352</v>
      </c>
      <c r="O14" s="7"/>
      <c r="P14" s="7"/>
      <c r="Q14" s="23"/>
      <c r="R14" s="23"/>
      <c r="S14" s="32">
        <f t="shared" si="2"/>
        <v>1</v>
      </c>
      <c r="T14" s="47" t="str">
        <f t="shared" si="3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03:04:22-700',mode:absolute,to:'2017-01-14 05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14" s="49" t="str">
        <f t="shared" si="5"/>
        <v>N</v>
      </c>
      <c r="X14" s="173">
        <f>VALUE(LEFT(AD14,4))-VALUE(LEFT(AD13,4))</f>
        <v>1</v>
      </c>
      <c r="Y14" s="64">
        <f t="shared" si="6"/>
        <v>23.266999999999999</v>
      </c>
      <c r="Z14" s="64">
        <f t="shared" si="7"/>
        <v>1.5800000000000002E-2</v>
      </c>
      <c r="AA14" s="64">
        <f t="shared" si="8"/>
        <v>23.251200000000001</v>
      </c>
      <c r="AB14" s="61" t="e">
        <f>VLOOKUP(A14,Enforcements!$C$7:$K$15,8,0)</f>
        <v>#N/A</v>
      </c>
      <c r="AC14" s="57" t="e">
        <f>VLOOKUP(A14,Enforcements!$C$7:$E$15,3,0)</f>
        <v>#N/A</v>
      </c>
      <c r="AD14" s="58" t="str">
        <f t="shared" si="9"/>
        <v>0102-14</v>
      </c>
      <c r="AE14" s="87" t="str">
        <f t="shared" si="10"/>
        <v>aws s3 cp s3://rtdc.mdm.uploadarchive.raw/RTDC4030/ "%USERPROFILE%\AppData\Local\Temp\OnboardLogs"\RTDC4030\2017-01-14 --exclude "*" --recursive --include "*20170114*" &amp; "%USERPROFILE%\Documents\GitHub\mrs-test-scripts\Headless Mode &amp; Sideloading\WalkAndUnGZ.bat" "%USERPROFILE%\AppData\Local\Temp\OnboardLogs"\RTDC4030\2017-01-14 &amp; aws s3 cp s3://rtdc.mdm.uploadarchive.raw/RTDC4030/ "%USERPROFILE%\AppData\Local\Temp\OnboardLogs"\RTDC4030\2017-01-15 --exclude "*" --recursive --include "*20170115*" &amp; "%USERPROFILE%\Documents\GitHub\mrs-test-scripts\Headless Mode &amp; Sideloading\WalkAndUnGZ.bat" "%USERPROFILE%\AppData\Local\Temp\OnboardLogs"\RTDC4030\2017-01-15</v>
      </c>
      <c r="AF14" s="84" t="str">
        <f t="shared" si="11"/>
        <v>"C:\Program Files (x86)\AstroGrep\AstroGrep.exe" /spath="%USERPROFILE%\AppData\Local\Temp\OnboardLogs" /stypes="app*4030*20170114*" /stext=" 11:.+((SYSTEM_STATE.+slice.+state.+changed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88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4030 --swversion DE.1.0.8.0 --startMP 204:232670 --initTime 2017-01-14T04:04:22 --startdatetime 2017-01-14T04:11:18 --delay 0 --endMP 204:158 --enddatetime 2017-01-14T04:51:23 --enforcementcount 0 &gt;&gt;C:\Users\stu\Documents\GitHub\eaglep3-reporting\EC\2017-01-14-refined-times.txt</v>
      </c>
      <c r="AI14" s="115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{"issue":{"subject":"","project_id":79,"tracker_id":40,"status_id":1,"priority_id":2,"assigned_to_id":23,"start_date":"2017-01-14","description":"","custom_fields":[{"id":1,"name":"Subdivision","value":"EC"},{"id":4,"name":"Milepost","value":"0.0158"},{"id":17,"name":"Train ID","value":"102-14"},{"id":16,"name":"Locomotive ID","value":"4030"},{"id":130,"name":"Impact","value":""},{"id":150,"name":"Time of Event (Mountain Time)","value":"04:51:23"},{"id":151,"name":"Denver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7" si="18">"start /low /b "&amp;dls3logs&amp;" --loco "&amp;B14&amp;" --day "&amp;TEXT(F14,"YYYY-MM-DD")</f>
        <v>start /low /b %USERPROFILE%\Documents\GitHub\eaglep3\Utilities\DownloadLogsFromS3.py --loco 4030 --day 2017-01-14</v>
      </c>
      <c r="AN14" s="189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"%USERPROFILE%\AppData\Local\Temp\OnboardLogs"\RTDC4030\*4030*20170114* | grep -SE "(Enforcement Action)|(\[TIMEOUT)|(CHR.+\|PRM\|1\|D.+(SWITCH|SIGNAL).+UNKNOWN)" - &gt;&gt; 2017-01-14-UncaughtWiMAX.txt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876</v>
      </c>
      <c r="B15" s="7">
        <v>4031</v>
      </c>
      <c r="C15" s="22" t="s">
        <v>201</v>
      </c>
      <c r="D15" s="22" t="s">
        <v>655</v>
      </c>
      <c r="E15" s="13">
        <v>42749.169699074075</v>
      </c>
      <c r="F15" s="13">
        <v>42749.156944444447</v>
      </c>
      <c r="G15" s="7">
        <v>0</v>
      </c>
      <c r="H15" s="22" t="s">
        <v>259</v>
      </c>
      <c r="I15" s="13">
        <v>42749.157638888886</v>
      </c>
      <c r="J15" s="7">
        <v>0</v>
      </c>
      <c r="K15" s="105" t="str">
        <f t="shared" si="0"/>
        <v>4031/4032</v>
      </c>
      <c r="L15" s="22" t="e">
        <f>VLOOKUP(A15,'Trips&amp;Operators'!$C$1:$G$99999,5,FALSE)</f>
        <v>#N/A</v>
      </c>
      <c r="M15" s="6">
        <f t="shared" si="1"/>
        <v>6.9444443943211809E-4</v>
      </c>
      <c r="N15" s="7"/>
      <c r="O15" s="7"/>
      <c r="P15" s="7">
        <f>24*60*SUM($M15:$M15)</f>
        <v>0.99999999278225005</v>
      </c>
      <c r="Q15" s="23"/>
      <c r="R15" s="23" t="s">
        <v>877</v>
      </c>
      <c r="S15" s="32">
        <f t="shared" si="2"/>
        <v>0</v>
      </c>
      <c r="T15" s="47" t="str">
        <f t="shared" si="3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03:04:22-700',mode:absolute,to:'2017-01-14 04:47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5" s="49" t="str">
        <f t="shared" si="5"/>
        <v>N</v>
      </c>
      <c r="X15" s="173">
        <f>VALUE(LEFT(AD15,4))-VALUE(LEFT(AD14,4))</f>
        <v>1</v>
      </c>
      <c r="Y15" s="64">
        <f t="shared" si="6"/>
        <v>23.266999999999999</v>
      </c>
      <c r="Z15" s="64">
        <f t="shared" si="7"/>
        <v>1.5800000000000002E-2</v>
      </c>
      <c r="AA15" s="64">
        <f t="shared" si="8"/>
        <v>23.251200000000001</v>
      </c>
      <c r="AB15" s="61" t="e">
        <f>VLOOKUP(A15,Enforcements!$C$7:$K$15,8,0)</f>
        <v>#N/A</v>
      </c>
      <c r="AC15" s="57" t="e">
        <f>VLOOKUP(A15,Enforcements!$C$7:$E$15,3,0)</f>
        <v>#N/A</v>
      </c>
      <c r="AD15" s="58" t="str">
        <f t="shared" si="9"/>
        <v>0103-14</v>
      </c>
      <c r="AE15" s="87" t="str">
        <f t="shared" si="10"/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AF15" s="84" t="str">
        <f t="shared" si="11"/>
        <v>"C:\Program Files (x86)\AstroGrep\AstroGrep.exe" /spath="%USERPROFILE%\AppData\Local\Temp\OnboardLogs" /stypes="app*4031*20170114*" /stext=" 10:.+((SYSTEM_STATE.+slice.+state.+changed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88" t="str">
        <f t="shared" ref="AH15" si="19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103-14 --locoid 4031 --swversion DE.1.0.8.0 --startMP 204:232670 --initTime 2017-01-14T04:04:22 --startdatetime 2017-01-14T03:46:00 --delay 0 --endMP 204:158 --enddatetime 2017-01-14T03:47:00 --enforcementcount 0 &gt;&gt;C:\Users\stu\Documents\GitHub\eaglep3-reporting\EC\2017-01-14-refined-times.txt</v>
      </c>
      <c r="AI15" s="115" t="str">
        <f t="shared" ref="AI15" si="20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outage","project_id":79,"tracker_id":40,"status_id":1,"priority_id":2,"assigned_to_id":23,"start_date":"2017-01-14","description":"","custom_fields":[{"id":1,"name":"Subdivision","value":"EC"},{"id":4,"name":"Milepost","value":"0.0158"},{"id":17,"name":"Train ID","value":"103-14"},{"id":16,"name":"Locomotive ID","value":"4031"},{"id":130,"name":"Impact","value":""},{"id":150,"name":"Time of Event (Mountain Time)","value":"03:47:00"},{"id":151,"name":"Denver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ref="AM15" si="21">"start /low /b "&amp;dls3logs&amp;" --loco "&amp;B15&amp;" --day "&amp;TEXT(F15,"YYYY-MM-DD")</f>
        <v>start /low /b %USERPROFILE%\Documents\GitHub\eaglep3\Utilities\DownloadLogsFromS3.py --loco 4031 --day 2017-01-14</v>
      </c>
      <c r="AN15" s="189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"%USERPROFILE%\AppData\Local\Temp\OnboardLogs"\RTDC4031\*4031*20170114* | grep -SE "(Enforcement Action)|(\[TIMEOUT)|(CHR.+\|PRM\|1\|D.+(SWITCH|SIGNAL).+UNKNOWN)" - &gt;&gt; 2017-01-14-UncaughtWiMAX.txt</v>
      </c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</row>
    <row r="16" spans="1:91" s="1" customFormat="1" x14ac:dyDescent="0.25">
      <c r="A16" s="34" t="s">
        <v>880</v>
      </c>
      <c r="B16" s="7"/>
      <c r="C16" s="22" t="s">
        <v>201</v>
      </c>
      <c r="D16" s="22" t="s">
        <v>655</v>
      </c>
      <c r="E16" s="13">
        <v>42749.169699074075</v>
      </c>
      <c r="F16" s="13"/>
      <c r="G16" s="7">
        <v>0</v>
      </c>
      <c r="H16" s="22" t="s">
        <v>259</v>
      </c>
      <c r="I16" s="13"/>
      <c r="J16" s="7">
        <v>0</v>
      </c>
      <c r="K16" s="105" t="str">
        <f t="shared" ref="K16" si="22">IF(ISEVEN(B16),(B16-1)&amp;"/"&amp;B16,B16&amp;"/"&amp;(B16+1))</f>
        <v>-1/</v>
      </c>
      <c r="L16" s="22" t="e">
        <f>VLOOKUP(A16,'Trips&amp;Operators'!$C$1:$G$99999,5,FALSE)</f>
        <v>#N/A</v>
      </c>
      <c r="M16" s="6">
        <f t="shared" ref="M16" si="23">I16-F16</f>
        <v>0</v>
      </c>
      <c r="N16" s="7"/>
      <c r="O16" s="7"/>
      <c r="P16" s="7">
        <v>1</v>
      </c>
      <c r="Q16" s="23"/>
      <c r="R16" s="23" t="s">
        <v>883</v>
      </c>
      <c r="S16" s="32">
        <f t="shared" ref="S16" si="24">SUM(U16:U16)/IF(AG16="EC",12,1)</f>
        <v>1</v>
      </c>
      <c r="T16" s="47" t="str">
        <f t="shared" ref="T16" si="25">IF(ISEVEN(LEFT(AD16,4)),"Southbound","NorthBound")</f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ref="V16" si="26"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https://search-rtdc-monitor-bjffxe2xuh6vdkpspy63sjmuny.us-east-1.es.amazonaws.com/_plugin/kibana/#/discover/Steve-Slow-Train-Analysis-(2080s-and-2083s)?_g=(refreshInterval:(display:Off,section:0,value:0),time:(from:'2017-01-14 03:04:22-700',mode:absolute,to:'1900-01-00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6" s="49" t="str">
        <f t="shared" ref="W16" si="27">IF(AA16&lt;IF(AG16="EC",23,5.65),"Y","N")</f>
        <v>N</v>
      </c>
      <c r="X16" s="173">
        <f>VALUE(LEFT(AD16,4))-VALUE(LEFT(AD15,4))</f>
        <v>1</v>
      </c>
      <c r="Y16" s="64">
        <f t="shared" ref="Y16" si="28">RIGHT(D16,LEN(D16)-4)/10000</f>
        <v>23.266999999999999</v>
      </c>
      <c r="Z16" s="64">
        <f t="shared" ref="Z16" si="29">RIGHT(H16,LEN(H16)-4)/10000</f>
        <v>1.5800000000000002E-2</v>
      </c>
      <c r="AA16" s="64">
        <f t="shared" ref="AA16" si="30">ABS(Z16-Y16)</f>
        <v>23.251200000000001</v>
      </c>
      <c r="AB16" s="61" t="e">
        <f>VLOOKUP(A16,Enforcements!$C$7:$K$15,8,0)</f>
        <v>#N/A</v>
      </c>
      <c r="AC16" s="57" t="e">
        <f>VLOOKUP(A16,Enforcements!$C$7:$E$15,3,0)</f>
        <v>#N/A</v>
      </c>
      <c r="AD16" s="58" t="str">
        <f t="shared" ref="AD16" si="31">IF(LEN(A16)=6,"0"&amp;A16,A16)</f>
        <v>0104-14</v>
      </c>
      <c r="AE16" s="87" t="str">
        <f t="shared" ref="AE16" si="32"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" s="84" t="str">
        <f t="shared" ref="AF16" si="33"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6" s="1" t="str">
        <f t="shared" ref="AG16" si="34">IFERROR(IF(VALUE(LEFT(AD16,2))&lt;=2,"EC",IF(OR(VALUE(LEFT(AD16,2))=8,VALUE(LEFT(AD16,2))=18),"NW","Other")),"Other")</f>
        <v>EC</v>
      </c>
      <c r="AH16" s="88" t="str">
        <f t="shared" ref="AH16" si="35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104-14 --locoid  --swversion DE.1.0.8.0 --startMP 204:232670 --initTime 2017-01-14T04:04:22 --startdatetime 1900-01-00T00:00:00 --delay 0 --endMP 204:158 --enddatetime 1900-01-00T00:00:00 --enforcementcount 0 &gt;&gt;C:\Users\stu\Documents\GitHub\eaglep3-reporting\EC\2017-01-14-refined-times.txt</v>
      </c>
      <c r="AI16" s="115" t="str">
        <f t="shared" ref="AI16" si="36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{"issue":{"subject":"Did not init - Wi-MAX data drops","project_id":79,"tracker_id":40,"status_id":1,"priority_id":2,"assigned_to_id":23,"start_date":"1900-01-00","description":"","custom_fields":[{"id":1,"name":"Subdivision","value":"EC"},{"id":4,"name":"Milepost","value":"0.0158"},{"id":17,"name":"Train ID","value":"104-14"},{"id":16,"name":"Locomotive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ref="AM16" si="37">"start /low /b "&amp;dls3logs&amp;" --loco "&amp;B16&amp;" --day "&amp;TEXT(F16,"YYYY-MM-DD")</f>
        <v>start /low /b %USERPROFILE%\Documents\GitHub\eaglep3\Utilities\DownloadLogsFromS3.py --loco  --day 1900-01-00</v>
      </c>
      <c r="AN16" s="189" t="e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#DIV/0!</v>
      </c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</row>
    <row r="17" spans="1:91" s="1" customFormat="1" x14ac:dyDescent="0.25">
      <c r="A17" s="34" t="s">
        <v>438</v>
      </c>
      <c r="B17" s="7">
        <v>4014</v>
      </c>
      <c r="C17" s="22" t="s">
        <v>201</v>
      </c>
      <c r="D17" s="22" t="s">
        <v>656</v>
      </c>
      <c r="E17" s="13">
        <v>42749.165972222225</v>
      </c>
      <c r="F17" s="13">
        <v>42749.180983796294</v>
      </c>
      <c r="G17" s="7">
        <v>21</v>
      </c>
      <c r="H17" s="22" t="s">
        <v>657</v>
      </c>
      <c r="I17" s="13">
        <v>42749.183715277781</v>
      </c>
      <c r="J17" s="7">
        <v>3</v>
      </c>
      <c r="K17" s="105" t="str">
        <f t="shared" si="0"/>
        <v>4013/4014</v>
      </c>
      <c r="L17" s="22" t="str">
        <f>VLOOKUP(A17,'Trips&amp;Operators'!$C$1:$G$99999,5,FALSE)</f>
        <v>MAELZER KURT</v>
      </c>
      <c r="M17" s="6">
        <f t="shared" si="1"/>
        <v>2.7314814869896509E-3</v>
      </c>
      <c r="N17" s="7"/>
      <c r="O17" s="7"/>
      <c r="P17" s="7">
        <f>24*60*SUM($M17:$M17)</f>
        <v>3.9333333412650973</v>
      </c>
      <c r="Q17" s="23"/>
      <c r="R17" s="23" t="s">
        <v>815</v>
      </c>
      <c r="S17" s="32">
        <f t="shared" si="2"/>
        <v>0</v>
      </c>
      <c r="T17" s="47" t="str">
        <f t="shared" si="3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02:59:00-700',mode:absolute,to:'2017-01-14 05:24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7" s="49" t="str">
        <f t="shared" si="5"/>
        <v>Y</v>
      </c>
      <c r="X17" s="173">
        <f>VALUE(LEFT(AD17,4))-VALUE(LEFT(AD16,4))</f>
        <v>1</v>
      </c>
      <c r="Y17" s="64">
        <f t="shared" si="6"/>
        <v>1.7764</v>
      </c>
      <c r="Z17" s="64">
        <f t="shared" si="7"/>
        <v>2.0291999999999999</v>
      </c>
      <c r="AA17" s="64">
        <f t="shared" si="8"/>
        <v>0.25279999999999991</v>
      </c>
      <c r="AB17" s="61" t="str">
        <f>VLOOKUP(A17,Enforcements!$C$7:$K$15,8,0)</f>
        <v>Speed (6)</v>
      </c>
      <c r="AC17" s="57" t="str">
        <f>VLOOKUP(A17,Enforcements!$C$7:$E$15,3,0)</f>
        <v>PERMANENT SPEED RESTRICTION</v>
      </c>
      <c r="AD17" s="58" t="str">
        <f t="shared" si="9"/>
        <v>0105-14</v>
      </c>
      <c r="AE17" s="87" t="str">
        <f t="shared" si="10"/>
        <v>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 &amp; 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</v>
      </c>
      <c r="AF17" s="84" t="str">
        <f t="shared" si="11"/>
        <v>"C:\Program Files (x86)\AstroGrep\AstroGrep.exe" /spath="%USERPROFILE%\AppData\Local\Temp\OnboardLogs" /stypes="app*4014*20170114*" /stext=" 11:.+((SYSTEM_STATE.+slice.+state.+changed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88" t="str">
        <f t="shared" si="16"/>
        <v>"%USERPROFILE%\Documents\GitHub\eaglep3\Utilities\RefineRTDCRunTimes.py" --tripid 105-14 --locoid 4014 --swversion DE.1.0.8.0 --startMP 204:17764 --initTime 2017-01-14T03:59:00 --startdatetime 2017-01-14T04:20:37 --delay 21 --endMP 204:20292 --enddatetime 2017-01-14T04:24:33 --enforcementcount 3 &gt;&gt;C:\Users\stu\Documents\GitHub\eaglep3-reporting\EC\2017-01-14-refined-times.txt</v>
      </c>
      <c r="AI17" s="115" t="str">
        <f t="shared" si="17"/>
        <v>echo {"issue":{"subject":"Wi-MAX data drops","project_id":79,"tracker_id":40,"status_id":1,"priority_id":2,"assigned_to_id":23,"start_date":"2017-01-14","description":"","custom_fields":[{"id":1,"name":"Subdivision","value":"EC"},{"id":4,"name":"Milepost","value":"2.0292"},{"id":17,"name":"Train ID","value":"105-14"},{"id":16,"name":"Locomotive ID","value":"4014"},{"id":130,"name":"Impact","value":""},{"id":150,"name":"Time of Event (Mountain Time)","value":"04:24:33"},{"id":151,"name":"Denver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18"/>
        <v>start /low /b %USERPROFILE%\Documents\GitHub\eaglep3\Utilities\DownloadLogsFromS3.py --loco 4014 --day 2017-01-14</v>
      </c>
      <c r="AN17" s="189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"%USERPROFILE%\AppData\Local\Temp\OnboardLogs"\RTDC4014\*4014*20170114* | grep -SE "(Enforcement Action)|(\[TIMEOUT)|(CHR.+\|PRM\|1\|D.+(SWITCH|SIGNAL).+UNKNOWN)" - &gt;&gt; 2017-01-14-UncaughtWiMAX.txt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439</v>
      </c>
      <c r="B18" s="7">
        <v>4041</v>
      </c>
      <c r="C18" s="22" t="s">
        <v>201</v>
      </c>
      <c r="D18" s="22" t="s">
        <v>658</v>
      </c>
      <c r="E18" s="13">
        <v>42749.215358796297</v>
      </c>
      <c r="F18" s="13">
        <v>42749.217002314814</v>
      </c>
      <c r="G18" s="7">
        <v>1</v>
      </c>
      <c r="H18" s="22" t="s">
        <v>659</v>
      </c>
      <c r="I18" s="13">
        <v>42749.225532407407</v>
      </c>
      <c r="J18" s="7">
        <v>0</v>
      </c>
      <c r="K18" s="105" t="str">
        <f t="shared" si="0"/>
        <v>4041/4042</v>
      </c>
      <c r="L18" s="22" t="str">
        <f>VLOOKUP(A18,'Trips&amp;Operators'!$C$1:$G$99999,5,FALSE)</f>
        <v>MAELZER KURT</v>
      </c>
      <c r="M18" s="6">
        <f t="shared" si="1"/>
        <v>8.5300925929914229E-3</v>
      </c>
      <c r="N18" s="7"/>
      <c r="O18" s="7"/>
      <c r="P18" s="7">
        <f>24*60*SUM($M18:$M18)</f>
        <v>12.283333333907649</v>
      </c>
      <c r="Q18" s="23"/>
      <c r="R18" s="23" t="s">
        <v>815</v>
      </c>
      <c r="S18" s="32">
        <f t="shared" si="2"/>
        <v>0</v>
      </c>
      <c r="T18" s="47" t="str">
        <f t="shared" si="3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04:10:07-700',mode:absolute,to:'2017-01-14 06:24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W18" s="49" t="str">
        <f t="shared" si="5"/>
        <v>Y</v>
      </c>
      <c r="X18" s="173">
        <f t="shared" ref="X18:X20" si="38">VALUE(LEFT(AD18,4))-VALUE(LEFT(AD17,4))</f>
        <v>1</v>
      </c>
      <c r="Y18" s="64">
        <f t="shared" si="6"/>
        <v>23.277899999999999</v>
      </c>
      <c r="Z18" s="64">
        <f t="shared" si="7"/>
        <v>14.6182</v>
      </c>
      <c r="AA18" s="64">
        <f t="shared" si="8"/>
        <v>8.6596999999999991</v>
      </c>
      <c r="AB18" s="61" t="e">
        <f>VLOOKUP(A18,Enforcements!$C$7:$K$15,8,0)</f>
        <v>#N/A</v>
      </c>
      <c r="AC18" s="57" t="e">
        <f>VLOOKUP(A18,Enforcements!$C$7:$E$15,3,0)</f>
        <v>#N/A</v>
      </c>
      <c r="AD18" s="58" t="str">
        <f t="shared" si="9"/>
        <v>0106-14</v>
      </c>
      <c r="AE18" s="87" t="str">
        <f t="shared" si="10"/>
        <v>aws s3 cp s3://rtdc.mdm.uploadarchive.raw/RTDC4041/ "%USERPROFILE%\AppData\Local\Temp\OnboardLogs"\RTDC4041\2017-01-14 --exclude "*" --recursive --include "*20170114*" &amp; "%USERPROFILE%\Documents\GitHub\mrs-test-scripts\Headless Mode &amp; Sideloading\WalkAndUnGZ.bat" "%USERPROFILE%\AppData\Local\Temp\OnboardLogs"\RTDC4041\2017-01-14 &amp; 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</v>
      </c>
      <c r="AF18" s="84" t="str">
        <f t="shared" si="11"/>
        <v>"C:\Program Files (x86)\AstroGrep\AstroGrep.exe" /spath="%USERPROFILE%\AppData\Local\Temp\OnboardLogs" /stypes="app*4041*20170114*" /stext=" 12:.+((SYSTEM_STATE.+slice.+state.+changed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88" t="str">
        <f t="shared" si="16"/>
        <v>"%USERPROFILE%\Documents\GitHub\eaglep3\Utilities\RefineRTDCRunTimes.py" --tripid 106-14 --locoid 4041 --swversion DE.1.0.8.0 --startMP 204:232779 --initTime 2017-01-14T05:10:07 --startdatetime 2017-01-14T05:12:29 --delay 1 --endMP 204:146182 --enddatetime 2017-01-14T05:24:46 --enforcementcount 0 &gt;&gt;C:\Users\stu\Documents\GitHub\eaglep3-reporting\EC\2017-01-14-refined-times.txt</v>
      </c>
      <c r="AI18" s="115" t="str">
        <f t="shared" si="17"/>
        <v>echo {"issue":{"subject":"Wi-MAX data drops","project_id":79,"tracker_id":40,"status_id":1,"priority_id":2,"assigned_to_id":23,"start_date":"2017-01-14","description":"","custom_fields":[{"id":1,"name":"Subdivision","value":"EC"},{"id":4,"name":"Milepost","value":"14.6182"},{"id":17,"name":"Train ID","value":"106-14"},{"id":16,"name":"Locomotive ID","value":"4041"},{"id":130,"name":"Impact","value":""},{"id":150,"name":"Time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18"/>
        <v>start /low /b %USERPROFILE%\Documents\GitHub\eaglep3\Utilities\DownloadLogsFromS3.py --loco 4041 --day 2017-01-14</v>
      </c>
      <c r="AN18" s="189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"%USERPROFILE%\AppData\Local\Temp\OnboardLogs"\RTDC4041\*4041*20170114* | grep -SE "(Enforcement Action)|(\[TIMEOUT)|(CHR.+\|PRM\|1\|D.+(SWITCH|SIGNAL).+UNKNOWN)" - &gt;&gt; 2017-01-14-UncaughtWiMAX.txt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475</v>
      </c>
      <c r="B19" s="7">
        <v>4027</v>
      </c>
      <c r="C19" s="22" t="s">
        <v>201</v>
      </c>
      <c r="D19" s="22" t="s">
        <v>244</v>
      </c>
      <c r="E19" s="13">
        <v>42749.186018518521</v>
      </c>
      <c r="F19" s="13">
        <v>42749.187731481485</v>
      </c>
      <c r="G19" s="7">
        <v>1</v>
      </c>
      <c r="H19" s="22" t="s">
        <v>419</v>
      </c>
      <c r="I19" s="13">
        <v>42749.213437500002</v>
      </c>
      <c r="J19" s="7">
        <v>0</v>
      </c>
      <c r="K19" s="105" t="str">
        <f t="shared" si="0"/>
        <v>4027/4028</v>
      </c>
      <c r="L19" s="22" t="str">
        <f>VLOOKUP(A19,'Trips&amp;Operators'!$C$1:$G$99999,5,FALSE)</f>
        <v>DAVIS WENDY</v>
      </c>
      <c r="M19" s="6">
        <f t="shared" si="1"/>
        <v>2.5706018517666962E-2</v>
      </c>
      <c r="N19" s="7">
        <f t="shared" ref="N19:N25" si="39">24*60*SUM($M19:$M19)</f>
        <v>37.016666665440425</v>
      </c>
      <c r="O19" s="7"/>
      <c r="P19" s="7"/>
      <c r="Q19" s="23"/>
      <c r="R19" s="23"/>
      <c r="S19" s="32">
        <f t="shared" si="2"/>
        <v>1</v>
      </c>
      <c r="T19" s="47" t="str">
        <f t="shared" si="3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03:27:52-700',mode:absolute,to:'2017-01-14 06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9" s="49" t="str">
        <f t="shared" si="5"/>
        <v>N</v>
      </c>
      <c r="X19" s="173">
        <f t="shared" si="38"/>
        <v>1</v>
      </c>
      <c r="Y19" s="64">
        <f t="shared" si="6"/>
        <v>4.6199999999999998E-2</v>
      </c>
      <c r="Z19" s="64">
        <f t="shared" si="7"/>
        <v>23.331099999999999</v>
      </c>
      <c r="AA19" s="64">
        <f t="shared" si="8"/>
        <v>23.2849</v>
      </c>
      <c r="AB19" s="61" t="e">
        <f>VLOOKUP(A19,Enforcements!$C$7:$K$15,8,0)</f>
        <v>#N/A</v>
      </c>
      <c r="AC19" s="57" t="e">
        <f>VLOOKUP(A19,Enforcements!$C$7:$E$15,3,0)</f>
        <v>#N/A</v>
      </c>
      <c r="AD19" s="58" t="str">
        <f t="shared" si="9"/>
        <v>0107-14</v>
      </c>
      <c r="AE19" s="87" t="str">
        <f t="shared" si="10"/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AF19" s="84" t="str">
        <f t="shared" si="11"/>
        <v>"C:\Program Files (x86)\AstroGrep\AstroGrep.exe" /spath="%USERPROFILE%\AppData\Local\Temp\OnboardLogs" /stypes="app*4027*20170114*"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88" t="str">
        <f t="shared" si="16"/>
        <v>"%USERPROFILE%\Documents\GitHub\eaglep3\Utilities\RefineRTDCRunTimes.py" --tripid 107-14 --locoid 4027 --swversion DE.1.0.8.0 --startMP 204:462 --initTime 2017-01-14T04:27:52 --startdatetime 2017-01-14T04:30:20 --delay 1 --endMP 204:233311 --enddatetime 2017-01-14T05:07:21 --enforcementcount 0 &gt;&gt;C:\Users\stu\Documents\GitHub\eaglep3-reporting\EC\2017-01-14-refined-times.txt</v>
      </c>
      <c r="AI19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{"issue":{"subject":"","project_id":79,"tracker_id":40,"status_id":1,"priority_id":2,"assigned_to_id":23,"start_date":"2017-01-14","description":"","custom_fields":[{"id":1,"name":"Subdivision","value":"EC"},{"id":4,"name":"Milepost","value":"23.3311"},{"id":17,"name":"Train ID","value":"107-14"},{"id":16,"name":"Locomotive ID","value":"4027"},{"id":130,"name":"Impact","value":""},{"id":150,"name":"Time of Event (Mountain Time)","value":"05:07:21"},{"id":151,"name":"Denver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18"/>
        <v>start /low /b %USERPROFILE%\Documents\GitHub\eaglep3\Utilities\DownloadLogsFromS3.py --loco 4027 --day 2017-01-14</v>
      </c>
      <c r="AN19" s="189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"%USERPROFILE%\AppData\Local\Temp\OnboardLogs"\RTDC4027\*4027*20170114* | grep -SE "(Enforcement Action)|(\[TIMEOUT)|(CHR.+\|PRM\|1\|D.+(SWITCH|SIGNAL).+UNKNOWN)" - &gt;&gt; 2017-01-14-UncaughtWiMAX.txt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481</v>
      </c>
      <c r="B20" s="7">
        <v>4028</v>
      </c>
      <c r="C20" s="22" t="s">
        <v>201</v>
      </c>
      <c r="D20" s="22" t="s">
        <v>264</v>
      </c>
      <c r="E20" s="13">
        <v>42749.225555555553</v>
      </c>
      <c r="F20" s="13">
        <v>42749.2268287037</v>
      </c>
      <c r="G20" s="7">
        <v>1</v>
      </c>
      <c r="H20" s="22" t="s">
        <v>206</v>
      </c>
      <c r="I20" s="13">
        <v>42749.257627314815</v>
      </c>
      <c r="J20" s="7">
        <v>0</v>
      </c>
      <c r="K20" s="105" t="str">
        <f t="shared" si="0"/>
        <v>4027/4028</v>
      </c>
      <c r="L20" s="22" t="str">
        <f>VLOOKUP(A20,'Trips&amp;Operators'!$C$1:$G$99999,5,FALSE)</f>
        <v>DAVIS WENDY</v>
      </c>
      <c r="M20" s="6">
        <f t="shared" si="1"/>
        <v>3.0798611114732921E-2</v>
      </c>
      <c r="N20" s="7">
        <f t="shared" si="39"/>
        <v>44.350000005215406</v>
      </c>
      <c r="O20" s="7"/>
      <c r="P20" s="7"/>
      <c r="Q20" s="23"/>
      <c r="R20" s="23"/>
      <c r="S20" s="32">
        <f t="shared" si="2"/>
        <v>1</v>
      </c>
      <c r="T20" s="47" t="str">
        <f t="shared" si="3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04:24:48-700',mode:absolute,to:'2017-01-14 07:10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20" s="49" t="str">
        <f t="shared" si="5"/>
        <v>N</v>
      </c>
      <c r="X20" s="173">
        <f t="shared" si="38"/>
        <v>1</v>
      </c>
      <c r="Y20" s="64">
        <f t="shared" si="6"/>
        <v>23.3</v>
      </c>
      <c r="Z20" s="64">
        <f t="shared" si="7"/>
        <v>1.4999999999999999E-2</v>
      </c>
      <c r="AA20" s="64">
        <f t="shared" si="8"/>
        <v>23.285</v>
      </c>
      <c r="AB20" s="61" t="e">
        <f>VLOOKUP(A20,Enforcements!$C$7:$K$15,8,0)</f>
        <v>#N/A</v>
      </c>
      <c r="AC20" s="57" t="e">
        <f>VLOOKUP(A20,Enforcements!$C$7:$E$15,3,0)</f>
        <v>#N/A</v>
      </c>
      <c r="AD20" s="58" t="str">
        <f t="shared" si="9"/>
        <v>0108-14</v>
      </c>
      <c r="AE20" s="87" t="str">
        <f t="shared" si="10"/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AF20" s="84" t="str">
        <f t="shared" si="11"/>
        <v>"C:\Program Files (x86)\AstroGrep\AstroGrep.exe" /spath="%USERPROFILE%\AppData\Local\Temp\OnboardLogs" /stypes="app*4028*20170114*" /stext=" 13:.+((SYSTEM_STATE.+slice.+state.+changed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88" t="str">
        <f t="shared" si="16"/>
        <v>"%USERPROFILE%\Documents\GitHub\eaglep3\Utilities\RefineRTDCRunTimes.py" --tripid 108-14 --locoid 4028 --swversion DE.1.0.8.0 --startMP 204:233000 --initTime 2017-01-14T05:24:48 --startdatetime 2017-01-14T05:26:38 --delay 1 --endMP 204:150 --enddatetime 2017-01-14T06:10:59 --enforcementcount 0 &gt;&gt;C:\Users\stu\Documents\GitHub\eaglep3-reporting\EC\2017-01-14-refined-times.txt</v>
      </c>
      <c r="AI20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{"issue":{"subject":"","project_id":79,"tracker_id":40,"status_id":1,"priority_id":2,"assigned_to_id":23,"start_date":"2017-01-14","description":"","custom_fields":[{"id":1,"name":"Subdivision","value":"EC"},{"id":4,"name":"Milepost","value":"0.015"},{"id":17,"name":"Train ID","value":"108-14"},{"id":16,"name":"Locomotive ID","value":"4028"},{"id":130,"name":"Impact","value":""},{"id":150,"name":"Time of Event (Mountain Time)","value":"06:10:59"},{"id":151,"name":"Denver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18"/>
        <v>start /low /b %USERPROFILE%\Documents\GitHub\eaglep3\Utilities\DownloadLogsFromS3.py --loco 4028 --day 2017-01-14</v>
      </c>
      <c r="AN20" s="189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"%USERPROFILE%\AppData\Local\Temp\OnboardLogs"\RTDC4028\*4028*20170114* | grep -SE "(Enforcement Action)|(\[TIMEOUT)|(CHR.+\|PRM\|1\|D.+(SWITCH|SIGNAL).+UNKNOWN)" - &gt;&gt; 2017-01-14-UncaughtWiMAX.txt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476</v>
      </c>
      <c r="B21" s="7">
        <v>4022</v>
      </c>
      <c r="C21" s="22" t="s">
        <v>201</v>
      </c>
      <c r="D21" s="22" t="s">
        <v>238</v>
      </c>
      <c r="E21" s="13">
        <v>42749.194039351853</v>
      </c>
      <c r="F21" s="13">
        <v>42749.198125000003</v>
      </c>
      <c r="G21" s="7">
        <v>1</v>
      </c>
      <c r="H21" s="22" t="s">
        <v>320</v>
      </c>
      <c r="I21" s="13">
        <v>42749.224317129629</v>
      </c>
      <c r="J21" s="7">
        <v>0</v>
      </c>
      <c r="K21" s="105" t="str">
        <f t="shared" si="0"/>
        <v>4021/4022</v>
      </c>
      <c r="L21" s="22" t="str">
        <f>VLOOKUP(A21,'Trips&amp;Operators'!$C$1:$G$99999,5,FALSE)</f>
        <v>OUN ZACK</v>
      </c>
      <c r="M21" s="6">
        <f t="shared" si="1"/>
        <v>2.619212962599704E-2</v>
      </c>
      <c r="N21" s="7">
        <f t="shared" si="39"/>
        <v>37.716666661435738</v>
      </c>
      <c r="O21" s="7"/>
      <c r="P21" s="7"/>
      <c r="Q21" s="23"/>
      <c r="R21" s="23"/>
      <c r="S21" s="32">
        <f t="shared" si="2"/>
        <v>1</v>
      </c>
      <c r="T21" s="47" t="str">
        <f t="shared" si="3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03:39:25-700',mode:absolute,to:'2017-01-14 06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21" s="49" t="str">
        <f t="shared" si="5"/>
        <v>N</v>
      </c>
      <c r="X21" s="173">
        <f t="shared" ref="X21" si="40">VALUE(LEFT(AD21,4))-VALUE(LEFT(AD20,4))</f>
        <v>1</v>
      </c>
      <c r="Y21" s="64">
        <f t="shared" si="6"/>
        <v>4.6399999999999997E-2</v>
      </c>
      <c r="Z21" s="64">
        <f t="shared" si="7"/>
        <v>23.331</v>
      </c>
      <c r="AA21" s="64">
        <f t="shared" si="8"/>
        <v>23.284600000000001</v>
      </c>
      <c r="AB21" s="61" t="e">
        <f>VLOOKUP(A21,Enforcements!$C$7:$K$15,8,0)</f>
        <v>#N/A</v>
      </c>
      <c r="AC21" s="57" t="e">
        <f>VLOOKUP(A21,Enforcements!$C$7:$E$15,3,0)</f>
        <v>#N/A</v>
      </c>
      <c r="AD21" s="58" t="str">
        <f t="shared" si="9"/>
        <v>0109-14</v>
      </c>
      <c r="AE21" s="87" t="str">
        <f t="shared" si="10"/>
        <v>aws s3 cp s3://rtdc.mdm.uploadarchive.raw/RTDC4022/ "%USERPROFILE%\AppData\Local\Temp\OnboardLogs"\RTDC4022\2017-01-14 --exclude "*" --recursive --include "*20170114*" &amp; "%USERPROFILE%\Documents\GitHub\mrs-test-scripts\Headless Mode &amp; Sideloading\WalkAndUnGZ.bat" "%USERPROFILE%\AppData\Local\Temp\OnboardLogs"\RTDC4022\2017-01-14 &amp; 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</v>
      </c>
      <c r="AF21" s="84" t="str">
        <f t="shared" si="11"/>
        <v>"C:\Program Files (x86)\AstroGrep\AstroGrep.exe" /spath="%USERPROFILE%\AppData\Local\Temp\OnboardLogs" /stypes="app*4022*20170114*" /stext=" 12:.+((SYSTEM_STATE.+slice.+state.+changed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88" t="str">
        <f t="shared" si="16"/>
        <v>"%USERPROFILE%\Documents\GitHub\eaglep3\Utilities\RefineRTDCRunTimes.py" --tripid 109-14 --locoid 4022 --swversion DE.1.0.8.0 --startMP 204:464 --initTime 2017-01-14T04:39:25 --startdatetime 2017-01-14T04:45:18 --delay 1 --endMP 204:233310 --enddatetime 2017-01-14T05:23:01 --enforcementcount 0 &gt;&gt;C:\Users\stu\Documents\GitHub\eaglep3-reporting\EC\2017-01-14-refined-times.txt</v>
      </c>
      <c r="AI21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{"issue":{"subject":"","project_id":79,"tracker_id":40,"status_id":1,"priority_id":2,"assigned_to_id":23,"start_date":"2017-01-14","description":"","custom_fields":[{"id":1,"name":"Subdivision","value":"EC"},{"id":4,"name":"Milepost","value":"23.331"},{"id":17,"name":"Train ID","value":"109-14"},{"id":16,"name":"Locomotive ID","value":"4022"},{"id":130,"name":"Impact","value":""},{"id":150,"name":"Time of Event (Mountain Time)","value":"05:23:01"},{"id":151,"name":"Denver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18"/>
        <v>start /low /b %USERPROFILE%\Documents\GitHub\eaglep3\Utilities\DownloadLogsFromS3.py --loco 4022 --day 2017-01-14</v>
      </c>
      <c r="AN21" s="189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"%USERPROFILE%\AppData\Local\Temp\OnboardLogs"\RTDC4022\*4022*20170114* | grep -SE "(Enforcement Action)|(\[TIMEOUT)|(CHR.+\|PRM\|1\|D.+(SWITCH|SIGNAL).+UNKNOWN)" - &gt;&gt; 2017-01-14-UncaughtWiMAX.txt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483</v>
      </c>
      <c r="B22" s="7">
        <v>4021</v>
      </c>
      <c r="C22" s="22" t="s">
        <v>201</v>
      </c>
      <c r="D22" s="22" t="s">
        <v>411</v>
      </c>
      <c r="E22" s="13">
        <v>42749.231168981481</v>
      </c>
      <c r="F22" s="13">
        <v>42749.237002314818</v>
      </c>
      <c r="G22" s="7">
        <v>1</v>
      </c>
      <c r="H22" s="22" t="s">
        <v>260</v>
      </c>
      <c r="I22" s="13">
        <v>42749.265497685185</v>
      </c>
      <c r="J22" s="7">
        <v>0</v>
      </c>
      <c r="K22" s="105" t="str">
        <f t="shared" si="0"/>
        <v>4021/4022</v>
      </c>
      <c r="L22" s="22" t="str">
        <f>VLOOKUP(A22,'Trips&amp;Operators'!$C$1:$G$99999,5,FALSE)</f>
        <v>OUN ZACK</v>
      </c>
      <c r="M22" s="6">
        <f t="shared" si="1"/>
        <v>2.8495370366727002E-2</v>
      </c>
      <c r="N22" s="7">
        <f t="shared" si="39"/>
        <v>41.033333328086883</v>
      </c>
      <c r="O22" s="7"/>
      <c r="P22" s="7"/>
      <c r="Q22" s="23"/>
      <c r="R22" s="23"/>
      <c r="S22" s="32">
        <f t="shared" si="2"/>
        <v>1</v>
      </c>
      <c r="T22" s="47" t="str">
        <f t="shared" si="3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04:32:53-700',mode:absolute,to:'2017-01-14 07:22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22" s="49" t="str">
        <f t="shared" si="5"/>
        <v>N</v>
      </c>
      <c r="X22" s="173">
        <f t="shared" ref="X22:X54" si="41">VALUE(LEFT(AD22,4))-VALUE(LEFT(AD21,4))</f>
        <v>1</v>
      </c>
      <c r="Y22" s="64">
        <f t="shared" si="6"/>
        <v>23.300999999999998</v>
      </c>
      <c r="Z22" s="64">
        <f t="shared" si="7"/>
        <v>1.41E-2</v>
      </c>
      <c r="AA22" s="64">
        <f t="shared" si="8"/>
        <v>23.286899999999999</v>
      </c>
      <c r="AB22" s="61" t="e">
        <f>VLOOKUP(A22,Enforcements!$C$7:$K$15,8,0)</f>
        <v>#N/A</v>
      </c>
      <c r="AC22" s="57" t="e">
        <f>VLOOKUP(A22,Enforcements!$C$7:$E$15,3,0)</f>
        <v>#N/A</v>
      </c>
      <c r="AD22" s="58" t="str">
        <f t="shared" si="9"/>
        <v>0110-14</v>
      </c>
      <c r="AE22" s="87" t="str">
        <f t="shared" si="10"/>
        <v>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 &amp; 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</v>
      </c>
      <c r="AF22" s="84" t="str">
        <f t="shared" si="11"/>
        <v>"C:\Program Files (x86)\AstroGrep\AstroGrep.exe" /spath="%USERPROFILE%\AppData\Local\Temp\OnboardLogs" /stypes="app*4021*20170114*" /stext=" 13:.+((SYSTEM_STATE.+slice.+state.+changed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88" t="str">
        <f t="shared" si="16"/>
        <v>"%USERPROFILE%\Documents\GitHub\eaglep3\Utilities\RefineRTDCRunTimes.py" --tripid 110-14 --locoid 4021 --swversion DE.1.0.8.0 --startMP 204:233010 --initTime 2017-01-14T05:32:53 --startdatetime 2017-01-14T05:41:17 --delay 1 --endMP 204:141 --enddatetime 2017-01-14T06:22:19 --enforcementcount 0 &gt;&gt;C:\Users\stu\Documents\GitHub\eaglep3-reporting\EC\2017-01-14-refined-times.txt</v>
      </c>
      <c r="AI22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{"issue":{"subject":"","project_id":79,"tracker_id":40,"status_id":1,"priority_id":2,"assigned_to_id":23,"start_date":"2017-01-14","description":"","custom_fields":[{"id":1,"name":"Subdivision","value":"EC"},{"id":4,"name":"Milepost","value":"0.0141"},{"id":17,"name":"Train ID","value":"110-14"},{"id":16,"name":"Locomotive ID","value":"4021"},{"id":130,"name":"Impact","value":""},{"id":150,"name":"Time of Event (Mountain Time)","value":"06:22:19"},{"id":151,"name":"Denver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18"/>
        <v>start /low /b %USERPROFILE%\Documents\GitHub\eaglep3\Utilities\DownloadLogsFromS3.py --loco 4021 --day 2017-01-14</v>
      </c>
      <c r="AN22" s="189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"%USERPROFILE%\AppData\Local\Temp\OnboardLogs"\RTDC4021\*4021*20170114* | grep -SE "(Enforcement Action)|(\[TIMEOUT)|(CHR.+\|PRM\|1\|D.+(SWITCH|SIGNAL).+UNKNOWN)" - &gt;&gt; 2017-01-14-UncaughtWiMAX.txt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477</v>
      </c>
      <c r="B23" s="7">
        <v>4018</v>
      </c>
      <c r="C23" s="22" t="s">
        <v>201</v>
      </c>
      <c r="D23" s="22" t="s">
        <v>344</v>
      </c>
      <c r="E23" s="13">
        <v>42749.206446759257</v>
      </c>
      <c r="F23" s="13">
        <v>42749.208657407406</v>
      </c>
      <c r="G23" s="7">
        <v>1</v>
      </c>
      <c r="H23" s="22" t="s">
        <v>324</v>
      </c>
      <c r="I23" s="13">
        <v>42749.233414351853</v>
      </c>
      <c r="J23" s="7">
        <v>0</v>
      </c>
      <c r="K23" s="105" t="str">
        <f t="shared" si="0"/>
        <v>4017/4018</v>
      </c>
      <c r="L23" s="22" t="str">
        <f>VLOOKUP(A23,'Trips&amp;Operators'!$C$1:$G$99999,5,FALSE)</f>
        <v>LOZA FIDEL</v>
      </c>
      <c r="M23" s="6">
        <f t="shared" si="1"/>
        <v>2.4756944447290152E-2</v>
      </c>
      <c r="N23" s="7">
        <f t="shared" si="39"/>
        <v>35.650000004097819</v>
      </c>
      <c r="O23" s="7"/>
      <c r="P23" s="7"/>
      <c r="Q23" s="23"/>
      <c r="R23" s="23"/>
      <c r="S23" s="32">
        <f t="shared" si="2"/>
        <v>1</v>
      </c>
      <c r="T23" s="47" t="str">
        <f t="shared" si="3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03:57:17-700',mode:absolute,to:'2017-01-14 06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23" s="49" t="str">
        <f t="shared" si="5"/>
        <v>N</v>
      </c>
      <c r="X23" s="173">
        <f t="shared" si="41"/>
        <v>1</v>
      </c>
      <c r="Y23" s="64">
        <f t="shared" si="6"/>
        <v>7.3499999999999996E-2</v>
      </c>
      <c r="Z23" s="64">
        <f t="shared" si="7"/>
        <v>23.3291</v>
      </c>
      <c r="AA23" s="64">
        <f t="shared" si="8"/>
        <v>23.255600000000001</v>
      </c>
      <c r="AB23" s="61" t="e">
        <f>VLOOKUP(A23,Enforcements!$C$7:$K$15,8,0)</f>
        <v>#N/A</v>
      </c>
      <c r="AC23" s="57" t="e">
        <f>VLOOKUP(A23,Enforcements!$C$7:$E$15,3,0)</f>
        <v>#N/A</v>
      </c>
      <c r="AD23" s="58" t="str">
        <f t="shared" si="9"/>
        <v>0111-14</v>
      </c>
      <c r="AE23" s="87" t="str">
        <f t="shared" si="10"/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AF23" s="84" t="str">
        <f t="shared" si="11"/>
        <v>"C:\Program Files (x86)\AstroGrep\AstroGrep.exe" /spath="%USERPROFILE%\AppData\Local\Temp\OnboardLogs" /stypes="app*4018*20170114*" /stext=" 12:.+((SYSTEM_STATE.+slice.+state.+changed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88" t="str">
        <f t="shared" si="16"/>
        <v>"%USERPROFILE%\Documents\GitHub\eaglep3\Utilities\RefineRTDCRunTimes.py" --tripid 111-14 --locoid 4018 --swversion DE.1.0.8.0 --startMP 204:735 --initTime 2017-01-14T04:57:17 --startdatetime 2017-01-14T05:00:28 --delay 1 --endMP 204:233291 --enddatetime 2017-01-14T05:36:07 --enforcementcount 0 &gt;&gt;C:\Users\stu\Documents\GitHub\eaglep3-reporting\EC\2017-01-14-refined-times.txt</v>
      </c>
      <c r="AI23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{"issue":{"subject":"","project_id":79,"tracker_id":40,"status_id":1,"priority_id":2,"assigned_to_id":23,"start_date":"2017-01-14","description":"","custom_fields":[{"id":1,"name":"Subdivision","value":"EC"},{"id":4,"name":"Milepost","value":"23.3291"},{"id":17,"name":"Train ID","value":"111-14"},{"id":16,"name":"Locomotive ID","value":"4018"},{"id":130,"name":"Impact","value":""},{"id":150,"name":"Time of Event (Mountain Time)","value":"05:36:07"},{"id":151,"name":"Denver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18"/>
        <v>start /low /b %USERPROFILE%\Documents\GitHub\eaglep3\Utilities\DownloadLogsFromS3.py --loco 4018 --day 2017-01-14</v>
      </c>
      <c r="AN23" s="189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"%USERPROFILE%\AppData\Local\Temp\OnboardLogs"\RTDC4018\*4018*20170114* | grep -SE "(Enforcement Action)|(\[TIMEOUT)|(CHR.+\|PRM\|1\|D.+(SWITCH|SIGNAL).+UNKNOWN)" - &gt;&gt; 2017-01-14-UncaughtWiMAX.txt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485</v>
      </c>
      <c r="B24" s="7">
        <v>4017</v>
      </c>
      <c r="C24" s="22" t="s">
        <v>201</v>
      </c>
      <c r="D24" s="22" t="s">
        <v>414</v>
      </c>
      <c r="E24" s="13">
        <v>42749.237534722219</v>
      </c>
      <c r="F24" s="13">
        <v>42749.247476851851</v>
      </c>
      <c r="G24" s="7">
        <v>1</v>
      </c>
      <c r="H24" s="22" t="s">
        <v>260</v>
      </c>
      <c r="I24" s="13">
        <v>42749.27375</v>
      </c>
      <c r="J24" s="7">
        <v>0</v>
      </c>
      <c r="K24" s="105" t="str">
        <f t="shared" si="0"/>
        <v>4017/4018</v>
      </c>
      <c r="L24" s="22" t="str">
        <f>VLOOKUP(A24,'Trips&amp;Operators'!$C$1:$G$99999,5,FALSE)</f>
        <v>LOZA FIDEL</v>
      </c>
      <c r="M24" s="6">
        <f t="shared" si="1"/>
        <v>2.6273148148902692E-2</v>
      </c>
      <c r="N24" s="7">
        <f t="shared" si="39"/>
        <v>37.833333334419876</v>
      </c>
      <c r="O24" s="7"/>
      <c r="P24" s="7"/>
      <c r="Q24" s="23"/>
      <c r="R24" s="23"/>
      <c r="S24" s="32">
        <f t="shared" si="2"/>
        <v>1</v>
      </c>
      <c r="T24" s="47" t="str">
        <f t="shared" si="3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04:42:03-700',mode:absolute,to:'2017-01-14 07:34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24" s="49" t="str">
        <f t="shared" si="5"/>
        <v>N</v>
      </c>
      <c r="X24" s="173">
        <f t="shared" si="41"/>
        <v>1</v>
      </c>
      <c r="Y24" s="64">
        <f t="shared" si="6"/>
        <v>23.298999999999999</v>
      </c>
      <c r="Z24" s="64">
        <f t="shared" si="7"/>
        <v>1.41E-2</v>
      </c>
      <c r="AA24" s="64">
        <f t="shared" si="8"/>
        <v>23.2849</v>
      </c>
      <c r="AB24" s="61" t="e">
        <f>VLOOKUP(A24,Enforcements!$C$7:$K$15,8,0)</f>
        <v>#N/A</v>
      </c>
      <c r="AC24" s="57" t="e">
        <f>VLOOKUP(A24,Enforcements!$C$7:$E$15,3,0)</f>
        <v>#N/A</v>
      </c>
      <c r="AD24" s="58" t="str">
        <f t="shared" si="9"/>
        <v>0112-14</v>
      </c>
      <c r="AE24" s="87" t="str">
        <f t="shared" si="10"/>
        <v>aws s3 cp s3://rtdc.mdm.uploadarchive.raw/RTDC4017/ "%USERPROFILE%\AppData\Local\Temp\OnboardLogs"\RTDC4017\2017-01-14 --exclude "*" --recursive --include "*20170114*" &amp; "%USERPROFILE%\Documents\GitHub\mrs-test-scripts\Headless Mode &amp; Sideloading\WalkAndUnGZ.bat" "%USERPROFILE%\AppData\Local\Temp\OnboardLogs"\RTDC4017\2017-01-14 &amp; aws s3 cp s3://rtdc.mdm.uploadarchive.raw/RTDC4017/ "%USERPROFILE%\AppData\Local\Temp\OnboardLogs"\RTDC4017\2017-01-15 --exclude "*" --recursive --include "*20170115*" &amp; "%USERPROFILE%\Documents\GitHub\mrs-test-scripts\Headless Mode &amp; Sideloading\WalkAndUnGZ.bat" "%USERPROFILE%\AppData\Local\Temp\OnboardLogs"\RTDC4017\2017-01-15</v>
      </c>
      <c r="AF24" s="84" t="str">
        <f t="shared" si="11"/>
        <v>"C:\Program Files (x86)\AstroGrep\AstroGrep.exe" /spath="%USERPROFILE%\AppData\Local\Temp\OnboardLogs" /stypes="app*4017*20170114*" /stext=" 13:.+((SYSTEM_STATE.+slice.+state.+changed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88" t="str">
        <f t="shared" si="16"/>
        <v>"%USERPROFILE%\Documents\GitHub\eaglep3\Utilities\RefineRTDCRunTimes.py" --tripid 112-14 --locoid 4017 --swversion DE.1.0.8.0 --startMP 204:232990 --initTime 2017-01-14T05:42:03 --startdatetime 2017-01-14T05:56:22 --delay 1 --endMP 204:141 --enddatetime 2017-01-14T06:34:12 --enforcementcount 0 &gt;&gt;C:\Users\stu\Documents\GitHub\eaglep3-reporting\EC\2017-01-14-refined-times.txt</v>
      </c>
      <c r="AI24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{"issue":{"subject":"","project_id":79,"tracker_id":40,"status_id":1,"priority_id":2,"assigned_to_id":23,"start_date":"2017-01-14","description":"","custom_fields":[{"id":1,"name":"Subdivision","value":"EC"},{"id":4,"name":"Milepost","value":"0.0141"},{"id":17,"name":"Train ID","value":"112-14"},{"id":16,"name":"Locomotive ID","value":"4017"},{"id":130,"name":"Impact","value":""},{"id":150,"name":"Time of Event (Mountain Time)","value":"06:34:12"},{"id":151,"name":"Denver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18"/>
        <v>start /low /b %USERPROFILE%\Documents\GitHub\eaglep3\Utilities\DownloadLogsFromS3.py --loco 4017 --day 2017-01-14</v>
      </c>
      <c r="AN24" s="189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"%USERPROFILE%\AppData\Local\Temp\OnboardLogs"\RTDC4017\*4017*20170114* | grep -SE "(Enforcement Action)|(\[TIMEOUT)|(CHR.+\|PRM\|1\|D.+(SWITCH|SIGNAL).+UNKNOWN)" - &gt;&gt; 2017-01-14-UncaughtWiMAX.txt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479</v>
      </c>
      <c r="B25" s="7">
        <v>4029</v>
      </c>
      <c r="C25" s="22" t="s">
        <v>201</v>
      </c>
      <c r="D25" s="22" t="s">
        <v>192</v>
      </c>
      <c r="E25" s="13">
        <v>42749.210428240738</v>
      </c>
      <c r="F25" s="13">
        <v>42749.218946759262</v>
      </c>
      <c r="G25" s="7">
        <v>1</v>
      </c>
      <c r="H25" s="22" t="s">
        <v>292</v>
      </c>
      <c r="I25" s="13">
        <v>42749.246307870373</v>
      </c>
      <c r="J25" s="7">
        <v>0</v>
      </c>
      <c r="K25" s="105" t="str">
        <f t="shared" si="0"/>
        <v>4029/4030</v>
      </c>
      <c r="L25" s="22" t="str">
        <f>VLOOKUP(A25,'Trips&amp;Operators'!$C$1:$G$99999,5,FALSE)</f>
        <v>BEAM ROSS</v>
      </c>
      <c r="M25" s="6">
        <f t="shared" si="1"/>
        <v>2.73611111115315E-2</v>
      </c>
      <c r="N25" s="7">
        <f t="shared" si="39"/>
        <v>39.40000000060536</v>
      </c>
      <c r="O25" s="7"/>
      <c r="P25" s="7"/>
      <c r="Q25" s="23"/>
      <c r="R25" s="23"/>
      <c r="S25" s="32">
        <f t="shared" si="2"/>
        <v>1</v>
      </c>
      <c r="T25" s="47" t="str">
        <f t="shared" si="3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04:03:01-700',mode:absolute,to:'2017-01-14 06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W25" s="49" t="str">
        <f t="shared" si="5"/>
        <v>N</v>
      </c>
      <c r="X25" s="173">
        <f t="shared" si="41"/>
        <v>1</v>
      </c>
      <c r="Y25" s="64">
        <f t="shared" si="6"/>
        <v>4.4699999999999997E-2</v>
      </c>
      <c r="Z25" s="64">
        <f t="shared" si="7"/>
        <v>23.331700000000001</v>
      </c>
      <c r="AA25" s="64">
        <f t="shared" si="8"/>
        <v>23.287000000000003</v>
      </c>
      <c r="AB25" s="61" t="e">
        <f>VLOOKUP(A25,Enforcements!$C$7:$K$15,8,0)</f>
        <v>#N/A</v>
      </c>
      <c r="AC25" s="57" t="e">
        <f>VLOOKUP(A25,Enforcements!$C$7:$E$15,3,0)</f>
        <v>#N/A</v>
      </c>
      <c r="AD25" s="58" t="str">
        <f t="shared" si="9"/>
        <v>0113-14</v>
      </c>
      <c r="AE25" s="87" t="str">
        <f t="shared" si="10"/>
        <v>aws s3 cp s3://rtdc.mdm.uploadarchive.raw/RTDC4029/ "%USERPROFILE%\AppData\Local\Temp\OnboardLogs"\RTDC4029\2017-01-14 --exclude "*" --recursive --include "*20170114*" &amp; "%USERPROFILE%\Documents\GitHub\mrs-test-scripts\Headless Mode &amp; Sideloading\WalkAndUnGZ.bat" "%USERPROFILE%\AppData\Local\Temp\OnboardLogs"\RTDC4029\2017-01-14 &amp; aws s3 cp s3://rtdc.mdm.uploadarchive.raw/RTDC4029/ "%USERPROFILE%\AppData\Local\Temp\OnboardLogs"\RTDC4029\2017-01-15 --exclude "*" --recursive --include "*20170115*" &amp; "%USERPROFILE%\Documents\GitHub\mrs-test-scripts\Headless Mode &amp; Sideloading\WalkAndUnGZ.bat" "%USERPROFILE%\AppData\Local\Temp\OnboardLogs"\RTDC4029\2017-01-15</v>
      </c>
      <c r="AF25" s="84" t="str">
        <f t="shared" si="11"/>
        <v>"C:\Program Files (x86)\AstroGrep\AstroGrep.exe" /spath="%USERPROFILE%\AppData\Local\Temp\OnboardLogs" /stypes="app*4029*20170114*" /stext=" 12:.+((SYSTEM_STATE.+slice.+state.+changed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88" t="str">
        <f t="shared" si="16"/>
        <v>"%USERPROFILE%\Documents\GitHub\eaglep3\Utilities\RefineRTDCRunTimes.py" --tripid 113-14 --locoid 4029 --swversion DE.1.0.8.0 --startMP 204:447 --initTime 2017-01-14T05:03:01 --startdatetime 2017-01-14T05:15:17 --delay 1 --endMP 204:233317 --enddatetime 2017-01-14T05:54:41 --enforcementcount 0 &gt;&gt;C:\Users\stu\Documents\GitHub\eaglep3-reporting\EC\2017-01-14-refined-times.txt</v>
      </c>
      <c r="AI25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{"issue":{"subject":"","project_id":79,"tracker_id":40,"status_id":1,"priority_id":2,"assigned_to_id":23,"start_date":"2017-01-14","description":"","custom_fields":[{"id":1,"name":"Subdivision","value":"EC"},{"id":4,"name":"Milepost","value":"23.3317"},{"id":17,"name":"Train ID","value":"113-14"},{"id":16,"name":"Locomotive ID","value":"4029"},{"id":130,"name":"Impact","value":""},{"id":150,"name":"Time of Event (Mountain Time)","value":"05:54:41"},{"id":151,"name":"Denver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18"/>
        <v>start /low /b %USERPROFILE%\Documents\GitHub\eaglep3\Utilities\DownloadLogsFromS3.py --loco 4029 --day 2017-01-14</v>
      </c>
      <c r="AN25" s="189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"%USERPROFILE%\AppData\Local\Temp\OnboardLogs"\RTDC4029\*4029*20170114* | grep -SE "(Enforcement Action)|(\[TIMEOUT)|(CHR.+\|PRM\|1\|D.+(SWITCH|SIGNAL).+UNKNOWN)" - &gt;&gt; 2017-01-14-UncaughtWiMAX.txt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489</v>
      </c>
      <c r="B26" s="7">
        <v>4030</v>
      </c>
      <c r="C26" s="22" t="s">
        <v>201</v>
      </c>
      <c r="D26" s="22" t="s">
        <v>264</v>
      </c>
      <c r="E26" s="13">
        <v>42749.254606481481</v>
      </c>
      <c r="F26" s="13">
        <v>42749.255428240744</v>
      </c>
      <c r="G26" s="7">
        <v>1</v>
      </c>
      <c r="H26" s="22" t="s">
        <v>660</v>
      </c>
      <c r="I26" s="13">
        <v>42749.258553240739</v>
      </c>
      <c r="J26" s="7">
        <v>0</v>
      </c>
      <c r="K26" s="105" t="str">
        <f t="shared" si="0"/>
        <v>4029/4030</v>
      </c>
      <c r="L26" s="22" t="str">
        <f>VLOOKUP(A26,'Trips&amp;Operators'!$C$1:$G$99999,5,FALSE)</f>
        <v>BEAM ROSS</v>
      </c>
      <c r="M26" s="6">
        <f t="shared" si="1"/>
        <v>3.1249999956344254E-3</v>
      </c>
      <c r="N26" s="7"/>
      <c r="O26" s="7"/>
      <c r="P26" s="7">
        <f>24*60*SUM($M26:$M26)</f>
        <v>4.4999999937135726</v>
      </c>
      <c r="Q26" s="23"/>
      <c r="R26" s="23" t="s">
        <v>301</v>
      </c>
      <c r="S26" s="32">
        <f t="shared" si="2"/>
        <v>0</v>
      </c>
      <c r="T26" s="47" t="str">
        <f t="shared" si="3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05:06:38-700',mode:absolute,to:'2017-01-14 07:12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26" s="49" t="str">
        <f t="shared" si="5"/>
        <v>Y</v>
      </c>
      <c r="X26" s="173">
        <f t="shared" si="41"/>
        <v>1</v>
      </c>
      <c r="Y26" s="64">
        <f t="shared" si="6"/>
        <v>23.3</v>
      </c>
      <c r="Z26" s="64">
        <f t="shared" si="7"/>
        <v>22.817799999999998</v>
      </c>
      <c r="AA26" s="64">
        <f t="shared" si="8"/>
        <v>0.4822000000000024</v>
      </c>
      <c r="AB26" s="61" t="e">
        <f>VLOOKUP(A26,Enforcements!$C$7:$K$15,8,0)</f>
        <v>#N/A</v>
      </c>
      <c r="AC26" s="57" t="e">
        <f>VLOOKUP(A26,Enforcements!$C$7:$E$15,3,0)</f>
        <v>#N/A</v>
      </c>
      <c r="AD26" s="58" t="str">
        <f t="shared" si="9"/>
        <v>0114-14</v>
      </c>
      <c r="AE26" s="87" t="str">
        <f t="shared" si="10"/>
        <v>aws s3 cp s3://rtdc.mdm.uploadarchive.raw/RTDC4030/ "%USERPROFILE%\AppData\Local\Temp\OnboardLogs"\RTDC4030\2017-01-14 --exclude "*" --recursive --include "*20170114*" &amp; "%USERPROFILE%\Documents\GitHub\mrs-test-scripts\Headless Mode &amp; Sideloading\WalkAndUnGZ.bat" "%USERPROFILE%\AppData\Local\Temp\OnboardLogs"\RTDC4030\2017-01-14 &amp; aws s3 cp s3://rtdc.mdm.uploadarchive.raw/RTDC4030/ "%USERPROFILE%\AppData\Local\Temp\OnboardLogs"\RTDC4030\2017-01-15 --exclude "*" --recursive --include "*20170115*" &amp; "%USERPROFILE%\Documents\GitHub\mrs-test-scripts\Headless Mode &amp; Sideloading\WalkAndUnGZ.bat" "%USERPROFILE%\AppData\Local\Temp\OnboardLogs"\RTDC4030\2017-01-15</v>
      </c>
      <c r="AF26" s="84" t="str">
        <f t="shared" si="11"/>
        <v>"C:\Program Files (x86)\AstroGrep\AstroGrep.exe" /spath="%USERPROFILE%\AppData\Local\Temp\OnboardLogs" /stypes="app*4030*20170114*" /stext=" 13:.+((SYSTEM_STATE.+slice.+state.+changed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88" t="str">
        <f t="shared" si="16"/>
        <v>"%USERPROFILE%\Documents\GitHub\eaglep3\Utilities\RefineRTDCRunTimes.py" --tripid 114-14 --locoid 4030 --swversion DE.1.0.8.0 --startMP 204:233000 --initTime 2017-01-14T06:06:38 --startdatetime 2017-01-14T06:07:49 --delay 1 --endMP 204:228178 --enddatetime 2017-01-14T06:12:19 --enforcementcount 0 &gt;&gt;C:\Users\stu\Documents\GitHub\eaglep3-reporting\EC\2017-01-14-refined-times.txt</v>
      </c>
      <c r="AI26" s="115" t="str">
        <f t="shared" si="17"/>
        <v>echo {"issue":{"subject":"Onboard in-route failure","project_id":79,"tracker_id":40,"status_id":1,"priority_id":2,"assigned_to_id":23,"start_date":"2017-01-14","description":"","custom_fields":[{"id":1,"name":"Subdivision","value":"EC"},{"id":4,"name":"Milepost","value":"22.8178"},{"id":17,"name":"Train ID","value":"114-14"},{"id":16,"name":"Locomotive ID","value":"4030"},{"id":130,"name":"Impact","value":""},{"id":150,"name":"Time of Event (Mountain Time)","value":"06:12:19"},{"id":151,"name":"Denver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18"/>
        <v>start /low /b %USERPROFILE%\Documents\GitHub\eaglep3\Utilities\DownloadLogsFromS3.py --loco 4030 --day 2017-01-14</v>
      </c>
      <c r="AN26" s="189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"%USERPROFILE%\AppData\Local\Temp\OnboardLogs"\RTDC4030\*4030*20170114* | grep -SE "(Enforcement Action)|(\[TIMEOUT)|(CHR.+\|PRM\|1\|D.+(SWITCH|SIGNAL).+UNKNOWN)" - &gt;&gt; 2017-01-14-UncaughtWiMAX.txt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486</v>
      </c>
      <c r="B27" s="7">
        <v>4031</v>
      </c>
      <c r="C27" s="22" t="s">
        <v>201</v>
      </c>
      <c r="D27" s="22" t="s">
        <v>661</v>
      </c>
      <c r="E27" s="13">
        <v>42749.239953703705</v>
      </c>
      <c r="F27" s="13">
        <v>42749.242268518516</v>
      </c>
      <c r="G27" s="7">
        <v>1</v>
      </c>
      <c r="H27" s="22" t="s">
        <v>281</v>
      </c>
      <c r="I27" s="13">
        <v>42749.261111111111</v>
      </c>
      <c r="J27" s="7">
        <v>0</v>
      </c>
      <c r="K27" s="105" t="str">
        <f t="shared" si="0"/>
        <v>4031/4032</v>
      </c>
      <c r="L27" s="22" t="str">
        <f>VLOOKUP(A27,'Trips&amp;Operators'!$C$1:$G$99999,5,FALSE)</f>
        <v>GEBRETEKLE DAGNEW</v>
      </c>
      <c r="M27" s="6">
        <f t="shared" si="1"/>
        <v>1.8842592595319729E-2</v>
      </c>
      <c r="N27" s="7"/>
      <c r="O27" s="7"/>
      <c r="P27" s="7">
        <f>24*60*SUM($M27:$M27)</f>
        <v>27.13333333726041</v>
      </c>
      <c r="Q27" s="23"/>
      <c r="R27" s="23" t="s">
        <v>301</v>
      </c>
      <c r="S27" s="32">
        <f t="shared" si="2"/>
        <v>0.25</v>
      </c>
      <c r="T27" s="47" t="str">
        <f t="shared" si="3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3</v>
      </c>
      <c r="V27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04:45:32-700',mode:absolute,to:'2017-01-14 07:16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7" s="49" t="str">
        <f t="shared" si="5"/>
        <v>Y</v>
      </c>
      <c r="X27" s="173">
        <f t="shared" si="41"/>
        <v>1</v>
      </c>
      <c r="Y27" s="64">
        <f t="shared" si="6"/>
        <v>6.4694000000000003</v>
      </c>
      <c r="Z27" s="64">
        <f t="shared" si="7"/>
        <v>23.330100000000002</v>
      </c>
      <c r="AA27" s="64">
        <f t="shared" si="8"/>
        <v>16.860700000000001</v>
      </c>
      <c r="AB27" s="61" t="e">
        <f>VLOOKUP(A27,Enforcements!$C$7:$K$15,8,0)</f>
        <v>#N/A</v>
      </c>
      <c r="AC27" s="57" t="e">
        <f>VLOOKUP(A27,Enforcements!$C$7:$E$15,3,0)</f>
        <v>#N/A</v>
      </c>
      <c r="AD27" s="58" t="str">
        <f t="shared" si="9"/>
        <v>0115-14</v>
      </c>
      <c r="AE27" s="87" t="str">
        <f t="shared" si="10"/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AF27" s="84" t="str">
        <f t="shared" si="11"/>
        <v>"C:\Program Files (x86)\AstroGrep\AstroGrep.exe" /spath="%USERPROFILE%\AppData\Local\Temp\OnboardLogs" /stypes="app*4031*20170114*"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88" t="str">
        <f t="shared" si="16"/>
        <v>"%USERPROFILE%\Documents\GitHub\eaglep3\Utilities\RefineRTDCRunTimes.py" --tripid 115-14 --locoid 4031 --swversion DE.1.0.8.0 --startMP 204:64694 --initTime 2017-01-14T05:45:32 --startdatetime 2017-01-14T05:48:52 --delay 1 --endMP 204:233301 --enddatetime 2017-01-14T06:16:00 --enforcementcount 0 &gt;&gt;C:\Users\stu\Documents\GitHub\eaglep3-reporting\EC\2017-01-14-refined-times.txt</v>
      </c>
      <c r="AI27" s="115" t="str">
        <f t="shared" si="17"/>
        <v>echo {"issue":{"subject":"Onboard in-route failure","project_id":79,"tracker_id":40,"status_id":1,"priority_id":2,"assigned_to_id":23,"start_date":"2017-01-14","description":"","custom_fields":[{"id":1,"name":"Subdivision","value":"EC"},{"id":4,"name":"Milepost","value":"23.3301"},{"id":17,"name":"Train ID","value":"115-14"},{"id":16,"name":"Locomotive ID","value":"4031"},{"id":130,"name":"Impact","value":""},{"id":150,"name":"Time of Event (Mountain Time)","value":"06:16:00"},{"id":151,"name":"Denver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18"/>
        <v>start /low /b %USERPROFILE%\Documents\GitHub\eaglep3\Utilities\DownloadLogsFromS3.py --loco 4031 --day 2017-01-14</v>
      </c>
      <c r="AN27" s="189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"%USERPROFILE%\AppData\Local\Temp\OnboardLogs"\RTDC4031\*4031*20170114* | grep -SE "(Enforcement Action)|(\[TIMEOUT)|(CHR.+\|PRM\|1\|D.+(SWITCH|SIGNAL).+UNKNOWN)" - &gt;&gt; 2017-01-14-UncaughtWiMAX.txt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881</v>
      </c>
      <c r="B28" s="7"/>
      <c r="C28" s="22" t="s">
        <v>201</v>
      </c>
      <c r="D28" s="22" t="s">
        <v>661</v>
      </c>
      <c r="E28" s="13">
        <v>42749.239953703705</v>
      </c>
      <c r="F28" s="13"/>
      <c r="G28" s="7">
        <v>1</v>
      </c>
      <c r="H28" s="22" t="s">
        <v>281</v>
      </c>
      <c r="I28" s="13"/>
      <c r="J28" s="7">
        <v>0</v>
      </c>
      <c r="K28" s="105" t="str">
        <f t="shared" ref="K28" si="42">IF(ISEVEN(B28),(B28-1)&amp;"/"&amp;B28,B28&amp;"/"&amp;(B28+1))</f>
        <v>-1/</v>
      </c>
      <c r="L28" s="22" t="e">
        <f>VLOOKUP(A28,'Trips&amp;Operators'!$C$1:$G$99999,5,FALSE)</f>
        <v>#N/A</v>
      </c>
      <c r="M28" s="6">
        <f t="shared" ref="M28" si="43">I28-F28</f>
        <v>0</v>
      </c>
      <c r="N28" s="7"/>
      <c r="O28" s="7"/>
      <c r="P28" s="7">
        <v>1</v>
      </c>
      <c r="Q28" s="23"/>
      <c r="R28" s="23" t="s">
        <v>883</v>
      </c>
      <c r="S28" s="32">
        <f t="shared" ref="S28" si="44">SUM(U28:U28)/IF(AG28="EC",12,1)</f>
        <v>0</v>
      </c>
      <c r="T28" s="47" t="str">
        <f t="shared" ref="T28" si="45">IF(ISEVEN(LEFT(AD28,4)),"Southbound","NorthBound")</f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94" t="str">
        <f t="shared" ref="V28" si="46"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https://search-rtdc-monitor-bjffxe2xuh6vdkpspy63sjmuny.us-east-1.es.amazonaws.com/_plugin/kibana/#/discover/Steve-Slow-Train-Analysis-(2080s-and-2083s)?_g=(refreshInterval:(display:Off,section:0,value:0),time:(from:'2017-01-14 04:45:32-700',mode:absolute,to:'1900-01-00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28" s="49" t="str">
        <f t="shared" ref="W28" si="47">IF(AA28&lt;IF(AG28="EC",23,5.65),"Y","N")</f>
        <v>Y</v>
      </c>
      <c r="X28" s="173">
        <f t="shared" si="41"/>
        <v>1</v>
      </c>
      <c r="Y28" s="64">
        <f t="shared" ref="Y28" si="48">RIGHT(D28,LEN(D28)-4)/10000</f>
        <v>6.4694000000000003</v>
      </c>
      <c r="Z28" s="64">
        <f t="shared" ref="Z28" si="49">RIGHT(H28,LEN(H28)-4)/10000</f>
        <v>23.330100000000002</v>
      </c>
      <c r="AA28" s="64">
        <f t="shared" ref="AA28" si="50">ABS(Z28-Y28)</f>
        <v>16.860700000000001</v>
      </c>
      <c r="AB28" s="61" t="e">
        <f>VLOOKUP(A28,Enforcements!$C$7:$K$15,8,0)</f>
        <v>#N/A</v>
      </c>
      <c r="AC28" s="57" t="e">
        <f>VLOOKUP(A28,Enforcements!$C$7:$E$15,3,0)</f>
        <v>#N/A</v>
      </c>
      <c r="AD28" s="58" t="str">
        <f t="shared" ref="AD28" si="51">IF(LEN(A28)=6,"0"&amp;A28,A28)</f>
        <v>0116-14</v>
      </c>
      <c r="AE28" s="87" t="str">
        <f t="shared" ref="AE28" si="52"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8" s="84" t="str">
        <f t="shared" ref="AF28" si="53"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8" s="1" t="str">
        <f t="shared" ref="AG28" si="54">IFERROR(IF(VALUE(LEFT(AD28,2))&lt;=2,"EC",IF(OR(VALUE(LEFT(AD28,2))=8,VALUE(LEFT(AD28,2))=18),"NW","Other")),"Other")</f>
        <v>EC</v>
      </c>
      <c r="AH28" s="88" t="str">
        <f t="shared" ref="AH28" si="55">refinertdcruntimes&amp;" --tripid "&amp;A28&amp;" --locoid "&amp;B28&amp;" --swversion "&amp;C28&amp;" --startMP "&amp;D28&amp;" --initTime "&amp;TEXT(E28,"yyyy-mm-ddTHH:MM:SS")&amp;" --startdatetime "&amp;TEXT(F28,"yyyy-mm-ddTHH:MM:SS")&amp;" --delay "&amp;G28&amp;" --endMP "&amp;H28&amp;" --enddatetime "&amp;TEXT(I28,"yyyy-mm-ddTHH:MM:SS")&amp;" --enforcementcount "&amp;J28&amp;IF(outputrefinedruntimes," &gt;&gt;"&amp;RefinedRTDCRunTimesOutputFile,"")</f>
        <v>"%USERPROFILE%\Documents\GitHub\eaglep3\Utilities\RefineRTDCRunTimes.py" --tripid 116-14 --locoid  --swversion DE.1.0.8.0 --startMP 204:64694 --initTime 2017-01-14T05:45:32 --startdatetime 1900-01-00T00:00:00 --delay 1 --endMP 204:233301 --enddatetime 1900-01-00T00:00:00 --enforcementcount 0 &gt;&gt;C:\Users\stu\Documents\GitHub\eaglep3-reporting\EC\2017-01-14-refined-times.txt</v>
      </c>
      <c r="AI28" s="115" t="str">
        <f t="shared" ref="AI28" si="56">"echo {""issue"":{""subject"":"""&amp;R28&amp;""",""project_id"":79,""tracker_id"":40,""status_id"":"&amp;redmine_status&amp;",""priority_id"":"&amp;redmine_priority&amp;",""assigned_to_id"":"&amp;redmine_assignee&amp;",""start_date"":"""&amp;TEXT(I28,"YYYY-mm-dd")&amp;""",""description"":"""&amp;AJ28&amp;""",""custom_fields"":[{""id"":1,""name"":""Subdivision"",""value"":"""&amp;AG28&amp;"""},{""id"":4,""name"":""Milepost"",""value"":"""&amp;Z28&amp;"""},{""id"":17,""name"":""Train ID"",""value"":"""&amp;A28&amp;"""},{""id"":16,""name"":""Locomotive ID"",""value"":"""&amp;B28&amp;"""},{""id"":130,""name"":""Impact"",""value"":"""&amp;AK28&amp;"""},{""id"":150,""name"":""Time of Event (Mountain Time)"",""value"":"""&amp;TEXT(I28,"hh:mm:ss")&amp;"""},{""id"":151,""name"":""Denver Issue ID"",""value"":"""&amp;"""},{""id"":178,""name"":""Operational Impact"",""value"":"""&amp;redmine_op_impact&amp;"""},{""id"":179,""name"":""Denver Segment Assigned"",""value"":"""&amp;AL28&amp;"""}]}}"&amp;" | curl -X POST -H ""Content-Type: application/json"" -H ""X-Redmine-API-Key: "&amp;redm_api_key&amp;""" "&amp;redm_url&amp;" --data @-"</f>
        <v>echo {"issue":{"subject":"Did not init - Wi-MAX data drops","project_id":79,"tracker_id":40,"status_id":1,"priority_id":2,"assigned_to_id":23,"start_date":"1900-01-00","description":"","custom_fields":[{"id":1,"name":"Subdivision","value":"EC"},{"id":4,"name":"Milepost","value":"23.3301"},{"id":17,"name":"Train ID","value":"116-14"},{"id":16,"name":"Locomotive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ref="AM28" si="57">"start /low /b "&amp;dls3logs&amp;" --loco "&amp;B28&amp;" --day "&amp;TEXT(F28,"YYYY-MM-DD")</f>
        <v>start /low /b %USERPROFILE%\Documents\GitHub\eaglep3\Utilities\DownloadLogsFromS3.py --loco  --day 1900-01-00</v>
      </c>
      <c r="AN28" s="189" t="e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#DIV/0!</v>
      </c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</row>
    <row r="29" spans="1:91" s="1" customFormat="1" x14ac:dyDescent="0.25">
      <c r="A29" s="34" t="s">
        <v>482</v>
      </c>
      <c r="B29" s="7">
        <v>4038</v>
      </c>
      <c r="C29" s="22" t="s">
        <v>201</v>
      </c>
      <c r="D29" s="22" t="s">
        <v>413</v>
      </c>
      <c r="E29" s="13">
        <v>42749.230995370373</v>
      </c>
      <c r="F29" s="13">
        <v>42749.239745370367</v>
      </c>
      <c r="G29" s="7">
        <v>2</v>
      </c>
      <c r="H29" s="22" t="s">
        <v>413</v>
      </c>
      <c r="I29" s="13">
        <v>42749.266030092593</v>
      </c>
      <c r="J29" s="7">
        <v>0</v>
      </c>
      <c r="K29" s="105" t="str">
        <f t="shared" si="0"/>
        <v>4037/4038</v>
      </c>
      <c r="L29" s="22" t="str">
        <f>VLOOKUP(A29,'Trips&amp;Operators'!$C$1:$G$99999,5,FALSE)</f>
        <v>ROBINSON KADDIBA</v>
      </c>
      <c r="M29" s="6">
        <f t="shared" si="1"/>
        <v>2.6284722225682344E-2</v>
      </c>
      <c r="N29" s="7">
        <f t="shared" ref="N29:N60" si="58">24*60*SUM($M29:$M29)</f>
        <v>37.850000004982576</v>
      </c>
      <c r="O29" s="7"/>
      <c r="P29" s="7"/>
      <c r="Q29" s="23"/>
      <c r="R29" s="23"/>
      <c r="S29" s="32">
        <f t="shared" si="2"/>
        <v>1</v>
      </c>
      <c r="T29" s="47" t="str">
        <f t="shared" si="3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04:32:38-700',mode:absolute,to:'2017-01-14 07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29" s="49" t="str">
        <f t="shared" si="5"/>
        <v>N</v>
      </c>
      <c r="X29" s="173">
        <f t="shared" si="41"/>
        <v>1</v>
      </c>
      <c r="Y29" s="64">
        <f t="shared" si="6"/>
        <v>4.3499999999999997E-2</v>
      </c>
      <c r="Z29" s="64">
        <v>23.3</v>
      </c>
      <c r="AA29" s="64">
        <f t="shared" si="8"/>
        <v>23.256499999999999</v>
      </c>
      <c r="AB29" s="61" t="e">
        <f>VLOOKUP(A29,Enforcements!$C$7:$K$15,8,0)</f>
        <v>#N/A</v>
      </c>
      <c r="AC29" s="57" t="e">
        <f>VLOOKUP(A29,Enforcements!$C$7:$E$15,3,0)</f>
        <v>#N/A</v>
      </c>
      <c r="AD29" s="58" t="str">
        <f t="shared" si="9"/>
        <v>0117-14</v>
      </c>
      <c r="AE29" s="87" t="str">
        <f t="shared" si="10"/>
        <v>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 &amp; 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</v>
      </c>
      <c r="AF29" s="84" t="str">
        <f t="shared" si="11"/>
        <v>"C:\Program Files (x86)\AstroGrep\AstroGrep.exe" /spath="%USERPROFILE%\AppData\Local\Temp\OnboardLogs" /stypes="app*4038*20170114*" /stext=" 13:.+((SYSTEM_STATE.+slice.+state.+changed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88" t="str">
        <f t="shared" si="16"/>
        <v>"%USERPROFILE%\Documents\GitHub\eaglep3\Utilities\RefineRTDCRunTimes.py" --tripid 117-14 --locoid 4038 --swversion DE.1.0.8.0 --startMP 204:435 --initTime 2017-01-14T05:32:38 --startdatetime 2017-01-14T05:45:14 --delay 2 --endMP 204:435 --enddatetime 2017-01-14T06:23:05 --enforcementcount 0 &gt;&gt;C:\Users\stu\Documents\GitHub\eaglep3-reporting\EC\2017-01-14-refined-times.txt</v>
      </c>
      <c r="AI29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{"issue":{"subject":"","project_id":79,"tracker_id":40,"status_id":1,"priority_id":2,"assigned_to_id":23,"start_date":"2017-01-14","description":"","custom_fields":[{"id":1,"name":"Subdivision","value":"EC"},{"id":4,"name":"Milepost","value":"23.3"},{"id":17,"name":"Train ID","value":"117-14"},{"id":16,"name":"Locomotive ID","value":"4038"},{"id":130,"name":"Impact","value":""},{"id":150,"name":"Time of Event (Mountain Time)","value":"06:23:05"},{"id":151,"name":"Denver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18"/>
        <v>start /low /b %USERPROFILE%\Documents\GitHub\eaglep3\Utilities\DownloadLogsFromS3.py --loco 4038 --day 2017-01-14</v>
      </c>
      <c r="AN29" s="189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"%USERPROFILE%\AppData\Local\Temp\OnboardLogs"\RTDC4038\*4038*20170114* | grep -SE "(Enforcement Action)|(\[TIMEOUT)|(CHR.+\|PRM\|1\|D.+(SWITCH|SIGNAL).+UNKNOWN)" - &gt;&gt; 2017-01-14-UncaughtWiMAX.txt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492</v>
      </c>
      <c r="B30" s="7">
        <v>4037</v>
      </c>
      <c r="C30" s="22" t="s">
        <v>201</v>
      </c>
      <c r="D30" s="22" t="s">
        <v>662</v>
      </c>
      <c r="E30" s="13">
        <v>42749.274780092594</v>
      </c>
      <c r="F30" s="13">
        <v>42749.278912037036</v>
      </c>
      <c r="G30" s="7">
        <v>1</v>
      </c>
      <c r="H30" s="22" t="s">
        <v>239</v>
      </c>
      <c r="I30" s="13">
        <v>42749.307928240742</v>
      </c>
      <c r="J30" s="7">
        <v>0</v>
      </c>
      <c r="K30" s="105" t="str">
        <f t="shared" si="0"/>
        <v>4037/4038</v>
      </c>
      <c r="L30" s="22" t="str">
        <f>VLOOKUP(A30,'Trips&amp;Operators'!$C$1:$G$99999,5,FALSE)</f>
        <v>ROBINSON KADDIBA</v>
      </c>
      <c r="M30" s="6">
        <f t="shared" si="1"/>
        <v>2.9016203705396038E-2</v>
      </c>
      <c r="N30" s="7">
        <f t="shared" si="58"/>
        <v>41.783333335770294</v>
      </c>
      <c r="O30" s="7"/>
      <c r="P30" s="7"/>
      <c r="Q30" s="23"/>
      <c r="R30" s="23"/>
      <c r="S30" s="32">
        <f t="shared" si="2"/>
        <v>1</v>
      </c>
      <c r="T30" s="47" t="str">
        <f t="shared" si="3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05:35:41-700',mode:absolute,to:'2017-01-14 08:23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30" s="49" t="str">
        <f t="shared" si="5"/>
        <v>N</v>
      </c>
      <c r="X30" s="173">
        <f t="shared" si="41"/>
        <v>1</v>
      </c>
      <c r="Y30" s="64">
        <f t="shared" si="6"/>
        <v>23.298500000000001</v>
      </c>
      <c r="Z30" s="64">
        <f t="shared" ref="Z30:Z61" si="59">RIGHT(H30,LEN(H30)-4)/10000</f>
        <v>1.47E-2</v>
      </c>
      <c r="AA30" s="64">
        <f t="shared" si="8"/>
        <v>23.283799999999999</v>
      </c>
      <c r="AB30" s="61" t="e">
        <f>VLOOKUP(A30,Enforcements!$C$7:$K$15,8,0)</f>
        <v>#N/A</v>
      </c>
      <c r="AC30" s="57" t="e">
        <f>VLOOKUP(A30,Enforcements!$C$7:$E$15,3,0)</f>
        <v>#N/A</v>
      </c>
      <c r="AD30" s="58" t="str">
        <f t="shared" si="9"/>
        <v>0118-14</v>
      </c>
      <c r="AE30" s="87" t="str">
        <f t="shared" si="10"/>
        <v>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 &amp; 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</v>
      </c>
      <c r="AF30" s="84" t="str">
        <f t="shared" si="11"/>
        <v>"C:\Program Files (x86)\AstroGrep\AstroGrep.exe" /spath="%USERPROFILE%\AppData\Local\Temp\OnboardLogs" /stypes="app*4037*20170114*" /stext=" 14:.+((SYSTEM_STATE.+slice.+state.+changed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88" t="str">
        <f t="shared" si="16"/>
        <v>"%USERPROFILE%\Documents\GitHub\eaglep3\Utilities\RefineRTDCRunTimes.py" --tripid 118-14 --locoid 4037 --swversion DE.1.0.8.0 --startMP 204:232985 --initTime 2017-01-14T06:35:41 --startdatetime 2017-01-14T06:41:38 --delay 1 --endMP 204:147 --enddatetime 2017-01-14T07:23:25 --enforcementcount 0 &gt;&gt;C:\Users\stu\Documents\GitHub\eaglep3-reporting\EC\2017-01-14-refined-times.txt</v>
      </c>
      <c r="AI30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{"issue":{"subject":"","project_id":79,"tracker_id":40,"status_id":1,"priority_id":2,"assigned_to_id":23,"start_date":"2017-01-14","description":"","custom_fields":[{"id":1,"name":"Subdivision","value":"EC"},{"id":4,"name":"Milepost","value":"0.0147"},{"id":17,"name":"Train ID","value":"118-14"},{"id":16,"name":"Locomotive ID","value":"4037"},{"id":130,"name":"Impact","value":""},{"id":150,"name":"Time of Event (Mountain Time)","value":"07:23:25"},{"id":151,"name":"Denver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18"/>
        <v>start /low /b %USERPROFILE%\Documents\GitHub\eaglep3\Utilities\DownloadLogsFromS3.py --loco 4037 --day 2017-01-14</v>
      </c>
      <c r="AN30" s="189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"%USERPROFILE%\AppData\Local\Temp\OnboardLogs"\RTDC4037\*4037*20170114* | grep -SE "(Enforcement Action)|(\[TIMEOUT)|(CHR.+\|PRM\|1\|D.+(SWITCH|SIGNAL).+UNKNOWN)" - &gt;&gt; 2017-01-14-UncaughtWiMAX.txt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487</v>
      </c>
      <c r="B31" s="7">
        <v>4003</v>
      </c>
      <c r="C31" s="22" t="s">
        <v>201</v>
      </c>
      <c r="D31" s="22" t="s">
        <v>221</v>
      </c>
      <c r="E31" s="13">
        <v>42749.248680555553</v>
      </c>
      <c r="F31" s="13">
        <v>42749.250335648147</v>
      </c>
      <c r="G31" s="7">
        <v>1</v>
      </c>
      <c r="H31" s="22" t="s">
        <v>663</v>
      </c>
      <c r="I31" s="13">
        <v>42749.278148148151</v>
      </c>
      <c r="J31" s="7">
        <v>0</v>
      </c>
      <c r="K31" s="105" t="str">
        <f t="shared" si="0"/>
        <v>4003/4004</v>
      </c>
      <c r="L31" s="22" t="str">
        <f>VLOOKUP(A31,'Trips&amp;Operators'!$C$1:$G$99999,5,FALSE)</f>
        <v>MAELZER KURT</v>
      </c>
      <c r="M31" s="6">
        <f t="shared" si="1"/>
        <v>2.7812500004074536E-2</v>
      </c>
      <c r="N31" s="7">
        <f t="shared" si="58"/>
        <v>40.050000005867332</v>
      </c>
      <c r="O31" s="7"/>
      <c r="P31" s="7"/>
      <c r="Q31" s="23"/>
      <c r="R31" s="23"/>
      <c r="S31" s="32">
        <f t="shared" si="2"/>
        <v>1</v>
      </c>
      <c r="T31" s="47" t="str">
        <f t="shared" si="3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04:58:06-700',mode:absolute,to:'2017-01-14 07:40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31" s="49" t="str">
        <f t="shared" si="5"/>
        <v>N</v>
      </c>
      <c r="X31" s="173">
        <f t="shared" si="41"/>
        <v>1</v>
      </c>
      <c r="Y31" s="64">
        <f t="shared" si="6"/>
        <v>4.5499999999999999E-2</v>
      </c>
      <c r="Z31" s="64">
        <f t="shared" si="59"/>
        <v>23.328600000000002</v>
      </c>
      <c r="AA31" s="64">
        <f t="shared" si="8"/>
        <v>23.283100000000001</v>
      </c>
      <c r="AB31" s="61" t="e">
        <f>VLOOKUP(A31,Enforcements!$C$7:$K$15,8,0)</f>
        <v>#N/A</v>
      </c>
      <c r="AC31" s="57" t="e">
        <f>VLOOKUP(A31,Enforcements!$C$7:$E$15,3,0)</f>
        <v>#N/A</v>
      </c>
      <c r="AD31" s="58" t="str">
        <f t="shared" si="9"/>
        <v>0119-14</v>
      </c>
      <c r="AE31" s="87" t="str">
        <f t="shared" si="10"/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AF31" s="84" t="str">
        <f t="shared" si="11"/>
        <v>"C:\Program Files (x86)\AstroGrep\AstroGrep.exe" /spath="%USERPROFILE%\AppData\Local\Temp\OnboardLogs" /stypes="app*4003*20170114*" /stext=" 13:.+((SYSTEM_STATE.+slice.+state.+changed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88" t="str">
        <f t="shared" si="16"/>
        <v>"%USERPROFILE%\Documents\GitHub\eaglep3\Utilities\RefineRTDCRunTimes.py" --tripid 119-14 --locoid 4003 --swversion DE.1.0.8.0 --startMP 204:455 --initTime 2017-01-14T05:58:06 --startdatetime 2017-01-14T06:00:29 --delay 1 --endMP 204:233286 --enddatetime 2017-01-14T06:40:32 --enforcementcount 0 &gt;&gt;C:\Users\stu\Documents\GitHub\eaglep3-reporting\EC\2017-01-14-refined-times.txt</v>
      </c>
      <c r="AI31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{"issue":{"subject":"","project_id":79,"tracker_id":40,"status_id":1,"priority_id":2,"assigned_to_id":23,"start_date":"2017-01-14","description":"","custom_fields":[{"id":1,"name":"Subdivision","value":"EC"},{"id":4,"name":"Milepost","value":"23.3286"},{"id":17,"name":"Train ID","value":"119-14"},{"id":16,"name":"Locomotive ID","value":"4003"},{"id":130,"name":"Impact","value":""},{"id":150,"name":"Time of Event (Mountain Time)","value":"06:40:32"},{"id":151,"name":"Denver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18"/>
        <v>start /low /b %USERPROFILE%\Documents\GitHub\eaglep3\Utilities\DownloadLogsFromS3.py --loco 4003 --day 2017-01-14</v>
      </c>
      <c r="AN31" s="189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"%USERPROFILE%\AppData\Local\Temp\OnboardLogs"\RTDC4003\*4003*20170114* | grep -SE "(Enforcement Action)|(\[TIMEOUT)|(CHR.+\|PRM\|1\|D.+(SWITCH|SIGNAL).+UNKNOWN)" - &gt;&gt; 2017-01-14-UncaughtWiMAX.txt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495</v>
      </c>
      <c r="B32" s="7">
        <v>4004</v>
      </c>
      <c r="C32" s="22" t="s">
        <v>201</v>
      </c>
      <c r="D32" s="22" t="s">
        <v>297</v>
      </c>
      <c r="E32" s="13">
        <v>42749.284918981481</v>
      </c>
      <c r="F32" s="13">
        <v>42749.289872685185</v>
      </c>
      <c r="G32" s="7">
        <v>2</v>
      </c>
      <c r="H32" s="22" t="s">
        <v>291</v>
      </c>
      <c r="I32" s="13">
        <v>42749.316296296296</v>
      </c>
      <c r="J32" s="7">
        <v>0</v>
      </c>
      <c r="K32" s="105" t="str">
        <f t="shared" si="0"/>
        <v>4003/4004</v>
      </c>
      <c r="L32" s="22" t="str">
        <f>VLOOKUP(A32,'Trips&amp;Operators'!$C$1:$G$99999,5,FALSE)</f>
        <v>MAELZER KURT</v>
      </c>
      <c r="M32" s="6">
        <f t="shared" si="1"/>
        <v>2.6423611110658385E-2</v>
      </c>
      <c r="N32" s="7">
        <f t="shared" si="58"/>
        <v>38.049999999348074</v>
      </c>
      <c r="O32" s="7"/>
      <c r="P32" s="7"/>
      <c r="Q32" s="23"/>
      <c r="R32" s="23"/>
      <c r="S32" s="32">
        <f t="shared" si="2"/>
        <v>1</v>
      </c>
      <c r="T32" s="47" t="str">
        <f t="shared" si="3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05:50:17-700',mode:absolute,to:'2017-01-14 08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32" s="49" t="str">
        <f t="shared" si="5"/>
        <v>N</v>
      </c>
      <c r="X32" s="173">
        <f t="shared" si="41"/>
        <v>1</v>
      </c>
      <c r="Y32" s="64">
        <f t="shared" si="6"/>
        <v>23.297999999999998</v>
      </c>
      <c r="Z32" s="64">
        <f t="shared" si="59"/>
        <v>1.38E-2</v>
      </c>
      <c r="AA32" s="64">
        <f t="shared" si="8"/>
        <v>23.284199999999998</v>
      </c>
      <c r="AB32" s="61" t="e">
        <f>VLOOKUP(A32,Enforcements!$C$7:$K$15,8,0)</f>
        <v>#N/A</v>
      </c>
      <c r="AC32" s="57" t="e">
        <f>VLOOKUP(A32,Enforcements!$C$7:$E$15,3,0)</f>
        <v>#N/A</v>
      </c>
      <c r="AD32" s="58" t="str">
        <f t="shared" si="9"/>
        <v>0120-14</v>
      </c>
      <c r="AE32" s="87" t="str">
        <f t="shared" si="10"/>
        <v>aws s3 cp s3://rtdc.mdm.uploadarchive.raw/RTDC4004/ "%USERPROFILE%\AppData\Local\Temp\OnboardLogs"\RTDC4004\2017-01-14 --exclude "*" --recursive --include "*20170114*" &amp; "%USERPROFILE%\Documents\GitHub\mrs-test-scripts\Headless Mode &amp; Sideloading\WalkAndUnGZ.bat" "%USERPROFILE%\AppData\Local\Temp\OnboardLogs"\RTDC4004\2017-01-14 &amp; aws s3 cp s3://rtdc.mdm.uploadarchive.raw/RTDC4004/ "%USERPROFILE%\AppData\Local\Temp\OnboardLogs"\RTDC4004\2017-01-15 --exclude "*" --recursive --include "*20170115*" &amp; "%USERPROFILE%\Documents\GitHub\mrs-test-scripts\Headless Mode &amp; Sideloading\WalkAndUnGZ.bat" "%USERPROFILE%\AppData\Local\Temp\OnboardLogs"\RTDC4004\2017-01-15</v>
      </c>
      <c r="AF32" s="84" t="str">
        <f t="shared" si="11"/>
        <v>"C:\Program Files (x86)\AstroGrep\AstroGrep.exe" /spath="%USERPROFILE%\AppData\Local\Temp\OnboardLogs" /stypes="app*4004*20170114*" /stext=" 14:.+((SYSTEM_STATE.+slice.+state.+changed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88" t="str">
        <f t="shared" si="16"/>
        <v>"%USERPROFILE%\Documents\GitHub\eaglep3\Utilities\RefineRTDCRunTimes.py" --tripid 120-14 --locoid 4004 --swversion DE.1.0.8.0 --startMP 204:232980 --initTime 2017-01-14T06:50:17 --startdatetime 2017-01-14T06:57:25 --delay 2 --endMP 204:138 --enddatetime 2017-01-14T07:35:28 --enforcementcount 0 &gt;&gt;C:\Users\stu\Documents\GitHub\eaglep3-reporting\EC\2017-01-14-refined-times.txt</v>
      </c>
      <c r="AI32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{"issue":{"subject":"","project_id":79,"tracker_id":40,"status_id":1,"priority_id":2,"assigned_to_id":23,"start_date":"2017-01-14","description":"","custom_fields":[{"id":1,"name":"Subdivision","value":"EC"},{"id":4,"name":"Milepost","value":"0.0138"},{"id":17,"name":"Train ID","value":"120-14"},{"id":16,"name":"Locomotive ID","value":"4004"},{"id":130,"name":"Impact","value":""},{"id":150,"name":"Time of Event (Mountain Time)","value":"07:35:28"},{"id":151,"name":"Denver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18"/>
        <v>start /low /b %USERPROFILE%\Documents\GitHub\eaglep3\Utilities\DownloadLogsFromS3.py --loco 4004 --day 2017-01-14</v>
      </c>
      <c r="AN32" s="189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"%USERPROFILE%\AppData\Local\Temp\OnboardLogs"\RTDC4004\*4004*20170114* | grep -SE "(Enforcement Action)|(\[TIMEOUT)|(CHR.+\|PRM\|1\|D.+(SWITCH|SIGNAL).+UNKNOWN)" - &gt;&gt; 2017-01-14-UncaughtWiMAX.txt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490</v>
      </c>
      <c r="B33" s="7">
        <v>4027</v>
      </c>
      <c r="C33" s="22" t="s">
        <v>201</v>
      </c>
      <c r="D33" s="22" t="s">
        <v>413</v>
      </c>
      <c r="E33" s="13">
        <v>42749.258958333332</v>
      </c>
      <c r="F33" s="13">
        <v>42749.260601851849</v>
      </c>
      <c r="G33" s="7">
        <v>1</v>
      </c>
      <c r="H33" s="22" t="s">
        <v>405</v>
      </c>
      <c r="I33" s="13">
        <v>42749.290023148147</v>
      </c>
      <c r="J33" s="7">
        <v>0</v>
      </c>
      <c r="K33" s="105" t="str">
        <f t="shared" si="0"/>
        <v>4027/4028</v>
      </c>
      <c r="L33" s="22" t="str">
        <f>VLOOKUP(A33,'Trips&amp;Operators'!$C$1:$G$99999,5,FALSE)</f>
        <v>DAVIS WENDY</v>
      </c>
      <c r="M33" s="6">
        <f t="shared" si="1"/>
        <v>2.9421296298096422E-2</v>
      </c>
      <c r="N33" s="7">
        <f t="shared" si="58"/>
        <v>42.366666669258848</v>
      </c>
      <c r="O33" s="7"/>
      <c r="P33" s="7"/>
      <c r="Q33" s="23"/>
      <c r="R33" s="23"/>
      <c r="S33" s="32">
        <f t="shared" si="2"/>
        <v>1</v>
      </c>
      <c r="T33" s="47" t="str">
        <f t="shared" si="3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05:12:54-700',mode:absolute,to:'2017-01-14 07:57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33" s="49" t="str">
        <f t="shared" si="5"/>
        <v>N</v>
      </c>
      <c r="X33" s="173">
        <f t="shared" si="41"/>
        <v>1</v>
      </c>
      <c r="Y33" s="64">
        <f t="shared" si="6"/>
        <v>4.3499999999999997E-2</v>
      </c>
      <c r="Z33" s="64">
        <f t="shared" si="59"/>
        <v>23.329499999999999</v>
      </c>
      <c r="AA33" s="64">
        <f t="shared" si="8"/>
        <v>23.285999999999998</v>
      </c>
      <c r="AB33" s="61" t="e">
        <f>VLOOKUP(A33,Enforcements!$C$7:$K$15,8,0)</f>
        <v>#N/A</v>
      </c>
      <c r="AC33" s="57" t="e">
        <f>VLOOKUP(A33,Enforcements!$C$7:$E$15,3,0)</f>
        <v>#N/A</v>
      </c>
      <c r="AD33" s="58" t="str">
        <f t="shared" si="9"/>
        <v>0121-14</v>
      </c>
      <c r="AE33" s="87" t="str">
        <f t="shared" si="10"/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AF33" s="84" t="str">
        <f t="shared" si="11"/>
        <v>"C:\Program Files (x86)\AstroGrep\AstroGrep.exe" /spath="%USERPROFILE%\AppData\Local\Temp\OnboardLogs" /stypes="app*4027*20170114*" /stext=" 13:.+((SYSTEM_STATE.+slice.+state.+changed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88" t="str">
        <f t="shared" si="16"/>
        <v>"%USERPROFILE%\Documents\GitHub\eaglep3\Utilities\RefineRTDCRunTimes.py" --tripid 121-14 --locoid 4027 --swversion DE.1.0.8.0 --startMP 204:435 --initTime 2017-01-14T06:12:54 --startdatetime 2017-01-14T06:15:16 --delay 1 --endMP 204:233295 --enddatetime 2017-01-14T06:57:38 --enforcementcount 0 &gt;&gt;C:\Users\stu\Documents\GitHub\eaglep3-reporting\EC\2017-01-14-refined-times.txt</v>
      </c>
      <c r="AI33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{"issue":{"subject":"","project_id":79,"tracker_id":40,"status_id":1,"priority_id":2,"assigned_to_id":23,"start_date":"2017-01-14","description":"","custom_fields":[{"id":1,"name":"Subdivision","value":"EC"},{"id":4,"name":"Milepost","value":"23.3295"},{"id":17,"name":"Train ID","value":"121-14"},{"id":16,"name":"Locomotive ID","value":"4027"},{"id":130,"name":"Impact","value":""},{"id":150,"name":"Time of Event (Mountain Time)","value":"06:57:38"},{"id":151,"name":"Denver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18"/>
        <v>start /low /b %USERPROFILE%\Documents\GitHub\eaglep3\Utilities\DownloadLogsFromS3.py --loco 4027 --day 2017-01-14</v>
      </c>
      <c r="AN33" s="189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"%USERPROFILE%\AppData\Local\Temp\OnboardLogs"\RTDC4027\*4027*20170114* | grep -SE "(Enforcement Action)|(\[TIMEOUT)|(CHR.+\|PRM\|1\|D.+(SWITCH|SIGNAL).+UNKNOWN)" - &gt;&gt; 2017-01-14-UncaughtWiMAX.txt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499</v>
      </c>
      <c r="B34" s="7">
        <v>4028</v>
      </c>
      <c r="C34" s="22" t="s">
        <v>201</v>
      </c>
      <c r="D34" s="22" t="s">
        <v>262</v>
      </c>
      <c r="E34" s="13">
        <v>42749.295868055553</v>
      </c>
      <c r="F34" s="13">
        <v>42749.299467592595</v>
      </c>
      <c r="G34" s="7">
        <v>1</v>
      </c>
      <c r="H34" s="22" t="s">
        <v>261</v>
      </c>
      <c r="I34" s="13">
        <v>42749.327152777776</v>
      </c>
      <c r="J34" s="7">
        <v>0</v>
      </c>
      <c r="K34" s="105" t="str">
        <f t="shared" si="0"/>
        <v>4027/4028</v>
      </c>
      <c r="L34" s="22" t="str">
        <f>VLOOKUP(A34,'Trips&amp;Operators'!$C$1:$G$99999,5,FALSE)</f>
        <v>DAVIS WENDY</v>
      </c>
      <c r="M34" s="6">
        <f t="shared" si="1"/>
        <v>2.7685185181326233E-2</v>
      </c>
      <c r="N34" s="7">
        <f t="shared" si="58"/>
        <v>39.866666661109775</v>
      </c>
      <c r="O34" s="7"/>
      <c r="P34" s="7"/>
      <c r="Q34" s="23"/>
      <c r="R34" s="23"/>
      <c r="S34" s="32">
        <f t="shared" si="2"/>
        <v>1</v>
      </c>
      <c r="T34" s="47" t="str">
        <f t="shared" si="3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06:06:03-700',mode:absolute,to:'2017-01-14 08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34" s="49" t="str">
        <f t="shared" si="5"/>
        <v>N</v>
      </c>
      <c r="X34" s="173">
        <f t="shared" si="41"/>
        <v>1</v>
      </c>
      <c r="Y34" s="64">
        <f t="shared" si="6"/>
        <v>23.2989</v>
      </c>
      <c r="Z34" s="64">
        <f t="shared" si="59"/>
        <v>1.5599999999999999E-2</v>
      </c>
      <c r="AA34" s="64">
        <f t="shared" si="8"/>
        <v>23.283300000000001</v>
      </c>
      <c r="AB34" s="61" t="e">
        <f>VLOOKUP(A34,Enforcements!$C$7:$K$15,8,0)</f>
        <v>#N/A</v>
      </c>
      <c r="AC34" s="57" t="e">
        <f>VLOOKUP(A34,Enforcements!$C$7:$E$15,3,0)</f>
        <v>#N/A</v>
      </c>
      <c r="AD34" s="58" t="str">
        <f t="shared" si="9"/>
        <v>0122-14</v>
      </c>
      <c r="AE34" s="87" t="str">
        <f t="shared" si="10"/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AF34" s="84" t="str">
        <f t="shared" si="11"/>
        <v>"C:\Program Files (x86)\AstroGrep\AstroGrep.exe" /spath="%USERPROFILE%\AppData\Local\Temp\OnboardLogs" /stypes="app*4028*20170114*" /stext=" 14:.+((SYSTEM_STATE.+slice.+state.+changed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88" t="str">
        <f t="shared" si="16"/>
        <v>"%USERPROFILE%\Documents\GitHub\eaglep3\Utilities\RefineRTDCRunTimes.py" --tripid 122-14 --locoid 4028 --swversion DE.1.0.8.0 --startMP 204:232989 --initTime 2017-01-14T07:06:03 --startdatetime 2017-01-14T07:11:14 --delay 1 --endMP 204:156 --enddatetime 2017-01-14T07:51:06 --enforcementcount 0 &gt;&gt;C:\Users\stu\Documents\GitHub\eaglep3-reporting\EC\2017-01-14-refined-times.txt</v>
      </c>
      <c r="AI34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{"issue":{"subject":"","project_id":79,"tracker_id":40,"status_id":1,"priority_id":2,"assigned_to_id":23,"start_date":"2017-01-14","description":"","custom_fields":[{"id":1,"name":"Subdivision","value":"EC"},{"id":4,"name":"Milepost","value":"0.0156"},{"id":17,"name":"Train ID","value":"122-14"},{"id":16,"name":"Locomotive ID","value":"4028"},{"id":130,"name":"Impact","value":""},{"id":150,"name":"Time of Event (Mountain Time)","value":"07:51:06"},{"id":151,"name":"Denver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18"/>
        <v>start /low /b %USERPROFILE%\Documents\GitHub\eaglep3\Utilities\DownloadLogsFromS3.py --loco 4028 --day 2017-01-14</v>
      </c>
      <c r="AN34" s="189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"%USERPROFILE%\AppData\Local\Temp\OnboardLogs"\RTDC4028\*4028*20170114* | grep -SE "(Enforcement Action)|(\[TIMEOUT)|(CHR.+\|PRM\|1\|D.+(SWITCH|SIGNAL).+UNKNOWN)" - &gt;&gt; 2017-01-14-UncaughtWiMAX.txt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491</v>
      </c>
      <c r="B35" s="7">
        <v>4022</v>
      </c>
      <c r="C35" s="22" t="s">
        <v>201</v>
      </c>
      <c r="D35" s="22" t="s">
        <v>192</v>
      </c>
      <c r="E35" s="13">
        <v>42749.266770833332</v>
      </c>
      <c r="F35" s="13">
        <v>42749.270995370367</v>
      </c>
      <c r="G35" s="7">
        <v>1</v>
      </c>
      <c r="H35" s="22" t="s">
        <v>664</v>
      </c>
      <c r="I35" s="13">
        <v>42749.295775462961</v>
      </c>
      <c r="J35" s="7">
        <v>0</v>
      </c>
      <c r="K35" s="105" t="str">
        <f t="shared" si="0"/>
        <v>4021/4022</v>
      </c>
      <c r="L35" s="22" t="str">
        <f>VLOOKUP(A35,'Trips&amp;Operators'!$C$1:$G$99999,5,FALSE)</f>
        <v>OUN ZACK</v>
      </c>
      <c r="M35" s="6">
        <f t="shared" si="1"/>
        <v>2.4780092593573499E-2</v>
      </c>
      <c r="N35" s="7">
        <f t="shared" si="58"/>
        <v>35.683333334745839</v>
      </c>
      <c r="O35" s="7"/>
      <c r="P35" s="7"/>
      <c r="Q35" s="23"/>
      <c r="R35" s="23"/>
      <c r="S35" s="32">
        <f t="shared" si="2"/>
        <v>1</v>
      </c>
      <c r="T35" s="47" t="str">
        <f t="shared" si="3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05:24:09-700',mode:absolute,to:'2017-01-14 08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35" s="49" t="str">
        <f t="shared" si="5"/>
        <v>N</v>
      </c>
      <c r="X35" s="173">
        <f t="shared" si="41"/>
        <v>1</v>
      </c>
      <c r="Y35" s="64">
        <f t="shared" si="6"/>
        <v>4.4699999999999997E-2</v>
      </c>
      <c r="Z35" s="64">
        <f t="shared" si="59"/>
        <v>23.332000000000001</v>
      </c>
      <c r="AA35" s="64">
        <f t="shared" si="8"/>
        <v>23.287300000000002</v>
      </c>
      <c r="AB35" s="61" t="e">
        <f>VLOOKUP(A35,Enforcements!$C$7:$K$15,8,0)</f>
        <v>#N/A</v>
      </c>
      <c r="AC35" s="57" t="e">
        <f>VLOOKUP(A35,Enforcements!$C$7:$E$15,3,0)</f>
        <v>#N/A</v>
      </c>
      <c r="AD35" s="58" t="str">
        <f t="shared" si="9"/>
        <v>0123-14</v>
      </c>
      <c r="AE35" s="87" t="str">
        <f t="shared" si="10"/>
        <v>aws s3 cp s3://rtdc.mdm.uploadarchive.raw/RTDC4022/ "%USERPROFILE%\AppData\Local\Temp\OnboardLogs"\RTDC4022\2017-01-14 --exclude "*" --recursive --include "*20170114*" &amp; "%USERPROFILE%\Documents\GitHub\mrs-test-scripts\Headless Mode &amp; Sideloading\WalkAndUnGZ.bat" "%USERPROFILE%\AppData\Local\Temp\OnboardLogs"\RTDC4022\2017-01-14 &amp; 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</v>
      </c>
      <c r="AF35" s="84" t="str">
        <f t="shared" si="11"/>
        <v>"C:\Program Files (x86)\AstroGrep\AstroGrep.exe" /spath="%USERPROFILE%\AppData\Local\Temp\OnboardLogs" /stypes="app*4022*20170114*"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88" t="str">
        <f t="shared" si="16"/>
        <v>"%USERPROFILE%\Documents\GitHub\eaglep3\Utilities\RefineRTDCRunTimes.py" --tripid 123-14 --locoid 4022 --swversion DE.1.0.8.0 --startMP 204:447 --initTime 2017-01-14T06:24:09 --startdatetime 2017-01-14T06:30:14 --delay 1 --endMP 204:233320 --enddatetime 2017-01-14T07:05:55 --enforcementcount 0 &gt;&gt;C:\Users\stu\Documents\GitHub\eaglep3-reporting\EC\2017-01-14-refined-times.txt</v>
      </c>
      <c r="AI35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{"issue":{"subject":"","project_id":79,"tracker_id":40,"status_id":1,"priority_id":2,"assigned_to_id":23,"start_date":"2017-01-14","description":"","custom_fields":[{"id":1,"name":"Subdivision","value":"EC"},{"id":4,"name":"Milepost","value":"23.332"},{"id":17,"name":"Train ID","value":"123-14"},{"id":16,"name":"Locomotive ID","value":"4022"},{"id":130,"name":"Impact","value":""},{"id":150,"name":"Time of Event (Mountain Time)","value":"07:05:55"},{"id":151,"name":"Denver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18"/>
        <v>start /low /b %USERPROFILE%\Documents\GitHub\eaglep3\Utilities\DownloadLogsFromS3.py --loco 4022 --day 2017-01-14</v>
      </c>
      <c r="AN35" s="189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"%USERPROFILE%\AppData\Local\Temp\OnboardLogs"\RTDC4022\*4022*20170114* | grep -SE "(Enforcement Action)|(\[TIMEOUT)|(CHR.+\|PRM\|1\|D.+(SWITCH|SIGNAL).+UNKNOWN)" - &gt;&gt; 2017-01-14-UncaughtWiMAX.txt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500</v>
      </c>
      <c r="B36" s="7">
        <v>4021</v>
      </c>
      <c r="C36" s="22" t="s">
        <v>201</v>
      </c>
      <c r="D36" s="22" t="s">
        <v>414</v>
      </c>
      <c r="E36" s="13">
        <v>42749.302199074074</v>
      </c>
      <c r="F36" s="13">
        <v>42749.309953703705</v>
      </c>
      <c r="G36" s="7">
        <v>1</v>
      </c>
      <c r="H36" s="22" t="s">
        <v>294</v>
      </c>
      <c r="I36" s="13">
        <v>42749.336261574077</v>
      </c>
      <c r="J36" s="7">
        <v>0</v>
      </c>
      <c r="K36" s="105" t="str">
        <f t="shared" si="0"/>
        <v>4021/4022</v>
      </c>
      <c r="L36" s="22" t="str">
        <f>VLOOKUP(A36,'Trips&amp;Operators'!$C$1:$G$99999,5,FALSE)</f>
        <v>OUN ZACK</v>
      </c>
      <c r="M36" s="6">
        <f t="shared" si="1"/>
        <v>2.6307870371965691E-2</v>
      </c>
      <c r="N36" s="7">
        <f t="shared" si="58"/>
        <v>37.883333335630596</v>
      </c>
      <c r="O36" s="7"/>
      <c r="P36" s="7"/>
      <c r="Q36" s="23"/>
      <c r="R36" s="23"/>
      <c r="S36" s="32">
        <f t="shared" si="2"/>
        <v>1</v>
      </c>
      <c r="T36" s="47" t="str">
        <f t="shared" si="3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06:15:10-700',mode:absolute,to:'2017-01-14 09:04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36" s="49" t="str">
        <f t="shared" si="5"/>
        <v>N</v>
      </c>
      <c r="X36" s="173">
        <f t="shared" si="41"/>
        <v>1</v>
      </c>
      <c r="Y36" s="64">
        <f t="shared" si="6"/>
        <v>23.298999999999999</v>
      </c>
      <c r="Z36" s="64">
        <f t="shared" si="59"/>
        <v>1.61E-2</v>
      </c>
      <c r="AA36" s="64">
        <f t="shared" si="8"/>
        <v>23.282899999999998</v>
      </c>
      <c r="AB36" s="61" t="e">
        <f>VLOOKUP(A36,Enforcements!$C$7:$K$15,8,0)</f>
        <v>#N/A</v>
      </c>
      <c r="AC36" s="57" t="e">
        <f>VLOOKUP(A36,Enforcements!$C$7:$E$15,3,0)</f>
        <v>#N/A</v>
      </c>
      <c r="AD36" s="58" t="str">
        <f t="shared" si="9"/>
        <v>0124-14</v>
      </c>
      <c r="AE36" s="87" t="str">
        <f t="shared" si="10"/>
        <v>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 &amp; 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</v>
      </c>
      <c r="AF36" s="84" t="str">
        <f t="shared" si="11"/>
        <v>"C:\Program Files (x86)\AstroGrep\AstroGrep.exe" /spath="%USERPROFILE%\AppData\Local\Temp\OnboardLogs" /stypes="app*4021*20170114*" /stext=" 15:.+((SYSTEM_STATE.+slice.+state.+changed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88" t="str">
        <f t="shared" si="16"/>
        <v>"%USERPROFILE%\Documents\GitHub\eaglep3\Utilities\RefineRTDCRunTimes.py" --tripid 124-14 --locoid 4021 --swversion DE.1.0.8.0 --startMP 204:232990 --initTime 2017-01-14T07:15:10 --startdatetime 2017-01-14T07:26:20 --delay 1 --endMP 204:161 --enddatetime 2017-01-14T08:04:13 --enforcementcount 0 &gt;&gt;C:\Users\stu\Documents\GitHub\eaglep3-reporting\EC\2017-01-14-refined-times.txt</v>
      </c>
      <c r="AI36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{"issue":{"subject":"","project_id":79,"tracker_id":40,"status_id":1,"priority_id":2,"assigned_to_id":23,"start_date":"2017-01-14","description":"","custom_fields":[{"id":1,"name":"Subdivision","value":"EC"},{"id":4,"name":"Milepost","value":"0.0161"},{"id":17,"name":"Train ID","value":"124-14"},{"id":16,"name":"Locomotive ID","value":"4021"},{"id":130,"name":"Impact","value":""},{"id":150,"name":"Time of Event (Mountain Time)","value":"08:04:13"},{"id":151,"name":"Denver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18"/>
        <v>start /low /b %USERPROFILE%\Documents\GitHub\eaglep3\Utilities\DownloadLogsFromS3.py --loco 4021 --day 2017-01-14</v>
      </c>
      <c r="AN36" s="189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"%USERPROFILE%\AppData\Local\Temp\OnboardLogs"\RTDC4021\*4021*20170114* | grep -SE "(Enforcement Action)|(\[TIMEOUT)|(CHR.+\|PRM\|1\|D.+(SWITCH|SIGNAL).+UNKNOWN)" - &gt;&gt; 2017-01-14-UncaughtWiMAX.txt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494</v>
      </c>
      <c r="B37" s="7">
        <v>4018</v>
      </c>
      <c r="C37" s="22" t="s">
        <v>201</v>
      </c>
      <c r="D37" s="22" t="s">
        <v>665</v>
      </c>
      <c r="E37" s="13">
        <v>42749.27752314815</v>
      </c>
      <c r="F37" s="13">
        <v>42749.281574074077</v>
      </c>
      <c r="G37" s="7">
        <v>1</v>
      </c>
      <c r="H37" s="22" t="s">
        <v>293</v>
      </c>
      <c r="I37" s="13">
        <v>42749.307395833333</v>
      </c>
      <c r="J37" s="7">
        <v>0</v>
      </c>
      <c r="K37" s="105" t="str">
        <f t="shared" si="0"/>
        <v>4017/4018</v>
      </c>
      <c r="L37" s="22" t="str">
        <f>VLOOKUP(A37,'Trips&amp;Operators'!$C$1:$G$99999,5,FALSE)</f>
        <v>LOZA FIDEL</v>
      </c>
      <c r="M37" s="6">
        <f t="shared" si="1"/>
        <v>2.5821759256359655E-2</v>
      </c>
      <c r="N37" s="7">
        <f t="shared" si="58"/>
        <v>37.183333329157904</v>
      </c>
      <c r="O37" s="7"/>
      <c r="P37" s="7"/>
      <c r="Q37" s="23"/>
      <c r="R37" s="23"/>
      <c r="S37" s="32">
        <f t="shared" si="2"/>
        <v>1</v>
      </c>
      <c r="T37" s="47" t="str">
        <f t="shared" si="3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05:39:38-700',mode:absolute,to:'2017-01-14 08:22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37" s="49" t="str">
        <f t="shared" si="5"/>
        <v>N</v>
      </c>
      <c r="X37" s="173">
        <f t="shared" si="41"/>
        <v>1</v>
      </c>
      <c r="Y37" s="64">
        <f t="shared" si="6"/>
        <v>4.8599999999999997E-2</v>
      </c>
      <c r="Z37" s="64">
        <f t="shared" si="59"/>
        <v>23.330400000000001</v>
      </c>
      <c r="AA37" s="64">
        <f t="shared" si="8"/>
        <v>23.2818</v>
      </c>
      <c r="AB37" s="61" t="e">
        <f>VLOOKUP(A37,Enforcements!$C$7:$K$15,8,0)</f>
        <v>#N/A</v>
      </c>
      <c r="AC37" s="57" t="e">
        <f>VLOOKUP(A37,Enforcements!$C$7:$E$15,3,0)</f>
        <v>#N/A</v>
      </c>
      <c r="AD37" s="58" t="str">
        <f t="shared" si="9"/>
        <v>0125-14</v>
      </c>
      <c r="AE37" s="87" t="str">
        <f t="shared" si="10"/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AF37" s="84" t="str">
        <f t="shared" si="11"/>
        <v>"C:\Program Files (x86)\AstroGrep\AstroGrep.exe" /spath="%USERPROFILE%\AppData\Local\Temp\OnboardLogs" /stypes="app*4018*20170114*" /stext=" 14:.+((SYSTEM_STATE.+slice.+state.+changed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88" t="str">
        <f t="shared" si="16"/>
        <v>"%USERPROFILE%\Documents\GitHub\eaglep3\Utilities\RefineRTDCRunTimes.py" --tripid 125-14 --locoid 4018 --swversion DE.1.0.8.0 --startMP 204:486 --initTime 2017-01-14T06:39:38 --startdatetime 2017-01-14T06:45:28 --delay 1 --endMP 204:233304 --enddatetime 2017-01-14T07:22:39 --enforcementcount 0 &gt;&gt;C:\Users\stu\Documents\GitHub\eaglep3-reporting\EC\2017-01-14-refined-times.txt</v>
      </c>
      <c r="AI37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{"issue":{"subject":"","project_id":79,"tracker_id":40,"status_id":1,"priority_id":2,"assigned_to_id":23,"start_date":"2017-01-14","description":"","custom_fields":[{"id":1,"name":"Subdivision","value":"EC"},{"id":4,"name":"Milepost","value":"23.3304"},{"id":17,"name":"Train ID","value":"125-14"},{"id":16,"name":"Locomotive ID","value":"4018"},{"id":130,"name":"Impact","value":""},{"id":150,"name":"Time of Event (Mountain Time)","value":"07:22:39"},{"id":151,"name":"Denver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18"/>
        <v>start /low /b %USERPROFILE%\Documents\GitHub\eaglep3\Utilities\DownloadLogsFromS3.py --loco 4018 --day 2017-01-14</v>
      </c>
      <c r="AN37" s="189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"%USERPROFILE%\AppData\Local\Temp\OnboardLogs"\RTDC4018\*4018*20170114* | grep -SE "(Enforcement Action)|(\[TIMEOUT)|(CHR.+\|PRM\|1\|D.+(SWITCH|SIGNAL).+UNKNOWN)" - &gt;&gt; 2017-01-14-UncaughtWiMAX.txt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503</v>
      </c>
      <c r="B38" s="7">
        <v>4017</v>
      </c>
      <c r="C38" s="22" t="s">
        <v>201</v>
      </c>
      <c r="D38" s="22" t="s">
        <v>299</v>
      </c>
      <c r="E38" s="13">
        <v>42749.318576388891</v>
      </c>
      <c r="F38" s="13">
        <v>42749.320092592592</v>
      </c>
      <c r="G38" s="7">
        <v>1</v>
      </c>
      <c r="H38" s="22" t="s">
        <v>206</v>
      </c>
      <c r="I38" s="13">
        <v>42749.346331018518</v>
      </c>
      <c r="J38" s="7">
        <v>0</v>
      </c>
      <c r="K38" s="105" t="str">
        <f t="shared" si="0"/>
        <v>4017/4018</v>
      </c>
      <c r="L38" s="22" t="str">
        <f>VLOOKUP(A38,'Trips&amp;Operators'!$C$1:$G$99999,5,FALSE)</f>
        <v>LOZA FIDEL</v>
      </c>
      <c r="M38" s="6">
        <f t="shared" si="1"/>
        <v>2.6238425925839692E-2</v>
      </c>
      <c r="N38" s="7">
        <f t="shared" si="58"/>
        <v>37.783333333209157</v>
      </c>
      <c r="O38" s="7"/>
      <c r="P38" s="7"/>
      <c r="Q38" s="23"/>
      <c r="R38" s="23"/>
      <c r="S38" s="32">
        <f t="shared" si="2"/>
        <v>1</v>
      </c>
      <c r="T38" s="47" t="str">
        <f t="shared" si="3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06:38:45-700',mode:absolute,to:'2017-01-14 09:18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38" s="49" t="str">
        <f t="shared" si="5"/>
        <v>N</v>
      </c>
      <c r="X38" s="173">
        <f t="shared" si="41"/>
        <v>1</v>
      </c>
      <c r="Y38" s="64">
        <f t="shared" si="6"/>
        <v>23.299600000000002</v>
      </c>
      <c r="Z38" s="64">
        <f t="shared" si="59"/>
        <v>1.4999999999999999E-2</v>
      </c>
      <c r="AA38" s="64">
        <f t="shared" si="8"/>
        <v>23.284600000000001</v>
      </c>
      <c r="AB38" s="61" t="e">
        <f>VLOOKUP(A38,Enforcements!$C$7:$K$15,8,0)</f>
        <v>#N/A</v>
      </c>
      <c r="AC38" s="57" t="e">
        <f>VLOOKUP(A38,Enforcements!$C$7:$E$15,3,0)</f>
        <v>#N/A</v>
      </c>
      <c r="AD38" s="58" t="str">
        <f t="shared" si="9"/>
        <v>0126-14</v>
      </c>
      <c r="AE38" s="87" t="str">
        <f t="shared" si="10"/>
        <v>aws s3 cp s3://rtdc.mdm.uploadarchive.raw/RTDC4017/ "%USERPROFILE%\AppData\Local\Temp\OnboardLogs"\RTDC4017\2017-01-14 --exclude "*" --recursive --include "*20170114*" &amp; "%USERPROFILE%\Documents\GitHub\mrs-test-scripts\Headless Mode &amp; Sideloading\WalkAndUnGZ.bat" "%USERPROFILE%\AppData\Local\Temp\OnboardLogs"\RTDC4017\2017-01-14 &amp; aws s3 cp s3://rtdc.mdm.uploadarchive.raw/RTDC4017/ "%USERPROFILE%\AppData\Local\Temp\OnboardLogs"\RTDC4017\2017-01-15 --exclude "*" --recursive --include "*20170115*" &amp; "%USERPROFILE%\Documents\GitHub\mrs-test-scripts\Headless Mode &amp; Sideloading\WalkAndUnGZ.bat" "%USERPROFILE%\AppData\Local\Temp\OnboardLogs"\RTDC4017\2017-01-15</v>
      </c>
      <c r="AF38" s="84" t="str">
        <f t="shared" si="11"/>
        <v>"C:\Program Files (x86)\AstroGrep\AstroGrep.exe" /spath="%USERPROFILE%\AppData\Local\Temp\OnboardLogs" /stypes="app*4017*20170114*" /stext=" 15:.+((SYSTEM_STATE.+slice.+state.+changed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88" t="str">
        <f t="shared" si="16"/>
        <v>"%USERPROFILE%\Documents\GitHub\eaglep3\Utilities\RefineRTDCRunTimes.py" --tripid 126-14 --locoid 4017 --swversion DE.1.0.8.0 --startMP 204:232996 --initTime 2017-01-14T07:38:45 --startdatetime 2017-01-14T07:40:56 --delay 1 --endMP 204:150 --enddatetime 2017-01-14T08:18:43 --enforcementcount 0 &gt;&gt;C:\Users\stu\Documents\GitHub\eaglep3-reporting\EC\2017-01-14-refined-times.txt</v>
      </c>
      <c r="AI38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{"issue":{"subject":"","project_id":79,"tracker_id":40,"status_id":1,"priority_id":2,"assigned_to_id":23,"start_date":"2017-01-14","description":"","custom_fields":[{"id":1,"name":"Subdivision","value":"EC"},{"id":4,"name":"Milepost","value":"0.015"},{"id":17,"name":"Train ID","value":"126-14"},{"id":16,"name":"Locomotive ID","value":"4017"},{"id":130,"name":"Impact","value":""},{"id":150,"name":"Time of Event (Mountain Time)","value":"08:18:43"},{"id":151,"name":"Denver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18"/>
        <v>start /low /b %USERPROFILE%\Documents\GitHub\eaglep3\Utilities\DownloadLogsFromS3.py --loco 4017 --day 2017-01-14</v>
      </c>
      <c r="AN38" s="189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"%USERPROFILE%\AppData\Local\Temp\OnboardLogs"\RTDC4017\*4017*20170114* | grep -SE "(Enforcement Action)|(\[TIMEOUT)|(CHR.+\|PRM\|1\|D.+(SWITCH|SIGNAL).+UNKNOWN)" - &gt;&gt; 2017-01-14-UncaughtWiMAX.txt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496</v>
      </c>
      <c r="B39" s="7">
        <v>4014</v>
      </c>
      <c r="C39" s="22" t="s">
        <v>201</v>
      </c>
      <c r="D39" s="22" t="s">
        <v>409</v>
      </c>
      <c r="E39" s="13">
        <v>42749.287361111114</v>
      </c>
      <c r="F39" s="13">
        <v>42749.292268518519</v>
      </c>
      <c r="G39" s="7">
        <v>2</v>
      </c>
      <c r="H39" s="22" t="s">
        <v>405</v>
      </c>
      <c r="I39" s="13">
        <v>42749.316238425927</v>
      </c>
      <c r="J39" s="7">
        <v>0</v>
      </c>
      <c r="K39" s="105" t="str">
        <f t="shared" si="0"/>
        <v>4013/4014</v>
      </c>
      <c r="L39" s="22" t="str">
        <f>VLOOKUP(A39,'Trips&amp;Operators'!$C$1:$G$99999,5,FALSE)</f>
        <v>LEVIN SCOTT</v>
      </c>
      <c r="M39" s="6">
        <f t="shared" si="1"/>
        <v>2.396990740817273E-2</v>
      </c>
      <c r="N39" s="7">
        <f t="shared" si="58"/>
        <v>34.516666667768732</v>
      </c>
      <c r="O39" s="7"/>
      <c r="P39" s="7"/>
      <c r="Q39" s="23"/>
      <c r="R39" s="23"/>
      <c r="S39" s="32">
        <f t="shared" si="2"/>
        <v>1</v>
      </c>
      <c r="T39" s="47" t="str">
        <f t="shared" si="3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05:53:48-700',mode:absolute,to:'2017-01-14 08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39" s="49" t="str">
        <f t="shared" si="5"/>
        <v>N</v>
      </c>
      <c r="X39" s="173">
        <f t="shared" si="41"/>
        <v>1</v>
      </c>
      <c r="Y39" s="64">
        <f t="shared" si="6"/>
        <v>4.4400000000000002E-2</v>
      </c>
      <c r="Z39" s="64">
        <f t="shared" si="59"/>
        <v>23.329499999999999</v>
      </c>
      <c r="AA39" s="64">
        <f t="shared" si="8"/>
        <v>23.2851</v>
      </c>
      <c r="AB39" s="61" t="e">
        <f>VLOOKUP(A39,Enforcements!$C$7:$K$15,8,0)</f>
        <v>#N/A</v>
      </c>
      <c r="AC39" s="57" t="e">
        <f>VLOOKUP(A39,Enforcements!$C$7:$E$15,3,0)</f>
        <v>#N/A</v>
      </c>
      <c r="AD39" s="58" t="str">
        <f t="shared" si="9"/>
        <v>0127-14</v>
      </c>
      <c r="AE39" s="87" t="str">
        <f t="shared" si="10"/>
        <v>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 &amp; 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</v>
      </c>
      <c r="AF39" s="84" t="str">
        <f t="shared" si="11"/>
        <v>"C:\Program Files (x86)\AstroGrep\AstroGrep.exe" /spath="%USERPROFILE%\AppData\Local\Temp\OnboardLogs" /stypes="app*4014*20170114*" /stext=" 14:.+((SYSTEM_STATE.+slice.+state.+changed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88" t="str">
        <f t="shared" si="16"/>
        <v>"%USERPROFILE%\Documents\GitHub\eaglep3\Utilities\RefineRTDCRunTimes.py" --tripid 127-14 --locoid 4014 --swversion DE.1.0.8.0 --startMP 204:444 --initTime 2017-01-14T06:53:48 --startdatetime 2017-01-14T07:00:52 --delay 2 --endMP 204:233295 --enddatetime 2017-01-14T07:35:23 --enforcementcount 0 &gt;&gt;C:\Users\stu\Documents\GitHub\eaglep3-reporting\EC\2017-01-14-refined-times.txt</v>
      </c>
      <c r="AI39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{"issue":{"subject":"","project_id":79,"tracker_id":40,"status_id":1,"priority_id":2,"assigned_to_id":23,"start_date":"2017-01-14","description":"","custom_fields":[{"id":1,"name":"Subdivision","value":"EC"},{"id":4,"name":"Milepost","value":"23.3295"},{"id":17,"name":"Train ID","value":"127-14"},{"id":16,"name":"Locomotive ID","value":"4014"},{"id":130,"name":"Impact","value":""},{"id":150,"name":"Time of Event (Mountain Time)","value":"07:35:23"},{"id":151,"name":"Denver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18"/>
        <v>start /low /b %USERPROFILE%\Documents\GitHub\eaglep3\Utilities\DownloadLogsFromS3.py --loco 4014 --day 2017-01-14</v>
      </c>
      <c r="AN39" s="189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"%USERPROFILE%\AppData\Local\Temp\OnboardLogs"\RTDC4014\*4014*20170114* | grep -SE "(Enforcement Action)|(\[TIMEOUT)|(CHR.+\|PRM\|1\|D.+(SWITCH|SIGNAL).+UNKNOWN)" - &gt;&gt; 2017-01-14-UncaughtWiMAX.txt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505</v>
      </c>
      <c r="B40" s="7">
        <v>4013</v>
      </c>
      <c r="C40" s="22" t="s">
        <v>201</v>
      </c>
      <c r="D40" s="22" t="s">
        <v>253</v>
      </c>
      <c r="E40" s="13">
        <v>42749.327789351853</v>
      </c>
      <c r="F40" s="13">
        <v>42749.330752314818</v>
      </c>
      <c r="G40" s="7">
        <v>1</v>
      </c>
      <c r="H40" s="22" t="s">
        <v>191</v>
      </c>
      <c r="I40" s="13">
        <v>42749.356759259259</v>
      </c>
      <c r="J40" s="7">
        <v>0</v>
      </c>
      <c r="K40" s="105" t="str">
        <f t="shared" si="0"/>
        <v>4013/4014</v>
      </c>
      <c r="L40" s="22" t="str">
        <f>VLOOKUP(A40,'Trips&amp;Operators'!$C$1:$G$99999,5,FALSE)</f>
        <v>BEAM ROSS</v>
      </c>
      <c r="M40" s="6">
        <f t="shared" si="1"/>
        <v>2.6006944441178348E-2</v>
      </c>
      <c r="N40" s="7">
        <f t="shared" si="58"/>
        <v>37.449999995296821</v>
      </c>
      <c r="O40" s="7"/>
      <c r="P40" s="7"/>
      <c r="Q40" s="23"/>
      <c r="R40" s="23"/>
      <c r="S40" s="32">
        <f t="shared" si="2"/>
        <v>1</v>
      </c>
      <c r="T40" s="47" t="str">
        <f t="shared" si="3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06:52:01-700',mode:absolute,to:'2017-01-14 09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40" s="49" t="str">
        <f t="shared" si="5"/>
        <v>N</v>
      </c>
      <c r="X40" s="173">
        <f t="shared" si="41"/>
        <v>1</v>
      </c>
      <c r="Y40" s="64">
        <f t="shared" si="6"/>
        <v>23.2973</v>
      </c>
      <c r="Z40" s="64">
        <f t="shared" si="59"/>
        <v>1.49E-2</v>
      </c>
      <c r="AA40" s="64">
        <f t="shared" si="8"/>
        <v>23.282399999999999</v>
      </c>
      <c r="AB40" s="61" t="e">
        <f>VLOOKUP(A40,Enforcements!$C$7:$K$15,8,0)</f>
        <v>#N/A</v>
      </c>
      <c r="AC40" s="57" t="e">
        <f>VLOOKUP(A40,Enforcements!$C$7:$E$15,3,0)</f>
        <v>#N/A</v>
      </c>
      <c r="AD40" s="58" t="str">
        <f t="shared" si="9"/>
        <v>0128-14</v>
      </c>
      <c r="AE40" s="87" t="str">
        <f t="shared" si="10"/>
        <v>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 &amp; 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</v>
      </c>
      <c r="AF40" s="84" t="str">
        <f t="shared" si="11"/>
        <v>"C:\Program Files (x86)\AstroGrep\AstroGrep.exe" /spath="%USERPROFILE%\AppData\Local\Temp\OnboardLogs" /stypes="app*4013*20170114*" /stext=" 15:.+((SYSTEM_STATE.+slice.+state.+changed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88" t="str">
        <f t="shared" si="16"/>
        <v>"%USERPROFILE%\Documents\GitHub\eaglep3\Utilities\RefineRTDCRunTimes.py" --tripid 128-14 --locoid 4013 --swversion DE.1.0.8.0 --startMP 204:232973 --initTime 2017-01-14T07:52:01 --startdatetime 2017-01-14T07:56:17 --delay 1 --endMP 204:149 --enddatetime 2017-01-14T08:33:44 --enforcementcount 0 &gt;&gt;C:\Users\stu\Documents\GitHub\eaglep3-reporting\EC\2017-01-14-refined-times.txt</v>
      </c>
      <c r="AI40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{"issue":{"subject":"","project_id":79,"tracker_id":40,"status_id":1,"priority_id":2,"assigned_to_id":23,"start_date":"2017-01-14","description":"","custom_fields":[{"id":1,"name":"Subdivision","value":"EC"},{"id":4,"name":"Milepost","value":"0.0149"},{"id":17,"name":"Train ID","value":"128-14"},{"id":16,"name":"Locomotive ID","value":"4013"},{"id":130,"name":"Impact","value":""},{"id":150,"name":"Time of Event (Mountain Time)","value":"08:33:44"},{"id":151,"name":"Denver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18"/>
        <v>start /low /b %USERPROFILE%\Documents\GitHub\eaglep3\Utilities\DownloadLogsFromS3.py --loco 4013 --day 2017-01-14</v>
      </c>
      <c r="AN40" s="189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"%USERPROFILE%\AppData\Local\Temp\OnboardLogs"\RTDC4013\*4013*20170114* | grep -SE "(Enforcement Action)|(\[TIMEOUT)|(CHR.+\|PRM\|1\|D.+(SWITCH|SIGNAL).+UNKNOWN)" - &gt;&gt; 2017-01-14-UncaughtWiMAX.txt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440</v>
      </c>
      <c r="B41" s="7">
        <v>4031</v>
      </c>
      <c r="C41" s="22" t="s">
        <v>201</v>
      </c>
      <c r="D41" s="22" t="s">
        <v>666</v>
      </c>
      <c r="E41" s="13">
        <v>42749.301562499997</v>
      </c>
      <c r="F41" s="13">
        <v>42749.303587962961</v>
      </c>
      <c r="G41" s="7">
        <v>1</v>
      </c>
      <c r="H41" s="22" t="s">
        <v>667</v>
      </c>
      <c r="I41" s="13">
        <v>42749.328819444447</v>
      </c>
      <c r="J41" s="7">
        <v>0</v>
      </c>
      <c r="K41" s="105" t="str">
        <f t="shared" si="0"/>
        <v>4031/4032</v>
      </c>
      <c r="L41" s="22" t="str">
        <f>VLOOKUP(A41,'Trips&amp;Operators'!$C$1:$G$99999,5,FALSE)</f>
        <v>GEBRETEKLE DAGNEW</v>
      </c>
      <c r="M41" s="6">
        <f t="shared" si="1"/>
        <v>2.5231481486116536E-2</v>
      </c>
      <c r="N41" s="7">
        <f t="shared" si="58"/>
        <v>36.333333340007812</v>
      </c>
      <c r="O41" s="7"/>
      <c r="P41" s="7"/>
      <c r="Q41" s="23"/>
      <c r="R41" s="23"/>
      <c r="S41" s="32">
        <f t="shared" si="2"/>
        <v>1</v>
      </c>
      <c r="T41" s="47" t="str">
        <f t="shared" si="3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06:14:15-700',mode:absolute,to:'2017-01-14 08:53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41" s="49" t="str">
        <f t="shared" si="5"/>
        <v>N</v>
      </c>
      <c r="X41" s="173">
        <f t="shared" si="41"/>
        <v>1</v>
      </c>
      <c r="Y41" s="64">
        <f t="shared" si="6"/>
        <v>4.82E-2</v>
      </c>
      <c r="Z41" s="64">
        <f t="shared" si="59"/>
        <v>23.333200000000001</v>
      </c>
      <c r="AA41" s="64">
        <f t="shared" si="8"/>
        <v>23.285</v>
      </c>
      <c r="AB41" s="61" t="e">
        <f>VLOOKUP(A41,Enforcements!$C$7:$K$15,8,0)</f>
        <v>#N/A</v>
      </c>
      <c r="AC41" s="57" t="e">
        <f>VLOOKUP(A41,Enforcements!$C$7:$E$15,3,0)</f>
        <v>#N/A</v>
      </c>
      <c r="AD41" s="58" t="str">
        <f t="shared" si="9"/>
        <v>0129-14</v>
      </c>
      <c r="AE41" s="87" t="str">
        <f t="shared" si="10"/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AF41" s="84" t="str">
        <f t="shared" si="11"/>
        <v>"C:\Program Files (x86)\AstroGrep\AstroGrep.exe" /spath="%USERPROFILE%\AppData\Local\Temp\OnboardLogs" /stypes="app*4031*20170114*" /stext=" 14:.+((SYSTEM_STATE.+slice.+state.+changed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88" t="str">
        <f t="shared" si="16"/>
        <v>"%USERPROFILE%\Documents\GitHub\eaglep3\Utilities\RefineRTDCRunTimes.py" --tripid 129-14 --locoid 4031 --swversion DE.1.0.8.0 --startMP 204:482 --initTime 2017-01-14T07:14:15 --startdatetime 2017-01-14T07:17:10 --delay 1 --endMP 204:233332 --enddatetime 2017-01-14T07:53:30 --enforcementcount 0 &gt;&gt;C:\Users\stu\Documents\GitHub\eaglep3-reporting\EC\2017-01-14-refined-times.txt</v>
      </c>
      <c r="AI41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{"issue":{"subject":"","project_id":79,"tracker_id":40,"status_id":1,"priority_id":2,"assigned_to_id":23,"start_date":"2017-01-14","description":"","custom_fields":[{"id":1,"name":"Subdivision","value":"EC"},{"id":4,"name":"Milepost","value":"23.3332"},{"id":17,"name":"Train ID","value":"129-14"},{"id":16,"name":"Locomotive ID","value":"4031"},{"id":130,"name":"Impact","value":""},{"id":150,"name":"Time of Event (Mountain Time)","value":"07:53:30"},{"id":151,"name":"Denver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18"/>
        <v>start /low /b %USERPROFILE%\Documents\GitHub\eaglep3\Utilities\DownloadLogsFromS3.py --loco 4031 --day 2017-01-14</v>
      </c>
      <c r="AN41" s="189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"%USERPROFILE%\AppData\Local\Temp\OnboardLogs"\RTDC4031\*4031*20170114* | grep -SE "(Enforcement Action)|(\[TIMEOUT)|(CHR.+\|PRM\|1\|D.+(SWITCH|SIGNAL).+UNKNOWN)" - &gt;&gt; 2017-01-14-UncaughtWiMAX.txt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508</v>
      </c>
      <c r="B42" s="7">
        <v>4032</v>
      </c>
      <c r="C42" s="22" t="s">
        <v>201</v>
      </c>
      <c r="D42" s="22" t="s">
        <v>283</v>
      </c>
      <c r="E42" s="13">
        <v>42749.337280092594</v>
      </c>
      <c r="F42" s="13">
        <v>42749.341319444444</v>
      </c>
      <c r="G42" s="7">
        <v>1</v>
      </c>
      <c r="H42" s="22" t="s">
        <v>404</v>
      </c>
      <c r="I42" s="13">
        <v>42749.366851851853</v>
      </c>
      <c r="J42" s="7">
        <v>0</v>
      </c>
      <c r="K42" s="105" t="str">
        <f t="shared" si="0"/>
        <v>4031/4032</v>
      </c>
      <c r="L42" s="22" t="str">
        <f>VLOOKUP(A42,'Trips&amp;Operators'!$C$1:$G$99999,5,FALSE)</f>
        <v>GEBRETEKLE DAGNEW</v>
      </c>
      <c r="M42" s="6">
        <f t="shared" si="1"/>
        <v>2.5532407409627922E-2</v>
      </c>
      <c r="N42" s="7">
        <f t="shared" si="58"/>
        <v>36.766666669864208</v>
      </c>
      <c r="O42" s="7"/>
      <c r="P42" s="7"/>
      <c r="Q42" s="23"/>
      <c r="R42" s="23"/>
      <c r="S42" s="32">
        <f t="shared" si="2"/>
        <v>1</v>
      </c>
      <c r="T42" s="47" t="str">
        <f t="shared" si="3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07:05:41-700',mode:absolute,to:'2017-01-14 09:48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42" s="49" t="str">
        <f t="shared" si="5"/>
        <v>N</v>
      </c>
      <c r="X42" s="173">
        <f t="shared" si="41"/>
        <v>1</v>
      </c>
      <c r="Y42" s="64">
        <f t="shared" si="6"/>
        <v>23.300599999999999</v>
      </c>
      <c r="Z42" s="64">
        <f t="shared" si="59"/>
        <v>1.43E-2</v>
      </c>
      <c r="AA42" s="64">
        <f t="shared" si="8"/>
        <v>23.286300000000001</v>
      </c>
      <c r="AB42" s="61" t="e">
        <f>VLOOKUP(A42,Enforcements!$C$7:$K$15,8,0)</f>
        <v>#N/A</v>
      </c>
      <c r="AC42" s="57" t="e">
        <f>VLOOKUP(A42,Enforcements!$C$7:$E$15,3,0)</f>
        <v>#N/A</v>
      </c>
      <c r="AD42" s="58" t="str">
        <f t="shared" si="9"/>
        <v>0130-14</v>
      </c>
      <c r="AE42" s="87" t="str">
        <f t="shared" si="10"/>
        <v>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 &amp; 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</v>
      </c>
      <c r="AF42" s="84" t="str">
        <f t="shared" si="11"/>
        <v>"C:\Program Files (x86)\AstroGrep\AstroGrep.exe" /spath="%USERPROFILE%\AppData\Local\Temp\OnboardLogs" /stypes="app*4032*20170114*" /stext=" 15:.+((SYSTEM_STATE.+slice.+state.+changed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88" t="str">
        <f t="shared" si="16"/>
        <v>"%USERPROFILE%\Documents\GitHub\eaglep3\Utilities\RefineRTDCRunTimes.py" --tripid 130-14 --locoid 4032 --swversion DE.1.0.8.0 --startMP 204:233006 --initTime 2017-01-14T08:05:41 --startdatetime 2017-01-14T08:11:30 --delay 1 --endMP 204:143 --enddatetime 2017-01-14T08:48:16 --enforcementcount 0 &gt;&gt;C:\Users\stu\Documents\GitHub\eaglep3-reporting\EC\2017-01-14-refined-times.txt</v>
      </c>
      <c r="AI42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{"issue":{"subject":"","project_id":79,"tracker_id":40,"status_id":1,"priority_id":2,"assigned_to_id":23,"start_date":"2017-01-14","description":"","custom_fields":[{"id":1,"name":"Subdivision","value":"EC"},{"id":4,"name":"Milepost","value":"0.0143"},{"id":17,"name":"Train ID","value":"130-14"},{"id":16,"name":"Locomotive ID","value":"4032"},{"id":130,"name":"Impact","value":""},{"id":150,"name":"Time of Event (Mountain Time)","value":"08:48:16"},{"id":151,"name":"Denver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18"/>
        <v>start /low /b %USERPROFILE%\Documents\GitHub\eaglep3\Utilities\DownloadLogsFromS3.py --loco 4032 --day 2017-01-14</v>
      </c>
      <c r="AN42" s="189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"%USERPROFILE%\AppData\Local\Temp\OnboardLogs"\RTDC4032\*4032*20170114* | grep -SE "(Enforcement Action)|(\[TIMEOUT)|(CHR.+\|PRM\|1\|D.+(SWITCH|SIGNAL).+UNKNOWN)" - &gt;&gt; 2017-01-14-UncaughtWiMAX.txt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501</v>
      </c>
      <c r="B43" s="7">
        <v>4038</v>
      </c>
      <c r="C43" s="22" t="s">
        <v>201</v>
      </c>
      <c r="D43" s="22" t="s">
        <v>244</v>
      </c>
      <c r="E43" s="13">
        <v>42749.309664351851</v>
      </c>
      <c r="F43" s="13">
        <v>42749.312662037039</v>
      </c>
      <c r="G43" s="7">
        <v>1</v>
      </c>
      <c r="H43" s="22" t="s">
        <v>663</v>
      </c>
      <c r="I43" s="13">
        <v>42749.337222222224</v>
      </c>
      <c r="J43" s="7">
        <v>0</v>
      </c>
      <c r="K43" s="105" t="str">
        <f t="shared" si="0"/>
        <v>4037/4038</v>
      </c>
      <c r="L43" s="22" t="str">
        <f>VLOOKUP(A43,'Trips&amp;Operators'!$C$1:$G$99999,5,FALSE)</f>
        <v>ROBINSON KADDIBA</v>
      </c>
      <c r="M43" s="6">
        <f t="shared" si="1"/>
        <v>2.4560185185691807E-2</v>
      </c>
      <c r="N43" s="7">
        <f t="shared" si="58"/>
        <v>35.366666667396203</v>
      </c>
      <c r="O43" s="7"/>
      <c r="P43" s="7"/>
      <c r="Q43" s="23"/>
      <c r="R43" s="23"/>
      <c r="S43" s="32">
        <f t="shared" si="2"/>
        <v>1</v>
      </c>
      <c r="T43" s="47" t="str">
        <f t="shared" si="3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06:25:55-700',mode:absolute,to:'2017-01-14 09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43" s="49" t="str">
        <f t="shared" si="5"/>
        <v>N</v>
      </c>
      <c r="X43" s="173">
        <f t="shared" si="41"/>
        <v>1</v>
      </c>
      <c r="Y43" s="64">
        <f t="shared" si="6"/>
        <v>4.6199999999999998E-2</v>
      </c>
      <c r="Z43" s="64">
        <f t="shared" si="59"/>
        <v>23.328600000000002</v>
      </c>
      <c r="AA43" s="64">
        <f t="shared" si="8"/>
        <v>23.282400000000003</v>
      </c>
      <c r="AB43" s="61" t="e">
        <f>VLOOKUP(A43,Enforcements!$C$7:$K$15,8,0)</f>
        <v>#N/A</v>
      </c>
      <c r="AC43" s="57" t="e">
        <f>VLOOKUP(A43,Enforcements!$C$7:$E$15,3,0)</f>
        <v>#N/A</v>
      </c>
      <c r="AD43" s="58" t="str">
        <f t="shared" si="9"/>
        <v>0131-14</v>
      </c>
      <c r="AE43" s="87" t="str">
        <f t="shared" si="10"/>
        <v>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 &amp; 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</v>
      </c>
      <c r="AF43" s="84" t="str">
        <f t="shared" si="11"/>
        <v>"C:\Program Files (x86)\AstroGrep\AstroGrep.exe" /spath="%USERPROFILE%\AppData\Local\Temp\OnboardLogs" /stypes="app*4038*20170114*"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88" t="str">
        <f t="shared" si="16"/>
        <v>"%USERPROFILE%\Documents\GitHub\eaglep3\Utilities\RefineRTDCRunTimes.py" --tripid 131-14 --locoid 4038 --swversion DE.1.0.8.0 --startMP 204:462 --initTime 2017-01-14T07:25:55 --startdatetime 2017-01-14T07:30:14 --delay 1 --endMP 204:233286 --enddatetime 2017-01-14T08:05:36 --enforcementcount 0 &gt;&gt;C:\Users\stu\Documents\GitHub\eaglep3-reporting\EC\2017-01-14-refined-times.txt</v>
      </c>
      <c r="AI43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{"issue":{"subject":"","project_id":79,"tracker_id":40,"status_id":1,"priority_id":2,"assigned_to_id":23,"start_date":"2017-01-14","description":"","custom_fields":[{"id":1,"name":"Subdivision","value":"EC"},{"id":4,"name":"Milepost","value":"23.3286"},{"id":17,"name":"Train ID","value":"131-14"},{"id":16,"name":"Locomotive ID","value":"4038"},{"id":130,"name":"Impact","value":""},{"id":150,"name":"Time of Event (Mountain Time)","value":"08:05:36"},{"id":151,"name":"Denver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18"/>
        <v>start /low /b %USERPROFILE%\Documents\GitHub\eaglep3\Utilities\DownloadLogsFromS3.py --loco 4038 --day 2017-01-14</v>
      </c>
      <c r="AN43" s="189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"%USERPROFILE%\AppData\Local\Temp\OnboardLogs"\RTDC4038\*4038*20170114* | grep -SE "(Enforcement Action)|(\[TIMEOUT)|(CHR.+\|PRM\|1\|D.+(SWITCH|SIGNAL).+UNKNOWN)" - &gt;&gt; 2017-01-14-UncaughtWiMAX.txt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441</v>
      </c>
      <c r="B44" s="7">
        <v>4037</v>
      </c>
      <c r="C44" s="22" t="s">
        <v>201</v>
      </c>
      <c r="D44" s="22" t="s">
        <v>285</v>
      </c>
      <c r="E44" s="13">
        <v>42749.346539351849</v>
      </c>
      <c r="F44" s="13">
        <v>42749.351550925923</v>
      </c>
      <c r="G44" s="7">
        <v>1</v>
      </c>
      <c r="H44" s="22" t="s">
        <v>239</v>
      </c>
      <c r="I44" s="13">
        <v>42749.378125000003</v>
      </c>
      <c r="J44" s="7">
        <v>0</v>
      </c>
      <c r="K44" s="105" t="str">
        <f t="shared" si="0"/>
        <v>4037/4038</v>
      </c>
      <c r="L44" s="22" t="str">
        <f>VLOOKUP(A44,'Trips&amp;Operators'!$C$1:$G$99999,5,FALSE)</f>
        <v>ROBINSON KADDIBA</v>
      </c>
      <c r="M44" s="6">
        <f t="shared" si="1"/>
        <v>2.6574074079690035E-2</v>
      </c>
      <c r="N44" s="7">
        <f t="shared" si="58"/>
        <v>38.266666674753651</v>
      </c>
      <c r="O44" s="7"/>
      <c r="P44" s="7"/>
      <c r="Q44" s="23"/>
      <c r="R44" s="23"/>
      <c r="S44" s="32">
        <f t="shared" si="2"/>
        <v>1</v>
      </c>
      <c r="T44" s="47" t="str">
        <f t="shared" si="3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07:19:01-700',mode:absolute,to:'2017-01-14 10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44" s="49" t="str">
        <f t="shared" si="5"/>
        <v>N</v>
      </c>
      <c r="X44" s="173">
        <f t="shared" si="41"/>
        <v>1</v>
      </c>
      <c r="Y44" s="64">
        <f t="shared" si="6"/>
        <v>23.296900000000001</v>
      </c>
      <c r="Z44" s="64">
        <f t="shared" si="59"/>
        <v>1.47E-2</v>
      </c>
      <c r="AA44" s="64">
        <f t="shared" si="8"/>
        <v>23.2822</v>
      </c>
      <c r="AB44" s="61" t="str">
        <f>VLOOKUP(A44,Enforcements!$C$7:$K$15,8,0)</f>
        <v>Bulletin (2)</v>
      </c>
      <c r="AC44" s="57" t="str">
        <f>VLOOKUP(A44,Enforcements!$C$7:$E$15,3,0)</f>
        <v>GRADE CROSSING</v>
      </c>
      <c r="AD44" s="58" t="str">
        <f t="shared" si="9"/>
        <v>0132-14</v>
      </c>
      <c r="AE44" s="87" t="str">
        <f t="shared" si="10"/>
        <v>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 &amp; 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</v>
      </c>
      <c r="AF44" s="84" t="str">
        <f t="shared" si="11"/>
        <v>"C:\Program Files (x86)\AstroGrep\AstroGrep.exe" /spath="%USERPROFILE%\AppData\Local\Temp\OnboardLogs" /stypes="app*4037*20170114*" /stext=" 16:.+((SYSTEM_STATE.+slice.+state.+changed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88" t="str">
        <f t="shared" si="16"/>
        <v>"%USERPROFILE%\Documents\GitHub\eaglep3\Utilities\RefineRTDCRunTimes.py" --tripid 132-14 --locoid 4037 --swversion DE.1.0.8.0 --startMP 204:232969 --initTime 2017-01-14T08:19:01 --startdatetime 2017-01-14T08:26:14 --delay 1 --endMP 204:147 --enddatetime 2017-01-14T09:04:30 --enforcementcount 0 &gt;&gt;C:\Users\stu\Documents\GitHub\eaglep3-reporting\EC\2017-01-14-refined-times.txt</v>
      </c>
      <c r="AI44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{"issue":{"subject":"","project_id":79,"tracker_id":40,"status_id":1,"priority_id":2,"assigned_to_id":23,"start_date":"2017-01-14","description":"","custom_fields":[{"id":1,"name":"Subdivision","value":"EC"},{"id":4,"name":"Milepost","value":"0.0147"},{"id":17,"name":"Train ID","value":"132-14"},{"id":16,"name":"Locomotive ID","value":"4037"},{"id":130,"name":"Impact","value":""},{"id":150,"name":"Time of Event (Mountain Time)","value":"09:04:30"},{"id":151,"name":"Denver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18"/>
        <v>start /low /b %USERPROFILE%\Documents\GitHub\eaglep3\Utilities\DownloadLogsFromS3.py --loco 4037 --day 2017-01-14</v>
      </c>
      <c r="AN44" s="189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"%USERPROFILE%\AppData\Local\Temp\OnboardLogs"\RTDC4037\*4037*20170114* | grep -SE "(Enforcement Action)|(\[TIMEOUT)|(CHR.+\|PRM\|1\|D.+(SWITCH|SIGNAL).+UNKNOWN)" - &gt;&gt; 2017-01-14-UncaughtWiMAX.txt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502</v>
      </c>
      <c r="B45" s="7">
        <v>4003</v>
      </c>
      <c r="C45" s="22" t="s">
        <v>201</v>
      </c>
      <c r="D45" s="22" t="s">
        <v>300</v>
      </c>
      <c r="E45" s="13">
        <v>42749.31827546296</v>
      </c>
      <c r="F45" s="13">
        <v>42749.323287037034</v>
      </c>
      <c r="G45" s="7">
        <v>1</v>
      </c>
      <c r="H45" s="22" t="s">
        <v>410</v>
      </c>
      <c r="I45" s="13">
        <v>42749.348587962966</v>
      </c>
      <c r="J45" s="7">
        <v>0</v>
      </c>
      <c r="K45" s="105" t="str">
        <f t="shared" si="0"/>
        <v>4003/4004</v>
      </c>
      <c r="L45" s="22" t="str">
        <f>VLOOKUP(A45,'Trips&amp;Operators'!$C$1:$G$99999,5,FALSE)</f>
        <v>MAELZER KURT</v>
      </c>
      <c r="M45" s="6">
        <f t="shared" si="1"/>
        <v>2.5300925932242535E-2</v>
      </c>
      <c r="N45" s="7">
        <f t="shared" si="58"/>
        <v>36.43333334242925</v>
      </c>
      <c r="O45" s="7"/>
      <c r="P45" s="7"/>
      <c r="Q45" s="23"/>
      <c r="R45" s="23"/>
      <c r="S45" s="32">
        <f t="shared" si="2"/>
        <v>1</v>
      </c>
      <c r="T45" s="47" t="str">
        <f t="shared" si="3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06:38:19-700',mode:absolute,to:'2017-01-14 09:21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45" s="49" t="str">
        <f t="shared" si="5"/>
        <v>N</v>
      </c>
      <c r="X45" s="173">
        <f t="shared" si="41"/>
        <v>1</v>
      </c>
      <c r="Y45" s="64">
        <f t="shared" si="6"/>
        <v>4.7699999999999999E-2</v>
      </c>
      <c r="Z45" s="64">
        <f t="shared" si="59"/>
        <v>23.330200000000001</v>
      </c>
      <c r="AA45" s="64">
        <f t="shared" si="8"/>
        <v>23.282500000000002</v>
      </c>
      <c r="AB45" s="61" t="e">
        <f>VLOOKUP(A45,Enforcements!$C$7:$K$15,8,0)</f>
        <v>#N/A</v>
      </c>
      <c r="AC45" s="57" t="e">
        <f>VLOOKUP(A45,Enforcements!$C$7:$E$15,3,0)</f>
        <v>#N/A</v>
      </c>
      <c r="AD45" s="58" t="str">
        <f t="shared" si="9"/>
        <v>0133-14</v>
      </c>
      <c r="AE45" s="87" t="str">
        <f t="shared" si="10"/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AF45" s="84" t="str">
        <f t="shared" si="11"/>
        <v>"C:\Program Files (x86)\AstroGrep\AstroGrep.exe" /spath="%USERPROFILE%\AppData\Local\Temp\OnboardLogs" /stypes="app*4003*20170114*" /stext=" 15:.+((SYSTEM_STATE.+slice.+state.+changed )|(ment ac)|(multiple cpu faults)|(system.+state.+changed )|(\[timeout)|(PRM\|1\|D)|(kpr)|(kdp)|(\|lc)|(penalty))" /e /r /s</v>
      </c>
      <c r="AG45" s="1" t="str">
        <f t="shared" si="12"/>
        <v>EC</v>
      </c>
      <c r="AH45" s="88" t="str">
        <f t="shared" si="16"/>
        <v>"%USERPROFILE%\Documents\GitHub\eaglep3\Utilities\RefineRTDCRunTimes.py" --tripid 133-14 --locoid 4003 --swversion DE.1.0.8.0 --startMP 204:477 --initTime 2017-01-14T07:38:19 --startdatetime 2017-01-14T07:45:32 --delay 1 --endMP 204:233302 --enddatetime 2017-01-14T08:21:58 --enforcementcount 0 &gt;&gt;C:\Users\stu\Documents\GitHub\eaglep3-reporting\EC\2017-01-14-refined-times.txt</v>
      </c>
      <c r="AI45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{"issue":{"subject":"","project_id":79,"tracker_id":40,"status_id":1,"priority_id":2,"assigned_to_id":23,"start_date":"2017-01-14","description":"","custom_fields":[{"id":1,"name":"Subdivision","value":"EC"},{"id":4,"name":"Milepost","value":"23.3302"},{"id":17,"name":"Train ID","value":"133-14"},{"id":16,"name":"Locomotive ID","value":"4003"},{"id":130,"name":"Impact","value":""},{"id":150,"name":"Time of Event (Mountain Time)","value":"08:21:58"},{"id":151,"name":"Denver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18"/>
        <v>start /low /b %USERPROFILE%\Documents\GitHub\eaglep3\Utilities\DownloadLogsFromS3.py --loco 4003 --day 2017-01-14</v>
      </c>
      <c r="AN45" s="189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"%USERPROFILE%\AppData\Local\Temp\OnboardLogs"\RTDC4003\*4003*20170114* | grep -SE "(Enforcement Action)|(\[TIMEOUT)|(CHR.+\|PRM\|1\|D.+(SWITCH|SIGNAL).+UNKNOWN)" - &gt;&gt; 2017-01-14-UncaughtWiMAX.txt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511</v>
      </c>
      <c r="B46" s="7">
        <v>4004</v>
      </c>
      <c r="C46" s="22" t="s">
        <v>201</v>
      </c>
      <c r="D46" s="22" t="s">
        <v>299</v>
      </c>
      <c r="E46" s="13">
        <v>42749.358634259261</v>
      </c>
      <c r="F46" s="13">
        <v>42749.36215277778</v>
      </c>
      <c r="G46" s="7">
        <v>1</v>
      </c>
      <c r="H46" s="22" t="s">
        <v>321</v>
      </c>
      <c r="I46" s="13">
        <v>42749.388749999998</v>
      </c>
      <c r="J46" s="7">
        <v>0</v>
      </c>
      <c r="K46" s="105" t="str">
        <f t="shared" si="0"/>
        <v>4003/4004</v>
      </c>
      <c r="L46" s="22" t="str">
        <f>VLOOKUP(A46,'Trips&amp;Operators'!$C$1:$G$99999,5,FALSE)</f>
        <v>MAELZER KURT</v>
      </c>
      <c r="M46" s="6">
        <f t="shared" si="1"/>
        <v>2.6597222218697425E-2</v>
      </c>
      <c r="N46" s="7">
        <f t="shared" si="58"/>
        <v>38.299999994924292</v>
      </c>
      <c r="O46" s="7"/>
      <c r="P46" s="7"/>
      <c r="Q46" s="23"/>
      <c r="R46" s="23"/>
      <c r="S46" s="32">
        <f t="shared" si="2"/>
        <v>1</v>
      </c>
      <c r="T46" s="47" t="str">
        <f t="shared" si="3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07:36:26-700',mode:absolute,to:'2017-01-14 10:19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46" s="49" t="str">
        <f t="shared" si="5"/>
        <v>N</v>
      </c>
      <c r="X46" s="173">
        <f t="shared" si="41"/>
        <v>1</v>
      </c>
      <c r="Y46" s="64">
        <f t="shared" si="6"/>
        <v>23.299600000000002</v>
      </c>
      <c r="Z46" s="64">
        <f t="shared" si="59"/>
        <v>1.29E-2</v>
      </c>
      <c r="AA46" s="64">
        <f t="shared" si="8"/>
        <v>23.286700000000003</v>
      </c>
      <c r="AB46" s="61" t="e">
        <f>VLOOKUP(A46,Enforcements!$C$7:$K$15,8,0)</f>
        <v>#N/A</v>
      </c>
      <c r="AC46" s="57" t="e">
        <f>VLOOKUP(A46,Enforcements!$C$7:$E$15,3,0)</f>
        <v>#N/A</v>
      </c>
      <c r="AD46" s="58" t="str">
        <f t="shared" si="9"/>
        <v>0134-14</v>
      </c>
      <c r="AE46" s="87" t="str">
        <f t="shared" si="10"/>
        <v>aws s3 cp s3://rtdc.mdm.uploadarchive.raw/RTDC4004/ "%USERPROFILE%\AppData\Local\Temp\OnboardLogs"\RTDC4004\2017-01-14 --exclude "*" --recursive --include "*20170114*" &amp; "%USERPROFILE%\Documents\GitHub\mrs-test-scripts\Headless Mode &amp; Sideloading\WalkAndUnGZ.bat" "%USERPROFILE%\AppData\Local\Temp\OnboardLogs"\RTDC4004\2017-01-14 &amp; aws s3 cp s3://rtdc.mdm.uploadarchive.raw/RTDC4004/ "%USERPROFILE%\AppData\Local\Temp\OnboardLogs"\RTDC4004\2017-01-15 --exclude "*" --recursive --include "*20170115*" &amp; "%USERPROFILE%\Documents\GitHub\mrs-test-scripts\Headless Mode &amp; Sideloading\WalkAndUnGZ.bat" "%USERPROFILE%\AppData\Local\Temp\OnboardLogs"\RTDC4004\2017-01-15</v>
      </c>
      <c r="AF46" s="84" t="str">
        <f t="shared" si="11"/>
        <v>"C:\Program Files (x86)\AstroGrep\AstroGrep.exe" /spath="%USERPROFILE%\AppData\Local\Temp\OnboardLogs" /stypes="app*4004*20170114*" /stext=" 16:.+((SYSTEM_STATE.+slice.+state.+changed )|(ment ac)|(multiple cpu faults)|(system.+state.+changed )|(\[timeout)|(PRM\|1\|D)|(kpr)|(kdp)|(\|lc)|(penalty))" /e /r /s</v>
      </c>
      <c r="AG46" s="1" t="str">
        <f t="shared" si="12"/>
        <v>EC</v>
      </c>
      <c r="AH46" s="88" t="str">
        <f t="shared" si="16"/>
        <v>"%USERPROFILE%\Documents\GitHub\eaglep3\Utilities\RefineRTDCRunTimes.py" --tripid 134-14 --locoid 4004 --swversion DE.1.0.8.0 --startMP 204:232996 --initTime 2017-01-14T08:36:26 --startdatetime 2017-01-14T08:41:30 --delay 1 --endMP 204:129 --enddatetime 2017-01-14T09:19:48 --enforcementcount 0 &gt;&gt;C:\Users\stu\Documents\GitHub\eaglep3-reporting\EC\2017-01-14-refined-times.txt</v>
      </c>
      <c r="AI46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{"issue":{"subject":"","project_id":79,"tracker_id":40,"status_id":1,"priority_id":2,"assigned_to_id":23,"start_date":"2017-01-14","description":"","custom_fields":[{"id":1,"name":"Subdivision","value":"EC"},{"id":4,"name":"Milepost","value":"0.0129"},{"id":17,"name":"Train ID","value":"134-14"},{"id":16,"name":"Locomotive ID","value":"4004"},{"id":130,"name":"Impact","value":""},{"id":150,"name":"Time of Event (Mountain Time)","value":"09:19:48"},{"id":151,"name":"Denver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18"/>
        <v>start /low /b %USERPROFILE%\Documents\GitHub\eaglep3\Utilities\DownloadLogsFromS3.py --loco 4004 --day 2017-01-14</v>
      </c>
      <c r="AN46" s="189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"%USERPROFILE%\AppData\Local\Temp\OnboardLogs"\RTDC4004\*4004*20170114* | grep -SE "(Enforcement Action)|(\[TIMEOUT)|(CHR.+\|PRM\|1\|D.+(SWITCH|SIGNAL).+UNKNOWN)" - &gt;&gt; 2017-01-14-UncaughtWiMAX.txt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506</v>
      </c>
      <c r="B47" s="7">
        <v>4027</v>
      </c>
      <c r="C47" s="22" t="s">
        <v>201</v>
      </c>
      <c r="D47" s="22" t="s">
        <v>278</v>
      </c>
      <c r="E47" s="13">
        <v>42749.329236111109</v>
      </c>
      <c r="F47" s="13">
        <v>42749.333541666667</v>
      </c>
      <c r="G47" s="7">
        <v>1</v>
      </c>
      <c r="H47" s="22" t="s">
        <v>324</v>
      </c>
      <c r="I47" s="13">
        <v>42749.358576388891</v>
      </c>
      <c r="J47" s="7">
        <v>0</v>
      </c>
      <c r="K47" s="105" t="str">
        <f t="shared" ref="K47:K78" si="60">IF(ISEVEN(B47),(B47-1)&amp;"/"&amp;B47,B47&amp;"/"&amp;(B47+1))</f>
        <v>4027/4028</v>
      </c>
      <c r="L47" s="22" t="str">
        <f>VLOOKUP(A47,'Trips&amp;Operators'!$C$1:$G$99999,5,FALSE)</f>
        <v>DAVIS WENDY</v>
      </c>
      <c r="M47" s="6">
        <f t="shared" ref="M47:M78" si="61">I47-F47</f>
        <v>2.5034722224518191E-2</v>
      </c>
      <c r="N47" s="7">
        <f t="shared" si="58"/>
        <v>36.050000003306195</v>
      </c>
      <c r="O47" s="7"/>
      <c r="P47" s="7"/>
      <c r="Q47" s="23"/>
      <c r="R47" s="23"/>
      <c r="S47" s="32">
        <f t="shared" ref="S47:S78" si="62">SUM(U47:U47)/IF(AG47="EC",12,1)</f>
        <v>1</v>
      </c>
      <c r="T47" s="47" t="str">
        <f t="shared" ref="T47:T78" si="63">IF(ISEVEN(LEFT(AD47,4)),"Southbound","NorthBound")</f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06:54:06-700',mode:absolute,to:'2017-01-14 09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47" s="49" t="str">
        <f t="shared" ref="W47:W78" si="64">IF(AA47&lt;IF(AG47="EC",23,5.65),"Y","N")</f>
        <v>N</v>
      </c>
      <c r="X47" s="173">
        <f t="shared" si="41"/>
        <v>1</v>
      </c>
      <c r="Y47" s="64">
        <f t="shared" ref="Y47:Y78" si="65">RIGHT(D47,LEN(D47)-4)/10000</f>
        <v>4.6899999999999997E-2</v>
      </c>
      <c r="Z47" s="64">
        <f t="shared" si="59"/>
        <v>23.3291</v>
      </c>
      <c r="AA47" s="64">
        <f t="shared" ref="AA47:AA78" si="66">ABS(Z47-Y47)</f>
        <v>23.2822</v>
      </c>
      <c r="AB47" s="61" t="e">
        <f>VLOOKUP(A47,Enforcements!$C$7:$K$15,8,0)</f>
        <v>#N/A</v>
      </c>
      <c r="AC47" s="57" t="e">
        <f>VLOOKUP(A47,Enforcements!$C$7:$E$15,3,0)</f>
        <v>#N/A</v>
      </c>
      <c r="AD47" s="58" t="str">
        <f t="shared" ref="AD47:AD78" si="67">IF(LEN(A47)=6,"0"&amp;A47,A47)</f>
        <v>0135-14</v>
      </c>
      <c r="AE47" s="87" t="str">
        <f t="shared" ref="AE47:AE78" si="68"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AF47" s="84" t="str">
        <f t="shared" ref="AF47:AF78" si="69"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/stypes="app*4027*20170114*" /stext=" 15:.+((SYSTEM_STATE.+slice.+state.+changed )|(ment ac)|(multiple cpu faults)|(system.+state.+changed )|(\[timeout)|(PRM\|1\|D)|(kpr)|(kdp)|(\|lc)|(penalty))" /e /r /s</v>
      </c>
      <c r="AG47" s="1" t="str">
        <f t="shared" ref="AG47:AG78" si="70">IFERROR(IF(VALUE(LEFT(AD47,2))&lt;=2,"EC",IF(OR(VALUE(LEFT(AD47,2))=8,VALUE(LEFT(AD47,2))=18),"NW","Other")),"Other")</f>
        <v>EC</v>
      </c>
      <c r="AH47" s="88" t="str">
        <f t="shared" si="16"/>
        <v>"%USERPROFILE%\Documents\GitHub\eaglep3\Utilities\RefineRTDCRunTimes.py" --tripid 135-14 --locoid 4027 --swversion DE.1.0.8.0 --startMP 204:469 --initTime 2017-01-14T07:54:06 --startdatetime 2017-01-14T08:00:18 --delay 1 --endMP 204:233291 --enddatetime 2017-01-14T08:36:21 --enforcementcount 0 &gt;&gt;C:\Users\stu\Documents\GitHub\eaglep3-reporting\EC\2017-01-14-refined-times.txt</v>
      </c>
      <c r="AI47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{"issue":{"subject":"","project_id":79,"tracker_id":40,"status_id":1,"priority_id":2,"assigned_to_id":23,"start_date":"2017-01-14","description":"","custom_fields":[{"id":1,"name":"Subdivision","value":"EC"},{"id":4,"name":"Milepost","value":"23.3291"},{"id":17,"name":"Train ID","value":"135-14"},{"id":16,"name":"Locomotive ID","value":"4027"},{"id":130,"name":"Impact","value":""},{"id":150,"name":"Time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18"/>
        <v>start /low /b %USERPROFILE%\Documents\GitHub\eaglep3\Utilities\DownloadLogsFromS3.py --loco 4027 --day 2017-01-14</v>
      </c>
      <c r="AN47" s="189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"%USERPROFILE%\AppData\Local\Temp\OnboardLogs"\RTDC4027\*4027*20170114* | grep -SE "(Enforcement Action)|(\[TIMEOUT)|(CHR.+\|PRM\|1\|D.+(SWITCH|SIGNAL).+UNKNOWN)" - &gt;&gt; 2017-01-14-UncaughtWiMAX.txt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514</v>
      </c>
      <c r="B48" s="7">
        <v>4028</v>
      </c>
      <c r="C48" s="22" t="s">
        <v>201</v>
      </c>
      <c r="D48" s="22" t="s">
        <v>415</v>
      </c>
      <c r="E48" s="13">
        <v>42749.368344907409</v>
      </c>
      <c r="F48" s="13">
        <v>42749.372384259259</v>
      </c>
      <c r="G48" s="7">
        <v>1</v>
      </c>
      <c r="H48" s="22" t="s">
        <v>298</v>
      </c>
      <c r="I48" s="13">
        <v>42749.400069444448</v>
      </c>
      <c r="J48" s="7">
        <v>0</v>
      </c>
      <c r="K48" s="105" t="str">
        <f t="shared" si="60"/>
        <v>4027/4028</v>
      </c>
      <c r="L48" s="22" t="str">
        <f>VLOOKUP(A48,'Trips&amp;Operators'!$C$1:$G$99999,5,FALSE)</f>
        <v>DAVIS WENDY</v>
      </c>
      <c r="M48" s="6">
        <f t="shared" si="61"/>
        <v>2.768518518860219E-2</v>
      </c>
      <c r="N48" s="7">
        <f t="shared" si="58"/>
        <v>39.866666671587154</v>
      </c>
      <c r="O48" s="7"/>
      <c r="P48" s="7"/>
      <c r="Q48" s="23"/>
      <c r="R48" s="23"/>
      <c r="S48" s="32">
        <f t="shared" si="62"/>
        <v>1</v>
      </c>
      <c r="T48" s="47" t="str">
        <f t="shared" si="63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07:50:25-700',mode:absolute,to:'2017-01-14 10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48" s="49" t="str">
        <f t="shared" si="64"/>
        <v>N</v>
      </c>
      <c r="X48" s="173">
        <f t="shared" si="41"/>
        <v>1</v>
      </c>
      <c r="Y48" s="64">
        <f t="shared" si="65"/>
        <v>23.2988</v>
      </c>
      <c r="Z48" s="64">
        <f t="shared" si="59"/>
        <v>1.54E-2</v>
      </c>
      <c r="AA48" s="64">
        <f t="shared" si="66"/>
        <v>23.2834</v>
      </c>
      <c r="AB48" s="61" t="e">
        <f>VLOOKUP(A48,Enforcements!$C$7:$K$15,8,0)</f>
        <v>#N/A</v>
      </c>
      <c r="AC48" s="57" t="e">
        <f>VLOOKUP(A48,Enforcements!$C$7:$E$15,3,0)</f>
        <v>#N/A</v>
      </c>
      <c r="AD48" s="58" t="str">
        <f t="shared" si="67"/>
        <v>0136-14</v>
      </c>
      <c r="AE48" s="87" t="str">
        <f t="shared" si="68"/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AF48" s="84" t="str">
        <f t="shared" si="69"/>
        <v>"C:\Program Files (x86)\AstroGrep\AstroGrep.exe" /spath="%USERPROFILE%\AppData\Local\Temp\OnboardLogs" /stypes="app*4028*20170114*" /stext=" 16:.+((SYSTEM_STATE.+slice.+state.+changed )|(ment ac)|(multiple cpu faults)|(system.+state.+changed )|(\[timeout)|(PRM\|1\|D)|(kpr)|(kdp)|(\|lc)|(penalty))" /e /r /s</v>
      </c>
      <c r="AG48" s="1" t="str">
        <f t="shared" si="70"/>
        <v>EC</v>
      </c>
      <c r="AH48" s="88" t="str">
        <f t="shared" si="16"/>
        <v>"%USERPROFILE%\Documents\GitHub\eaglep3\Utilities\RefineRTDCRunTimes.py" --tripid 136-14 --locoid 4028 --swversion DE.1.0.8.0 --startMP 204:232988 --initTime 2017-01-14T08:50:25 --startdatetime 2017-01-14T08:56:14 --delay 1 --endMP 204:154 --enddatetime 2017-01-14T09:36:06 --enforcementcount 0 &gt;&gt;C:\Users\stu\Documents\GitHub\eaglep3-reporting\EC\2017-01-14-refined-times.txt</v>
      </c>
      <c r="AI48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{"issue":{"subject":"","project_id":79,"tracker_id":40,"status_id":1,"priority_id":2,"assigned_to_id":23,"start_date":"2017-01-14","description":"","custom_fields":[{"id":1,"name":"Subdivision","value":"EC"},{"id":4,"name":"Milepost","value":"0.0154"},{"id":17,"name":"Train ID","value":"136-14"},{"id":16,"name":"Locomotive ID","value":"4028"},{"id":130,"name":"Impact","value":""},{"id":150,"name":"Time of Event (Mountain Time)","value":"09:36:06"},{"id":151,"name":"Denver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18"/>
        <v>start /low /b %USERPROFILE%\Documents\GitHub\eaglep3\Utilities\DownloadLogsFromS3.py --loco 4028 --day 2017-01-14</v>
      </c>
      <c r="AN48" s="189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"%USERPROFILE%\AppData\Local\Temp\OnboardLogs"\RTDC4028\*4028*20170114* | grep -SE "(Enforcement Action)|(\[TIMEOUT)|(CHR.+\|PRM\|1\|D.+(SWITCH|SIGNAL).+UNKNOWN)" - &gt;&gt; 2017-01-14-UncaughtWiMAX.txt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509</v>
      </c>
      <c r="B49" s="7">
        <v>4022</v>
      </c>
      <c r="C49" s="22" t="s">
        <v>201</v>
      </c>
      <c r="D49" s="22" t="s">
        <v>272</v>
      </c>
      <c r="E49" s="13">
        <v>42749.338125000002</v>
      </c>
      <c r="F49" s="13">
        <v>42749.343958333331</v>
      </c>
      <c r="G49" s="7">
        <v>1</v>
      </c>
      <c r="H49" s="22" t="s">
        <v>668</v>
      </c>
      <c r="I49" s="13">
        <v>42749.369988425926</v>
      </c>
      <c r="J49" s="7">
        <v>0</v>
      </c>
      <c r="K49" s="105" t="str">
        <f t="shared" si="60"/>
        <v>4021/4022</v>
      </c>
      <c r="L49" s="22" t="str">
        <f>VLOOKUP(A49,'Trips&amp;Operators'!$C$1:$G$99999,5,FALSE)</f>
        <v>OUN ZACK</v>
      </c>
      <c r="M49" s="6">
        <f t="shared" si="61"/>
        <v>2.6030092594737653E-2</v>
      </c>
      <c r="N49" s="7">
        <f t="shared" si="58"/>
        <v>37.48333333642222</v>
      </c>
      <c r="O49" s="7"/>
      <c r="P49" s="7"/>
      <c r="Q49" s="23"/>
      <c r="R49" s="23"/>
      <c r="S49" s="32">
        <f t="shared" si="62"/>
        <v>1</v>
      </c>
      <c r="T49" s="47" t="str">
        <f t="shared" si="63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07:06:54-700',mode:absolute,to:'2017-01-14 09:52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49" s="49" t="str">
        <f t="shared" si="64"/>
        <v>N</v>
      </c>
      <c r="X49" s="173">
        <f t="shared" si="41"/>
        <v>1</v>
      </c>
      <c r="Y49" s="64">
        <f t="shared" si="65"/>
        <v>4.4600000000000001E-2</v>
      </c>
      <c r="Z49" s="64">
        <f t="shared" si="59"/>
        <v>23.332899999999999</v>
      </c>
      <c r="AA49" s="64">
        <f t="shared" si="66"/>
        <v>23.2883</v>
      </c>
      <c r="AB49" s="61" t="e">
        <f>VLOOKUP(A49,Enforcements!$C$7:$K$15,8,0)</f>
        <v>#N/A</v>
      </c>
      <c r="AC49" s="57" t="e">
        <f>VLOOKUP(A49,Enforcements!$C$7:$E$15,3,0)</f>
        <v>#N/A</v>
      </c>
      <c r="AD49" s="58" t="str">
        <f t="shared" si="67"/>
        <v>0137-14</v>
      </c>
      <c r="AE49" s="87" t="str">
        <f t="shared" si="68"/>
        <v>aws s3 cp s3://rtdc.mdm.uploadarchive.raw/RTDC4022/ "%USERPROFILE%\AppData\Local\Temp\OnboardLogs"\RTDC4022\2017-01-14 --exclude "*" --recursive --include "*20170114*" &amp; "%USERPROFILE%\Documents\GitHub\mrs-test-scripts\Headless Mode &amp; Sideloading\WalkAndUnGZ.bat" "%USERPROFILE%\AppData\Local\Temp\OnboardLogs"\RTDC4022\2017-01-14 &amp; 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</v>
      </c>
      <c r="AF49" s="84" t="str">
        <f t="shared" si="69"/>
        <v>"C:\Program Files (x86)\AstroGrep\AstroGrep.exe" /spath="%USERPROFILE%\AppData\Local\Temp\OnboardLogs" /stypes="app*4022*20170114*" /stext=" 15:.+((SYSTEM_STATE.+slice.+state.+changed )|(ment ac)|(multiple cpu faults)|(system.+state.+changed )|(\[timeout)|(PRM\|1\|D)|(kpr)|(kdp)|(\|lc)|(penalty))" /e /r /s</v>
      </c>
      <c r="AG49" s="1" t="str">
        <f t="shared" si="70"/>
        <v>EC</v>
      </c>
      <c r="AH49" s="88" t="str">
        <f t="shared" si="16"/>
        <v>"%USERPROFILE%\Documents\GitHub\eaglep3\Utilities\RefineRTDCRunTimes.py" --tripid 137-14 --locoid 4022 --swversion DE.1.0.8.0 --startMP 204:446 --initTime 2017-01-14T08:06:54 --startdatetime 2017-01-14T08:15:18 --delay 1 --endMP 204:233329 --enddatetime 2017-01-14T08:52:47 --enforcementcount 0 &gt;&gt;C:\Users\stu\Documents\GitHub\eaglep3-reporting\EC\2017-01-14-refined-times.txt</v>
      </c>
      <c r="AI49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{"issue":{"subject":"","project_id":79,"tracker_id":40,"status_id":1,"priority_id":2,"assigned_to_id":23,"start_date":"2017-01-14","description":"","custom_fields":[{"id":1,"name":"Subdivision","value":"EC"},{"id":4,"name":"Milepost","value":"23.3329"},{"id":17,"name":"Train ID","value":"137-14"},{"id":16,"name":"Locomotive ID","value":"4022"},{"id":130,"name":"Impact","value":""},{"id":150,"name":"Time of Event (Mountain Time)","value":"08:52:47"},{"id":151,"name":"Denver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18"/>
        <v>start /low /b %USERPROFILE%\Documents\GitHub\eaglep3\Utilities\DownloadLogsFromS3.py --loco 4022 --day 2017-01-14</v>
      </c>
      <c r="AN49" s="189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"%USERPROFILE%\AppData\Local\Temp\OnboardLogs"\RTDC4022\*4022*20170114* | grep -SE "(Enforcement Action)|(\[TIMEOUT)|(CHR.+\|PRM\|1\|D.+(SWITCH|SIGNAL).+UNKNOWN)" - &gt;&gt; 2017-01-14-UncaughtWiMAX.txt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517</v>
      </c>
      <c r="B50" s="7">
        <v>4021</v>
      </c>
      <c r="C50" s="22" t="s">
        <v>201</v>
      </c>
      <c r="D50" s="22" t="s">
        <v>669</v>
      </c>
      <c r="E50" s="13">
        <v>42749.378645833334</v>
      </c>
      <c r="F50" s="13">
        <v>42749.382789351854</v>
      </c>
      <c r="G50" s="7">
        <v>1</v>
      </c>
      <c r="H50" s="22" t="s">
        <v>406</v>
      </c>
      <c r="I50" s="13">
        <v>42749.409166666665</v>
      </c>
      <c r="J50" s="7">
        <v>0</v>
      </c>
      <c r="K50" s="105" t="str">
        <f t="shared" si="60"/>
        <v>4021/4022</v>
      </c>
      <c r="L50" s="22" t="str">
        <f>VLOOKUP(A50,'Trips&amp;Operators'!$C$1:$G$99999,5,FALSE)</f>
        <v>OUN ZACK</v>
      </c>
      <c r="M50" s="6">
        <f t="shared" si="61"/>
        <v>2.6377314810815733E-2</v>
      </c>
      <c r="N50" s="7">
        <f t="shared" si="58"/>
        <v>37.983333327574655</v>
      </c>
      <c r="O50" s="7"/>
      <c r="P50" s="7"/>
      <c r="Q50" s="23"/>
      <c r="R50" s="23"/>
      <c r="S50" s="32">
        <f t="shared" si="62"/>
        <v>1</v>
      </c>
      <c r="T50" s="47" t="str">
        <f t="shared" si="63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08:05:15-700',mode:absolute,to:'2017-01-14 10:49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50" s="49" t="str">
        <f t="shared" si="64"/>
        <v>N</v>
      </c>
      <c r="X50" s="173">
        <f t="shared" si="41"/>
        <v>1</v>
      </c>
      <c r="Y50" s="64">
        <f t="shared" si="65"/>
        <v>23.3017</v>
      </c>
      <c r="Z50" s="64">
        <f t="shared" si="59"/>
        <v>1.3599999999999999E-2</v>
      </c>
      <c r="AA50" s="64">
        <f t="shared" si="66"/>
        <v>23.2881</v>
      </c>
      <c r="AB50" s="61" t="e">
        <f>VLOOKUP(A50,Enforcements!$C$7:$K$15,8,0)</f>
        <v>#N/A</v>
      </c>
      <c r="AC50" s="57" t="e">
        <f>VLOOKUP(A50,Enforcements!$C$7:$E$15,3,0)</f>
        <v>#N/A</v>
      </c>
      <c r="AD50" s="58" t="str">
        <f t="shared" si="67"/>
        <v>0138-14</v>
      </c>
      <c r="AE50" s="87" t="str">
        <f t="shared" si="68"/>
        <v>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 &amp; 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</v>
      </c>
      <c r="AF50" s="84" t="str">
        <f t="shared" si="69"/>
        <v>"C:\Program Files (x86)\AstroGrep\AstroGrep.exe" /spath="%USERPROFILE%\AppData\Local\Temp\OnboardLogs" /stypes="app*4021*20170114*" /stext=" 16:.+((SYSTEM_STATE.+slice.+state.+changed )|(ment ac)|(multiple cpu faults)|(system.+state.+changed )|(\[timeout)|(PRM\|1\|D)|(kpr)|(kdp)|(\|lc)|(penalty))" /e /r /s</v>
      </c>
      <c r="AG50" s="1" t="str">
        <f t="shared" si="70"/>
        <v>EC</v>
      </c>
      <c r="AH50" s="88" t="str">
        <f t="shared" si="16"/>
        <v>"%USERPROFILE%\Documents\GitHub\eaglep3\Utilities\RefineRTDCRunTimes.py" --tripid 138-14 --locoid 4021 --swversion DE.1.0.8.0 --startMP 204:233017 --initTime 2017-01-14T09:05:15 --startdatetime 2017-01-14T09:11:13 --delay 1 --endMP 204:136 --enddatetime 2017-01-14T09:49:12 --enforcementcount 0 &gt;&gt;C:\Users\stu\Documents\GitHub\eaglep3-reporting\EC\2017-01-14-refined-times.txt</v>
      </c>
      <c r="AI50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{"issue":{"subject":"","project_id":79,"tracker_id":40,"status_id":1,"priority_id":2,"assigned_to_id":23,"start_date":"2017-01-14","description":"","custom_fields":[{"id":1,"name":"Subdivision","value":"EC"},{"id":4,"name":"Milepost","value":"0.0136"},{"id":17,"name":"Train ID","value":"138-14"},{"id":16,"name":"Locomotive ID","value":"4021"},{"id":130,"name":"Impact","value":""},{"id":150,"name":"Time of Event (Mountain Time)","value":"09:49:12"},{"id":151,"name":"Denver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18"/>
        <v>start /low /b %USERPROFILE%\Documents\GitHub\eaglep3\Utilities\DownloadLogsFromS3.py --loco 4021 --day 2017-01-14</v>
      </c>
      <c r="AN50" s="189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"%USERPROFILE%\AppData\Local\Temp\OnboardLogs"\RTDC4021\*4021*20170114* | grep -SE "(Enforcement Action)|(\[TIMEOUT)|(CHR.+\|PRM\|1\|D.+(SWITCH|SIGNAL).+UNKNOWN)" - &gt;&gt; 2017-01-14-UncaughtWiMAX.txt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510</v>
      </c>
      <c r="B51" s="7">
        <v>4018</v>
      </c>
      <c r="C51" s="22" t="s">
        <v>201</v>
      </c>
      <c r="D51" s="22" t="s">
        <v>670</v>
      </c>
      <c r="E51" s="13">
        <v>42749.349618055552</v>
      </c>
      <c r="F51" s="13">
        <v>42749.354432870372</v>
      </c>
      <c r="G51" s="7">
        <v>1</v>
      </c>
      <c r="H51" s="22" t="s">
        <v>334</v>
      </c>
      <c r="I51" s="13">
        <v>42749.378946759258</v>
      </c>
      <c r="J51" s="7">
        <v>0</v>
      </c>
      <c r="K51" s="105" t="str">
        <f t="shared" si="60"/>
        <v>4017/4018</v>
      </c>
      <c r="L51" s="22" t="str">
        <f>VLOOKUP(A51,'Trips&amp;Operators'!$C$1:$G$99999,5,FALSE)</f>
        <v>LOZA FIDEL</v>
      </c>
      <c r="M51" s="6">
        <f t="shared" si="61"/>
        <v>2.4513888885849155E-2</v>
      </c>
      <c r="N51" s="7">
        <f t="shared" si="58"/>
        <v>35.299999995622784</v>
      </c>
      <c r="O51" s="7"/>
      <c r="P51" s="7"/>
      <c r="Q51" s="23"/>
      <c r="R51" s="23"/>
      <c r="S51" s="32">
        <f t="shared" si="62"/>
        <v>1</v>
      </c>
      <c r="T51" s="47" t="str">
        <f t="shared" si="63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07:23:27-700',mode:absolute,to:'2017-01-14 10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51" s="49" t="str">
        <f t="shared" si="64"/>
        <v>N</v>
      </c>
      <c r="X51" s="173">
        <f t="shared" si="41"/>
        <v>1</v>
      </c>
      <c r="Y51" s="64">
        <f t="shared" si="65"/>
        <v>4.5100000000000001E-2</v>
      </c>
      <c r="Z51" s="64">
        <f t="shared" si="59"/>
        <v>23.331600000000002</v>
      </c>
      <c r="AA51" s="64">
        <f t="shared" si="66"/>
        <v>23.2865</v>
      </c>
      <c r="AB51" s="61" t="e">
        <f>VLOOKUP(A51,Enforcements!$C$7:$K$15,8,0)</f>
        <v>#N/A</v>
      </c>
      <c r="AC51" s="57" t="e">
        <f>VLOOKUP(A51,Enforcements!$C$7:$E$15,3,0)</f>
        <v>#N/A</v>
      </c>
      <c r="AD51" s="58" t="str">
        <f t="shared" si="67"/>
        <v>0139-14</v>
      </c>
      <c r="AE51" s="87" t="str">
        <f t="shared" si="68"/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AF51" s="84" t="str">
        <f t="shared" si="69"/>
        <v>"C:\Program Files (x86)\AstroGrep\AstroGrep.exe" /spath="%USERPROFILE%\AppData\Local\Temp\OnboardLogs" /stypes="app*4018*20170114*" /stext=" 16:.+((SYSTEM_STATE.+slice.+state.+changed )|(ment ac)|(multiple cpu faults)|(system.+state.+changed )|(\[timeout)|(PRM\|1\|D)|(kpr)|(kdp)|(\|lc)|(penalty))" /e /r /s</v>
      </c>
      <c r="AG51" s="1" t="str">
        <f t="shared" si="70"/>
        <v>EC</v>
      </c>
      <c r="AH51" s="88" t="str">
        <f t="shared" si="16"/>
        <v>"%USERPROFILE%\Documents\GitHub\eaglep3\Utilities\RefineRTDCRunTimes.py" --tripid 139-14 --locoid 4018 --swversion DE.1.0.8.0 --startMP 204:451 --initTime 2017-01-14T08:23:27 --startdatetime 2017-01-14T08:30:23 --delay 1 --endMP 204:233316 --enddatetime 2017-01-14T09:05:41 --enforcementcount 0 &gt;&gt;C:\Users\stu\Documents\GitHub\eaglep3-reporting\EC\2017-01-14-refined-times.txt</v>
      </c>
      <c r="AI51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{"issue":{"subject":"","project_id":79,"tracker_id":40,"status_id":1,"priority_id":2,"assigned_to_id":23,"start_date":"2017-01-14","description":"","custom_fields":[{"id":1,"name":"Subdivision","value":"EC"},{"id":4,"name":"Milepost","value":"23.3316"},{"id":17,"name":"Train ID","value":"139-14"},{"id":16,"name":"Locomotive ID","value":"4018"},{"id":130,"name":"Impact","value":""},{"id":150,"name":"Time of Event (Mountain Time)","value":"09:05:41"},{"id":151,"name":"Denver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18"/>
        <v>start /low /b %USERPROFILE%\Documents\GitHub\eaglep3\Utilities\DownloadLogsFromS3.py --loco 4018 --day 2017-01-14</v>
      </c>
      <c r="AN51" s="189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"%USERPROFILE%\AppData\Local\Temp\OnboardLogs"\RTDC4018\*4018*20170114* | grep -SE "(Enforcement Action)|(\[TIMEOUT)|(CHR.+\|PRM\|1\|D.+(SWITCH|SIGNAL).+UNKNOWN)" - &gt;&gt; 2017-01-14-UncaughtWiMAX.txt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518</v>
      </c>
      <c r="B52" s="7">
        <v>4017</v>
      </c>
      <c r="C52" s="22" t="s">
        <v>201</v>
      </c>
      <c r="D52" s="22" t="s">
        <v>286</v>
      </c>
      <c r="E52" s="13">
        <v>42749.389305555553</v>
      </c>
      <c r="F52" s="13">
        <v>42749.393391203703</v>
      </c>
      <c r="G52" s="7">
        <v>2</v>
      </c>
      <c r="H52" s="22" t="s">
        <v>239</v>
      </c>
      <c r="I52" s="13">
        <v>42749.420289351852</v>
      </c>
      <c r="J52" s="7">
        <v>0</v>
      </c>
      <c r="K52" s="105" t="str">
        <f t="shared" si="60"/>
        <v>4017/4018</v>
      </c>
      <c r="L52" s="22" t="str">
        <f>VLOOKUP(A52,'Trips&amp;Operators'!$C$1:$G$99999,5,FALSE)</f>
        <v>LOZA FIDEL</v>
      </c>
      <c r="M52" s="6">
        <f t="shared" si="61"/>
        <v>2.6898148149484769E-2</v>
      </c>
      <c r="N52" s="7">
        <f t="shared" si="58"/>
        <v>38.733333335258067</v>
      </c>
      <c r="O52" s="7"/>
      <c r="P52" s="7"/>
      <c r="Q52" s="23"/>
      <c r="R52" s="23"/>
      <c r="S52" s="32">
        <f t="shared" si="62"/>
        <v>1</v>
      </c>
      <c r="T52" s="47" t="str">
        <f t="shared" si="63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08:20:36-700',mode:absolute,to:'2017-01-14 11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52" s="49" t="str">
        <f t="shared" si="64"/>
        <v>N</v>
      </c>
      <c r="X52" s="173">
        <f t="shared" si="41"/>
        <v>1</v>
      </c>
      <c r="Y52" s="64">
        <f t="shared" si="65"/>
        <v>23.298400000000001</v>
      </c>
      <c r="Z52" s="64">
        <f t="shared" si="59"/>
        <v>1.47E-2</v>
      </c>
      <c r="AA52" s="64">
        <f t="shared" si="66"/>
        <v>23.2837</v>
      </c>
      <c r="AB52" s="61" t="e">
        <f>VLOOKUP(A52,Enforcements!$C$7:$K$15,8,0)</f>
        <v>#N/A</v>
      </c>
      <c r="AC52" s="57" t="e">
        <f>VLOOKUP(A52,Enforcements!$C$7:$E$15,3,0)</f>
        <v>#N/A</v>
      </c>
      <c r="AD52" s="58" t="str">
        <f t="shared" si="67"/>
        <v>0140-14</v>
      </c>
      <c r="AE52" s="87" t="str">
        <f t="shared" si="68"/>
        <v>aws s3 cp s3://rtdc.mdm.uploadarchive.raw/RTDC4017/ "%USERPROFILE%\AppData\Local\Temp\OnboardLogs"\RTDC4017\2017-01-14 --exclude "*" --recursive --include "*20170114*" &amp; "%USERPROFILE%\Documents\GitHub\mrs-test-scripts\Headless Mode &amp; Sideloading\WalkAndUnGZ.bat" "%USERPROFILE%\AppData\Local\Temp\OnboardLogs"\RTDC4017\2017-01-14 &amp; aws s3 cp s3://rtdc.mdm.uploadarchive.raw/RTDC4017/ "%USERPROFILE%\AppData\Local\Temp\OnboardLogs"\RTDC4017\2017-01-15 --exclude "*" --recursive --include "*20170115*" &amp; "%USERPROFILE%\Documents\GitHub\mrs-test-scripts\Headless Mode &amp; Sideloading\WalkAndUnGZ.bat" "%USERPROFILE%\AppData\Local\Temp\OnboardLogs"\RTDC4017\2017-01-15</v>
      </c>
      <c r="AF52" s="84" t="str">
        <f t="shared" si="69"/>
        <v>"C:\Program Files (x86)\AstroGrep\AstroGrep.exe" /spath="%USERPROFILE%\AppData\Local\Temp\OnboardLogs" /stypes="app*4017*20170114*" /stext=" 17:.+((SYSTEM_STATE.+slice.+state.+changed )|(ment ac)|(multiple cpu faults)|(system.+state.+changed )|(\[timeout)|(PRM\|1\|D)|(kpr)|(kdp)|(\|lc)|(penalty))" /e /r /s</v>
      </c>
      <c r="AG52" s="1" t="str">
        <f t="shared" si="70"/>
        <v>EC</v>
      </c>
      <c r="AH52" s="88" t="str">
        <f t="shared" si="16"/>
        <v>"%USERPROFILE%\Documents\GitHub\eaglep3\Utilities\RefineRTDCRunTimes.py" --tripid 140-14 --locoid 4017 --swversion DE.1.0.8.0 --startMP 204:232984 --initTime 2017-01-14T09:20:36 --startdatetime 2017-01-14T09:26:29 --delay 2 --endMP 204:147 --enddatetime 2017-01-14T10:05:13 --enforcementcount 0 &gt;&gt;C:\Users\stu\Documents\GitHub\eaglep3-reporting\EC\2017-01-14-refined-times.txt</v>
      </c>
      <c r="AI52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{"issue":{"subject":"","project_id":79,"tracker_id":40,"status_id":1,"priority_id":2,"assigned_to_id":23,"start_date":"2017-01-14","description":"","custom_fields":[{"id":1,"name":"Subdivision","value":"EC"},{"id":4,"name":"Milepost","value":"0.0147"},{"id":17,"name":"Train ID","value":"140-14"},{"id":16,"name":"Locomotive ID","value":"4017"},{"id":130,"name":"Impact","value":""},{"id":150,"name":"Time of Event (Mountain Time)","value":"10:05:13"},{"id":151,"name":"Denver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18"/>
        <v>start /low /b %USERPROFILE%\Documents\GitHub\eaglep3\Utilities\DownloadLogsFromS3.py --loco 4017 --day 2017-01-14</v>
      </c>
      <c r="AN52" s="189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"%USERPROFILE%\AppData\Local\Temp\OnboardLogs"\RTDC4017\*4017*20170114* | grep -SE "(Enforcement Action)|(\[TIMEOUT)|(CHR.+\|PRM\|1\|D.+(SWITCH|SIGNAL).+UNKNOWN)" - &gt;&gt; 2017-01-14-UncaughtWiMAX.txt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512</v>
      </c>
      <c r="B53" s="7">
        <v>4014</v>
      </c>
      <c r="C53" s="22" t="s">
        <v>201</v>
      </c>
      <c r="D53" s="22" t="s">
        <v>323</v>
      </c>
      <c r="E53" s="13">
        <v>42749.359351851854</v>
      </c>
      <c r="F53" s="13">
        <v>42749.364803240744</v>
      </c>
      <c r="G53" s="7">
        <v>1</v>
      </c>
      <c r="H53" s="22" t="s">
        <v>305</v>
      </c>
      <c r="I53" s="13">
        <v>42749.390439814815</v>
      </c>
      <c r="J53" s="7">
        <v>0</v>
      </c>
      <c r="K53" s="105" t="str">
        <f t="shared" si="60"/>
        <v>4013/4014</v>
      </c>
      <c r="L53" s="22" t="str">
        <f>VLOOKUP(A53,'Trips&amp;Operators'!$C$1:$G$99999,5,FALSE)</f>
        <v>BEAM ROSS</v>
      </c>
      <c r="M53" s="6">
        <f t="shared" si="61"/>
        <v>2.5636574071540963E-2</v>
      </c>
      <c r="N53" s="7">
        <f t="shared" si="58"/>
        <v>36.916666663018987</v>
      </c>
      <c r="O53" s="7"/>
      <c r="P53" s="7"/>
      <c r="Q53" s="23"/>
      <c r="R53" s="23"/>
      <c r="S53" s="32">
        <f t="shared" si="62"/>
        <v>1</v>
      </c>
      <c r="T53" s="47" t="str">
        <f t="shared" si="63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07:37:28-700',mode:absolute,to:'2017-01-14 10:22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53" s="49" t="str">
        <f t="shared" si="64"/>
        <v>N</v>
      </c>
      <c r="X53" s="173">
        <f t="shared" si="41"/>
        <v>1</v>
      </c>
      <c r="Y53" s="64">
        <f t="shared" si="65"/>
        <v>4.5999999999999999E-2</v>
      </c>
      <c r="Z53" s="64">
        <f t="shared" si="59"/>
        <v>23.329699999999999</v>
      </c>
      <c r="AA53" s="64">
        <f t="shared" si="66"/>
        <v>23.2837</v>
      </c>
      <c r="AB53" s="61" t="e">
        <f>VLOOKUP(A53,Enforcements!$C$7:$K$15,8,0)</f>
        <v>#N/A</v>
      </c>
      <c r="AC53" s="57" t="e">
        <f>VLOOKUP(A53,Enforcements!$C$7:$E$15,3,0)</f>
        <v>#N/A</v>
      </c>
      <c r="AD53" s="58" t="str">
        <f t="shared" si="67"/>
        <v>0141-14</v>
      </c>
      <c r="AE53" s="87" t="str">
        <f t="shared" si="68"/>
        <v>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 &amp; 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</v>
      </c>
      <c r="AF53" s="84" t="str">
        <f t="shared" si="69"/>
        <v>"C:\Program Files (x86)\AstroGrep\AstroGrep.exe" /spath="%USERPROFILE%\AppData\Local\Temp\OnboardLogs" /stypes="app*4014*20170114*" /stext=" 16:.+((SYSTEM_STATE.+slice.+state.+changed )|(ment ac)|(multiple cpu faults)|(system.+state.+changed )|(\[timeout)|(PRM\|1\|D)|(kpr)|(kdp)|(\|lc)|(penalty))" /e /r /s</v>
      </c>
      <c r="AG53" s="1" t="str">
        <f t="shared" si="70"/>
        <v>EC</v>
      </c>
      <c r="AH53" s="88" t="str">
        <f t="shared" si="16"/>
        <v>"%USERPROFILE%\Documents\GitHub\eaglep3\Utilities\RefineRTDCRunTimes.py" --tripid 141-14 --locoid 4014 --swversion DE.1.0.8.0 --startMP 204:460 --initTime 2017-01-14T08:37:28 --startdatetime 2017-01-14T08:45:19 --delay 1 --endMP 204:233297 --enddatetime 2017-01-14T09:22:14 --enforcementcount 0 &gt;&gt;C:\Users\stu\Documents\GitHub\eaglep3-reporting\EC\2017-01-14-refined-times.txt</v>
      </c>
      <c r="AI53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{"issue":{"subject":"","project_id":79,"tracker_id":40,"status_id":1,"priority_id":2,"assigned_to_id":23,"start_date":"2017-01-14","description":"","custom_fields":[{"id":1,"name":"Subdivision","value":"EC"},{"id":4,"name":"Milepost","value":"23.3297"},{"id":17,"name":"Train ID","value":"141-14"},{"id":16,"name":"Locomotive ID","value":"4014"},{"id":130,"name":"Impact","value":""},{"id":150,"name":"Time of Event (Mountain Time)","value":"09:22:14"},{"id":151,"name":"Denver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18"/>
        <v>start /low /b %USERPROFILE%\Documents\GitHub\eaglep3\Utilities\DownloadLogsFromS3.py --loco 4014 --day 2017-01-14</v>
      </c>
      <c r="AN53" s="189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"%USERPROFILE%\AppData\Local\Temp\OnboardLogs"\RTDC4014\*4014*20170114* | grep -SE "(Enforcement Action)|(\[TIMEOUT)|(CHR.+\|PRM\|1\|D.+(SWITCH|SIGNAL).+UNKNOWN)" - &gt;&gt; 2017-01-14-UncaughtWiMAX.txt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520</v>
      </c>
      <c r="B54" s="7">
        <v>4013</v>
      </c>
      <c r="C54" s="22" t="s">
        <v>201</v>
      </c>
      <c r="D54" s="22" t="s">
        <v>299</v>
      </c>
      <c r="E54" s="13">
        <v>42749.398796296293</v>
      </c>
      <c r="F54" s="13">
        <v>42749.403657407405</v>
      </c>
      <c r="G54" s="7">
        <v>0</v>
      </c>
      <c r="H54" s="22" t="s">
        <v>342</v>
      </c>
      <c r="I54" s="13">
        <v>42749.430486111109</v>
      </c>
      <c r="J54" s="7">
        <v>0</v>
      </c>
      <c r="K54" s="105" t="str">
        <f t="shared" si="60"/>
        <v>4013/4014</v>
      </c>
      <c r="L54" s="22" t="str">
        <f>VLOOKUP(A54,'Trips&amp;Operators'!$C$1:$G$99999,5,FALSE)</f>
        <v>BEAM ROSS</v>
      </c>
      <c r="M54" s="6">
        <f t="shared" si="61"/>
        <v>2.6828703703358769E-2</v>
      </c>
      <c r="N54" s="7">
        <f t="shared" si="58"/>
        <v>38.633333332836628</v>
      </c>
      <c r="O54" s="7"/>
      <c r="P54" s="7"/>
      <c r="Q54" s="23"/>
      <c r="R54" s="23"/>
      <c r="S54" s="32">
        <f t="shared" si="62"/>
        <v>1</v>
      </c>
      <c r="T54" s="47" t="str">
        <f t="shared" si="63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08:34:16-700',mode:absolute,to:'2017-01-14 11:19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54" s="49" t="str">
        <f t="shared" si="64"/>
        <v>N</v>
      </c>
      <c r="X54" s="173">
        <f t="shared" si="41"/>
        <v>1</v>
      </c>
      <c r="Y54" s="64">
        <f t="shared" si="65"/>
        <v>23.299600000000002</v>
      </c>
      <c r="Z54" s="64">
        <f t="shared" si="59"/>
        <v>1.34E-2</v>
      </c>
      <c r="AA54" s="64">
        <f t="shared" si="66"/>
        <v>23.286200000000001</v>
      </c>
      <c r="AB54" s="61" t="e">
        <f>VLOOKUP(A54,Enforcements!$C$7:$K$15,8,0)</f>
        <v>#N/A</v>
      </c>
      <c r="AC54" s="57" t="e">
        <f>VLOOKUP(A54,Enforcements!$C$7:$E$15,3,0)</f>
        <v>#N/A</v>
      </c>
      <c r="AD54" s="58" t="str">
        <f t="shared" si="67"/>
        <v>0142-14</v>
      </c>
      <c r="AE54" s="87" t="str">
        <f t="shared" si="68"/>
        <v>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 &amp; 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</v>
      </c>
      <c r="AF54" s="84" t="str">
        <f t="shared" si="69"/>
        <v>"C:\Program Files (x86)\AstroGrep\AstroGrep.exe" /spath="%USERPROFILE%\AppData\Local\Temp\OnboardLogs" /stypes="app*4013*20170114*" /stext=" 17:.+((SYSTEM_STATE.+slice.+state.+changed )|(ment ac)|(multiple cpu faults)|(system.+state.+changed )|(\[timeout)|(PRM\|1\|D)|(kpr)|(kdp)|(\|lc)|(penalty))" /e /r /s</v>
      </c>
      <c r="AG54" s="1" t="str">
        <f t="shared" si="70"/>
        <v>EC</v>
      </c>
      <c r="AH54" s="88" t="str">
        <f t="shared" si="16"/>
        <v>"%USERPROFILE%\Documents\GitHub\eaglep3\Utilities\RefineRTDCRunTimes.py" --tripid 142-14 --locoid 4013 --swversion DE.1.0.8.0 --startMP 204:232996 --initTime 2017-01-14T09:34:16 --startdatetime 2017-01-14T09:41:16 --delay 0 --endMP 204:134 --enddatetime 2017-01-14T10:19:54 --enforcementcount 0 &gt;&gt;C:\Users\stu\Documents\GitHub\eaglep3-reporting\EC\2017-01-14-refined-times.txt</v>
      </c>
      <c r="AI54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{"issue":{"subject":"","project_id":79,"tracker_id":40,"status_id":1,"priority_id":2,"assigned_to_id":23,"start_date":"2017-01-14","description":"","custom_fields":[{"id":1,"name":"Subdivision","value":"EC"},{"id":4,"name":"Milepost","value":"0.0134"},{"id":17,"name":"Train ID","value":"142-14"},{"id":16,"name":"Locomotive ID","value":"4013"},{"id":130,"name":"Impact","value":""},{"id":150,"name":"Time of Event (Mountain Time)","value":"10:19:54"},{"id":151,"name":"Denver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18"/>
        <v>start /low /b %USERPROFILE%\Documents\GitHub\eaglep3\Utilities\DownloadLogsFromS3.py --loco 4013 --day 2017-01-14</v>
      </c>
      <c r="AN54" s="189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"%USERPROFILE%\AppData\Local\Temp\OnboardLogs"\RTDC4013\*4013*20170114* | grep -SE "(Enforcement Action)|(\[TIMEOUT)|(CHR.+\|PRM\|1\|D.+(SWITCH|SIGNAL).+UNKNOWN)" - &gt;&gt; 2017-01-14-UncaughtWiMAX.txt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515</v>
      </c>
      <c r="B55" s="7">
        <v>4031</v>
      </c>
      <c r="C55" s="22" t="s">
        <v>201</v>
      </c>
      <c r="D55" s="22" t="s">
        <v>272</v>
      </c>
      <c r="E55" s="13">
        <v>42749.370115740741</v>
      </c>
      <c r="F55" s="13">
        <v>42749.375231481485</v>
      </c>
      <c r="G55" s="7">
        <v>1</v>
      </c>
      <c r="H55" s="22" t="s">
        <v>412</v>
      </c>
      <c r="I55" s="13">
        <v>42749.399606481478</v>
      </c>
      <c r="J55" s="7">
        <v>0</v>
      </c>
      <c r="K55" s="105" t="str">
        <f t="shared" si="60"/>
        <v>4031/4032</v>
      </c>
      <c r="L55" s="22" t="str">
        <f>VLOOKUP(A55,'Trips&amp;Operators'!$C$1:$G$99999,5,FALSE)</f>
        <v>GEBRETEKLE DAGNEW</v>
      </c>
      <c r="M55" s="6">
        <f t="shared" si="61"/>
        <v>2.4374999993597157E-2</v>
      </c>
      <c r="N55" s="7">
        <f t="shared" si="58"/>
        <v>35.099999990779907</v>
      </c>
      <c r="O55" s="7"/>
      <c r="P55" s="7"/>
      <c r="Q55" s="23"/>
      <c r="R55" s="23"/>
      <c r="S55" s="32">
        <f t="shared" si="62"/>
        <v>1</v>
      </c>
      <c r="T55" s="47" t="str">
        <f t="shared" si="63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07:52:58-700',mode:absolute,to:'2017-01-14 10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55" s="49" t="str">
        <f t="shared" si="64"/>
        <v>N</v>
      </c>
      <c r="X55" s="173">
        <f t="shared" ref="X55:X86" si="71">VALUE(LEFT(AD55,4))-VALUE(LEFT(AD54,4))</f>
        <v>1</v>
      </c>
      <c r="Y55" s="64">
        <f t="shared" si="65"/>
        <v>4.4600000000000001E-2</v>
      </c>
      <c r="Z55" s="64">
        <f t="shared" si="59"/>
        <v>23.330300000000001</v>
      </c>
      <c r="AA55" s="64">
        <f t="shared" si="66"/>
        <v>23.285700000000002</v>
      </c>
      <c r="AB55" s="61" t="e">
        <f>VLOOKUP(A55,Enforcements!$C$7:$K$15,8,0)</f>
        <v>#N/A</v>
      </c>
      <c r="AC55" s="57" t="e">
        <f>VLOOKUP(A55,Enforcements!$C$7:$E$15,3,0)</f>
        <v>#N/A</v>
      </c>
      <c r="AD55" s="58" t="str">
        <f t="shared" si="67"/>
        <v>0143-14</v>
      </c>
      <c r="AE55" s="87" t="str">
        <f t="shared" si="68"/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AF55" s="84" t="str">
        <f t="shared" si="69"/>
        <v>"C:\Program Files (x86)\AstroGrep\AstroGrep.exe" /spath="%USERPROFILE%\AppData\Local\Temp\OnboardLogs" /stypes="app*4031*20170114*" /stext=" 16:.+((SYSTEM_STATE.+slice.+state.+changed )|(ment ac)|(multiple cpu faults)|(system.+state.+changed )|(\[timeout)|(PRM\|1\|D)|(kpr)|(kdp)|(\|lc)|(penalty))" /e /r /s</v>
      </c>
      <c r="AG55" s="1" t="str">
        <f t="shared" si="70"/>
        <v>EC</v>
      </c>
      <c r="AH55" s="88" t="str">
        <f t="shared" si="16"/>
        <v>"%USERPROFILE%\Documents\GitHub\eaglep3\Utilities\RefineRTDCRunTimes.py" --tripid 143-14 --locoid 4031 --swversion DE.1.0.8.0 --startMP 204:446 --initTime 2017-01-14T08:52:58 --startdatetime 2017-01-14T09:00:20 --delay 1 --endMP 204:233303 --enddatetime 2017-01-14T09:35:26 --enforcementcount 0 &gt;&gt;C:\Users\stu\Documents\GitHub\eaglep3-reporting\EC\2017-01-14-refined-times.txt</v>
      </c>
      <c r="AI55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{"issue":{"subject":"","project_id":79,"tracker_id":40,"status_id":1,"priority_id":2,"assigned_to_id":23,"start_date":"2017-01-14","description":"","custom_fields":[{"id":1,"name":"Subdivision","value":"EC"},{"id":4,"name":"Milepost","value":"23.3303"},{"id":17,"name":"Train ID","value":"143-14"},{"id":16,"name":"Locomotive ID","value":"4031"},{"id":130,"name":"Impact","value":""},{"id":150,"name":"Time of Event (Mountain Time)","value":"09:35:26"},{"id":151,"name":"Denver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18"/>
        <v>start /low /b %USERPROFILE%\Documents\GitHub\eaglep3\Utilities\DownloadLogsFromS3.py --loco 4031 --day 2017-01-14</v>
      </c>
      <c r="AN55" s="189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"%USERPROFILE%\AppData\Local\Temp\OnboardLogs"\RTDC4031\*4031*20170114* | grep -SE "(Enforcement Action)|(\[TIMEOUT)|(CHR.+\|PRM\|1\|D.+(SWITCH|SIGNAL).+UNKNOWN)" - &gt;&gt; 2017-01-14-UncaughtWiMAX.txt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523</v>
      </c>
      <c r="B56" s="7">
        <v>4032</v>
      </c>
      <c r="C56" s="22" t="s">
        <v>201</v>
      </c>
      <c r="D56" s="22" t="s">
        <v>307</v>
      </c>
      <c r="E56" s="13">
        <v>42749.410775462966</v>
      </c>
      <c r="F56" s="13">
        <v>42749.4140625</v>
      </c>
      <c r="G56" s="7">
        <v>1</v>
      </c>
      <c r="H56" s="22" t="s">
        <v>239</v>
      </c>
      <c r="I56" s="13">
        <v>42749.443356481483</v>
      </c>
      <c r="J56" s="7">
        <v>0</v>
      </c>
      <c r="K56" s="105" t="str">
        <f t="shared" si="60"/>
        <v>4031/4032</v>
      </c>
      <c r="L56" s="22" t="str">
        <f>VLOOKUP(A56,'Trips&amp;Operators'!$C$1:$G$99999,5,FALSE)</f>
        <v>GEBRETEKLE DAGNEW</v>
      </c>
      <c r="M56" s="6">
        <f t="shared" si="61"/>
        <v>2.9293981482624076E-2</v>
      </c>
      <c r="N56" s="7">
        <f t="shared" si="58"/>
        <v>42.18333333497867</v>
      </c>
      <c r="O56" s="7"/>
      <c r="P56" s="7"/>
      <c r="Q56" s="23"/>
      <c r="R56" s="23"/>
      <c r="S56" s="32">
        <f t="shared" si="62"/>
        <v>1</v>
      </c>
      <c r="T56" s="47" t="str">
        <f t="shared" si="63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08:51:31-700',mode:absolute,to:'2017-01-14 11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56" s="49" t="str">
        <f t="shared" si="64"/>
        <v>N</v>
      </c>
      <c r="X56" s="173">
        <f t="shared" si="71"/>
        <v>1</v>
      </c>
      <c r="Y56" s="64">
        <f t="shared" si="65"/>
        <v>23.297499999999999</v>
      </c>
      <c r="Z56" s="64">
        <f t="shared" si="59"/>
        <v>1.47E-2</v>
      </c>
      <c r="AA56" s="64">
        <f t="shared" si="66"/>
        <v>23.282799999999998</v>
      </c>
      <c r="AB56" s="61" t="e">
        <f>VLOOKUP(A56,Enforcements!$C$7:$K$15,8,0)</f>
        <v>#N/A</v>
      </c>
      <c r="AC56" s="57" t="e">
        <f>VLOOKUP(A56,Enforcements!$C$7:$E$15,3,0)</f>
        <v>#N/A</v>
      </c>
      <c r="AD56" s="58" t="str">
        <f t="shared" si="67"/>
        <v>0144-14</v>
      </c>
      <c r="AE56" s="87" t="str">
        <f t="shared" si="68"/>
        <v>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 &amp; 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</v>
      </c>
      <c r="AF56" s="84" t="str">
        <f t="shared" si="69"/>
        <v>"C:\Program Files (x86)\AstroGrep\AstroGrep.exe" /spath="%USERPROFILE%\AppData\Local\Temp\OnboardLogs" /stypes="app*4032*20170114*" /stext=" 17:.+((SYSTEM_STATE.+slice.+state.+changed )|(ment ac)|(multiple cpu faults)|(system.+state.+changed )|(\[timeout)|(PRM\|1\|D)|(kpr)|(kdp)|(\|lc)|(penalty))" /e /r /s</v>
      </c>
      <c r="AG56" s="1" t="str">
        <f t="shared" si="70"/>
        <v>EC</v>
      </c>
      <c r="AH56" s="88" t="str">
        <f t="shared" si="16"/>
        <v>"%USERPROFILE%\Documents\GitHub\eaglep3\Utilities\RefineRTDCRunTimes.py" --tripid 144-14 --locoid 4032 --swversion DE.1.0.8.0 --startMP 204:232975 --initTime 2017-01-14T09:51:31 --startdatetime 2017-01-14T09:56:15 --delay 1 --endMP 204:147 --enddatetime 2017-01-14T10:38:26 --enforcementcount 0 &gt;&gt;C:\Users\stu\Documents\GitHub\eaglep3-reporting\EC\2017-01-14-refined-times.txt</v>
      </c>
      <c r="AI56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{"issue":{"subject":"","project_id":79,"tracker_id":40,"status_id":1,"priority_id":2,"assigned_to_id":23,"start_date":"2017-01-14","description":"","custom_fields":[{"id":1,"name":"Subdivision","value":"EC"},{"id":4,"name":"Milepost","value":"0.0147"},{"id":17,"name":"Train ID","value":"144-14"},{"id":16,"name":"Locomotive ID","value":"4032"},{"id":130,"name":"Impact","value":""},{"id":150,"name":"Time of Event (Mountain Time)","value":"10:38:26"},{"id":151,"name":"Denver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18"/>
        <v>start /low /b %USERPROFILE%\Documents\GitHub\eaglep3\Utilities\DownloadLogsFromS3.py --loco 4032 --day 2017-01-14</v>
      </c>
      <c r="AN56" s="189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"%USERPROFILE%\AppData\Local\Temp\OnboardLogs"\RTDC4032\*4032*20170114* | grep -SE "(Enforcement Action)|(\[TIMEOUT)|(CHR.+\|PRM\|1\|D.+(SWITCH|SIGNAL).+UNKNOWN)" - &gt;&gt; 2017-01-14-UncaughtWiMAX.txt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442</v>
      </c>
      <c r="B57" s="7">
        <v>4038</v>
      </c>
      <c r="C57" s="22" t="s">
        <v>201</v>
      </c>
      <c r="D57" s="22" t="s">
        <v>308</v>
      </c>
      <c r="E57" s="13">
        <v>42749.38076388889</v>
      </c>
      <c r="F57" s="13">
        <v>42749.38559027778</v>
      </c>
      <c r="G57" s="7">
        <v>1</v>
      </c>
      <c r="H57" s="22" t="s">
        <v>295</v>
      </c>
      <c r="I57" s="13">
        <v>42749.411168981482</v>
      </c>
      <c r="J57" s="7">
        <v>0</v>
      </c>
      <c r="K57" s="105" t="str">
        <f t="shared" si="60"/>
        <v>4037/4038</v>
      </c>
      <c r="L57" s="22" t="str">
        <f>VLOOKUP(A57,'Trips&amp;Operators'!$C$1:$G$99999,5,FALSE)</f>
        <v>ROBINSON KADDIBA</v>
      </c>
      <c r="M57" s="6">
        <f t="shared" si="61"/>
        <v>2.5578703702194616E-2</v>
      </c>
      <c r="N57" s="7">
        <f t="shared" si="58"/>
        <v>36.833333331160247</v>
      </c>
      <c r="O57" s="7"/>
      <c r="P57" s="7"/>
      <c r="Q57" s="23"/>
      <c r="R57" s="23"/>
      <c r="S57" s="32">
        <f t="shared" si="62"/>
        <v>1</v>
      </c>
      <c r="T57" s="47" t="str">
        <f t="shared" si="63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08:08:18-700',mode:absolute,to:'2017-01-14 10:52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57" s="49" t="str">
        <f t="shared" si="64"/>
        <v>N</v>
      </c>
      <c r="X57" s="173">
        <f t="shared" si="71"/>
        <v>1</v>
      </c>
      <c r="Y57" s="64">
        <f t="shared" si="65"/>
        <v>4.4200000000000003E-2</v>
      </c>
      <c r="Z57" s="64">
        <f t="shared" si="59"/>
        <v>23.3306</v>
      </c>
      <c r="AA57" s="64">
        <f t="shared" si="66"/>
        <v>23.2864</v>
      </c>
      <c r="AB57" s="61" t="str">
        <f>VLOOKUP(A57,Enforcements!$C$7:$K$15,8,0)</f>
        <v>Speed (6)</v>
      </c>
      <c r="AC57" s="57" t="str">
        <f>VLOOKUP(A57,Enforcements!$C$7:$E$15,3,0)</f>
        <v>PERMANENT SPEED RESTRICTION</v>
      </c>
      <c r="AD57" s="58" t="str">
        <f t="shared" si="67"/>
        <v>0145-14</v>
      </c>
      <c r="AE57" s="87" t="str">
        <f t="shared" si="68"/>
        <v>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 &amp; 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</v>
      </c>
      <c r="AF57" s="84" t="str">
        <f t="shared" si="69"/>
        <v>"C:\Program Files (x86)\AstroGrep\AstroGrep.exe" /spath="%USERPROFILE%\AppData\Local\Temp\OnboardLogs" /stypes="app*4038*20170114*" /stext=" 16:.+((SYSTEM_STATE.+slice.+state.+changed )|(ment ac)|(multiple cpu faults)|(system.+state.+changed )|(\[timeout)|(PRM\|1\|D)|(kpr)|(kdp)|(\|lc)|(penalty))" /e /r /s</v>
      </c>
      <c r="AG57" s="1" t="str">
        <f t="shared" si="70"/>
        <v>EC</v>
      </c>
      <c r="AH57" s="88" t="str">
        <f t="shared" si="16"/>
        <v>"%USERPROFILE%\Documents\GitHub\eaglep3\Utilities\RefineRTDCRunTimes.py" --tripid 145-14 --locoid 4038 --swversion DE.1.0.8.0 --startMP 204:442 --initTime 2017-01-14T09:08:18 --startdatetime 2017-01-14T09:15:15 --delay 1 --endMP 204:233306 --enddatetime 2017-01-14T09:52:05 --enforcementcount 0 &gt;&gt;C:\Users\stu\Documents\GitHub\eaglep3-reporting\EC\2017-01-14-refined-times.txt</v>
      </c>
      <c r="AI57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{"issue":{"subject":"","project_id":79,"tracker_id":40,"status_id":1,"priority_id":2,"assigned_to_id":23,"start_date":"2017-01-14","description":"","custom_fields":[{"id":1,"name":"Subdivision","value":"EC"},{"id":4,"name":"Milepost","value":"23.3306"},{"id":17,"name":"Train ID","value":"145-14"},{"id":16,"name":"Locomotive ID","value":"4038"},{"id":130,"name":"Impact","value":""},{"id":150,"name":"Time of Event (Mountain Time)","value":"09:52:05"},{"id":151,"name":"Denver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18"/>
        <v>start /low /b %USERPROFILE%\Documents\GitHub\eaglep3\Utilities\DownloadLogsFromS3.py --loco 4038 --day 2017-01-14</v>
      </c>
      <c r="AN57" s="189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"%USERPROFILE%\AppData\Local\Temp\OnboardLogs"\RTDC4038\*4038*20170114* | grep -SE "(Enforcement Action)|(\[TIMEOUT)|(CHR.+\|PRM\|1\|D.+(SWITCH|SIGNAL).+UNKNOWN)" - &gt;&gt; 2017-01-14-UncaughtWiMAX.txt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529</v>
      </c>
      <c r="B58" s="7">
        <v>4037</v>
      </c>
      <c r="C58" s="22" t="s">
        <v>201</v>
      </c>
      <c r="D58" s="22" t="s">
        <v>662</v>
      </c>
      <c r="E58" s="13">
        <v>42749.420057870368</v>
      </c>
      <c r="F58" s="13">
        <v>42749.424467592595</v>
      </c>
      <c r="G58" s="7">
        <v>2</v>
      </c>
      <c r="H58" s="22" t="s">
        <v>408</v>
      </c>
      <c r="I58" s="13">
        <v>42749.453819444447</v>
      </c>
      <c r="J58" s="7">
        <v>0</v>
      </c>
      <c r="K58" s="105" t="str">
        <f t="shared" si="60"/>
        <v>4037/4038</v>
      </c>
      <c r="L58" s="22" t="str">
        <f>VLOOKUP(A58,'Trips&amp;Operators'!$C$1:$G$99999,5,FALSE)</f>
        <v>ROBINSON KADDIBA</v>
      </c>
      <c r="M58" s="6">
        <f t="shared" si="61"/>
        <v>2.9351851851970423E-2</v>
      </c>
      <c r="N58" s="7">
        <f t="shared" si="58"/>
        <v>42.266666666837409</v>
      </c>
      <c r="O58" s="7"/>
      <c r="P58" s="7"/>
      <c r="Q58" s="23"/>
      <c r="R58" s="23"/>
      <c r="S58" s="32">
        <f t="shared" si="62"/>
        <v>1</v>
      </c>
      <c r="T58" s="47" t="str">
        <f t="shared" si="63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09:04:53-700',mode:absolute,to:'2017-01-14 11:53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58" s="49" t="str">
        <f t="shared" si="64"/>
        <v>N</v>
      </c>
      <c r="X58" s="173">
        <f t="shared" si="71"/>
        <v>1</v>
      </c>
      <c r="Y58" s="64">
        <f t="shared" si="65"/>
        <v>23.298500000000001</v>
      </c>
      <c r="Z58" s="64">
        <f t="shared" si="59"/>
        <v>1.32E-2</v>
      </c>
      <c r="AA58" s="64">
        <f t="shared" si="66"/>
        <v>23.285299999999999</v>
      </c>
      <c r="AB58" s="61" t="e">
        <f>VLOOKUP(A58,Enforcements!$C$7:$K$15,8,0)</f>
        <v>#N/A</v>
      </c>
      <c r="AC58" s="57" t="e">
        <f>VLOOKUP(A58,Enforcements!$C$7:$E$15,3,0)</f>
        <v>#N/A</v>
      </c>
      <c r="AD58" s="58" t="str">
        <f t="shared" si="67"/>
        <v>0146-14</v>
      </c>
      <c r="AE58" s="87" t="str">
        <f t="shared" si="68"/>
        <v>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 &amp; 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</v>
      </c>
      <c r="AF58" s="84" t="str">
        <f t="shared" si="69"/>
        <v>"C:\Program Files (x86)\AstroGrep\AstroGrep.exe" /spath="%USERPROFILE%\AppData\Local\Temp\OnboardLogs" /stypes="app*4037*20170114*" /stext=" 17:.+((SYSTEM_STATE.+slice.+state.+changed )|(ment ac)|(multiple cpu faults)|(system.+state.+changed )|(\[timeout)|(PRM\|1\|D)|(kpr)|(kdp)|(\|lc)|(penalty))" /e /r /s</v>
      </c>
      <c r="AG58" s="1" t="str">
        <f t="shared" si="70"/>
        <v>EC</v>
      </c>
      <c r="AH58" s="88" t="str">
        <f t="shared" si="16"/>
        <v>"%USERPROFILE%\Documents\GitHub\eaglep3\Utilities\RefineRTDCRunTimes.py" --tripid 146-14 --locoid 4037 --swversion DE.1.0.8.0 --startMP 204:232985 --initTime 2017-01-14T10:04:53 --startdatetime 2017-01-14T10:11:14 --delay 2 --endMP 204:132 --enddatetime 2017-01-14T10:53:30 --enforcementcount 0 &gt;&gt;C:\Users\stu\Documents\GitHub\eaglep3-reporting\EC\2017-01-14-refined-times.txt</v>
      </c>
      <c r="AI58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{"issue":{"subject":"","project_id":79,"tracker_id":40,"status_id":1,"priority_id":2,"assigned_to_id":23,"start_date":"2017-01-14","description":"","custom_fields":[{"id":1,"name":"Subdivision","value":"EC"},{"id":4,"name":"Milepost","value":"0.0132"},{"id":17,"name":"Train ID","value":"146-14"},{"id":16,"name":"Locomotive ID","value":"4037"},{"id":130,"name":"Impact","value":""},{"id":150,"name":"Time of Event (Mountain Time)","value":"10:53:30"},{"id":151,"name":"Denver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18"/>
        <v>start /low /b %USERPROFILE%\Documents\GitHub\eaglep3\Utilities\DownloadLogsFromS3.py --loco 4037 --day 2017-01-14</v>
      </c>
      <c r="AN58" s="189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"%USERPROFILE%\AppData\Local\Temp\OnboardLogs"\RTDC4037\*4037*20170114* | grep -SE "(Enforcement Action)|(\[TIMEOUT)|(CHR.+\|PRM\|1\|D.+(SWITCH|SIGNAL).+UNKNOWN)" - &gt;&gt; 2017-01-14-UncaughtWiMAX.txt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519</v>
      </c>
      <c r="B59" s="7">
        <v>4003</v>
      </c>
      <c r="C59" s="22" t="s">
        <v>201</v>
      </c>
      <c r="D59" s="22" t="s">
        <v>309</v>
      </c>
      <c r="E59" s="13">
        <v>42749.3905787037</v>
      </c>
      <c r="F59" s="13">
        <v>42749.395995370367</v>
      </c>
      <c r="G59" s="7">
        <v>2</v>
      </c>
      <c r="H59" s="22" t="s">
        <v>671</v>
      </c>
      <c r="I59" s="13">
        <v>42749.420902777776</v>
      </c>
      <c r="J59" s="7">
        <v>0</v>
      </c>
      <c r="K59" s="105" t="str">
        <f t="shared" si="60"/>
        <v>4003/4004</v>
      </c>
      <c r="L59" s="22" t="str">
        <f>VLOOKUP(A59,'Trips&amp;Operators'!$C$1:$G$99999,5,FALSE)</f>
        <v>MAELZER KURT</v>
      </c>
      <c r="M59" s="6">
        <f t="shared" si="61"/>
        <v>2.4907407409045845E-2</v>
      </c>
      <c r="N59" s="7">
        <f t="shared" si="58"/>
        <v>35.866666669026017</v>
      </c>
      <c r="O59" s="7"/>
      <c r="P59" s="7"/>
      <c r="Q59" s="23"/>
      <c r="R59" s="23"/>
      <c r="S59" s="32">
        <f t="shared" si="62"/>
        <v>1</v>
      </c>
      <c r="T59" s="47" t="str">
        <f t="shared" si="63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08:22:26-700',mode:absolute,to:'2017-01-14 11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59" s="49" t="str">
        <f t="shared" si="64"/>
        <v>N</v>
      </c>
      <c r="X59" s="173">
        <f t="shared" si="71"/>
        <v>1</v>
      </c>
      <c r="Y59" s="64">
        <f t="shared" si="65"/>
        <v>4.58E-2</v>
      </c>
      <c r="Z59" s="64">
        <f t="shared" si="59"/>
        <v>23.3322</v>
      </c>
      <c r="AA59" s="64">
        <f t="shared" si="66"/>
        <v>23.2864</v>
      </c>
      <c r="AB59" s="61" t="e">
        <f>VLOOKUP(A59,Enforcements!$C$7:$K$15,8,0)</f>
        <v>#N/A</v>
      </c>
      <c r="AC59" s="57" t="e">
        <f>VLOOKUP(A59,Enforcements!$C$7:$E$15,3,0)</f>
        <v>#N/A</v>
      </c>
      <c r="AD59" s="58" t="str">
        <f t="shared" si="67"/>
        <v>0147-14</v>
      </c>
      <c r="AE59" s="87" t="str">
        <f t="shared" si="68"/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AF59" s="84" t="str">
        <f t="shared" si="69"/>
        <v>"C:\Program Files (x86)\AstroGrep\AstroGrep.exe" /spath="%USERPROFILE%\AppData\Local\Temp\OnboardLogs" /stypes="app*4003*20170114*" /stext=" 17:.+((SYSTEM_STATE.+slice.+state.+changed )|(ment ac)|(multiple cpu faults)|(system.+state.+changed )|(\[timeout)|(PRM\|1\|D)|(kpr)|(kdp)|(\|lc)|(penalty))" /e /r /s</v>
      </c>
      <c r="AG59" s="1" t="str">
        <f t="shared" si="70"/>
        <v>EC</v>
      </c>
      <c r="AH59" s="88" t="str">
        <f t="shared" si="16"/>
        <v>"%USERPROFILE%\Documents\GitHub\eaglep3\Utilities\RefineRTDCRunTimes.py" --tripid 147-14 --locoid 4003 --swversion DE.1.0.8.0 --startMP 204:458 --initTime 2017-01-14T09:22:26 --startdatetime 2017-01-14T09:30:14 --delay 2 --endMP 204:233322 --enddatetime 2017-01-14T10:06:06 --enforcementcount 0 &gt;&gt;C:\Users\stu\Documents\GitHub\eaglep3-reporting\EC\2017-01-14-refined-times.txt</v>
      </c>
      <c r="AI59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{"issue":{"subject":"","project_id":79,"tracker_id":40,"status_id":1,"priority_id":2,"assigned_to_id":23,"start_date":"2017-01-14","description":"","custom_fields":[{"id":1,"name":"Subdivision","value":"EC"},{"id":4,"name":"Milepost","value":"23.3322"},{"id":17,"name":"Train ID","value":"147-14"},{"id":16,"name":"Locomotive ID","value":"4003"},{"id":130,"name":"Impact","value":""},{"id":150,"name":"Time of Event (Mountain Time)","value":"10:06:06"},{"id":151,"name":"Denver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18"/>
        <v>start /low /b %USERPROFILE%\Documents\GitHub\eaglep3\Utilities\DownloadLogsFromS3.py --loco 4003 --day 2017-01-14</v>
      </c>
      <c r="AN59" s="189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"%USERPROFILE%\AppData\Local\Temp\OnboardLogs"\RTDC4003\*4003*20170114* | grep -SE "(Enforcement Action)|(\[TIMEOUT)|(CHR.+\|PRM\|1\|D.+(SWITCH|SIGNAL).+UNKNOWN)" - &gt;&gt; 2017-01-14-UncaughtWiMAX.txt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531</v>
      </c>
      <c r="B60" s="7">
        <v>4004</v>
      </c>
      <c r="C60" s="22" t="s">
        <v>201</v>
      </c>
      <c r="D60" s="22" t="s">
        <v>297</v>
      </c>
      <c r="E60" s="13">
        <v>42749.426724537036</v>
      </c>
      <c r="F60" s="13">
        <v>42749.434953703705</v>
      </c>
      <c r="G60" s="7">
        <v>1</v>
      </c>
      <c r="H60" s="22" t="s">
        <v>258</v>
      </c>
      <c r="I60" s="13">
        <v>42749.46534722222</v>
      </c>
      <c r="J60" s="7">
        <v>0</v>
      </c>
      <c r="K60" s="105" t="str">
        <f t="shared" si="60"/>
        <v>4003/4004</v>
      </c>
      <c r="L60" s="22" t="str">
        <f>VLOOKUP(A60,'Trips&amp;Operators'!$C$1:$G$99999,5,FALSE)</f>
        <v>MAELZER KURT</v>
      </c>
      <c r="M60" s="6">
        <f t="shared" si="61"/>
        <v>3.0393518514756579E-2</v>
      </c>
      <c r="N60" s="7">
        <f t="shared" si="58"/>
        <v>43.766666661249474</v>
      </c>
      <c r="O60" s="7"/>
      <c r="P60" s="7"/>
      <c r="Q60" s="23"/>
      <c r="R60" s="23"/>
      <c r="S60" s="32">
        <f t="shared" si="62"/>
        <v>1</v>
      </c>
      <c r="T60" s="47" t="str">
        <f t="shared" si="63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09:14:29-700',mode:absolute,to:'2017-01-14 12:10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60" s="49" t="str">
        <f t="shared" si="64"/>
        <v>N</v>
      </c>
      <c r="X60" s="173">
        <f t="shared" si="71"/>
        <v>1</v>
      </c>
      <c r="Y60" s="64">
        <f t="shared" si="65"/>
        <v>23.297999999999998</v>
      </c>
      <c r="Z60" s="64">
        <f t="shared" si="59"/>
        <v>1.52E-2</v>
      </c>
      <c r="AA60" s="64">
        <f t="shared" si="66"/>
        <v>23.282799999999998</v>
      </c>
      <c r="AB60" s="61" t="e">
        <f>VLOOKUP(A60,Enforcements!$C$7:$K$15,8,0)</f>
        <v>#N/A</v>
      </c>
      <c r="AC60" s="57" t="e">
        <f>VLOOKUP(A60,Enforcements!$C$7:$E$15,3,0)</f>
        <v>#N/A</v>
      </c>
      <c r="AD60" s="58" t="str">
        <f t="shared" si="67"/>
        <v>0148-14</v>
      </c>
      <c r="AE60" s="87" t="str">
        <f t="shared" si="68"/>
        <v>aws s3 cp s3://rtdc.mdm.uploadarchive.raw/RTDC4004/ "%USERPROFILE%\AppData\Local\Temp\OnboardLogs"\RTDC4004\2017-01-14 --exclude "*" --recursive --include "*20170114*" &amp; "%USERPROFILE%\Documents\GitHub\mrs-test-scripts\Headless Mode &amp; Sideloading\WalkAndUnGZ.bat" "%USERPROFILE%\AppData\Local\Temp\OnboardLogs"\RTDC4004\2017-01-14 &amp; aws s3 cp s3://rtdc.mdm.uploadarchive.raw/RTDC4004/ "%USERPROFILE%\AppData\Local\Temp\OnboardLogs"\RTDC4004\2017-01-15 --exclude "*" --recursive --include "*20170115*" &amp; "%USERPROFILE%\Documents\GitHub\mrs-test-scripts\Headless Mode &amp; Sideloading\WalkAndUnGZ.bat" "%USERPROFILE%\AppData\Local\Temp\OnboardLogs"\RTDC4004\2017-01-15</v>
      </c>
      <c r="AF60" s="84" t="str">
        <f t="shared" si="69"/>
        <v>"C:\Program Files (x86)\AstroGrep\AstroGrep.exe" /spath="%USERPROFILE%\AppData\Local\Temp\OnboardLogs" /stypes="app*4004*20170114*" /stext=" 18:.+((SYSTEM_STATE.+slice.+state.+changed )|(ment ac)|(multiple cpu faults)|(system.+state.+changed )|(\[timeout)|(PRM\|1\|D)|(kpr)|(kdp)|(\|lc)|(penalty))" /e /r /s</v>
      </c>
      <c r="AG60" s="1" t="str">
        <f t="shared" si="70"/>
        <v>EC</v>
      </c>
      <c r="AH60" s="88" t="str">
        <f t="shared" si="16"/>
        <v>"%USERPROFILE%\Documents\GitHub\eaglep3\Utilities\RefineRTDCRunTimes.py" --tripid 148-14 --locoid 4004 --swversion DE.1.0.8.0 --startMP 204:232980 --initTime 2017-01-14T10:14:29 --startdatetime 2017-01-14T10:26:20 --delay 1 --endMP 204:152 --enddatetime 2017-01-14T11:10:06 --enforcementcount 0 &gt;&gt;C:\Users\stu\Documents\GitHub\eaglep3-reporting\EC\2017-01-14-refined-times.txt</v>
      </c>
      <c r="AI60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{"issue":{"subject":"","project_id":79,"tracker_id":40,"status_id":1,"priority_id":2,"assigned_to_id":23,"start_date":"2017-01-14","description":"","custom_fields":[{"id":1,"name":"Subdivision","value":"EC"},{"id":4,"name":"Milepost","value":"0.0152"},{"id":17,"name":"Train ID","value":"148-14"},{"id":16,"name":"Locomotive ID","value":"4004"},{"id":130,"name":"Impact","value":""},{"id":150,"name":"Time of Event (Mountain Time)","value":"11:10:06"},{"id":151,"name":"Denver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18"/>
        <v>start /low /b %USERPROFILE%\Documents\GitHub\eaglep3\Utilities\DownloadLogsFromS3.py --loco 4004 --day 2017-01-14</v>
      </c>
      <c r="AN60" s="189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"%USERPROFILE%\AppData\Local\Temp\OnboardLogs"\RTDC4004\*4004*20170114* | grep -SE "(Enforcement Action)|(\[TIMEOUT)|(CHR.+\|PRM\|1\|D.+(SWITCH|SIGNAL).+UNKNOWN)" - &gt;&gt; 2017-01-14-UncaughtWiMAX.txt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522</v>
      </c>
      <c r="B61" s="7">
        <v>4027</v>
      </c>
      <c r="C61" s="22" t="s">
        <v>201</v>
      </c>
      <c r="D61" s="22" t="s">
        <v>272</v>
      </c>
      <c r="E61" s="13">
        <v>42749.403298611112</v>
      </c>
      <c r="F61" s="13">
        <v>42749.406423611108</v>
      </c>
      <c r="G61" s="7">
        <v>1</v>
      </c>
      <c r="H61" s="22" t="s">
        <v>305</v>
      </c>
      <c r="I61" s="13">
        <v>42749.432256944441</v>
      </c>
      <c r="J61" s="7">
        <v>0</v>
      </c>
      <c r="K61" s="105" t="str">
        <f t="shared" si="60"/>
        <v>4027/4028</v>
      </c>
      <c r="L61" s="22" t="str">
        <f>VLOOKUP(A61,'Trips&amp;Operators'!$C$1:$G$99999,5,FALSE)</f>
        <v>DAVIS WENDY</v>
      </c>
      <c r="M61" s="6">
        <f t="shared" si="61"/>
        <v>2.5833333333139308E-2</v>
      </c>
      <c r="N61" s="7">
        <f t="shared" ref="N61:N88" si="72">24*60*SUM($M61:$M61)</f>
        <v>37.199999999720603</v>
      </c>
      <c r="O61" s="7"/>
      <c r="P61" s="7"/>
      <c r="Q61" s="23"/>
      <c r="R61" s="23"/>
      <c r="S61" s="32">
        <f t="shared" si="62"/>
        <v>1</v>
      </c>
      <c r="T61" s="47" t="str">
        <f t="shared" si="63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08:40:45-700',mode:absolute,to:'2017-01-14 11:22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61" s="49" t="str">
        <f t="shared" si="64"/>
        <v>N</v>
      </c>
      <c r="X61" s="173">
        <f t="shared" si="71"/>
        <v>1</v>
      </c>
      <c r="Y61" s="64">
        <f t="shared" si="65"/>
        <v>4.4600000000000001E-2</v>
      </c>
      <c r="Z61" s="64">
        <f t="shared" si="59"/>
        <v>23.329699999999999</v>
      </c>
      <c r="AA61" s="64">
        <f t="shared" si="66"/>
        <v>23.2851</v>
      </c>
      <c r="AB61" s="61" t="e">
        <f>VLOOKUP(A61,Enforcements!$C$7:$K$15,8,0)</f>
        <v>#N/A</v>
      </c>
      <c r="AC61" s="57" t="e">
        <f>VLOOKUP(A61,Enforcements!$C$7:$E$15,3,0)</f>
        <v>#N/A</v>
      </c>
      <c r="AD61" s="58" t="str">
        <f t="shared" si="67"/>
        <v>0149-14</v>
      </c>
      <c r="AE61" s="87" t="str">
        <f t="shared" si="68"/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AF61" s="84" t="str">
        <f t="shared" si="69"/>
        <v>"C:\Program Files (x86)\AstroGrep\AstroGrep.exe" /spath="%USERPROFILE%\AppData\Local\Temp\OnboardLogs" /stypes="app*4027*20170114*" /stext=" 17:.+((SYSTEM_STATE.+slice.+state.+changed )|(ment ac)|(multiple cpu faults)|(system.+state.+changed )|(\[timeout)|(PRM\|1\|D)|(kpr)|(kdp)|(\|lc)|(penalty))" /e /r /s</v>
      </c>
      <c r="AG61" s="1" t="str">
        <f t="shared" si="70"/>
        <v>EC</v>
      </c>
      <c r="AH61" s="88" t="str">
        <f t="shared" si="16"/>
        <v>"%USERPROFILE%\Documents\GitHub\eaglep3\Utilities\RefineRTDCRunTimes.py" --tripid 149-14 --locoid 4027 --swversion DE.1.0.8.0 --startMP 204:446 --initTime 2017-01-14T09:40:45 --startdatetime 2017-01-14T09:45:15 --delay 1 --endMP 204:233297 --enddatetime 2017-01-14T10:22:27 --enforcementcount 0 &gt;&gt;C:\Users\stu\Documents\GitHub\eaglep3-reporting\EC\2017-01-14-refined-times.txt</v>
      </c>
      <c r="AI61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{"issue":{"subject":"","project_id":79,"tracker_id":40,"status_id":1,"priority_id":2,"assigned_to_id":23,"start_date":"2017-01-14","description":"","custom_fields":[{"id":1,"name":"Subdivision","value":"EC"},{"id":4,"name":"Milepost","value":"23.3297"},{"id":17,"name":"Train ID","value":"149-14"},{"id":16,"name":"Locomotive ID","value":"4027"},{"id":130,"name":"Impact","value":""},{"id":150,"name":"Time of Event (Mountain Time)","value":"10:22:27"},{"id":151,"name":"Denver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18"/>
        <v>start /low /b %USERPROFILE%\Documents\GitHub\eaglep3\Utilities\DownloadLogsFromS3.py --loco 4027 --day 2017-01-14</v>
      </c>
      <c r="AN61" s="189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"%USERPROFILE%\AppData\Local\Temp\OnboardLogs"\RTDC4027\*4027*20170114* | grep -SE "(Enforcement Action)|(\[TIMEOUT)|(CHR.+\|PRM\|1\|D.+(SWITCH|SIGNAL).+UNKNOWN)" - &gt;&gt; 2017-01-14-UncaughtWiMAX.txt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534</v>
      </c>
      <c r="B62" s="7">
        <v>4028</v>
      </c>
      <c r="C62" s="22" t="s">
        <v>201</v>
      </c>
      <c r="D62" s="22" t="s">
        <v>672</v>
      </c>
      <c r="E62" s="13">
        <v>42749.442152777781</v>
      </c>
      <c r="F62" s="13">
        <v>42749.445289351854</v>
      </c>
      <c r="G62" s="7">
        <v>0</v>
      </c>
      <c r="H62" s="22" t="s">
        <v>298</v>
      </c>
      <c r="I62" s="13">
        <v>42749.476817129631</v>
      </c>
      <c r="J62" s="7">
        <v>0</v>
      </c>
      <c r="K62" s="105" t="str">
        <f t="shared" si="60"/>
        <v>4027/4028</v>
      </c>
      <c r="L62" s="22" t="str">
        <f>VLOOKUP(A62,'Trips&amp;Operators'!$C$1:$G$99999,5,FALSE)</f>
        <v>DAVIS WENDY</v>
      </c>
      <c r="M62" s="6">
        <f t="shared" si="61"/>
        <v>3.1527777777228039E-2</v>
      </c>
      <c r="N62" s="7">
        <f t="shared" si="72"/>
        <v>45.399999999208376</v>
      </c>
      <c r="O62" s="7"/>
      <c r="P62" s="7"/>
      <c r="Q62" s="23"/>
      <c r="R62" s="23"/>
      <c r="S62" s="32">
        <f t="shared" si="62"/>
        <v>1</v>
      </c>
      <c r="T62" s="47" t="str">
        <f t="shared" si="63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09:36:42-700',mode:absolute,to:'2017-01-14 12:26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62" s="49" t="str">
        <f t="shared" si="64"/>
        <v>N</v>
      </c>
      <c r="X62" s="173">
        <f t="shared" si="71"/>
        <v>1</v>
      </c>
      <c r="Y62" s="64">
        <f t="shared" si="65"/>
        <v>23.297599999999999</v>
      </c>
      <c r="Z62" s="64">
        <f t="shared" ref="Z62:Z93" si="73">RIGHT(H62,LEN(H62)-4)/10000</f>
        <v>1.54E-2</v>
      </c>
      <c r="AA62" s="64">
        <f t="shared" si="66"/>
        <v>23.2822</v>
      </c>
      <c r="AB62" s="61" t="e">
        <f>VLOOKUP(A62,Enforcements!$C$7:$K$15,8,0)</f>
        <v>#N/A</v>
      </c>
      <c r="AC62" s="57" t="e">
        <f>VLOOKUP(A62,Enforcements!$C$7:$E$15,3,0)</f>
        <v>#N/A</v>
      </c>
      <c r="AD62" s="58" t="str">
        <f t="shared" si="67"/>
        <v>0150-14</v>
      </c>
      <c r="AE62" s="87" t="str">
        <f t="shared" si="68"/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AF62" s="84" t="str">
        <f t="shared" si="69"/>
        <v>"C:\Program Files (x86)\AstroGrep\AstroGrep.exe" /spath="%USERPROFILE%\AppData\Local\Temp\OnboardLogs" /stypes="app*4028*20170114*" /stext=" 18:.+((SYSTEM_STATE.+slice.+state.+changed )|(ment ac)|(multiple cpu faults)|(system.+state.+changed )|(\[timeout)|(PRM\|1\|D)|(kpr)|(kdp)|(\|lc)|(penalty))" /e /r /s</v>
      </c>
      <c r="AG62" s="1" t="str">
        <f t="shared" si="70"/>
        <v>EC</v>
      </c>
      <c r="AH62" s="88" t="str">
        <f t="shared" si="16"/>
        <v>"%USERPROFILE%\Documents\GitHub\eaglep3\Utilities\RefineRTDCRunTimes.py" --tripid 150-14 --locoid 4028 --swversion DE.1.0.8.0 --startMP 204:232976 --initTime 2017-01-14T10:36:42 --startdatetime 2017-01-14T10:41:13 --delay 0 --endMP 204:154 --enddatetime 2017-01-14T11:26:37 --enforcementcount 0 &gt;&gt;C:\Users\stu\Documents\GitHub\eaglep3-reporting\EC\2017-01-14-refined-times.txt</v>
      </c>
      <c r="AI62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{"issue":{"subject":"","project_id":79,"tracker_id":40,"status_id":1,"priority_id":2,"assigned_to_id":23,"start_date":"2017-01-14","description":"","custom_fields":[{"id":1,"name":"Subdivision","value":"EC"},{"id":4,"name":"Milepost","value":"0.0154"},{"id":17,"name":"Train ID","value":"150-14"},{"id":16,"name":"Locomotive ID","value":"4028"},{"id":130,"name":"Impact","value":""},{"id":150,"name":"Time of Event (Mountain Time)","value":"11:26:37"},{"id":151,"name":"Denver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18"/>
        <v>start /low /b %USERPROFILE%\Documents\GitHub\eaglep3\Utilities\DownloadLogsFromS3.py --loco 4028 --day 2017-01-14</v>
      </c>
      <c r="AN62" s="189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"%USERPROFILE%\AppData\Local\Temp\OnboardLogs"\RTDC4028\*4028*20170114* | grep -SE "(Enforcement Action)|(\[TIMEOUT)|(CHR.+\|PRM\|1\|D.+(SWITCH|SIGNAL).+UNKNOWN)" - &gt;&gt; 2017-01-14-UncaughtWiMAX.txt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524</v>
      </c>
      <c r="B63" s="7">
        <v>4022</v>
      </c>
      <c r="C63" s="22" t="s">
        <v>201</v>
      </c>
      <c r="D63" s="22" t="s">
        <v>252</v>
      </c>
      <c r="E63" s="13">
        <v>42749.410925925928</v>
      </c>
      <c r="F63" s="13">
        <v>42749.416875000003</v>
      </c>
      <c r="G63" s="7">
        <v>1</v>
      </c>
      <c r="H63" s="22" t="s">
        <v>671</v>
      </c>
      <c r="I63" s="13">
        <v>42749.441631944443</v>
      </c>
      <c r="J63" s="7">
        <v>0</v>
      </c>
      <c r="K63" s="105" t="str">
        <f t="shared" si="60"/>
        <v>4021/4022</v>
      </c>
      <c r="L63" s="22" t="str">
        <f>VLOOKUP(A63,'Trips&amp;Operators'!$C$1:$G$99999,5,FALSE)</f>
        <v>OUN ZACK</v>
      </c>
      <c r="M63" s="6">
        <f t="shared" si="61"/>
        <v>2.4756944440014195E-2</v>
      </c>
      <c r="N63" s="7">
        <f t="shared" si="72"/>
        <v>35.64999999362044</v>
      </c>
      <c r="O63" s="7"/>
      <c r="P63" s="7"/>
      <c r="Q63" s="23"/>
      <c r="R63" s="23"/>
      <c r="S63" s="32">
        <f t="shared" si="62"/>
        <v>1</v>
      </c>
      <c r="T63" s="47" t="str">
        <f t="shared" si="63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08:51:44-700',mode:absolute,to:'2017-01-14 11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63" s="49" t="str">
        <f t="shared" si="64"/>
        <v>N</v>
      </c>
      <c r="X63" s="173">
        <f t="shared" si="71"/>
        <v>1</v>
      </c>
      <c r="Y63" s="64">
        <f t="shared" si="65"/>
        <v>4.4900000000000002E-2</v>
      </c>
      <c r="Z63" s="64">
        <f t="shared" si="73"/>
        <v>23.3322</v>
      </c>
      <c r="AA63" s="64">
        <f t="shared" si="66"/>
        <v>23.287300000000002</v>
      </c>
      <c r="AB63" s="61" t="e">
        <f>VLOOKUP(A63,Enforcements!$C$7:$K$15,8,0)</f>
        <v>#N/A</v>
      </c>
      <c r="AC63" s="57" t="e">
        <f>VLOOKUP(A63,Enforcements!$C$7:$E$15,3,0)</f>
        <v>#N/A</v>
      </c>
      <c r="AD63" s="58" t="str">
        <f t="shared" si="67"/>
        <v>0151-14</v>
      </c>
      <c r="AE63" s="87" t="str">
        <f t="shared" si="68"/>
        <v>aws s3 cp s3://rtdc.mdm.uploadarchive.raw/RTDC4022/ "%USERPROFILE%\AppData\Local\Temp\OnboardLogs"\RTDC4022\2017-01-14 --exclude "*" --recursive --include "*20170114*" &amp; "%USERPROFILE%\Documents\GitHub\mrs-test-scripts\Headless Mode &amp; Sideloading\WalkAndUnGZ.bat" "%USERPROFILE%\AppData\Local\Temp\OnboardLogs"\RTDC4022\2017-01-14 &amp; 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</v>
      </c>
      <c r="AF63" s="84" t="str">
        <f t="shared" si="69"/>
        <v>"C:\Program Files (x86)\AstroGrep\AstroGrep.exe" /spath="%USERPROFILE%\AppData\Local\Temp\OnboardLogs" /stypes="app*4022*20170114*" /stext=" 17:.+((SYSTEM_STATE.+slice.+state.+changed )|(ment ac)|(multiple cpu faults)|(system.+state.+changed )|(\[timeout)|(PRM\|1\|D)|(kpr)|(kdp)|(\|lc)|(penalty))" /e /r /s</v>
      </c>
      <c r="AG63" s="1" t="str">
        <f t="shared" si="70"/>
        <v>EC</v>
      </c>
      <c r="AH63" s="88" t="str">
        <f t="shared" si="16"/>
        <v>"%USERPROFILE%\Documents\GitHub\eaglep3\Utilities\RefineRTDCRunTimes.py" --tripid 151-14 --locoid 4022 --swversion DE.1.0.8.0 --startMP 204:449 --initTime 2017-01-14T09:51:44 --startdatetime 2017-01-14T10:00:18 --delay 1 --endMP 204:233322 --enddatetime 2017-01-14T10:35:57 --enforcementcount 0 &gt;&gt;C:\Users\stu\Documents\GitHub\eaglep3-reporting\EC\2017-01-14-refined-times.txt</v>
      </c>
      <c r="AI63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{"issue":{"subject":"","project_id":79,"tracker_id":40,"status_id":1,"priority_id":2,"assigned_to_id":23,"start_date":"2017-01-14","description":"","custom_fields":[{"id":1,"name":"Subdivision","value":"EC"},{"id":4,"name":"Milepost","value":"23.3322"},{"id":17,"name":"Train ID","value":"151-14"},{"id":16,"name":"Locomotive ID","value":"4022"},{"id":130,"name":"Impact","value":""},{"id":150,"name":"Time of Event (Mountain Time)","value":"10:35:57"},{"id":151,"name":"Denver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18"/>
        <v>start /low /b %USERPROFILE%\Documents\GitHub\eaglep3\Utilities\DownloadLogsFromS3.py --loco 4022 --day 2017-01-14</v>
      </c>
      <c r="AN63" s="189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"%USERPROFILE%\AppData\Local\Temp\OnboardLogs"\RTDC4022\*4022*20170114* | grep -SE "(Enforcement Action)|(\[TIMEOUT)|(CHR.+\|PRM\|1\|D.+(SWITCH|SIGNAL).+UNKNOWN)" - &gt;&gt; 2017-01-14-UncaughtWiMAX.txt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537</v>
      </c>
      <c r="B64" s="7">
        <v>4021</v>
      </c>
      <c r="C64" s="22" t="s">
        <v>201</v>
      </c>
      <c r="D64" s="22" t="s">
        <v>414</v>
      </c>
      <c r="E64" s="13">
        <v>42749.451874999999</v>
      </c>
      <c r="F64" s="13">
        <v>42749.455787037034</v>
      </c>
      <c r="G64" s="7">
        <v>1</v>
      </c>
      <c r="H64" s="22" t="s">
        <v>206</v>
      </c>
      <c r="I64" s="13">
        <v>42749.485567129632</v>
      </c>
      <c r="J64" s="7">
        <v>0</v>
      </c>
      <c r="K64" s="105" t="str">
        <f t="shared" si="60"/>
        <v>4021/4022</v>
      </c>
      <c r="L64" s="22" t="str">
        <f>VLOOKUP(A64,'Trips&amp;Operators'!$C$1:$G$99999,5,FALSE)</f>
        <v>OUN ZACK</v>
      </c>
      <c r="M64" s="6">
        <f t="shared" si="61"/>
        <v>2.9780092598230112E-2</v>
      </c>
      <c r="N64" s="7">
        <f t="shared" si="72"/>
        <v>42.883333341451362</v>
      </c>
      <c r="O64" s="7"/>
      <c r="P64" s="7"/>
      <c r="Q64" s="23"/>
      <c r="R64" s="23"/>
      <c r="S64" s="32">
        <f t="shared" si="62"/>
        <v>1</v>
      </c>
      <c r="T64" s="47" t="str">
        <f t="shared" si="63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09:50:42-700',mode:absolute,to:'2017-01-14 12:39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64" s="49" t="str">
        <f t="shared" si="64"/>
        <v>N</v>
      </c>
      <c r="X64" s="173">
        <f t="shared" si="71"/>
        <v>1</v>
      </c>
      <c r="Y64" s="64">
        <f t="shared" si="65"/>
        <v>23.298999999999999</v>
      </c>
      <c r="Z64" s="64">
        <f t="shared" si="73"/>
        <v>1.4999999999999999E-2</v>
      </c>
      <c r="AA64" s="64">
        <f t="shared" si="66"/>
        <v>23.283999999999999</v>
      </c>
      <c r="AB64" s="61" t="e">
        <f>VLOOKUP(A64,Enforcements!$C$7:$K$15,8,0)</f>
        <v>#N/A</v>
      </c>
      <c r="AC64" s="57" t="e">
        <f>VLOOKUP(A64,Enforcements!$C$7:$E$15,3,0)</f>
        <v>#N/A</v>
      </c>
      <c r="AD64" s="58" t="str">
        <f t="shared" si="67"/>
        <v>0152-14</v>
      </c>
      <c r="AE64" s="87" t="str">
        <f t="shared" si="68"/>
        <v>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 &amp; 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</v>
      </c>
      <c r="AF64" s="84" t="str">
        <f t="shared" si="69"/>
        <v>"C:\Program Files (x86)\AstroGrep\AstroGrep.exe" /spath="%USERPROFILE%\AppData\Local\Temp\OnboardLogs" /stypes="app*4021*20170114*" /stext=" 18:.+((SYSTEM_STATE.+slice.+state.+changed )|(ment ac)|(multiple cpu faults)|(system.+state.+changed )|(\[timeout)|(PRM\|1\|D)|(kpr)|(kdp)|(\|lc)|(penalty))" /e /r /s</v>
      </c>
      <c r="AG64" s="1" t="str">
        <f t="shared" si="70"/>
        <v>EC</v>
      </c>
      <c r="AH64" s="88" t="str">
        <f t="shared" si="16"/>
        <v>"%USERPROFILE%\Documents\GitHub\eaglep3\Utilities\RefineRTDCRunTimes.py" --tripid 152-14 --locoid 4021 --swversion DE.1.0.8.0 --startMP 204:232990 --initTime 2017-01-14T10:50:42 --startdatetime 2017-01-14T10:56:20 --delay 1 --endMP 204:150 --enddatetime 2017-01-14T11:39:13 --enforcementcount 0 &gt;&gt;C:\Users\stu\Documents\GitHub\eaglep3-reporting\EC\2017-01-14-refined-times.txt</v>
      </c>
      <c r="AI64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{"issue":{"subject":"","project_id":79,"tracker_id":40,"status_id":1,"priority_id":2,"assigned_to_id":23,"start_date":"2017-01-14","description":"","custom_fields":[{"id":1,"name":"Subdivision","value":"EC"},{"id":4,"name":"Milepost","value":"0.015"},{"id":17,"name":"Train ID","value":"152-14"},{"id":16,"name":"Locomotive ID","value":"4021"},{"id":130,"name":"Impact","value":""},{"id":150,"name":"Time of Event (Mountain Time)","value":"11:39:13"},{"id":151,"name":"Denver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18"/>
        <v>start /low /b %USERPROFILE%\Documents\GitHub\eaglep3\Utilities\DownloadLogsFromS3.py --loco 4021 --day 2017-01-14</v>
      </c>
      <c r="AN64" s="189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"%USERPROFILE%\AppData\Local\Temp\OnboardLogs"\RTDC4021\*4021*20170114* | grep -SE "(Enforcement Action)|(\[TIMEOUT)|(CHR.+\|PRM\|1\|D.+(SWITCH|SIGNAL).+UNKNOWN)" - &gt;&gt; 2017-01-14-UncaughtWiMAX.txt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530</v>
      </c>
      <c r="B65" s="7">
        <v>4018</v>
      </c>
      <c r="C65" s="22" t="s">
        <v>201</v>
      </c>
      <c r="D65" s="22" t="s">
        <v>409</v>
      </c>
      <c r="E65" s="13">
        <v>42749.423437500001</v>
      </c>
      <c r="F65" s="13">
        <v>42749.427777777775</v>
      </c>
      <c r="G65" s="7">
        <v>1</v>
      </c>
      <c r="H65" s="22" t="s">
        <v>667</v>
      </c>
      <c r="I65" s="13">
        <v>42749.455636574072</v>
      </c>
      <c r="J65" s="7">
        <v>0</v>
      </c>
      <c r="K65" s="105" t="str">
        <f t="shared" si="60"/>
        <v>4017/4018</v>
      </c>
      <c r="L65" s="22" t="str">
        <f>VLOOKUP(A65,'Trips&amp;Operators'!$C$1:$G$99999,5,FALSE)</f>
        <v>LOZA FIDEL</v>
      </c>
      <c r="M65" s="6">
        <f t="shared" si="61"/>
        <v>2.7858796296641231E-2</v>
      </c>
      <c r="N65" s="7">
        <f t="shared" si="72"/>
        <v>40.116666667163372</v>
      </c>
      <c r="O65" s="7"/>
      <c r="P65" s="7"/>
      <c r="Q65" s="23"/>
      <c r="R65" s="23"/>
      <c r="S65" s="32">
        <f t="shared" si="62"/>
        <v>1</v>
      </c>
      <c r="T65" s="47" t="str">
        <f t="shared" si="63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09:09:45-700',mode:absolute,to:'2017-01-14 11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65" s="49" t="str">
        <f t="shared" si="64"/>
        <v>N</v>
      </c>
      <c r="X65" s="173">
        <f t="shared" si="71"/>
        <v>1</v>
      </c>
      <c r="Y65" s="64">
        <f t="shared" si="65"/>
        <v>4.4400000000000002E-2</v>
      </c>
      <c r="Z65" s="64">
        <f t="shared" si="73"/>
        <v>23.333200000000001</v>
      </c>
      <c r="AA65" s="64">
        <f t="shared" si="66"/>
        <v>23.288800000000002</v>
      </c>
      <c r="AB65" s="61" t="e">
        <f>VLOOKUP(A65,Enforcements!$C$7:$K$15,8,0)</f>
        <v>#N/A</v>
      </c>
      <c r="AC65" s="57" t="e">
        <f>VLOOKUP(A65,Enforcements!$C$7:$E$15,3,0)</f>
        <v>#N/A</v>
      </c>
      <c r="AD65" s="58" t="str">
        <f t="shared" si="67"/>
        <v>0153-14</v>
      </c>
      <c r="AE65" s="87" t="str">
        <f t="shared" si="68"/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AF65" s="84" t="str">
        <f t="shared" si="69"/>
        <v>"C:\Program Files (x86)\AstroGrep\AstroGrep.exe" /spath="%USERPROFILE%\AppData\Local\Temp\OnboardLogs" /stypes="app*4018*20170114*" /stext=" 17:.+((SYSTEM_STATE.+slice.+state.+changed )|(ment ac)|(multiple cpu faults)|(system.+state.+changed )|(\[timeout)|(PRM\|1\|D)|(kpr)|(kdp)|(\|lc)|(penalty))" /e /r /s</v>
      </c>
      <c r="AG65" s="1" t="str">
        <f t="shared" si="70"/>
        <v>EC</v>
      </c>
      <c r="AH65" s="88" t="str">
        <f t="shared" si="16"/>
        <v>"%USERPROFILE%\Documents\GitHub\eaglep3\Utilities\RefineRTDCRunTimes.py" --tripid 153-14 --locoid 4018 --swversion DE.1.0.8.0 --startMP 204:444 --initTime 2017-01-14T10:09:45 --startdatetime 2017-01-14T10:16:00 --delay 1 --endMP 204:233332 --enddatetime 2017-01-14T10:56:07 --enforcementcount 0 &gt;&gt;C:\Users\stu\Documents\GitHub\eaglep3-reporting\EC\2017-01-14-refined-times.txt</v>
      </c>
      <c r="AI65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{"issue":{"subject":"","project_id":79,"tracker_id":40,"status_id":1,"priority_id":2,"assigned_to_id":23,"start_date":"2017-01-14","description":"","custom_fields":[{"id":1,"name":"Subdivision","value":"EC"},{"id":4,"name":"Milepost","value":"23.3332"},{"id":17,"name":"Train ID","value":"153-14"},{"id":16,"name":"Locomotive ID","value":"4018"},{"id":130,"name":"Impact","value":""},{"id":150,"name":"Time of Event (Mountain Time)","value":"10:56:07"},{"id":151,"name":"Denver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18"/>
        <v>start /low /b %USERPROFILE%\Documents\GitHub\eaglep3\Utilities\DownloadLogsFromS3.py --loco 4018 --day 2017-01-14</v>
      </c>
      <c r="AN65" s="189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"%USERPROFILE%\AppData\Local\Temp\OnboardLogs"\RTDC4018\*4018*20170114* | grep -SE "(Enforcement Action)|(\[TIMEOUT)|(CHR.+\|PRM\|1\|D.+(SWITCH|SIGNAL).+UNKNOWN)" - &gt;&gt; 2017-01-14-UncaughtWiMAX.txt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542</v>
      </c>
      <c r="B66" s="7">
        <v>4017</v>
      </c>
      <c r="C66" s="22" t="s">
        <v>201</v>
      </c>
      <c r="D66" s="22" t="s">
        <v>264</v>
      </c>
      <c r="E66" s="13">
        <v>42749.461851851855</v>
      </c>
      <c r="F66" s="13">
        <v>42749.466365740744</v>
      </c>
      <c r="G66" s="7">
        <v>0</v>
      </c>
      <c r="H66" s="22" t="s">
        <v>258</v>
      </c>
      <c r="I66" s="13">
        <v>42749.493379629632</v>
      </c>
      <c r="J66" s="7">
        <v>0</v>
      </c>
      <c r="K66" s="105" t="str">
        <f t="shared" si="60"/>
        <v>4017/4018</v>
      </c>
      <c r="L66" s="22" t="str">
        <f>VLOOKUP(A66,'Trips&amp;Operators'!$C$1:$G$99999,5,FALSE)</f>
        <v>LOZA FIDEL</v>
      </c>
      <c r="M66" s="6">
        <f t="shared" si="61"/>
        <v>2.7013888888177462E-2</v>
      </c>
      <c r="N66" s="7">
        <f t="shared" si="72"/>
        <v>38.899999998975545</v>
      </c>
      <c r="O66" s="7"/>
      <c r="P66" s="7"/>
      <c r="Q66" s="23"/>
      <c r="R66" s="23"/>
      <c r="S66" s="32">
        <f t="shared" si="62"/>
        <v>1</v>
      </c>
      <c r="T66" s="47" t="str">
        <f t="shared" si="63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10:05:04-700',mode:absolute,to:'2017-01-14 12:50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66" s="49" t="str">
        <f t="shared" si="64"/>
        <v>N</v>
      </c>
      <c r="X66" s="173">
        <f t="shared" si="71"/>
        <v>1</v>
      </c>
      <c r="Y66" s="64">
        <f t="shared" si="65"/>
        <v>23.3</v>
      </c>
      <c r="Z66" s="64">
        <f t="shared" si="73"/>
        <v>1.52E-2</v>
      </c>
      <c r="AA66" s="64">
        <f t="shared" si="66"/>
        <v>23.284800000000001</v>
      </c>
      <c r="AB66" s="61" t="e">
        <f>VLOOKUP(A66,Enforcements!$C$7:$K$15,8,0)</f>
        <v>#N/A</v>
      </c>
      <c r="AC66" s="57" t="e">
        <f>VLOOKUP(A66,Enforcements!$C$7:$E$15,3,0)</f>
        <v>#N/A</v>
      </c>
      <c r="AD66" s="58" t="str">
        <f t="shared" si="67"/>
        <v>0154-14</v>
      </c>
      <c r="AE66" s="87" t="str">
        <f t="shared" si="68"/>
        <v>aws s3 cp s3://rtdc.mdm.uploadarchive.raw/RTDC4017/ "%USERPROFILE%\AppData\Local\Temp\OnboardLogs"\RTDC4017\2017-01-14 --exclude "*" --recursive --include "*20170114*" &amp; "%USERPROFILE%\Documents\GitHub\mrs-test-scripts\Headless Mode &amp; Sideloading\WalkAndUnGZ.bat" "%USERPROFILE%\AppData\Local\Temp\OnboardLogs"\RTDC4017\2017-01-14 &amp; aws s3 cp s3://rtdc.mdm.uploadarchive.raw/RTDC4017/ "%USERPROFILE%\AppData\Local\Temp\OnboardLogs"\RTDC4017\2017-01-15 --exclude "*" --recursive --include "*20170115*" &amp; "%USERPROFILE%\Documents\GitHub\mrs-test-scripts\Headless Mode &amp; Sideloading\WalkAndUnGZ.bat" "%USERPROFILE%\AppData\Local\Temp\OnboardLogs"\RTDC4017\2017-01-15</v>
      </c>
      <c r="AF66" s="84" t="str">
        <f t="shared" si="69"/>
        <v>"C:\Program Files (x86)\AstroGrep\AstroGrep.exe" /spath="%USERPROFILE%\AppData\Local\Temp\OnboardLogs" /stypes="app*4017*20170114*" /stext=" 18:.+((SYSTEM_STATE.+slice.+state.+changed )|(ment ac)|(multiple cpu faults)|(system.+state.+changed )|(\[timeout)|(PRM\|1\|D)|(kpr)|(kdp)|(\|lc)|(penalty))" /e /r /s</v>
      </c>
      <c r="AG66" s="1" t="str">
        <f t="shared" si="70"/>
        <v>EC</v>
      </c>
      <c r="AH66" s="88" t="str">
        <f t="shared" si="16"/>
        <v>"%USERPROFILE%\Documents\GitHub\eaglep3\Utilities\RefineRTDCRunTimes.py" --tripid 154-14 --locoid 4017 --swversion DE.1.0.8.0 --startMP 204:233000 --initTime 2017-01-14T11:05:04 --startdatetime 2017-01-14T11:11:34 --delay 0 --endMP 204:152 --enddatetime 2017-01-14T11:50:28 --enforcementcount 0 &gt;&gt;C:\Users\stu\Documents\GitHub\eaglep3-reporting\EC\2017-01-14-refined-times.txt</v>
      </c>
      <c r="AI66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{"issue":{"subject":"","project_id":79,"tracker_id":40,"status_id":1,"priority_id":2,"assigned_to_id":23,"start_date":"2017-01-14","description":"","custom_fields":[{"id":1,"name":"Subdivision","value":"EC"},{"id":4,"name":"Milepost","value":"0.0152"},{"id":17,"name":"Train ID","value":"154-14"},{"id":16,"name":"Locomotive ID","value":"4017"},{"id":130,"name":"Impact","value":""},{"id":150,"name":"Time of Event (Mountain Time)","value":"11:50:28"},{"id":151,"name":"Denver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18"/>
        <v>start /low /b %USERPROFILE%\Documents\GitHub\eaglep3\Utilities\DownloadLogsFromS3.py --loco 4017 --day 2017-01-14</v>
      </c>
      <c r="AN66" s="189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"%USERPROFILE%\AppData\Local\Temp\OnboardLogs"\RTDC4017\*4017*20170114* | grep -SE "(Enforcement Action)|(\[TIMEOUT)|(CHR.+\|PRM\|1\|D.+(SWITCH|SIGNAL).+UNKNOWN)" - &gt;&gt; 2017-01-14-UncaughtWiMAX.txt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532</v>
      </c>
      <c r="B67" s="7">
        <v>4014</v>
      </c>
      <c r="C67" s="22" t="s">
        <v>201</v>
      </c>
      <c r="D67" s="22" t="s">
        <v>244</v>
      </c>
      <c r="E67" s="13">
        <v>42749.432685185187</v>
      </c>
      <c r="F67" s="13">
        <v>42749.437754629631</v>
      </c>
      <c r="G67" s="7">
        <v>3</v>
      </c>
      <c r="H67" s="22" t="s">
        <v>420</v>
      </c>
      <c r="I67" s="13">
        <v>42749.464768518519</v>
      </c>
      <c r="J67" s="7">
        <v>0</v>
      </c>
      <c r="K67" s="105" t="str">
        <f t="shared" si="60"/>
        <v>4013/4014</v>
      </c>
      <c r="L67" s="22" t="str">
        <f>VLOOKUP(A67,'Trips&amp;Operators'!$C$1:$G$99999,5,FALSE)</f>
        <v>BRANDNER MELINDA</v>
      </c>
      <c r="M67" s="6">
        <f t="shared" si="61"/>
        <v>2.7013888888177462E-2</v>
      </c>
      <c r="N67" s="7">
        <f t="shared" si="72"/>
        <v>38.899999998975545</v>
      </c>
      <c r="O67" s="7"/>
      <c r="P67" s="7"/>
      <c r="Q67" s="23"/>
      <c r="R67" s="23"/>
      <c r="S67" s="32">
        <f t="shared" si="62"/>
        <v>1</v>
      </c>
      <c r="T67" s="47" t="str">
        <f t="shared" si="63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09:23:04-700',mode:absolute,to:'2017-01-14 12:09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67" s="49" t="str">
        <f t="shared" si="64"/>
        <v>N</v>
      </c>
      <c r="X67" s="173">
        <f t="shared" si="71"/>
        <v>1</v>
      </c>
      <c r="Y67" s="64">
        <f t="shared" si="65"/>
        <v>4.6199999999999998E-2</v>
      </c>
      <c r="Z67" s="64">
        <f t="shared" si="73"/>
        <v>23.328399999999998</v>
      </c>
      <c r="AA67" s="64">
        <f t="shared" si="66"/>
        <v>23.2822</v>
      </c>
      <c r="AB67" s="61" t="e">
        <f>VLOOKUP(A67,Enforcements!$C$7:$K$15,8,0)</f>
        <v>#N/A</v>
      </c>
      <c r="AC67" s="57" t="e">
        <f>VLOOKUP(A67,Enforcements!$C$7:$E$15,3,0)</f>
        <v>#N/A</v>
      </c>
      <c r="AD67" s="58" t="str">
        <f t="shared" si="67"/>
        <v>0155-14</v>
      </c>
      <c r="AE67" s="87" t="str">
        <f t="shared" si="68"/>
        <v>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 &amp; 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</v>
      </c>
      <c r="AF67" s="84" t="str">
        <f t="shared" si="69"/>
        <v>"C:\Program Files (x86)\AstroGrep\AstroGrep.exe" /spath="%USERPROFILE%\AppData\Local\Temp\OnboardLogs" /stypes="app*4014*20170114*" /stext=" 18:.+((SYSTEM_STATE.+slice.+state.+changed )|(ment ac)|(multiple cpu faults)|(system.+state.+changed )|(\[timeout)|(PRM\|1\|D)|(kpr)|(kdp)|(\|lc)|(penalty))" /e /r /s</v>
      </c>
      <c r="AG67" s="1" t="str">
        <f t="shared" si="70"/>
        <v>EC</v>
      </c>
      <c r="AH67" s="88" t="str">
        <f t="shared" si="16"/>
        <v>"%USERPROFILE%\Documents\GitHub\eaglep3\Utilities\RefineRTDCRunTimes.py" --tripid 155-14 --locoid 4014 --swversion DE.1.0.8.0 --startMP 204:462 --initTime 2017-01-14T10:23:04 --startdatetime 2017-01-14T10:30:22 --delay 3 --endMP 204:233284 --enddatetime 2017-01-14T11:09:16 --enforcementcount 0 &gt;&gt;C:\Users\stu\Documents\GitHub\eaglep3-reporting\EC\2017-01-14-refined-times.txt</v>
      </c>
      <c r="AI67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{"issue":{"subject":"","project_id":79,"tracker_id":40,"status_id":1,"priority_id":2,"assigned_to_id":23,"start_date":"2017-01-14","description":"","custom_fields":[{"id":1,"name":"Subdivision","value":"EC"},{"id":4,"name":"Milepost","value":"23.3284"},{"id":17,"name":"Train ID","value":"155-14"},{"id":16,"name":"Locomotive ID","value":"4014"},{"id":130,"name":"Impact","value":""},{"id":150,"name":"Time of Event (Mountain Time)","value":"11:09:16"},{"id":151,"name":"Denver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18"/>
        <v>start /low /b %USERPROFILE%\Documents\GitHub\eaglep3\Utilities\DownloadLogsFromS3.py --loco 4014 --day 2017-01-14</v>
      </c>
      <c r="AN67" s="189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"%USERPROFILE%\AppData\Local\Temp\OnboardLogs"\RTDC4014\*4014*20170114* | grep -SE "(Enforcement Action)|(\[TIMEOUT)|(CHR.+\|PRM\|1\|D.+(SWITCH|SIGNAL).+UNKNOWN)" - &gt;&gt; 2017-01-14-UncaughtWiMAX.txt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544</v>
      </c>
      <c r="B68" s="7">
        <v>4013</v>
      </c>
      <c r="C68" s="22" t="s">
        <v>201</v>
      </c>
      <c r="D68" s="22" t="s">
        <v>307</v>
      </c>
      <c r="E68" s="13">
        <v>42749.469583333332</v>
      </c>
      <c r="F68" s="13">
        <v>42749.4765625</v>
      </c>
      <c r="G68" s="7">
        <v>1</v>
      </c>
      <c r="H68" s="22" t="s">
        <v>239</v>
      </c>
      <c r="I68" s="13">
        <v>42749.507141203707</v>
      </c>
      <c r="J68" s="7">
        <v>0</v>
      </c>
      <c r="K68" s="105" t="str">
        <f t="shared" si="60"/>
        <v>4013/4014</v>
      </c>
      <c r="L68" s="22" t="str">
        <f>VLOOKUP(A68,'Trips&amp;Operators'!$C$1:$G$99999,5,FALSE)</f>
        <v>BRANDNER MELINDA</v>
      </c>
      <c r="M68" s="6">
        <f t="shared" si="61"/>
        <v>3.0578703706851229E-2</v>
      </c>
      <c r="N68" s="7">
        <f t="shared" si="72"/>
        <v>44.03333333786577</v>
      </c>
      <c r="O68" s="7"/>
      <c r="P68" s="7"/>
      <c r="Q68" s="23"/>
      <c r="R68" s="23"/>
      <c r="S68" s="32">
        <f t="shared" si="62"/>
        <v>1</v>
      </c>
      <c r="T68" s="47" t="str">
        <f t="shared" si="63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10:16:12-700',mode:absolute,to:'2017-01-14 13:10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68" s="49" t="str">
        <f t="shared" si="64"/>
        <v>N</v>
      </c>
      <c r="X68" s="173">
        <f t="shared" si="71"/>
        <v>1</v>
      </c>
      <c r="Y68" s="64">
        <f t="shared" si="65"/>
        <v>23.297499999999999</v>
      </c>
      <c r="Z68" s="64">
        <f t="shared" si="73"/>
        <v>1.47E-2</v>
      </c>
      <c r="AA68" s="64">
        <f t="shared" si="66"/>
        <v>23.282799999999998</v>
      </c>
      <c r="AB68" s="61" t="e">
        <f>VLOOKUP(A68,Enforcements!$C$7:$K$15,8,0)</f>
        <v>#N/A</v>
      </c>
      <c r="AC68" s="57" t="e">
        <f>VLOOKUP(A68,Enforcements!$C$7:$E$15,3,0)</f>
        <v>#N/A</v>
      </c>
      <c r="AD68" s="58" t="str">
        <f t="shared" si="67"/>
        <v>0156-14</v>
      </c>
      <c r="AE68" s="87" t="str">
        <f t="shared" si="68"/>
        <v>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 &amp; 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</v>
      </c>
      <c r="AF68" s="84" t="str">
        <f t="shared" si="69"/>
        <v>"C:\Program Files (x86)\AstroGrep\AstroGrep.exe" /spath="%USERPROFILE%\AppData\Local\Temp\OnboardLogs" /stypes="app*4013*20170114*" /stext=" 19:.+((SYSTEM_STATE.+slice.+state.+changed )|(ment ac)|(multiple cpu faults)|(system.+state.+changed )|(\[timeout)|(PRM\|1\|D)|(kpr)|(kdp)|(\|lc)|(penalty))" /e /r /s</v>
      </c>
      <c r="AG68" s="1" t="str">
        <f t="shared" si="70"/>
        <v>EC</v>
      </c>
      <c r="AH68" s="88" t="str">
        <f t="shared" si="16"/>
        <v>"%USERPROFILE%\Documents\GitHub\eaglep3\Utilities\RefineRTDCRunTimes.py" --tripid 156-14 --locoid 4013 --swversion DE.1.0.8.0 --startMP 204:232975 --initTime 2017-01-14T11:16:12 --startdatetime 2017-01-14T11:26:15 --delay 1 --endMP 204:147 --enddatetime 2017-01-14T12:10:17 --enforcementcount 0 &gt;&gt;C:\Users\stu\Documents\GitHub\eaglep3-reporting\EC\2017-01-14-refined-times.txt</v>
      </c>
      <c r="AI68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{"issue":{"subject":"","project_id":79,"tracker_id":40,"status_id":1,"priority_id":2,"assigned_to_id":23,"start_date":"2017-01-14","description":"","custom_fields":[{"id":1,"name":"Subdivision","value":"EC"},{"id":4,"name":"Milepost","value":"0.0147"},{"id":17,"name":"Train ID","value":"156-14"},{"id":16,"name":"Locomotive ID","value":"4013"},{"id":130,"name":"Impact","value":""},{"id":150,"name":"Time of Event (Mountain Time)","value":"12:10:17"},{"id":151,"name":"Denver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18"/>
        <v>start /low /b %USERPROFILE%\Documents\GitHub\eaglep3\Utilities\DownloadLogsFromS3.py --loco 4013 --day 2017-01-14</v>
      </c>
      <c r="AN68" s="189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"%USERPROFILE%\AppData\Local\Temp\OnboardLogs"\RTDC4013\*4013*20170114* | grep -SE "(Enforcement Action)|(\[TIMEOUT)|(CHR.+\|PRM\|1\|D.+(SWITCH|SIGNAL).+UNKNOWN)" - &gt;&gt; 2017-01-14-UncaughtWiMAX.txt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536</v>
      </c>
      <c r="B69" s="7">
        <v>4031</v>
      </c>
      <c r="C69" s="22" t="s">
        <v>201</v>
      </c>
      <c r="D69" s="22" t="s">
        <v>673</v>
      </c>
      <c r="E69" s="13">
        <v>42749.4453587963</v>
      </c>
      <c r="F69" s="13">
        <v>42749.44809027778</v>
      </c>
      <c r="G69" s="7">
        <v>2</v>
      </c>
      <c r="H69" s="22" t="s">
        <v>674</v>
      </c>
      <c r="I69" s="13">
        <v>42749.473969907405</v>
      </c>
      <c r="J69" s="7">
        <v>0</v>
      </c>
      <c r="K69" s="105" t="str">
        <f t="shared" si="60"/>
        <v>4031/4032</v>
      </c>
      <c r="L69" s="22" t="str">
        <f>VLOOKUP(A69,'Trips&amp;Operators'!$C$1:$G$99999,5,FALSE)</f>
        <v>GEBRETEKLE DAGNEW</v>
      </c>
      <c r="M69" s="6">
        <f t="shared" si="61"/>
        <v>2.5879629625706002E-2</v>
      </c>
      <c r="N69" s="7">
        <f t="shared" si="72"/>
        <v>37.266666661016643</v>
      </c>
      <c r="O69" s="7"/>
      <c r="P69" s="7"/>
      <c r="Q69" s="23"/>
      <c r="R69" s="23"/>
      <c r="S69" s="32">
        <f t="shared" si="62"/>
        <v>1</v>
      </c>
      <c r="T69" s="47" t="str">
        <f t="shared" si="63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09:41:19-700',mode:absolute,to:'2017-01-14 12:22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69" s="49" t="str">
        <f t="shared" si="64"/>
        <v>N</v>
      </c>
      <c r="X69" s="173">
        <f t="shared" si="71"/>
        <v>1</v>
      </c>
      <c r="Y69" s="64">
        <f t="shared" si="65"/>
        <v>4.3299999999999998E-2</v>
      </c>
      <c r="Z69" s="64">
        <f t="shared" si="73"/>
        <v>23.328499999999998</v>
      </c>
      <c r="AA69" s="64">
        <f t="shared" si="66"/>
        <v>23.2852</v>
      </c>
      <c r="AB69" s="61" t="e">
        <f>VLOOKUP(A69,Enforcements!$C$7:$K$15,8,0)</f>
        <v>#N/A</v>
      </c>
      <c r="AC69" s="57" t="e">
        <f>VLOOKUP(A69,Enforcements!$C$7:$E$15,3,0)</f>
        <v>#N/A</v>
      </c>
      <c r="AD69" s="58" t="str">
        <f t="shared" si="67"/>
        <v>0157-14</v>
      </c>
      <c r="AE69" s="87" t="str">
        <f t="shared" si="68"/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AF69" s="84" t="str">
        <f t="shared" si="69"/>
        <v>"C:\Program Files (x86)\AstroGrep\AstroGrep.exe" /spath="%USERPROFILE%\AppData\Local\Temp\OnboardLogs" /stypes="app*4031*20170114*" /stext=" 18:.+((SYSTEM_STATE.+slice.+state.+changed )|(ment ac)|(multiple cpu faults)|(system.+state.+changed )|(\[timeout)|(PRM\|1\|D)|(kpr)|(kdp)|(\|lc)|(penalty))" /e /r /s</v>
      </c>
      <c r="AG69" s="1" t="str">
        <f t="shared" si="70"/>
        <v>EC</v>
      </c>
      <c r="AH69" s="88" t="str">
        <f t="shared" si="16"/>
        <v>"%USERPROFILE%\Documents\GitHub\eaglep3\Utilities\RefineRTDCRunTimes.py" --tripid 157-14 --locoid 4031 --swversion DE.1.0.8.0 --startMP 204:433 --initTime 2017-01-14T10:41:19 --startdatetime 2017-01-14T10:45:15 --delay 2 --endMP 204:233285 --enddatetime 2017-01-14T11:22:31 --enforcementcount 0 &gt;&gt;C:\Users\stu\Documents\GitHub\eaglep3-reporting\EC\2017-01-14-refined-times.txt</v>
      </c>
      <c r="AI69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{"issue":{"subject":"","project_id":79,"tracker_id":40,"status_id":1,"priority_id":2,"assigned_to_id":23,"start_date":"2017-01-14","description":"","custom_fields":[{"id":1,"name":"Subdivision","value":"EC"},{"id":4,"name":"Milepost","value":"23.3285"},{"id":17,"name":"Train ID","value":"157-14"},{"id":16,"name":"Locomotive ID","value":"4031"},{"id":130,"name":"Impact","value":""},{"id":150,"name":"Time of Event (Mountain Time)","value":"11:22:31"},{"id":151,"name":"Denver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18"/>
        <v>start /low /b %USERPROFILE%\Documents\GitHub\eaglep3\Utilities\DownloadLogsFromS3.py --loco 4031 --day 2017-01-14</v>
      </c>
      <c r="AN69" s="189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"%USERPROFILE%\AppData\Local\Temp\OnboardLogs"\RTDC4031\*4031*20170114* | grep -SE "(Enforcement Action)|(\[TIMEOUT)|(CHR.+\|PRM\|1\|D.+(SWITCH|SIGNAL).+UNKNOWN)" - &gt;&gt; 2017-01-14-UncaughtWiMAX.txt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546</v>
      </c>
      <c r="B70" s="7">
        <v>4032</v>
      </c>
      <c r="C70" s="22" t="s">
        <v>201</v>
      </c>
      <c r="D70" s="22" t="s">
        <v>675</v>
      </c>
      <c r="E70" s="13">
        <v>42749.48300925926</v>
      </c>
      <c r="F70" s="13">
        <v>42749.486990740741</v>
      </c>
      <c r="G70" s="7">
        <v>1</v>
      </c>
      <c r="H70" s="22" t="s">
        <v>676</v>
      </c>
      <c r="I70" s="13">
        <v>42749.512511574074</v>
      </c>
      <c r="J70" s="7">
        <v>0</v>
      </c>
      <c r="K70" s="105" t="str">
        <f t="shared" si="60"/>
        <v>4031/4032</v>
      </c>
      <c r="L70" s="22" t="str">
        <f>VLOOKUP(A70,'Trips&amp;Operators'!$C$1:$G$99999,5,FALSE)</f>
        <v>GEBRETEKLE DAGNEW</v>
      </c>
      <c r="M70" s="6">
        <f t="shared" si="61"/>
        <v>2.5520833332848269E-2</v>
      </c>
      <c r="N70" s="7">
        <f t="shared" si="72"/>
        <v>36.749999999301508</v>
      </c>
      <c r="O70" s="7"/>
      <c r="P70" s="7"/>
      <c r="Q70" s="23"/>
      <c r="R70" s="23"/>
      <c r="S70" s="32">
        <f t="shared" si="62"/>
        <v>1</v>
      </c>
      <c r="T70" s="47" t="str">
        <f t="shared" si="63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10:35:32-700',mode:absolute,to:'2017-01-14 13:18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70" s="49" t="str">
        <f t="shared" si="64"/>
        <v>N</v>
      </c>
      <c r="X70" s="173">
        <f t="shared" si="71"/>
        <v>1</v>
      </c>
      <c r="Y70" s="64">
        <f t="shared" si="65"/>
        <v>23.2972</v>
      </c>
      <c r="Z70" s="64">
        <f t="shared" si="73"/>
        <v>1.7999999999999999E-2</v>
      </c>
      <c r="AA70" s="64">
        <f t="shared" si="66"/>
        <v>23.279199999999999</v>
      </c>
      <c r="AB70" s="61" t="e">
        <f>VLOOKUP(A70,Enforcements!$C$7:$K$15,8,0)</f>
        <v>#N/A</v>
      </c>
      <c r="AC70" s="57" t="e">
        <f>VLOOKUP(A70,Enforcements!$C$7:$E$15,3,0)</f>
        <v>#N/A</v>
      </c>
      <c r="AD70" s="58" t="str">
        <f t="shared" si="67"/>
        <v>0158-14</v>
      </c>
      <c r="AE70" s="87" t="str">
        <f t="shared" si="68"/>
        <v>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 &amp; 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</v>
      </c>
      <c r="AF70" s="84" t="str">
        <f t="shared" si="69"/>
        <v>"C:\Program Files (x86)\AstroGrep\AstroGrep.exe" /spath="%USERPROFILE%\AppData\Local\Temp\OnboardLogs" /stypes="app*4032*20170114*" /stext=" 19:.+((SYSTEM_STATE.+slice.+state.+changed )|(ment ac)|(multiple cpu faults)|(system.+state.+changed )|(\[timeout)|(PRM\|1\|D)|(kpr)|(kdp)|(\|lc)|(penalty))" /e /r /s</v>
      </c>
      <c r="AG70" s="1" t="str">
        <f t="shared" si="70"/>
        <v>EC</v>
      </c>
      <c r="AH70" s="88" t="str">
        <f t="shared" si="16"/>
        <v>"%USERPROFILE%\Documents\GitHub\eaglep3\Utilities\RefineRTDCRunTimes.py" --tripid 158-14 --locoid 4032 --swversion DE.1.0.8.0 --startMP 204:232972 --initTime 2017-01-14T11:35:32 --startdatetime 2017-01-14T11:41:16 --delay 1 --endMP 204:180 --enddatetime 2017-01-14T12:18:01 --enforcementcount 0 &gt;&gt;C:\Users\stu\Documents\GitHub\eaglep3-reporting\EC\2017-01-14-refined-times.txt</v>
      </c>
      <c r="AI70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{"issue":{"subject":"","project_id":79,"tracker_id":40,"status_id":1,"priority_id":2,"assigned_to_id":23,"start_date":"2017-01-14","description":"","custom_fields":[{"id":1,"name":"Subdivision","value":"EC"},{"id":4,"name":"Milepost","value":"0.018"},{"id":17,"name":"Train ID","value":"158-14"},{"id":16,"name":"Locomotive ID","value":"4032"},{"id":130,"name":"Impact","value":""},{"id":150,"name":"Time of Event (Mountain Time)","value":"12:18:01"},{"id":151,"name":"Denver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18"/>
        <v>start /low /b %USERPROFILE%\Documents\GitHub\eaglep3\Utilities\DownloadLogsFromS3.py --loco 4032 --day 2017-01-14</v>
      </c>
      <c r="AN70" s="189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"%USERPROFILE%\AppData\Local\Temp\OnboardLogs"\RTDC4032\*4032*20170114* | grep -SE "(Enforcement Action)|(\[TIMEOUT)|(CHR.+\|PRM\|1\|D.+(SWITCH|SIGNAL).+UNKNOWN)" - &gt;&gt; 2017-01-14-UncaughtWiMAX.txt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539</v>
      </c>
      <c r="B71" s="7">
        <v>4038</v>
      </c>
      <c r="C71" s="22" t="s">
        <v>201</v>
      </c>
      <c r="D71" s="22" t="s">
        <v>237</v>
      </c>
      <c r="E71" s="13">
        <v>42749.456608796296</v>
      </c>
      <c r="F71" s="13">
        <v>42749.459641203706</v>
      </c>
      <c r="G71" s="7">
        <v>1</v>
      </c>
      <c r="H71" s="22" t="s">
        <v>407</v>
      </c>
      <c r="I71" s="13">
        <v>42749.485601851855</v>
      </c>
      <c r="J71" s="7">
        <v>0</v>
      </c>
      <c r="K71" s="105" t="str">
        <f t="shared" si="60"/>
        <v>4037/4038</v>
      </c>
      <c r="L71" s="22" t="str">
        <f>VLOOKUP(A71,'Trips&amp;Operators'!$C$1:$G$99999,5,FALSE)</f>
        <v>STEWART MICHAEL</v>
      </c>
      <c r="M71" s="6">
        <f t="shared" si="61"/>
        <v>2.5960648148611654E-2</v>
      </c>
      <c r="N71" s="7">
        <f t="shared" si="72"/>
        <v>37.383333334000781</v>
      </c>
      <c r="O71" s="7"/>
      <c r="P71" s="7"/>
      <c r="Q71" s="23"/>
      <c r="R71" s="23"/>
      <c r="S71" s="32">
        <f t="shared" si="62"/>
        <v>1</v>
      </c>
      <c r="T71" s="47" t="str">
        <f t="shared" si="63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09:57:31-700',mode:absolute,to:'2017-01-14 12:39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71" s="49" t="str">
        <f t="shared" si="64"/>
        <v>N</v>
      </c>
      <c r="X71" s="173">
        <f t="shared" si="71"/>
        <v>1</v>
      </c>
      <c r="Y71" s="64">
        <f t="shared" si="65"/>
        <v>4.53E-2</v>
      </c>
      <c r="Z71" s="64">
        <f t="shared" si="73"/>
        <v>23.328800000000001</v>
      </c>
      <c r="AA71" s="64">
        <f t="shared" si="66"/>
        <v>23.2835</v>
      </c>
      <c r="AB71" s="61" t="e">
        <f>VLOOKUP(A71,Enforcements!$C$7:$K$15,8,0)</f>
        <v>#N/A</v>
      </c>
      <c r="AC71" s="57" t="e">
        <f>VLOOKUP(A71,Enforcements!$C$7:$E$15,3,0)</f>
        <v>#N/A</v>
      </c>
      <c r="AD71" s="58" t="str">
        <f t="shared" si="67"/>
        <v>0159-14</v>
      </c>
      <c r="AE71" s="87" t="str">
        <f t="shared" si="68"/>
        <v>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 &amp; 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</v>
      </c>
      <c r="AF71" s="84" t="str">
        <f t="shared" si="69"/>
        <v>"C:\Program Files (x86)\AstroGrep\AstroGrep.exe" /spath="%USERPROFILE%\AppData\Local\Temp\OnboardLogs" /stypes="app*4038*20170114*" /stext=" 18:.+((SYSTEM_STATE.+slice.+state.+changed )|(ment ac)|(multiple cpu faults)|(system.+state.+changed )|(\[timeout)|(PRM\|1\|D)|(kpr)|(kdp)|(\|lc)|(penalty))" /e /r /s</v>
      </c>
      <c r="AG71" s="1" t="str">
        <f t="shared" si="70"/>
        <v>EC</v>
      </c>
      <c r="AH71" s="88" t="str">
        <f t="shared" si="16"/>
        <v>"%USERPROFILE%\Documents\GitHub\eaglep3\Utilities\RefineRTDCRunTimes.py" --tripid 159-14 --locoid 4038 --swversion DE.1.0.8.0 --startMP 204:453 --initTime 2017-01-14T10:57:31 --startdatetime 2017-01-14T11:01:53 --delay 1 --endMP 204:233288 --enddatetime 2017-01-14T11:39:16 --enforcementcount 0 &gt;&gt;C:\Users\stu\Documents\GitHub\eaglep3-reporting\EC\2017-01-14-refined-times.txt</v>
      </c>
      <c r="AI71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{"issue":{"subject":"","project_id":79,"tracker_id":40,"status_id":1,"priority_id":2,"assigned_to_id":23,"start_date":"2017-01-14","description":"","custom_fields":[{"id":1,"name":"Subdivision","value":"EC"},{"id":4,"name":"Milepost","value":"23.3288"},{"id":17,"name":"Train ID","value":"159-14"},{"id":16,"name":"Locomotive ID","value":"4038"},{"id":130,"name":"Impact","value":""},{"id":150,"name":"Time of Event (Mountain Time)","value":"11:39:16"},{"id":151,"name":"Denver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18"/>
        <v>start /low /b %USERPROFILE%\Documents\GitHub\eaglep3\Utilities\DownloadLogsFromS3.py --loco 4038 --day 2017-01-14</v>
      </c>
      <c r="AN71" s="189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"%USERPROFILE%\AppData\Local\Temp\OnboardLogs"\RTDC4038\*4038*20170114* | grep -SE "(Enforcement Action)|(\[TIMEOUT)|(CHR.+\|PRM\|1\|D.+(SWITCH|SIGNAL).+UNKNOWN)" - &gt;&gt; 2017-01-14-UncaughtWiMAX.txt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550</v>
      </c>
      <c r="B72" s="7">
        <v>4037</v>
      </c>
      <c r="C72" s="22" t="s">
        <v>201</v>
      </c>
      <c r="D72" s="22" t="s">
        <v>337</v>
      </c>
      <c r="E72" s="13">
        <v>42749.494074074071</v>
      </c>
      <c r="F72" s="13">
        <v>42749.497442129628</v>
      </c>
      <c r="G72" s="7">
        <v>2</v>
      </c>
      <c r="H72" s="22" t="s">
        <v>296</v>
      </c>
      <c r="I72" s="13">
        <v>42749.52443287037</v>
      </c>
      <c r="J72" s="7">
        <v>0</v>
      </c>
      <c r="K72" s="105" t="str">
        <f t="shared" si="60"/>
        <v>4037/4038</v>
      </c>
      <c r="L72" s="22" t="str">
        <f>VLOOKUP(A72,'Trips&amp;Operators'!$C$1:$G$99999,5,FALSE)</f>
        <v>STEWART MICHAEL</v>
      </c>
      <c r="M72" s="6">
        <f t="shared" si="61"/>
        <v>2.6990740741894115E-2</v>
      </c>
      <c r="N72" s="7">
        <f t="shared" si="72"/>
        <v>38.866666668327525</v>
      </c>
      <c r="O72" s="7"/>
      <c r="P72" s="7"/>
      <c r="Q72" s="23"/>
      <c r="R72" s="23"/>
      <c r="S72" s="32">
        <f t="shared" si="62"/>
        <v>1</v>
      </c>
      <c r="T72" s="47" t="str">
        <f t="shared" si="63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10:51:28-700',mode:absolute,to:'2017-01-14 13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72" s="49" t="str">
        <f t="shared" si="64"/>
        <v>N</v>
      </c>
      <c r="X72" s="173">
        <f t="shared" si="71"/>
        <v>1</v>
      </c>
      <c r="Y72" s="64">
        <f t="shared" si="65"/>
        <v>23.296500000000002</v>
      </c>
      <c r="Z72" s="64">
        <f t="shared" si="73"/>
        <v>1.6299999999999999E-2</v>
      </c>
      <c r="AA72" s="64">
        <f t="shared" si="66"/>
        <v>23.280200000000001</v>
      </c>
      <c r="AB72" s="61" t="e">
        <f>VLOOKUP(A72,Enforcements!$C$7:$K$15,8,0)</f>
        <v>#N/A</v>
      </c>
      <c r="AC72" s="57" t="e">
        <f>VLOOKUP(A72,Enforcements!$C$7:$E$15,3,0)</f>
        <v>#N/A</v>
      </c>
      <c r="AD72" s="58" t="str">
        <f t="shared" si="67"/>
        <v>0160-14</v>
      </c>
      <c r="AE72" s="87" t="str">
        <f t="shared" si="68"/>
        <v>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 &amp; 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</v>
      </c>
      <c r="AF72" s="84" t="str">
        <f t="shared" si="69"/>
        <v>"C:\Program Files (x86)\AstroGrep\AstroGrep.exe" /spath="%USERPROFILE%\AppData\Local\Temp\OnboardLogs" /stypes="app*4037*20170114*" /stext=" 19:.+((SYSTEM_STATE.+slice.+state.+changed )|(ment ac)|(multiple cpu faults)|(system.+state.+changed )|(\[timeout)|(PRM\|1\|D)|(kpr)|(kdp)|(\|lc)|(penalty))" /e /r /s</v>
      </c>
      <c r="AG72" s="1" t="str">
        <f t="shared" si="70"/>
        <v>EC</v>
      </c>
      <c r="AH72" s="88" t="str">
        <f t="shared" si="16"/>
        <v>"%USERPROFILE%\Documents\GitHub\eaglep3\Utilities\RefineRTDCRunTimes.py" --tripid 160-14 --locoid 4037 --swversion DE.1.0.8.0 --startMP 204:232965 --initTime 2017-01-14T11:51:28 --startdatetime 2017-01-14T11:56:19 --delay 2 --endMP 204:163 --enddatetime 2017-01-14T12:35:11 --enforcementcount 0 &gt;&gt;C:\Users\stu\Documents\GitHub\eaglep3-reporting\EC\2017-01-14-refined-times.txt</v>
      </c>
      <c r="AI72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{"issue":{"subject":"","project_id":79,"tracker_id":40,"status_id":1,"priority_id":2,"assigned_to_id":23,"start_date":"2017-01-14","description":"","custom_fields":[{"id":1,"name":"Subdivision","value":"EC"},{"id":4,"name":"Milepost","value":"0.0163"},{"id":17,"name":"Train ID","value":"160-14"},{"id":16,"name":"Locomotive ID","value":"4037"},{"id":130,"name":"Impact","value":""},{"id":150,"name":"Time of Event (Mountain Time)","value":"12:35:11"},{"id":151,"name":"Denver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18"/>
        <v>start /low /b %USERPROFILE%\Documents\GitHub\eaglep3\Utilities\DownloadLogsFromS3.py --loco 4037 --day 2017-01-14</v>
      </c>
      <c r="AN72" s="189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"%USERPROFILE%\AppData\Local\Temp\OnboardLogs"\RTDC4037\*4037*20170114* | grep -SE "(Enforcement Action)|(\[TIMEOUT)|(CHR.+\|PRM\|1\|D.+(SWITCH|SIGNAL).+UNKNOWN)" - &gt;&gt; 2017-01-14-UncaughtWiMAX.txt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543</v>
      </c>
      <c r="B73" s="7">
        <v>4003</v>
      </c>
      <c r="C73" s="22" t="s">
        <v>201</v>
      </c>
      <c r="D73" s="22" t="s">
        <v>238</v>
      </c>
      <c r="E73" s="13">
        <v>42749.46769675926</v>
      </c>
      <c r="F73" s="13">
        <v>42749.471701388888</v>
      </c>
      <c r="G73" s="7">
        <v>1</v>
      </c>
      <c r="H73" s="22" t="s">
        <v>306</v>
      </c>
      <c r="I73" s="13">
        <v>42749.501979166664</v>
      </c>
      <c r="J73" s="7">
        <v>0</v>
      </c>
      <c r="K73" s="105" t="str">
        <f t="shared" si="60"/>
        <v>4003/4004</v>
      </c>
      <c r="L73" s="22" t="str">
        <f>VLOOKUP(A73,'Trips&amp;Operators'!$C$1:$G$99999,5,FALSE)</f>
        <v>DAVIS MICHAEL</v>
      </c>
      <c r="M73" s="6">
        <f t="shared" si="61"/>
        <v>3.0277777776063886E-2</v>
      </c>
      <c r="N73" s="7">
        <f t="shared" si="72"/>
        <v>43.599999997531995</v>
      </c>
      <c r="O73" s="7"/>
      <c r="P73" s="7"/>
      <c r="Q73" s="23"/>
      <c r="R73" s="23"/>
      <c r="S73" s="32">
        <f t="shared" si="62"/>
        <v>1</v>
      </c>
      <c r="T73" s="47" t="str">
        <f t="shared" si="63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10:13:29-700',mode:absolute,to:'2017-01-14 13:02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73" s="49" t="str">
        <f t="shared" si="64"/>
        <v>N</v>
      </c>
      <c r="X73" s="173">
        <f t="shared" si="71"/>
        <v>1</v>
      </c>
      <c r="Y73" s="64">
        <f t="shared" si="65"/>
        <v>4.6399999999999997E-2</v>
      </c>
      <c r="Z73" s="64">
        <f t="shared" si="73"/>
        <v>23.33</v>
      </c>
      <c r="AA73" s="64">
        <f t="shared" si="66"/>
        <v>23.2836</v>
      </c>
      <c r="AB73" s="61" t="e">
        <f>VLOOKUP(A73,Enforcements!$C$7:$K$15,8,0)</f>
        <v>#N/A</v>
      </c>
      <c r="AC73" s="57" t="e">
        <f>VLOOKUP(A73,Enforcements!$C$7:$E$15,3,0)</f>
        <v>#N/A</v>
      </c>
      <c r="AD73" s="58" t="str">
        <f t="shared" si="67"/>
        <v>0161-14</v>
      </c>
      <c r="AE73" s="87" t="str">
        <f t="shared" si="68"/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AF73" s="84" t="str">
        <f t="shared" si="69"/>
        <v>"C:\Program Files (x86)\AstroGrep\AstroGrep.exe" /spath="%USERPROFILE%\AppData\Local\Temp\OnboardLogs" /stypes="app*4003*20170114*" /stext=" 19:.+((SYSTEM_STATE.+slice.+state.+changed )|(ment ac)|(multiple cpu faults)|(system.+state.+changed )|(\[timeout)|(PRM\|1\|D)|(kpr)|(kdp)|(\|lc)|(penalty))" /e /r /s</v>
      </c>
      <c r="AG73" s="1" t="str">
        <f t="shared" si="70"/>
        <v>EC</v>
      </c>
      <c r="AH73" s="88" t="str">
        <f t="shared" si="16"/>
        <v>"%USERPROFILE%\Documents\GitHub\eaglep3\Utilities\RefineRTDCRunTimes.py" --tripid 161-14 --locoid 4003 --swversion DE.1.0.8.0 --startMP 204:464 --initTime 2017-01-14T11:13:29 --startdatetime 2017-01-14T11:19:15 --delay 1 --endMP 204:233300 --enddatetime 2017-01-14T12:02:51 --enforcementcount 0 &gt;&gt;C:\Users\stu\Documents\GitHub\eaglep3-reporting\EC\2017-01-14-refined-times.txt</v>
      </c>
      <c r="AI73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{"issue":{"subject":"","project_id":79,"tracker_id":40,"status_id":1,"priority_id":2,"assigned_to_id":23,"start_date":"2017-01-14","description":"","custom_fields":[{"id":1,"name":"Subdivision","value":"EC"},{"id":4,"name":"Milepost","value":"23.33"},{"id":17,"name":"Train ID","value":"161-14"},{"id":16,"name":"Locomotive ID","value":"4003"},{"id":130,"name":"Impact","value":""},{"id":150,"name":"Time of Event (Mountain Time)","value":"12:02:51"},{"id":151,"name":"Denver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18"/>
        <v>start /low /b %USERPROFILE%\Documents\GitHub\eaglep3\Utilities\DownloadLogsFromS3.py --loco 4003 --day 2017-01-14</v>
      </c>
      <c r="AN73" s="189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"%USERPROFILE%\AppData\Local\Temp\OnboardLogs"\RTDC4003\*4003*20170114* | grep -SE "(Enforcement Action)|(\[TIMEOUT)|(CHR.+\|PRM\|1\|D.+(SWITCH|SIGNAL).+UNKNOWN)" - &gt;&gt; 2017-01-14-UncaughtWiMAX.txt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554</v>
      </c>
      <c r="B74" s="7">
        <v>4004</v>
      </c>
      <c r="C74" s="22" t="s">
        <v>201</v>
      </c>
      <c r="D74" s="22" t="s">
        <v>242</v>
      </c>
      <c r="E74" s="13">
        <v>42749.505104166667</v>
      </c>
      <c r="F74" s="13">
        <v>42749.5080787037</v>
      </c>
      <c r="G74" s="7">
        <v>2</v>
      </c>
      <c r="H74" s="22" t="s">
        <v>259</v>
      </c>
      <c r="I74" s="13">
        <v>42749.535902777781</v>
      </c>
      <c r="J74" s="7">
        <v>0</v>
      </c>
      <c r="K74" s="105" t="str">
        <f t="shared" si="60"/>
        <v>4003/4004</v>
      </c>
      <c r="L74" s="22" t="str">
        <f>VLOOKUP(A74,'Trips&amp;Operators'!$C$1:$G$99999,5,FALSE)</f>
        <v>DAVIS MICHAEL</v>
      </c>
      <c r="M74" s="6">
        <f t="shared" si="61"/>
        <v>2.7824074080854189E-2</v>
      </c>
      <c r="N74" s="7">
        <f t="shared" si="72"/>
        <v>40.066666676430032</v>
      </c>
      <c r="O74" s="7"/>
      <c r="P74" s="7"/>
      <c r="Q74" s="23"/>
      <c r="R74" s="23"/>
      <c r="S74" s="32">
        <f t="shared" si="62"/>
        <v>1</v>
      </c>
      <c r="T74" s="47" t="str">
        <f t="shared" si="63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11:07:21-700',mode:absolute,to:'2017-01-14 13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74" s="49" t="str">
        <f t="shared" si="64"/>
        <v>N</v>
      </c>
      <c r="X74" s="173">
        <f t="shared" si="71"/>
        <v>1</v>
      </c>
      <c r="Y74" s="64">
        <f t="shared" si="65"/>
        <v>23.297699999999999</v>
      </c>
      <c r="Z74" s="64">
        <f t="shared" si="73"/>
        <v>1.5800000000000002E-2</v>
      </c>
      <c r="AA74" s="64">
        <f t="shared" si="66"/>
        <v>23.2819</v>
      </c>
      <c r="AB74" s="61" t="e">
        <f>VLOOKUP(A74,Enforcements!$C$7:$K$15,8,0)</f>
        <v>#N/A</v>
      </c>
      <c r="AC74" s="57" t="e">
        <f>VLOOKUP(A74,Enforcements!$C$7:$E$15,3,0)</f>
        <v>#N/A</v>
      </c>
      <c r="AD74" s="58" t="str">
        <f t="shared" si="67"/>
        <v>0162-14</v>
      </c>
      <c r="AE74" s="87" t="str">
        <f t="shared" si="68"/>
        <v>aws s3 cp s3://rtdc.mdm.uploadarchive.raw/RTDC4004/ "%USERPROFILE%\AppData\Local\Temp\OnboardLogs"\RTDC4004\2017-01-14 --exclude "*" --recursive --include "*20170114*" &amp; "%USERPROFILE%\Documents\GitHub\mrs-test-scripts\Headless Mode &amp; Sideloading\WalkAndUnGZ.bat" "%USERPROFILE%\AppData\Local\Temp\OnboardLogs"\RTDC4004\2017-01-14 &amp; aws s3 cp s3://rtdc.mdm.uploadarchive.raw/RTDC4004/ "%USERPROFILE%\AppData\Local\Temp\OnboardLogs"\RTDC4004\2017-01-15 --exclude "*" --recursive --include "*20170115*" &amp; "%USERPROFILE%\Documents\GitHub\mrs-test-scripts\Headless Mode &amp; Sideloading\WalkAndUnGZ.bat" "%USERPROFILE%\AppData\Local\Temp\OnboardLogs"\RTDC4004\2017-01-15</v>
      </c>
      <c r="AF74" s="84" t="str">
        <f t="shared" si="69"/>
        <v>"C:\Program Files (x86)\AstroGrep\AstroGrep.exe" /spath="%USERPROFILE%\AppData\Local\Temp\OnboardLogs" /stypes="app*4004*20170114*" /stext=" 19:.+((SYSTEM_STATE.+slice.+state.+changed )|(ment ac)|(multiple cpu faults)|(system.+state.+changed )|(\[timeout)|(PRM\|1\|D)|(kpr)|(kdp)|(\|lc)|(penalty))" /e /r /s</v>
      </c>
      <c r="AG74" s="1" t="str">
        <f t="shared" si="70"/>
        <v>EC</v>
      </c>
      <c r="AH74" s="88" t="str">
        <f t="shared" si="16"/>
        <v>"%USERPROFILE%\Documents\GitHub\eaglep3\Utilities\RefineRTDCRunTimes.py" --tripid 162-14 --locoid 4004 --swversion DE.1.0.8.0 --startMP 204:232977 --initTime 2017-01-14T12:07:21 --startdatetime 2017-01-14T12:11:38 --delay 2 --endMP 204:158 --enddatetime 2017-01-14T12:51:42 --enforcementcount 0 &gt;&gt;C:\Users\stu\Documents\GitHub\eaglep3-reporting\EC\2017-01-14-refined-times.txt</v>
      </c>
      <c r="AI74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{"issue":{"subject":"","project_id":79,"tracker_id":40,"status_id":1,"priority_id":2,"assigned_to_id":23,"start_date":"2017-01-14","description":"","custom_fields":[{"id":1,"name":"Subdivision","value":"EC"},{"id":4,"name":"Milepost","value":"0.0158"},{"id":17,"name":"Train ID","value":"162-14"},{"id":16,"name":"Locomotive ID","value":"4004"},{"id":130,"name":"Impact","value":""},{"id":150,"name":"Time of Event (Mountain Time)","value":"12:51:42"},{"id":151,"name":"Denver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18"/>
        <v>start /low /b %USERPROFILE%\Documents\GitHub\eaglep3\Utilities\DownloadLogsFromS3.py --loco 4004 --day 2017-01-14</v>
      </c>
      <c r="AN74" s="189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"%USERPROFILE%\AppData\Local\Temp\OnboardLogs"\RTDC4004\*4004*20170114* | grep -SE "(Enforcement Action)|(\[TIMEOUT)|(CHR.+\|PRM\|1\|D.+(SWITCH|SIGNAL).+UNKNOWN)" - &gt;&gt; 2017-01-14-UncaughtWiMAX.txt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545</v>
      </c>
      <c r="B75" s="7">
        <v>4027</v>
      </c>
      <c r="C75" s="22" t="s">
        <v>201</v>
      </c>
      <c r="D75" s="22" t="s">
        <v>272</v>
      </c>
      <c r="E75" s="13">
        <v>42749.478229166663</v>
      </c>
      <c r="F75" s="13">
        <v>42749.479826388888</v>
      </c>
      <c r="G75" s="7">
        <v>1</v>
      </c>
      <c r="H75" s="22" t="s">
        <v>305</v>
      </c>
      <c r="I75" s="13">
        <v>42749.506064814814</v>
      </c>
      <c r="J75" s="7">
        <v>0</v>
      </c>
      <c r="K75" s="105" t="str">
        <f t="shared" si="60"/>
        <v>4027/4028</v>
      </c>
      <c r="L75" s="22" t="str">
        <f>VLOOKUP(A75,'Trips&amp;Operators'!$C$1:$G$99999,5,FALSE)</f>
        <v>BRUDER RICHARD</v>
      </c>
      <c r="M75" s="6">
        <f t="shared" si="61"/>
        <v>2.6238425925839692E-2</v>
      </c>
      <c r="N75" s="7">
        <f t="shared" si="72"/>
        <v>37.783333333209157</v>
      </c>
      <c r="O75" s="7"/>
      <c r="P75" s="7"/>
      <c r="Q75" s="23"/>
      <c r="R75" s="23"/>
      <c r="S75" s="32">
        <f t="shared" si="62"/>
        <v>1</v>
      </c>
      <c r="T75" s="47" t="str">
        <f t="shared" si="63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10:28:39-700',mode:absolute,to:'2017-01-14 13:08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75" s="49" t="str">
        <f t="shared" si="64"/>
        <v>N</v>
      </c>
      <c r="X75" s="173">
        <f t="shared" si="71"/>
        <v>1</v>
      </c>
      <c r="Y75" s="64">
        <f t="shared" si="65"/>
        <v>4.4600000000000001E-2</v>
      </c>
      <c r="Z75" s="64">
        <f t="shared" si="73"/>
        <v>23.329699999999999</v>
      </c>
      <c r="AA75" s="64">
        <f t="shared" si="66"/>
        <v>23.2851</v>
      </c>
      <c r="AB75" s="61" t="e">
        <f>VLOOKUP(A75,Enforcements!$C$7:$K$15,8,0)</f>
        <v>#N/A</v>
      </c>
      <c r="AC75" s="57" t="e">
        <f>VLOOKUP(A75,Enforcements!$C$7:$E$15,3,0)</f>
        <v>#N/A</v>
      </c>
      <c r="AD75" s="58" t="str">
        <f t="shared" si="67"/>
        <v>0163-14</v>
      </c>
      <c r="AE75" s="87" t="str">
        <f t="shared" si="68"/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AF75" s="84" t="str">
        <f t="shared" si="69"/>
        <v>"C:\Program Files (x86)\AstroGrep\AstroGrep.exe" /spath="%USERPROFILE%\AppData\Local\Temp\OnboardLogs" /stypes="app*4027*20170114*" /stext=" 19:.+((SYSTEM_STATE.+slice.+state.+changed )|(ment ac)|(multiple cpu faults)|(system.+state.+changed )|(\[timeout)|(PRM\|1\|D)|(kpr)|(kdp)|(\|lc)|(penalty))" /e /r /s</v>
      </c>
      <c r="AG75" s="1" t="str">
        <f t="shared" si="70"/>
        <v>EC</v>
      </c>
      <c r="AH75" s="88" t="str">
        <f t="shared" si="16"/>
        <v>"%USERPROFILE%\Documents\GitHub\eaglep3\Utilities\RefineRTDCRunTimes.py" --tripid 163-14 --locoid 4027 --swversion DE.1.0.8.0 --startMP 204:446 --initTime 2017-01-14T11:28:39 --startdatetime 2017-01-14T11:30:57 --delay 1 --endMP 204:233297 --enddatetime 2017-01-14T12:08:44 --enforcementcount 0 &gt;&gt;C:\Users\stu\Documents\GitHub\eaglep3-reporting\EC\2017-01-14-refined-times.txt</v>
      </c>
      <c r="AI75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{"issue":{"subject":"","project_id":79,"tracker_id":40,"status_id":1,"priority_id":2,"assigned_to_id":23,"start_date":"2017-01-14","description":"","custom_fields":[{"id":1,"name":"Subdivision","value":"EC"},{"id":4,"name":"Milepost","value":"23.3297"},{"id":17,"name":"Train ID","value":"163-14"},{"id":16,"name":"Locomotive ID","value":"4027"},{"id":130,"name":"Impact","value":""},{"id":150,"name":"Time of Event (Mountain Time)","value":"12:08:44"},{"id":151,"name":"Denver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18"/>
        <v>start /low /b %USERPROFILE%\Documents\GitHub\eaglep3\Utilities\DownloadLogsFromS3.py --loco 4027 --day 2017-01-14</v>
      </c>
      <c r="AN75" s="189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"%USERPROFILE%\AppData\Local\Temp\OnboardLogs"\RTDC4027\*4027*20170114* | grep -SE "(Enforcement Action)|(\[TIMEOUT)|(CHR.+\|PRM\|1\|D.+(SWITCH|SIGNAL).+UNKNOWN)" - &gt;&gt; 2017-01-14-UncaughtWiMAX.txt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556</v>
      </c>
      <c r="B76" s="7">
        <v>4028</v>
      </c>
      <c r="C76" s="22" t="s">
        <v>201</v>
      </c>
      <c r="D76" s="22" t="s">
        <v>414</v>
      </c>
      <c r="E76" s="13">
        <v>42749.51258101852</v>
      </c>
      <c r="F76" s="13">
        <v>42749.518240740741</v>
      </c>
      <c r="G76" s="7">
        <v>3</v>
      </c>
      <c r="H76" s="22" t="s">
        <v>258</v>
      </c>
      <c r="I76" s="13">
        <v>42749.5469212963</v>
      </c>
      <c r="J76" s="7">
        <v>0</v>
      </c>
      <c r="K76" s="105" t="str">
        <f t="shared" si="60"/>
        <v>4027/4028</v>
      </c>
      <c r="L76" s="22" t="str">
        <f>VLOOKUP(A76,'Trips&amp;Operators'!$C$1:$G$99999,5,FALSE)</f>
        <v>BRUDER RICHARD</v>
      </c>
      <c r="M76" s="6">
        <f t="shared" si="61"/>
        <v>2.8680555558821652E-2</v>
      </c>
      <c r="N76" s="7">
        <f t="shared" si="72"/>
        <v>41.300000004703179</v>
      </c>
      <c r="O76" s="7"/>
      <c r="P76" s="7"/>
      <c r="Q76" s="23"/>
      <c r="R76" s="23"/>
      <c r="S76" s="32">
        <f t="shared" si="62"/>
        <v>1</v>
      </c>
      <c r="T76" s="47" t="str">
        <f t="shared" si="63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11:18:07-700',mode:absolute,to:'2017-01-14 14:07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76" s="49" t="str">
        <f t="shared" si="64"/>
        <v>N</v>
      </c>
      <c r="X76" s="173">
        <f t="shared" si="71"/>
        <v>1</v>
      </c>
      <c r="Y76" s="64">
        <f t="shared" si="65"/>
        <v>23.298999999999999</v>
      </c>
      <c r="Z76" s="64">
        <f t="shared" si="73"/>
        <v>1.52E-2</v>
      </c>
      <c r="AA76" s="64">
        <f t="shared" si="66"/>
        <v>23.283799999999999</v>
      </c>
      <c r="AB76" s="61" t="e">
        <f>VLOOKUP(A76,Enforcements!$C$7:$K$15,8,0)</f>
        <v>#N/A</v>
      </c>
      <c r="AC76" s="57" t="e">
        <f>VLOOKUP(A76,Enforcements!$C$7:$E$15,3,0)</f>
        <v>#N/A</v>
      </c>
      <c r="AD76" s="58" t="str">
        <f t="shared" si="67"/>
        <v>0164-14</v>
      </c>
      <c r="AE76" s="87" t="str">
        <f t="shared" si="68"/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AF76" s="84" t="str">
        <f t="shared" si="69"/>
        <v>"C:\Program Files (x86)\AstroGrep\AstroGrep.exe" /spath="%USERPROFILE%\AppData\Local\Temp\OnboardLogs" /stypes="app*4028*20170114*" /stext=" 20:.+((SYSTEM_STATE.+slice.+state.+changed )|(ment ac)|(multiple cpu faults)|(system.+state.+changed )|(\[timeout)|(PRM\|1\|D)|(kpr)|(kdp)|(\|lc)|(penalty))" /e /r /s</v>
      </c>
      <c r="AG76" s="1" t="str">
        <f t="shared" si="70"/>
        <v>EC</v>
      </c>
      <c r="AH76" s="88" t="str">
        <f t="shared" si="16"/>
        <v>"%USERPROFILE%\Documents\GitHub\eaglep3\Utilities\RefineRTDCRunTimes.py" --tripid 164-14 --locoid 4028 --swversion DE.1.0.8.0 --startMP 204:232990 --initTime 2017-01-14T12:18:07 --startdatetime 2017-01-14T12:26:16 --delay 3 --endMP 204:152 --enddatetime 2017-01-14T13:07:34 --enforcementcount 0 &gt;&gt;C:\Users\stu\Documents\GitHub\eaglep3-reporting\EC\2017-01-14-refined-times.txt</v>
      </c>
      <c r="AI76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{"issue":{"subject":"","project_id":79,"tracker_id":40,"status_id":1,"priority_id":2,"assigned_to_id":23,"start_date":"2017-01-14","description":"","custom_fields":[{"id":1,"name":"Subdivision","value":"EC"},{"id":4,"name":"Milepost","value":"0.0152"},{"id":17,"name":"Train ID","value":"164-14"},{"id":16,"name":"Locomotive ID","value":"4028"},{"id":130,"name":"Impact","value":""},{"id":150,"name":"Time of Event (Mountain Time)","value":"13:07:34"},{"id":151,"name":"Denver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18"/>
        <v>start /low /b %USERPROFILE%\Documents\GitHub\eaglep3\Utilities\DownloadLogsFromS3.py --loco 4028 --day 2017-01-14</v>
      </c>
      <c r="AN76" s="189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"%USERPROFILE%\AppData\Local\Temp\OnboardLogs"\RTDC4028\*4028*20170114* | grep -SE "(Enforcement Action)|(\[TIMEOUT)|(CHR.+\|PRM\|1\|D.+(SWITCH|SIGNAL).+UNKNOWN)" - &gt;&gt; 2017-01-14-UncaughtWiMAX.txt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548</v>
      </c>
      <c r="B77" s="7">
        <v>4022</v>
      </c>
      <c r="C77" s="22" t="s">
        <v>201</v>
      </c>
      <c r="D77" s="22" t="s">
        <v>677</v>
      </c>
      <c r="E77" s="13">
        <v>42749.486712962964</v>
      </c>
      <c r="F77" s="13">
        <v>42749.489768518521</v>
      </c>
      <c r="G77" s="7">
        <v>1</v>
      </c>
      <c r="H77" s="22" t="s">
        <v>306</v>
      </c>
      <c r="I77" s="13">
        <v>42749.515092592592</v>
      </c>
      <c r="J77" s="7">
        <v>0</v>
      </c>
      <c r="K77" s="105" t="str">
        <f t="shared" si="60"/>
        <v>4021/4022</v>
      </c>
      <c r="L77" s="22" t="str">
        <f>VLOOKUP(A77,'Trips&amp;Operators'!$C$1:$G$99999,5,FALSE)</f>
        <v>KILLION DAVID</v>
      </c>
      <c r="M77" s="6">
        <f t="shared" si="61"/>
        <v>2.5324074071249925E-2</v>
      </c>
      <c r="N77" s="7">
        <f t="shared" si="72"/>
        <v>36.466666662599891</v>
      </c>
      <c r="O77" s="7"/>
      <c r="P77" s="7"/>
      <c r="Q77" s="23"/>
      <c r="R77" s="23"/>
      <c r="S77" s="32">
        <f t="shared" si="62"/>
        <v>1</v>
      </c>
      <c r="T77" s="47" t="str">
        <f t="shared" si="63"/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10:40:52-700',mode:absolute,to:'2017-01-14 13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77" s="49" t="str">
        <f t="shared" si="64"/>
        <v>N</v>
      </c>
      <c r="X77" s="173">
        <f t="shared" si="71"/>
        <v>1</v>
      </c>
      <c r="Y77" s="64">
        <f t="shared" si="65"/>
        <v>4.9500000000000002E-2</v>
      </c>
      <c r="Z77" s="64">
        <f t="shared" si="73"/>
        <v>23.33</v>
      </c>
      <c r="AA77" s="64">
        <f t="shared" si="66"/>
        <v>23.2805</v>
      </c>
      <c r="AB77" s="61" t="e">
        <f>VLOOKUP(A77,Enforcements!$C$7:$K$15,8,0)</f>
        <v>#N/A</v>
      </c>
      <c r="AC77" s="57" t="e">
        <f>VLOOKUP(A77,Enforcements!$C$7:$E$15,3,0)</f>
        <v>#N/A</v>
      </c>
      <c r="AD77" s="58" t="str">
        <f t="shared" si="67"/>
        <v>0165-14</v>
      </c>
      <c r="AE77" s="87" t="str">
        <f t="shared" si="68"/>
        <v>aws s3 cp s3://rtdc.mdm.uploadarchive.raw/RTDC4022/ "%USERPROFILE%\AppData\Local\Temp\OnboardLogs"\RTDC4022\2017-01-14 --exclude "*" --recursive --include "*20170114*" &amp; "%USERPROFILE%\Documents\GitHub\mrs-test-scripts\Headless Mode &amp; Sideloading\WalkAndUnGZ.bat" "%USERPROFILE%\AppData\Local\Temp\OnboardLogs"\RTDC4022\2017-01-14 &amp; 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</v>
      </c>
      <c r="AF77" s="84" t="str">
        <f t="shared" si="69"/>
        <v>"C:\Program Files (x86)\AstroGrep\AstroGrep.exe" /spath="%USERPROFILE%\AppData\Local\Temp\OnboardLogs" /stypes="app*4022*20170114*" /stext=" 19:.+((SYSTEM_STATE.+slice.+state.+changed )|(ment ac)|(multiple cpu faults)|(system.+state.+changed )|(\[timeout)|(PRM\|1\|D)|(kpr)|(kdp)|(\|lc)|(penalty))" /e /r /s</v>
      </c>
      <c r="AG77" s="1" t="str">
        <f t="shared" si="70"/>
        <v>EC</v>
      </c>
      <c r="AH77" s="88" t="str">
        <f t="shared" si="16"/>
        <v>"%USERPROFILE%\Documents\GitHub\eaglep3\Utilities\RefineRTDCRunTimes.py" --tripid 165-14 --locoid 4022 --swversion DE.1.0.8.0 --startMP 204:495 --initTime 2017-01-14T11:40:52 --startdatetime 2017-01-14T11:45:16 --delay 1 --endMP 204:233300 --enddatetime 2017-01-14T12:21:44 --enforcementcount 0 &gt;&gt;C:\Users\stu\Documents\GitHub\eaglep3-reporting\EC\2017-01-14-refined-times.txt</v>
      </c>
      <c r="AI77" s="115" t="str">
        <f t="shared" si="17"/>
        <v>echo {"issue":{"subject":"","project_id":79,"tracker_id":40,"status_id":1,"priority_id":2,"assigned_to_id":23,"start_date":"2017-01-14","description":"","custom_fields":[{"id":1,"name":"Subdivision","value":"EC"},{"id":4,"name":"Milepost","value":"23.33"},{"id":17,"name":"Train ID","value":"165-14"},{"id":16,"name":"Locomotive ID","value":"4022"},{"id":130,"name":"Impact","value":""},{"id":150,"name":"Time of Event (Mountain Time)","value":"12:21:44"},{"id":151,"name":"Denver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18"/>
        <v>start /low /b %USERPROFILE%\Documents\GitHub\eaglep3\Utilities\DownloadLogsFromS3.py --loco 4022 --day 2017-01-14</v>
      </c>
      <c r="AN77" s="189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"%USERPROFILE%\AppData\Local\Temp\OnboardLogs"\RTDC4022\*4022*20170114* | grep -SE "(Enforcement Action)|(\[TIMEOUT)|(CHR.+\|PRM\|1\|D.+(SWITCH|SIGNAL).+UNKNOWN)" - &gt;&gt; 2017-01-14-UncaughtWiMAX.txt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560</v>
      </c>
      <c r="B78" s="7">
        <v>4021</v>
      </c>
      <c r="C78" s="22" t="s">
        <v>201</v>
      </c>
      <c r="D78" s="22" t="s">
        <v>262</v>
      </c>
      <c r="E78" s="13">
        <v>42749.52175925926</v>
      </c>
      <c r="F78" s="13">
        <v>42749.528645833336</v>
      </c>
      <c r="G78" s="7">
        <v>1</v>
      </c>
      <c r="H78" s="22" t="s">
        <v>258</v>
      </c>
      <c r="I78" s="13">
        <v>42749.555717592593</v>
      </c>
      <c r="J78" s="7">
        <v>0</v>
      </c>
      <c r="K78" s="105" t="str">
        <f t="shared" si="60"/>
        <v>4021/4022</v>
      </c>
      <c r="L78" s="22" t="str">
        <f>VLOOKUP(A78,'Trips&amp;Operators'!$C$1:$G$99999,5,FALSE)</f>
        <v>KILLION DAVID</v>
      </c>
      <c r="M78" s="6">
        <f t="shared" si="61"/>
        <v>2.7071759257523809E-2</v>
      </c>
      <c r="N78" s="7">
        <f t="shared" si="72"/>
        <v>38.983333330834284</v>
      </c>
      <c r="O78" s="7"/>
      <c r="P78" s="7"/>
      <c r="Q78" s="23"/>
      <c r="R78" s="23"/>
      <c r="S78" s="32">
        <f t="shared" si="62"/>
        <v>1</v>
      </c>
      <c r="T78" s="47" t="str">
        <f t="shared" si="63"/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4"/>
        <v>https://search-rtdc-monitor-bjffxe2xuh6vdkpspy63sjmuny.us-east-1.es.amazonaws.com/_plugin/kibana/#/discover/Steve-Slow-Train-Analysis-(2080s-and-2083s)?_g=(refreshInterval:(display:Off,section:0,value:0),time:(from:'2017-01-14 11:31:20-700',mode:absolute,to:'2017-01-14 14:20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78" s="49" t="str">
        <f t="shared" si="64"/>
        <v>N</v>
      </c>
      <c r="X78" s="173">
        <f t="shared" si="71"/>
        <v>1</v>
      </c>
      <c r="Y78" s="64">
        <f t="shared" si="65"/>
        <v>23.2989</v>
      </c>
      <c r="Z78" s="64">
        <f t="shared" si="73"/>
        <v>1.52E-2</v>
      </c>
      <c r="AA78" s="64">
        <f t="shared" si="66"/>
        <v>23.2837</v>
      </c>
      <c r="AB78" s="61" t="e">
        <f>VLOOKUP(A78,Enforcements!$C$7:$K$15,8,0)</f>
        <v>#N/A</v>
      </c>
      <c r="AC78" s="57" t="e">
        <f>VLOOKUP(A78,Enforcements!$C$7:$E$15,3,0)</f>
        <v>#N/A</v>
      </c>
      <c r="AD78" s="58" t="str">
        <f t="shared" si="67"/>
        <v>0166-14</v>
      </c>
      <c r="AE78" s="87" t="str">
        <f t="shared" si="68"/>
        <v>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 &amp; 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</v>
      </c>
      <c r="AF78" s="84" t="str">
        <f t="shared" si="69"/>
        <v>"C:\Program Files (x86)\AstroGrep\AstroGrep.exe" /spath="%USERPROFILE%\AppData\Local\Temp\OnboardLogs" /stypes="app*4021*20170114*" /stext=" 20:.+((SYSTEM_STATE.+slice.+state.+changed )|(ment ac)|(multiple cpu faults)|(system.+state.+changed )|(\[timeout)|(PRM\|1\|D)|(kpr)|(kdp)|(\|lc)|(penalty))" /e /r /s</v>
      </c>
      <c r="AG78" s="1" t="str">
        <f t="shared" si="70"/>
        <v>EC</v>
      </c>
      <c r="AH78" s="88" t="str">
        <f t="shared" ref="AH78:AH141" si="7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166-14 --locoid 4021 --swversion DE.1.0.8.0 --startMP 204:232989 --initTime 2017-01-14T12:31:20 --startdatetime 2017-01-14T12:41:15 --delay 1 --endMP 204:152 --enddatetime 2017-01-14T13:20:14 --enforcementcount 0 &gt;&gt;C:\Users\stu\Documents\GitHub\eaglep3-reporting\EC\2017-01-14-refined-times.txt</v>
      </c>
      <c r="AI78" s="115" t="str">
        <f t="shared" ref="AI78:AI141" si="7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{"issue":{"subject":"","project_id":79,"tracker_id":40,"status_id":1,"priority_id":2,"assigned_to_id":23,"start_date":"2017-01-14","description":"","custom_fields":[{"id":1,"name":"Subdivision","value":"EC"},{"id":4,"name":"Milepost","value":"0.0152"},{"id":17,"name":"Train ID","value":"166-14"},{"id":16,"name":"Locomotive ID","value":"4021"},{"id":130,"name":"Impact","value":""},{"id":150,"name":"Time of Event (Mountain Time)","value":"13:20:14"},{"id":151,"name":"Denver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ref="AM78:AM141" si="76">"start /low /b "&amp;dls3logs&amp;" --loco "&amp;B78&amp;" --day "&amp;TEXT(F78,"YYYY-MM-DD")</f>
        <v>start /low /b %USERPROFILE%\Documents\GitHub\eaglep3\Utilities\DownloadLogsFromS3.py --loco 4021 --day 2017-01-14</v>
      </c>
      <c r="AN78" s="189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"%USERPROFILE%\AppData\Local\Temp\OnboardLogs"\RTDC4021\*4021*20170114* | grep -SE "(Enforcement Action)|(\[TIMEOUT)|(CHR.+\|PRM\|1\|D.+(SWITCH|SIGNAL).+UNKNOWN)" - &gt;&gt; 2017-01-14-UncaughtWiMAX.txt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551</v>
      </c>
      <c r="B79" s="7">
        <v>4018</v>
      </c>
      <c r="C79" s="22" t="s">
        <v>201</v>
      </c>
      <c r="D79" s="22" t="s">
        <v>287</v>
      </c>
      <c r="E79" s="13">
        <v>42749.496122685188</v>
      </c>
      <c r="F79" s="13">
        <v>42749.500196759262</v>
      </c>
      <c r="G79" s="7">
        <v>1</v>
      </c>
      <c r="H79" s="22" t="s">
        <v>667</v>
      </c>
      <c r="I79" s="13">
        <v>42749.524976851855</v>
      </c>
      <c r="J79" s="7">
        <v>0</v>
      </c>
      <c r="K79" s="105" t="str">
        <f t="shared" ref="K79:K110" si="77">IF(ISEVEN(B79),(B79-1)&amp;"/"&amp;B79,B79&amp;"/"&amp;(B79+1))</f>
        <v>4017/4018</v>
      </c>
      <c r="L79" s="22" t="str">
        <f>VLOOKUP(A79,'Trips&amp;Operators'!$C$1:$G$99999,5,FALSE)</f>
        <v>LEVIN SCOTT</v>
      </c>
      <c r="M79" s="6">
        <f t="shared" ref="M79:M110" si="78">I79-F79</f>
        <v>2.4780092593573499E-2</v>
      </c>
      <c r="N79" s="7">
        <f t="shared" si="72"/>
        <v>35.683333334745839</v>
      </c>
      <c r="O79" s="7"/>
      <c r="P79" s="7"/>
      <c r="Q79" s="23"/>
      <c r="R79" s="23"/>
      <c r="S79" s="32">
        <f t="shared" ref="S79:S89" si="79">SUM(U79:U79)/IF(AG79="EC",12,1)</f>
        <v>1</v>
      </c>
      <c r="T79" s="47" t="str">
        <f t="shared" ref="T79:T110" si="80">IF(ISEVEN(LEFT(AD79,4)),"Southbound","NorthBound")</f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ref="V79:V142" si="81"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https://search-rtdc-monitor-bjffxe2xuh6vdkpspy63sjmuny.us-east-1.es.amazonaws.com/_plugin/kibana/#/discover/Steve-Slow-Train-Analysis-(2080s-and-2083s)?_g=(refreshInterval:(display:Off,section:0,value:0),time:(from:'2017-01-14 10:54:25-700',mode:absolute,to:'2017-01-14 13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79" s="49" t="str">
        <f t="shared" ref="W79:W110" si="82">IF(AA79&lt;IF(AG79="EC",23,5.65),"Y","N")</f>
        <v>N</v>
      </c>
      <c r="X79" s="173">
        <f t="shared" si="71"/>
        <v>1</v>
      </c>
      <c r="Y79" s="64">
        <f t="shared" ref="Y79:Y110" si="83">RIGHT(D79,LEN(D79)-4)/10000</f>
        <v>4.3799999999999999E-2</v>
      </c>
      <c r="Z79" s="64">
        <f t="shared" si="73"/>
        <v>23.333200000000001</v>
      </c>
      <c r="AA79" s="64">
        <f t="shared" ref="AA79:AA110" si="84">ABS(Z79-Y79)</f>
        <v>23.289400000000001</v>
      </c>
      <c r="AB79" s="61" t="e">
        <f>VLOOKUP(A79,Enforcements!$C$7:$K$15,8,0)</f>
        <v>#N/A</v>
      </c>
      <c r="AC79" s="57" t="e">
        <f>VLOOKUP(A79,Enforcements!$C$7:$E$15,3,0)</f>
        <v>#N/A</v>
      </c>
      <c r="AD79" s="58" t="str">
        <f t="shared" ref="AD79:AD110" si="85">IF(LEN(A79)=6,"0"&amp;A79,A79)</f>
        <v>0167-14</v>
      </c>
      <c r="AE79" s="87" t="str">
        <f t="shared" ref="AE79:AE110" si="86"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AF79" s="84" t="str">
        <f t="shared" ref="AF79:AF110" si="87"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/stypes="app*4018*20170114*" /stext=" 19:.+((SYSTEM_STATE.+slice.+state.+changed )|(ment ac)|(multiple cpu faults)|(system.+state.+changed )|(\[timeout)|(PRM\|1\|D)|(kpr)|(kdp)|(\|lc)|(penalty))" /e /r /s</v>
      </c>
      <c r="AG79" s="1" t="str">
        <f t="shared" ref="AG79:AG110" si="88">IFERROR(IF(VALUE(LEFT(AD79,2))&lt;=2,"EC",IF(OR(VALUE(LEFT(AD79,2))=8,VALUE(LEFT(AD79,2))=18),"NW","Other")),"Other")</f>
        <v>EC</v>
      </c>
      <c r="AH79" s="88" t="str">
        <f t="shared" si="74"/>
        <v>"%USERPROFILE%\Documents\GitHub\eaglep3\Utilities\RefineRTDCRunTimes.py" --tripid 167-14 --locoid 4018 --swversion DE.1.0.8.0 --startMP 204:438 --initTime 2017-01-14T11:54:25 --startdatetime 2017-01-14T12:00:17 --delay 1 --endMP 204:233332 --enddatetime 2017-01-14T12:35:58 --enforcementcount 0 &gt;&gt;C:\Users\stu\Documents\GitHub\eaglep3-reporting\EC\2017-01-14-refined-times.txt</v>
      </c>
      <c r="AI79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{"issue":{"subject":"","project_id":79,"tracker_id":40,"status_id":1,"priority_id":2,"assigned_to_id":23,"start_date":"2017-01-14","description":"","custom_fields":[{"id":1,"name":"Subdivision","value":"EC"},{"id":4,"name":"Milepost","value":"23.3332"},{"id":17,"name":"Train ID","value":"167-14"},{"id":16,"name":"Locomotive ID","value":"4018"},{"id":130,"name":"Impact","value":""},{"id":150,"name":"Time of Event (Mountain Time)","value":"12:35:58"},{"id":151,"name":"Denver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76"/>
        <v>start /low /b %USERPROFILE%\Documents\GitHub\eaglep3\Utilities\DownloadLogsFromS3.py --loco 4018 --day 2017-01-14</v>
      </c>
      <c r="AN79" s="189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"%USERPROFILE%\AppData\Local\Temp\OnboardLogs"\RTDC4018\*4018*20170114* | grep -SE "(Enforcement Action)|(\[TIMEOUT)|(CHR.+\|PRM\|1\|D.+(SWITCH|SIGNAL).+UNKNOWN)" - &gt;&gt; 2017-01-14-UncaughtWiMAX.txt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562</v>
      </c>
      <c r="B80" s="7">
        <v>4017</v>
      </c>
      <c r="C80" s="22" t="s">
        <v>201</v>
      </c>
      <c r="D80" s="22" t="s">
        <v>343</v>
      </c>
      <c r="E80" s="13">
        <v>42749.535300925927</v>
      </c>
      <c r="F80" s="13">
        <v>42749.539282407408</v>
      </c>
      <c r="G80" s="7">
        <v>1</v>
      </c>
      <c r="H80" s="22" t="s">
        <v>678</v>
      </c>
      <c r="I80" s="13">
        <v>42749.565451388888</v>
      </c>
      <c r="J80" s="7">
        <v>0</v>
      </c>
      <c r="K80" s="105" t="str">
        <f t="shared" si="77"/>
        <v>4017/4018</v>
      </c>
      <c r="L80" s="22" t="str">
        <f>VLOOKUP(A80,'Trips&amp;Operators'!$C$1:$G$99999,5,FALSE)</f>
        <v>LEVIN SCOTT</v>
      </c>
      <c r="M80" s="6">
        <f t="shared" si="78"/>
        <v>2.6168981479713693E-2</v>
      </c>
      <c r="N80" s="7">
        <f t="shared" si="72"/>
        <v>37.683333330787718</v>
      </c>
      <c r="O80" s="7"/>
      <c r="P80" s="7"/>
      <c r="Q80" s="23"/>
      <c r="R80" s="23"/>
      <c r="S80" s="32">
        <f t="shared" si="79"/>
        <v>1</v>
      </c>
      <c r="T80" s="47" t="str">
        <f t="shared" si="80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11:50:50-700',mode:absolute,to:'2017-01-14 14:34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80" s="49" t="str">
        <f t="shared" si="82"/>
        <v>N</v>
      </c>
      <c r="X80" s="173">
        <f t="shared" si="71"/>
        <v>1</v>
      </c>
      <c r="Y80" s="64">
        <f t="shared" si="83"/>
        <v>23.301100000000002</v>
      </c>
      <c r="Z80" s="64">
        <f t="shared" si="73"/>
        <v>1.1599999999999999E-2</v>
      </c>
      <c r="AA80" s="64">
        <f t="shared" si="84"/>
        <v>23.2895</v>
      </c>
      <c r="AB80" s="61" t="e">
        <f>VLOOKUP(A80,Enforcements!$C$7:$K$15,8,0)</f>
        <v>#N/A</v>
      </c>
      <c r="AC80" s="57" t="e">
        <f>VLOOKUP(A80,Enforcements!$C$7:$E$15,3,0)</f>
        <v>#N/A</v>
      </c>
      <c r="AD80" s="58" t="str">
        <f t="shared" si="85"/>
        <v>0168-14</v>
      </c>
      <c r="AE80" s="87" t="str">
        <f t="shared" si="86"/>
        <v>aws s3 cp s3://rtdc.mdm.uploadarchive.raw/RTDC4017/ "%USERPROFILE%\AppData\Local\Temp\OnboardLogs"\RTDC4017\2017-01-14 --exclude "*" --recursive --include "*20170114*" &amp; "%USERPROFILE%\Documents\GitHub\mrs-test-scripts\Headless Mode &amp; Sideloading\WalkAndUnGZ.bat" "%USERPROFILE%\AppData\Local\Temp\OnboardLogs"\RTDC4017\2017-01-14 &amp; aws s3 cp s3://rtdc.mdm.uploadarchive.raw/RTDC4017/ "%USERPROFILE%\AppData\Local\Temp\OnboardLogs"\RTDC4017\2017-01-15 --exclude "*" --recursive --include "*20170115*" &amp; "%USERPROFILE%\Documents\GitHub\mrs-test-scripts\Headless Mode &amp; Sideloading\WalkAndUnGZ.bat" "%USERPROFILE%\AppData\Local\Temp\OnboardLogs"\RTDC4017\2017-01-15</v>
      </c>
      <c r="AF80" s="84" t="str">
        <f t="shared" si="87"/>
        <v>"C:\Program Files (x86)\AstroGrep\AstroGrep.exe" /spath="%USERPROFILE%\AppData\Local\Temp\OnboardLogs" /stypes="app*4017*20170114*" /stext=" 20:.+((SYSTEM_STATE.+slice.+state.+changed )|(ment ac)|(multiple cpu faults)|(system.+state.+changed )|(\[timeout)|(PRM\|1\|D)|(kpr)|(kdp)|(\|lc)|(penalty))" /e /r /s</v>
      </c>
      <c r="AG80" s="1" t="str">
        <f t="shared" si="88"/>
        <v>EC</v>
      </c>
      <c r="AH80" s="88" t="str">
        <f t="shared" si="74"/>
        <v>"%USERPROFILE%\Documents\GitHub\eaglep3\Utilities\RefineRTDCRunTimes.py" --tripid 168-14 --locoid 4017 --swversion DE.1.0.8.0 --startMP 204:233011 --initTime 2017-01-14T12:50:50 --startdatetime 2017-01-14T12:56:34 --delay 1 --endMP 204:116 --enddatetime 2017-01-14T13:34:15 --enforcementcount 0 &gt;&gt;C:\Users\stu\Documents\GitHub\eaglep3-reporting\EC\2017-01-14-refined-times.txt</v>
      </c>
      <c r="AI80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{"issue":{"subject":"","project_id":79,"tracker_id":40,"status_id":1,"priority_id":2,"assigned_to_id":23,"start_date":"2017-01-14","description":"","custom_fields":[{"id":1,"name":"Subdivision","value":"EC"},{"id":4,"name":"Milepost","value":"0.0116"},{"id":17,"name":"Train ID","value":"168-14"},{"id":16,"name":"Locomotive ID","value":"4017"},{"id":130,"name":"Impact","value":""},{"id":150,"name":"Time of Event (Mountain Time)","value":"13:34:15"},{"id":151,"name":"Denver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76"/>
        <v>start /low /b %USERPROFILE%\Documents\GitHub\eaglep3\Utilities\DownloadLogsFromS3.py --loco 4017 --day 2017-01-14</v>
      </c>
      <c r="AN80" s="189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"%USERPROFILE%\AppData\Local\Temp\OnboardLogs"\RTDC4017\*4017*20170114* | grep -SE "(Enforcement Action)|(\[TIMEOUT)|(CHR.+\|PRM\|1\|D.+(SWITCH|SIGNAL).+UNKNOWN)" - &gt;&gt; 2017-01-14-UncaughtWiMAX.txt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555</v>
      </c>
      <c r="B81" s="7">
        <v>4014</v>
      </c>
      <c r="C81" s="22" t="s">
        <v>201</v>
      </c>
      <c r="D81" s="22" t="s">
        <v>665</v>
      </c>
      <c r="E81" s="13">
        <v>42749.510104166664</v>
      </c>
      <c r="F81" s="13">
        <v>42749.511724537035</v>
      </c>
      <c r="G81" s="7">
        <v>1</v>
      </c>
      <c r="H81" s="22" t="s">
        <v>293</v>
      </c>
      <c r="I81" s="13">
        <v>42749.537777777776</v>
      </c>
      <c r="J81" s="7">
        <v>0</v>
      </c>
      <c r="K81" s="105" t="str">
        <f t="shared" si="77"/>
        <v>4013/4014</v>
      </c>
      <c r="L81" s="22" t="str">
        <f>VLOOKUP(A81,'Trips&amp;Operators'!$C$1:$G$99999,5,FALSE)</f>
        <v>BRANDNER MELINDA</v>
      </c>
      <c r="M81" s="6">
        <f t="shared" si="78"/>
        <v>2.6053240741021E-2</v>
      </c>
      <c r="N81" s="7">
        <f t="shared" si="72"/>
        <v>37.51666666707024</v>
      </c>
      <c r="O81" s="7"/>
      <c r="P81" s="7"/>
      <c r="Q81" s="23"/>
      <c r="R81" s="23"/>
      <c r="S81" s="32">
        <f t="shared" si="79"/>
        <v>1</v>
      </c>
      <c r="T81" s="47" t="str">
        <f t="shared" si="80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11:14:33-700',mode:absolute,to:'2017-01-14 13:54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81" s="49" t="str">
        <f t="shared" si="82"/>
        <v>N</v>
      </c>
      <c r="X81" s="173">
        <f t="shared" si="71"/>
        <v>1</v>
      </c>
      <c r="Y81" s="64">
        <f t="shared" si="83"/>
        <v>4.8599999999999997E-2</v>
      </c>
      <c r="Z81" s="64">
        <f t="shared" si="73"/>
        <v>23.330400000000001</v>
      </c>
      <c r="AA81" s="64">
        <f t="shared" si="84"/>
        <v>23.2818</v>
      </c>
      <c r="AB81" s="61" t="e">
        <f>VLOOKUP(A81,Enforcements!$C$7:$K$15,8,0)</f>
        <v>#N/A</v>
      </c>
      <c r="AC81" s="57" t="e">
        <f>VLOOKUP(A81,Enforcements!$C$7:$E$15,3,0)</f>
        <v>#N/A</v>
      </c>
      <c r="AD81" s="58" t="str">
        <f t="shared" si="85"/>
        <v>0169-14</v>
      </c>
      <c r="AE81" s="87" t="str">
        <f t="shared" si="86"/>
        <v>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 &amp; 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</v>
      </c>
      <c r="AF81" s="84" t="str">
        <f t="shared" si="87"/>
        <v>"C:\Program Files (x86)\AstroGrep\AstroGrep.exe" /spath="%USERPROFILE%\AppData\Local\Temp\OnboardLogs" /stypes="app*4014*20170114*" /stext=" 19:.+((SYSTEM_STATE.+slice.+state.+changed )|(ment ac)|(multiple cpu faults)|(system.+state.+changed )|(\[timeout)|(PRM\|1\|D)|(kpr)|(kdp)|(\|lc)|(penalty))" /e /r /s</v>
      </c>
      <c r="AG81" s="1" t="str">
        <f t="shared" si="88"/>
        <v>EC</v>
      </c>
      <c r="AH81" s="88" t="str">
        <f t="shared" si="74"/>
        <v>"%USERPROFILE%\Documents\GitHub\eaglep3\Utilities\RefineRTDCRunTimes.py" --tripid 169-14 --locoid 4014 --swversion DE.1.0.8.0 --startMP 204:486 --initTime 2017-01-14T12:14:33 --startdatetime 2017-01-14T12:16:53 --delay 1 --endMP 204:233304 --enddatetime 2017-01-14T12:54:24 --enforcementcount 0 &gt;&gt;C:\Users\stu\Documents\GitHub\eaglep3-reporting\EC\2017-01-14-refined-times.txt</v>
      </c>
      <c r="AI81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{"issue":{"subject":"","project_id":79,"tracker_id":40,"status_id":1,"priority_id":2,"assigned_to_id":23,"start_date":"2017-01-14","description":"","custom_fields":[{"id":1,"name":"Subdivision","value":"EC"},{"id":4,"name":"Milepost","value":"23.3304"},{"id":17,"name":"Train ID","value":"169-14"},{"id":16,"name":"Locomotive ID","value":"4014"},{"id":130,"name":"Impact","value":""},{"id":150,"name":"Time of Event (Mountain Time)","value":"12:54:24"},{"id":151,"name":"Denver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76"/>
        <v>start /low /b %USERPROFILE%\Documents\GitHub\eaglep3\Utilities\DownloadLogsFromS3.py --loco 4014 --day 2017-01-14</v>
      </c>
      <c r="AN81" s="189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"%USERPROFILE%\AppData\Local\Temp\OnboardLogs"\RTDC4014\*4014*20170114* | grep -SE "(Enforcement Action)|(\[TIMEOUT)|(CHR.+\|PRM\|1\|D.+(SWITCH|SIGNAL).+UNKNOWN)" - &gt;&gt; 2017-01-14-UncaughtWiMAX.txt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445</v>
      </c>
      <c r="B82" s="7">
        <v>4013</v>
      </c>
      <c r="C82" s="22" t="s">
        <v>201</v>
      </c>
      <c r="D82" s="22" t="s">
        <v>310</v>
      </c>
      <c r="E82" s="13">
        <v>42749.544212962966</v>
      </c>
      <c r="F82" s="13">
        <v>42749.549479166664</v>
      </c>
      <c r="G82" s="7">
        <v>1</v>
      </c>
      <c r="H82" s="22" t="s">
        <v>404</v>
      </c>
      <c r="I82" s="13">
        <v>42749.576481481483</v>
      </c>
      <c r="J82" s="7">
        <v>0</v>
      </c>
      <c r="K82" s="105" t="str">
        <f t="shared" si="77"/>
        <v>4013/4014</v>
      </c>
      <c r="L82" s="22" t="str">
        <f>VLOOKUP(A82,'Trips&amp;Operators'!$C$1:$G$99999,5,FALSE)</f>
        <v>BRANDNER MELINDA</v>
      </c>
      <c r="M82" s="6">
        <f t="shared" si="78"/>
        <v>2.7002314818673767E-2</v>
      </c>
      <c r="N82" s="7">
        <f t="shared" si="72"/>
        <v>38.883333338890225</v>
      </c>
      <c r="O82" s="7"/>
      <c r="P82" s="7"/>
      <c r="Q82" s="23"/>
      <c r="R82" s="23"/>
      <c r="S82" s="32">
        <f t="shared" si="79"/>
        <v>1</v>
      </c>
      <c r="T82" s="47" t="str">
        <f t="shared" si="80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12:03:40-700',mode:absolute,to:'2017-01-14 14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82" s="49" t="str">
        <f t="shared" si="82"/>
        <v>N</v>
      </c>
      <c r="X82" s="173">
        <f t="shared" si="71"/>
        <v>1</v>
      </c>
      <c r="Y82" s="64">
        <f t="shared" si="83"/>
        <v>23.299099999999999</v>
      </c>
      <c r="Z82" s="64">
        <f t="shared" si="73"/>
        <v>1.43E-2</v>
      </c>
      <c r="AA82" s="64">
        <f t="shared" si="84"/>
        <v>23.284800000000001</v>
      </c>
      <c r="AB82" s="61" t="e">
        <f>VLOOKUP(A82,Enforcements!$C$7:$K$15,8,0)</f>
        <v>#N/A</v>
      </c>
      <c r="AC82" s="57" t="e">
        <f>VLOOKUP(A82,Enforcements!$C$7:$E$15,3,0)</f>
        <v>#N/A</v>
      </c>
      <c r="AD82" s="58" t="str">
        <f t="shared" si="85"/>
        <v>0170-14</v>
      </c>
      <c r="AE82" s="87" t="str">
        <f t="shared" si="86"/>
        <v>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 &amp; 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</v>
      </c>
      <c r="AF82" s="84" t="str">
        <f t="shared" si="87"/>
        <v>"C:\Program Files (x86)\AstroGrep\AstroGrep.exe" /spath="%USERPROFILE%\AppData\Local\Temp\OnboardLogs" /stypes="app*4013*20170114*" /stext=" 20:.+((SYSTEM_STATE.+slice.+state.+changed )|(ment ac)|(multiple cpu faults)|(system.+state.+changed )|(\[timeout)|(PRM\|1\|D)|(kpr)|(kdp)|(\|lc)|(penalty))" /e /r /s</v>
      </c>
      <c r="AG82" s="1" t="str">
        <f t="shared" si="88"/>
        <v>EC</v>
      </c>
      <c r="AH82" s="88" t="str">
        <f t="shared" si="74"/>
        <v>"%USERPROFILE%\Documents\GitHub\eaglep3\Utilities\RefineRTDCRunTimes.py" --tripid 170-14 --locoid 4013 --swversion DE.1.0.8.0 --startMP 204:232991 --initTime 2017-01-14T13:03:40 --startdatetime 2017-01-14T13:11:15 --delay 1 --endMP 204:143 --enddatetime 2017-01-14T13:50:08 --enforcementcount 0 &gt;&gt;C:\Users\stu\Documents\GitHub\eaglep3-reporting\EC\2017-01-14-refined-times.txt</v>
      </c>
      <c r="AI82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{"issue":{"subject":"","project_id":79,"tracker_id":40,"status_id":1,"priority_id":2,"assigned_to_id":23,"start_date":"2017-01-14","description":"","custom_fields":[{"id":1,"name":"Subdivision","value":"EC"},{"id":4,"name":"Milepost","value":"0.0143"},{"id":17,"name":"Train ID","value":"170-14"},{"id":16,"name":"Locomotive ID","value":"4013"},{"id":130,"name":"Impact","value":""},{"id":150,"name":"Time of Event (Mountain Time)","value":"13:50:08"},{"id":151,"name":"Denver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76"/>
        <v>start /low /b %USERPROFILE%\Documents\GitHub\eaglep3\Utilities\DownloadLogsFromS3.py --loco 4013 --day 2017-01-14</v>
      </c>
      <c r="AN82" s="189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"%USERPROFILE%\AppData\Local\Temp\OnboardLogs"\RTDC4013\*4013*20170114* | grep -SE "(Enforcement Action)|(\[TIMEOUT)|(CHR.+\|PRM\|1\|D.+(SWITCH|SIGNAL).+UNKNOWN)" - &gt;&gt; 2017-01-14-UncaughtWiMAX.txt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557</v>
      </c>
      <c r="B83" s="7">
        <v>4031</v>
      </c>
      <c r="C83" s="22" t="s">
        <v>201</v>
      </c>
      <c r="D83" s="22" t="s">
        <v>278</v>
      </c>
      <c r="E83" s="13">
        <v>42749.515173611115</v>
      </c>
      <c r="F83" s="13">
        <v>42749.520995370367</v>
      </c>
      <c r="G83" s="7">
        <v>2</v>
      </c>
      <c r="H83" s="22" t="s">
        <v>412</v>
      </c>
      <c r="I83" s="13">
        <v>42749.545381944445</v>
      </c>
      <c r="J83" s="7">
        <v>0</v>
      </c>
      <c r="K83" s="105" t="str">
        <f t="shared" si="77"/>
        <v>4031/4032</v>
      </c>
      <c r="L83" s="22" t="str">
        <f>VLOOKUP(A83,'Trips&amp;Operators'!$C$1:$G$99999,5,FALSE)</f>
        <v>BRANNON JEFFREY</v>
      </c>
      <c r="M83" s="6">
        <f t="shared" si="78"/>
        <v>2.4386574077652767E-2</v>
      </c>
      <c r="N83" s="7">
        <f t="shared" si="72"/>
        <v>35.116666671819985</v>
      </c>
      <c r="O83" s="7"/>
      <c r="P83" s="7"/>
      <c r="Q83" s="23"/>
      <c r="R83" s="23"/>
      <c r="S83" s="32">
        <f t="shared" si="79"/>
        <v>1</v>
      </c>
      <c r="T83" s="47" t="str">
        <f t="shared" si="80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11:21:51-700',mode:absolute,to:'2017-01-14 14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83" s="49" t="str">
        <f t="shared" si="82"/>
        <v>N</v>
      </c>
      <c r="X83" s="173">
        <f t="shared" si="71"/>
        <v>1</v>
      </c>
      <c r="Y83" s="64">
        <f t="shared" si="83"/>
        <v>4.6899999999999997E-2</v>
      </c>
      <c r="Z83" s="64">
        <f t="shared" si="73"/>
        <v>23.330300000000001</v>
      </c>
      <c r="AA83" s="64">
        <f t="shared" si="84"/>
        <v>23.2834</v>
      </c>
      <c r="AB83" s="61" t="e">
        <f>VLOOKUP(A83,Enforcements!$C$7:$K$15,8,0)</f>
        <v>#N/A</v>
      </c>
      <c r="AC83" s="57" t="e">
        <f>VLOOKUP(A83,Enforcements!$C$7:$E$15,3,0)</f>
        <v>#N/A</v>
      </c>
      <c r="AD83" s="58" t="str">
        <f t="shared" si="85"/>
        <v>0171-14</v>
      </c>
      <c r="AE83" s="87" t="str">
        <f t="shared" si="86"/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AF83" s="84" t="str">
        <f t="shared" si="87"/>
        <v>"C:\Program Files (x86)\AstroGrep\AstroGrep.exe" /spath="%USERPROFILE%\AppData\Local\Temp\OnboardLogs" /stypes="app*4031*20170114*" /stext=" 20:.+((SYSTEM_STATE.+slice.+state.+changed )|(ment ac)|(multiple cpu faults)|(system.+state.+changed )|(\[timeout)|(PRM\|1\|D)|(kpr)|(kdp)|(\|lc)|(penalty))" /e /r /s</v>
      </c>
      <c r="AG83" s="1" t="str">
        <f t="shared" si="88"/>
        <v>EC</v>
      </c>
      <c r="AH83" s="88" t="str">
        <f t="shared" si="74"/>
        <v>"%USERPROFILE%\Documents\GitHub\eaglep3\Utilities\RefineRTDCRunTimes.py" --tripid 171-14 --locoid 4031 --swversion DE.1.0.8.0 --startMP 204:469 --initTime 2017-01-14T12:21:51 --startdatetime 2017-01-14T12:30:14 --delay 2 --endMP 204:233303 --enddatetime 2017-01-14T13:05:21 --enforcementcount 0 &gt;&gt;C:\Users\stu\Documents\GitHub\eaglep3-reporting\EC\2017-01-14-refined-times.txt</v>
      </c>
      <c r="AI83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{"issue":{"subject":"","project_id":79,"tracker_id":40,"status_id":1,"priority_id":2,"assigned_to_id":23,"start_date":"2017-01-14","description":"","custom_fields":[{"id":1,"name":"Subdivision","value":"EC"},{"id":4,"name":"Milepost","value":"23.3303"},{"id":17,"name":"Train ID","value":"171-14"},{"id":16,"name":"Locomotive ID","value":"4031"},{"id":130,"name":"Impact","value":""},{"id":150,"name":"Time of Event (Mountain Time)","value":"13:05:21"},{"id":151,"name":"Denver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76"/>
        <v>start /low /b %USERPROFILE%\Documents\GitHub\eaglep3\Utilities\DownloadLogsFromS3.py --loco 4031 --day 2017-01-14</v>
      </c>
      <c r="AN83" s="189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"%USERPROFILE%\AppData\Local\Temp\OnboardLogs"\RTDC4031\*4031*20170114* | grep -SE "(Enforcement Action)|(\[TIMEOUT)|(CHR.+\|PRM\|1\|D.+(SWITCH|SIGNAL).+UNKNOWN)" - &gt;&gt; 2017-01-14-UncaughtWiMAX.txt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566</v>
      </c>
      <c r="B84" s="7">
        <v>4032</v>
      </c>
      <c r="C84" s="22" t="s">
        <v>201</v>
      </c>
      <c r="D84" s="22" t="s">
        <v>242</v>
      </c>
      <c r="E84" s="13">
        <v>42749.556932870371</v>
      </c>
      <c r="F84" s="13">
        <v>42749.559872685182</v>
      </c>
      <c r="G84" s="7">
        <v>2</v>
      </c>
      <c r="H84" s="22" t="s">
        <v>224</v>
      </c>
      <c r="I84" s="13">
        <v>42749.586354166669</v>
      </c>
      <c r="J84" s="7">
        <v>0</v>
      </c>
      <c r="K84" s="105" t="str">
        <f t="shared" si="77"/>
        <v>4031/4032</v>
      </c>
      <c r="L84" s="22" t="str">
        <f>VLOOKUP(A84,'Trips&amp;Operators'!$C$1:$G$99999,5,FALSE)</f>
        <v>BRANNON JEFFREY</v>
      </c>
      <c r="M84" s="6">
        <f t="shared" si="78"/>
        <v>2.6481481487280689E-2</v>
      </c>
      <c r="N84" s="7">
        <f t="shared" si="72"/>
        <v>38.133333341684192</v>
      </c>
      <c r="O84" s="7"/>
      <c r="P84" s="7"/>
      <c r="Q84" s="23"/>
      <c r="R84" s="23"/>
      <c r="S84" s="32">
        <f t="shared" si="79"/>
        <v>1</v>
      </c>
      <c r="T84" s="47" t="str">
        <f t="shared" si="80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12:21:59-700',mode:absolute,to:'2017-01-14 15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84" s="49" t="str">
        <f t="shared" si="82"/>
        <v>N</v>
      </c>
      <c r="X84" s="173">
        <f t="shared" si="71"/>
        <v>1</v>
      </c>
      <c r="Y84" s="64">
        <f t="shared" si="83"/>
        <v>23.297699999999999</v>
      </c>
      <c r="Z84" s="64">
        <f t="shared" si="73"/>
        <v>1.4500000000000001E-2</v>
      </c>
      <c r="AA84" s="64">
        <f t="shared" si="84"/>
        <v>23.283199999999997</v>
      </c>
      <c r="AB84" s="61" t="e">
        <f>VLOOKUP(A84,Enforcements!$C$7:$K$15,8,0)</f>
        <v>#N/A</v>
      </c>
      <c r="AC84" s="57" t="e">
        <f>VLOOKUP(A84,Enforcements!$C$7:$E$15,3,0)</f>
        <v>#N/A</v>
      </c>
      <c r="AD84" s="58" t="str">
        <f t="shared" si="85"/>
        <v>0172-14</v>
      </c>
      <c r="AE84" s="87" t="str">
        <f t="shared" si="86"/>
        <v>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 &amp; 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</v>
      </c>
      <c r="AF84" s="84" t="str">
        <f t="shared" si="87"/>
        <v>"C:\Program Files (x86)\AstroGrep\AstroGrep.exe" /spath="%USERPROFILE%\AppData\Local\Temp\OnboardLogs" /stypes="app*4032*20170114*" /stext=" 21:.+((SYSTEM_STATE.+slice.+state.+changed )|(ment ac)|(multiple cpu faults)|(system.+state.+changed )|(\[timeout)|(PRM\|1\|D)|(kpr)|(kdp)|(\|lc)|(penalty))" /e /r /s</v>
      </c>
      <c r="AG84" s="1" t="str">
        <f t="shared" si="88"/>
        <v>EC</v>
      </c>
      <c r="AH84" s="88" t="str">
        <f t="shared" si="74"/>
        <v>"%USERPROFILE%\Documents\GitHub\eaglep3\Utilities\RefineRTDCRunTimes.py" --tripid 172-14 --locoid 4032 --swversion DE.1.0.8.0 --startMP 204:232977 --initTime 2017-01-14T13:21:59 --startdatetime 2017-01-14T13:26:13 --delay 2 --endMP 204:145 --enddatetime 2017-01-14T14:04:21 --enforcementcount 0 &gt;&gt;C:\Users\stu\Documents\GitHub\eaglep3-reporting\EC\2017-01-14-refined-times.txt</v>
      </c>
      <c r="AI84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{"issue":{"subject":"","project_id":79,"tracker_id":40,"status_id":1,"priority_id":2,"assigned_to_id":23,"start_date":"2017-01-14","description":"","custom_fields":[{"id":1,"name":"Subdivision","value":"EC"},{"id":4,"name":"Milepost","value":"0.0145"},{"id":17,"name":"Train ID","value":"172-14"},{"id":16,"name":"Locomotive ID","value":"4032"},{"id":130,"name":"Impact","value":""},{"id":150,"name":"Time of Event (Mountain Time)","value":"14:04:21"},{"id":151,"name":"Denver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76"/>
        <v>start /low /b %USERPROFILE%\Documents\GitHub\eaglep3\Utilities\DownloadLogsFromS3.py --loco 4032 --day 2017-01-14</v>
      </c>
      <c r="AN84" s="189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"%USERPROFILE%\AppData\Local\Temp\OnboardLogs"\RTDC4032\*4032*20170114* | grep -SE "(Enforcement Action)|(\[TIMEOUT)|(CHR.+\|PRM\|1\|D.+(SWITCH|SIGNAL).+UNKNOWN)" - &gt;&gt; 2017-01-14-UncaughtWiMAX.txt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561</v>
      </c>
      <c r="B85" s="7">
        <v>4038</v>
      </c>
      <c r="C85" s="22" t="s">
        <v>201</v>
      </c>
      <c r="D85" s="22" t="s">
        <v>679</v>
      </c>
      <c r="E85" s="13">
        <v>42749.526631944442</v>
      </c>
      <c r="F85" s="13">
        <v>42749.531481481485</v>
      </c>
      <c r="G85" s="7">
        <v>1</v>
      </c>
      <c r="H85" s="22" t="s">
        <v>295</v>
      </c>
      <c r="I85" s="13">
        <v>42749.556817129633</v>
      </c>
      <c r="J85" s="7">
        <v>0</v>
      </c>
      <c r="K85" s="105" t="str">
        <f t="shared" si="77"/>
        <v>4037/4038</v>
      </c>
      <c r="L85" s="22" t="str">
        <f>VLOOKUP(A85,'Trips&amp;Operators'!$C$1:$G$99999,5,FALSE)</f>
        <v>STEWART MICHAEL</v>
      </c>
      <c r="M85" s="6">
        <f t="shared" si="78"/>
        <v>2.5335648148029577E-2</v>
      </c>
      <c r="N85" s="7">
        <f t="shared" si="72"/>
        <v>36.483333333162591</v>
      </c>
      <c r="O85" s="7"/>
      <c r="P85" s="7"/>
      <c r="Q85" s="23"/>
      <c r="R85" s="23"/>
      <c r="S85" s="32">
        <f t="shared" si="79"/>
        <v>1</v>
      </c>
      <c r="T85" s="47" t="str">
        <f t="shared" si="80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11:38:21-700',mode:absolute,to:'2017-01-14 14:21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85" s="49" t="str">
        <f t="shared" si="82"/>
        <v>N</v>
      </c>
      <c r="X85" s="173">
        <f t="shared" si="71"/>
        <v>1</v>
      </c>
      <c r="Y85" s="64">
        <f t="shared" si="83"/>
        <v>4.8000000000000001E-2</v>
      </c>
      <c r="Z85" s="64">
        <f t="shared" si="73"/>
        <v>23.3306</v>
      </c>
      <c r="AA85" s="64">
        <f t="shared" si="84"/>
        <v>23.282600000000002</v>
      </c>
      <c r="AB85" s="61" t="e">
        <f>VLOOKUP(A85,Enforcements!$C$7:$K$15,8,0)</f>
        <v>#N/A</v>
      </c>
      <c r="AC85" s="57" t="e">
        <f>VLOOKUP(A85,Enforcements!$C$7:$E$15,3,0)</f>
        <v>#N/A</v>
      </c>
      <c r="AD85" s="58" t="str">
        <f t="shared" si="85"/>
        <v>0173-14</v>
      </c>
      <c r="AE85" s="87" t="str">
        <f t="shared" si="86"/>
        <v>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 &amp; 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</v>
      </c>
      <c r="AF85" s="84" t="str">
        <f t="shared" si="87"/>
        <v>"C:\Program Files (x86)\AstroGrep\AstroGrep.exe" /spath="%USERPROFILE%\AppData\Local\Temp\OnboardLogs" /stypes="app*4038*20170114*" /stext=" 20:.+((SYSTEM_STATE.+slice.+state.+changed )|(ment ac)|(multiple cpu faults)|(system.+state.+changed )|(\[timeout)|(PRM\|1\|D)|(kpr)|(kdp)|(\|lc)|(penalty))" /e /r /s</v>
      </c>
      <c r="AG85" s="1" t="str">
        <f t="shared" si="88"/>
        <v>EC</v>
      </c>
      <c r="AH85" s="88" t="str">
        <f t="shared" si="74"/>
        <v>"%USERPROFILE%\Documents\GitHub\eaglep3\Utilities\RefineRTDCRunTimes.py" --tripid 173-14 --locoid 4038 --swversion DE.1.0.8.0 --startMP 204:480 --initTime 2017-01-14T12:38:21 --startdatetime 2017-01-14T12:45:20 --delay 1 --endMP 204:233306 --enddatetime 2017-01-14T13:21:49 --enforcementcount 0 &gt;&gt;C:\Users\stu\Documents\GitHub\eaglep3-reporting\EC\2017-01-14-refined-times.txt</v>
      </c>
      <c r="AI85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{"issue":{"subject":"","project_id":79,"tracker_id":40,"status_id":1,"priority_id":2,"assigned_to_id":23,"start_date":"2017-01-14","description":"","custom_fields":[{"id":1,"name":"Subdivision","value":"EC"},{"id":4,"name":"Milepost","value":"23.3306"},{"id":17,"name":"Train ID","value":"173-14"},{"id":16,"name":"Locomotive ID","value":"4038"},{"id":130,"name":"Impact","value":""},{"id":150,"name":"Time of Event (Mountain Time)","value":"13:21:49"},{"id":151,"name":"Denver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76"/>
        <v>start /low /b %USERPROFILE%\Documents\GitHub\eaglep3\Utilities\DownloadLogsFromS3.py --loco 4038 --day 2017-01-14</v>
      </c>
      <c r="AN85" s="189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"%USERPROFILE%\AppData\Local\Temp\OnboardLogs"\RTDC4038\*4038*20170114* | grep -SE "(Enforcement Action)|(\[TIMEOUT)|(CHR.+\|PRM\|1\|D.+(SWITCH|SIGNAL).+UNKNOWN)" - &gt;&gt; 2017-01-14-UncaughtWiMAX.txt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567</v>
      </c>
      <c r="B86" s="7">
        <v>4037</v>
      </c>
      <c r="C86" s="22" t="s">
        <v>201</v>
      </c>
      <c r="D86" s="22" t="s">
        <v>271</v>
      </c>
      <c r="E86" s="13">
        <v>42749.567002314812</v>
      </c>
      <c r="F86" s="13">
        <v>42749.570393518516</v>
      </c>
      <c r="G86" s="7">
        <v>1</v>
      </c>
      <c r="H86" s="22" t="s">
        <v>259</v>
      </c>
      <c r="I86" s="13">
        <v>42749.596817129626</v>
      </c>
      <c r="J86" s="7">
        <v>0</v>
      </c>
      <c r="K86" s="105" t="str">
        <f t="shared" si="77"/>
        <v>4037/4038</v>
      </c>
      <c r="L86" s="22" t="str">
        <f>VLOOKUP(A86,'Trips&amp;Operators'!$C$1:$G$99999,5,FALSE)</f>
        <v>STEWART MICHAEL</v>
      </c>
      <c r="M86" s="6">
        <f t="shared" si="78"/>
        <v>2.6423611110658385E-2</v>
      </c>
      <c r="N86" s="7">
        <f t="shared" si="72"/>
        <v>38.049999999348074</v>
      </c>
      <c r="O86" s="7"/>
      <c r="P86" s="7"/>
      <c r="Q86" s="23"/>
      <c r="R86" s="23"/>
      <c r="S86" s="32">
        <f t="shared" si="79"/>
        <v>1</v>
      </c>
      <c r="T86" s="47" t="str">
        <f t="shared" si="80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12:36:29-700',mode:absolute,to:'2017-01-14 15:19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86" s="49" t="str">
        <f t="shared" si="82"/>
        <v>N</v>
      </c>
      <c r="X86" s="173">
        <f t="shared" si="71"/>
        <v>1</v>
      </c>
      <c r="Y86" s="64">
        <f t="shared" si="83"/>
        <v>23.298300000000001</v>
      </c>
      <c r="Z86" s="64">
        <f t="shared" si="73"/>
        <v>1.5800000000000002E-2</v>
      </c>
      <c r="AA86" s="64">
        <f t="shared" si="84"/>
        <v>23.282500000000002</v>
      </c>
      <c r="AB86" s="61" t="e">
        <f>VLOOKUP(A86,Enforcements!$C$7:$K$15,8,0)</f>
        <v>#N/A</v>
      </c>
      <c r="AC86" s="57" t="e">
        <f>VLOOKUP(A86,Enforcements!$C$7:$E$15,3,0)</f>
        <v>#N/A</v>
      </c>
      <c r="AD86" s="58" t="str">
        <f t="shared" si="85"/>
        <v>0174-14</v>
      </c>
      <c r="AE86" s="87" t="str">
        <f t="shared" si="86"/>
        <v>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 &amp; 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</v>
      </c>
      <c r="AF86" s="84" t="str">
        <f t="shared" si="87"/>
        <v>"C:\Program Files (x86)\AstroGrep\AstroGrep.exe" /spath="%USERPROFILE%\AppData\Local\Temp\OnboardLogs" /stypes="app*4037*20170114*" /stext=" 21:.+((SYSTEM_STATE.+slice.+state.+changed )|(ment ac)|(multiple cpu faults)|(system.+state.+changed )|(\[timeout)|(PRM\|1\|D)|(kpr)|(kdp)|(\|lc)|(penalty))" /e /r /s</v>
      </c>
      <c r="AG86" s="1" t="str">
        <f t="shared" si="88"/>
        <v>EC</v>
      </c>
      <c r="AH86" s="88" t="str">
        <f t="shared" si="74"/>
        <v>"%USERPROFILE%\Documents\GitHub\eaglep3\Utilities\RefineRTDCRunTimes.py" --tripid 174-14 --locoid 4037 --swversion DE.1.0.8.0 --startMP 204:232983 --initTime 2017-01-14T13:36:29 --startdatetime 2017-01-14T13:41:22 --delay 1 --endMP 204:158 --enddatetime 2017-01-14T14:19:25 --enforcementcount 0 &gt;&gt;C:\Users\stu\Documents\GitHub\eaglep3-reporting\EC\2017-01-14-refined-times.txt</v>
      </c>
      <c r="AI86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{"issue":{"subject":"","project_id":79,"tracker_id":40,"status_id":1,"priority_id":2,"assigned_to_id":23,"start_date":"2017-01-14","description":"","custom_fields":[{"id":1,"name":"Subdivision","value":"EC"},{"id":4,"name":"Milepost","value":"0.0158"},{"id":17,"name":"Train ID","value":"174-14"},{"id":16,"name":"Locomotive ID","value":"4037"},{"id":130,"name":"Impact","value":""},{"id":150,"name":"Time of Event (Mountain Time)","value":"14:19:25"},{"id":151,"name":"Denver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76"/>
        <v>start /low /b %USERPROFILE%\Documents\GitHub\eaglep3\Utilities\DownloadLogsFromS3.py --loco 4037 --day 2017-01-14</v>
      </c>
      <c r="AN86" s="189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"%USERPROFILE%\AppData\Local\Temp\OnboardLogs"\RTDC4037\*4037*20170114* | grep -SE "(Enforcement Action)|(\[TIMEOUT)|(CHR.+\|PRM\|1\|D.+(SWITCH|SIGNAL).+UNKNOWN)" - &gt;&gt; 2017-01-14-UncaughtWiMAX.txt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444</v>
      </c>
      <c r="B87" s="7">
        <v>4003</v>
      </c>
      <c r="C87" s="22" t="s">
        <v>201</v>
      </c>
      <c r="D87" s="22" t="s">
        <v>670</v>
      </c>
      <c r="E87" s="13">
        <v>42749.538043981483</v>
      </c>
      <c r="F87" s="13">
        <v>42749.542071759257</v>
      </c>
      <c r="G87" s="7">
        <v>1</v>
      </c>
      <c r="H87" s="22" t="s">
        <v>680</v>
      </c>
      <c r="I87" s="13">
        <v>42749.567499999997</v>
      </c>
      <c r="J87" s="7">
        <v>0</v>
      </c>
      <c r="K87" s="105" t="str">
        <f t="shared" si="77"/>
        <v>4003/4004</v>
      </c>
      <c r="L87" s="22" t="str">
        <f>VLOOKUP(A87,'Trips&amp;Operators'!$C$1:$G$99999,5,FALSE)</f>
        <v>DAVIS MICHAEL</v>
      </c>
      <c r="M87" s="6">
        <f t="shared" si="78"/>
        <v>2.5428240740438923E-2</v>
      </c>
      <c r="N87" s="7">
        <f t="shared" si="72"/>
        <v>36.616666666232049</v>
      </c>
      <c r="O87" s="7"/>
      <c r="P87" s="7"/>
      <c r="Q87" s="23"/>
      <c r="R87" s="23"/>
      <c r="S87" s="32">
        <f t="shared" si="79"/>
        <v>1</v>
      </c>
      <c r="T87" s="47" t="str">
        <f t="shared" si="80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11:54:47-700',mode:absolute,to:'2017-01-14 14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87" s="49" t="str">
        <f t="shared" si="82"/>
        <v>N</v>
      </c>
      <c r="X87" s="173">
        <f t="shared" ref="X87:X118" si="89">VALUE(LEFT(AD87,4))-VALUE(LEFT(AD86,4))</f>
        <v>1</v>
      </c>
      <c r="Y87" s="64">
        <f t="shared" si="83"/>
        <v>4.5100000000000001E-2</v>
      </c>
      <c r="Z87" s="64">
        <f t="shared" si="73"/>
        <v>23.327999999999999</v>
      </c>
      <c r="AA87" s="64">
        <f t="shared" si="84"/>
        <v>23.282899999999998</v>
      </c>
      <c r="AB87" s="61" t="e">
        <f>VLOOKUP(A87,Enforcements!$C$7:$K$15,8,0)</f>
        <v>#N/A</v>
      </c>
      <c r="AC87" s="57" t="e">
        <f>VLOOKUP(A87,Enforcements!$C$7:$E$15,3,0)</f>
        <v>#N/A</v>
      </c>
      <c r="AD87" s="58" t="str">
        <f t="shared" si="85"/>
        <v>0175-14</v>
      </c>
      <c r="AE87" s="87" t="str">
        <f t="shared" si="86"/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AF87" s="84" t="str">
        <f t="shared" si="87"/>
        <v>"C:\Program Files (x86)\AstroGrep\AstroGrep.exe" /spath="%USERPROFILE%\AppData\Local\Temp\OnboardLogs" /stypes="app*4003*20170114*" /stext=" 20:.+((SYSTEM_STATE.+slice.+state.+changed )|(ment ac)|(multiple cpu faults)|(system.+state.+changed )|(\[timeout)|(PRM\|1\|D)|(kpr)|(kdp)|(\|lc)|(penalty))" /e /r /s</v>
      </c>
      <c r="AG87" s="1" t="str">
        <f t="shared" si="88"/>
        <v>EC</v>
      </c>
      <c r="AH87" s="88" t="str">
        <f t="shared" si="74"/>
        <v>"%USERPROFILE%\Documents\GitHub\eaglep3\Utilities\RefineRTDCRunTimes.py" --tripid 175-14 --locoid 4003 --swversion DE.1.0.8.0 --startMP 204:451 --initTime 2017-01-14T12:54:47 --startdatetime 2017-01-14T13:00:35 --delay 1 --endMP 204:233280 --enddatetime 2017-01-14T13:37:12 --enforcementcount 0 &gt;&gt;C:\Users\stu\Documents\GitHub\eaglep3-reporting\EC\2017-01-14-refined-times.txt</v>
      </c>
      <c r="AI87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{"issue":{"subject":"","project_id":79,"tracker_id":40,"status_id":1,"priority_id":2,"assigned_to_id":23,"start_date":"2017-01-14","description":"","custom_fields":[{"id":1,"name":"Subdivision","value":"EC"},{"id":4,"name":"Milepost","value":"23.328"},{"id":17,"name":"Train ID","value":"175-14"},{"id":16,"name":"Locomotive ID","value":"4003"},{"id":130,"name":"Impact","value":""},{"id":150,"name":"Time of Event (Mountain Time)","value":"13:37:12"},{"id":151,"name":"Denver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76"/>
        <v>start /low /b %USERPROFILE%\Documents\GitHub\eaglep3\Utilities\DownloadLogsFromS3.py --loco 4003 --day 2017-01-14</v>
      </c>
      <c r="AN87" s="189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"%USERPROFILE%\AppData\Local\Temp\OnboardLogs"\RTDC4003\*4003*20170114* | grep -SE "(Enforcement Action)|(\[TIMEOUT)|(CHR.+\|PRM\|1\|D.+(SWITCH|SIGNAL).+UNKNOWN)" - &gt;&gt; 2017-01-14-UncaughtWiMAX.txt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570</v>
      </c>
      <c r="B88" s="7">
        <v>4004</v>
      </c>
      <c r="C88" s="22" t="s">
        <v>201</v>
      </c>
      <c r="D88" s="22" t="s">
        <v>337</v>
      </c>
      <c r="E88" s="13">
        <v>42749.576666666668</v>
      </c>
      <c r="F88" s="13">
        <v>42749.581099537034</v>
      </c>
      <c r="G88" s="7">
        <v>1</v>
      </c>
      <c r="H88" s="22" t="s">
        <v>243</v>
      </c>
      <c r="I88" s="13">
        <v>42749.609699074077</v>
      </c>
      <c r="J88" s="7">
        <v>0</v>
      </c>
      <c r="K88" s="105" t="str">
        <f t="shared" si="77"/>
        <v>4003/4004</v>
      </c>
      <c r="L88" s="22" t="str">
        <f>VLOOKUP(A88,'Trips&amp;Operators'!$C$1:$G$99999,5,FALSE)</f>
        <v>DAVIS MICHAEL</v>
      </c>
      <c r="M88" s="6">
        <f t="shared" si="78"/>
        <v>2.8599537043191958E-2</v>
      </c>
      <c r="N88" s="7">
        <f t="shared" si="72"/>
        <v>41.18333334219642</v>
      </c>
      <c r="O88" s="7"/>
      <c r="P88" s="7"/>
      <c r="Q88" s="23"/>
      <c r="R88" s="23"/>
      <c r="S88" s="32">
        <f t="shared" si="79"/>
        <v>1</v>
      </c>
      <c r="T88" s="47" t="str">
        <f t="shared" si="80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12:50:24-700',mode:absolute,to:'2017-01-14 15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88" s="49" t="str">
        <f t="shared" si="82"/>
        <v>N</v>
      </c>
      <c r="X88" s="173">
        <f t="shared" si="89"/>
        <v>1</v>
      </c>
      <c r="Y88" s="64">
        <f t="shared" si="83"/>
        <v>23.296500000000002</v>
      </c>
      <c r="Z88" s="64">
        <f t="shared" si="73"/>
        <v>1.6E-2</v>
      </c>
      <c r="AA88" s="64">
        <f t="shared" si="84"/>
        <v>23.280500000000004</v>
      </c>
      <c r="AB88" s="61" t="e">
        <f>VLOOKUP(A88,Enforcements!$C$7:$K$15,8,0)</f>
        <v>#N/A</v>
      </c>
      <c r="AC88" s="57" t="e">
        <f>VLOOKUP(A88,Enforcements!$C$7:$E$15,3,0)</f>
        <v>#N/A</v>
      </c>
      <c r="AD88" s="58" t="str">
        <f t="shared" si="85"/>
        <v>0176-14</v>
      </c>
      <c r="AE88" s="87" t="str">
        <f t="shared" si="86"/>
        <v>aws s3 cp s3://rtdc.mdm.uploadarchive.raw/RTDC4004/ "%USERPROFILE%\AppData\Local\Temp\OnboardLogs"\RTDC4004\2017-01-14 --exclude "*" --recursive --include "*20170114*" &amp; "%USERPROFILE%\Documents\GitHub\mrs-test-scripts\Headless Mode &amp; Sideloading\WalkAndUnGZ.bat" "%USERPROFILE%\AppData\Local\Temp\OnboardLogs"\RTDC4004\2017-01-14 &amp; aws s3 cp s3://rtdc.mdm.uploadarchive.raw/RTDC4004/ "%USERPROFILE%\AppData\Local\Temp\OnboardLogs"\RTDC4004\2017-01-15 --exclude "*" --recursive --include "*20170115*" &amp; "%USERPROFILE%\Documents\GitHub\mrs-test-scripts\Headless Mode &amp; Sideloading\WalkAndUnGZ.bat" "%USERPROFILE%\AppData\Local\Temp\OnboardLogs"\RTDC4004\2017-01-15</v>
      </c>
      <c r="AF88" s="84" t="str">
        <f t="shared" si="87"/>
        <v>"C:\Program Files (x86)\AstroGrep\AstroGrep.exe" /spath="%USERPROFILE%\AppData\Local\Temp\OnboardLogs" /stypes="app*4004*20170114*" /stext=" 21:.+((SYSTEM_STATE.+slice.+state.+changed )|(ment ac)|(multiple cpu faults)|(system.+state.+changed )|(\[timeout)|(PRM\|1\|D)|(kpr)|(kdp)|(\|lc)|(penalty))" /e /r /s</v>
      </c>
      <c r="AG88" s="1" t="str">
        <f t="shared" si="88"/>
        <v>EC</v>
      </c>
      <c r="AH88" s="88" t="str">
        <f t="shared" si="74"/>
        <v>"%USERPROFILE%\Documents\GitHub\eaglep3\Utilities\RefineRTDCRunTimes.py" --tripid 176-14 --locoid 4004 --swversion DE.1.0.8.0 --startMP 204:232965 --initTime 2017-01-14T13:50:24 --startdatetime 2017-01-14T13:56:47 --delay 1 --endMP 204:160 --enddatetime 2017-01-14T14:37:58 --enforcementcount 0 &gt;&gt;C:\Users\stu\Documents\GitHub\eaglep3-reporting\EC\2017-01-14-refined-times.txt</v>
      </c>
      <c r="AI88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{"issue":{"subject":"","project_id":79,"tracker_id":40,"status_id":1,"priority_id":2,"assigned_to_id":23,"start_date":"2017-01-14","description":"","custom_fields":[{"id":1,"name":"Subdivision","value":"EC"},{"id":4,"name":"Milepost","value":"0.016"},{"id":17,"name":"Train ID","value":"176-14"},{"id":16,"name":"Locomotive ID","value":"4004"},{"id":130,"name":"Impact","value":""},{"id":150,"name":"Time of Event (Mountain Time)","value":"14:37:58"},{"id":151,"name":"Denver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76"/>
        <v>start /low /b %USERPROFILE%\Documents\GitHub\eaglep3\Utilities\DownloadLogsFromS3.py --loco 4004 --day 2017-01-14</v>
      </c>
      <c r="AN88" s="189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"%USERPROFILE%\AppData\Local\Temp\OnboardLogs"\RTDC4004\*4004*20170114* | grep -SE "(Enforcement Action)|(\[TIMEOUT)|(CHR.+\|PRM\|1\|D.+(SWITCH|SIGNAL).+UNKNOWN)" - &gt;&gt; 2017-01-14-UncaughtWiMAX.txt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564</v>
      </c>
      <c r="B89" s="7">
        <v>4027</v>
      </c>
      <c r="C89" s="22" t="s">
        <v>201</v>
      </c>
      <c r="D89" s="22" t="s">
        <v>681</v>
      </c>
      <c r="E89" s="13">
        <v>42749.555393518516</v>
      </c>
      <c r="F89" s="13">
        <v>42749.556354166663</v>
      </c>
      <c r="G89" s="7">
        <v>1</v>
      </c>
      <c r="H89" s="22" t="s">
        <v>320</v>
      </c>
      <c r="I89" s="13">
        <v>42749.578865740739</v>
      </c>
      <c r="J89" s="7">
        <v>0</v>
      </c>
      <c r="K89" s="105" t="str">
        <f t="shared" si="77"/>
        <v>4027/4028</v>
      </c>
      <c r="L89" s="22" t="str">
        <f>VLOOKUP(A89,'Trips&amp;Operators'!$C$1:$G$99999,5,FALSE)</f>
        <v>BRUDER RICHARD</v>
      </c>
      <c r="M89" s="6">
        <f t="shared" si="78"/>
        <v>2.2511574075906537E-2</v>
      </c>
      <c r="N89" s="7"/>
      <c r="O89" s="7"/>
      <c r="P89" s="7">
        <f>24*60*SUM($M89:$M89)</f>
        <v>32.416666669305414</v>
      </c>
      <c r="Q89" s="23"/>
      <c r="R89" s="23" t="s">
        <v>301</v>
      </c>
      <c r="S89" s="32">
        <f t="shared" si="79"/>
        <v>1</v>
      </c>
      <c r="T89" s="47" t="str">
        <f t="shared" si="80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12:19:46-700',mode:absolute,to:'2017-01-14 14:53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89" s="49" t="str">
        <f t="shared" si="82"/>
        <v>Y</v>
      </c>
      <c r="X89" s="173">
        <f t="shared" si="89"/>
        <v>1</v>
      </c>
      <c r="Y89" s="64">
        <f t="shared" si="83"/>
        <v>1.9123000000000001</v>
      </c>
      <c r="Z89" s="64">
        <f t="shared" si="73"/>
        <v>23.331</v>
      </c>
      <c r="AA89" s="64">
        <f t="shared" si="84"/>
        <v>21.418700000000001</v>
      </c>
      <c r="AB89" s="61" t="e">
        <f>VLOOKUP(A89,Enforcements!$C$7:$K$15,8,0)</f>
        <v>#N/A</v>
      </c>
      <c r="AC89" s="57" t="e">
        <f>VLOOKUP(A89,Enforcements!$C$7:$E$15,3,0)</f>
        <v>#N/A</v>
      </c>
      <c r="AD89" s="58" t="str">
        <f t="shared" si="85"/>
        <v>0177-14</v>
      </c>
      <c r="AE89" s="87" t="str">
        <f t="shared" si="86"/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AF89" s="84" t="str">
        <f t="shared" si="87"/>
        <v>"C:\Program Files (x86)\AstroGrep\AstroGrep.exe" /spath="%USERPROFILE%\AppData\Local\Temp\OnboardLogs" /stypes="app*4027*20170114*" /stext=" 20:.+((SYSTEM_STATE.+slice.+state.+changed )|(ment ac)|(multiple cpu faults)|(system.+state.+changed )|(\[timeout)|(PRM\|1\|D)|(kpr)|(kdp)|(\|lc)|(penalty))" /e /r /s</v>
      </c>
      <c r="AG89" s="1" t="str">
        <f t="shared" si="88"/>
        <v>EC</v>
      </c>
      <c r="AH89" s="88" t="str">
        <f t="shared" si="74"/>
        <v>"%USERPROFILE%\Documents\GitHub\eaglep3\Utilities\RefineRTDCRunTimes.py" --tripid 177-14 --locoid 4027 --swversion DE.1.0.8.0 --startMP 204:19123 --initTime 2017-01-14T13:19:46 --startdatetime 2017-01-14T13:21:09 --delay 1 --endMP 204:233310 --enddatetime 2017-01-14T13:53:34 --enforcementcount 0 &gt;&gt;C:\Users\stu\Documents\GitHub\eaglep3-reporting\EC\2017-01-14-refined-times.txt</v>
      </c>
      <c r="AI89" s="115" t="str">
        <f t="shared" si="75"/>
        <v>echo {"issue":{"subject":"Onboard in-route failure","project_id":79,"tracker_id":40,"status_id":1,"priority_id":2,"assigned_to_id":23,"start_date":"2017-01-14","description":"","custom_fields":[{"id":1,"name":"Subdivision","value":"EC"},{"id":4,"name":"Milepost","value":"23.331"},{"id":17,"name":"Train ID","value":"177-14"},{"id":16,"name":"Locomotive ID","value":"4027"},{"id":130,"name":"Impact","value":""},{"id":150,"name":"Time of Event (Mountain Time)","value":"13:53:34"},{"id":151,"name":"Denver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76"/>
        <v>start /low /b %USERPROFILE%\Documents\GitHub\eaglep3\Utilities\DownloadLogsFromS3.py --loco 4027 --day 2017-01-14</v>
      </c>
      <c r="AN89" s="189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"%USERPROFILE%\AppData\Local\Temp\OnboardLogs"\RTDC4027\*4027*20170114* | grep -SE "(Enforcement Action)|(\[TIMEOUT)|(CHR.+\|PRM\|1\|D.+(SWITCH|SIGNAL).+UNKNOWN)" - &gt;&gt; 2017-01-14-UncaughtWiMAX.txt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4" t="s">
        <v>564</v>
      </c>
      <c r="B90" s="7">
        <v>4027</v>
      </c>
      <c r="C90" s="22" t="s">
        <v>201</v>
      </c>
      <c r="D90" s="22" t="s">
        <v>192</v>
      </c>
      <c r="E90" s="13">
        <v>42749.548159722224</v>
      </c>
      <c r="F90" s="13">
        <v>42749.549386574072</v>
      </c>
      <c r="G90" s="7">
        <v>1</v>
      </c>
      <c r="H90" s="22" t="s">
        <v>192</v>
      </c>
      <c r="I90" s="13">
        <v>42749.549386574072</v>
      </c>
      <c r="J90" s="7">
        <v>0</v>
      </c>
      <c r="K90" s="105" t="str">
        <f t="shared" si="77"/>
        <v>4027/4028</v>
      </c>
      <c r="L90" s="22" t="str">
        <f>VLOOKUP(A90,'Trips&amp;Operators'!$C$1:$G$99999,5,FALSE)</f>
        <v>BRUDER RICHARD</v>
      </c>
      <c r="M90" s="6">
        <f t="shared" si="78"/>
        <v>0</v>
      </c>
      <c r="N90" s="7"/>
      <c r="O90" s="7"/>
      <c r="P90" s="7"/>
      <c r="Q90" s="23"/>
      <c r="R90" s="23"/>
      <c r="S90" s="32"/>
      <c r="T90" s="47" t="str">
        <f t="shared" si="80"/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12:09:21-700',mode:absolute,to:'2017-01-14 14:11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90" s="49" t="str">
        <f t="shared" si="82"/>
        <v>Y</v>
      </c>
      <c r="X90" s="173">
        <f t="shared" si="89"/>
        <v>0</v>
      </c>
      <c r="Y90" s="64">
        <f t="shared" si="83"/>
        <v>4.4699999999999997E-2</v>
      </c>
      <c r="Z90" s="64">
        <f t="shared" si="73"/>
        <v>4.4699999999999997E-2</v>
      </c>
      <c r="AA90" s="64">
        <f t="shared" si="84"/>
        <v>0</v>
      </c>
      <c r="AB90" s="61" t="e">
        <f>VLOOKUP(A90,Enforcements!$C$7:$K$15,8,0)</f>
        <v>#N/A</v>
      </c>
      <c r="AC90" s="57" t="e">
        <f>VLOOKUP(A90,Enforcements!$C$7:$E$15,3,0)</f>
        <v>#N/A</v>
      </c>
      <c r="AD90" s="58" t="str">
        <f t="shared" si="85"/>
        <v>0177-14</v>
      </c>
      <c r="AE90" s="87" t="str">
        <f t="shared" si="86"/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AF90" s="84" t="str">
        <f t="shared" si="87"/>
        <v>"C:\Program Files (x86)\AstroGrep\AstroGrep.exe" /spath="%USERPROFILE%\AppData\Local\Temp\OnboardLogs" /stypes="app*4027*20170114*" /stext=" 20:.+((SYSTEM_STATE.+slice.+state.+changed )|(ment ac)|(multiple cpu faults)|(system.+state.+changed )|(\[timeout)|(PRM\|1\|D)|(kpr)|(kdp)|(\|lc)|(penalty))" /e /r /s</v>
      </c>
      <c r="AG90" s="1" t="str">
        <f t="shared" si="88"/>
        <v>EC</v>
      </c>
      <c r="AH90" s="88" t="str">
        <f t="shared" si="74"/>
        <v>"%USERPROFILE%\Documents\GitHub\eaglep3\Utilities\RefineRTDCRunTimes.py" --tripid 177-14 --locoid 4027 --swversion DE.1.0.8.0 --startMP 204:447 --initTime 2017-01-14T13:09:21 --startdatetime 2017-01-14T13:11:07 --delay 1 --endMP 204:447 --enddatetime 2017-01-14T13:11:07 --enforcementcount 0 &gt;&gt;C:\Users\stu\Documents\GitHub\eaglep3-reporting\EC\2017-01-14-refined-times.txt</v>
      </c>
      <c r="AI90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{"issue":{"subject":"","project_id":79,"tracker_id":40,"status_id":1,"priority_id":2,"assigned_to_id":23,"start_date":"2017-01-14","description":"","custom_fields":[{"id":1,"name":"Subdivision","value":"EC"},{"id":4,"name":"Milepost","value":"0.0447"},{"id":17,"name":"Train ID","value":"177-14"},{"id":16,"name":"Locomotive ID","value":"4027"},{"id":130,"name":"Impact","value":""},{"id":150,"name":"Time of Event (Mountain Time)","value":"13:11:07"},{"id":151,"name":"Denver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76"/>
        <v>start /low /b %USERPROFILE%\Documents\GitHub\eaglep3\Utilities\DownloadLogsFromS3.py --loco 4027 --day 2017-01-14</v>
      </c>
      <c r="AN90" s="189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"%USERPROFILE%\AppData\Local\Temp\OnboardLogs"\RTDC4027\*4027*20170114* | grep -SE "(Enforcement Action)|(\[TIMEOUT)|(CHR.+\|PRM\|1\|D.+(SWITCH|SIGNAL).+UNKNOWN)" - &gt;&gt; 2017-01-14-UncaughtWiMAX.txt</v>
      </c>
    </row>
    <row r="91" spans="1:91" x14ac:dyDescent="0.25">
      <c r="A91" s="34" t="s">
        <v>572</v>
      </c>
      <c r="B91" s="7">
        <v>4028</v>
      </c>
      <c r="C91" s="22" t="s">
        <v>201</v>
      </c>
      <c r="D91" s="22" t="s">
        <v>262</v>
      </c>
      <c r="E91" s="13">
        <v>42749.585312499999</v>
      </c>
      <c r="F91" s="13">
        <v>42749.591180555559</v>
      </c>
      <c r="G91" s="7">
        <v>1</v>
      </c>
      <c r="H91" s="22" t="s">
        <v>416</v>
      </c>
      <c r="I91" s="13">
        <v>42749.617118055554</v>
      </c>
      <c r="J91" s="7">
        <v>0</v>
      </c>
      <c r="K91" s="105" t="str">
        <f t="shared" si="77"/>
        <v>4027/4028</v>
      </c>
      <c r="L91" s="22" t="str">
        <f>VLOOKUP(A91,'Trips&amp;Operators'!$C$1:$G$99999,5,FALSE)</f>
        <v>BRUDER RICHARD</v>
      </c>
      <c r="M91" s="6">
        <f t="shared" si="78"/>
        <v>2.5937499995052349E-2</v>
      </c>
      <c r="N91" s="7">
        <f t="shared" ref="N91:N122" si="90">24*60*SUM($M91:$M91)</f>
        <v>37.349999992875382</v>
      </c>
      <c r="O91" s="7"/>
      <c r="P91" s="7"/>
      <c r="Q91" s="23"/>
      <c r="R91" s="23"/>
      <c r="S91" s="32">
        <f t="shared" ref="S91:S122" si="91">SUM(U91:U91)/IF(AG91="EC",12,1)</f>
        <v>1</v>
      </c>
      <c r="T91" s="47" t="str">
        <f t="shared" si="80"/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13:02:51-700',mode:absolute,to:'2017-01-14 15:48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91" s="49" t="str">
        <f t="shared" si="82"/>
        <v>N</v>
      </c>
      <c r="X91" s="173">
        <f t="shared" si="89"/>
        <v>1</v>
      </c>
      <c r="Y91" s="64">
        <f t="shared" si="83"/>
        <v>23.2989</v>
      </c>
      <c r="Z91" s="64">
        <f t="shared" si="73"/>
        <v>1.78E-2</v>
      </c>
      <c r="AA91" s="64">
        <f t="shared" si="84"/>
        <v>23.281099999999999</v>
      </c>
      <c r="AB91" s="61" t="e">
        <f>VLOOKUP(A91,Enforcements!$C$7:$K$15,8,0)</f>
        <v>#N/A</v>
      </c>
      <c r="AC91" s="57" t="e">
        <f>VLOOKUP(A91,Enforcements!$C$7:$E$15,3,0)</f>
        <v>#N/A</v>
      </c>
      <c r="AD91" s="58" t="str">
        <f t="shared" si="85"/>
        <v>0178-14</v>
      </c>
      <c r="AE91" s="87" t="str">
        <f t="shared" si="86"/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AF91" s="84" t="str">
        <f t="shared" si="87"/>
        <v>"C:\Program Files (x86)\AstroGrep\AstroGrep.exe" /spath="%USERPROFILE%\AppData\Local\Temp\OnboardLogs" /stypes="app*4028*20170114*" /stext=" 21:.+((SYSTEM_STATE.+slice.+state.+changed )|(ment ac)|(multiple cpu faults)|(system.+state.+changed )|(\[timeout)|(PRM\|1\|D)|(kpr)|(kdp)|(\|lc)|(penalty))" /e /r /s</v>
      </c>
      <c r="AG91" s="1" t="str">
        <f t="shared" si="88"/>
        <v>EC</v>
      </c>
      <c r="AH91" s="88" t="str">
        <f t="shared" si="74"/>
        <v>"%USERPROFILE%\Documents\GitHub\eaglep3\Utilities\RefineRTDCRunTimes.py" --tripid 178-14 --locoid 4028 --swversion DE.1.0.8.0 --startMP 204:232989 --initTime 2017-01-14T14:02:51 --startdatetime 2017-01-14T14:11:18 --delay 1 --endMP 204:178 --enddatetime 2017-01-14T14:48:39 --enforcementcount 0 &gt;&gt;C:\Users\stu\Documents\GitHub\eaglep3-reporting\EC\2017-01-14-refined-times.txt</v>
      </c>
      <c r="AI91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{"issue":{"subject":"","project_id":79,"tracker_id":40,"status_id":1,"priority_id":2,"assigned_to_id":23,"start_date":"2017-01-14","description":"","custom_fields":[{"id":1,"name":"Subdivision","value":"EC"},{"id":4,"name":"Milepost","value":"0.0178"},{"id":17,"name":"Train ID","value":"178-14"},{"id":16,"name":"Locomotive ID","value":"4028"},{"id":130,"name":"Impact","value":""},{"id":150,"name":"Time of Event (Mountain Time)","value":"14:48:39"},{"id":151,"name":"Denver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76"/>
        <v>start /low /b %USERPROFILE%\Documents\GitHub\eaglep3\Utilities\DownloadLogsFromS3.py --loco 4028 --day 2017-01-14</v>
      </c>
      <c r="AN91" s="189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"%USERPROFILE%\AppData\Local\Temp\OnboardLogs"\RTDC4028\*4028*20170114* | grep -SE "(Enforcement Action)|(\[TIMEOUT)|(CHR.+\|PRM\|1\|D.+(SWITCH|SIGNAL).+UNKNOWN)" - &gt;&gt; 2017-01-14-UncaughtWiMAX.txt</v>
      </c>
    </row>
    <row r="92" spans="1:91" x14ac:dyDescent="0.25">
      <c r="A92" s="34" t="s">
        <v>565</v>
      </c>
      <c r="B92" s="7">
        <v>4022</v>
      </c>
      <c r="C92" s="22" t="s">
        <v>201</v>
      </c>
      <c r="D92" s="22" t="s">
        <v>417</v>
      </c>
      <c r="E92" s="13">
        <v>42749.557025462964</v>
      </c>
      <c r="F92" s="13">
        <v>42749.562743055554</v>
      </c>
      <c r="G92" s="7">
        <v>2</v>
      </c>
      <c r="H92" s="22" t="s">
        <v>407</v>
      </c>
      <c r="I92" s="13">
        <v>42749.587256944447</v>
      </c>
      <c r="J92" s="7">
        <v>0</v>
      </c>
      <c r="K92" s="105" t="str">
        <f t="shared" si="77"/>
        <v>4021/4022</v>
      </c>
      <c r="L92" s="22" t="str">
        <f>VLOOKUP(A92,'Trips&amp;Operators'!$C$1:$G$99999,5,FALSE)</f>
        <v>KILLION DAVID</v>
      </c>
      <c r="M92" s="6">
        <f t="shared" si="78"/>
        <v>2.4513888893125113E-2</v>
      </c>
      <c r="N92" s="7">
        <f t="shared" si="90"/>
        <v>35.300000006100163</v>
      </c>
      <c r="O92" s="7"/>
      <c r="P92" s="7"/>
      <c r="Q92" s="23"/>
      <c r="R92" s="23"/>
      <c r="S92" s="32">
        <f t="shared" si="91"/>
        <v>1</v>
      </c>
      <c r="T92" s="47" t="str">
        <f t="shared" si="80"/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12:22:07-700',mode:absolute,to:'2017-01-14 15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92" s="49" t="str">
        <f t="shared" si="82"/>
        <v>N</v>
      </c>
      <c r="X92" s="173">
        <f t="shared" si="89"/>
        <v>1</v>
      </c>
      <c r="Y92" s="64">
        <f t="shared" si="83"/>
        <v>4.7100000000000003E-2</v>
      </c>
      <c r="Z92" s="64">
        <f t="shared" si="73"/>
        <v>23.328800000000001</v>
      </c>
      <c r="AA92" s="64">
        <f t="shared" si="84"/>
        <v>23.281700000000001</v>
      </c>
      <c r="AB92" s="61" t="e">
        <f>VLOOKUP(A92,Enforcements!$C$7:$K$15,8,0)</f>
        <v>#N/A</v>
      </c>
      <c r="AC92" s="57" t="e">
        <f>VLOOKUP(A92,Enforcements!$C$7:$E$15,3,0)</f>
        <v>#N/A</v>
      </c>
      <c r="AD92" s="58" t="str">
        <f t="shared" si="85"/>
        <v>0179-14</v>
      </c>
      <c r="AE92" s="87" t="str">
        <f t="shared" si="86"/>
        <v>aws s3 cp s3://rtdc.mdm.uploadarchive.raw/RTDC4022/ "%USERPROFILE%\AppData\Local\Temp\OnboardLogs"\RTDC4022\2017-01-14 --exclude "*" --recursive --include "*20170114*" &amp; "%USERPROFILE%\Documents\GitHub\mrs-test-scripts\Headless Mode &amp; Sideloading\WalkAndUnGZ.bat" "%USERPROFILE%\AppData\Local\Temp\OnboardLogs"\RTDC4022\2017-01-14 &amp; 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</v>
      </c>
      <c r="AF92" s="84" t="str">
        <f t="shared" si="87"/>
        <v>"C:\Program Files (x86)\AstroGrep\AstroGrep.exe" /spath="%USERPROFILE%\AppData\Local\Temp\OnboardLogs" /stypes="app*4022*20170114*" /stext=" 21:.+((SYSTEM_STATE.+slice.+state.+changed )|(ment ac)|(multiple cpu faults)|(system.+state.+changed )|(\[timeout)|(PRM\|1\|D)|(kpr)|(kdp)|(\|lc)|(penalty))" /e /r /s</v>
      </c>
      <c r="AG92" s="1" t="str">
        <f t="shared" si="88"/>
        <v>EC</v>
      </c>
      <c r="AH92" s="88" t="str">
        <f t="shared" si="74"/>
        <v>"%USERPROFILE%\Documents\GitHub\eaglep3\Utilities\RefineRTDCRunTimes.py" --tripid 179-14 --locoid 4022 --swversion DE.1.0.8.0 --startMP 204:471 --initTime 2017-01-14T13:22:07 --startdatetime 2017-01-14T13:30:21 --delay 2 --endMP 204:233288 --enddatetime 2017-01-14T14:05:39 --enforcementcount 0 &gt;&gt;C:\Users\stu\Documents\GitHub\eaglep3-reporting\EC\2017-01-14-refined-times.txt</v>
      </c>
      <c r="AI92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{"issue":{"subject":"","project_id":79,"tracker_id":40,"status_id":1,"priority_id":2,"assigned_to_id":23,"start_date":"2017-01-14","description":"","custom_fields":[{"id":1,"name":"Subdivision","value":"EC"},{"id":4,"name":"Milepost","value":"23.3288"},{"id":17,"name":"Train ID","value":"179-14"},{"id":16,"name":"Locomotive ID","value":"4022"},{"id":130,"name":"Impact","value":""},{"id":150,"name":"Time of Event (Mountain Time)","value":"14:05:39"},{"id":151,"name":"Denver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76"/>
        <v>start /low /b %USERPROFILE%\Documents\GitHub\eaglep3\Utilities\DownloadLogsFromS3.py --loco 4022 --day 2017-01-14</v>
      </c>
      <c r="AN92" s="189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"%USERPROFILE%\AppData\Local\Temp\OnboardLogs"\RTDC4022\*4022*20170114* | grep -SE "(Enforcement Action)|(\[TIMEOUT)|(CHR.+\|PRM\|1\|D.+(SWITCH|SIGNAL).+UNKNOWN)" - &gt;&gt; 2017-01-14-UncaughtWiMAX.txt</v>
      </c>
    </row>
    <row r="93" spans="1:91" s="21" customFormat="1" x14ac:dyDescent="0.25">
      <c r="A93" s="34" t="s">
        <v>574</v>
      </c>
      <c r="B93" s="7">
        <v>4021</v>
      </c>
      <c r="C93" s="22" t="s">
        <v>201</v>
      </c>
      <c r="D93" s="22" t="s">
        <v>285</v>
      </c>
      <c r="E93" s="13">
        <v>42749.591249999998</v>
      </c>
      <c r="F93" s="13">
        <v>42749.601620370369</v>
      </c>
      <c r="G93" s="7">
        <v>1</v>
      </c>
      <c r="H93" s="22" t="s">
        <v>294</v>
      </c>
      <c r="I93" s="13">
        <v>42749.62841435185</v>
      </c>
      <c r="J93" s="7">
        <v>0</v>
      </c>
      <c r="K93" s="105" t="str">
        <f t="shared" si="77"/>
        <v>4021/4022</v>
      </c>
      <c r="L93" s="22" t="str">
        <f>VLOOKUP(A93,'Trips&amp;Operators'!$C$1:$G$99999,5,FALSE)</f>
        <v>KILLION DAVID</v>
      </c>
      <c r="M93" s="6">
        <f t="shared" si="78"/>
        <v>2.679398148029577E-2</v>
      </c>
      <c r="N93" s="7">
        <f t="shared" si="90"/>
        <v>38.583333331625909</v>
      </c>
      <c r="O93" s="7"/>
      <c r="P93" s="7"/>
      <c r="Q93" s="23"/>
      <c r="R93" s="23"/>
      <c r="S93" s="32">
        <f t="shared" si="91"/>
        <v>1</v>
      </c>
      <c r="T93" s="47" t="str">
        <f t="shared" si="80"/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13:11:24-700',mode:absolute,to:'2017-01-14 16:04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93" s="49" t="str">
        <f t="shared" si="82"/>
        <v>N</v>
      </c>
      <c r="X93" s="173">
        <f t="shared" si="89"/>
        <v>1</v>
      </c>
      <c r="Y93" s="64">
        <f t="shared" si="83"/>
        <v>23.296900000000001</v>
      </c>
      <c r="Z93" s="64">
        <f t="shared" si="73"/>
        <v>1.61E-2</v>
      </c>
      <c r="AA93" s="64">
        <f t="shared" si="84"/>
        <v>23.280799999999999</v>
      </c>
      <c r="AB93" s="61" t="e">
        <f>VLOOKUP(A93,Enforcements!$C$7:$K$15,8,0)</f>
        <v>#N/A</v>
      </c>
      <c r="AC93" s="57" t="e">
        <f>VLOOKUP(A93,Enforcements!$C$7:$E$15,3,0)</f>
        <v>#N/A</v>
      </c>
      <c r="AD93" s="58" t="str">
        <f t="shared" si="85"/>
        <v>0180-14</v>
      </c>
      <c r="AE93" s="87" t="str">
        <f t="shared" si="86"/>
        <v>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 &amp; 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</v>
      </c>
      <c r="AF93" s="84" t="str">
        <f t="shared" si="87"/>
        <v>"C:\Program Files (x86)\AstroGrep\AstroGrep.exe" /spath="%USERPROFILE%\AppData\Local\Temp\OnboardLogs" /stypes="app*4021*20170114*" /stext=" 22:.+((SYSTEM_STATE.+slice.+state.+changed )|(ment ac)|(multiple cpu faults)|(system.+state.+changed )|(\[timeout)|(PRM\|1\|D)|(kpr)|(kdp)|(\|lc)|(penalty))" /e /r /s</v>
      </c>
      <c r="AG93" s="1" t="str">
        <f t="shared" si="88"/>
        <v>EC</v>
      </c>
      <c r="AH93" s="88" t="str">
        <f t="shared" si="74"/>
        <v>"%USERPROFILE%\Documents\GitHub\eaglep3\Utilities\RefineRTDCRunTimes.py" --tripid 180-14 --locoid 4021 --swversion DE.1.0.8.0 --startMP 204:232969 --initTime 2017-01-14T14:11:24 --startdatetime 2017-01-14T14:26:20 --delay 1 --endMP 204:161 --enddatetime 2017-01-14T15:04:55 --enforcementcount 0 &gt;&gt;C:\Users\stu\Documents\GitHub\eaglep3-reporting\EC\2017-01-14-refined-times.txt</v>
      </c>
      <c r="AI93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{"issue":{"subject":"","project_id":79,"tracker_id":40,"status_id":1,"priority_id":2,"assigned_to_id":23,"start_date":"2017-01-14","description":"","custom_fields":[{"id":1,"name":"Subdivision","value":"EC"},{"id":4,"name":"Milepost","value":"0.0161"},{"id":17,"name":"Train ID","value":"180-14"},{"id":16,"name":"Locomotive ID","value":"4021"},{"id":130,"name":"Impact","value":""},{"id":150,"name":"Time of Event (Mountain Time)","value":"15:04:55"},{"id":151,"name":"Denver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76"/>
        <v>start /low /b %USERPROFILE%\Documents\GitHub\eaglep3\Utilities\DownloadLogsFromS3.py --loco 4021 --day 2017-01-14</v>
      </c>
      <c r="AN93" s="189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"%USERPROFILE%\AppData\Local\Temp\OnboardLogs"\RTDC4021\*4021*20170114* | grep -SE "(Enforcement Action)|(\[TIMEOUT)|(CHR.+\|PRM\|1\|D.+(SWITCH|SIGNAL).+UNKNOWN)" - &gt;&gt; 2017-01-14-UncaughtWiMAX.txt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569</v>
      </c>
      <c r="B94" s="7">
        <v>4018</v>
      </c>
      <c r="C94" s="22" t="s">
        <v>201</v>
      </c>
      <c r="D94" s="22" t="s">
        <v>695</v>
      </c>
      <c r="E94" s="13">
        <v>42749.570381944446</v>
      </c>
      <c r="F94" s="13">
        <v>42749.573206018518</v>
      </c>
      <c r="G94" s="7">
        <v>1</v>
      </c>
      <c r="H94" s="22" t="s">
        <v>696</v>
      </c>
      <c r="I94" s="13">
        <v>42749.597962962966</v>
      </c>
      <c r="J94" s="7">
        <v>0</v>
      </c>
      <c r="K94" s="105" t="str">
        <f t="shared" si="77"/>
        <v>4017/4018</v>
      </c>
      <c r="L94" s="22" t="str">
        <f>VLOOKUP(A94,'Trips&amp;Operators'!$C$1:$G$99999,5,FALSE)</f>
        <v>LEVIN SCOTT</v>
      </c>
      <c r="M94" s="6">
        <f t="shared" si="78"/>
        <v>2.4756944447290152E-2</v>
      </c>
      <c r="N94" s="7">
        <f t="shared" si="90"/>
        <v>35.650000004097819</v>
      </c>
      <c r="O94" s="7"/>
      <c r="P94" s="7"/>
      <c r="Q94" s="23"/>
      <c r="R94" s="23"/>
      <c r="S94" s="32">
        <f t="shared" si="91"/>
        <v>1</v>
      </c>
      <c r="T94" s="47" t="str">
        <f t="shared" si="80"/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12:41:21-700',mode:absolute,to:'2017-01-14 15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94" s="49" t="str">
        <f t="shared" si="82"/>
        <v>N</v>
      </c>
      <c r="X94" s="173">
        <f t="shared" si="89"/>
        <v>1</v>
      </c>
      <c r="Y94" s="64">
        <f t="shared" si="83"/>
        <v>4.24E-2</v>
      </c>
      <c r="Z94" s="64">
        <f t="shared" ref="Z94:Z125" si="92">RIGHT(H94,LEN(H94)-4)/10000</f>
        <v>23.334900000000001</v>
      </c>
      <c r="AA94" s="64">
        <f t="shared" si="84"/>
        <v>23.2925</v>
      </c>
      <c r="AB94" s="61" t="e">
        <f>VLOOKUP(A94,Enforcements!$C$7:$K$15,8,0)</f>
        <v>#N/A</v>
      </c>
      <c r="AC94" s="57" t="e">
        <f>VLOOKUP(A94,Enforcements!$C$7:$E$15,3,0)</f>
        <v>#N/A</v>
      </c>
      <c r="AD94" s="58" t="str">
        <f t="shared" si="85"/>
        <v>0181-14</v>
      </c>
      <c r="AE94" s="87" t="str">
        <f t="shared" si="86"/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AF94" s="84" t="str">
        <f t="shared" si="87"/>
        <v>"C:\Program Files (x86)\AstroGrep\AstroGrep.exe" /spath="%USERPROFILE%\AppData\Local\Temp\OnboardLogs" /stypes="app*4018*20170114*" /stext=" 21:.+((SYSTEM_STATE.+slice.+state.+changed )|(ment ac)|(multiple cpu faults)|(system.+state.+changed )|(\[timeout)|(PRM\|1\|D)|(kpr)|(kdp)|(\|lc)|(penalty))" /e /r /s</v>
      </c>
      <c r="AG94" s="1" t="str">
        <f t="shared" si="88"/>
        <v>EC</v>
      </c>
      <c r="AH94" s="88" t="str">
        <f t="shared" si="74"/>
        <v>"%USERPROFILE%\Documents\GitHub\eaglep3\Utilities\RefineRTDCRunTimes.py" --tripid 181-14 --locoid 4018 --swversion DE.1.0.8.0 --startMP 204:424 --initTime 2017-01-14T13:41:21 --startdatetime 2017-01-14T13:45:25 --delay 1 --endMP 204:233349 --enddatetime 2017-01-14T14:21:04 --enforcementcount 0 &gt;&gt;C:\Users\stu\Documents\GitHub\eaglep3-reporting\EC\2017-01-14-refined-times.txt</v>
      </c>
      <c r="AI94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{"issue":{"subject":"","project_id":79,"tracker_id":40,"status_id":1,"priority_id":2,"assigned_to_id":23,"start_date":"2017-01-14","description":"","custom_fields":[{"id":1,"name":"Subdivision","value":"EC"},{"id":4,"name":"Milepost","value":"23.3349"},{"id":17,"name":"Train ID","value":"181-14"},{"id":16,"name":"Locomotive ID","value":"4018"},{"id":130,"name":"Impact","value":""},{"id":150,"name":"Time of Event (Mountain Time)","value":"14:21:04"},{"id":151,"name":"Denver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76"/>
        <v>start /low /b %USERPROFILE%\Documents\GitHub\eaglep3\Utilities\DownloadLogsFromS3.py --loco 4018 --day 2017-01-14</v>
      </c>
      <c r="AN94" s="189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"%USERPROFILE%\AppData\Local\Temp\OnboardLogs"\RTDC4018\*4018*20170114* | grep -SE "(Enforcement Action)|(\[TIMEOUT)|(CHR.+\|PRM\|1\|D.+(SWITCH|SIGNAL).+UNKNOWN)" - &gt;&gt; 2017-01-14-UncaughtWiMAX.txt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579</v>
      </c>
      <c r="B95" s="7">
        <v>4017</v>
      </c>
      <c r="C95" s="22" t="s">
        <v>201</v>
      </c>
      <c r="D95" s="22" t="s">
        <v>708</v>
      </c>
      <c r="E95" s="13">
        <v>42749.607465277775</v>
      </c>
      <c r="F95" s="13">
        <v>42749.61215277778</v>
      </c>
      <c r="G95" s="7">
        <v>1</v>
      </c>
      <c r="H95" s="22" t="s">
        <v>709</v>
      </c>
      <c r="I95" s="13">
        <v>42749.637997685182</v>
      </c>
      <c r="J95" s="7">
        <v>0</v>
      </c>
      <c r="K95" s="105" t="str">
        <f t="shared" si="77"/>
        <v>4017/4018</v>
      </c>
      <c r="L95" s="22" t="str">
        <f>VLOOKUP(A95,'Trips&amp;Operators'!$C$1:$G$99999,5,FALSE)</f>
        <v>LEVIN SCOTT</v>
      </c>
      <c r="M95" s="6">
        <f t="shared" si="78"/>
        <v>2.5844907402643003E-2</v>
      </c>
      <c r="N95" s="7">
        <f t="shared" si="90"/>
        <v>37.216666659805924</v>
      </c>
      <c r="O95" s="7"/>
      <c r="P95" s="7"/>
      <c r="Q95" s="23"/>
      <c r="R95" s="23"/>
      <c r="S95" s="32">
        <f t="shared" si="91"/>
        <v>1</v>
      </c>
      <c r="T95" s="47" t="str">
        <f t="shared" si="80"/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13:34:45-700',mode:absolute,to:'2017-01-14 16:18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95" s="49" t="str">
        <f t="shared" si="82"/>
        <v>N</v>
      </c>
      <c r="X95" s="173">
        <f t="shared" si="89"/>
        <v>1</v>
      </c>
      <c r="Y95" s="64">
        <f t="shared" si="83"/>
        <v>23.302700000000002</v>
      </c>
      <c r="Z95" s="64">
        <f t="shared" si="92"/>
        <v>1.12E-2</v>
      </c>
      <c r="AA95" s="64">
        <f t="shared" si="84"/>
        <v>23.291500000000003</v>
      </c>
      <c r="AB95" s="61" t="e">
        <f>VLOOKUP(A95,Enforcements!$C$7:$K$15,8,0)</f>
        <v>#N/A</v>
      </c>
      <c r="AC95" s="57" t="e">
        <f>VLOOKUP(A95,Enforcements!$C$7:$E$15,3,0)</f>
        <v>#N/A</v>
      </c>
      <c r="AD95" s="58" t="str">
        <f t="shared" si="85"/>
        <v>0182-14</v>
      </c>
      <c r="AE95" s="87" t="str">
        <f t="shared" si="86"/>
        <v>aws s3 cp s3://rtdc.mdm.uploadarchive.raw/RTDC4017/ "%USERPROFILE%\AppData\Local\Temp\OnboardLogs"\RTDC4017\2017-01-14 --exclude "*" --recursive --include "*20170114*" &amp; "%USERPROFILE%\Documents\GitHub\mrs-test-scripts\Headless Mode &amp; Sideloading\WalkAndUnGZ.bat" "%USERPROFILE%\AppData\Local\Temp\OnboardLogs"\RTDC4017\2017-01-14 &amp; aws s3 cp s3://rtdc.mdm.uploadarchive.raw/RTDC4017/ "%USERPROFILE%\AppData\Local\Temp\OnboardLogs"\RTDC4017\2017-01-15 --exclude "*" --recursive --include "*20170115*" &amp; "%USERPROFILE%\Documents\GitHub\mrs-test-scripts\Headless Mode &amp; Sideloading\WalkAndUnGZ.bat" "%USERPROFILE%\AppData\Local\Temp\OnboardLogs"\RTDC4017\2017-01-15</v>
      </c>
      <c r="AF95" s="84" t="str">
        <f t="shared" si="87"/>
        <v>"C:\Program Files (x86)\AstroGrep\AstroGrep.exe" /spath="%USERPROFILE%\AppData\Local\Temp\OnboardLogs" /stypes="app*4017*20170114*" /stext=" 22:.+((SYSTEM_STATE.+slice.+state.+changed )|(ment ac)|(multiple cpu faults)|(system.+state.+changed )|(\[timeout)|(PRM\|1\|D)|(kpr)|(kdp)|(\|lc)|(penalty))" /e /r /s</v>
      </c>
      <c r="AG95" s="1" t="str">
        <f t="shared" si="88"/>
        <v>EC</v>
      </c>
      <c r="AH95" s="88" t="str">
        <f t="shared" si="74"/>
        <v>"%USERPROFILE%\Documents\GitHub\eaglep3\Utilities\RefineRTDCRunTimes.py" --tripid 182-14 --locoid 4017 --swversion DE.1.0.8.0 --startMP 204:233027 --initTime 2017-01-14T14:34:45 --startdatetime 2017-01-14T14:41:30 --delay 1 --endMP 204:112 --enddatetime 2017-01-14T15:18:43 --enforcementcount 0 &gt;&gt;C:\Users\stu\Documents\GitHub\eaglep3-reporting\EC\2017-01-14-refined-times.txt</v>
      </c>
      <c r="AI95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{"issue":{"subject":"","project_id":79,"tracker_id":40,"status_id":1,"priority_id":2,"assigned_to_id":23,"start_date":"2017-01-14","description":"","custom_fields":[{"id":1,"name":"Subdivision","value":"EC"},{"id":4,"name":"Milepost","value":"0.0112"},{"id":17,"name":"Train ID","value":"182-14"},{"id":16,"name":"Locomotive ID","value":"4017"},{"id":130,"name":"Impact","value":""},{"id":150,"name":"Time of Event (Mountain Time)","value":"15:18:43"},{"id":151,"name":"Denver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76"/>
        <v>start /low /b %USERPROFILE%\Documents\GitHub\eaglep3\Utilities\DownloadLogsFromS3.py --loco 4017 --day 2017-01-14</v>
      </c>
      <c r="AN95" s="189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"%USERPROFILE%\AppData\Local\Temp\OnboardLogs"\RTDC4017\*4017*20170114* | grep -SE "(Enforcement Action)|(\[TIMEOUT)|(CHR.+\|PRM\|1\|D.+(SWITCH|SIGNAL).+UNKNOWN)" - &gt;&gt; 2017-01-14-UncaughtWiMAX.txt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571</v>
      </c>
      <c r="B96" s="7">
        <v>4014</v>
      </c>
      <c r="C96" s="22" t="s">
        <v>201</v>
      </c>
      <c r="D96" s="22" t="s">
        <v>418</v>
      </c>
      <c r="E96" s="13">
        <v>42749.580671296295</v>
      </c>
      <c r="F96" s="13">
        <v>42749.58384259259</v>
      </c>
      <c r="G96" s="7">
        <v>1</v>
      </c>
      <c r="H96" s="22" t="s">
        <v>405</v>
      </c>
      <c r="I96" s="13">
        <v>42749.608900462961</v>
      </c>
      <c r="J96" s="7">
        <v>0</v>
      </c>
      <c r="K96" s="105" t="str">
        <f t="shared" si="77"/>
        <v>4013/4014</v>
      </c>
      <c r="L96" s="22" t="str">
        <f>VLOOKUP(A96,'Trips&amp;Operators'!$C$1:$G$99999,5,FALSE)</f>
        <v>BRANDNER MELINDA</v>
      </c>
      <c r="M96" s="6">
        <f t="shared" si="78"/>
        <v>2.5057870370801538E-2</v>
      </c>
      <c r="N96" s="7">
        <f t="shared" si="90"/>
        <v>36.083333333954215</v>
      </c>
      <c r="O96" s="7"/>
      <c r="P96" s="7"/>
      <c r="Q96" s="23"/>
      <c r="R96" s="23"/>
      <c r="S96" s="32">
        <f t="shared" si="91"/>
        <v>1</v>
      </c>
      <c r="T96" s="47" t="str">
        <f t="shared" si="80"/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12:56:10-700',mode:absolute,to:'2017-01-14 15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96" s="49" t="str">
        <f t="shared" si="82"/>
        <v>N</v>
      </c>
      <c r="X96" s="173">
        <f t="shared" si="89"/>
        <v>1</v>
      </c>
      <c r="Y96" s="64">
        <f t="shared" si="83"/>
        <v>4.3999999999999997E-2</v>
      </c>
      <c r="Z96" s="64">
        <f t="shared" si="92"/>
        <v>23.329499999999999</v>
      </c>
      <c r="AA96" s="64">
        <f t="shared" si="84"/>
        <v>23.285499999999999</v>
      </c>
      <c r="AB96" s="61" t="e">
        <f>VLOOKUP(A96,Enforcements!$C$7:$K$15,8,0)</f>
        <v>#N/A</v>
      </c>
      <c r="AC96" s="57" t="e">
        <f>VLOOKUP(A96,Enforcements!$C$7:$E$15,3,0)</f>
        <v>#N/A</v>
      </c>
      <c r="AD96" s="58" t="str">
        <f t="shared" si="85"/>
        <v>0183-14</v>
      </c>
      <c r="AE96" s="87" t="str">
        <f t="shared" si="86"/>
        <v>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 &amp; 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</v>
      </c>
      <c r="AF96" s="84" t="str">
        <f t="shared" si="87"/>
        <v>"C:\Program Files (x86)\AstroGrep\AstroGrep.exe" /spath="%USERPROFILE%\AppData\Local\Temp\OnboardLogs" /stypes="app*4014*20170114*" /stext=" 21:.+((SYSTEM_STATE.+slice.+state.+changed )|(ment ac)|(multiple cpu faults)|(system.+state.+changed )|(\[timeout)|(PRM\|1\|D)|(kpr)|(kdp)|(\|lc)|(penalty))" /e /r /s</v>
      </c>
      <c r="AG96" s="1" t="str">
        <f t="shared" si="88"/>
        <v>EC</v>
      </c>
      <c r="AH96" s="88" t="str">
        <f t="shared" si="74"/>
        <v>"%USERPROFILE%\Documents\GitHub\eaglep3\Utilities\RefineRTDCRunTimes.py" --tripid 183-14 --locoid 4014 --swversion DE.1.0.8.0 --startMP 204:440 --initTime 2017-01-14T13:56:10 --startdatetime 2017-01-14T14:00:44 --delay 1 --endMP 204:233295 --enddatetime 2017-01-14T14:36:49 --enforcementcount 0 &gt;&gt;C:\Users\stu\Documents\GitHub\eaglep3-reporting\EC\2017-01-14-refined-times.txt</v>
      </c>
      <c r="AI96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{"issue":{"subject":"","project_id":79,"tracker_id":40,"status_id":1,"priority_id":2,"assigned_to_id":23,"start_date":"2017-01-14","description":"","custom_fields":[{"id":1,"name":"Subdivision","value":"EC"},{"id":4,"name":"Milepost","value":"23.3295"},{"id":17,"name":"Train ID","value":"183-14"},{"id":16,"name":"Locomotive ID","value":"4014"},{"id":130,"name":"Impact","value":""},{"id":150,"name":"Time of Event (Mountain Time)","value":"14:36:49"},{"id":151,"name":"Denver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76"/>
        <v>start /low /b %USERPROFILE%\Documents\GitHub\eaglep3\Utilities\DownloadLogsFromS3.py --loco 4014 --day 2017-01-14</v>
      </c>
      <c r="AN96" s="189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"%USERPROFILE%\AppData\Local\Temp\OnboardLogs"\RTDC4014\*4014*20170114* | grep -SE "(Enforcement Action)|(\[TIMEOUT)|(CHR.+\|PRM\|1\|D.+(SWITCH|SIGNAL).+UNKNOWN)" - &gt;&gt; 2017-01-14-UncaughtWiMAX.txt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582</v>
      </c>
      <c r="B97" s="7">
        <v>4013</v>
      </c>
      <c r="C97" s="22" t="s">
        <v>201</v>
      </c>
      <c r="D97" s="22" t="s">
        <v>253</v>
      </c>
      <c r="E97" s="13">
        <v>42749.616701388892</v>
      </c>
      <c r="F97" s="13">
        <v>42749.622488425928</v>
      </c>
      <c r="G97" s="7">
        <v>1</v>
      </c>
      <c r="H97" s="22" t="s">
        <v>224</v>
      </c>
      <c r="I97" s="13">
        <v>42749.651099537034</v>
      </c>
      <c r="J97" s="7">
        <v>0</v>
      </c>
      <c r="K97" s="105" t="str">
        <f t="shared" si="77"/>
        <v>4013/4014</v>
      </c>
      <c r="L97" s="22" t="str">
        <f>VLOOKUP(A97,'Trips&amp;Operators'!$C$1:$G$99999,5,FALSE)</f>
        <v>BRANDNER MELINDA</v>
      </c>
      <c r="M97" s="6">
        <f t="shared" si="78"/>
        <v>2.8611111105419695E-2</v>
      </c>
      <c r="N97" s="7">
        <f t="shared" si="90"/>
        <v>41.199999991804361</v>
      </c>
      <c r="O97" s="7"/>
      <c r="P97" s="7"/>
      <c r="Q97" s="23"/>
      <c r="R97" s="23"/>
      <c r="S97" s="32">
        <f t="shared" si="91"/>
        <v>1</v>
      </c>
      <c r="T97" s="47" t="str">
        <f t="shared" si="80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13:48:03-700',mode:absolute,to:'2017-01-14 16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97" s="49" t="str">
        <f t="shared" si="82"/>
        <v>N</v>
      </c>
      <c r="X97" s="173">
        <f t="shared" si="89"/>
        <v>1</v>
      </c>
      <c r="Y97" s="64">
        <f t="shared" si="83"/>
        <v>23.2973</v>
      </c>
      <c r="Z97" s="64">
        <f t="shared" si="92"/>
        <v>1.4500000000000001E-2</v>
      </c>
      <c r="AA97" s="64">
        <f t="shared" si="84"/>
        <v>23.282799999999998</v>
      </c>
      <c r="AB97" s="61" t="e">
        <f>VLOOKUP(A97,Enforcements!$C$7:$K$15,8,0)</f>
        <v>#N/A</v>
      </c>
      <c r="AC97" s="57" t="e">
        <f>VLOOKUP(A97,Enforcements!$C$7:$E$15,3,0)</f>
        <v>#N/A</v>
      </c>
      <c r="AD97" s="58" t="str">
        <f t="shared" si="85"/>
        <v>0184-14</v>
      </c>
      <c r="AE97" s="87" t="str">
        <f t="shared" si="86"/>
        <v>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 &amp; 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</v>
      </c>
      <c r="AF97" s="84" t="str">
        <f t="shared" si="87"/>
        <v>"C:\Program Files (x86)\AstroGrep\AstroGrep.exe" /spath="%USERPROFILE%\AppData\Local\Temp\OnboardLogs" /stypes="app*4013*20170114*" /stext=" 22:.+((SYSTEM_STATE.+slice.+state.+changed )|(ment ac)|(multiple cpu faults)|(system.+state.+changed )|(\[timeout)|(PRM\|1\|D)|(kpr)|(kdp)|(\|lc)|(penalty))" /e /r /s</v>
      </c>
      <c r="AG97" s="1" t="str">
        <f t="shared" si="88"/>
        <v>EC</v>
      </c>
      <c r="AH97" s="88" t="str">
        <f t="shared" si="74"/>
        <v>"%USERPROFILE%\Documents\GitHub\eaglep3\Utilities\RefineRTDCRunTimes.py" --tripid 184-14 --locoid 4013 --swversion DE.1.0.8.0 --startMP 204:232973 --initTime 2017-01-14T14:48:03 --startdatetime 2017-01-14T14:56:23 --delay 1 --endMP 204:145 --enddatetime 2017-01-14T15:37:35 --enforcementcount 0 &gt;&gt;C:\Users\stu\Documents\GitHub\eaglep3-reporting\EC\2017-01-14-refined-times.txt</v>
      </c>
      <c r="AI97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{"issue":{"subject":"","project_id":79,"tracker_id":40,"status_id":1,"priority_id":2,"assigned_to_id":23,"start_date":"2017-01-14","description":"","custom_fields":[{"id":1,"name":"Subdivision","value":"EC"},{"id":4,"name":"Milepost","value":"0.0145"},{"id":17,"name":"Train ID","value":"184-14"},{"id":16,"name":"Locomotive ID","value":"4013"},{"id":130,"name":"Impact","value":""},{"id":150,"name":"Time of Event (Mountain Time)","value":"15:37:35"},{"id":151,"name":"Denver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76"/>
        <v>start /low /b %USERPROFILE%\Documents\GitHub\eaglep3\Utilities\DownloadLogsFromS3.py --loco 4013 --day 2017-01-14</v>
      </c>
      <c r="AN97" s="189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"%USERPROFILE%\AppData\Local\Temp\OnboardLogs"\RTDC4013\*4013*20170114* | grep -SE "(Enforcement Action)|(\[TIMEOUT)|(CHR.+\|PRM\|1\|D.+(SWITCH|SIGNAL).+UNKNOWN)" - &gt;&gt; 2017-01-14-UncaughtWiMAX.txt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4" t="s">
        <v>573</v>
      </c>
      <c r="B98" s="7">
        <v>4031</v>
      </c>
      <c r="C98" s="22" t="s">
        <v>201</v>
      </c>
      <c r="D98" s="22" t="s">
        <v>308</v>
      </c>
      <c r="E98" s="13">
        <v>42749.587511574071</v>
      </c>
      <c r="F98" s="13">
        <v>42749.593900462962</v>
      </c>
      <c r="G98" s="7">
        <v>5</v>
      </c>
      <c r="H98" s="22" t="s">
        <v>292</v>
      </c>
      <c r="I98" s="13">
        <v>42749.618761574071</v>
      </c>
      <c r="J98" s="7">
        <v>0</v>
      </c>
      <c r="K98" s="105" t="str">
        <f t="shared" si="77"/>
        <v>4031/4032</v>
      </c>
      <c r="L98" s="22" t="str">
        <f>VLOOKUP(A98,'Trips&amp;Operators'!$C$1:$G$99999,5,FALSE)</f>
        <v>BRANNON JEFFREY</v>
      </c>
      <c r="M98" s="6">
        <f t="shared" si="78"/>
        <v>2.4861111109203193E-2</v>
      </c>
      <c r="N98" s="7">
        <f t="shared" si="90"/>
        <v>35.799999997252598</v>
      </c>
      <c r="O98" s="7"/>
      <c r="P98" s="7"/>
      <c r="Q98" s="23"/>
      <c r="R98" s="23"/>
      <c r="S98" s="32">
        <f t="shared" si="91"/>
        <v>1</v>
      </c>
      <c r="T98" s="47" t="str">
        <f t="shared" si="80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13:06:01-700',mode:absolute,to:'2017-01-14 15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98" s="49" t="str">
        <f t="shared" si="82"/>
        <v>N</v>
      </c>
      <c r="X98" s="173">
        <f t="shared" si="89"/>
        <v>1</v>
      </c>
      <c r="Y98" s="64">
        <f t="shared" si="83"/>
        <v>4.4200000000000003E-2</v>
      </c>
      <c r="Z98" s="64">
        <f t="shared" si="92"/>
        <v>23.331700000000001</v>
      </c>
      <c r="AA98" s="64">
        <f t="shared" si="84"/>
        <v>23.287500000000001</v>
      </c>
      <c r="AB98" s="61" t="e">
        <f>VLOOKUP(A98,Enforcements!$C$7:$K$15,8,0)</f>
        <v>#N/A</v>
      </c>
      <c r="AC98" s="57" t="e">
        <f>VLOOKUP(A98,Enforcements!$C$7:$E$15,3,0)</f>
        <v>#N/A</v>
      </c>
      <c r="AD98" s="58" t="str">
        <f t="shared" si="85"/>
        <v>0185-14</v>
      </c>
      <c r="AE98" s="87" t="str">
        <f t="shared" si="86"/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AF98" s="84" t="str">
        <f t="shared" si="87"/>
        <v>"C:\Program Files (x86)\AstroGrep\AstroGrep.exe" /spath="%USERPROFILE%\AppData\Local\Temp\OnboardLogs" /stypes="app*4031*20170114*" /stext=" 21:.+((SYSTEM_STATE.+slice.+state.+changed )|(ment ac)|(multiple cpu faults)|(system.+state.+changed )|(\[timeout)|(PRM\|1\|D)|(kpr)|(kdp)|(\|lc)|(penalty))" /e /r /s</v>
      </c>
      <c r="AG98" s="1" t="str">
        <f t="shared" si="88"/>
        <v>EC</v>
      </c>
      <c r="AH98" s="88" t="str">
        <f t="shared" si="74"/>
        <v>"%USERPROFILE%\Documents\GitHub\eaglep3\Utilities\RefineRTDCRunTimes.py" --tripid 185-14 --locoid 4031 --swversion DE.1.0.8.0 --startMP 204:442 --initTime 2017-01-14T14:06:01 --startdatetime 2017-01-14T14:15:13 --delay 5 --endMP 204:233317 --enddatetime 2017-01-14T14:51:01 --enforcementcount 0 &gt;&gt;C:\Users\stu\Documents\GitHub\eaglep3-reporting\EC\2017-01-14-refined-times.txt</v>
      </c>
      <c r="AI98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{"issue":{"subject":"","project_id":79,"tracker_id":40,"status_id":1,"priority_id":2,"assigned_to_id":23,"start_date":"2017-01-14","description":"","custom_fields":[{"id":1,"name":"Subdivision","value":"EC"},{"id":4,"name":"Milepost","value":"23.3317"},{"id":17,"name":"Train ID","value":"185-14"},{"id":16,"name":"Locomotive ID","value":"4031"},{"id":130,"name":"Impact","value":""},{"id":150,"name":"Time of Event (Mountain Time)","value":"14:51:01"},{"id":151,"name":"Denver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76"/>
        <v>start /low /b %USERPROFILE%\Documents\GitHub\eaglep3\Utilities\DownloadLogsFromS3.py --loco 4031 --day 2017-01-14</v>
      </c>
      <c r="AN98" s="189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"%USERPROFILE%\AppData\Local\Temp\OnboardLogs"\RTDC4031\*4031*20170114* | grep -SE "(Enforcement Action)|(\[TIMEOUT)|(CHR.+\|PRM\|1\|D.+(SWITCH|SIGNAL).+UNKNOWN)" - &gt;&gt; 2017-01-14-UncaughtWiMAX.txt</v>
      </c>
    </row>
    <row r="99" spans="1:91" s="21" customFormat="1" x14ac:dyDescent="0.25">
      <c r="A99" s="34" t="s">
        <v>584</v>
      </c>
      <c r="B99" s="7">
        <v>4032</v>
      </c>
      <c r="C99" s="22" t="s">
        <v>201</v>
      </c>
      <c r="D99" s="22" t="s">
        <v>299</v>
      </c>
      <c r="E99" s="13">
        <v>42749.626446759263</v>
      </c>
      <c r="F99" s="13">
        <v>42749.632789351854</v>
      </c>
      <c r="G99" s="7">
        <v>1</v>
      </c>
      <c r="H99" s="22" t="s">
        <v>404</v>
      </c>
      <c r="I99" s="13">
        <v>42749.65997685185</v>
      </c>
      <c r="J99" s="7">
        <v>0</v>
      </c>
      <c r="K99" s="105" t="str">
        <f t="shared" si="77"/>
        <v>4031/4032</v>
      </c>
      <c r="L99" s="22" t="str">
        <f>VLOOKUP(A99,'Trips&amp;Operators'!$C$1:$G$99999,5,FALSE)</f>
        <v>BRANNON JEFFREY</v>
      </c>
      <c r="M99" s="6">
        <f t="shared" si="78"/>
        <v>2.7187499996216502E-2</v>
      </c>
      <c r="N99" s="7">
        <f t="shared" si="90"/>
        <v>39.149999994551763</v>
      </c>
      <c r="O99" s="7"/>
      <c r="P99" s="7"/>
      <c r="Q99" s="23"/>
      <c r="R99" s="23"/>
      <c r="S99" s="32">
        <f t="shared" si="91"/>
        <v>1</v>
      </c>
      <c r="T99" s="47" t="str">
        <f t="shared" si="80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14:02:05-700',mode:absolute,to:'2017-01-14 16:50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99" s="49" t="str">
        <f t="shared" si="82"/>
        <v>N</v>
      </c>
      <c r="X99" s="173">
        <f t="shared" si="89"/>
        <v>1</v>
      </c>
      <c r="Y99" s="64">
        <f t="shared" si="83"/>
        <v>23.299600000000002</v>
      </c>
      <c r="Z99" s="64">
        <f t="shared" si="92"/>
        <v>1.43E-2</v>
      </c>
      <c r="AA99" s="64">
        <f t="shared" si="84"/>
        <v>23.285300000000003</v>
      </c>
      <c r="AB99" s="61" t="e">
        <f>VLOOKUP(A99,Enforcements!$C$7:$K$15,8,0)</f>
        <v>#N/A</v>
      </c>
      <c r="AC99" s="57" t="e">
        <f>VLOOKUP(A99,Enforcements!$C$7:$E$15,3,0)</f>
        <v>#N/A</v>
      </c>
      <c r="AD99" s="58" t="str">
        <f t="shared" si="85"/>
        <v>0186-14</v>
      </c>
      <c r="AE99" s="87" t="str">
        <f t="shared" si="86"/>
        <v>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 &amp; 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</v>
      </c>
      <c r="AF99" s="84" t="str">
        <f t="shared" si="87"/>
        <v>"C:\Program Files (x86)\AstroGrep\AstroGrep.exe" /spath="%USERPROFILE%\AppData\Local\Temp\OnboardLogs" /stypes="app*4032*20170114*" /stext=" 22:.+((SYSTEM_STATE.+slice.+state.+changed )|(ment ac)|(multiple cpu faults)|(system.+state.+changed )|(\[timeout)|(PRM\|1\|D)|(kpr)|(kdp)|(\|lc)|(penalty))" /e /r /s</v>
      </c>
      <c r="AG99" s="1" t="str">
        <f t="shared" si="88"/>
        <v>EC</v>
      </c>
      <c r="AH99" s="88" t="str">
        <f t="shared" si="74"/>
        <v>"%USERPROFILE%\Documents\GitHub\eaglep3\Utilities\RefineRTDCRunTimes.py" --tripid 186-14 --locoid 4032 --swversion DE.1.0.8.0 --startMP 204:232996 --initTime 2017-01-14T15:02:05 --startdatetime 2017-01-14T15:11:13 --delay 1 --endMP 204:143 --enddatetime 2017-01-14T15:50:22 --enforcementcount 0 &gt;&gt;C:\Users\stu\Documents\GitHub\eaglep3-reporting\EC\2017-01-14-refined-times.txt</v>
      </c>
      <c r="AI99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{"issue":{"subject":"","project_id":79,"tracker_id":40,"status_id":1,"priority_id":2,"assigned_to_id":23,"start_date":"2017-01-14","description":"","custom_fields":[{"id":1,"name":"Subdivision","value":"EC"},{"id":4,"name":"Milepost","value":"0.0143"},{"id":17,"name":"Train ID","value":"186-14"},{"id":16,"name":"Locomotive ID","value":"4032"},{"id":130,"name":"Impact","value":""},{"id":150,"name":"Time of Event (Mountain Time)","value":"15:50:22"},{"id":151,"name":"Denver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76"/>
        <v>start /low /b %USERPROFILE%\Documents\GitHub\eaglep3\Utilities\DownloadLogsFromS3.py --loco 4032 --day 2017-01-14</v>
      </c>
      <c r="AN99" s="189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"%USERPROFILE%\AppData\Local\Temp\OnboardLogs"\RTDC4032\*4032*20170114* | grep -SE "(Enforcement Action)|(\[TIMEOUT)|(CHR.+\|PRM\|1\|D.+(SWITCH|SIGNAL).+UNKNOWN)" - &gt;&gt; 2017-01-14-UncaughtWiMAX.txt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578</v>
      </c>
      <c r="B100" s="7">
        <v>4038</v>
      </c>
      <c r="C100" s="22" t="s">
        <v>201</v>
      </c>
      <c r="D100" s="22" t="s">
        <v>238</v>
      </c>
      <c r="E100" s="13">
        <v>42749.600405092591</v>
      </c>
      <c r="F100" s="13">
        <v>42749.604629629626</v>
      </c>
      <c r="G100" s="7">
        <v>2</v>
      </c>
      <c r="H100" s="22" t="s">
        <v>248</v>
      </c>
      <c r="I100" s="13">
        <v>42749.62872685185</v>
      </c>
      <c r="J100" s="7">
        <v>0</v>
      </c>
      <c r="K100" s="105" t="str">
        <f t="shared" si="77"/>
        <v>4037/4038</v>
      </c>
      <c r="L100" s="22" t="str">
        <f>VLOOKUP(A100,'Trips&amp;Operators'!$C$1:$G$99999,5,FALSE)</f>
        <v>STEWART MICHAEL</v>
      </c>
      <c r="M100" s="6">
        <f t="shared" si="78"/>
        <v>2.4097222223645076E-2</v>
      </c>
      <c r="N100" s="7">
        <f t="shared" si="90"/>
        <v>34.70000000204891</v>
      </c>
      <c r="O100" s="7"/>
      <c r="P100" s="7"/>
      <c r="Q100" s="23"/>
      <c r="R100" s="23"/>
      <c r="S100" s="32">
        <f t="shared" si="91"/>
        <v>1</v>
      </c>
      <c r="T100" s="47" t="str">
        <f t="shared" si="80"/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13:24:35-700',mode:absolute,to:'2017-01-14 16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100" s="49" t="str">
        <f t="shared" si="82"/>
        <v>N</v>
      </c>
      <c r="X100" s="173">
        <f t="shared" si="89"/>
        <v>1</v>
      </c>
      <c r="Y100" s="64">
        <f t="shared" si="83"/>
        <v>4.6399999999999997E-2</v>
      </c>
      <c r="Z100" s="64">
        <f t="shared" si="92"/>
        <v>23.328900000000001</v>
      </c>
      <c r="AA100" s="64">
        <f t="shared" si="84"/>
        <v>23.282500000000002</v>
      </c>
      <c r="AB100" s="61" t="e">
        <f>VLOOKUP(A100,Enforcements!$C$7:$K$15,8,0)</f>
        <v>#N/A</v>
      </c>
      <c r="AC100" s="57" t="e">
        <f>VLOOKUP(A100,Enforcements!$C$7:$E$15,3,0)</f>
        <v>#N/A</v>
      </c>
      <c r="AD100" s="58" t="str">
        <f t="shared" si="85"/>
        <v>0187-14</v>
      </c>
      <c r="AE100" s="87" t="str">
        <f t="shared" si="86"/>
        <v>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 &amp; 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</v>
      </c>
      <c r="AF100" s="84" t="str">
        <f t="shared" si="87"/>
        <v>"C:\Program Files (x86)\AstroGrep\AstroGrep.exe" /spath="%USERPROFILE%\AppData\Local\Temp\OnboardLogs" /stypes="app*4038*20170114*" /stext=" 22:.+((SYSTEM_STATE.+slice.+state.+changed )|(ment ac)|(multiple cpu faults)|(system.+state.+changed )|(\[timeout)|(PRM\|1\|D)|(kpr)|(kdp)|(\|lc)|(penalty))" /e /r /s</v>
      </c>
      <c r="AG100" s="1" t="str">
        <f t="shared" si="88"/>
        <v>EC</v>
      </c>
      <c r="AH100" s="88" t="str">
        <f t="shared" si="74"/>
        <v>"%USERPROFILE%\Documents\GitHub\eaglep3\Utilities\RefineRTDCRunTimes.py" --tripid 187-14 --locoid 4038 --swversion DE.1.0.8.0 --startMP 204:464 --initTime 2017-01-14T14:24:35 --startdatetime 2017-01-14T14:30:40 --delay 2 --endMP 204:233289 --enddatetime 2017-01-14T15:05:22 --enforcementcount 0 &gt;&gt;C:\Users\stu\Documents\GitHub\eaglep3-reporting\EC\2017-01-14-refined-times.txt</v>
      </c>
      <c r="AI100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{"issue":{"subject":"","project_id":79,"tracker_id":40,"status_id":1,"priority_id":2,"assigned_to_id":23,"start_date":"2017-01-14","description":"","custom_fields":[{"id":1,"name":"Subdivision","value":"EC"},{"id":4,"name":"Milepost","value":"23.3289"},{"id":17,"name":"Train ID","value":"187-14"},{"id":16,"name":"Locomotive ID","value":"4038"},{"id":130,"name":"Impact","value":""},{"id":150,"name":"Time of Event (Mountain Time)","value":"15:05:22"},{"id":151,"name":"Denver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76"/>
        <v>start /low /b %USERPROFILE%\Documents\GitHub\eaglep3\Utilities\DownloadLogsFromS3.py --loco 4038 --day 2017-01-14</v>
      </c>
      <c r="AN100" s="189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"%USERPROFILE%\AppData\Local\Temp\OnboardLogs"\RTDC4038\*4038*20170114* | grep -SE "(Enforcement Action)|(\[TIMEOUT)|(CHR.+\|PRM\|1\|D.+(SWITCH|SIGNAL).+UNKNOWN)" - &gt;&gt; 2017-01-14-UncaughtWiMAX.txt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586</v>
      </c>
      <c r="B101" s="7">
        <v>4037</v>
      </c>
      <c r="C101" s="22" t="s">
        <v>201</v>
      </c>
      <c r="D101" s="22" t="s">
        <v>285</v>
      </c>
      <c r="E101" s="13">
        <v>42749.637175925927</v>
      </c>
      <c r="F101" s="13">
        <v>42749.643287037034</v>
      </c>
      <c r="G101" s="7">
        <v>1</v>
      </c>
      <c r="H101" s="22" t="s">
        <v>261</v>
      </c>
      <c r="I101" s="13">
        <v>42749.669641203705</v>
      </c>
      <c r="J101" s="7">
        <v>0</v>
      </c>
      <c r="K101" s="105" t="str">
        <f t="shared" si="77"/>
        <v>4037/4038</v>
      </c>
      <c r="L101" s="22" t="str">
        <f>VLOOKUP(A101,'Trips&amp;Operators'!$C$1:$G$99999,5,FALSE)</f>
        <v>STEWART MICHAEL</v>
      </c>
      <c r="M101" s="6">
        <f t="shared" si="78"/>
        <v>2.6354166671808343E-2</v>
      </c>
      <c r="N101" s="7">
        <f t="shared" si="90"/>
        <v>37.950000007404014</v>
      </c>
      <c r="O101" s="7"/>
      <c r="P101" s="7"/>
      <c r="Q101" s="23"/>
      <c r="R101" s="23"/>
      <c r="S101" s="32">
        <f t="shared" si="91"/>
        <v>1</v>
      </c>
      <c r="T101" s="47" t="str">
        <f t="shared" si="80"/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14:17:32-700',mode:absolute,to:'2017-01-14 17:04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101" s="49" t="str">
        <f t="shared" si="82"/>
        <v>N</v>
      </c>
      <c r="X101" s="173">
        <f t="shared" si="89"/>
        <v>1</v>
      </c>
      <c r="Y101" s="64">
        <f t="shared" si="83"/>
        <v>23.296900000000001</v>
      </c>
      <c r="Z101" s="64">
        <f t="shared" si="92"/>
        <v>1.5599999999999999E-2</v>
      </c>
      <c r="AA101" s="64">
        <f t="shared" si="84"/>
        <v>23.281300000000002</v>
      </c>
      <c r="AB101" s="61" t="e">
        <f>VLOOKUP(A101,Enforcements!$C$7:$K$15,8,0)</f>
        <v>#N/A</v>
      </c>
      <c r="AC101" s="57" t="e">
        <f>VLOOKUP(A101,Enforcements!$C$7:$E$15,3,0)</f>
        <v>#N/A</v>
      </c>
      <c r="AD101" s="58" t="str">
        <f t="shared" si="85"/>
        <v>0188-14</v>
      </c>
      <c r="AE101" s="87" t="str">
        <f t="shared" si="86"/>
        <v>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 &amp; 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</v>
      </c>
      <c r="AF101" s="84" t="str">
        <f t="shared" si="87"/>
        <v>"C:\Program Files (x86)\AstroGrep\AstroGrep.exe" /spath="%USERPROFILE%\AppData\Local\Temp\OnboardLogs" /stypes="app*4037*20170114*" /stext=" 23:.+((SYSTEM_STATE.+slice.+state.+changed )|(ment ac)|(multiple cpu faults)|(system.+state.+changed )|(\[timeout)|(PRM\|1\|D)|(kpr)|(kdp)|(\|lc)|(penalty))" /e /r /s</v>
      </c>
      <c r="AG101" s="1" t="str">
        <f t="shared" si="88"/>
        <v>EC</v>
      </c>
      <c r="AH101" s="88" t="str">
        <f t="shared" si="74"/>
        <v>"%USERPROFILE%\Documents\GitHub\eaglep3\Utilities\RefineRTDCRunTimes.py" --tripid 188-14 --locoid 4037 --swversion DE.1.0.8.0 --startMP 204:232969 --initTime 2017-01-14T15:17:32 --startdatetime 2017-01-14T15:26:20 --delay 1 --endMP 204:156 --enddatetime 2017-01-14T16:04:17 --enforcementcount 0 &gt;&gt;C:\Users\stu\Documents\GitHub\eaglep3-reporting\EC\2017-01-14-refined-times.txt</v>
      </c>
      <c r="AI101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{"issue":{"subject":"","project_id":79,"tracker_id":40,"status_id":1,"priority_id":2,"assigned_to_id":23,"start_date":"2017-01-14","description":"","custom_fields":[{"id":1,"name":"Subdivision","value":"EC"},{"id":4,"name":"Milepost","value":"0.0156"},{"id":17,"name":"Train ID","value":"188-14"},{"id":16,"name":"Locomotive ID","value":"4037"},{"id":130,"name":"Impact","value":""},{"id":150,"name":"Time of Event (Mountain Time)","value":"16:04:17"},{"id":151,"name":"Denver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76"/>
        <v>start /low /b %USERPROFILE%\Documents\GitHub\eaglep3\Utilities\DownloadLogsFromS3.py --loco 4037 --day 2017-01-14</v>
      </c>
      <c r="AN101" s="189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"%USERPROFILE%\AppData\Local\Temp\OnboardLogs"\RTDC4037\*4037*20170114* | grep -SE "(Enforcement Action)|(\[TIMEOUT)|(CHR.+\|PRM\|1\|D.+(SWITCH|SIGNAL).+UNKNOWN)" - &gt;&gt; 2017-01-14-UncaughtWiMAX.txt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581</v>
      </c>
      <c r="B102" s="7">
        <v>4003</v>
      </c>
      <c r="C102" s="22" t="s">
        <v>201</v>
      </c>
      <c r="D102" s="22" t="s">
        <v>252</v>
      </c>
      <c r="E102" s="13">
        <v>42749.612743055557</v>
      </c>
      <c r="F102" s="13">
        <v>42749.615185185183</v>
      </c>
      <c r="G102" s="7">
        <v>1</v>
      </c>
      <c r="H102" s="22" t="s">
        <v>725</v>
      </c>
      <c r="I102" s="13">
        <v>42749.642002314817</v>
      </c>
      <c r="J102" s="7">
        <v>0</v>
      </c>
      <c r="K102" s="105" t="str">
        <f t="shared" si="77"/>
        <v>4003/4004</v>
      </c>
      <c r="L102" s="22" t="str">
        <f>VLOOKUP(A102,'Trips&amp;Operators'!$C$1:$G$99999,5,FALSE)</f>
        <v>DAVIS MICHAEL</v>
      </c>
      <c r="M102" s="6">
        <f t="shared" si="78"/>
        <v>2.6817129633855075E-2</v>
      </c>
      <c r="N102" s="7">
        <f t="shared" si="90"/>
        <v>38.616666672751307</v>
      </c>
      <c r="O102" s="7"/>
      <c r="P102" s="7"/>
      <c r="Q102" s="23"/>
      <c r="R102" s="23"/>
      <c r="S102" s="32">
        <f t="shared" si="91"/>
        <v>1</v>
      </c>
      <c r="T102" s="47" t="str">
        <f t="shared" si="80"/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13:42:21-700',mode:absolute,to:'2017-01-14 16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102" s="49" t="str">
        <f t="shared" si="82"/>
        <v>N</v>
      </c>
      <c r="X102" s="173">
        <f t="shared" si="89"/>
        <v>1</v>
      </c>
      <c r="Y102" s="64">
        <f t="shared" si="83"/>
        <v>4.4900000000000002E-2</v>
      </c>
      <c r="Z102" s="64">
        <f t="shared" si="92"/>
        <v>23.328299999999999</v>
      </c>
      <c r="AA102" s="64">
        <f t="shared" si="84"/>
        <v>23.2834</v>
      </c>
      <c r="AB102" s="61" t="e">
        <f>VLOOKUP(A102,Enforcements!$C$7:$K$15,8,0)</f>
        <v>#N/A</v>
      </c>
      <c r="AC102" s="57" t="e">
        <f>VLOOKUP(A102,Enforcements!$C$7:$E$15,3,0)</f>
        <v>#N/A</v>
      </c>
      <c r="AD102" s="58" t="str">
        <f t="shared" si="85"/>
        <v>0189-14</v>
      </c>
      <c r="AE102" s="87" t="str">
        <f t="shared" si="86"/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AF102" s="84" t="str">
        <f t="shared" si="87"/>
        <v>"C:\Program Files (x86)\AstroGrep\AstroGrep.exe" /spath="%USERPROFILE%\AppData\Local\Temp\OnboardLogs" /stypes="app*4003*20170114*" /stext=" 22:.+((SYSTEM_STATE.+slice.+state.+changed )|(ment ac)|(multiple cpu faults)|(system.+state.+changed )|(\[timeout)|(PRM\|1\|D)|(kpr)|(kdp)|(\|lc)|(penalty))" /e /r /s</v>
      </c>
      <c r="AG102" s="1" t="str">
        <f t="shared" si="88"/>
        <v>EC</v>
      </c>
      <c r="AH102" s="88" t="str">
        <f t="shared" si="74"/>
        <v>"%USERPROFILE%\Documents\GitHub\eaglep3\Utilities\RefineRTDCRunTimes.py" --tripid 189-14 --locoid 4003 --swversion DE.1.0.8.0 --startMP 204:449 --initTime 2017-01-14T14:42:21 --startdatetime 2017-01-14T14:45:52 --delay 1 --endMP 204:233283 --enddatetime 2017-01-14T15:24:29 --enforcementcount 0 &gt;&gt;C:\Users\stu\Documents\GitHub\eaglep3-reporting\EC\2017-01-14-refined-times.txt</v>
      </c>
      <c r="AI102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{"issue":{"subject":"","project_id":79,"tracker_id":40,"status_id":1,"priority_id":2,"assigned_to_id":23,"start_date":"2017-01-14","description":"","custom_fields":[{"id":1,"name":"Subdivision","value":"EC"},{"id":4,"name":"Milepost","value":"23.3283"},{"id":17,"name":"Train ID","value":"189-14"},{"id":16,"name":"Locomotive ID","value":"4003"},{"id":130,"name":"Impact","value":""},{"id":150,"name":"Time of Event (Mountain Time)","value":"15:24:29"},{"id":151,"name":"Denver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76"/>
        <v>start /low /b %USERPROFILE%\Documents\GitHub\eaglep3\Utilities\DownloadLogsFromS3.py --loco 4003 --day 2017-01-14</v>
      </c>
      <c r="AN102" s="189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"%USERPROFILE%\AppData\Local\Temp\OnboardLogs"\RTDC4003\*4003*20170114* | grep -SE "(Enforcement Action)|(\[TIMEOUT)|(CHR.+\|PRM\|1\|D.+(SWITCH|SIGNAL).+UNKNOWN)" - &gt;&gt; 2017-01-14-UncaughtWiMAX.txt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589</v>
      </c>
      <c r="B103" s="7">
        <v>4004</v>
      </c>
      <c r="C103" s="22" t="s">
        <v>201</v>
      </c>
      <c r="D103" s="22" t="s">
        <v>726</v>
      </c>
      <c r="E103" s="13">
        <v>42749.649537037039</v>
      </c>
      <c r="F103" s="13">
        <v>42749.653958333336</v>
      </c>
      <c r="G103" s="7">
        <v>1</v>
      </c>
      <c r="H103" s="22" t="s">
        <v>258</v>
      </c>
      <c r="I103" s="13">
        <v>42749.682256944441</v>
      </c>
      <c r="J103" s="7">
        <v>0</v>
      </c>
      <c r="K103" s="105" t="str">
        <f t="shared" si="77"/>
        <v>4003/4004</v>
      </c>
      <c r="L103" s="22" t="str">
        <f>VLOOKUP(A103,'Trips&amp;Operators'!$C$1:$G$99999,5,FALSE)</f>
        <v>DAVIS MICHAEL</v>
      </c>
      <c r="M103" s="6">
        <f t="shared" si="78"/>
        <v>2.8298611105128657E-2</v>
      </c>
      <c r="N103" s="7">
        <f t="shared" si="90"/>
        <v>40.749999991385266</v>
      </c>
      <c r="O103" s="7"/>
      <c r="P103" s="7"/>
      <c r="Q103" s="23"/>
      <c r="R103" s="23"/>
      <c r="S103" s="32">
        <f t="shared" si="91"/>
        <v>1</v>
      </c>
      <c r="T103" s="47" t="str">
        <f t="shared" si="80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14:35:20-700',mode:absolute,to:'2017-01-14 17:22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103" s="49" t="str">
        <f t="shared" si="82"/>
        <v>N</v>
      </c>
      <c r="X103" s="173">
        <f t="shared" si="89"/>
        <v>1</v>
      </c>
      <c r="Y103" s="64">
        <f t="shared" si="83"/>
        <v>23.297000000000001</v>
      </c>
      <c r="Z103" s="64">
        <f t="shared" si="92"/>
        <v>1.52E-2</v>
      </c>
      <c r="AA103" s="64">
        <f t="shared" si="84"/>
        <v>23.2818</v>
      </c>
      <c r="AB103" s="61" t="e">
        <f>VLOOKUP(A103,Enforcements!$C$7:$K$15,8,0)</f>
        <v>#N/A</v>
      </c>
      <c r="AC103" s="57" t="e">
        <f>VLOOKUP(A103,Enforcements!$C$7:$E$15,3,0)</f>
        <v>#N/A</v>
      </c>
      <c r="AD103" s="58" t="str">
        <f t="shared" si="85"/>
        <v>0190-14</v>
      </c>
      <c r="AE103" s="87" t="str">
        <f t="shared" si="86"/>
        <v>aws s3 cp s3://rtdc.mdm.uploadarchive.raw/RTDC4004/ "%USERPROFILE%\AppData\Local\Temp\OnboardLogs"\RTDC4004\2017-01-14 --exclude "*" --recursive --include "*20170114*" &amp; "%USERPROFILE%\Documents\GitHub\mrs-test-scripts\Headless Mode &amp; Sideloading\WalkAndUnGZ.bat" "%USERPROFILE%\AppData\Local\Temp\OnboardLogs"\RTDC4004\2017-01-14 &amp; aws s3 cp s3://rtdc.mdm.uploadarchive.raw/RTDC4004/ "%USERPROFILE%\AppData\Local\Temp\OnboardLogs"\RTDC4004\2017-01-15 --exclude "*" --recursive --include "*20170115*" &amp; "%USERPROFILE%\Documents\GitHub\mrs-test-scripts\Headless Mode &amp; Sideloading\WalkAndUnGZ.bat" "%USERPROFILE%\AppData\Local\Temp\OnboardLogs"\RTDC4004\2017-01-15</v>
      </c>
      <c r="AF103" s="84" t="str">
        <f t="shared" si="87"/>
        <v>"C:\Program Files (x86)\AstroGrep\AstroGrep.exe" /spath="%USERPROFILE%\AppData\Local\Temp\OnboardLogs" /stypes="app*4004*20170114*" /stext=" 23:.+((SYSTEM_STATE.+slice.+state.+changed )|(ment ac)|(multiple cpu faults)|(system.+state.+changed )|(\[timeout)|(PRM\|1\|D)|(kpr)|(kdp)|(\|lc)|(penalty))" /e /r /s</v>
      </c>
      <c r="AG103" s="1" t="str">
        <f t="shared" si="88"/>
        <v>EC</v>
      </c>
      <c r="AH103" s="88" t="str">
        <f t="shared" si="74"/>
        <v>"%USERPROFILE%\Documents\GitHub\eaglep3\Utilities\RefineRTDCRunTimes.py" --tripid 190-14 --locoid 4004 --swversion DE.1.0.8.0 --startMP 204:232970 --initTime 2017-01-14T15:35:20 --startdatetime 2017-01-14T15:41:42 --delay 1 --endMP 204:152 --enddatetime 2017-01-14T16:22:27 --enforcementcount 0 &gt;&gt;C:\Users\stu\Documents\GitHub\eaglep3-reporting\EC\2017-01-14-refined-times.txt</v>
      </c>
      <c r="AI103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{"issue":{"subject":"","project_id":79,"tracker_id":40,"status_id":1,"priority_id":2,"assigned_to_id":23,"start_date":"2017-01-14","description":"","custom_fields":[{"id":1,"name":"Subdivision","value":"EC"},{"id":4,"name":"Milepost","value":"0.0152"},{"id":17,"name":"Train ID","value":"190-14"},{"id":16,"name":"Locomotive ID","value":"4004"},{"id":130,"name":"Impact","value":""},{"id":150,"name":"Time of Event (Mountain Time)","value":"16:22:27"},{"id":151,"name":"Denver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76"/>
        <v>start /low /b %USERPROFILE%\Documents\GitHub\eaglep3\Utilities\DownloadLogsFromS3.py --loco 4004 --day 2017-01-14</v>
      </c>
      <c r="AN103" s="189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"%USERPROFILE%\AppData\Local\Temp\OnboardLogs"\RTDC4004\*4004*20170114* | grep -SE "(Enforcement Action)|(\[TIMEOUT)|(CHR.+\|PRM\|1\|D.+(SWITCH|SIGNAL).+UNKNOWN)" - &gt;&gt; 2017-01-14-UncaughtWiMAX.txt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583</v>
      </c>
      <c r="B104" s="7">
        <v>4027</v>
      </c>
      <c r="C104" s="22" t="s">
        <v>201</v>
      </c>
      <c r="D104" s="22" t="s">
        <v>417</v>
      </c>
      <c r="E104" s="13">
        <v>42749.619699074072</v>
      </c>
      <c r="F104" s="13">
        <v>42749.625173611108</v>
      </c>
      <c r="G104" s="7">
        <v>1</v>
      </c>
      <c r="H104" s="22" t="s">
        <v>729</v>
      </c>
      <c r="I104" s="13">
        <v>42749.650324074071</v>
      </c>
      <c r="J104" s="7">
        <v>0</v>
      </c>
      <c r="K104" s="105" t="str">
        <f t="shared" si="77"/>
        <v>4027/4028</v>
      </c>
      <c r="L104" s="22" t="str">
        <f>VLOOKUP(A104,'Trips&amp;Operators'!$C$1:$G$99999,5,FALSE)</f>
        <v>BRUDER RICHARD</v>
      </c>
      <c r="M104" s="6">
        <f t="shared" si="78"/>
        <v>2.5150462963210884E-2</v>
      </c>
      <c r="N104" s="7">
        <f t="shared" si="90"/>
        <v>36.216666667023674</v>
      </c>
      <c r="O104" s="7"/>
      <c r="P104" s="7"/>
      <c r="Q104" s="23"/>
      <c r="R104" s="23"/>
      <c r="S104" s="32">
        <f t="shared" si="91"/>
        <v>1</v>
      </c>
      <c r="T104" s="47" t="str">
        <f t="shared" si="80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13:52:22-700',mode:absolute,to:'2017-01-14 16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04" s="49" t="str">
        <f t="shared" si="82"/>
        <v>N</v>
      </c>
      <c r="X104" s="173">
        <f t="shared" si="89"/>
        <v>1</v>
      </c>
      <c r="Y104" s="64">
        <f t="shared" si="83"/>
        <v>4.7100000000000003E-2</v>
      </c>
      <c r="Z104" s="64">
        <f t="shared" si="92"/>
        <v>23.336200000000002</v>
      </c>
      <c r="AA104" s="64">
        <f t="shared" si="84"/>
        <v>23.289100000000001</v>
      </c>
      <c r="AB104" s="61" t="e">
        <f>VLOOKUP(A104,Enforcements!$C$7:$K$15,8,0)</f>
        <v>#N/A</v>
      </c>
      <c r="AC104" s="57" t="e">
        <f>VLOOKUP(A104,Enforcements!$C$7:$E$15,3,0)</f>
        <v>#N/A</v>
      </c>
      <c r="AD104" s="58" t="str">
        <f t="shared" si="85"/>
        <v>0191-14</v>
      </c>
      <c r="AE104" s="87" t="str">
        <f t="shared" si="86"/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AF104" s="84" t="str">
        <f t="shared" si="87"/>
        <v>"C:\Program Files (x86)\AstroGrep\AstroGrep.exe" /spath="%USERPROFILE%\AppData\Local\Temp\OnboardLogs" /stypes="app*4027*20170114*" /stext=" 22:.+((SYSTEM_STATE.+slice.+state.+changed )|(ment ac)|(multiple cpu faults)|(system.+state.+changed )|(\[timeout)|(PRM\|1\|D)|(kpr)|(kdp)|(\|lc)|(penalty))" /e /r /s</v>
      </c>
      <c r="AG104" s="1" t="str">
        <f t="shared" si="88"/>
        <v>EC</v>
      </c>
      <c r="AH104" s="88" t="str">
        <f t="shared" si="74"/>
        <v>"%USERPROFILE%\Documents\GitHub\eaglep3\Utilities\RefineRTDCRunTimes.py" --tripid 191-14 --locoid 4027 --swversion DE.1.0.8.0 --startMP 204:471 --initTime 2017-01-14T14:52:22 --startdatetime 2017-01-14T15:00:15 --delay 1 --endMP 204:233362 --enddatetime 2017-01-14T15:36:28 --enforcementcount 0 &gt;&gt;C:\Users\stu\Documents\GitHub\eaglep3-reporting\EC\2017-01-14-refined-times.txt</v>
      </c>
      <c r="AI104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{"issue":{"subject":"","project_id":79,"tracker_id":40,"status_id":1,"priority_id":2,"assigned_to_id":23,"start_date":"2017-01-14","description":"","custom_fields":[{"id":1,"name":"Subdivision","value":"EC"},{"id":4,"name":"Milepost","value":"23.3362"},{"id":17,"name":"Train ID","value":"191-14"},{"id":16,"name":"Locomotive ID","value":"4027"},{"id":130,"name":"Impact","value":""},{"id":150,"name":"Time of Event (Mountain Time)","value":"15:36:28"},{"id":151,"name":"Denver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76"/>
        <v>start /low /b %USERPROFILE%\Documents\GitHub\eaglep3\Utilities\DownloadLogsFromS3.py --loco 4027 --day 2017-01-14</v>
      </c>
      <c r="AN104" s="189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"%USERPROFILE%\AppData\Local\Temp\OnboardLogs"\RTDC4027\*4027*20170114* | grep -SE "(Enforcement Action)|(\[TIMEOUT)|(CHR.+\|PRM\|1\|D.+(SWITCH|SIGNAL).+UNKNOWN)" - &gt;&gt; 2017-01-14-UncaughtWiMAX.txt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592</v>
      </c>
      <c r="B105" s="7">
        <v>4028</v>
      </c>
      <c r="C105" s="22" t="s">
        <v>201</v>
      </c>
      <c r="D105" s="22" t="s">
        <v>249</v>
      </c>
      <c r="E105" s="13">
        <v>42749.657233796293</v>
      </c>
      <c r="F105" s="13">
        <v>42749.664085648146</v>
      </c>
      <c r="G105" s="7">
        <v>1</v>
      </c>
      <c r="H105" s="22" t="s">
        <v>206</v>
      </c>
      <c r="I105" s="13">
        <v>42749.690046296295</v>
      </c>
      <c r="J105" s="7">
        <v>0</v>
      </c>
      <c r="K105" s="105" t="str">
        <f t="shared" si="77"/>
        <v>4027/4028</v>
      </c>
      <c r="L105" s="22" t="str">
        <f>VLOOKUP(A105,'Trips&amp;Operators'!$C$1:$G$99999,5,FALSE)</f>
        <v>BRUDER RICHARD</v>
      </c>
      <c r="M105" s="6">
        <f t="shared" si="78"/>
        <v>2.5960648148611654E-2</v>
      </c>
      <c r="N105" s="7">
        <f t="shared" si="90"/>
        <v>37.383333334000781</v>
      </c>
      <c r="O105" s="7"/>
      <c r="P105" s="7"/>
      <c r="Q105" s="23"/>
      <c r="R105" s="23"/>
      <c r="S105" s="32">
        <f t="shared" si="91"/>
        <v>1</v>
      </c>
      <c r="T105" s="47" t="str">
        <f t="shared" si="80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14:46:25-700',mode:absolute,to:'2017-01-14 17:33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105" s="49" t="str">
        <f t="shared" si="82"/>
        <v>N</v>
      </c>
      <c r="X105" s="173">
        <f t="shared" si="89"/>
        <v>1</v>
      </c>
      <c r="Y105" s="64">
        <f t="shared" si="83"/>
        <v>23.2986</v>
      </c>
      <c r="Z105" s="64">
        <f t="shared" si="92"/>
        <v>1.4999999999999999E-2</v>
      </c>
      <c r="AA105" s="64">
        <f t="shared" si="84"/>
        <v>23.2836</v>
      </c>
      <c r="AB105" s="61" t="e">
        <f>VLOOKUP(A105,Enforcements!$C$7:$K$15,8,0)</f>
        <v>#N/A</v>
      </c>
      <c r="AC105" s="57" t="e">
        <f>VLOOKUP(A105,Enforcements!$C$7:$E$15,3,0)</f>
        <v>#N/A</v>
      </c>
      <c r="AD105" s="58" t="str">
        <f t="shared" si="85"/>
        <v>0192-14</v>
      </c>
      <c r="AE105" s="87" t="str">
        <f t="shared" si="86"/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AF105" s="84" t="str">
        <f t="shared" si="87"/>
        <v>"C:\Program Files (x86)\AstroGrep\AstroGrep.exe" /spath="%USERPROFILE%\AppData\Local\Temp\OnboardLogs" /stypes="app*4028*20170114*" /stext=" 23:.+((SYSTEM_STATE.+slice.+state.+changed )|(ment ac)|(multiple cpu faults)|(system.+state.+changed )|(\[timeout)|(PRM\|1\|D)|(kpr)|(kdp)|(\|lc)|(penalty))" /e /r /s</v>
      </c>
      <c r="AG105" s="1" t="str">
        <f t="shared" si="88"/>
        <v>EC</v>
      </c>
      <c r="AH105" s="88" t="str">
        <f t="shared" si="74"/>
        <v>"%USERPROFILE%\Documents\GitHub\eaglep3\Utilities\RefineRTDCRunTimes.py" --tripid 192-14 --locoid 4028 --swversion DE.1.0.8.0 --startMP 204:232986 --initTime 2017-01-14T15:46:25 --startdatetime 2017-01-14T15:56:17 --delay 1 --endMP 204:150 --enddatetime 2017-01-14T16:33:40 --enforcementcount 0 &gt;&gt;C:\Users\stu\Documents\GitHub\eaglep3-reporting\EC\2017-01-14-refined-times.txt</v>
      </c>
      <c r="AI105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{"issue":{"subject":"","project_id":79,"tracker_id":40,"status_id":1,"priority_id":2,"assigned_to_id":23,"start_date":"2017-01-14","description":"","custom_fields":[{"id":1,"name":"Subdivision","value":"EC"},{"id":4,"name":"Milepost","value":"0.015"},{"id":17,"name":"Train ID","value":"192-14"},{"id":16,"name":"Locomotive ID","value":"4028"},{"id":130,"name":"Impact","value":""},{"id":150,"name":"Time of Event (Mountain Time)","value":"16:33:40"},{"id":151,"name":"Denver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76"/>
        <v>start /low /b %USERPROFILE%\Documents\GitHub\eaglep3\Utilities\DownloadLogsFromS3.py --loco 4028 --day 2017-01-14</v>
      </c>
      <c r="AN105" s="189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"%USERPROFILE%\AppData\Local\Temp\OnboardLogs"\RTDC4028\*4028*20170114* | grep -SE "(Enforcement Action)|(\[TIMEOUT)|(CHR.+\|PRM\|1\|D.+(SWITCH|SIGNAL).+UNKNOWN)" - &gt;&gt; 2017-01-14-UncaughtWiMAX.txt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585</v>
      </c>
      <c r="B106" s="7">
        <v>4022</v>
      </c>
      <c r="C106" s="22" t="s">
        <v>201</v>
      </c>
      <c r="D106" s="22" t="s">
        <v>252</v>
      </c>
      <c r="E106" s="13">
        <v>42749.630011574074</v>
      </c>
      <c r="F106" s="13">
        <v>42749.635601851849</v>
      </c>
      <c r="G106" s="7">
        <v>1</v>
      </c>
      <c r="H106" s="22" t="s">
        <v>306</v>
      </c>
      <c r="I106" s="13">
        <v>42749.660451388889</v>
      </c>
      <c r="J106" s="7">
        <v>0</v>
      </c>
      <c r="K106" s="105" t="str">
        <f t="shared" si="77"/>
        <v>4021/4022</v>
      </c>
      <c r="L106" s="22" t="str">
        <f>VLOOKUP(A106,'Trips&amp;Operators'!$C$1:$G$99999,5,FALSE)</f>
        <v>KILLION DAVID</v>
      </c>
      <c r="M106" s="6">
        <f t="shared" si="78"/>
        <v>2.4849537039699499E-2</v>
      </c>
      <c r="N106" s="7">
        <f t="shared" si="90"/>
        <v>35.783333337167278</v>
      </c>
      <c r="O106" s="7"/>
      <c r="P106" s="7"/>
      <c r="Q106" s="23"/>
      <c r="R106" s="23"/>
      <c r="S106" s="32">
        <f t="shared" si="91"/>
        <v>1</v>
      </c>
      <c r="T106" s="47" t="str">
        <f t="shared" si="80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14:07:13-700',mode:absolute,to:'2017-01-14 16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06" s="49" t="str">
        <f t="shared" si="82"/>
        <v>N</v>
      </c>
      <c r="X106" s="173">
        <f t="shared" si="89"/>
        <v>1</v>
      </c>
      <c r="Y106" s="64">
        <f t="shared" si="83"/>
        <v>4.4900000000000002E-2</v>
      </c>
      <c r="Z106" s="64">
        <f t="shared" si="92"/>
        <v>23.33</v>
      </c>
      <c r="AA106" s="64">
        <f t="shared" si="84"/>
        <v>23.2851</v>
      </c>
      <c r="AB106" s="61" t="e">
        <f>VLOOKUP(A106,Enforcements!$C$7:$K$15,8,0)</f>
        <v>#N/A</v>
      </c>
      <c r="AC106" s="57" t="e">
        <f>VLOOKUP(A106,Enforcements!$C$7:$E$15,3,0)</f>
        <v>#N/A</v>
      </c>
      <c r="AD106" s="58" t="str">
        <f t="shared" si="85"/>
        <v>0193-14</v>
      </c>
      <c r="AE106" s="87" t="str">
        <f t="shared" si="86"/>
        <v>aws s3 cp s3://rtdc.mdm.uploadarchive.raw/RTDC4022/ "%USERPROFILE%\AppData\Local\Temp\OnboardLogs"\RTDC4022\2017-01-14 --exclude "*" --recursive --include "*20170114*" &amp; "%USERPROFILE%\Documents\GitHub\mrs-test-scripts\Headless Mode &amp; Sideloading\WalkAndUnGZ.bat" "%USERPROFILE%\AppData\Local\Temp\OnboardLogs"\RTDC4022\2017-01-14 &amp; 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</v>
      </c>
      <c r="AF106" s="84" t="str">
        <f t="shared" si="87"/>
        <v>"C:\Program Files (x86)\AstroGrep\AstroGrep.exe" /spath="%USERPROFILE%\AppData\Local\Temp\OnboardLogs" /stypes="app*4022*20170114*" /stext=" 22:.+((SYSTEM_STATE.+slice.+state.+changed )|(ment ac)|(multiple cpu faults)|(system.+state.+changed )|(\[timeout)|(PRM\|1\|D)|(kpr)|(kdp)|(\|lc)|(penalty))" /e /r /s</v>
      </c>
      <c r="AG106" s="1" t="str">
        <f t="shared" si="88"/>
        <v>EC</v>
      </c>
      <c r="AH106" s="88" t="str">
        <f t="shared" si="74"/>
        <v>"%USERPROFILE%\Documents\GitHub\eaglep3\Utilities\RefineRTDCRunTimes.py" --tripid 193-14 --locoid 4022 --swversion DE.1.0.8.0 --startMP 204:449 --initTime 2017-01-14T15:07:13 --startdatetime 2017-01-14T15:15:16 --delay 1 --endMP 204:233300 --enddatetime 2017-01-14T15:51:03 --enforcementcount 0 &gt;&gt;C:\Users\stu\Documents\GitHub\eaglep3-reporting\EC\2017-01-14-refined-times.txt</v>
      </c>
      <c r="AI106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{"issue":{"subject":"","project_id":79,"tracker_id":40,"status_id":1,"priority_id":2,"assigned_to_id":23,"start_date":"2017-01-14","description":"","custom_fields":[{"id":1,"name":"Subdivision","value":"EC"},{"id":4,"name":"Milepost","value":"23.33"},{"id":17,"name":"Train ID","value":"193-14"},{"id":16,"name":"Locomotive ID","value":"4022"},{"id":130,"name":"Impact","value":""},{"id":150,"name":"Time of Event (Mountain Time)","value":"15:51:03"},{"id":151,"name":"Denver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76"/>
        <v>start /low /b %USERPROFILE%\Documents\GitHub\eaglep3\Utilities\DownloadLogsFromS3.py --loco 4022 --day 2017-01-14</v>
      </c>
      <c r="AN106" s="189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"%USERPROFILE%\AppData\Local\Temp\OnboardLogs"\RTDC4022\*4022*20170114* | grep -SE "(Enforcement Action)|(\[TIMEOUT)|(CHR.+\|PRM\|1\|D.+(SWITCH|SIGNAL).+UNKNOWN)" - &gt;&gt; 2017-01-14-UncaughtWiMAX.txt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594</v>
      </c>
      <c r="B107" s="7">
        <v>4021</v>
      </c>
      <c r="C107" s="22" t="s">
        <v>201</v>
      </c>
      <c r="D107" s="22" t="s">
        <v>280</v>
      </c>
      <c r="E107" s="13">
        <v>42749.6640162037</v>
      </c>
      <c r="F107" s="13">
        <v>42749.674479166664</v>
      </c>
      <c r="G107" s="7">
        <v>1</v>
      </c>
      <c r="H107" s="22" t="s">
        <v>261</v>
      </c>
      <c r="I107" s="13">
        <v>42749.701145833336</v>
      </c>
      <c r="J107" s="7">
        <v>0</v>
      </c>
      <c r="K107" s="105" t="str">
        <f t="shared" si="77"/>
        <v>4021/4022</v>
      </c>
      <c r="L107" s="22" t="str">
        <f>VLOOKUP(A107,'Trips&amp;Operators'!$C$1:$G$99999,5,FALSE)</f>
        <v>KILLION DAVID</v>
      </c>
      <c r="M107" s="6">
        <f t="shared" si="78"/>
        <v>2.6666666672099382E-2</v>
      </c>
      <c r="N107" s="7">
        <f t="shared" si="90"/>
        <v>38.40000000782311</v>
      </c>
      <c r="O107" s="7"/>
      <c r="P107" s="7"/>
      <c r="Q107" s="23"/>
      <c r="R107" s="23"/>
      <c r="S107" s="32">
        <f t="shared" si="91"/>
        <v>1</v>
      </c>
      <c r="T107" s="47" t="str">
        <f t="shared" si="80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14:56:11-700',mode:absolute,to:'2017-01-14 17:49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07" s="49" t="str">
        <f t="shared" si="82"/>
        <v>N</v>
      </c>
      <c r="X107" s="173">
        <f t="shared" si="89"/>
        <v>1</v>
      </c>
      <c r="Y107" s="64">
        <f t="shared" si="83"/>
        <v>23.2987</v>
      </c>
      <c r="Z107" s="64">
        <f t="shared" si="92"/>
        <v>1.5599999999999999E-2</v>
      </c>
      <c r="AA107" s="64">
        <f t="shared" si="84"/>
        <v>23.283100000000001</v>
      </c>
      <c r="AB107" s="61" t="e">
        <f>VLOOKUP(A107,Enforcements!$C$7:$K$15,8,0)</f>
        <v>#N/A</v>
      </c>
      <c r="AC107" s="57" t="e">
        <f>VLOOKUP(A107,Enforcements!$C$7:$E$15,3,0)</f>
        <v>#N/A</v>
      </c>
      <c r="AD107" s="58" t="str">
        <f t="shared" si="85"/>
        <v>0194-14</v>
      </c>
      <c r="AE107" s="87" t="str">
        <f t="shared" si="86"/>
        <v>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 &amp; 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</v>
      </c>
      <c r="AF107" s="84" t="str">
        <f t="shared" si="87"/>
        <v>"C:\Program Files (x86)\AstroGrep\AstroGrep.exe" /spath="%USERPROFILE%\AppData\Local\Temp\OnboardLogs" /stypes="app*4021*20170114*" /stext=" 23:.+((SYSTEM_STATE.+slice.+state.+changed )|(ment ac)|(multiple cpu faults)|(system.+state.+changed )|(\[timeout)|(PRM\|1\|D)|(kpr)|(kdp)|(\|lc)|(penalty))" /e /r /s</v>
      </c>
      <c r="AG107" s="1" t="str">
        <f t="shared" si="88"/>
        <v>EC</v>
      </c>
      <c r="AH107" s="88" t="str">
        <f t="shared" si="74"/>
        <v>"%USERPROFILE%\Documents\GitHub\eaglep3\Utilities\RefineRTDCRunTimes.py" --tripid 194-14 --locoid 4021 --swversion DE.1.0.8.0 --startMP 204:232987 --initTime 2017-01-14T15:56:11 --startdatetime 2017-01-14T16:11:15 --delay 1 --endMP 204:156 --enddatetime 2017-01-14T16:49:39 --enforcementcount 0 &gt;&gt;C:\Users\stu\Documents\GitHub\eaglep3-reporting\EC\2017-01-14-refined-times.txt</v>
      </c>
      <c r="AI107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{"issue":{"subject":"","project_id":79,"tracker_id":40,"status_id":1,"priority_id":2,"assigned_to_id":23,"start_date":"2017-01-14","description":"","custom_fields":[{"id":1,"name":"Subdivision","value":"EC"},{"id":4,"name":"Milepost","value":"0.0156"},{"id":17,"name":"Train ID","value":"194-14"},{"id":16,"name":"Locomotive ID","value":"4021"},{"id":130,"name":"Impact","value":""},{"id":150,"name":"Time of Event (Mountain Time)","value":"16:49:39"},{"id":151,"name":"Denver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76"/>
        <v>start /low /b %USERPROFILE%\Documents\GitHub\eaglep3\Utilities\DownloadLogsFromS3.py --loco 4021 --day 2017-01-14</v>
      </c>
      <c r="AN107" s="189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"%USERPROFILE%\AppData\Local\Temp\OnboardLogs"\RTDC4021\*4021*20170114* | grep -SE "(Enforcement Action)|(\[TIMEOUT)|(CHR.+\|PRM\|1\|D.+(SWITCH|SIGNAL).+UNKNOWN)" - &gt;&gt; 2017-01-14-UncaughtWiMAX.txt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588</v>
      </c>
      <c r="B108" s="7">
        <v>4018</v>
      </c>
      <c r="C108" s="22" t="s">
        <v>201</v>
      </c>
      <c r="D108" s="22" t="s">
        <v>730</v>
      </c>
      <c r="E108" s="13">
        <v>42749.643541666665</v>
      </c>
      <c r="F108" s="13">
        <v>42749.646018518521</v>
      </c>
      <c r="G108" s="7">
        <v>1</v>
      </c>
      <c r="H108" s="22" t="s">
        <v>731</v>
      </c>
      <c r="I108" s="13">
        <v>42749.671539351853</v>
      </c>
      <c r="J108" s="7">
        <v>0</v>
      </c>
      <c r="K108" s="105" t="str">
        <f t="shared" si="77"/>
        <v>4017/4018</v>
      </c>
      <c r="L108" s="22" t="str">
        <f>VLOOKUP(A108,'Trips&amp;Operators'!$C$1:$G$99999,5,FALSE)</f>
        <v>LEVIN SCOTT</v>
      </c>
      <c r="M108" s="6">
        <f t="shared" si="78"/>
        <v>2.5520833332848269E-2</v>
      </c>
      <c r="N108" s="7">
        <f t="shared" si="90"/>
        <v>36.749999999301508</v>
      </c>
      <c r="O108" s="7"/>
      <c r="P108" s="7"/>
      <c r="Q108" s="23"/>
      <c r="R108" s="23"/>
      <c r="S108" s="32">
        <f t="shared" si="91"/>
        <v>1</v>
      </c>
      <c r="T108" s="47" t="str">
        <f t="shared" si="80"/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14:26:42-700',mode:absolute,to:'2017-01-14 17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108" s="49" t="str">
        <f t="shared" si="82"/>
        <v>N</v>
      </c>
      <c r="X108" s="173">
        <f t="shared" si="89"/>
        <v>1</v>
      </c>
      <c r="Y108" s="64">
        <f t="shared" si="83"/>
        <v>4.1799999999999997E-2</v>
      </c>
      <c r="Z108" s="64">
        <f t="shared" si="92"/>
        <v>23.334299999999999</v>
      </c>
      <c r="AA108" s="64">
        <f t="shared" si="84"/>
        <v>23.2925</v>
      </c>
      <c r="AB108" s="61" t="e">
        <f>VLOOKUP(A108,Enforcements!$C$7:$K$15,8,0)</f>
        <v>#N/A</v>
      </c>
      <c r="AC108" s="57" t="e">
        <f>VLOOKUP(A108,Enforcements!$C$7:$E$15,3,0)</f>
        <v>#N/A</v>
      </c>
      <c r="AD108" s="58" t="str">
        <f t="shared" si="85"/>
        <v>0195-14</v>
      </c>
      <c r="AE108" s="87" t="str">
        <f t="shared" si="86"/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AF108" s="84" t="str">
        <f t="shared" si="87"/>
        <v>"C:\Program Files (x86)\AstroGrep\AstroGrep.exe" /spath="%USERPROFILE%\AppData\Local\Temp\OnboardLogs" /stypes="app*4018*20170114*" /stext=" 23:.+((SYSTEM_STATE.+slice.+state.+changed )|(ment ac)|(multiple cpu faults)|(system.+state.+changed )|(\[timeout)|(PRM\|1\|D)|(kpr)|(kdp)|(\|lc)|(penalty))" /e /r /s</v>
      </c>
      <c r="AG108" s="1" t="str">
        <f t="shared" si="88"/>
        <v>EC</v>
      </c>
      <c r="AH108" s="88" t="str">
        <f t="shared" si="74"/>
        <v>"%USERPROFILE%\Documents\GitHub\eaglep3\Utilities\RefineRTDCRunTimes.py" --tripid 195-14 --locoid 4018 --swversion DE.1.0.8.0 --startMP 204:418 --initTime 2017-01-14T15:26:42 --startdatetime 2017-01-14T15:30:16 --delay 1 --endMP 204:233343 --enddatetime 2017-01-14T16:07:01 --enforcementcount 0 &gt;&gt;C:\Users\stu\Documents\GitHub\eaglep3-reporting\EC\2017-01-14-refined-times.txt</v>
      </c>
      <c r="AI108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{"issue":{"subject":"","project_id":79,"tracker_id":40,"status_id":1,"priority_id":2,"assigned_to_id":23,"start_date":"2017-01-14","description":"","custom_fields":[{"id":1,"name":"Subdivision","value":"EC"},{"id":4,"name":"Milepost","value":"23.3343"},{"id":17,"name":"Train ID","value":"195-14"},{"id":16,"name":"Locomotive ID","value":"4018"},{"id":130,"name":"Impact","value":""},{"id":150,"name":"Time of Event (Mountain Time)","value":"16:07:01"},{"id":151,"name":"Denver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76"/>
        <v>start /low /b %USERPROFILE%\Documents\GitHub\eaglep3\Utilities\DownloadLogsFromS3.py --loco 4018 --day 2017-01-14</v>
      </c>
      <c r="AN108" s="189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"%USERPROFILE%\AppData\Local\Temp\OnboardLogs"\RTDC4018\*4018*20170114* | grep -SE "(Enforcement Action)|(\[TIMEOUT)|(CHR.+\|PRM\|1\|D.+(SWITCH|SIGNAL).+UNKNOWN)" - &gt;&gt; 2017-01-14-UncaughtWiMAX.txt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597</v>
      </c>
      <c r="B109" s="7">
        <v>4017</v>
      </c>
      <c r="C109" s="22" t="s">
        <v>201</v>
      </c>
      <c r="D109" s="22" t="s">
        <v>669</v>
      </c>
      <c r="E109" s="13">
        <v>42749.680127314816</v>
      </c>
      <c r="F109" s="13">
        <v>42749.684918981482</v>
      </c>
      <c r="G109" s="7">
        <v>1</v>
      </c>
      <c r="H109" s="22" t="s">
        <v>732</v>
      </c>
      <c r="I109" s="13">
        <v>42749.711273148147</v>
      </c>
      <c r="J109" s="7">
        <v>0</v>
      </c>
      <c r="K109" s="105" t="str">
        <f t="shared" si="77"/>
        <v>4017/4018</v>
      </c>
      <c r="L109" s="22" t="str">
        <f>VLOOKUP(A109,'Trips&amp;Operators'!$C$1:$G$99999,5,FALSE)</f>
        <v>LEVIN SCOTT</v>
      </c>
      <c r="M109" s="6">
        <f t="shared" si="78"/>
        <v>2.6354166664532386E-2</v>
      </c>
      <c r="N109" s="7">
        <f t="shared" si="90"/>
        <v>37.949999996926636</v>
      </c>
      <c r="O109" s="7"/>
      <c r="P109" s="7"/>
      <c r="Q109" s="23"/>
      <c r="R109" s="23"/>
      <c r="S109" s="32">
        <f t="shared" si="91"/>
        <v>1</v>
      </c>
      <c r="T109" s="47" t="str">
        <f t="shared" si="80"/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15:19:23-700',mode:absolute,to:'2017-01-14 18:04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109" s="49" t="str">
        <f t="shared" si="82"/>
        <v>N</v>
      </c>
      <c r="X109" s="173">
        <f t="shared" si="89"/>
        <v>1</v>
      </c>
      <c r="Y109" s="64">
        <f t="shared" si="83"/>
        <v>23.3017</v>
      </c>
      <c r="Z109" s="64">
        <f t="shared" si="92"/>
        <v>1.14E-2</v>
      </c>
      <c r="AA109" s="64">
        <f t="shared" si="84"/>
        <v>23.290300000000002</v>
      </c>
      <c r="AB109" s="61" t="e">
        <f>VLOOKUP(A109,Enforcements!$C$7:$K$15,8,0)</f>
        <v>#N/A</v>
      </c>
      <c r="AC109" s="57" t="e">
        <f>VLOOKUP(A109,Enforcements!$C$7:$E$15,3,0)</f>
        <v>#N/A</v>
      </c>
      <c r="AD109" s="58" t="str">
        <f t="shared" si="85"/>
        <v>0196-14</v>
      </c>
      <c r="AE109" s="87" t="str">
        <f t="shared" si="86"/>
        <v>aws s3 cp s3://rtdc.mdm.uploadarchive.raw/RTDC4017/ "%USERPROFILE%\AppData\Local\Temp\OnboardLogs"\RTDC4017\2017-01-14 --exclude "*" --recursive --include "*20170114*" &amp; "%USERPROFILE%\Documents\GitHub\mrs-test-scripts\Headless Mode &amp; Sideloading\WalkAndUnGZ.bat" "%USERPROFILE%\AppData\Local\Temp\OnboardLogs"\RTDC4017\2017-01-14 &amp; aws s3 cp s3://rtdc.mdm.uploadarchive.raw/RTDC4017/ "%USERPROFILE%\AppData\Local\Temp\OnboardLogs"\RTDC4017\2017-01-15 --exclude "*" --recursive --include "*20170115*" &amp; "%USERPROFILE%\Documents\GitHub\mrs-test-scripts\Headless Mode &amp; Sideloading\WalkAndUnGZ.bat" "%USERPROFILE%\AppData\Local\Temp\OnboardLogs"\RTDC4017\2017-01-15</v>
      </c>
      <c r="AF109" s="84" t="str">
        <f t="shared" si="87"/>
        <v>"C:\Program Files (x86)\AstroGrep\AstroGrep.exe" /spath="%USERPROFILE%\AppData\Local\Temp\OnboardLogs" /stypes="app*4017*20170115*" /stext=" 00:.+((SYSTEM_STATE.+slice.+state.+changed )|(ment ac)|(multiple cpu faults)|(system.+state.+changed )|(\[timeout)|(PRM\|1\|D)|(kpr)|(kdp)|(\|lc)|(penalty))" /e /r /s</v>
      </c>
      <c r="AG109" s="1" t="str">
        <f t="shared" si="88"/>
        <v>EC</v>
      </c>
      <c r="AH109" s="88" t="str">
        <f t="shared" si="74"/>
        <v>"%USERPROFILE%\Documents\GitHub\eaglep3\Utilities\RefineRTDCRunTimes.py" --tripid 196-14 --locoid 4017 --swversion DE.1.0.8.0 --startMP 204:233017 --initTime 2017-01-14T16:19:23 --startdatetime 2017-01-14T16:26:17 --delay 1 --endMP 204:114 --enddatetime 2017-01-14T17:04:14 --enforcementcount 0 &gt;&gt;C:\Users\stu\Documents\GitHub\eaglep3-reporting\EC\2017-01-14-refined-times.txt</v>
      </c>
      <c r="AI109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{"issue":{"subject":"","project_id":79,"tracker_id":40,"status_id":1,"priority_id":2,"assigned_to_id":23,"start_date":"2017-01-14","description":"","custom_fields":[{"id":1,"name":"Subdivision","value":"EC"},{"id":4,"name":"Milepost","value":"0.0114"},{"id":17,"name":"Train ID","value":"196-14"},{"id":16,"name":"Locomotive ID","value":"4017"},{"id":130,"name":"Impact","value":""},{"id":150,"name":"Time of Event (Mountain Time)","value":"17:04:14"},{"id":151,"name":"Denver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76"/>
        <v>start /low /b %USERPROFILE%\Documents\GitHub\eaglep3\Utilities\DownloadLogsFromS3.py --loco 4017 --day 2017-01-14</v>
      </c>
      <c r="AN109" s="189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"%USERPROFILE%\AppData\Local\Temp\OnboardLogs"\RTDC4017\*4017*20170114* | grep -SE "(Enforcement Action)|(\[TIMEOUT)|(CHR.+\|PRM\|1\|D.+(SWITCH|SIGNAL).+UNKNOWN)" - &gt;&gt; 2017-01-14-UncaughtWiMAX.txt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4" t="s">
        <v>591</v>
      </c>
      <c r="B110" s="7">
        <v>4014</v>
      </c>
      <c r="C110" s="22" t="s">
        <v>201</v>
      </c>
      <c r="D110" s="22" t="s">
        <v>221</v>
      </c>
      <c r="E110" s="13">
        <v>42749.653344907405</v>
      </c>
      <c r="F110" s="13">
        <v>42749.656527777777</v>
      </c>
      <c r="G110" s="7">
        <v>1</v>
      </c>
      <c r="H110" s="22" t="s">
        <v>295</v>
      </c>
      <c r="I110" s="13">
        <v>42749.682037037041</v>
      </c>
      <c r="J110" s="7">
        <v>0</v>
      </c>
      <c r="K110" s="105" t="str">
        <f t="shared" si="77"/>
        <v>4013/4014</v>
      </c>
      <c r="L110" s="22" t="str">
        <f>VLOOKUP(A110,'Trips&amp;Operators'!$C$1:$G$99999,5,FALSE)</f>
        <v>BRANDNER MELINDA</v>
      </c>
      <c r="M110" s="6">
        <f t="shared" si="78"/>
        <v>2.5509259263344575E-2</v>
      </c>
      <c r="N110" s="7">
        <f t="shared" si="90"/>
        <v>36.733333339216188</v>
      </c>
      <c r="O110" s="7"/>
      <c r="P110" s="7"/>
      <c r="Q110" s="23"/>
      <c r="R110" s="23"/>
      <c r="S110" s="32">
        <f t="shared" si="91"/>
        <v>1</v>
      </c>
      <c r="T110" s="47" t="str">
        <f t="shared" si="80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14:40:49-700',mode:absolute,to:'2017-01-14 17:22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10" s="49" t="str">
        <f t="shared" si="82"/>
        <v>N</v>
      </c>
      <c r="X110" s="173">
        <f t="shared" si="89"/>
        <v>1</v>
      </c>
      <c r="Y110" s="64">
        <f t="shared" si="83"/>
        <v>4.5499999999999999E-2</v>
      </c>
      <c r="Z110" s="64">
        <f t="shared" si="92"/>
        <v>23.3306</v>
      </c>
      <c r="AA110" s="64">
        <f t="shared" si="84"/>
        <v>23.2851</v>
      </c>
      <c r="AB110" s="61" t="e">
        <f>VLOOKUP(A110,Enforcements!$C$7:$K$15,8,0)</f>
        <v>#N/A</v>
      </c>
      <c r="AC110" s="57" t="e">
        <f>VLOOKUP(A110,Enforcements!$C$7:$E$15,3,0)</f>
        <v>#N/A</v>
      </c>
      <c r="AD110" s="58" t="str">
        <f t="shared" si="85"/>
        <v>0197-14</v>
      </c>
      <c r="AE110" s="87" t="str">
        <f t="shared" si="86"/>
        <v>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 &amp; 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</v>
      </c>
      <c r="AF110" s="84" t="str">
        <f t="shared" si="87"/>
        <v>"C:\Program Files (x86)\AstroGrep\AstroGrep.exe" /spath="%USERPROFILE%\AppData\Local\Temp\OnboardLogs" /stypes="app*4014*20170114*" /stext=" 23:.+((SYSTEM_STATE.+slice.+state.+changed )|(ment ac)|(multiple cpu faults)|(system.+state.+changed )|(\[timeout)|(PRM\|1\|D)|(kpr)|(kdp)|(\|lc)|(penalty))" /e /r /s</v>
      </c>
      <c r="AG110" s="1" t="str">
        <f t="shared" si="88"/>
        <v>EC</v>
      </c>
      <c r="AH110" s="88" t="str">
        <f t="shared" si="74"/>
        <v>"%USERPROFILE%\Documents\GitHub\eaglep3\Utilities\RefineRTDCRunTimes.py" --tripid 197-14 --locoid 4014 --swversion DE.1.0.8.0 --startMP 204:455 --initTime 2017-01-14T15:40:49 --startdatetime 2017-01-14T15:45:24 --delay 1 --endMP 204:233306 --enddatetime 2017-01-14T16:22:08 --enforcementcount 0 &gt;&gt;C:\Users\stu\Documents\GitHub\eaglep3-reporting\EC\2017-01-14-refined-times.txt</v>
      </c>
      <c r="AI110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{"issue":{"subject":"","project_id":79,"tracker_id":40,"status_id":1,"priority_id":2,"assigned_to_id":23,"start_date":"2017-01-14","description":"","custom_fields":[{"id":1,"name":"Subdivision","value":"EC"},{"id":4,"name":"Milepost","value":"23.3306"},{"id":17,"name":"Train ID","value":"197-14"},{"id":16,"name":"Locomotive ID","value":"4014"},{"id":130,"name":"Impact","value":""},{"id":150,"name":"Time of Event (Mountain Time)","value":"16:22:08"},{"id":151,"name":"Denver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76"/>
        <v>start /low /b %USERPROFILE%\Documents\GitHub\eaglep3\Utilities\DownloadLogsFromS3.py --loco 4014 --day 2017-01-14</v>
      </c>
      <c r="AN110" s="189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"%USERPROFILE%\AppData\Local\Temp\OnboardLogs"\RTDC4014\*4014*20170114* | grep -SE "(Enforcement Action)|(\[TIMEOUT)|(CHR.+\|PRM\|1\|D.+(SWITCH|SIGNAL).+UNKNOWN)" - &gt;&gt; 2017-01-14-UncaughtWiMAX.txt</v>
      </c>
    </row>
    <row r="111" spans="1:91" s="21" customFormat="1" x14ac:dyDescent="0.25">
      <c r="A111" s="34" t="s">
        <v>599</v>
      </c>
      <c r="B111" s="7">
        <v>4013</v>
      </c>
      <c r="C111" s="22" t="s">
        <v>201</v>
      </c>
      <c r="D111" s="22" t="s">
        <v>282</v>
      </c>
      <c r="E111" s="13">
        <v>42749.685613425929</v>
      </c>
      <c r="F111" s="13">
        <v>42749.695381944446</v>
      </c>
      <c r="G111" s="7">
        <v>1</v>
      </c>
      <c r="H111" s="22" t="s">
        <v>240</v>
      </c>
      <c r="I111" s="13">
        <v>42749.723692129628</v>
      </c>
      <c r="J111" s="7">
        <v>0</v>
      </c>
      <c r="K111" s="105" t="str">
        <f t="shared" ref="K111:K144" si="93">IF(ISEVEN(B111),(B111-1)&amp;"/"&amp;B111,B111&amp;"/"&amp;(B111+1))</f>
        <v>4013/4014</v>
      </c>
      <c r="L111" s="22" t="str">
        <f>VLOOKUP(A111,'Trips&amp;Operators'!$C$1:$G$99999,5,FALSE)</f>
        <v>BRANDNER MELINDA</v>
      </c>
      <c r="M111" s="6">
        <f t="shared" ref="M111:M144" si="94">I111-F111</f>
        <v>2.8310185181908309E-2</v>
      </c>
      <c r="N111" s="7">
        <f t="shared" si="90"/>
        <v>40.766666661947966</v>
      </c>
      <c r="O111" s="7"/>
      <c r="P111" s="7"/>
      <c r="Q111" s="23"/>
      <c r="R111" s="23"/>
      <c r="S111" s="32">
        <f t="shared" si="91"/>
        <v>1</v>
      </c>
      <c r="T111" s="47" t="str">
        <f t="shared" ref="T111:T146" si="95">IF(ISEVEN(LEFT(AD111,4)),"Southbound","NorthBound")</f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15:27:17-700',mode:absolute,to:'2017-01-14 18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11" s="49" t="str">
        <f t="shared" ref="W111:W144" si="96">IF(AA111&lt;IF(AG111="EC",23,5.65),"Y","N")</f>
        <v>N</v>
      </c>
      <c r="X111" s="173">
        <f t="shared" si="89"/>
        <v>1</v>
      </c>
      <c r="Y111" s="64">
        <f t="shared" ref="Y111:Y144" si="97">RIGHT(D111,LEN(D111)-4)/10000</f>
        <v>23.299299999999999</v>
      </c>
      <c r="Z111" s="64">
        <f t="shared" si="92"/>
        <v>1.3899999999999999E-2</v>
      </c>
      <c r="AA111" s="64">
        <f t="shared" ref="AA111:AA142" si="98">ABS(Z111-Y111)</f>
        <v>23.285399999999999</v>
      </c>
      <c r="AB111" s="61" t="e">
        <f>VLOOKUP(A111,Enforcements!$C$7:$K$15,8,0)</f>
        <v>#N/A</v>
      </c>
      <c r="AC111" s="57" t="e">
        <f>VLOOKUP(A111,Enforcements!$C$7:$E$15,3,0)</f>
        <v>#N/A</v>
      </c>
      <c r="AD111" s="58" t="str">
        <f t="shared" ref="AD111:AD146" si="99">IF(LEN(A111)=6,"0"&amp;A111,A111)</f>
        <v>0198-14</v>
      </c>
      <c r="AE111" s="87" t="str">
        <f t="shared" ref="AE111:AE144" si="100"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 &amp; 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</v>
      </c>
      <c r="AF111" s="84" t="str">
        <f t="shared" ref="AF111:AF144" si="101"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/stypes="app*4013*20170115*" /stext=" 00:.+((SYSTEM_STATE.+slice.+state.+changed )|(ment ac)|(multiple cpu faults)|(system.+state.+changed )|(\[timeout)|(PRM\|1\|D)|(kpr)|(kdp)|(\|lc)|(penalty))" /e /r /s</v>
      </c>
      <c r="AG111" s="1" t="str">
        <f t="shared" ref="AG111:AG146" si="102">IFERROR(IF(VALUE(LEFT(AD111,2))&lt;=2,"EC",IF(OR(VALUE(LEFT(AD111,2))=8,VALUE(LEFT(AD111,2))=18),"NW","Other")),"Other")</f>
        <v>EC</v>
      </c>
      <c r="AH111" s="88" t="str">
        <f t="shared" si="74"/>
        <v>"%USERPROFILE%\Documents\GitHub\eaglep3\Utilities\RefineRTDCRunTimes.py" --tripid 198-14 --locoid 4013 --swversion DE.1.0.8.0 --startMP 204:232993 --initTime 2017-01-14T16:27:17 --startdatetime 2017-01-14T16:41:21 --delay 1 --endMP 204:139 --enddatetime 2017-01-14T17:22:07 --enforcementcount 0 &gt;&gt;C:\Users\stu\Documents\GitHub\eaglep3-reporting\EC\2017-01-14-refined-times.txt</v>
      </c>
      <c r="AI111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{"issue":{"subject":"","project_id":79,"tracker_id":40,"status_id":1,"priority_id":2,"assigned_to_id":23,"start_date":"2017-01-14","description":"","custom_fields":[{"id":1,"name":"Subdivision","value":"EC"},{"id":4,"name":"Milepost","value":"0.0139"},{"id":17,"name":"Train ID","value":"198-14"},{"id":16,"name":"Locomotive ID","value":"4013"},{"id":130,"name":"Impact","value":""},{"id":150,"name":"Time of Event (Mountain Time)","value":"17:22:07"},{"id":151,"name":"Denver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76"/>
        <v>start /low /b %USERPROFILE%\Documents\GitHub\eaglep3\Utilities\DownloadLogsFromS3.py --loco 4013 --day 2017-01-14</v>
      </c>
      <c r="AN111" s="189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"%USERPROFILE%\AppData\Local\Temp\OnboardLogs"\RTDC4013\*4013*20170115* | grep -SE "(Enforcement Action)|(\[TIMEOUT)|(CHR.+\|PRM\|1\|D.+(SWITCH|SIGNAL).+UNKNOWN)" - &gt;&gt; 2017-01-14-UncaughtWiMAX.txt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593</v>
      </c>
      <c r="B112" s="7">
        <v>4031</v>
      </c>
      <c r="C112" s="22" t="s">
        <v>201</v>
      </c>
      <c r="D112" s="22" t="s">
        <v>272</v>
      </c>
      <c r="E112" s="13">
        <v>42749.663402777776</v>
      </c>
      <c r="F112" s="13">
        <v>42749.66684027778</v>
      </c>
      <c r="G112" s="7">
        <v>1</v>
      </c>
      <c r="H112" s="22" t="s">
        <v>322</v>
      </c>
      <c r="I112" s="13">
        <v>42749.692326388889</v>
      </c>
      <c r="J112" s="7">
        <v>0</v>
      </c>
      <c r="K112" s="105" t="str">
        <f t="shared" si="93"/>
        <v>4031/4032</v>
      </c>
      <c r="L112" s="22" t="str">
        <f>VLOOKUP(A112,'Trips&amp;Operators'!$C$1:$G$99999,5,FALSE)</f>
        <v>WHITED DUSTIN</v>
      </c>
      <c r="M112" s="6">
        <f t="shared" si="94"/>
        <v>2.548611110978527E-2</v>
      </c>
      <c r="N112" s="7">
        <f t="shared" si="90"/>
        <v>36.699999998090789</v>
      </c>
      <c r="O112" s="7"/>
      <c r="P112" s="7"/>
      <c r="Q112" s="23"/>
      <c r="R112" s="23"/>
      <c r="S112" s="32">
        <f t="shared" si="91"/>
        <v>1</v>
      </c>
      <c r="T112" s="47" t="str">
        <f t="shared" si="95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14:55:18-700',mode:absolute,to:'2017-01-14 17:36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12" s="49" t="str">
        <f t="shared" si="96"/>
        <v>N</v>
      </c>
      <c r="X112" s="173">
        <f t="shared" si="89"/>
        <v>1</v>
      </c>
      <c r="Y112" s="64">
        <f t="shared" si="97"/>
        <v>4.4600000000000001E-2</v>
      </c>
      <c r="Z112" s="64">
        <f t="shared" si="92"/>
        <v>23.330500000000001</v>
      </c>
      <c r="AA112" s="64">
        <f t="shared" si="98"/>
        <v>23.285900000000002</v>
      </c>
      <c r="AB112" s="61" t="e">
        <f>VLOOKUP(A112,Enforcements!$C$7:$K$15,8,0)</f>
        <v>#N/A</v>
      </c>
      <c r="AC112" s="57" t="e">
        <f>VLOOKUP(A112,Enforcements!$C$7:$E$15,3,0)</f>
        <v>#N/A</v>
      </c>
      <c r="AD112" s="58" t="str">
        <f t="shared" si="99"/>
        <v>0199-14</v>
      </c>
      <c r="AE112" s="87" t="str">
        <f t="shared" si="100"/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AF112" s="84" t="str">
        <f t="shared" si="101"/>
        <v>"C:\Program Files (x86)\AstroGrep\AstroGrep.exe" /spath="%USERPROFILE%\AppData\Local\Temp\OnboardLogs" /stypes="app*4031*20170114*" /stext=" 23:.+((SYSTEM_STATE.+slice.+state.+changed )|(ment ac)|(multiple cpu faults)|(system.+state.+changed )|(\[timeout)|(PRM\|1\|D)|(kpr)|(kdp)|(\|lc)|(penalty))" /e /r /s</v>
      </c>
      <c r="AG112" s="1" t="str">
        <f t="shared" si="102"/>
        <v>EC</v>
      </c>
      <c r="AH112" s="88" t="str">
        <f t="shared" si="74"/>
        <v>"%USERPROFILE%\Documents\GitHub\eaglep3\Utilities\RefineRTDCRunTimes.py" --tripid 199-14 --locoid 4031 --swversion DE.1.0.8.0 --startMP 204:446 --initTime 2017-01-14T15:55:18 --startdatetime 2017-01-14T16:00:15 --delay 1 --endMP 204:233305 --enddatetime 2017-01-14T16:36:57 --enforcementcount 0 &gt;&gt;C:\Users\stu\Documents\GitHub\eaglep3-reporting\EC\2017-01-14-refined-times.txt</v>
      </c>
      <c r="AI112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{"issue":{"subject":"","project_id":79,"tracker_id":40,"status_id":1,"priority_id":2,"assigned_to_id":23,"start_date":"2017-01-14","description":"","custom_fields":[{"id":1,"name":"Subdivision","value":"EC"},{"id":4,"name":"Milepost","value":"23.3305"},{"id":17,"name":"Train ID","value":"199-14"},{"id":16,"name":"Locomotive ID","value":"4031"},{"id":130,"name":"Impact","value":""},{"id":150,"name":"Time of Event (Mountain Time)","value":"16:36:57"},{"id":151,"name":"Denver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76"/>
        <v>start /low /b %USERPROFILE%\Documents\GitHub\eaglep3\Utilities\DownloadLogsFromS3.py --loco 4031 --day 2017-01-14</v>
      </c>
      <c r="AN112" s="189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"%USERPROFILE%\AppData\Local\Temp\OnboardLogs"\RTDC4031\*4031*20170114* | grep -SE "(Enforcement Action)|(\[TIMEOUT)|(CHR.+\|PRM\|1\|D.+(SWITCH|SIGNAL).+UNKNOWN)" - &gt;&gt; 2017-01-14-UncaughtWiMAX.txt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602</v>
      </c>
      <c r="B113" s="7">
        <v>4032</v>
      </c>
      <c r="C113" s="22" t="s">
        <v>201</v>
      </c>
      <c r="D113" s="22" t="s">
        <v>297</v>
      </c>
      <c r="E113" s="13">
        <v>42749.698564814818</v>
      </c>
      <c r="F113" s="13">
        <v>42749.70585648148</v>
      </c>
      <c r="G113" s="7">
        <v>1</v>
      </c>
      <c r="H113" s="22" t="s">
        <v>239</v>
      </c>
      <c r="I113" s="13">
        <v>42749.73505787037</v>
      </c>
      <c r="J113" s="7">
        <v>0</v>
      </c>
      <c r="K113" s="105" t="str">
        <f t="shared" si="93"/>
        <v>4031/4032</v>
      </c>
      <c r="L113" s="22" t="str">
        <f>VLOOKUP(A113,'Trips&amp;Operators'!$C$1:$G$99999,5,FALSE)</f>
        <v>WHITED DUSTIN</v>
      </c>
      <c r="M113" s="6">
        <f t="shared" si="94"/>
        <v>2.920138889021473E-2</v>
      </c>
      <c r="N113" s="7">
        <f t="shared" si="90"/>
        <v>42.050000001909211</v>
      </c>
      <c r="O113" s="7"/>
      <c r="P113" s="7"/>
      <c r="Q113" s="23"/>
      <c r="R113" s="23"/>
      <c r="S113" s="32">
        <f t="shared" si="91"/>
        <v>1</v>
      </c>
      <c r="T113" s="47" t="str">
        <f t="shared" si="95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15:45:56-700',mode:absolute,to:'2017-01-14 18:38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13" s="49" t="str">
        <f t="shared" si="96"/>
        <v>N</v>
      </c>
      <c r="X113" s="173">
        <f t="shared" si="89"/>
        <v>1</v>
      </c>
      <c r="Y113" s="64">
        <f t="shared" si="97"/>
        <v>23.297999999999998</v>
      </c>
      <c r="Z113" s="64">
        <f t="shared" si="92"/>
        <v>1.47E-2</v>
      </c>
      <c r="AA113" s="64">
        <f t="shared" si="98"/>
        <v>23.283299999999997</v>
      </c>
      <c r="AB113" s="61" t="e">
        <f>VLOOKUP(A113,Enforcements!$C$7:$K$15,8,0)</f>
        <v>#N/A</v>
      </c>
      <c r="AC113" s="57" t="e">
        <f>VLOOKUP(A113,Enforcements!$C$7:$E$15,3,0)</f>
        <v>#N/A</v>
      </c>
      <c r="AD113" s="58" t="str">
        <f t="shared" si="99"/>
        <v>0200-14</v>
      </c>
      <c r="AE113" s="87" t="str">
        <f t="shared" si="100"/>
        <v>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 &amp; 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</v>
      </c>
      <c r="AF113" s="84" t="str">
        <f t="shared" si="101"/>
        <v>"C:\Program Files (x86)\AstroGrep\AstroGrep.exe" /spath="%USERPROFILE%\AppData\Local\Temp\OnboardLogs" /stypes="app*4032*20170115*" /stext=" 00:.+((SYSTEM_STATE.+slice.+state.+changed )|(ment ac)|(multiple cpu faults)|(system.+state.+changed )|(\[timeout)|(PRM\|1\|D)|(kpr)|(kdp)|(\|lc)|(penalty))" /e /r /s</v>
      </c>
      <c r="AG113" s="1" t="str">
        <f t="shared" si="102"/>
        <v>EC</v>
      </c>
      <c r="AH113" s="88" t="str">
        <f t="shared" si="74"/>
        <v>"%USERPROFILE%\Documents\GitHub\eaglep3\Utilities\RefineRTDCRunTimes.py" --tripid 200-14 --locoid 4032 --swversion DE.1.0.8.0 --startMP 204:232980 --initTime 2017-01-14T16:45:56 --startdatetime 2017-01-14T16:56:26 --delay 1 --endMP 204:147 --enddatetime 2017-01-14T17:38:29 --enforcementcount 0 &gt;&gt;C:\Users\stu\Documents\GitHub\eaglep3-reporting\EC\2017-01-14-refined-times.txt</v>
      </c>
      <c r="AI113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{"issue":{"subject":"","project_id":79,"tracker_id":40,"status_id":1,"priority_id":2,"assigned_to_id":23,"start_date":"2017-01-14","description":"","custom_fields":[{"id":1,"name":"Subdivision","value":"EC"},{"id":4,"name":"Milepost","value":"0.0147"},{"id":17,"name":"Train ID","value":"200-14"},{"id":16,"name":"Locomotive ID","value":"4032"},{"id":130,"name":"Impact","value":""},{"id":150,"name":"Time of Event (Mountain Time)","value":"17:38:29"},{"id":151,"name":"Denver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76"/>
        <v>start /low /b %USERPROFILE%\Documents\GitHub\eaglep3\Utilities\DownloadLogsFromS3.py --loco 4032 --day 2017-01-14</v>
      </c>
      <c r="AN113" s="189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"%USERPROFILE%\AppData\Local\Temp\OnboardLogs"\RTDC4032\*4032*20170115* | grep -SE "(Enforcement Action)|(\[TIMEOUT)|(CHR.+\|PRM\|1\|D.+(SWITCH|SIGNAL).+UNKNOWN)" - &gt;&gt; 2017-01-14-UncaughtWiMAX.txt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595</v>
      </c>
      <c r="B114" s="7">
        <v>4038</v>
      </c>
      <c r="C114" s="22" t="s">
        <v>201</v>
      </c>
      <c r="D114" s="22" t="s">
        <v>733</v>
      </c>
      <c r="E114" s="13">
        <v>42749.672164351854</v>
      </c>
      <c r="F114" s="13">
        <v>42749.677488425928</v>
      </c>
      <c r="G114" s="7">
        <v>1</v>
      </c>
      <c r="H114" s="22" t="s">
        <v>306</v>
      </c>
      <c r="I114" s="13">
        <v>42749.703414351854</v>
      </c>
      <c r="J114" s="7">
        <v>0</v>
      </c>
      <c r="K114" s="105" t="str">
        <f t="shared" si="93"/>
        <v>4037/4038</v>
      </c>
      <c r="L114" s="22" t="str">
        <f>VLOOKUP(A114,'Trips&amp;Operators'!$C$1:$G$99999,5,FALSE)</f>
        <v>STEWART MICHAEL</v>
      </c>
      <c r="M114" s="6">
        <f t="shared" si="94"/>
        <v>2.5925925925548654E-2</v>
      </c>
      <c r="N114" s="7">
        <f t="shared" si="90"/>
        <v>37.333333332790062</v>
      </c>
      <c r="O114" s="7"/>
      <c r="P114" s="7"/>
      <c r="Q114" s="23"/>
      <c r="R114" s="23"/>
      <c r="S114" s="32">
        <f t="shared" si="91"/>
        <v>1</v>
      </c>
      <c r="T114" s="47" t="str">
        <f t="shared" si="95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15:07:55-700',mode:absolute,to:'2017-01-14 17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114" s="49" t="str">
        <f t="shared" si="96"/>
        <v>N</v>
      </c>
      <c r="X114" s="173">
        <f t="shared" si="89"/>
        <v>1</v>
      </c>
      <c r="Y114" s="64">
        <f t="shared" si="97"/>
        <v>4.6699999999999998E-2</v>
      </c>
      <c r="Z114" s="64">
        <f t="shared" si="92"/>
        <v>23.33</v>
      </c>
      <c r="AA114" s="64">
        <f t="shared" si="98"/>
        <v>23.283299999999997</v>
      </c>
      <c r="AB114" s="61" t="e">
        <f>VLOOKUP(A114,Enforcements!$C$7:$K$15,8,0)</f>
        <v>#N/A</v>
      </c>
      <c r="AC114" s="57" t="e">
        <f>VLOOKUP(A114,Enforcements!$C$7:$E$15,3,0)</f>
        <v>#N/A</v>
      </c>
      <c r="AD114" s="58" t="str">
        <f t="shared" si="99"/>
        <v>0201-14</v>
      </c>
      <c r="AE114" s="87" t="str">
        <f t="shared" si="100"/>
        <v>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 &amp; 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</v>
      </c>
      <c r="AF114" s="84" t="str">
        <f t="shared" si="101"/>
        <v>"C:\Program Files (x86)\AstroGrep\AstroGrep.exe" /spath="%USERPROFILE%\AppData\Local\Temp\OnboardLogs" /stypes="app*4038*20170114*" /stext=" 23:.+((SYSTEM_STATE.+slice.+state.+changed )|(ment ac)|(multiple cpu faults)|(system.+state.+changed )|(\[timeout)|(PRM\|1\|D)|(kpr)|(kdp)|(\|lc)|(penalty))" /e /r /s</v>
      </c>
      <c r="AG114" s="1" t="str">
        <f t="shared" si="102"/>
        <v>EC</v>
      </c>
      <c r="AH114" s="88" t="str">
        <f t="shared" si="74"/>
        <v>"%USERPROFILE%\Documents\GitHub\eaglep3\Utilities\RefineRTDCRunTimes.py" --tripid 201-14 --locoid 4038 --swversion DE.1.0.8.0 --startMP 204:467 --initTime 2017-01-14T16:07:55 --startdatetime 2017-01-14T16:15:35 --delay 1 --endMP 204:233300 --enddatetime 2017-01-14T16:52:55 --enforcementcount 0 &gt;&gt;C:\Users\stu\Documents\GitHub\eaglep3-reporting\EC\2017-01-14-refined-times.txt</v>
      </c>
      <c r="AI114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{"issue":{"subject":"","project_id":79,"tracker_id":40,"status_id":1,"priority_id":2,"assigned_to_id":23,"start_date":"2017-01-14","description":"","custom_fields":[{"id":1,"name":"Subdivision","value":"EC"},{"id":4,"name":"Milepost","value":"23.33"},{"id":17,"name":"Train ID","value":"201-14"},{"id":16,"name":"Locomotive ID","value":"4038"},{"id":130,"name":"Impact","value":""},{"id":150,"name":"Time of Event (Mountain Time)","value":"16:52:55"},{"id":151,"name":"Denver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76"/>
        <v>start /low /b %USERPROFILE%\Documents\GitHub\eaglep3\Utilities\DownloadLogsFromS3.py --loco 4038 --day 2017-01-14</v>
      </c>
      <c r="AN114" s="189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"%USERPROFILE%\AppData\Local\Temp\OnboardLogs"\RTDC4038\*4038*20170114* | grep -SE "(Enforcement Action)|(\[TIMEOUT)|(CHR.+\|PRM\|1\|D.+(SWITCH|SIGNAL).+UNKNOWN)" - &gt;&gt; 2017-01-14-UncaughtWiMAX.txt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604</v>
      </c>
      <c r="B115" s="7">
        <v>4037</v>
      </c>
      <c r="C115" s="22" t="s">
        <v>201</v>
      </c>
      <c r="D115" s="22" t="s">
        <v>242</v>
      </c>
      <c r="E115" s="13">
        <v>42749.712488425925</v>
      </c>
      <c r="F115" s="13">
        <v>42749.716249999998</v>
      </c>
      <c r="G115" s="7">
        <v>1</v>
      </c>
      <c r="H115" s="22" t="s">
        <v>258</v>
      </c>
      <c r="I115" s="13">
        <v>42749.742662037039</v>
      </c>
      <c r="J115" s="7">
        <v>0</v>
      </c>
      <c r="K115" s="105" t="str">
        <f t="shared" si="93"/>
        <v>4037/4038</v>
      </c>
      <c r="L115" s="22" t="str">
        <f>VLOOKUP(A115,'Trips&amp;Operators'!$C$1:$G$99999,5,FALSE)</f>
        <v>STEWART MICHAEL</v>
      </c>
      <c r="M115" s="6">
        <f t="shared" si="94"/>
        <v>2.641203704115469E-2</v>
      </c>
      <c r="N115" s="7">
        <f t="shared" si="90"/>
        <v>38.033333339262754</v>
      </c>
      <c r="O115" s="7"/>
      <c r="P115" s="7"/>
      <c r="Q115" s="23"/>
      <c r="R115" s="23"/>
      <c r="S115" s="32">
        <f t="shared" si="91"/>
        <v>1</v>
      </c>
      <c r="T115" s="47" t="str">
        <f t="shared" si="95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16:05:59-700',mode:absolute,to:'2017-01-14 18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115" s="49" t="str">
        <f t="shared" si="96"/>
        <v>N</v>
      </c>
      <c r="X115" s="173">
        <f t="shared" si="89"/>
        <v>1</v>
      </c>
      <c r="Y115" s="64">
        <f t="shared" si="97"/>
        <v>23.297699999999999</v>
      </c>
      <c r="Z115" s="64">
        <f t="shared" si="92"/>
        <v>1.52E-2</v>
      </c>
      <c r="AA115" s="64">
        <f t="shared" si="98"/>
        <v>23.282499999999999</v>
      </c>
      <c r="AB115" s="61" t="e">
        <f>VLOOKUP(A115,Enforcements!$C$7:$K$15,8,0)</f>
        <v>#N/A</v>
      </c>
      <c r="AC115" s="57" t="e">
        <f>VLOOKUP(A115,Enforcements!$C$7:$E$15,3,0)</f>
        <v>#N/A</v>
      </c>
      <c r="AD115" s="58" t="str">
        <f t="shared" si="99"/>
        <v>0202-14</v>
      </c>
      <c r="AE115" s="87" t="str">
        <f t="shared" si="100"/>
        <v>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 &amp; 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</v>
      </c>
      <c r="AF115" s="84" t="str">
        <f t="shared" si="101"/>
        <v>"C:\Program Files (x86)\AstroGrep\AstroGrep.exe" /spath="%USERPROFILE%\AppData\Local\Temp\OnboardLogs" /stypes="app*4037*20170115*" /stext=" 00:.+((SYSTEM_STATE.+slice.+state.+changed )|(ment ac)|(multiple cpu faults)|(system.+state.+changed )|(\[timeout)|(PRM\|1\|D)|(kpr)|(kdp)|(\|lc)|(penalty))" /e /r /s</v>
      </c>
      <c r="AG115" s="1" t="str">
        <f t="shared" si="102"/>
        <v>EC</v>
      </c>
      <c r="AH115" s="88" t="str">
        <f t="shared" si="74"/>
        <v>"%USERPROFILE%\Documents\GitHub\eaglep3\Utilities\RefineRTDCRunTimes.py" --tripid 202-14 --locoid 4037 --swversion DE.1.0.8.0 --startMP 204:232977 --initTime 2017-01-14T17:05:59 --startdatetime 2017-01-14T17:11:24 --delay 1 --endMP 204:152 --enddatetime 2017-01-14T17:49:26 --enforcementcount 0 &gt;&gt;C:\Users\stu\Documents\GitHub\eaglep3-reporting\EC\2017-01-14-refined-times.txt</v>
      </c>
      <c r="AI115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{"issue":{"subject":"","project_id":79,"tracker_id":40,"status_id":1,"priority_id":2,"assigned_to_id":23,"start_date":"2017-01-14","description":"","custom_fields":[{"id":1,"name":"Subdivision","value":"EC"},{"id":4,"name":"Milepost","value":"0.0152"},{"id":17,"name":"Train ID","value":"202-14"},{"id":16,"name":"Locomotive ID","value":"4037"},{"id":130,"name":"Impact","value":""},{"id":150,"name":"Time of Event (Mountain Time)","value":"17:49:26"},{"id":151,"name":"Denver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76"/>
        <v>start /low /b %USERPROFILE%\Documents\GitHub\eaglep3\Utilities\DownloadLogsFromS3.py --loco 4037 --day 2017-01-14</v>
      </c>
      <c r="AN115" s="189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"%USERPROFILE%\AppData\Local\Temp\OnboardLogs"\RTDC4037\*4037*20170115* | grep -SE "(Enforcement Action)|(\[TIMEOUT)|(CHR.+\|PRM\|1\|D.+(SWITCH|SIGNAL).+UNKNOWN)" - &gt;&gt; 2017-01-14-UncaughtWiMAX.txt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598</v>
      </c>
      <c r="B116" s="7">
        <v>4003</v>
      </c>
      <c r="C116" s="22" t="s">
        <v>201</v>
      </c>
      <c r="D116" s="22" t="s">
        <v>338</v>
      </c>
      <c r="E116" s="13">
        <v>42749.684861111113</v>
      </c>
      <c r="F116" s="13">
        <v>42749.687847222223</v>
      </c>
      <c r="G116" s="7">
        <v>1</v>
      </c>
      <c r="H116" s="22" t="s">
        <v>680</v>
      </c>
      <c r="I116" s="13">
        <v>42749.716192129628</v>
      </c>
      <c r="J116" s="7">
        <v>0</v>
      </c>
      <c r="K116" s="105" t="str">
        <f t="shared" si="93"/>
        <v>4003/4004</v>
      </c>
      <c r="L116" s="22" t="str">
        <f>VLOOKUP(A116,'Trips&amp;Operators'!$C$1:$G$99999,5,FALSE)</f>
        <v>DAVIS MICHAEL</v>
      </c>
      <c r="M116" s="6">
        <f t="shared" si="94"/>
        <v>2.8344907404971309E-2</v>
      </c>
      <c r="N116" s="7">
        <f t="shared" si="90"/>
        <v>40.816666663158685</v>
      </c>
      <c r="O116" s="7"/>
      <c r="P116" s="7"/>
      <c r="Q116" s="23"/>
      <c r="R116" s="23"/>
      <c r="S116" s="32">
        <f t="shared" si="91"/>
        <v>1</v>
      </c>
      <c r="T116" s="47" t="str">
        <f t="shared" si="95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15:26:12-700',mode:absolute,to:'2017-01-14 18:11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116" s="49" t="str">
        <f t="shared" si="96"/>
        <v>N</v>
      </c>
      <c r="X116" s="173">
        <f t="shared" si="89"/>
        <v>1</v>
      </c>
      <c r="Y116" s="64">
        <f t="shared" si="97"/>
        <v>4.7800000000000002E-2</v>
      </c>
      <c r="Z116" s="64">
        <f t="shared" si="92"/>
        <v>23.327999999999999</v>
      </c>
      <c r="AA116" s="64">
        <f t="shared" si="98"/>
        <v>23.280200000000001</v>
      </c>
      <c r="AB116" s="61" t="e">
        <f>VLOOKUP(A116,Enforcements!$C$7:$K$15,8,0)</f>
        <v>#N/A</v>
      </c>
      <c r="AC116" s="57" t="e">
        <f>VLOOKUP(A116,Enforcements!$C$7:$E$15,3,0)</f>
        <v>#N/A</v>
      </c>
      <c r="AD116" s="58" t="str">
        <f t="shared" si="99"/>
        <v>0203-14</v>
      </c>
      <c r="AE116" s="87" t="str">
        <f t="shared" si="100"/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AF116" s="84" t="str">
        <f t="shared" si="101"/>
        <v>"C:\Program Files (x86)\AstroGrep\AstroGrep.exe" /spath="%USERPROFILE%\AppData\Local\Temp\OnboardLogs" /stypes="app*4003*20170115*" /stext=" 00:.+((SYSTEM_STATE.+slice.+state.+changed )|(ment ac)|(multiple cpu faults)|(system.+state.+changed )|(\[timeout)|(PRM\|1\|D)|(kpr)|(kdp)|(\|lc)|(penalty))" /e /r /s</v>
      </c>
      <c r="AG116" s="1" t="str">
        <f t="shared" si="102"/>
        <v>EC</v>
      </c>
      <c r="AH116" s="88" t="str">
        <f t="shared" si="74"/>
        <v>"%USERPROFILE%\Documents\GitHub\eaglep3\Utilities\RefineRTDCRunTimes.py" --tripid 203-14 --locoid 4003 --swversion DE.1.0.8.0 --startMP 204:478 --initTime 2017-01-14T16:26:12 --startdatetime 2017-01-14T16:30:30 --delay 1 --endMP 204:233280 --enddatetime 2017-01-14T17:11:19 --enforcementcount 0 &gt;&gt;C:\Users\stu\Documents\GitHub\eaglep3-reporting\EC\2017-01-14-refined-times.txt</v>
      </c>
      <c r="AI116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{"issue":{"subject":"","project_id":79,"tracker_id":40,"status_id":1,"priority_id":2,"assigned_to_id":23,"start_date":"2017-01-14","description":"","custom_fields":[{"id":1,"name":"Subdivision","value":"EC"},{"id":4,"name":"Milepost","value":"23.328"},{"id":17,"name":"Train ID","value":"203-14"},{"id":16,"name":"Locomotive ID","value":"4003"},{"id":130,"name":"Impact","value":""},{"id":150,"name":"Time of Event (Mountain Time)","value":"17:11:19"},{"id":151,"name":"Denver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76"/>
        <v>start /low /b %USERPROFILE%\Documents\GitHub\eaglep3\Utilities\DownloadLogsFromS3.py --loco 4003 --day 2017-01-14</v>
      </c>
      <c r="AN116" s="189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"%USERPROFILE%\AppData\Local\Temp\OnboardLogs"\RTDC4003\*4003*20170114* | grep -SE "(Enforcement Action)|(\[TIMEOUT)|(CHR.+\|PRM\|1\|D.+(SWITCH|SIGNAL).+UNKNOWN)" - &gt;&gt; 2017-01-14-UncaughtWiMAX.txt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610</v>
      </c>
      <c r="B117" s="7">
        <v>4004</v>
      </c>
      <c r="C117" s="22" t="s">
        <v>201</v>
      </c>
      <c r="D117" s="22" t="s">
        <v>734</v>
      </c>
      <c r="E117" s="13">
        <v>42749.724016203705</v>
      </c>
      <c r="F117" s="13">
        <v>42749.726817129631</v>
      </c>
      <c r="G117" s="7">
        <v>1</v>
      </c>
      <c r="H117" s="22" t="s">
        <v>335</v>
      </c>
      <c r="I117" s="13">
        <v>42749.756539351853</v>
      </c>
      <c r="J117" s="7">
        <v>0</v>
      </c>
      <c r="K117" s="105" t="str">
        <f t="shared" si="93"/>
        <v>4003/4004</v>
      </c>
      <c r="L117" s="22" t="str">
        <f>VLOOKUP(A117,'Trips&amp;Operators'!$C$1:$G$99999,5,FALSE)</f>
        <v>DAVIS MICHAEL</v>
      </c>
      <c r="M117" s="6">
        <f t="shared" si="94"/>
        <v>2.9722222221607808E-2</v>
      </c>
      <c r="N117" s="7">
        <f t="shared" si="90"/>
        <v>42.799999999115244</v>
      </c>
      <c r="O117" s="7"/>
      <c r="P117" s="7"/>
      <c r="Q117" s="23"/>
      <c r="R117" s="23"/>
      <c r="S117" s="32">
        <f t="shared" si="91"/>
        <v>1</v>
      </c>
      <c r="T117" s="47" t="str">
        <f t="shared" si="95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16:22:35-700',mode:absolute,to:'2017-01-14 19:09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117" s="49" t="str">
        <f t="shared" si="96"/>
        <v>N</v>
      </c>
      <c r="X117" s="173">
        <f t="shared" si="89"/>
        <v>1</v>
      </c>
      <c r="Y117" s="64">
        <f t="shared" si="97"/>
        <v>23.295200000000001</v>
      </c>
      <c r="Z117" s="64">
        <f t="shared" si="92"/>
        <v>1.2999999999999999E-2</v>
      </c>
      <c r="AA117" s="64">
        <f t="shared" si="98"/>
        <v>23.2822</v>
      </c>
      <c r="AB117" s="61" t="e">
        <f>VLOOKUP(A117,Enforcements!$C$7:$K$15,8,0)</f>
        <v>#N/A</v>
      </c>
      <c r="AC117" s="57" t="e">
        <f>VLOOKUP(A117,Enforcements!$C$7:$E$15,3,0)</f>
        <v>#N/A</v>
      </c>
      <c r="AD117" s="58" t="str">
        <f t="shared" si="99"/>
        <v>0204-14</v>
      </c>
      <c r="AE117" s="87" t="str">
        <f t="shared" si="100"/>
        <v>aws s3 cp s3://rtdc.mdm.uploadarchive.raw/RTDC4004/ "%USERPROFILE%\AppData\Local\Temp\OnboardLogs"\RTDC4004\2017-01-14 --exclude "*" --recursive --include "*20170114*" &amp; "%USERPROFILE%\Documents\GitHub\mrs-test-scripts\Headless Mode &amp; Sideloading\WalkAndUnGZ.bat" "%USERPROFILE%\AppData\Local\Temp\OnboardLogs"\RTDC4004\2017-01-14 &amp; aws s3 cp s3://rtdc.mdm.uploadarchive.raw/RTDC4004/ "%USERPROFILE%\AppData\Local\Temp\OnboardLogs"\RTDC4004\2017-01-15 --exclude "*" --recursive --include "*20170115*" &amp; "%USERPROFILE%\Documents\GitHub\mrs-test-scripts\Headless Mode &amp; Sideloading\WalkAndUnGZ.bat" "%USERPROFILE%\AppData\Local\Temp\OnboardLogs"\RTDC4004\2017-01-15</v>
      </c>
      <c r="AF117" s="84" t="str">
        <f t="shared" si="101"/>
        <v>"C:\Program Files (x86)\AstroGrep\AstroGrep.exe" /spath="%USERPROFILE%\AppData\Local\Temp\OnboardLogs" /stypes="app*4004*20170115*" /stext=" 01:.+((SYSTEM_STATE.+slice.+state.+changed )|(ment ac)|(multiple cpu faults)|(system.+state.+changed )|(\[timeout)|(PRM\|1\|D)|(kpr)|(kdp)|(\|lc)|(penalty))" /e /r /s</v>
      </c>
      <c r="AG117" s="1" t="str">
        <f t="shared" si="102"/>
        <v>EC</v>
      </c>
      <c r="AH117" s="88" t="str">
        <f t="shared" si="74"/>
        <v>"%USERPROFILE%\Documents\GitHub\eaglep3\Utilities\RefineRTDCRunTimes.py" --tripid 204-14 --locoid 4004 --swversion DE.1.0.8.0 --startMP 204:232952 --initTime 2017-01-14T17:22:35 --startdatetime 2017-01-14T17:26:37 --delay 1 --endMP 204:130 --enddatetime 2017-01-14T18:09:25 --enforcementcount 0 &gt;&gt;C:\Users\stu\Documents\GitHub\eaglep3-reporting\EC\2017-01-14-refined-times.txt</v>
      </c>
      <c r="AI117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{"issue":{"subject":"","project_id":79,"tracker_id":40,"status_id":1,"priority_id":2,"assigned_to_id":23,"start_date":"2017-01-14","description":"","custom_fields":[{"id":1,"name":"Subdivision","value":"EC"},{"id":4,"name":"Milepost","value":"0.013"},{"id":17,"name":"Train ID","value":"204-14"},{"id":16,"name":"Locomotive ID","value":"4004"},{"id":130,"name":"Impact","value":""},{"id":150,"name":"Time of Event (Mountain Time)","value":"18:09:25"},{"id":151,"name":"Denver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76"/>
        <v>start /low /b %USERPROFILE%\Documents\GitHub\eaglep3\Utilities\DownloadLogsFromS3.py --loco 4004 --day 2017-01-14</v>
      </c>
      <c r="AN117" s="189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"%USERPROFILE%\AppData\Local\Temp\OnboardLogs"\RTDC4004\*4004*20170115* | grep -SE "(Enforcement Action)|(\[TIMEOUT)|(CHR.+\|PRM\|1\|D.+(SWITCH|SIGNAL).+UNKNOWN)" - &gt;&gt; 2017-01-14-UncaughtWiMAX.txt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600</v>
      </c>
      <c r="B118" s="7">
        <v>4027</v>
      </c>
      <c r="C118" s="22" t="s">
        <v>201</v>
      </c>
      <c r="D118" s="22" t="s">
        <v>238</v>
      </c>
      <c r="E118" s="13">
        <v>42749.691574074073</v>
      </c>
      <c r="F118" s="13">
        <v>42749.698125000003</v>
      </c>
      <c r="G118" s="7">
        <v>1</v>
      </c>
      <c r="H118" s="22" t="s">
        <v>320</v>
      </c>
      <c r="I118" s="13">
        <v>42749.723043981481</v>
      </c>
      <c r="J118" s="7">
        <v>0</v>
      </c>
      <c r="K118" s="105" t="str">
        <f t="shared" si="93"/>
        <v>4027/4028</v>
      </c>
      <c r="L118" s="22" t="str">
        <f>VLOOKUP(A118,'Trips&amp;Operators'!$C$1:$G$99999,5,FALSE)</f>
        <v>BRUDER RICHARD</v>
      </c>
      <c r="M118" s="6">
        <f t="shared" si="94"/>
        <v>2.491898147854954E-2</v>
      </c>
      <c r="N118" s="7">
        <f t="shared" si="90"/>
        <v>35.883333329111338</v>
      </c>
      <c r="O118" s="7"/>
      <c r="P118" s="7"/>
      <c r="Q118" s="23"/>
      <c r="R118" s="23"/>
      <c r="S118" s="32">
        <f t="shared" si="91"/>
        <v>1</v>
      </c>
      <c r="T118" s="47" t="str">
        <f t="shared" si="95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15:35:52-700',mode:absolute,to:'2017-01-14 18:21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18" s="49" t="str">
        <f t="shared" si="96"/>
        <v>N</v>
      </c>
      <c r="X118" s="173">
        <f t="shared" si="89"/>
        <v>1</v>
      </c>
      <c r="Y118" s="64">
        <f t="shared" si="97"/>
        <v>4.6399999999999997E-2</v>
      </c>
      <c r="Z118" s="64">
        <f t="shared" si="92"/>
        <v>23.331</v>
      </c>
      <c r="AA118" s="64">
        <f t="shared" si="98"/>
        <v>23.284600000000001</v>
      </c>
      <c r="AB118" s="61" t="e">
        <f>VLOOKUP(A118,Enforcements!$C$7:$K$15,8,0)</f>
        <v>#N/A</v>
      </c>
      <c r="AC118" s="57" t="e">
        <f>VLOOKUP(A118,Enforcements!$C$7:$E$15,3,0)</f>
        <v>#N/A</v>
      </c>
      <c r="AD118" s="58" t="str">
        <f t="shared" si="99"/>
        <v>0205-14</v>
      </c>
      <c r="AE118" s="87" t="str">
        <f t="shared" si="100"/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AF118" s="84" t="str">
        <f t="shared" si="101"/>
        <v>"C:\Program Files (x86)\AstroGrep\AstroGrep.exe" /spath="%USERPROFILE%\AppData\Local\Temp\OnboardLogs" /stypes="app*4027*20170115*" /stext=" 00:.+((SYSTEM_STATE.+slice.+state.+changed )|(ment ac)|(multiple cpu faults)|(system.+state.+changed )|(\[timeout)|(PRM\|1\|D)|(kpr)|(kdp)|(\|lc)|(penalty))" /e /r /s</v>
      </c>
      <c r="AG118" s="1" t="str">
        <f t="shared" si="102"/>
        <v>EC</v>
      </c>
      <c r="AH118" s="88" t="str">
        <f t="shared" si="74"/>
        <v>"%USERPROFILE%\Documents\GitHub\eaglep3\Utilities\RefineRTDCRunTimes.py" --tripid 205-14 --locoid 4027 --swversion DE.1.0.8.0 --startMP 204:464 --initTime 2017-01-14T16:35:52 --startdatetime 2017-01-14T16:45:18 --delay 1 --endMP 204:233310 --enddatetime 2017-01-14T17:21:11 --enforcementcount 0 &gt;&gt;C:\Users\stu\Documents\GitHub\eaglep3-reporting\EC\2017-01-14-refined-times.txt</v>
      </c>
      <c r="AI118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{"issue":{"subject":"","project_id":79,"tracker_id":40,"status_id":1,"priority_id":2,"assigned_to_id":23,"start_date":"2017-01-14","description":"","custom_fields":[{"id":1,"name":"Subdivision","value":"EC"},{"id":4,"name":"Milepost","value":"23.331"},{"id":17,"name":"Train ID","value":"205-14"},{"id":16,"name":"Locomotive ID","value":"4027"},{"id":130,"name":"Impact","value":""},{"id":150,"name":"Time of Event (Mountain Time)","value":"17:21:11"},{"id":151,"name":"Denver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76"/>
        <v>start /low /b %USERPROFILE%\Documents\GitHub\eaglep3\Utilities\DownloadLogsFromS3.py --loco 4027 --day 2017-01-14</v>
      </c>
      <c r="AN118" s="189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"%USERPROFILE%\AppData\Local\Temp\OnboardLogs"\RTDC4027\*4027*20170115* | grep -SE "(Enforcement Action)|(\[TIMEOUT)|(CHR.+\|PRM\|1\|D.+(SWITCH|SIGNAL).+UNKNOWN)" - &gt;&gt; 2017-01-14-UncaughtWiMAX.txt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611</v>
      </c>
      <c r="B119" s="7">
        <v>4028</v>
      </c>
      <c r="C119" s="22" t="s">
        <v>201</v>
      </c>
      <c r="D119" s="22" t="s">
        <v>282</v>
      </c>
      <c r="E119" s="13">
        <v>42749.729583333334</v>
      </c>
      <c r="F119" s="13">
        <v>42749.736979166664</v>
      </c>
      <c r="G119" s="7">
        <v>1</v>
      </c>
      <c r="H119" s="22" t="s">
        <v>240</v>
      </c>
      <c r="I119" s="13">
        <v>42749.763136574074</v>
      </c>
      <c r="J119" s="7">
        <v>0</v>
      </c>
      <c r="K119" s="105" t="str">
        <f t="shared" si="93"/>
        <v>4027/4028</v>
      </c>
      <c r="L119" s="22" t="str">
        <f>VLOOKUP(A119,'Trips&amp;Operators'!$C$1:$G$99999,5,FALSE)</f>
        <v>BRUDER RICHARD</v>
      </c>
      <c r="M119" s="6">
        <f t="shared" si="94"/>
        <v>2.6157407410209998E-2</v>
      </c>
      <c r="N119" s="7">
        <f t="shared" si="90"/>
        <v>37.666666670702398</v>
      </c>
      <c r="O119" s="7"/>
      <c r="P119" s="7"/>
      <c r="Q119" s="23"/>
      <c r="R119" s="23"/>
      <c r="S119" s="32">
        <f t="shared" si="91"/>
        <v>1</v>
      </c>
      <c r="T119" s="47" t="str">
        <f t="shared" si="95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16:30:36-700',mode:absolute,to:'2017-01-14 19:18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119" s="49" t="str">
        <f t="shared" si="96"/>
        <v>N</v>
      </c>
      <c r="X119" s="173">
        <f t="shared" ref="X119:X141" si="103">VALUE(LEFT(AD119,4))-VALUE(LEFT(AD118,4))</f>
        <v>1</v>
      </c>
      <c r="Y119" s="64">
        <f t="shared" si="97"/>
        <v>23.299299999999999</v>
      </c>
      <c r="Z119" s="64">
        <f t="shared" si="92"/>
        <v>1.3899999999999999E-2</v>
      </c>
      <c r="AA119" s="64">
        <f t="shared" si="98"/>
        <v>23.285399999999999</v>
      </c>
      <c r="AB119" s="61" t="e">
        <f>VLOOKUP(A119,Enforcements!$C$7:$K$15,8,0)</f>
        <v>#N/A</v>
      </c>
      <c r="AC119" s="57" t="e">
        <f>VLOOKUP(A119,Enforcements!$C$7:$E$15,3,0)</f>
        <v>#N/A</v>
      </c>
      <c r="AD119" s="58" t="str">
        <f t="shared" si="99"/>
        <v>0206-14</v>
      </c>
      <c r="AE119" s="87" t="str">
        <f t="shared" si="100"/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AF119" s="84" t="str">
        <f t="shared" si="101"/>
        <v>"C:\Program Files (x86)\AstroGrep\AstroGrep.exe" /spath="%USERPROFILE%\AppData\Local\Temp\OnboardLogs" /stypes="app*4028*20170115*" /stext=" 01:.+((SYSTEM_STATE.+slice.+state.+changed )|(ment ac)|(multiple cpu faults)|(system.+state.+changed )|(\[timeout)|(PRM\|1\|D)|(kpr)|(kdp)|(\|lc)|(penalty))" /e /r /s</v>
      </c>
      <c r="AG119" s="1" t="str">
        <f t="shared" si="102"/>
        <v>EC</v>
      </c>
      <c r="AH119" s="88" t="str">
        <f t="shared" si="74"/>
        <v>"%USERPROFILE%\Documents\GitHub\eaglep3\Utilities\RefineRTDCRunTimes.py" --tripid 206-14 --locoid 4028 --swversion DE.1.0.8.0 --startMP 204:232993 --initTime 2017-01-14T17:30:36 --startdatetime 2017-01-14T17:41:15 --delay 1 --endMP 204:139 --enddatetime 2017-01-14T18:18:55 --enforcementcount 0 &gt;&gt;C:\Users\stu\Documents\GitHub\eaglep3-reporting\EC\2017-01-14-refined-times.txt</v>
      </c>
      <c r="AI119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{"issue":{"subject":"","project_id":79,"tracker_id":40,"status_id":1,"priority_id":2,"assigned_to_id":23,"start_date":"2017-01-14","description":"","custom_fields":[{"id":1,"name":"Subdivision","value":"EC"},{"id":4,"name":"Milepost","value":"0.0139"},{"id":17,"name":"Train ID","value":"206-14"},{"id":16,"name":"Locomotive ID","value":"4028"},{"id":130,"name":"Impact","value":""},{"id":150,"name":"Time of Event (Mountain Time)","value":"18:18:55"},{"id":151,"name":"Denver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76"/>
        <v>start /low /b %USERPROFILE%\Documents\GitHub\eaglep3\Utilities\DownloadLogsFromS3.py --loco 4028 --day 2017-01-14</v>
      </c>
      <c r="AN119" s="189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"%USERPROFILE%\AppData\Local\Temp\OnboardLogs"\RTDC4028\*4028*20170115* | grep -SE "(Enforcement Action)|(\[TIMEOUT)|(CHR.+\|PRM\|1\|D.+(SWITCH|SIGNAL).+UNKNOWN)" - &gt;&gt; 2017-01-14-UncaughtWiMAX.txt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603</v>
      </c>
      <c r="B120" s="7">
        <v>4022</v>
      </c>
      <c r="C120" s="22" t="s">
        <v>201</v>
      </c>
      <c r="D120" s="22" t="s">
        <v>300</v>
      </c>
      <c r="E120" s="13">
        <v>42749.704351851855</v>
      </c>
      <c r="F120" s="13">
        <v>42749.708518518521</v>
      </c>
      <c r="G120" s="7">
        <v>1</v>
      </c>
      <c r="H120" s="22" t="s">
        <v>336</v>
      </c>
      <c r="I120" s="13">
        <v>42749.734189814815</v>
      </c>
      <c r="J120" s="7">
        <v>0</v>
      </c>
      <c r="K120" s="105" t="str">
        <f t="shared" si="93"/>
        <v>4021/4022</v>
      </c>
      <c r="L120" s="22" t="str">
        <f>VLOOKUP(A120,'Trips&amp;Operators'!$C$1:$G$99999,5,FALSE)</f>
        <v>KILLION DAVID</v>
      </c>
      <c r="M120" s="6">
        <f t="shared" si="94"/>
        <v>2.5671296294603962E-2</v>
      </c>
      <c r="N120" s="7">
        <f t="shared" si="90"/>
        <v>36.966666664229706</v>
      </c>
      <c r="O120" s="7"/>
      <c r="P120" s="7"/>
      <c r="Q120" s="23"/>
      <c r="R120" s="23"/>
      <c r="S120" s="32">
        <f t="shared" si="91"/>
        <v>1</v>
      </c>
      <c r="T120" s="47" t="str">
        <f t="shared" si="95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15:54:16-700',mode:absolute,to:'2017-01-14 18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20" s="49" t="str">
        <f t="shared" si="96"/>
        <v>N</v>
      </c>
      <c r="X120" s="173">
        <f t="shared" si="103"/>
        <v>1</v>
      </c>
      <c r="Y120" s="64">
        <f t="shared" si="97"/>
        <v>4.7699999999999999E-2</v>
      </c>
      <c r="Z120" s="64">
        <f t="shared" si="92"/>
        <v>23.3307</v>
      </c>
      <c r="AA120" s="64">
        <f t="shared" si="98"/>
        <v>23.283000000000001</v>
      </c>
      <c r="AB120" s="61" t="e">
        <f>VLOOKUP(A120,Enforcements!$C$7:$K$15,8,0)</f>
        <v>#N/A</v>
      </c>
      <c r="AC120" s="57" t="e">
        <f>VLOOKUP(A120,Enforcements!$C$7:$E$15,3,0)</f>
        <v>#N/A</v>
      </c>
      <c r="AD120" s="58" t="str">
        <f t="shared" si="99"/>
        <v>0207-14</v>
      </c>
      <c r="AE120" s="87" t="str">
        <f t="shared" si="100"/>
        <v>aws s3 cp s3://rtdc.mdm.uploadarchive.raw/RTDC4022/ "%USERPROFILE%\AppData\Local\Temp\OnboardLogs"\RTDC4022\2017-01-14 --exclude "*" --recursive --include "*20170114*" &amp; "%USERPROFILE%\Documents\GitHub\mrs-test-scripts\Headless Mode &amp; Sideloading\WalkAndUnGZ.bat" "%USERPROFILE%\AppData\Local\Temp\OnboardLogs"\RTDC4022\2017-01-14 &amp; aws s3 cp s3://rtdc.mdm.uploadarchive.raw/RTDC4022/ "%USERPROFILE%\AppData\Local\Temp\OnboardLogs"\RTDC4022\2017-01-15 --exclude "*" --recursive --include "*20170115*" &amp; "%USERPROFILE%\Documents\GitHub\mrs-test-scripts\Headless Mode &amp; Sideloading\WalkAndUnGZ.bat" "%USERPROFILE%\AppData\Local\Temp\OnboardLogs"\RTDC4022\2017-01-15</v>
      </c>
      <c r="AF120" s="84" t="str">
        <f t="shared" si="101"/>
        <v>"C:\Program Files (x86)\AstroGrep\AstroGrep.exe" /spath="%USERPROFILE%\AppData\Local\Temp\OnboardLogs" /stypes="app*4022*20170115*" /stext=" 00:.+((SYSTEM_STATE.+slice.+state.+changed )|(ment ac)|(multiple cpu faults)|(system.+state.+changed )|(\[timeout)|(PRM\|1\|D)|(kpr)|(kdp)|(\|lc)|(penalty))" /e /r /s</v>
      </c>
      <c r="AG120" s="1" t="str">
        <f t="shared" si="102"/>
        <v>EC</v>
      </c>
      <c r="AH120" s="88" t="str">
        <f t="shared" si="74"/>
        <v>"%USERPROFILE%\Documents\GitHub\eaglep3\Utilities\RefineRTDCRunTimes.py" --tripid 207-14 --locoid 4022 --swversion DE.1.0.8.0 --startMP 204:477 --initTime 2017-01-14T16:54:16 --startdatetime 2017-01-14T17:00:16 --delay 1 --endMP 204:233307 --enddatetime 2017-01-14T17:37:14 --enforcementcount 0 &gt;&gt;C:\Users\stu\Documents\GitHub\eaglep3-reporting\EC\2017-01-14-refined-times.txt</v>
      </c>
      <c r="AI120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{"issue":{"subject":"","project_id":79,"tracker_id":40,"status_id":1,"priority_id":2,"assigned_to_id":23,"start_date":"2017-01-14","description":"","custom_fields":[{"id":1,"name":"Subdivision","value":"EC"},{"id":4,"name":"Milepost","value":"23.3307"},{"id":17,"name":"Train ID","value":"207-14"},{"id":16,"name":"Locomotive ID","value":"4022"},{"id":130,"name":"Impact","value":""},{"id":150,"name":"Time of Event (Mountain Time)","value":"17:37:14"},{"id":151,"name":"Denver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76"/>
        <v>start /low /b %USERPROFILE%\Documents\GitHub\eaglep3\Utilities\DownloadLogsFromS3.py --loco 4022 --day 2017-01-14</v>
      </c>
      <c r="AN120" s="189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"%USERPROFILE%\AppData\Local\Temp\OnboardLogs"\RTDC4022\*4022*20170115* | grep -SE "(Enforcement Action)|(\[TIMEOUT)|(CHR.+\|PRM\|1\|D.+(SWITCH|SIGNAL).+UNKNOWN)" - &gt;&gt; 2017-01-14-UncaughtWiMAX.txt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613</v>
      </c>
      <c r="B121" s="7">
        <v>4021</v>
      </c>
      <c r="C121" s="22" t="s">
        <v>201</v>
      </c>
      <c r="D121" s="22" t="s">
        <v>253</v>
      </c>
      <c r="E121" s="13">
        <v>42749.73710648148</v>
      </c>
      <c r="F121" s="13">
        <v>42749.747534722221</v>
      </c>
      <c r="G121" s="7">
        <v>1</v>
      </c>
      <c r="H121" s="22" t="s">
        <v>735</v>
      </c>
      <c r="I121" s="13">
        <v>42749.776087962964</v>
      </c>
      <c r="J121" s="7">
        <v>0</v>
      </c>
      <c r="K121" s="105" t="str">
        <f t="shared" si="93"/>
        <v>4021/4022</v>
      </c>
      <c r="L121" s="22" t="str">
        <f>VLOOKUP(A121,'Trips&amp;Operators'!$C$1:$G$99999,5,FALSE)</f>
        <v>KILLION DAVID</v>
      </c>
      <c r="M121" s="6">
        <f t="shared" si="94"/>
        <v>2.8553240743349306E-2</v>
      </c>
      <c r="N121" s="7">
        <f t="shared" si="90"/>
        <v>41.116666670423001</v>
      </c>
      <c r="O121" s="7"/>
      <c r="P121" s="7"/>
      <c r="Q121" s="23"/>
      <c r="R121" s="23"/>
      <c r="S121" s="32">
        <f t="shared" si="91"/>
        <v>1</v>
      </c>
      <c r="T121" s="47" t="str">
        <f t="shared" si="95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16:41:26-700',mode:absolute,to:'2017-01-14 19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21" s="49" t="str">
        <f t="shared" si="96"/>
        <v>N</v>
      </c>
      <c r="X121" s="173">
        <f t="shared" si="103"/>
        <v>1</v>
      </c>
      <c r="Y121" s="64">
        <f t="shared" si="97"/>
        <v>23.2973</v>
      </c>
      <c r="Z121" s="64">
        <f t="shared" si="92"/>
        <v>7.0000000000000001E-3</v>
      </c>
      <c r="AA121" s="64">
        <f t="shared" si="98"/>
        <v>23.290299999999998</v>
      </c>
      <c r="AB121" s="61" t="e">
        <f>VLOOKUP(A121,Enforcements!$C$7:$K$15,8,0)</f>
        <v>#N/A</v>
      </c>
      <c r="AC121" s="57" t="e">
        <f>VLOOKUP(A121,Enforcements!$C$7:$E$15,3,0)</f>
        <v>#N/A</v>
      </c>
      <c r="AD121" s="58" t="str">
        <f t="shared" si="99"/>
        <v>0208-14</v>
      </c>
      <c r="AE121" s="87" t="str">
        <f t="shared" si="100"/>
        <v>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 &amp; 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</v>
      </c>
      <c r="AF121" s="84" t="str">
        <f t="shared" si="101"/>
        <v>"C:\Program Files (x86)\AstroGrep\AstroGrep.exe" /spath="%USERPROFILE%\AppData\Local\Temp\OnboardLogs" /stypes="app*4021*20170115*" /stext=" 01:.+((SYSTEM_STATE.+slice.+state.+changed )|(ment ac)|(multiple cpu faults)|(system.+state.+changed )|(\[timeout)|(PRM\|1\|D)|(kpr)|(kdp)|(\|lc)|(penalty))" /e /r /s</v>
      </c>
      <c r="AG121" s="1" t="str">
        <f t="shared" si="102"/>
        <v>EC</v>
      </c>
      <c r="AH121" s="88" t="str">
        <f t="shared" si="74"/>
        <v>"%USERPROFILE%\Documents\GitHub\eaglep3\Utilities\RefineRTDCRunTimes.py" --tripid 208-14 --locoid 4021 --swversion DE.1.0.8.0 --startMP 204:232973 --initTime 2017-01-14T17:41:26 --startdatetime 2017-01-14T17:56:27 --delay 1 --endMP 204:70 --enddatetime 2017-01-14T18:37:34 --enforcementcount 0 &gt;&gt;C:\Users\stu\Documents\GitHub\eaglep3-reporting\EC\2017-01-14-refined-times.txt</v>
      </c>
      <c r="AI121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{"issue":{"subject":"","project_id":79,"tracker_id":40,"status_id":1,"priority_id":2,"assigned_to_id":23,"start_date":"2017-01-14","description":"","custom_fields":[{"id":1,"name":"Subdivision","value":"EC"},{"id":4,"name":"Milepost","value":"0.007"},{"id":17,"name":"Train ID","value":"208-14"},{"id":16,"name":"Locomotive ID","value":"4021"},{"id":130,"name":"Impact","value":""},{"id":150,"name":"Time of Event (Mountain Time)","value":"18:37:34"},{"id":151,"name":"Denver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76"/>
        <v>start /low /b %USERPROFILE%\Documents\GitHub\eaglep3\Utilities\DownloadLogsFromS3.py --loco 4021 --day 2017-01-14</v>
      </c>
      <c r="AN121" s="189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"%USERPROFILE%\AppData\Local\Temp\OnboardLogs"\RTDC4021\*4021*20170115* | grep -SE "(Enforcement Action)|(\[TIMEOUT)|(CHR.+\|PRM\|1\|D.+(SWITCH|SIGNAL).+UNKNOWN)" - &gt;&gt; 2017-01-14-UncaughtWiMAX.txt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605</v>
      </c>
      <c r="B122" s="7">
        <v>4018</v>
      </c>
      <c r="C122" s="22" t="s">
        <v>201</v>
      </c>
      <c r="D122" s="22" t="s">
        <v>287</v>
      </c>
      <c r="E122" s="13">
        <v>42749.716469907406</v>
      </c>
      <c r="F122" s="13">
        <v>42749.718935185185</v>
      </c>
      <c r="G122" s="7">
        <v>1</v>
      </c>
      <c r="H122" s="22" t="s">
        <v>668</v>
      </c>
      <c r="I122" s="13">
        <v>42749.744166666664</v>
      </c>
      <c r="J122" s="7">
        <v>0</v>
      </c>
      <c r="K122" s="105" t="str">
        <f t="shared" si="93"/>
        <v>4017/4018</v>
      </c>
      <c r="L122" s="22" t="str">
        <f>VLOOKUP(A122,'Trips&amp;Operators'!$C$1:$G$99999,5,FALSE)</f>
        <v>LEVIN SCOTT</v>
      </c>
      <c r="M122" s="6">
        <f t="shared" si="94"/>
        <v>2.5231481478840578E-2</v>
      </c>
      <c r="N122" s="7">
        <f t="shared" si="90"/>
        <v>36.333333329530433</v>
      </c>
      <c r="O122" s="7"/>
      <c r="P122" s="7"/>
      <c r="Q122" s="23"/>
      <c r="R122" s="23"/>
      <c r="S122" s="32">
        <f t="shared" si="91"/>
        <v>1</v>
      </c>
      <c r="T122" s="47" t="str">
        <f t="shared" si="95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16:11:43-700',mode:absolute,to:'2017-01-14 18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122" s="49" t="str">
        <f t="shared" si="96"/>
        <v>N</v>
      </c>
      <c r="X122" s="173">
        <f t="shared" si="103"/>
        <v>1</v>
      </c>
      <c r="Y122" s="64">
        <f t="shared" si="97"/>
        <v>4.3799999999999999E-2</v>
      </c>
      <c r="Z122" s="64">
        <f t="shared" si="92"/>
        <v>23.332899999999999</v>
      </c>
      <c r="AA122" s="64">
        <f t="shared" si="98"/>
        <v>23.289099999999998</v>
      </c>
      <c r="AB122" s="61" t="e">
        <f>VLOOKUP(A122,Enforcements!$C$7:$K$15,8,0)</f>
        <v>#N/A</v>
      </c>
      <c r="AC122" s="57" t="e">
        <f>VLOOKUP(A122,Enforcements!$C$7:$E$15,3,0)</f>
        <v>#N/A</v>
      </c>
      <c r="AD122" s="58" t="str">
        <f t="shared" si="99"/>
        <v>0209-14</v>
      </c>
      <c r="AE122" s="87" t="str">
        <f t="shared" si="100"/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AF122" s="84" t="str">
        <f t="shared" si="101"/>
        <v>"C:\Program Files (x86)\AstroGrep\AstroGrep.exe" /spath="%USERPROFILE%\AppData\Local\Temp\OnboardLogs" /stypes="app*4018*20170115*" /stext=" 00:.+((SYSTEM_STATE.+slice.+state.+changed )|(ment ac)|(multiple cpu faults)|(system.+state.+changed )|(\[timeout)|(PRM\|1\|D)|(kpr)|(kdp)|(\|lc)|(penalty))" /e /r /s</v>
      </c>
      <c r="AG122" s="1" t="str">
        <f t="shared" si="102"/>
        <v>EC</v>
      </c>
      <c r="AH122" s="88" t="str">
        <f t="shared" si="74"/>
        <v>"%USERPROFILE%\Documents\GitHub\eaglep3\Utilities\RefineRTDCRunTimes.py" --tripid 209-14 --locoid 4018 --swversion DE.1.0.8.0 --startMP 204:438 --initTime 2017-01-14T17:11:43 --startdatetime 2017-01-14T17:15:16 --delay 1 --endMP 204:233329 --enddatetime 2017-01-14T17:51:36 --enforcementcount 0 &gt;&gt;C:\Users\stu\Documents\GitHub\eaglep3-reporting\EC\2017-01-14-refined-times.txt</v>
      </c>
      <c r="AI122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{"issue":{"subject":"","project_id":79,"tracker_id":40,"status_id":1,"priority_id":2,"assigned_to_id":23,"start_date":"2017-01-14","description":"","custom_fields":[{"id":1,"name":"Subdivision","value":"EC"},{"id":4,"name":"Milepost","value":"23.3329"},{"id":17,"name":"Train ID","value":"209-14"},{"id":16,"name":"Locomotive ID","value":"4018"},{"id":130,"name":"Impact","value":""},{"id":150,"name":"Time of Event (Mountain Time)","value":"17:51:36"},{"id":151,"name":"Denver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76"/>
        <v>start /low /b %USERPROFILE%\Documents\GitHub\eaglep3\Utilities\DownloadLogsFromS3.py --loco 4018 --day 2017-01-14</v>
      </c>
      <c r="AN122" s="189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"%USERPROFILE%\AppData\Local\Temp\OnboardLogs"\RTDC4018\*4018*20170115* | grep -SE "(Enforcement Action)|(\[TIMEOUT)|(CHR.+\|PRM\|1\|D.+(SWITCH|SIGNAL).+UNKNOWN)" - &gt;&gt; 2017-01-14-UncaughtWiMAX.txt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617</v>
      </c>
      <c r="B123" s="7">
        <v>4017</v>
      </c>
      <c r="C123" s="22" t="s">
        <v>201</v>
      </c>
      <c r="D123" s="22" t="s">
        <v>736</v>
      </c>
      <c r="E123" s="13">
        <v>42749.754479166666</v>
      </c>
      <c r="F123" s="13">
        <v>42749.7578125</v>
      </c>
      <c r="G123" s="7">
        <v>1</v>
      </c>
      <c r="H123" s="22" t="s">
        <v>342</v>
      </c>
      <c r="I123" s="13">
        <v>42749.783877314818</v>
      </c>
      <c r="J123" s="7">
        <v>0</v>
      </c>
      <c r="K123" s="105" t="str">
        <f t="shared" si="93"/>
        <v>4017/4018</v>
      </c>
      <c r="L123" s="22" t="str">
        <f>VLOOKUP(A123,'Trips&amp;Operators'!$C$1:$G$99999,5,FALSE)</f>
        <v>LEVIN SCOTT</v>
      </c>
      <c r="M123" s="6">
        <f t="shared" si="94"/>
        <v>2.6064814817800652E-2</v>
      </c>
      <c r="N123" s="7">
        <f t="shared" ref="N123:N144" si="104">24*60*SUM($M123:$M123)</f>
        <v>37.533333337632939</v>
      </c>
      <c r="O123" s="7"/>
      <c r="P123" s="7"/>
      <c r="Q123" s="23"/>
      <c r="R123" s="23"/>
      <c r="S123" s="32">
        <f t="shared" ref="S123:S144" si="105">SUM(U123:U123)/IF(AG123="EC",12,1)</f>
        <v>1</v>
      </c>
      <c r="T123" s="47" t="str">
        <f t="shared" si="95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17:06:27-700',mode:absolute,to:'2017-01-14 19:48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123" s="49" t="str">
        <f t="shared" si="96"/>
        <v>N</v>
      </c>
      <c r="X123" s="173">
        <f t="shared" si="103"/>
        <v>1</v>
      </c>
      <c r="Y123" s="64">
        <f t="shared" si="97"/>
        <v>23.3019</v>
      </c>
      <c r="Z123" s="64">
        <f t="shared" si="92"/>
        <v>1.34E-2</v>
      </c>
      <c r="AA123" s="64">
        <f t="shared" si="98"/>
        <v>23.288499999999999</v>
      </c>
      <c r="AB123" s="61" t="e">
        <f>VLOOKUP(A123,Enforcements!$C$7:$K$15,8,0)</f>
        <v>#N/A</v>
      </c>
      <c r="AC123" s="57" t="e">
        <f>VLOOKUP(A123,Enforcements!$C$7:$E$15,3,0)</f>
        <v>#N/A</v>
      </c>
      <c r="AD123" s="58" t="str">
        <f t="shared" si="99"/>
        <v>0210-14</v>
      </c>
      <c r="AE123" s="87" t="str">
        <f t="shared" si="100"/>
        <v>aws s3 cp s3://rtdc.mdm.uploadarchive.raw/RTDC4017/ "%USERPROFILE%\AppData\Local\Temp\OnboardLogs"\RTDC4017\2017-01-14 --exclude "*" --recursive --include "*20170114*" &amp; "%USERPROFILE%\Documents\GitHub\mrs-test-scripts\Headless Mode &amp; Sideloading\WalkAndUnGZ.bat" "%USERPROFILE%\AppData\Local\Temp\OnboardLogs"\RTDC4017\2017-01-14 &amp; aws s3 cp s3://rtdc.mdm.uploadarchive.raw/RTDC4017/ "%USERPROFILE%\AppData\Local\Temp\OnboardLogs"\RTDC4017\2017-01-15 --exclude "*" --recursive --include "*20170115*" &amp; "%USERPROFILE%\Documents\GitHub\mrs-test-scripts\Headless Mode &amp; Sideloading\WalkAndUnGZ.bat" "%USERPROFILE%\AppData\Local\Temp\OnboardLogs"\RTDC4017\2017-01-15</v>
      </c>
      <c r="AF123" s="84" t="str">
        <f t="shared" si="101"/>
        <v>"C:\Program Files (x86)\AstroGrep\AstroGrep.exe" /spath="%USERPROFILE%\AppData\Local\Temp\OnboardLogs" /stypes="app*4017*20170115*" /stext=" 01:.+((SYSTEM_STATE.+slice.+state.+changed )|(ment ac)|(multiple cpu faults)|(system.+state.+changed )|(\[timeout)|(PRM\|1\|D)|(kpr)|(kdp)|(\|lc)|(penalty))" /e /r /s</v>
      </c>
      <c r="AG123" s="1" t="str">
        <f t="shared" si="102"/>
        <v>EC</v>
      </c>
      <c r="AH123" s="88" t="str">
        <f t="shared" si="74"/>
        <v>"%USERPROFILE%\Documents\GitHub\eaglep3\Utilities\RefineRTDCRunTimes.py" --tripid 210-14 --locoid 4017 --swversion DE.1.0.8.0 --startMP 204:233019 --initTime 2017-01-14T18:06:27 --startdatetime 2017-01-14T18:11:15 --delay 1 --endMP 204:134 --enddatetime 2017-01-14T18:48:47 --enforcementcount 0 &gt;&gt;C:\Users\stu\Documents\GitHub\eaglep3-reporting\EC\2017-01-14-refined-times.txt</v>
      </c>
      <c r="AI123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{"issue":{"subject":"","project_id":79,"tracker_id":40,"status_id":1,"priority_id":2,"assigned_to_id":23,"start_date":"2017-01-14","description":"","custom_fields":[{"id":1,"name":"Subdivision","value":"EC"},{"id":4,"name":"Milepost","value":"0.0134"},{"id":17,"name":"Train ID","value":"210-14"},{"id":16,"name":"Locomotive ID","value":"4017"},{"id":130,"name":"Impact","value":""},{"id":150,"name":"Time of Event (Mountain Time)","value":"18:48:47"},{"id":151,"name":"Denver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76"/>
        <v>start /low /b %USERPROFILE%\Documents\GitHub\eaglep3\Utilities\DownloadLogsFromS3.py --loco 4017 --day 2017-01-14</v>
      </c>
      <c r="AN123" s="189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"%USERPROFILE%\AppData\Local\Temp\OnboardLogs"\RTDC4017\*4017*20170115* | grep -SE "(Enforcement Action)|(\[TIMEOUT)|(CHR.+\|PRM\|1\|D.+(SWITCH|SIGNAL).+UNKNOWN)" - &gt;&gt; 2017-01-14-UncaughtWiMAX.txt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446</v>
      </c>
      <c r="B124" s="7">
        <v>4014</v>
      </c>
      <c r="C124" s="22" t="s">
        <v>201</v>
      </c>
      <c r="D124" s="22" t="s">
        <v>192</v>
      </c>
      <c r="E124" s="13">
        <v>42749.725983796299</v>
      </c>
      <c r="F124" s="13">
        <v>42749.729398148149</v>
      </c>
      <c r="G124" s="7">
        <v>2</v>
      </c>
      <c r="H124" s="22" t="s">
        <v>322</v>
      </c>
      <c r="I124" s="13">
        <v>42749.756226851852</v>
      </c>
      <c r="J124" s="7">
        <v>0</v>
      </c>
      <c r="K124" s="105" t="str">
        <f t="shared" si="93"/>
        <v>4013/4014</v>
      </c>
      <c r="L124" s="22" t="str">
        <f>VLOOKUP(A124,'Trips&amp;Operators'!$C$1:$G$99999,5,FALSE)</f>
        <v>BRANDNER MELINDA</v>
      </c>
      <c r="M124" s="6">
        <f t="shared" si="94"/>
        <v>2.6828703703358769E-2</v>
      </c>
      <c r="N124" s="7">
        <f t="shared" si="104"/>
        <v>38.633333332836628</v>
      </c>
      <c r="O124" s="7"/>
      <c r="P124" s="7"/>
      <c r="Q124" s="23"/>
      <c r="R124" s="23"/>
      <c r="S124" s="32">
        <f t="shared" si="105"/>
        <v>1</v>
      </c>
      <c r="T124" s="47" t="str">
        <f t="shared" si="95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16:25:25-700',mode:absolute,to:'2017-01-14 19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24" s="49" t="str">
        <f t="shared" si="96"/>
        <v>N</v>
      </c>
      <c r="X124" s="173">
        <f t="shared" si="103"/>
        <v>1</v>
      </c>
      <c r="Y124" s="64">
        <f t="shared" si="97"/>
        <v>4.4699999999999997E-2</v>
      </c>
      <c r="Z124" s="64">
        <f t="shared" si="92"/>
        <v>23.330500000000001</v>
      </c>
      <c r="AA124" s="64">
        <f t="shared" si="98"/>
        <v>23.285800000000002</v>
      </c>
      <c r="AB124" s="61" t="e">
        <f>VLOOKUP(A124,Enforcements!$C$7:$K$15,8,0)</f>
        <v>#N/A</v>
      </c>
      <c r="AC124" s="57" t="e">
        <f>VLOOKUP(A124,Enforcements!$C$7:$E$15,3,0)</f>
        <v>#N/A</v>
      </c>
      <c r="AD124" s="58" t="str">
        <f t="shared" si="99"/>
        <v>0211-14</v>
      </c>
      <c r="AE124" s="87" t="str">
        <f t="shared" si="100"/>
        <v>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 &amp; 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</v>
      </c>
      <c r="AF124" s="84" t="str">
        <f t="shared" si="101"/>
        <v>"C:\Program Files (x86)\AstroGrep\AstroGrep.exe" /spath="%USERPROFILE%\AppData\Local\Temp\OnboardLogs" /stypes="app*4014*20170115*" /stext=" 01:.+((SYSTEM_STATE.+slice.+state.+changed )|(ment ac)|(multiple cpu faults)|(system.+state.+changed )|(\[timeout)|(PRM\|1\|D)|(kpr)|(kdp)|(\|lc)|(penalty))" /e /r /s</v>
      </c>
      <c r="AG124" s="1" t="str">
        <f t="shared" si="102"/>
        <v>EC</v>
      </c>
      <c r="AH124" s="88" t="str">
        <f t="shared" si="74"/>
        <v>"%USERPROFILE%\Documents\GitHub\eaglep3\Utilities\RefineRTDCRunTimes.py" --tripid 211-14 --locoid 4014 --swversion DE.1.0.8.0 --startMP 204:447 --initTime 2017-01-14T17:25:25 --startdatetime 2017-01-14T17:30:20 --delay 2 --endMP 204:233305 --enddatetime 2017-01-14T18:08:58 --enforcementcount 0 &gt;&gt;C:\Users\stu\Documents\GitHub\eaglep3-reporting\EC\2017-01-14-refined-times.txt</v>
      </c>
      <c r="AI124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{"issue":{"subject":"","project_id":79,"tracker_id":40,"status_id":1,"priority_id":2,"assigned_to_id":23,"start_date":"2017-01-14","description":"","custom_fields":[{"id":1,"name":"Subdivision","value":"EC"},{"id":4,"name":"Milepost","value":"23.3305"},{"id":17,"name":"Train ID","value":"211-14"},{"id":16,"name":"Locomotive ID","value":"4014"},{"id":130,"name":"Impact","value":""},{"id":150,"name":"Time of Event (Mountain Time)","value":"18:08:58"},{"id":151,"name":"Denver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76"/>
        <v>start /low /b %USERPROFILE%\Documents\GitHub\eaglep3\Utilities\DownloadLogsFromS3.py --loco 4014 --day 2017-01-14</v>
      </c>
      <c r="AN124" s="189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"%USERPROFILE%\AppData\Local\Temp\OnboardLogs"\RTDC4014\*4014*20170115* | grep -SE "(Enforcement Action)|(\[TIMEOUT)|(CHR.+\|PRM\|1\|D.+(SWITCH|SIGNAL).+UNKNOWN)" - &gt;&gt; 2017-01-14-UncaughtWiMAX.txt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619</v>
      </c>
      <c r="B125" s="7">
        <v>4013</v>
      </c>
      <c r="C125" s="22" t="s">
        <v>201</v>
      </c>
      <c r="D125" s="22" t="s">
        <v>415</v>
      </c>
      <c r="E125" s="13">
        <v>42749.76326388889</v>
      </c>
      <c r="F125" s="13">
        <v>42749.768333333333</v>
      </c>
      <c r="G125" s="7">
        <v>1</v>
      </c>
      <c r="H125" s="22" t="s">
        <v>239</v>
      </c>
      <c r="I125" s="13">
        <v>42749.796076388891</v>
      </c>
      <c r="J125" s="7">
        <v>0</v>
      </c>
      <c r="K125" s="105" t="str">
        <f t="shared" si="93"/>
        <v>4013/4014</v>
      </c>
      <c r="L125" s="22" t="str">
        <f>VLOOKUP(A125,'Trips&amp;Operators'!$C$1:$G$99999,5,FALSE)</f>
        <v>BRANDNER MELINDA</v>
      </c>
      <c r="M125" s="6">
        <f t="shared" si="94"/>
        <v>2.7743055557948537E-2</v>
      </c>
      <c r="N125" s="7">
        <f t="shared" si="104"/>
        <v>39.950000003445894</v>
      </c>
      <c r="O125" s="7"/>
      <c r="P125" s="7"/>
      <c r="Q125" s="23"/>
      <c r="R125" s="23"/>
      <c r="S125" s="32">
        <f t="shared" si="105"/>
        <v>1</v>
      </c>
      <c r="T125" s="47" t="str">
        <f t="shared" si="95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17:19:06-700',mode:absolute,to:'2017-01-14 20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25" s="49" t="str">
        <f t="shared" si="96"/>
        <v>N</v>
      </c>
      <c r="X125" s="173">
        <f t="shared" si="103"/>
        <v>1</v>
      </c>
      <c r="Y125" s="64">
        <f t="shared" si="97"/>
        <v>23.2988</v>
      </c>
      <c r="Z125" s="64">
        <f t="shared" si="92"/>
        <v>1.47E-2</v>
      </c>
      <c r="AA125" s="64">
        <f t="shared" si="98"/>
        <v>23.284099999999999</v>
      </c>
      <c r="AB125" s="61" t="e">
        <f>VLOOKUP(A125,Enforcements!$C$7:$K$15,8,0)</f>
        <v>#N/A</v>
      </c>
      <c r="AC125" s="57" t="e">
        <f>VLOOKUP(A125,Enforcements!$C$7:$E$15,3,0)</f>
        <v>#N/A</v>
      </c>
      <c r="AD125" s="58" t="str">
        <f t="shared" si="99"/>
        <v>0212-14</v>
      </c>
      <c r="AE125" s="87" t="str">
        <f t="shared" si="100"/>
        <v>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 &amp; 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</v>
      </c>
      <c r="AF125" s="84" t="str">
        <f t="shared" si="101"/>
        <v>"C:\Program Files (x86)\AstroGrep\AstroGrep.exe" /spath="%USERPROFILE%\AppData\Local\Temp\OnboardLogs" /stypes="app*4013*20170115*" /stext=" 02:.+((SYSTEM_STATE.+slice.+state.+changed )|(ment ac)|(multiple cpu faults)|(system.+state.+changed )|(\[timeout)|(PRM\|1\|D)|(kpr)|(kdp)|(\|lc)|(penalty))" /e /r /s</v>
      </c>
      <c r="AG125" s="1" t="str">
        <f t="shared" si="102"/>
        <v>EC</v>
      </c>
      <c r="AH125" s="88" t="str">
        <f t="shared" si="74"/>
        <v>"%USERPROFILE%\Documents\GitHub\eaglep3\Utilities\RefineRTDCRunTimes.py" --tripid 212-14 --locoid 4013 --swversion DE.1.0.8.0 --startMP 204:232988 --initTime 2017-01-14T18:19:06 --startdatetime 2017-01-14T18:26:24 --delay 1 --endMP 204:147 --enddatetime 2017-01-14T19:06:21 --enforcementcount 0 &gt;&gt;C:\Users\stu\Documents\GitHub\eaglep3-reporting\EC\2017-01-14-refined-times.txt</v>
      </c>
      <c r="AI125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{"issue":{"subject":"","project_id":79,"tracker_id":40,"status_id":1,"priority_id":2,"assigned_to_id":23,"start_date":"2017-01-14","description":"","custom_fields":[{"id":1,"name":"Subdivision","value":"EC"},{"id":4,"name":"Milepost","value":"0.0147"},{"id":17,"name":"Train ID","value":"212-14"},{"id":16,"name":"Locomotive ID","value":"4013"},{"id":130,"name":"Impact","value":""},{"id":150,"name":"Time of Event (Mountain Time)","value":"19:06:21"},{"id":151,"name":"Denver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76"/>
        <v>start /low /b %USERPROFILE%\Documents\GitHub\eaglep3\Utilities\DownloadLogsFromS3.py --loco 4013 --day 2017-01-14</v>
      </c>
      <c r="AN125" s="189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"%USERPROFILE%\AppData\Local\Temp\OnboardLogs"\RTDC4013\*4013*20170115* | grep -SE "(Enforcement Action)|(\[TIMEOUT)|(CHR.+\|PRM\|1\|D.+(SWITCH|SIGNAL).+UNKNOWN)" - &gt;&gt; 2017-01-14-UncaughtWiMAX.txt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614</v>
      </c>
      <c r="B126" s="7">
        <v>4031</v>
      </c>
      <c r="C126" s="22" t="s">
        <v>201</v>
      </c>
      <c r="D126" s="22" t="s">
        <v>252</v>
      </c>
      <c r="E126" s="13">
        <v>42749.737442129626</v>
      </c>
      <c r="F126" s="13">
        <v>42749.739849537036</v>
      </c>
      <c r="G126" s="7">
        <v>1</v>
      </c>
      <c r="H126" s="22" t="s">
        <v>339</v>
      </c>
      <c r="I126" s="13">
        <v>42749.764988425923</v>
      </c>
      <c r="J126" s="7">
        <v>0</v>
      </c>
      <c r="K126" s="105" t="str">
        <f t="shared" si="93"/>
        <v>4031/4032</v>
      </c>
      <c r="L126" s="22" t="str">
        <f>VLOOKUP(A126,'Trips&amp;Operators'!$C$1:$G$99999,5,FALSE)</f>
        <v>SMITH MICHAEL</v>
      </c>
      <c r="M126" s="6">
        <f t="shared" si="94"/>
        <v>2.5138888886431232E-2</v>
      </c>
      <c r="N126" s="7">
        <f t="shared" si="104"/>
        <v>36.199999996460974</v>
      </c>
      <c r="O126" s="7"/>
      <c r="P126" s="7"/>
      <c r="Q126" s="23"/>
      <c r="R126" s="23"/>
      <c r="S126" s="32">
        <f t="shared" si="105"/>
        <v>1</v>
      </c>
      <c r="T126" s="47" t="str">
        <f t="shared" si="95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16:41:55-700',mode:absolute,to:'2017-01-14 19:21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26" s="49" t="str">
        <f t="shared" si="96"/>
        <v>N</v>
      </c>
      <c r="X126" s="173">
        <f t="shared" si="103"/>
        <v>1</v>
      </c>
      <c r="Y126" s="64">
        <f t="shared" si="97"/>
        <v>4.4900000000000002E-2</v>
      </c>
      <c r="Z126" s="64">
        <f t="shared" ref="Z126:Z144" si="106">RIGHT(H126,LEN(H126)-4)/10000</f>
        <v>23.333100000000002</v>
      </c>
      <c r="AA126" s="64">
        <f t="shared" si="98"/>
        <v>23.288200000000003</v>
      </c>
      <c r="AB126" s="61" t="e">
        <f>VLOOKUP(A126,Enforcements!$C$7:$K$15,8,0)</f>
        <v>#N/A</v>
      </c>
      <c r="AC126" s="57" t="e">
        <f>VLOOKUP(A126,Enforcements!$C$7:$E$15,3,0)</f>
        <v>#N/A</v>
      </c>
      <c r="AD126" s="58" t="str">
        <f t="shared" si="99"/>
        <v>0213-14</v>
      </c>
      <c r="AE126" s="87" t="str">
        <f t="shared" si="100"/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AF126" s="84" t="str">
        <f t="shared" si="101"/>
        <v>"C:\Program Files (x86)\AstroGrep\AstroGrep.exe" /spath="%USERPROFILE%\AppData\Local\Temp\OnboardLogs" /stypes="app*4031*20170115*" /stext=" 01:.+((SYSTEM_STATE.+slice.+state.+changed )|(ment ac)|(multiple cpu faults)|(system.+state.+changed )|(\[timeout)|(PRM\|1\|D)|(kpr)|(kdp)|(\|lc)|(penalty))" /e /r /s</v>
      </c>
      <c r="AG126" s="1" t="str">
        <f t="shared" si="102"/>
        <v>EC</v>
      </c>
      <c r="AH126" s="88" t="str">
        <f t="shared" si="74"/>
        <v>"%USERPROFILE%\Documents\GitHub\eaglep3\Utilities\RefineRTDCRunTimes.py" --tripid 213-14 --locoid 4031 --swversion DE.1.0.8.0 --startMP 204:449 --initTime 2017-01-14T17:41:55 --startdatetime 2017-01-14T17:45:23 --delay 1 --endMP 204:233331 --enddatetime 2017-01-14T18:21:35 --enforcementcount 0 &gt;&gt;C:\Users\stu\Documents\GitHub\eaglep3-reporting\EC\2017-01-14-refined-times.txt</v>
      </c>
      <c r="AI126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{"issue":{"subject":"","project_id":79,"tracker_id":40,"status_id":1,"priority_id":2,"assigned_to_id":23,"start_date":"2017-01-14","description":"","custom_fields":[{"id":1,"name":"Subdivision","value":"EC"},{"id":4,"name":"Milepost","value":"23.3331"},{"id":17,"name":"Train ID","value":"213-14"},{"id":16,"name":"Locomotive ID","value":"4031"},{"id":130,"name":"Impact","value":""},{"id":150,"name":"Time of Event (Mountain Time)","value":"18:21:35"},{"id":151,"name":"Denver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76"/>
        <v>start /low /b %USERPROFILE%\Documents\GitHub\eaglep3\Utilities\DownloadLogsFromS3.py --loco 4031 --day 2017-01-14</v>
      </c>
      <c r="AN126" s="189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"%USERPROFILE%\AppData\Local\Temp\OnboardLogs"\RTDC4031\*4031*20170115* | grep -SE "(Enforcement Action)|(\[TIMEOUT)|(CHR.+\|PRM\|1\|D.+(SWITCH|SIGNAL).+UNKNOWN)" - &gt;&gt; 2017-01-14-UncaughtWiMAX.txt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4" t="s">
        <v>621</v>
      </c>
      <c r="B127" s="7">
        <v>4032</v>
      </c>
      <c r="C127" s="22" t="s">
        <v>201</v>
      </c>
      <c r="D127" s="22" t="s">
        <v>280</v>
      </c>
      <c r="E127" s="13">
        <v>42749.77</v>
      </c>
      <c r="F127" s="13">
        <v>42749.778726851851</v>
      </c>
      <c r="G127" s="7">
        <v>1</v>
      </c>
      <c r="H127" s="22" t="s">
        <v>298</v>
      </c>
      <c r="I127" s="13">
        <v>42749.805543981478</v>
      </c>
      <c r="J127" s="7">
        <v>0</v>
      </c>
      <c r="K127" s="105" t="str">
        <f t="shared" si="93"/>
        <v>4031/4032</v>
      </c>
      <c r="L127" s="22" t="str">
        <f>VLOOKUP(A127,'Trips&amp;Operators'!$C$1:$G$99999,5,FALSE)</f>
        <v>SMITH MICHAEL</v>
      </c>
      <c r="M127" s="6">
        <f t="shared" si="94"/>
        <v>2.6817129626579117E-2</v>
      </c>
      <c r="N127" s="7">
        <f t="shared" si="104"/>
        <v>38.616666662273929</v>
      </c>
      <c r="O127" s="7"/>
      <c r="P127" s="7"/>
      <c r="Q127" s="23"/>
      <c r="R127" s="23"/>
      <c r="S127" s="32">
        <f t="shared" si="105"/>
        <v>1</v>
      </c>
      <c r="T127" s="47" t="str">
        <f t="shared" si="95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17:28:48-700',mode:absolute,to:'2017-01-14 20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27" s="49" t="str">
        <f t="shared" si="96"/>
        <v>N</v>
      </c>
      <c r="X127" s="173">
        <f t="shared" si="103"/>
        <v>1</v>
      </c>
      <c r="Y127" s="64">
        <f t="shared" si="97"/>
        <v>23.2987</v>
      </c>
      <c r="Z127" s="64">
        <f t="shared" si="106"/>
        <v>1.54E-2</v>
      </c>
      <c r="AA127" s="64">
        <f t="shared" si="98"/>
        <v>23.283300000000001</v>
      </c>
      <c r="AB127" s="61" t="e">
        <f>VLOOKUP(A127,Enforcements!$C$7:$K$15,8,0)</f>
        <v>#N/A</v>
      </c>
      <c r="AC127" s="57" t="e">
        <f>VLOOKUP(A127,Enforcements!$C$7:$E$15,3,0)</f>
        <v>#N/A</v>
      </c>
      <c r="AD127" s="58" t="str">
        <f t="shared" si="99"/>
        <v>0214-14</v>
      </c>
      <c r="AE127" s="87" t="str">
        <f t="shared" si="100"/>
        <v>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 &amp; 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</v>
      </c>
      <c r="AF127" s="84" t="str">
        <f t="shared" si="101"/>
        <v>"C:\Program Files (x86)\AstroGrep\AstroGrep.exe" /spath="%USERPROFILE%\AppData\Local\Temp\OnboardLogs" /stypes="app*4032*20170115*" /stext=" 02:.+((SYSTEM_STATE.+slice.+state.+changed )|(ment ac)|(multiple cpu faults)|(system.+state.+changed )|(\[timeout)|(PRM\|1\|D)|(kpr)|(kdp)|(\|lc)|(penalty))" /e /r /s</v>
      </c>
      <c r="AG127" s="1" t="str">
        <f t="shared" si="102"/>
        <v>EC</v>
      </c>
      <c r="AH127" s="88" t="str">
        <f t="shared" si="74"/>
        <v>"%USERPROFILE%\Documents\GitHub\eaglep3\Utilities\RefineRTDCRunTimes.py" --tripid 214-14 --locoid 4032 --swversion DE.1.0.8.0 --startMP 204:232987 --initTime 2017-01-14T18:28:48 --startdatetime 2017-01-14T18:41:22 --delay 1 --endMP 204:154 --enddatetime 2017-01-14T19:19:59 --enforcementcount 0 &gt;&gt;C:\Users\stu\Documents\GitHub\eaglep3-reporting\EC\2017-01-14-refined-times.txt</v>
      </c>
      <c r="AI127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{"issue":{"subject":"","project_id":79,"tracker_id":40,"status_id":1,"priority_id":2,"assigned_to_id":23,"start_date":"2017-01-14","description":"","custom_fields":[{"id":1,"name":"Subdivision","value":"EC"},{"id":4,"name":"Milepost","value":"0.0154"},{"id":17,"name":"Train ID","value":"214-14"},{"id":16,"name":"Locomotive ID","value":"4032"},{"id":130,"name":"Impact","value":""},{"id":150,"name":"Time of Event (Mountain Time)","value":"19:19:59"},{"id":151,"name":"Denver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76"/>
        <v>start /low /b %USERPROFILE%\Documents\GitHub\eaglep3\Utilities\DownloadLogsFromS3.py --loco 4032 --day 2017-01-14</v>
      </c>
      <c r="AN127" s="189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"%USERPROFILE%\AppData\Local\Temp\OnboardLogs"\RTDC4032\*4032*20170115* | grep -SE "(Enforcement Action)|(\[TIMEOUT)|(CHR.+\|PRM\|1\|D.+(SWITCH|SIGNAL).+UNKNOWN)" - &gt;&gt; 2017-01-14-UncaughtWiMAX.txt</v>
      </c>
    </row>
    <row r="128" spans="1:91" s="21" customFormat="1" x14ac:dyDescent="0.25">
      <c r="A128" s="34" t="s">
        <v>615</v>
      </c>
      <c r="B128" s="7">
        <v>4038</v>
      </c>
      <c r="C128" s="22" t="s">
        <v>201</v>
      </c>
      <c r="D128" s="22" t="s">
        <v>308</v>
      </c>
      <c r="E128" s="13">
        <v>42749.745023148149</v>
      </c>
      <c r="F128" s="13">
        <v>42749.750277777777</v>
      </c>
      <c r="G128" s="7">
        <v>2</v>
      </c>
      <c r="H128" s="22" t="s">
        <v>281</v>
      </c>
      <c r="I128" s="13">
        <v>42749.776574074072</v>
      </c>
      <c r="J128" s="7">
        <v>0</v>
      </c>
      <c r="K128" s="105" t="str">
        <f t="shared" si="93"/>
        <v>4037/4038</v>
      </c>
      <c r="L128" s="22" t="str">
        <f>VLOOKUP(A128,'Trips&amp;Operators'!$C$1:$G$99999,5,FALSE)</f>
        <v>WHITED DUSTIN</v>
      </c>
      <c r="M128" s="6">
        <f t="shared" si="94"/>
        <v>2.6296296295186039E-2</v>
      </c>
      <c r="N128" s="7">
        <f t="shared" si="104"/>
        <v>37.866666665067896</v>
      </c>
      <c r="O128" s="7"/>
      <c r="P128" s="7"/>
      <c r="Q128" s="23"/>
      <c r="R128" s="23"/>
      <c r="S128" s="32">
        <f t="shared" si="105"/>
        <v>1</v>
      </c>
      <c r="T128" s="47" t="str">
        <f t="shared" si="95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16:52:50-700',mode:absolute,to:'2017-01-14 19:38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128" s="49" t="str">
        <f t="shared" si="96"/>
        <v>N</v>
      </c>
      <c r="X128" s="173">
        <f t="shared" si="103"/>
        <v>1</v>
      </c>
      <c r="Y128" s="64">
        <f t="shared" si="97"/>
        <v>4.4200000000000003E-2</v>
      </c>
      <c r="Z128" s="64">
        <f t="shared" si="106"/>
        <v>23.330100000000002</v>
      </c>
      <c r="AA128" s="64">
        <f t="shared" si="98"/>
        <v>23.285900000000002</v>
      </c>
      <c r="AB128" s="61" t="e">
        <f>VLOOKUP(A128,Enforcements!$C$7:$K$15,8,0)</f>
        <v>#N/A</v>
      </c>
      <c r="AC128" s="57" t="e">
        <f>VLOOKUP(A128,Enforcements!$C$7:$E$15,3,0)</f>
        <v>#N/A</v>
      </c>
      <c r="AD128" s="58" t="str">
        <f t="shared" si="99"/>
        <v>0215-14</v>
      </c>
      <c r="AE128" s="87" t="str">
        <f t="shared" si="100"/>
        <v>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 &amp; 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</v>
      </c>
      <c r="AF128" s="84" t="str">
        <f t="shared" si="101"/>
        <v>"C:\Program Files (x86)\AstroGrep\AstroGrep.exe" /spath="%USERPROFILE%\AppData\Local\Temp\OnboardLogs" /stypes="app*4038*20170115*" /stext=" 01:.+((SYSTEM_STATE.+slice.+state.+changed )|(ment ac)|(multiple cpu faults)|(system.+state.+changed )|(\[timeout)|(PRM\|1\|D)|(kpr)|(kdp)|(\|lc)|(penalty))" /e /r /s</v>
      </c>
      <c r="AG128" s="1" t="str">
        <f t="shared" si="102"/>
        <v>EC</v>
      </c>
      <c r="AH128" s="88" t="str">
        <f t="shared" si="74"/>
        <v>"%USERPROFILE%\Documents\GitHub\eaglep3\Utilities\RefineRTDCRunTimes.py" --tripid 215-14 --locoid 4038 --swversion DE.1.0.8.0 --startMP 204:442 --initTime 2017-01-14T17:52:50 --startdatetime 2017-01-14T18:00:24 --delay 2 --endMP 204:233301 --enddatetime 2017-01-14T18:38:16 --enforcementcount 0 &gt;&gt;C:\Users\stu\Documents\GitHub\eaglep3-reporting\EC\2017-01-14-refined-times.txt</v>
      </c>
      <c r="AI128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{"issue":{"subject":"","project_id":79,"tracker_id":40,"status_id":1,"priority_id":2,"assigned_to_id":23,"start_date":"2017-01-14","description":"","custom_fields":[{"id":1,"name":"Subdivision","value":"EC"},{"id":4,"name":"Milepost","value":"23.3301"},{"id":17,"name":"Train ID","value":"215-14"},{"id":16,"name":"Locomotive ID","value":"4038"},{"id":130,"name":"Impact","value":""},{"id":150,"name":"Time of Event (Mountain Time)","value":"18:38:16"},{"id":151,"name":"Denver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76"/>
        <v>start /low /b %USERPROFILE%\Documents\GitHub\eaglep3\Utilities\DownloadLogsFromS3.py --loco 4038 --day 2017-01-14</v>
      </c>
      <c r="AN128" s="189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"%USERPROFILE%\AppData\Local\Temp\OnboardLogs"\RTDC4038\*4038*20170115* | grep -SE "(Enforcement Action)|(\[TIMEOUT)|(CHR.+\|PRM\|1\|D.+(SWITCH|SIGNAL).+UNKNOWN)" - &gt;&gt; 2017-01-14-UncaughtWiMAX.txt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4" t="s">
        <v>448</v>
      </c>
      <c r="B129" s="7">
        <v>4037</v>
      </c>
      <c r="C129" s="22" t="s">
        <v>201</v>
      </c>
      <c r="D129" s="22" t="s">
        <v>307</v>
      </c>
      <c r="E129" s="13">
        <v>42749.782847222225</v>
      </c>
      <c r="F129" s="13">
        <v>42749.78943287037</v>
      </c>
      <c r="G129" s="7">
        <v>1</v>
      </c>
      <c r="H129" s="22" t="s">
        <v>737</v>
      </c>
      <c r="I129" s="13">
        <v>42749.816886574074</v>
      </c>
      <c r="J129" s="7">
        <v>0</v>
      </c>
      <c r="K129" s="105" t="str">
        <f t="shared" si="93"/>
        <v>4037/4038</v>
      </c>
      <c r="L129" s="22" t="str">
        <f>VLOOKUP(A129,'Trips&amp;Operators'!$C$1:$G$99999,5,FALSE)</f>
        <v>WHITED DUSTIN</v>
      </c>
      <c r="M129" s="6">
        <f t="shared" si="94"/>
        <v>2.7453703703940846E-2</v>
      </c>
      <c r="N129" s="7">
        <f t="shared" si="104"/>
        <v>39.533333333674818</v>
      </c>
      <c r="O129" s="7"/>
      <c r="P129" s="7"/>
      <c r="Q129" s="23"/>
      <c r="R129" s="23"/>
      <c r="S129" s="32">
        <f t="shared" si="105"/>
        <v>1</v>
      </c>
      <c r="T129" s="47" t="str">
        <f t="shared" si="95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17:47:18-700',mode:absolute,to:'2017-01-14 20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W129" s="49" t="str">
        <f t="shared" si="96"/>
        <v>N</v>
      </c>
      <c r="X129" s="173">
        <f t="shared" si="103"/>
        <v>1</v>
      </c>
      <c r="Y129" s="64">
        <f t="shared" si="97"/>
        <v>23.297499999999999</v>
      </c>
      <c r="Z129" s="64">
        <f t="shared" si="106"/>
        <v>1.24E-2</v>
      </c>
      <c r="AA129" s="64">
        <f t="shared" si="98"/>
        <v>23.2851</v>
      </c>
      <c r="AB129" s="61" t="e">
        <f>VLOOKUP(A129,Enforcements!$C$7:$K$15,8,0)</f>
        <v>#N/A</v>
      </c>
      <c r="AC129" s="57" t="e">
        <f>VLOOKUP(A129,Enforcements!$C$7:$E$15,3,0)</f>
        <v>#N/A</v>
      </c>
      <c r="AD129" s="58" t="str">
        <f t="shared" si="99"/>
        <v>0216-14</v>
      </c>
      <c r="AE129" s="87" t="str">
        <f t="shared" si="100"/>
        <v>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 &amp; 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</v>
      </c>
      <c r="AF129" s="84" t="str">
        <f t="shared" si="101"/>
        <v>"C:\Program Files (x86)\AstroGrep\AstroGrep.exe" /spath="%USERPROFILE%\AppData\Local\Temp\OnboardLogs" /stypes="app*4037*20170115*" /stext=" 02:.+((SYSTEM_STATE.+slice.+state.+changed )|(ment ac)|(multiple cpu faults)|(system.+state.+changed )|(\[timeout)|(PRM\|1\|D)|(kpr)|(kdp)|(\|lc)|(penalty))" /e /r /s</v>
      </c>
      <c r="AG129" s="1" t="str">
        <f t="shared" si="102"/>
        <v>EC</v>
      </c>
      <c r="AH129" s="88" t="str">
        <f t="shared" si="74"/>
        <v>"%USERPROFILE%\Documents\GitHub\eaglep3\Utilities\RefineRTDCRunTimes.py" --tripid 216-14 --locoid 4037 --swversion DE.1.0.8.0 --startMP 204:232975 --initTime 2017-01-14T18:47:18 --startdatetime 2017-01-14T18:56:47 --delay 1 --endMP 204:124 --enddatetime 2017-01-14T19:36:19 --enforcementcount 0 &gt;&gt;C:\Users\stu\Documents\GitHub\eaglep3-reporting\EC\2017-01-14-refined-times.txt</v>
      </c>
      <c r="AI129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{"issue":{"subject":"","project_id":79,"tracker_id":40,"status_id":1,"priority_id":2,"assigned_to_id":23,"start_date":"2017-01-14","description":"","custom_fields":[{"id":1,"name":"Subdivision","value":"EC"},{"id":4,"name":"Milepost","value":"0.0124"},{"id":17,"name":"Train ID","value":"216-14"},{"id":16,"name":"Locomotive ID","value":"4037"},{"id":130,"name":"Impact","value":""},{"id":150,"name":"Time of Event (Mountain Time)","value":"19:36:19"},{"id":151,"name":"Denver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76"/>
        <v>start /low /b %USERPROFILE%\Documents\GitHub\eaglep3\Utilities\DownloadLogsFromS3.py --loco 4037 --day 2017-01-14</v>
      </c>
      <c r="AN129" s="189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"%USERPROFILE%\AppData\Local\Temp\OnboardLogs"\RTDC4037\*4037*20170115* | grep -SE "(Enforcement Action)|(\[TIMEOUT)|(CHR.+\|PRM\|1\|D.+(SWITCH|SIGNAL).+UNKNOWN)" - &gt;&gt; 2017-01-14-UncaughtWiMAX.txt</v>
      </c>
    </row>
    <row r="130" spans="1:91" s="21" customFormat="1" x14ac:dyDescent="0.25">
      <c r="A130" s="34" t="s">
        <v>618</v>
      </c>
      <c r="B130" s="7">
        <v>4003</v>
      </c>
      <c r="C130" s="22" t="s">
        <v>201</v>
      </c>
      <c r="D130" s="22" t="s">
        <v>417</v>
      </c>
      <c r="E130" s="13">
        <v>42749.757835648146</v>
      </c>
      <c r="F130" s="13">
        <v>42749.760787037034</v>
      </c>
      <c r="G130" s="7">
        <v>1</v>
      </c>
      <c r="H130" s="22" t="s">
        <v>738</v>
      </c>
      <c r="I130" s="13">
        <v>42749.785405092596</v>
      </c>
      <c r="J130" s="7">
        <v>0</v>
      </c>
      <c r="K130" s="105" t="str">
        <f t="shared" si="93"/>
        <v>4003/4004</v>
      </c>
      <c r="L130" s="22" t="str">
        <f>VLOOKUP(A130,'Trips&amp;Operators'!$C$1:$G$99999,5,FALSE)</f>
        <v>STAMBAUGH JAMES</v>
      </c>
      <c r="M130" s="6">
        <f t="shared" si="94"/>
        <v>2.4618055562314112E-2</v>
      </c>
      <c r="N130" s="7">
        <f t="shared" si="104"/>
        <v>35.450000009732321</v>
      </c>
      <c r="O130" s="7"/>
      <c r="P130" s="7"/>
      <c r="Q130" s="23"/>
      <c r="R130" s="23"/>
      <c r="S130" s="32">
        <f t="shared" si="105"/>
        <v>1</v>
      </c>
      <c r="T130" s="47" t="str">
        <f t="shared" si="95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17:11:17-700',mode:absolute,to:'2017-01-14 19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130" s="49" t="str">
        <f t="shared" si="96"/>
        <v>N</v>
      </c>
      <c r="X130" s="173">
        <f t="shared" si="103"/>
        <v>1</v>
      </c>
      <c r="Y130" s="64">
        <f t="shared" si="97"/>
        <v>4.7100000000000003E-2</v>
      </c>
      <c r="Z130" s="64">
        <f t="shared" si="106"/>
        <v>23.336300000000001</v>
      </c>
      <c r="AA130" s="64">
        <f t="shared" si="98"/>
        <v>23.289200000000001</v>
      </c>
      <c r="AB130" s="61" t="e">
        <f>VLOOKUP(A130,Enforcements!$C$7:$K$15,8,0)</f>
        <v>#N/A</v>
      </c>
      <c r="AC130" s="57" t="e">
        <f>VLOOKUP(A130,Enforcements!$C$7:$E$15,3,0)</f>
        <v>#N/A</v>
      </c>
      <c r="AD130" s="58" t="str">
        <f t="shared" si="99"/>
        <v>0217-14</v>
      </c>
      <c r="AE130" s="87" t="str">
        <f t="shared" si="100"/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AF130" s="84" t="str">
        <f t="shared" si="101"/>
        <v>"C:\Program Files (x86)\AstroGrep\AstroGrep.exe" /spath="%USERPROFILE%\AppData\Local\Temp\OnboardLogs" /stypes="app*4003*20170115*" /stext=" 01:.+((SYSTEM_STATE.+slice.+state.+changed )|(ment ac)|(multiple cpu faults)|(system.+state.+changed )|(\[timeout)|(PRM\|1\|D)|(kpr)|(kdp)|(\|lc)|(penalty))" /e /r /s</v>
      </c>
      <c r="AG130" s="1" t="str">
        <f t="shared" si="102"/>
        <v>EC</v>
      </c>
      <c r="AH130" s="88" t="str">
        <f t="shared" si="74"/>
        <v>"%USERPROFILE%\Documents\GitHub\eaglep3\Utilities\RefineRTDCRunTimes.py" --tripid 217-14 --locoid 4003 --swversion DE.1.0.8.0 --startMP 204:471 --initTime 2017-01-14T18:11:17 --startdatetime 2017-01-14T18:15:32 --delay 1 --endMP 204:233363 --enddatetime 2017-01-14T18:50:59 --enforcementcount 0 &gt;&gt;C:\Users\stu\Documents\GitHub\eaglep3-reporting\EC\2017-01-14-refined-times.txt</v>
      </c>
      <c r="AI130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{"issue":{"subject":"","project_id":79,"tracker_id":40,"status_id":1,"priority_id":2,"assigned_to_id":23,"start_date":"2017-01-14","description":"","custom_fields":[{"id":1,"name":"Subdivision","value":"EC"},{"id":4,"name":"Milepost","value":"23.3363"},{"id":17,"name":"Train ID","value":"217-14"},{"id":16,"name":"Locomotive ID","value":"4003"},{"id":130,"name":"Impact","value":""},{"id":150,"name":"Time of Event (Mountain Time)","value":"18:50:59"},{"id":151,"name":"Denver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76"/>
        <v>start /low /b %USERPROFILE%\Documents\GitHub\eaglep3\Utilities\DownloadLogsFromS3.py --loco 4003 --day 2017-01-14</v>
      </c>
      <c r="AN130" s="189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"%USERPROFILE%\AppData\Local\Temp\OnboardLogs"\RTDC4003\*4003*20170115* | grep -SE "(Enforcement Action)|(\[TIMEOUT)|(CHR.+\|PRM\|1\|D.+(SWITCH|SIGNAL).+UNKNOWN)" - &gt;&gt; 2017-01-14-UncaughtWiMAX.txt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625</v>
      </c>
      <c r="B131" s="7">
        <v>4004</v>
      </c>
      <c r="C131" s="22" t="s">
        <v>201</v>
      </c>
      <c r="D131" s="22" t="s">
        <v>341</v>
      </c>
      <c r="E131" s="13">
        <v>42749.789652777778</v>
      </c>
      <c r="F131" s="13">
        <v>42749.799837962964</v>
      </c>
      <c r="G131" s="7">
        <v>1</v>
      </c>
      <c r="H131" s="22" t="s">
        <v>191</v>
      </c>
      <c r="I131" s="13">
        <v>42749.825810185182</v>
      </c>
      <c r="J131" s="7">
        <v>0</v>
      </c>
      <c r="K131" s="105" t="str">
        <f t="shared" si="93"/>
        <v>4003/4004</v>
      </c>
      <c r="L131" s="22" t="str">
        <f>VLOOKUP(A131,'Trips&amp;Operators'!$C$1:$G$99999,5,FALSE)</f>
        <v>STAMBAUGH JAMES</v>
      </c>
      <c r="M131" s="6">
        <f t="shared" si="94"/>
        <v>2.5972222218115348E-2</v>
      </c>
      <c r="N131" s="7">
        <f t="shared" si="104"/>
        <v>37.399999994086102</v>
      </c>
      <c r="O131" s="7"/>
      <c r="P131" s="7"/>
      <c r="Q131" s="23"/>
      <c r="R131" s="23"/>
      <c r="S131" s="32">
        <f t="shared" si="105"/>
        <v>1</v>
      </c>
      <c r="T131" s="47" t="str">
        <f t="shared" si="95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17:57:06-700',mode:absolute,to:'2017-01-14 20:49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131" s="49" t="str">
        <f t="shared" si="96"/>
        <v>N</v>
      </c>
      <c r="X131" s="173">
        <f t="shared" si="103"/>
        <v>1</v>
      </c>
      <c r="Y131" s="64">
        <f t="shared" si="97"/>
        <v>23.305499999999999</v>
      </c>
      <c r="Z131" s="64">
        <f t="shared" si="106"/>
        <v>1.49E-2</v>
      </c>
      <c r="AA131" s="64">
        <f t="shared" si="98"/>
        <v>23.290599999999998</v>
      </c>
      <c r="AB131" s="61" t="e">
        <f>VLOOKUP(A131,Enforcements!$C$7:$K$15,8,0)</f>
        <v>#N/A</v>
      </c>
      <c r="AC131" s="57" t="e">
        <f>VLOOKUP(A131,Enforcements!$C$7:$E$15,3,0)</f>
        <v>#N/A</v>
      </c>
      <c r="AD131" s="58" t="str">
        <f t="shared" si="99"/>
        <v>0218-14</v>
      </c>
      <c r="AE131" s="87" t="str">
        <f t="shared" si="100"/>
        <v>aws s3 cp s3://rtdc.mdm.uploadarchive.raw/RTDC4004/ "%USERPROFILE%\AppData\Local\Temp\OnboardLogs"\RTDC4004\2017-01-14 --exclude "*" --recursive --include "*20170114*" &amp; "%USERPROFILE%\Documents\GitHub\mrs-test-scripts\Headless Mode &amp; Sideloading\WalkAndUnGZ.bat" "%USERPROFILE%\AppData\Local\Temp\OnboardLogs"\RTDC4004\2017-01-14 &amp; aws s3 cp s3://rtdc.mdm.uploadarchive.raw/RTDC4004/ "%USERPROFILE%\AppData\Local\Temp\OnboardLogs"\RTDC4004\2017-01-15 --exclude "*" --recursive --include "*20170115*" &amp; "%USERPROFILE%\Documents\GitHub\mrs-test-scripts\Headless Mode &amp; Sideloading\WalkAndUnGZ.bat" "%USERPROFILE%\AppData\Local\Temp\OnboardLogs"\RTDC4004\2017-01-15</v>
      </c>
      <c r="AF131" s="84" t="str">
        <f t="shared" si="101"/>
        <v>"C:\Program Files (x86)\AstroGrep\AstroGrep.exe" /spath="%USERPROFILE%\AppData\Local\Temp\OnboardLogs" /stypes="app*4004*20170115*" /stext=" 02:.+((SYSTEM_STATE.+slice.+state.+changed )|(ment ac)|(multiple cpu faults)|(system.+state.+changed )|(\[timeout)|(PRM\|1\|D)|(kpr)|(kdp)|(\|lc)|(penalty))" /e /r /s</v>
      </c>
      <c r="AG131" s="1" t="str">
        <f t="shared" si="102"/>
        <v>EC</v>
      </c>
      <c r="AH131" s="88" t="str">
        <f t="shared" si="74"/>
        <v>"%USERPROFILE%\Documents\GitHub\eaglep3\Utilities\RefineRTDCRunTimes.py" --tripid 218-14 --locoid 4004 --swversion DE.1.0.8.0 --startMP 204:233055 --initTime 2017-01-14T18:57:06 --startdatetime 2017-01-14T19:11:46 --delay 1 --endMP 204:149 --enddatetime 2017-01-14T19:49:10 --enforcementcount 0 &gt;&gt;C:\Users\stu\Documents\GitHub\eaglep3-reporting\EC\2017-01-14-refined-times.txt</v>
      </c>
      <c r="AI131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{"issue":{"subject":"","project_id":79,"tracker_id":40,"status_id":1,"priority_id":2,"assigned_to_id":23,"start_date":"2017-01-14","description":"","custom_fields":[{"id":1,"name":"Subdivision","value":"EC"},{"id":4,"name":"Milepost","value":"0.0149"},{"id":17,"name":"Train ID","value":"218-14"},{"id":16,"name":"Locomotive ID","value":"4004"},{"id":130,"name":"Impact","value":""},{"id":150,"name":"Time of Event (Mountain Time)","value":"19:49:10"},{"id":151,"name":"Denver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76"/>
        <v>start /low /b %USERPROFILE%\Documents\GitHub\eaglep3\Utilities\DownloadLogsFromS3.py --loco 4004 --day 2017-01-14</v>
      </c>
      <c r="AN131" s="189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"%USERPROFILE%\AppData\Local\Temp\OnboardLogs"\RTDC4004\*4004*20170115* | grep -SE "(Enforcement Action)|(\[TIMEOUT)|(CHR.+\|PRM\|1\|D.+(SWITCH|SIGNAL).+UNKNOWN)" - &gt;&gt; 2017-01-14-UncaughtWiMAX.txt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620</v>
      </c>
      <c r="B132" s="7">
        <v>4027</v>
      </c>
      <c r="C132" s="22" t="s">
        <v>201</v>
      </c>
      <c r="D132" s="22" t="s">
        <v>323</v>
      </c>
      <c r="E132" s="13">
        <v>42749.766446759262</v>
      </c>
      <c r="F132" s="13">
        <v>42749.771273148152</v>
      </c>
      <c r="G132" s="7">
        <v>1</v>
      </c>
      <c r="H132" s="22" t="s">
        <v>340</v>
      </c>
      <c r="I132" s="13">
        <v>42749.796423611115</v>
      </c>
      <c r="J132" s="7">
        <v>0</v>
      </c>
      <c r="K132" s="105" t="str">
        <f t="shared" si="93"/>
        <v>4027/4028</v>
      </c>
      <c r="L132" s="22" t="str">
        <f>VLOOKUP(A132,'Trips&amp;Operators'!$C$1:$G$99999,5,FALSE)</f>
        <v>HILLS DUSTIN</v>
      </c>
      <c r="M132" s="6">
        <f t="shared" si="94"/>
        <v>2.5150462963210884E-2</v>
      </c>
      <c r="N132" s="7">
        <f t="shared" si="104"/>
        <v>36.216666667023674</v>
      </c>
      <c r="O132" s="7"/>
      <c r="P132" s="7"/>
      <c r="Q132" s="23"/>
      <c r="R132" s="23"/>
      <c r="S132" s="32">
        <f t="shared" si="105"/>
        <v>1</v>
      </c>
      <c r="T132" s="47" t="str">
        <f t="shared" si="95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17:23:41-700',mode:absolute,to:'2017-01-14 20:06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32" s="49" t="str">
        <f t="shared" si="96"/>
        <v>N</v>
      </c>
      <c r="X132" s="173">
        <f t="shared" si="103"/>
        <v>1</v>
      </c>
      <c r="Y132" s="64">
        <f t="shared" si="97"/>
        <v>4.5999999999999999E-2</v>
      </c>
      <c r="Z132" s="64">
        <f t="shared" si="106"/>
        <v>23.337199999999999</v>
      </c>
      <c r="AA132" s="64">
        <f t="shared" si="98"/>
        <v>23.2912</v>
      </c>
      <c r="AB132" s="61" t="e">
        <f>VLOOKUP(A132,Enforcements!$C$7:$K$15,8,0)</f>
        <v>#N/A</v>
      </c>
      <c r="AC132" s="57" t="e">
        <f>VLOOKUP(A132,Enforcements!$C$7:$E$15,3,0)</f>
        <v>#N/A</v>
      </c>
      <c r="AD132" s="58" t="str">
        <f t="shared" si="99"/>
        <v>0219-14</v>
      </c>
      <c r="AE132" s="87" t="str">
        <f t="shared" si="100"/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AF132" s="84" t="str">
        <f t="shared" si="101"/>
        <v>"C:\Program Files (x86)\AstroGrep\AstroGrep.exe" /spath="%USERPROFILE%\AppData\Local\Temp\OnboardLogs" /stypes="app*4027*20170115*" /stext=" 02:.+((SYSTEM_STATE.+slice.+state.+changed )|(ment ac)|(multiple cpu faults)|(system.+state.+changed )|(\[timeout)|(PRM\|1\|D)|(kpr)|(kdp)|(\|lc)|(penalty))" /e /r /s</v>
      </c>
      <c r="AG132" s="1" t="str">
        <f t="shared" si="102"/>
        <v>EC</v>
      </c>
      <c r="AH132" s="88" t="str">
        <f t="shared" si="74"/>
        <v>"%USERPROFILE%\Documents\GitHub\eaglep3\Utilities\RefineRTDCRunTimes.py" --tripid 219-14 --locoid 4027 --swversion DE.1.0.8.0 --startMP 204:460 --initTime 2017-01-14T18:23:41 --startdatetime 2017-01-14T18:30:38 --delay 1 --endMP 204:233372 --enddatetime 2017-01-14T19:06:51 --enforcementcount 0 &gt;&gt;C:\Users\stu\Documents\GitHub\eaglep3-reporting\EC\2017-01-14-refined-times.txt</v>
      </c>
      <c r="AI132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{"issue":{"subject":"","project_id":79,"tracker_id":40,"status_id":1,"priority_id":2,"assigned_to_id":23,"start_date":"2017-01-14","description":"","custom_fields":[{"id":1,"name":"Subdivision","value":"EC"},{"id":4,"name":"Milepost","value":"23.3372"},{"id":17,"name":"Train ID","value":"219-14"},{"id":16,"name":"Locomotive ID","value":"4027"},{"id":130,"name":"Impact","value":""},{"id":150,"name":"Time of Event (Mountain Time)","value":"19:06:51"},{"id":151,"name":"Denver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76"/>
        <v>start /low /b %USERPROFILE%\Documents\GitHub\eaglep3\Utilities\DownloadLogsFromS3.py --loco 4027 --day 2017-01-14</v>
      </c>
      <c r="AN132" s="189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"%USERPROFILE%\AppData\Local\Temp\OnboardLogs"\RTDC4027\*4027*20170115* | grep -SE "(Enforcement Action)|(\[TIMEOUT)|(CHR.+\|PRM\|1\|D.+(SWITCH|SIGNAL).+UNKNOWN)" - &gt;&gt; 2017-01-14-UncaughtWiMAX.txt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628</v>
      </c>
      <c r="B133" s="7">
        <v>4028</v>
      </c>
      <c r="C133" s="22" t="s">
        <v>201</v>
      </c>
      <c r="D133" s="22" t="s">
        <v>739</v>
      </c>
      <c r="E133" s="13">
        <v>42749.802754629629</v>
      </c>
      <c r="F133" s="13">
        <v>42749.810046296298</v>
      </c>
      <c r="G133" s="7">
        <v>1</v>
      </c>
      <c r="H133" s="22" t="s">
        <v>740</v>
      </c>
      <c r="I133" s="13">
        <v>42749.835810185185</v>
      </c>
      <c r="J133" s="7">
        <v>0</v>
      </c>
      <c r="K133" s="105" t="str">
        <f t="shared" si="93"/>
        <v>4027/4028</v>
      </c>
      <c r="L133" s="22" t="str">
        <f>VLOOKUP(A133,'Trips&amp;Operators'!$C$1:$G$99999,5,FALSE)</f>
        <v>HILLS DUSTIN</v>
      </c>
      <c r="M133" s="6">
        <f t="shared" si="94"/>
        <v>2.5763888887013309E-2</v>
      </c>
      <c r="N133" s="7">
        <f t="shared" si="104"/>
        <v>37.099999997299165</v>
      </c>
      <c r="O133" s="7"/>
      <c r="P133" s="7"/>
      <c r="Q133" s="23"/>
      <c r="R133" s="23"/>
      <c r="S133" s="32">
        <f t="shared" si="105"/>
        <v>1</v>
      </c>
      <c r="T133" s="47" t="str">
        <f t="shared" si="95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18:15:58-700',mode:absolute,to:'2017-01-14 21:03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133" s="49" t="str">
        <f t="shared" si="96"/>
        <v>N</v>
      </c>
      <c r="X133" s="173">
        <f t="shared" si="103"/>
        <v>1</v>
      </c>
      <c r="Y133" s="64">
        <f t="shared" si="97"/>
        <v>23.309000000000001</v>
      </c>
      <c r="Z133" s="64">
        <f t="shared" si="106"/>
        <v>1.0699999999999999E-2</v>
      </c>
      <c r="AA133" s="64">
        <f t="shared" si="98"/>
        <v>23.298300000000001</v>
      </c>
      <c r="AB133" s="61" t="e">
        <f>VLOOKUP(A133,Enforcements!$C$7:$K$15,8,0)</f>
        <v>#N/A</v>
      </c>
      <c r="AC133" s="57" t="e">
        <f>VLOOKUP(A133,Enforcements!$C$7:$E$15,3,0)</f>
        <v>#N/A</v>
      </c>
      <c r="AD133" s="58" t="str">
        <f t="shared" si="99"/>
        <v>0220-14</v>
      </c>
      <c r="AE133" s="87" t="str">
        <f t="shared" si="100"/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AF133" s="84" t="str">
        <f t="shared" si="101"/>
        <v>"C:\Program Files (x86)\AstroGrep\AstroGrep.exe" /spath="%USERPROFILE%\AppData\Local\Temp\OnboardLogs" /stypes="app*4028*20170115*" /stext=" 03:.+((SYSTEM_STATE.+slice.+state.+changed )|(ment ac)|(multiple cpu faults)|(system.+state.+changed )|(\[timeout)|(PRM\|1\|D)|(kpr)|(kdp)|(\|lc)|(penalty))" /e /r /s</v>
      </c>
      <c r="AG133" s="1" t="str">
        <f t="shared" si="102"/>
        <v>EC</v>
      </c>
      <c r="AH133" s="88" t="str">
        <f t="shared" si="74"/>
        <v>"%USERPROFILE%\Documents\GitHub\eaglep3\Utilities\RefineRTDCRunTimes.py" --tripid 220-14 --locoid 4028 --swversion DE.1.0.8.0 --startMP 204:233090 --initTime 2017-01-14T19:15:58 --startdatetime 2017-01-14T19:26:28 --delay 1 --endMP 204:107 --enddatetime 2017-01-14T20:03:34 --enforcementcount 0 &gt;&gt;C:\Users\stu\Documents\GitHub\eaglep3-reporting\EC\2017-01-14-refined-times.txt</v>
      </c>
      <c r="AI133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{"issue":{"subject":"","project_id":79,"tracker_id":40,"status_id":1,"priority_id":2,"assigned_to_id":23,"start_date":"2017-01-14","description":"","custom_fields":[{"id":1,"name":"Subdivision","value":"EC"},{"id":4,"name":"Milepost","value":"0.0107"},{"id":17,"name":"Train ID","value":"220-14"},{"id":16,"name":"Locomotive ID","value":"4028"},{"id":130,"name":"Impact","value":""},{"id":150,"name":"Time of Event (Mountain Time)","value":"20:03:34"},{"id":151,"name":"Denver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76"/>
        <v>start /low /b %USERPROFILE%\Documents\GitHub\eaglep3\Utilities\DownloadLogsFromS3.py --loco 4028 --day 2017-01-14</v>
      </c>
      <c r="AN133" s="189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"%USERPROFILE%\AppData\Local\Temp\OnboardLogs"\RTDC4028\*4028*20170115* | grep -SE "(Enforcement Action)|(\[TIMEOUT)|(CHR.+\|PRM\|1\|D.+(SWITCH|SIGNAL).+UNKNOWN)" - &gt;&gt; 2017-01-14-UncaughtWiMAX.txt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624</v>
      </c>
      <c r="B134" s="7">
        <v>4018</v>
      </c>
      <c r="C134" s="22" t="s">
        <v>201</v>
      </c>
      <c r="D134" s="22" t="s">
        <v>695</v>
      </c>
      <c r="E134" s="13">
        <v>42749.785763888889</v>
      </c>
      <c r="F134" s="13">
        <v>42749.791828703703</v>
      </c>
      <c r="G134" s="7">
        <v>1</v>
      </c>
      <c r="H134" s="22" t="s">
        <v>741</v>
      </c>
      <c r="I134" s="13">
        <v>42749.817152777781</v>
      </c>
      <c r="J134" s="7">
        <v>0</v>
      </c>
      <c r="K134" s="105" t="str">
        <f t="shared" si="93"/>
        <v>4017/4018</v>
      </c>
      <c r="L134" s="22" t="str">
        <f>VLOOKUP(A134,'Trips&amp;Operators'!$C$1:$G$99999,5,FALSE)</f>
        <v>BROWN JACOB</v>
      </c>
      <c r="M134" s="6">
        <f t="shared" si="94"/>
        <v>2.5324074078525882E-2</v>
      </c>
      <c r="N134" s="7">
        <f t="shared" si="104"/>
        <v>36.46666667307727</v>
      </c>
      <c r="O134" s="7"/>
      <c r="P134" s="7"/>
      <c r="Q134" s="23"/>
      <c r="R134" s="23"/>
      <c r="S134" s="32">
        <f t="shared" si="105"/>
        <v>1</v>
      </c>
      <c r="T134" s="47" t="str">
        <f t="shared" si="95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17:51:30-700',mode:absolute,to:'2017-01-14 20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134" s="49" t="str">
        <f t="shared" si="96"/>
        <v>N</v>
      </c>
      <c r="X134" s="173">
        <f t="shared" si="103"/>
        <v>1</v>
      </c>
      <c r="Y134" s="64">
        <f t="shared" si="97"/>
        <v>4.24E-2</v>
      </c>
      <c r="Z134" s="64">
        <f t="shared" si="106"/>
        <v>23.333400000000001</v>
      </c>
      <c r="AA134" s="64">
        <f t="shared" si="98"/>
        <v>23.291</v>
      </c>
      <c r="AB134" s="61" t="e">
        <f>VLOOKUP(A134,Enforcements!$C$7:$K$15,8,0)</f>
        <v>#N/A</v>
      </c>
      <c r="AC134" s="57" t="e">
        <f>VLOOKUP(A134,Enforcements!$C$7:$E$15,3,0)</f>
        <v>#N/A</v>
      </c>
      <c r="AD134" s="58" t="str">
        <f t="shared" si="99"/>
        <v>0221-14</v>
      </c>
      <c r="AE134" s="87" t="str">
        <f t="shared" si="100"/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AF134" s="84" t="str">
        <f t="shared" si="101"/>
        <v>"C:\Program Files (x86)\AstroGrep\AstroGrep.exe" /spath="%USERPROFILE%\AppData\Local\Temp\OnboardLogs" /stypes="app*4018*20170115*" /stext=" 02:.+((SYSTEM_STATE.+slice.+state.+changed )|(ment ac)|(multiple cpu faults)|(system.+state.+changed )|(\[timeout)|(PRM\|1\|D)|(kpr)|(kdp)|(\|lc)|(penalty))" /e /r /s</v>
      </c>
      <c r="AG134" s="1" t="str">
        <f t="shared" si="102"/>
        <v>EC</v>
      </c>
      <c r="AH134" s="88" t="str">
        <f t="shared" si="74"/>
        <v>"%USERPROFILE%\Documents\GitHub\eaglep3\Utilities\RefineRTDCRunTimes.py" --tripid 221-14 --locoid 4018 --swversion DE.1.0.8.0 --startMP 204:424 --initTime 2017-01-14T18:51:30 --startdatetime 2017-01-14T19:00:14 --delay 1 --endMP 204:233334 --enddatetime 2017-01-14T19:36:42 --enforcementcount 0 &gt;&gt;C:\Users\stu\Documents\GitHub\eaglep3-reporting\EC\2017-01-14-refined-times.txt</v>
      </c>
      <c r="AI134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{"issue":{"subject":"","project_id":79,"tracker_id":40,"status_id":1,"priority_id":2,"assigned_to_id":23,"start_date":"2017-01-14","description":"","custom_fields":[{"id":1,"name":"Subdivision","value":"EC"},{"id":4,"name":"Milepost","value":"23.3334"},{"id":17,"name":"Train ID","value":"221-14"},{"id":16,"name":"Locomotive ID","value":"4018"},{"id":130,"name":"Impact","value":""},{"id":150,"name":"Time of Event (Mountain Time)","value":"19:36:42"},{"id":151,"name":"Denver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76"/>
        <v>start /low /b %USERPROFILE%\Documents\GitHub\eaglep3\Utilities\DownloadLogsFromS3.py --loco 4018 --day 2017-01-14</v>
      </c>
      <c r="AN134" s="189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"%USERPROFILE%\AppData\Local\Temp\OnboardLogs"\RTDC4018\*4018*20170115* | grep -SE "(Enforcement Action)|(\[TIMEOUT)|(CHR.+\|PRM\|1\|D.+(SWITCH|SIGNAL).+UNKNOWN)" - &gt;&gt; 2017-01-14-UncaughtWiMAX.txt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632</v>
      </c>
      <c r="B135" s="7">
        <v>4017</v>
      </c>
      <c r="C135" s="22" t="s">
        <v>201</v>
      </c>
      <c r="D135" s="22" t="s">
        <v>411</v>
      </c>
      <c r="E135" s="13">
        <v>42749.82712962963</v>
      </c>
      <c r="F135" s="13">
        <v>42749.832881944443</v>
      </c>
      <c r="G135" s="7">
        <v>1</v>
      </c>
      <c r="H135" s="22" t="s">
        <v>321</v>
      </c>
      <c r="I135" s="13">
        <v>42749.859155092592</v>
      </c>
      <c r="J135" s="7">
        <v>0</v>
      </c>
      <c r="K135" s="105" t="str">
        <f t="shared" si="93"/>
        <v>4017/4018</v>
      </c>
      <c r="L135" s="22" t="str">
        <f>VLOOKUP(A135,'Trips&amp;Operators'!$C$1:$G$99999,5,FALSE)</f>
        <v>BROWN JACOB</v>
      </c>
      <c r="M135" s="6">
        <f t="shared" si="94"/>
        <v>2.6273148148902692E-2</v>
      </c>
      <c r="N135" s="7">
        <f t="shared" si="104"/>
        <v>37.833333334419876</v>
      </c>
      <c r="O135" s="7"/>
      <c r="P135" s="7"/>
      <c r="Q135" s="23"/>
      <c r="R135" s="23"/>
      <c r="S135" s="32">
        <f t="shared" si="105"/>
        <v>1</v>
      </c>
      <c r="T135" s="47" t="str">
        <f t="shared" si="95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18:51:04-700',mode:absolute,to:'2017-01-14 21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135" s="49" t="str">
        <f t="shared" si="96"/>
        <v>N</v>
      </c>
      <c r="X135" s="173">
        <f t="shared" si="103"/>
        <v>1</v>
      </c>
      <c r="Y135" s="64">
        <f t="shared" si="97"/>
        <v>23.300999999999998</v>
      </c>
      <c r="Z135" s="64">
        <f t="shared" si="106"/>
        <v>1.29E-2</v>
      </c>
      <c r="AA135" s="64">
        <f t="shared" si="98"/>
        <v>23.2881</v>
      </c>
      <c r="AB135" s="61" t="e">
        <f>VLOOKUP(A135,Enforcements!$C$7:$K$15,8,0)</f>
        <v>#N/A</v>
      </c>
      <c r="AC135" s="57" t="e">
        <f>VLOOKUP(A135,Enforcements!$C$7:$E$15,3,0)</f>
        <v>#N/A</v>
      </c>
      <c r="AD135" s="58" t="str">
        <f t="shared" si="99"/>
        <v>0222-14</v>
      </c>
      <c r="AE135" s="87" t="str">
        <f t="shared" si="100"/>
        <v>aws s3 cp s3://rtdc.mdm.uploadarchive.raw/RTDC4017/ "%USERPROFILE%\AppData\Local\Temp\OnboardLogs"\RTDC4017\2017-01-14 --exclude "*" --recursive --include "*20170114*" &amp; "%USERPROFILE%\Documents\GitHub\mrs-test-scripts\Headless Mode &amp; Sideloading\WalkAndUnGZ.bat" "%USERPROFILE%\AppData\Local\Temp\OnboardLogs"\RTDC4017\2017-01-14 &amp; aws s3 cp s3://rtdc.mdm.uploadarchive.raw/RTDC4017/ "%USERPROFILE%\AppData\Local\Temp\OnboardLogs"\RTDC4017\2017-01-15 --exclude "*" --recursive --include "*20170115*" &amp; "%USERPROFILE%\Documents\GitHub\mrs-test-scripts\Headless Mode &amp; Sideloading\WalkAndUnGZ.bat" "%USERPROFILE%\AppData\Local\Temp\OnboardLogs"\RTDC4017\2017-01-15</v>
      </c>
      <c r="AF135" s="84" t="str">
        <f t="shared" si="101"/>
        <v>"C:\Program Files (x86)\AstroGrep\AstroGrep.exe" /spath="%USERPROFILE%\AppData\Local\Temp\OnboardLogs" /stypes="app*4017*20170115*" /stext=" 03:.+((SYSTEM_STATE.+slice.+state.+changed )|(ment ac)|(multiple cpu faults)|(system.+state.+changed )|(\[timeout)|(PRM\|1\|D)|(kpr)|(kdp)|(\|lc)|(penalty))" /e /r /s</v>
      </c>
      <c r="AG135" s="1" t="str">
        <f t="shared" si="102"/>
        <v>EC</v>
      </c>
      <c r="AH135" s="88" t="str">
        <f t="shared" si="74"/>
        <v>"%USERPROFILE%\Documents\GitHub\eaglep3\Utilities\RefineRTDCRunTimes.py" --tripid 222-14 --locoid 4017 --swversion DE.1.0.8.0 --startMP 204:233010 --initTime 2017-01-14T19:51:04 --startdatetime 2017-01-14T19:59:21 --delay 1 --endMP 204:129 --enddatetime 2017-01-14T20:37:11 --enforcementcount 0 &gt;&gt;C:\Users\stu\Documents\GitHub\eaglep3-reporting\EC\2017-01-14-refined-times.txt</v>
      </c>
      <c r="AI135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{"issue":{"subject":"","project_id":79,"tracker_id":40,"status_id":1,"priority_id":2,"assigned_to_id":23,"start_date":"2017-01-14","description":"","custom_fields":[{"id":1,"name":"Subdivision","value":"EC"},{"id":4,"name":"Milepost","value":"0.0129"},{"id":17,"name":"Train ID","value":"222-14"},{"id":16,"name":"Locomotive ID","value":"4017"},{"id":130,"name":"Impact","value":""},{"id":150,"name":"Time of Event (Mountain Time)","value":"20:37:11"},{"id":151,"name":"Denver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76"/>
        <v>start /low /b %USERPROFILE%\Documents\GitHub\eaglep3\Utilities\DownloadLogsFromS3.py --loco 4017 --day 2017-01-14</v>
      </c>
      <c r="AN135" s="189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"%USERPROFILE%\AppData\Local\Temp\OnboardLogs"\RTDC4017\*4017*20170115* | grep -SE "(Enforcement Action)|(\[TIMEOUT)|(CHR.+\|PRM\|1\|D.+(SWITCH|SIGNAL).+UNKNOWN)" - &gt;&gt; 2017-01-14-UncaughtWiMAX.txt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629</v>
      </c>
      <c r="B136" s="7">
        <v>4031</v>
      </c>
      <c r="C136" s="22" t="s">
        <v>201</v>
      </c>
      <c r="D136" s="22" t="s">
        <v>221</v>
      </c>
      <c r="E136" s="13">
        <v>42749.808831018519</v>
      </c>
      <c r="F136" s="13">
        <v>42749.851643518516</v>
      </c>
      <c r="G136" s="7">
        <v>1</v>
      </c>
      <c r="H136" s="22" t="s">
        <v>412</v>
      </c>
      <c r="I136" s="13">
        <v>42749.87835648148</v>
      </c>
      <c r="J136" s="7">
        <v>0</v>
      </c>
      <c r="K136" s="105" t="str">
        <f t="shared" si="93"/>
        <v>4031/4032</v>
      </c>
      <c r="L136" s="22" t="str">
        <f>VLOOKUP(A136,'Trips&amp;Operators'!$C$1:$G$99999,5,FALSE)</f>
        <v>SMITH MICHAEL</v>
      </c>
      <c r="M136" s="6">
        <f t="shared" si="94"/>
        <v>2.6712962964666076E-2</v>
      </c>
      <c r="N136" s="7">
        <f t="shared" si="104"/>
        <v>38.466666669119149</v>
      </c>
      <c r="O136" s="7"/>
      <c r="P136" s="7"/>
      <c r="Q136" s="23"/>
      <c r="R136" s="23"/>
      <c r="S136" s="32">
        <f t="shared" si="105"/>
        <v>1</v>
      </c>
      <c r="T136" s="47" t="str">
        <f t="shared" si="95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18:24:43-700',mode:absolute,to:'2017-01-14 22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36" s="49" t="str">
        <f t="shared" si="96"/>
        <v>N</v>
      </c>
      <c r="X136" s="173">
        <f t="shared" si="103"/>
        <v>1</v>
      </c>
      <c r="Y136" s="64">
        <f t="shared" si="97"/>
        <v>4.5499999999999999E-2</v>
      </c>
      <c r="Z136" s="64">
        <f t="shared" si="106"/>
        <v>23.330300000000001</v>
      </c>
      <c r="AA136" s="64">
        <f t="shared" si="98"/>
        <v>23.284800000000001</v>
      </c>
      <c r="AB136" s="61" t="e">
        <f>VLOOKUP(A136,Enforcements!$C$7:$K$15,8,0)</f>
        <v>#N/A</v>
      </c>
      <c r="AC136" s="57" t="e">
        <f>VLOOKUP(A136,Enforcements!$C$7:$E$15,3,0)</f>
        <v>#N/A</v>
      </c>
      <c r="AD136" s="58" t="str">
        <f t="shared" si="99"/>
        <v>0223-14</v>
      </c>
      <c r="AE136" s="87" t="str">
        <f t="shared" si="100"/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AF136" s="84" t="str">
        <f t="shared" si="101"/>
        <v>"C:\Program Files (x86)\AstroGrep\AstroGrep.exe" /spath="%USERPROFILE%\AppData\Local\Temp\OnboardLogs" /stypes="app*4031*20170115*" /stext=" 04:.+((SYSTEM_STATE.+slice.+state.+changed )|(ment ac)|(multiple cpu faults)|(system.+state.+changed )|(\[timeout)|(PRM\|1\|D)|(kpr)|(kdp)|(\|lc)|(penalty))" /e /r /s</v>
      </c>
      <c r="AG136" s="1" t="str">
        <f t="shared" si="102"/>
        <v>EC</v>
      </c>
      <c r="AH136" s="88" t="str">
        <f t="shared" si="74"/>
        <v>"%USERPROFILE%\Documents\GitHub\eaglep3\Utilities\RefineRTDCRunTimes.py" --tripid 223-14 --locoid 4031 --swversion DE.1.0.8.0 --startMP 204:455 --initTime 2017-01-14T19:24:43 --startdatetime 2017-01-14T20:26:22 --delay 1 --endMP 204:233303 --enddatetime 2017-01-14T21:04:50 --enforcementcount 0 &gt;&gt;C:\Users\stu\Documents\GitHub\eaglep3-reporting\EC\2017-01-14-refined-times.txt</v>
      </c>
      <c r="AI136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{"issue":{"subject":"","project_id":79,"tracker_id":40,"status_id":1,"priority_id":2,"assigned_to_id":23,"start_date":"2017-01-14","description":"","custom_fields":[{"id":1,"name":"Subdivision","value":"EC"},{"id":4,"name":"Milepost","value":"23.3303"},{"id":17,"name":"Train ID","value":"223-14"},{"id":16,"name":"Locomotive ID","value":"4031"},{"id":130,"name":"Impact","value":""},{"id":150,"name":"Time of Event (Mountain Time)","value":"21:04:50"},{"id":151,"name":"Denver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76"/>
        <v>start /low /b %USERPROFILE%\Documents\GitHub\eaglep3\Utilities\DownloadLogsFromS3.py --loco 4031 --day 2017-01-14</v>
      </c>
      <c r="AN136" s="189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"%USERPROFILE%\AppData\Local\Temp\OnboardLogs"\RTDC4031\*4031*20170115* | grep -SE "(Enforcement Action)|(\[TIMEOUT)|(CHR.+\|PRM\|1\|D.+(SWITCH|SIGNAL).+UNKNOWN)" - &gt;&gt; 2017-01-14-UncaughtWiMAX.txt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635</v>
      </c>
      <c r="B137" s="7">
        <v>4032</v>
      </c>
      <c r="C137" s="22" t="s">
        <v>201</v>
      </c>
      <c r="D137" s="22" t="s">
        <v>297</v>
      </c>
      <c r="E137" s="13">
        <v>42749.844340277778</v>
      </c>
      <c r="F137" s="13">
        <v>42749.851643518516</v>
      </c>
      <c r="G137" s="7">
        <v>1</v>
      </c>
      <c r="H137" s="22" t="s">
        <v>259</v>
      </c>
      <c r="I137" s="13">
        <v>42749.87835648148</v>
      </c>
      <c r="J137" s="7">
        <v>0</v>
      </c>
      <c r="K137" s="105" t="str">
        <f t="shared" si="93"/>
        <v>4031/4032</v>
      </c>
      <c r="L137" s="22" t="str">
        <f>VLOOKUP(A137,'Trips&amp;Operators'!$C$1:$G$99999,5,FALSE)</f>
        <v>SMITH MICHAEL</v>
      </c>
      <c r="M137" s="6">
        <f t="shared" si="94"/>
        <v>2.6712962964666076E-2</v>
      </c>
      <c r="N137" s="7">
        <f t="shared" si="104"/>
        <v>38.466666669119149</v>
      </c>
      <c r="O137" s="7"/>
      <c r="P137" s="7"/>
      <c r="Q137" s="23"/>
      <c r="R137" s="23"/>
      <c r="S137" s="32">
        <f t="shared" si="105"/>
        <v>1</v>
      </c>
      <c r="T137" s="47" t="str">
        <f t="shared" si="95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19:15:51-700',mode:absolute,to:'2017-01-14 22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137" s="49" t="str">
        <f t="shared" si="96"/>
        <v>N</v>
      </c>
      <c r="X137" s="173">
        <f t="shared" si="103"/>
        <v>1</v>
      </c>
      <c r="Y137" s="64">
        <f t="shared" si="97"/>
        <v>23.297999999999998</v>
      </c>
      <c r="Z137" s="64">
        <f t="shared" si="106"/>
        <v>1.5800000000000002E-2</v>
      </c>
      <c r="AA137" s="64">
        <f t="shared" si="98"/>
        <v>23.2822</v>
      </c>
      <c r="AB137" s="61" t="e">
        <f>VLOOKUP(A137,Enforcements!$C$7:$K$15,8,0)</f>
        <v>#N/A</v>
      </c>
      <c r="AC137" s="57" t="e">
        <f>VLOOKUP(A137,Enforcements!$C$7:$E$15,3,0)</f>
        <v>#N/A</v>
      </c>
      <c r="AD137" s="58" t="str">
        <f t="shared" si="99"/>
        <v>0224-14</v>
      </c>
      <c r="AE137" s="87" t="str">
        <f t="shared" si="100"/>
        <v>aws s3 cp s3://rtdc.mdm.uploadarchive.raw/RTDC4032/ "%USERPROFILE%\AppData\Local\Temp\OnboardLogs"\RTDC4032\2017-01-14 --exclude "*" --recursive --include "*20170114*" &amp; "%USERPROFILE%\Documents\GitHub\mrs-test-scripts\Headless Mode &amp; Sideloading\WalkAndUnGZ.bat" "%USERPROFILE%\AppData\Local\Temp\OnboardLogs"\RTDC4032\2017-01-14 &amp; 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</v>
      </c>
      <c r="AF137" s="84" t="str">
        <f t="shared" si="101"/>
        <v>"C:\Program Files (x86)\AstroGrep\AstroGrep.exe" /spath="%USERPROFILE%\AppData\Local\Temp\OnboardLogs" /stypes="app*4032*20170115*" /stext=" 04:.+((SYSTEM_STATE.+slice.+state.+changed )|(ment ac)|(multiple cpu faults)|(system.+state.+changed )|(\[timeout)|(PRM\|1\|D)|(kpr)|(kdp)|(\|lc)|(penalty))" /e /r /s</v>
      </c>
      <c r="AG137" s="1" t="str">
        <f t="shared" si="102"/>
        <v>EC</v>
      </c>
      <c r="AH137" s="88" t="str">
        <f t="shared" si="74"/>
        <v>"%USERPROFILE%\Documents\GitHub\eaglep3\Utilities\RefineRTDCRunTimes.py" --tripid 224-14 --locoid 4032 --swversion DE.1.0.8.0 --startMP 204:232980 --initTime 2017-01-14T20:15:51 --startdatetime 2017-01-14T20:26:22 --delay 1 --endMP 204:158 --enddatetime 2017-01-14T21:04:50 --enforcementcount 0 &gt;&gt;C:\Users\stu\Documents\GitHub\eaglep3-reporting\EC\2017-01-14-refined-times.txt</v>
      </c>
      <c r="AI137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{"issue":{"subject":"","project_id":79,"tracker_id":40,"status_id":1,"priority_id":2,"assigned_to_id":23,"start_date":"2017-01-14","description":"","custom_fields":[{"id":1,"name":"Subdivision","value":"EC"},{"id":4,"name":"Milepost","value":"0.0158"},{"id":17,"name":"Train ID","value":"224-14"},{"id":16,"name":"Locomotive ID","value":"4032"},{"id":130,"name":"Impact","value":""},{"id":150,"name":"Time of Event (Mountain Time)","value":"21:04:50"},{"id":151,"name":"Denver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76"/>
        <v>start /low /b %USERPROFILE%\Documents\GitHub\eaglep3\Utilities\DownloadLogsFromS3.py --loco 4032 --day 2017-01-14</v>
      </c>
      <c r="AN137" s="189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"%USERPROFILE%\AppData\Local\Temp\OnboardLogs"\RTDC4032\*4032*20170115* | grep -SE "(Enforcement Action)|(\[TIMEOUT)|(CHR.+\|PRM\|1\|D.+(SWITCH|SIGNAL).+UNKNOWN)" - &gt;&gt; 2017-01-14-UncaughtWiMAX.txt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633</v>
      </c>
      <c r="B138" s="7">
        <v>4003</v>
      </c>
      <c r="C138" s="22" t="s">
        <v>201</v>
      </c>
      <c r="D138" s="22" t="s">
        <v>192</v>
      </c>
      <c r="E138" s="13">
        <v>42749.827488425923</v>
      </c>
      <c r="F138" s="13">
        <v>42749.833657407406</v>
      </c>
      <c r="G138" s="7">
        <v>1</v>
      </c>
      <c r="H138" s="22" t="s">
        <v>742</v>
      </c>
      <c r="I138" s="13">
        <v>42749.857824074075</v>
      </c>
      <c r="J138" s="7">
        <v>0</v>
      </c>
      <c r="K138" s="105" t="str">
        <f t="shared" si="93"/>
        <v>4003/4004</v>
      </c>
      <c r="L138" s="22" t="str">
        <f>VLOOKUP(A138,'Trips&amp;Operators'!$C$1:$G$99999,5,FALSE)</f>
        <v>STAMBAUGH JAMES</v>
      </c>
      <c r="M138" s="6">
        <f t="shared" si="94"/>
        <v>2.4166666669771075E-2</v>
      </c>
      <c r="N138" s="7">
        <f t="shared" si="104"/>
        <v>34.800000004470348</v>
      </c>
      <c r="O138" s="7"/>
      <c r="P138" s="7"/>
      <c r="Q138" s="23"/>
      <c r="R138" s="23"/>
      <c r="S138" s="32">
        <f t="shared" si="105"/>
        <v>1</v>
      </c>
      <c r="T138" s="47" t="str">
        <f t="shared" si="95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18:51:35-700',mode:absolute,to:'2017-01-14 21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138" s="49" t="str">
        <f t="shared" si="96"/>
        <v>N</v>
      </c>
      <c r="X138" s="173">
        <f t="shared" si="103"/>
        <v>1</v>
      </c>
      <c r="Y138" s="64">
        <f t="shared" si="97"/>
        <v>4.4699999999999997E-2</v>
      </c>
      <c r="Z138" s="64">
        <f t="shared" si="106"/>
        <v>23.3353</v>
      </c>
      <c r="AA138" s="64">
        <f t="shared" si="98"/>
        <v>23.290600000000001</v>
      </c>
      <c r="AB138" s="61" t="e">
        <f>VLOOKUP(A138,Enforcements!$C$7:$K$15,8,0)</f>
        <v>#N/A</v>
      </c>
      <c r="AC138" s="57" t="e">
        <f>VLOOKUP(A138,Enforcements!$C$7:$E$15,3,0)</f>
        <v>#N/A</v>
      </c>
      <c r="AD138" s="58" t="str">
        <f t="shared" si="99"/>
        <v>0225-14</v>
      </c>
      <c r="AE138" s="87" t="str">
        <f t="shared" si="100"/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AF138" s="84" t="str">
        <f t="shared" si="101"/>
        <v>"C:\Program Files (x86)\AstroGrep\AstroGrep.exe" /spath="%USERPROFILE%\AppData\Local\Temp\OnboardLogs" /stypes="app*4003*20170115*" /stext=" 03:.+((SYSTEM_STATE.+slice.+state.+changed )|(ment ac)|(multiple cpu faults)|(system.+state.+changed )|(\[timeout)|(PRM\|1\|D)|(kpr)|(kdp)|(\|lc)|(penalty))" /e /r /s</v>
      </c>
      <c r="AG138" s="1" t="str">
        <f t="shared" si="102"/>
        <v>EC</v>
      </c>
      <c r="AH138" s="88" t="str">
        <f t="shared" si="74"/>
        <v>"%USERPROFILE%\Documents\GitHub\eaglep3\Utilities\RefineRTDCRunTimes.py" --tripid 225-14 --locoid 4003 --swversion DE.1.0.8.0 --startMP 204:447 --initTime 2017-01-14T19:51:35 --startdatetime 2017-01-14T20:00:28 --delay 1 --endMP 204:233353 --enddatetime 2017-01-14T20:35:16 --enforcementcount 0 &gt;&gt;C:\Users\stu\Documents\GitHub\eaglep3-reporting\EC\2017-01-14-refined-times.txt</v>
      </c>
      <c r="AI138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{"issue":{"subject":"","project_id":79,"tracker_id":40,"status_id":1,"priority_id":2,"assigned_to_id":23,"start_date":"2017-01-14","description":"","custom_fields":[{"id":1,"name":"Subdivision","value":"EC"},{"id":4,"name":"Milepost","value":"23.3353"},{"id":17,"name":"Train ID","value":"225-14"},{"id":16,"name":"Locomotive ID","value":"4003"},{"id":130,"name":"Impact","value":""},{"id":150,"name":"Time of Event (Mountain Time)","value":"20:35:16"},{"id":151,"name":"Denver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76"/>
        <v>start /low /b %USERPROFILE%\Documents\GitHub\eaglep3\Utilities\DownloadLogsFromS3.py --loco 4003 --day 2017-01-14</v>
      </c>
      <c r="AN138" s="189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"%USERPROFILE%\AppData\Local\Temp\OnboardLogs"\RTDC4003\*4003*20170115* | grep -SE "(Enforcement Action)|(\[TIMEOUT)|(CHR.+\|PRM\|1\|D.+(SWITCH|SIGNAL).+UNKNOWN)" - &gt;&gt; 2017-01-14-UncaughtWiMAX.txt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637</v>
      </c>
      <c r="B139" s="7">
        <v>4004</v>
      </c>
      <c r="C139" s="22" t="s">
        <v>201</v>
      </c>
      <c r="D139" s="22" t="s">
        <v>743</v>
      </c>
      <c r="E139" s="13">
        <v>42749.860196759262</v>
      </c>
      <c r="F139" s="13">
        <v>42749.872650462959</v>
      </c>
      <c r="G139" s="7">
        <v>1</v>
      </c>
      <c r="H139" s="22" t="s">
        <v>421</v>
      </c>
      <c r="I139" s="13">
        <v>42749.899375000001</v>
      </c>
      <c r="J139" s="7">
        <v>0</v>
      </c>
      <c r="K139" s="105" t="str">
        <f t="shared" si="93"/>
        <v>4003/4004</v>
      </c>
      <c r="L139" s="22" t="str">
        <f>VLOOKUP(A139,'Trips&amp;Operators'!$C$1:$G$99999,5,FALSE)</f>
        <v>STAMBAUGH JAMES</v>
      </c>
      <c r="M139" s="6">
        <f t="shared" si="94"/>
        <v>2.6724537041445728E-2</v>
      </c>
      <c r="N139" s="7">
        <f t="shared" si="104"/>
        <v>38.483333339681849</v>
      </c>
      <c r="O139" s="7"/>
      <c r="P139" s="7"/>
      <c r="Q139" s="23"/>
      <c r="R139" s="23"/>
      <c r="S139" s="32">
        <f t="shared" si="105"/>
        <v>1</v>
      </c>
      <c r="T139" s="47" t="str">
        <f t="shared" si="95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19:38:41-700',mode:absolute,to:'2017-01-14 22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139" s="49" t="str">
        <f t="shared" si="96"/>
        <v>N</v>
      </c>
      <c r="X139" s="173">
        <f t="shared" si="103"/>
        <v>1</v>
      </c>
      <c r="Y139" s="64">
        <f t="shared" si="97"/>
        <v>23.3032</v>
      </c>
      <c r="Z139" s="64">
        <f t="shared" si="106"/>
        <v>1.72E-2</v>
      </c>
      <c r="AA139" s="64">
        <f t="shared" si="98"/>
        <v>23.286000000000001</v>
      </c>
      <c r="AB139" s="61" t="e">
        <f>VLOOKUP(A139,Enforcements!$C$7:$K$15,8,0)</f>
        <v>#N/A</v>
      </c>
      <c r="AC139" s="57" t="e">
        <f>VLOOKUP(A139,Enforcements!$C$7:$E$15,3,0)</f>
        <v>#N/A</v>
      </c>
      <c r="AD139" s="58" t="str">
        <f t="shared" si="99"/>
        <v>0226-14</v>
      </c>
      <c r="AE139" s="87" t="str">
        <f t="shared" si="100"/>
        <v>aws s3 cp s3://rtdc.mdm.uploadarchive.raw/RTDC4004/ "%USERPROFILE%\AppData\Local\Temp\OnboardLogs"\RTDC4004\2017-01-14 --exclude "*" --recursive --include "*20170114*" &amp; "%USERPROFILE%\Documents\GitHub\mrs-test-scripts\Headless Mode &amp; Sideloading\WalkAndUnGZ.bat" "%USERPROFILE%\AppData\Local\Temp\OnboardLogs"\RTDC4004\2017-01-14 &amp; aws s3 cp s3://rtdc.mdm.uploadarchive.raw/RTDC4004/ "%USERPROFILE%\AppData\Local\Temp\OnboardLogs"\RTDC4004\2017-01-15 --exclude "*" --recursive --include "*20170115*" &amp; "%USERPROFILE%\Documents\GitHub\mrs-test-scripts\Headless Mode &amp; Sideloading\WalkAndUnGZ.bat" "%USERPROFILE%\AppData\Local\Temp\OnboardLogs"\RTDC4004\2017-01-15</v>
      </c>
      <c r="AF139" s="84" t="str">
        <f t="shared" si="101"/>
        <v>"C:\Program Files (x86)\AstroGrep\AstroGrep.exe" /spath="%USERPROFILE%\AppData\Local\Temp\OnboardLogs" /stypes="app*4004*20170115*" /stext=" 04:.+((SYSTEM_STATE.+slice.+state.+changed )|(ment ac)|(multiple cpu faults)|(system.+state.+changed )|(\[timeout)|(PRM\|1\|D)|(kpr)|(kdp)|(\|lc)|(penalty))" /e /r /s</v>
      </c>
      <c r="AG139" s="1" t="str">
        <f t="shared" si="102"/>
        <v>EC</v>
      </c>
      <c r="AH139" s="88" t="str">
        <f t="shared" si="74"/>
        <v>"%USERPROFILE%\Documents\GitHub\eaglep3\Utilities\RefineRTDCRunTimes.py" --tripid 226-14 --locoid 4004 --swversion DE.1.0.8.0 --startMP 204:233032 --initTime 2017-01-14T20:38:41 --startdatetime 2017-01-14T20:56:37 --delay 1 --endMP 204:172 --enddatetime 2017-01-14T21:35:06 --enforcementcount 0 &gt;&gt;C:\Users\stu\Documents\GitHub\eaglep3-reporting\EC\2017-01-14-refined-times.txt</v>
      </c>
      <c r="AI139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{"issue":{"subject":"","project_id":79,"tracker_id":40,"status_id":1,"priority_id":2,"assigned_to_id":23,"start_date":"2017-01-14","description":"","custom_fields":[{"id":1,"name":"Subdivision","value":"EC"},{"id":4,"name":"Milepost","value":"0.0172"},{"id":17,"name":"Train ID","value":"226-14"},{"id":16,"name":"Locomotive ID","value":"4004"},{"id":130,"name":"Impact","value":""},{"id":150,"name":"Time of Event (Mountain Time)","value":"21:35:06"},{"id":151,"name":"Denver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76"/>
        <v>start /low /b %USERPROFILE%\Documents\GitHub\eaglep3\Utilities\DownloadLogsFromS3.py --loco 4004 --day 2017-01-14</v>
      </c>
      <c r="AN139" s="189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"%USERPROFILE%\AppData\Local\Temp\OnboardLogs"\RTDC4004\*4004*20170115* | grep -SE "(Enforcement Action)|(\[TIMEOUT)|(CHR.+\|PRM\|1\|D.+(SWITCH|SIGNAL).+UNKNOWN)" - &gt;&gt; 2017-01-14-UncaughtWiMAX.txt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449</v>
      </c>
      <c r="B140" s="7">
        <v>4027</v>
      </c>
      <c r="C140" s="22" t="s">
        <v>201</v>
      </c>
      <c r="D140" s="22" t="s">
        <v>744</v>
      </c>
      <c r="E140" s="13">
        <v>42749.837187500001</v>
      </c>
      <c r="F140" s="13">
        <v>42749.854317129626</v>
      </c>
      <c r="G140" s="7">
        <v>1</v>
      </c>
      <c r="H140" s="22" t="s">
        <v>745</v>
      </c>
      <c r="I140" s="13">
        <v>42749.880011574074</v>
      </c>
      <c r="J140" s="7">
        <v>0</v>
      </c>
      <c r="K140" s="105" t="str">
        <f t="shared" si="93"/>
        <v>4027/4028</v>
      </c>
      <c r="L140" s="22" t="str">
        <f>VLOOKUP(A140,'Trips&amp;Operators'!$C$1:$G$99999,5,FALSE)</f>
        <v>HILLS DUSTIN</v>
      </c>
      <c r="M140" s="6">
        <f t="shared" si="94"/>
        <v>2.5694444448163267E-2</v>
      </c>
      <c r="N140" s="7">
        <f t="shared" si="104"/>
        <v>37.000000005355105</v>
      </c>
      <c r="O140" s="7"/>
      <c r="P140" s="7"/>
      <c r="Q140" s="23"/>
      <c r="R140" s="23"/>
      <c r="S140" s="32">
        <f t="shared" si="105"/>
        <v>1</v>
      </c>
      <c r="T140" s="47" t="str">
        <f t="shared" si="95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19:05:33-700',mode:absolute,to:'2017-01-14 22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W140" s="49" t="str">
        <f t="shared" si="96"/>
        <v>N</v>
      </c>
      <c r="X140" s="173">
        <f t="shared" si="103"/>
        <v>1</v>
      </c>
      <c r="Y140" s="64">
        <f t="shared" si="97"/>
        <v>4.07E-2</v>
      </c>
      <c r="Z140" s="64">
        <f t="shared" si="106"/>
        <v>23.338699999999999</v>
      </c>
      <c r="AA140" s="64">
        <f t="shared" si="98"/>
        <v>23.297999999999998</v>
      </c>
      <c r="AB140" s="61" t="str">
        <f>VLOOKUP(A140,Enforcements!$C$7:$K$15,8,0)</f>
        <v>Speed (6)</v>
      </c>
      <c r="AC140" s="57" t="str">
        <f>VLOOKUP(A140,Enforcements!$C$7:$E$15,3,0)</f>
        <v>PERMANENT SPEED RESTRICTION</v>
      </c>
      <c r="AD140" s="58" t="str">
        <f t="shared" si="99"/>
        <v>0227-14</v>
      </c>
      <c r="AE140" s="87" t="str">
        <f t="shared" si="100"/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AF140" s="84" t="str">
        <f t="shared" si="101"/>
        <v>"C:\Program Files (x86)\AstroGrep\AstroGrep.exe" /spath="%USERPROFILE%\AppData\Local\Temp\OnboardLogs" /stypes="app*4027*20170115*" /stext=" 04:.+((SYSTEM_STATE.+slice.+state.+changed )|(ment ac)|(multiple cpu faults)|(system.+state.+changed )|(\[timeout)|(PRM\|1\|D)|(kpr)|(kdp)|(\|lc)|(penalty))" /e /r /s</v>
      </c>
      <c r="AG140" s="1" t="str">
        <f t="shared" si="102"/>
        <v>EC</v>
      </c>
      <c r="AH140" s="88" t="str">
        <f t="shared" si="74"/>
        <v>"%USERPROFILE%\Documents\GitHub\eaglep3\Utilities\RefineRTDCRunTimes.py" --tripid 227-14 --locoid 4027 --swversion DE.1.0.8.0 --startMP 204:407 --initTime 2017-01-14T20:05:33 --startdatetime 2017-01-14T20:30:13 --delay 1 --endMP 204:233387 --enddatetime 2017-01-14T21:07:13 --enforcementcount 0 &gt;&gt;C:\Users\stu\Documents\GitHub\eaglep3-reporting\EC\2017-01-14-refined-times.txt</v>
      </c>
      <c r="AI140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{"issue":{"subject":"","project_id":79,"tracker_id":40,"status_id":1,"priority_id":2,"assigned_to_id":23,"start_date":"2017-01-14","description":"","custom_fields":[{"id":1,"name":"Subdivision","value":"EC"},{"id":4,"name":"Milepost","value":"23.3387"},{"id":17,"name":"Train ID","value":"227-14"},{"id":16,"name":"Locomotive ID","value":"4027"},{"id":130,"name":"Impact","value":""},{"id":150,"name":"Time of Event (Mountain Time)","value":"21:07:13"},{"id":151,"name":"Denver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76"/>
        <v>start /low /b %USERPROFILE%\Documents\GitHub\eaglep3\Utilities\DownloadLogsFromS3.py --loco 4027 --day 2017-01-14</v>
      </c>
      <c r="AN140" s="189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"%USERPROFILE%\AppData\Local\Temp\OnboardLogs"\RTDC4027\*4027*20170115* | grep -SE "(Enforcement Action)|(\[TIMEOUT)|(CHR.+\|PRM\|1\|D.+(SWITCH|SIGNAL).+UNKNOWN)" - &gt;&gt; 2017-01-14-UncaughtWiMAX.txt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451</v>
      </c>
      <c r="B141" s="7">
        <v>4028</v>
      </c>
      <c r="C141" s="22" t="s">
        <v>201</v>
      </c>
      <c r="D141" s="22" t="s">
        <v>746</v>
      </c>
      <c r="E141" s="13">
        <v>42749.888414351852</v>
      </c>
      <c r="F141" s="13">
        <v>42749.893182870372</v>
      </c>
      <c r="G141" s="7">
        <v>1</v>
      </c>
      <c r="H141" s="22" t="s">
        <v>747</v>
      </c>
      <c r="I141" s="13">
        <v>42749.921296296299</v>
      </c>
      <c r="J141" s="7">
        <v>0</v>
      </c>
      <c r="K141" s="105" t="str">
        <f t="shared" si="93"/>
        <v>4027/4028</v>
      </c>
      <c r="L141" s="22" t="str">
        <f>VLOOKUP(A141,'Trips&amp;Operators'!$C$1:$G$99999,5,FALSE)</f>
        <v>HILLS DUSTIN</v>
      </c>
      <c r="M141" s="6">
        <f t="shared" si="94"/>
        <v>2.8113425927585922E-2</v>
      </c>
      <c r="N141" s="7">
        <f t="shared" si="104"/>
        <v>40.483333335723728</v>
      </c>
      <c r="O141" s="7"/>
      <c r="P141" s="7"/>
      <c r="Q141" s="23"/>
      <c r="R141" s="23"/>
      <c r="S141" s="32">
        <f t="shared" si="105"/>
        <v>1</v>
      </c>
      <c r="T141" s="47" t="str">
        <f t="shared" si="95"/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20:19:19-700',mode:absolute,to:'2017-01-14 23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141" s="49" t="str">
        <f t="shared" si="96"/>
        <v>N</v>
      </c>
      <c r="X141" s="173">
        <f t="shared" si="103"/>
        <v>1</v>
      </c>
      <c r="Y141" s="64">
        <f t="shared" si="97"/>
        <v>23.307400000000001</v>
      </c>
      <c r="Z141" s="64">
        <f t="shared" si="106"/>
        <v>1.09E-2</v>
      </c>
      <c r="AA141" s="64">
        <f t="shared" si="98"/>
        <v>23.296500000000002</v>
      </c>
      <c r="AB141" s="61" t="str">
        <f>VLOOKUP(A141,Enforcements!$C$7:$K$15,8,0)</f>
        <v>Bulletin (2)</v>
      </c>
      <c r="AC141" s="57" t="str">
        <f>VLOOKUP(A141,Enforcements!$C$7:$E$15,3,0)</f>
        <v>GRADE CROSSING</v>
      </c>
      <c r="AD141" s="58" t="str">
        <f t="shared" si="99"/>
        <v>0228-14</v>
      </c>
      <c r="AE141" s="87" t="str">
        <f t="shared" si="100"/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AF141" s="84" t="str">
        <f t="shared" si="101"/>
        <v>"C:\Program Files (x86)\AstroGrep\AstroGrep.exe" /spath="%USERPROFILE%\AppData\Local\Temp\OnboardLogs" /stypes="app*4028*20170115*" /stext=" 05:.+((SYSTEM_STATE.+slice.+state.+changed )|(ment ac)|(multiple cpu faults)|(system.+state.+changed )|(\[timeout)|(PRM\|1\|D)|(kpr)|(kdp)|(\|lc)|(penalty))" /e /r /s</v>
      </c>
      <c r="AG141" s="1" t="str">
        <f t="shared" si="102"/>
        <v>EC</v>
      </c>
      <c r="AH141" s="88" t="str">
        <f t="shared" si="74"/>
        <v>"%USERPROFILE%\Documents\GitHub\eaglep3\Utilities\RefineRTDCRunTimes.py" --tripid 228-14 --locoid 4028 --swversion DE.1.0.8.0 --startMP 204:233074 --initTime 2017-01-14T21:19:19 --startdatetime 2017-01-14T21:26:11 --delay 1 --endMP 204:109 --enddatetime 2017-01-14T22:06:40 --enforcementcount 0 &gt;&gt;C:\Users\stu\Documents\GitHub\eaglep3-reporting\EC\2017-01-14-refined-times.txt</v>
      </c>
      <c r="AI141" s="115" t="str">
        <f t="shared" si="75"/>
        <v>echo {"issue":{"subject":"","project_id":79,"tracker_id":40,"status_id":1,"priority_id":2,"assigned_to_id":23,"start_date":"2017-01-14","description":"","custom_fields":[{"id":1,"name":"Subdivision","value":"EC"},{"id":4,"name":"Milepost","value":"0.0109"},{"id":17,"name":"Train ID","value":"228-14"},{"id":16,"name":"Locomotive ID","value":"4028"},{"id":130,"name":"Impact","value":""},{"id":150,"name":"Time of Event (Mountain Time)","value":"22:06:40"},{"id":151,"name":"Denver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76"/>
        <v>start /low /b %USERPROFILE%\Documents\GitHub\eaglep3\Utilities\DownloadLogsFromS3.py --loco 4028 --day 2017-01-14</v>
      </c>
      <c r="AN141" s="189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"%USERPROFILE%\AppData\Local\Temp\OnboardLogs"\RTDC4028\*4028*20170115* | grep -SE "(Enforcement Action)|(\[TIMEOUT)|(CHR.+\|PRM\|1\|D.+(SWITCH|SIGNAL).+UNKNOWN)" - &gt;&gt; 2017-01-14-UncaughtWiMAX.txt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450</v>
      </c>
      <c r="B142" s="7">
        <v>4018</v>
      </c>
      <c r="C142" s="22" t="s">
        <v>201</v>
      </c>
      <c r="D142" s="22" t="s">
        <v>272</v>
      </c>
      <c r="E142" s="13">
        <v>42749.870532407411</v>
      </c>
      <c r="F142" s="13">
        <v>42749.8752662037</v>
      </c>
      <c r="G142" s="7">
        <v>2</v>
      </c>
      <c r="H142" s="22" t="s">
        <v>748</v>
      </c>
      <c r="I142" s="13">
        <v>42749.901990740742</v>
      </c>
      <c r="J142" s="7">
        <v>0</v>
      </c>
      <c r="K142" s="105" t="str">
        <f t="shared" si="93"/>
        <v>4017/4018</v>
      </c>
      <c r="L142" s="22" t="str">
        <f>VLOOKUP(A142,'Trips&amp;Operators'!$C$1:$G$99999,5,FALSE)</f>
        <v>BROWN JACOB</v>
      </c>
      <c r="M142" s="6">
        <f t="shared" si="94"/>
        <v>2.6724537041445728E-2</v>
      </c>
      <c r="N142" s="7">
        <f t="shared" si="104"/>
        <v>38.483333339681849</v>
      </c>
      <c r="O142" s="7"/>
      <c r="P142" s="7"/>
      <c r="Q142" s="23"/>
      <c r="R142" s="23"/>
      <c r="S142" s="32">
        <f t="shared" si="105"/>
        <v>1</v>
      </c>
      <c r="T142" s="47" t="str">
        <f t="shared" si="95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81"/>
        <v>https://search-rtdc-monitor-bjffxe2xuh6vdkpspy63sjmuny.us-east-1.es.amazonaws.com/_plugin/kibana/#/discover/Steve-Slow-Train-Analysis-(2080s-and-2083s)?_g=(refreshInterval:(display:Off,section:0,value:0),time:(from:'2017-01-14 19:53:34-700',mode:absolute,to:'2017-01-14 22:38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142" s="49" t="str">
        <f t="shared" si="96"/>
        <v>N</v>
      </c>
      <c r="X142" s="173">
        <f t="shared" ref="X142:X159" si="107">VALUE(LEFT(AD142,4))-VALUE(LEFT(AD141,4))</f>
        <v>1</v>
      </c>
      <c r="Y142" s="64">
        <f t="shared" si="97"/>
        <v>4.4600000000000001E-2</v>
      </c>
      <c r="Z142" s="64">
        <f t="shared" si="106"/>
        <v>23.285799999999998</v>
      </c>
      <c r="AA142" s="64">
        <f t="shared" si="98"/>
        <v>23.241199999999999</v>
      </c>
      <c r="AB142" s="61" t="str">
        <f>VLOOKUP(A142,Enforcements!$C$7:$K$15,8,0)</f>
        <v>Bulletin (2)</v>
      </c>
      <c r="AC142" s="57" t="str">
        <f>VLOOKUP(A142,Enforcements!$C$7:$E$15,3,0)</f>
        <v>GRADE CROSSING</v>
      </c>
      <c r="AD142" s="58" t="str">
        <f t="shared" si="99"/>
        <v>0229-14</v>
      </c>
      <c r="AE142" s="87" t="str">
        <f t="shared" si="100"/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AF142" s="84" t="str">
        <f t="shared" si="101"/>
        <v>"C:\Program Files (x86)\AstroGrep\AstroGrep.exe" /spath="%USERPROFILE%\AppData\Local\Temp\OnboardLogs" /stypes="app*4018*20170115*" /stext=" 04:.+((SYSTEM_STATE.+slice.+state.+changed )|(ment ac)|(multiple cpu faults)|(system.+state.+changed )|(\[timeout)|(PRM\|1\|D)|(kpr)|(kdp)|(\|lc)|(penalty))" /e /r /s</v>
      </c>
      <c r="AG142" s="1" t="str">
        <f t="shared" si="102"/>
        <v>EC</v>
      </c>
      <c r="AH142" s="88" t="str">
        <f t="shared" ref="AH142:AH215" si="108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229-14 --locoid 4018 --swversion DE.1.0.8.0 --startMP 204:446 --initTime 2017-01-14T20:53:34 --startdatetime 2017-01-14T21:00:23 --delay 2 --endMP 204:232858 --enddatetime 2017-01-14T21:38:52 --enforcementcount 0 &gt;&gt;C:\Users\stu\Documents\GitHub\eaglep3-reporting\EC\2017-01-14-refined-times.txt</v>
      </c>
      <c r="AI142" s="115" t="str">
        <f t="shared" ref="AI142:AI215" si="109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{"issue":{"subject":"","project_id":79,"tracker_id":40,"status_id":1,"priority_id":2,"assigned_to_id":23,"start_date":"2017-01-14","description":"","custom_fields":[{"id":1,"name":"Subdivision","value":"EC"},{"id":4,"name":"Milepost","value":"23.2858"},{"id":17,"name":"Train ID","value":"229-14"},{"id":16,"name":"Locomotive ID","value":"4018"},{"id":130,"name":"Impact","value":""},{"id":150,"name":"Time of Event (Mountain Time)","value":"21:38:52"},{"id":151,"name":"Denver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ref="AM142:AM215" si="110">"start /low /b "&amp;dls3logs&amp;" --loco "&amp;B142&amp;" --day "&amp;TEXT(F142,"YYYY-MM-DD")</f>
        <v>start /low /b %USERPROFILE%\Documents\GitHub\eaglep3\Utilities\DownloadLogsFromS3.py --loco 4018 --day 2017-01-14</v>
      </c>
      <c r="AN142" s="189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"%USERPROFILE%\AppData\Local\Temp\OnboardLogs"\RTDC4018\*4018*20170115* | grep -SE "(Enforcement Action)|(\[TIMEOUT)|(CHR.+\|PRM\|1\|D.+(SWITCH|SIGNAL).+UNKNOWN)" - &gt;&gt; 2017-01-14-UncaughtWiMAX.txt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452</v>
      </c>
      <c r="B143" s="7">
        <v>4017</v>
      </c>
      <c r="C143" s="22" t="s">
        <v>201</v>
      </c>
      <c r="D143" s="22" t="s">
        <v>749</v>
      </c>
      <c r="E143" s="13">
        <v>42749.907523148147</v>
      </c>
      <c r="F143" s="13">
        <v>42749.914039351854</v>
      </c>
      <c r="G143" s="7">
        <v>1</v>
      </c>
      <c r="H143" s="22" t="s">
        <v>224</v>
      </c>
      <c r="I143" s="13">
        <v>42749.942256944443</v>
      </c>
      <c r="J143" s="7">
        <v>0</v>
      </c>
      <c r="K143" s="105" t="str">
        <f t="shared" si="93"/>
        <v>4017/4018</v>
      </c>
      <c r="L143" s="22" t="str">
        <f>VLOOKUP(A143,'Trips&amp;Operators'!$C$1:$G$99999,5,FALSE)</f>
        <v>BROWN JACOB</v>
      </c>
      <c r="M143" s="6">
        <f t="shared" si="94"/>
        <v>2.8217592589498963E-2</v>
      </c>
      <c r="N143" s="7">
        <f t="shared" si="104"/>
        <v>40.633333328878507</v>
      </c>
      <c r="O143" s="7"/>
      <c r="P143" s="7"/>
      <c r="Q143" s="23"/>
      <c r="R143" s="23"/>
      <c r="S143" s="32">
        <f t="shared" si="105"/>
        <v>1</v>
      </c>
      <c r="T143" s="47" t="str">
        <f t="shared" si="95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ref="V143:V206" si="111"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https://search-rtdc-monitor-bjffxe2xuh6vdkpspy63sjmuny.us-east-1.es.amazonaws.com/_plugin/kibana/#/discover/Steve-Slow-Train-Analysis-(2080s-and-2083s)?_g=(refreshInterval:(display:Off,section:0,value:0),time:(from:'2017-01-14 20:46:50-700',mode:absolute,to:'2017-01-14 23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143" s="49" t="str">
        <f t="shared" si="96"/>
        <v>N</v>
      </c>
      <c r="X143" s="173">
        <f t="shared" si="107"/>
        <v>1</v>
      </c>
      <c r="Y143" s="64">
        <f t="shared" si="97"/>
        <v>23.3002</v>
      </c>
      <c r="Z143" s="64">
        <f t="shared" si="106"/>
        <v>1.4500000000000001E-2</v>
      </c>
      <c r="AA143" s="64">
        <f t="shared" ref="AA143:AA144" si="112">ABS(Z143-Y143)</f>
        <v>23.285699999999999</v>
      </c>
      <c r="AB143" s="61" t="str">
        <f>VLOOKUP(A143,Enforcements!$C$7:$K$15,8,0)</f>
        <v>Speed (6)</v>
      </c>
      <c r="AC143" s="57" t="str">
        <f>VLOOKUP(A143,Enforcements!$C$7:$E$15,3,0)</f>
        <v>PERMANENT SPEED RESTRICTION</v>
      </c>
      <c r="AD143" s="58" t="str">
        <f t="shared" si="99"/>
        <v>0230-14</v>
      </c>
      <c r="AE143" s="87" t="str">
        <f t="shared" si="100"/>
        <v>aws s3 cp s3://rtdc.mdm.uploadarchive.raw/RTDC4017/ "%USERPROFILE%\AppData\Local\Temp\OnboardLogs"\RTDC4017\2017-01-14 --exclude "*" --recursive --include "*20170114*" &amp; "%USERPROFILE%\Documents\GitHub\mrs-test-scripts\Headless Mode &amp; Sideloading\WalkAndUnGZ.bat" "%USERPROFILE%\AppData\Local\Temp\OnboardLogs"\RTDC4017\2017-01-14 &amp; aws s3 cp s3://rtdc.mdm.uploadarchive.raw/RTDC4017/ "%USERPROFILE%\AppData\Local\Temp\OnboardLogs"\RTDC4017\2017-01-15 --exclude "*" --recursive --include "*20170115*" &amp; "%USERPROFILE%\Documents\GitHub\mrs-test-scripts\Headless Mode &amp; Sideloading\WalkAndUnGZ.bat" "%USERPROFILE%\AppData\Local\Temp\OnboardLogs"\RTDC4017\2017-01-15</v>
      </c>
      <c r="AF143" s="84" t="str">
        <f t="shared" si="101"/>
        <v>"C:\Program Files (x86)\AstroGrep\AstroGrep.exe" /spath="%USERPROFILE%\AppData\Local\Temp\OnboardLogs" /stypes="app*4017*20170115*" /stext=" 05:.+((SYSTEM_STATE.+slice.+state.+changed )|(ment ac)|(multiple cpu faults)|(system.+state.+changed )|(\[timeout)|(PRM\|1\|D)|(kpr)|(kdp)|(\|lc)|(penalty))" /e /r /s</v>
      </c>
      <c r="AG143" s="1" t="str">
        <f t="shared" si="102"/>
        <v>EC</v>
      </c>
      <c r="AH143" s="88" t="str">
        <f t="shared" si="108"/>
        <v>"%USERPROFILE%\Documents\GitHub\eaglep3\Utilities\RefineRTDCRunTimes.py" --tripid 230-14 --locoid 4017 --swversion DE.1.0.8.0 --startMP 204:233002 --initTime 2017-01-14T21:46:50 --startdatetime 2017-01-14T21:56:13 --delay 1 --endMP 204:145 --enddatetime 2017-01-14T22:36:51 --enforcementcount 0 &gt;&gt;C:\Users\stu\Documents\GitHub\eaglep3-reporting\EC\2017-01-14-refined-times.txt</v>
      </c>
      <c r="AI143" s="115" t="str">
        <f t="shared" si="109"/>
        <v>echo {"issue":{"subject":"","project_id":79,"tracker_id":40,"status_id":1,"priority_id":2,"assigned_to_id":23,"start_date":"2017-01-14","description":"","custom_fields":[{"id":1,"name":"Subdivision","value":"EC"},{"id":4,"name":"Milepost","value":"0.0145"},{"id":17,"name":"Train ID","value":"230-14"},{"id":16,"name":"Locomotive ID","value":"4017"},{"id":130,"name":"Impact","value":""},{"id":150,"name":"Time of Event (Mountain Time)","value":"22:36:51"},{"id":151,"name":"Denver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110"/>
        <v>start /low /b %USERPROFILE%\Documents\GitHub\eaglep3\Utilities\DownloadLogsFromS3.py --loco 4017 --day 2017-01-14</v>
      </c>
      <c r="AN143" s="189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"%USERPROFILE%\AppData\Local\Temp\OnboardLogs"\RTDC4017\*4017*20170115* | grep -SE "(Enforcement Action)|(\[TIMEOUT)|(CHR.+\|PRM\|1\|D.+(SWITCH|SIGNAL).+UNKNOWN)" - &gt;&gt; 2017-01-14-UncaughtWiMAX.txt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639</v>
      </c>
      <c r="B144" s="7">
        <v>4031</v>
      </c>
      <c r="C144" s="22" t="s">
        <v>201</v>
      </c>
      <c r="D144" s="22" t="s">
        <v>278</v>
      </c>
      <c r="E144" s="13">
        <v>42749.881851851853</v>
      </c>
      <c r="F144" s="13">
        <v>42749.896111111113</v>
      </c>
      <c r="G144" s="7">
        <v>1</v>
      </c>
      <c r="H144" s="22" t="s">
        <v>336</v>
      </c>
      <c r="I144" s="13">
        <v>42749.920798611114</v>
      </c>
      <c r="J144" s="7">
        <v>0</v>
      </c>
      <c r="K144" s="105" t="str">
        <f t="shared" si="93"/>
        <v>4031/4032</v>
      </c>
      <c r="L144" s="22" t="str">
        <f>VLOOKUP(A144,'Trips&amp;Operators'!$C$1:$G$99999,5,FALSE)</f>
        <v>SMITH MICHAEL</v>
      </c>
      <c r="M144" s="6">
        <f t="shared" si="94"/>
        <v>2.4687500001164153E-2</v>
      </c>
      <c r="N144" s="7">
        <f t="shared" si="104"/>
        <v>35.550000001676381</v>
      </c>
      <c r="O144" s="7"/>
      <c r="P144" s="7"/>
      <c r="Q144" s="23"/>
      <c r="R144" s="23"/>
      <c r="S144" s="32">
        <f t="shared" si="105"/>
        <v>1</v>
      </c>
      <c r="T144" s="47" t="str">
        <f t="shared" si="95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20:09:52-700',mode:absolute,to:'2017-01-14 23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144" s="49" t="str">
        <f t="shared" si="96"/>
        <v>N</v>
      </c>
      <c r="X144" s="173">
        <f t="shared" si="107"/>
        <v>1</v>
      </c>
      <c r="Y144" s="64">
        <f t="shared" si="97"/>
        <v>4.6899999999999997E-2</v>
      </c>
      <c r="Z144" s="64">
        <f t="shared" si="106"/>
        <v>23.3307</v>
      </c>
      <c r="AA144" s="64">
        <f t="shared" si="112"/>
        <v>23.283799999999999</v>
      </c>
      <c r="AB144" s="61" t="e">
        <f>VLOOKUP(A144,Enforcements!$C$7:$K$15,8,0)</f>
        <v>#N/A</v>
      </c>
      <c r="AC144" s="57" t="e">
        <f>VLOOKUP(A144,Enforcements!$C$7:$E$15,3,0)</f>
        <v>#N/A</v>
      </c>
      <c r="AD144" s="58" t="str">
        <f t="shared" si="99"/>
        <v>0231-14</v>
      </c>
      <c r="AE144" s="87" t="str">
        <f t="shared" si="100"/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AF144" s="84" t="str">
        <f t="shared" si="101"/>
        <v>"C:\Program Files (x86)\AstroGrep\AstroGrep.exe" /spath="%USERPROFILE%\AppData\Local\Temp\OnboardLogs" /stypes="app*4031*20170115*" /stext=" 05:.+((SYSTEM_STATE.+slice.+state.+changed )|(ment ac)|(multiple cpu faults)|(system.+state.+changed )|(\[timeout)|(PRM\|1\|D)|(kpr)|(kdp)|(\|lc)|(penalty))" /e /r /s</v>
      </c>
      <c r="AG144" s="1" t="str">
        <f t="shared" si="102"/>
        <v>EC</v>
      </c>
      <c r="AH144" s="88" t="str">
        <f t="shared" si="108"/>
        <v>"%USERPROFILE%\Documents\GitHub\eaglep3\Utilities\RefineRTDCRunTimes.py" --tripid 231-14 --locoid 4031 --swversion DE.1.0.8.0 --startMP 204:469 --initTime 2017-01-14T21:09:52 --startdatetime 2017-01-14T21:30:24 --delay 1 --endMP 204:233307 --enddatetime 2017-01-14T22:05:57 --enforcementcount 0 &gt;&gt;C:\Users\stu\Documents\GitHub\eaglep3-reporting\EC\2017-01-14-refined-times.txt</v>
      </c>
      <c r="AI144" s="115" t="str">
        <f t="shared" si="109"/>
        <v>echo {"issue":{"subject":"","project_id":79,"tracker_id":40,"status_id":1,"priority_id":2,"assigned_to_id":23,"start_date":"2017-01-14","description":"","custom_fields":[{"id":1,"name":"Subdivision","value":"EC"},{"id":4,"name":"Milepost","value":"23.3307"},{"id":17,"name":"Train ID","value":"231-14"},{"id":16,"name":"Locomotive ID","value":"4031"},{"id":130,"name":"Impact","value":""},{"id":150,"name":"Time of Event (Mountain Time)","value":"22:05:57"},{"id":151,"name":"Denver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110"/>
        <v>start /low /b %USERPROFILE%\Documents\GitHub\eaglep3\Utilities\DownloadLogsFromS3.py --loco 4031 --day 2017-01-14</v>
      </c>
      <c r="AN144" s="189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"%USERPROFILE%\AppData\Local\Temp\OnboardLogs"\RTDC4031\*4031*20170115* | grep -SE "(Enforcement Action)|(\[TIMEOUT)|(CHR.+\|PRM\|1\|D.+(SWITCH|SIGNAL).+UNKNOWN)" - &gt;&gt; 2017-01-14-UncaughtWiMAX.txt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816</v>
      </c>
      <c r="B145" s="7"/>
      <c r="C145" s="22"/>
      <c r="D145" s="22"/>
      <c r="E145" s="13"/>
      <c r="F145" s="13"/>
      <c r="G145" s="7"/>
      <c r="H145" s="22"/>
      <c r="I145" s="13"/>
      <c r="J145" s="7"/>
      <c r="K145" s="105"/>
      <c r="L145" s="22"/>
      <c r="M145" s="6"/>
      <c r="N145" s="7"/>
      <c r="O145" s="7"/>
      <c r="P145" s="7">
        <v>1</v>
      </c>
      <c r="Q145" s="23"/>
      <c r="R145" s="23" t="s">
        <v>882</v>
      </c>
      <c r="S145" s="32">
        <v>0</v>
      </c>
      <c r="T145" s="47" t="str">
        <f t="shared" si="95"/>
        <v>Southbound</v>
      </c>
      <c r="U145" s="167"/>
      <c r="V145" s="94" t="e">
        <f t="shared" si="111"/>
        <v>#VALUE!</v>
      </c>
      <c r="W145" s="49"/>
      <c r="X145" s="173">
        <f t="shared" si="107"/>
        <v>1</v>
      </c>
      <c r="Y145" s="64"/>
      <c r="Z145" s="64"/>
      <c r="AA145" s="64"/>
      <c r="AB145" s="61"/>
      <c r="AC145" s="57"/>
      <c r="AD145" s="58" t="str">
        <f t="shared" si="99"/>
        <v>0232-14</v>
      </c>
      <c r="AE145" s="87"/>
      <c r="AF145" s="84"/>
      <c r="AG145" s="1" t="str">
        <f t="shared" si="102"/>
        <v>EC</v>
      </c>
      <c r="AH145" s="88"/>
      <c r="AI145" s="115"/>
      <c r="AJ145" s="50"/>
      <c r="AK145" s="50"/>
      <c r="AL145" s="50"/>
      <c r="AM145" s="180"/>
      <c r="AN145" s="189"/>
    </row>
    <row r="146" spans="1:91" s="21" customFormat="1" x14ac:dyDescent="0.25">
      <c r="A146" s="34" t="s">
        <v>453</v>
      </c>
      <c r="B146" s="7">
        <v>4003</v>
      </c>
      <c r="C146" s="22" t="s">
        <v>201</v>
      </c>
      <c r="D146" s="22" t="s">
        <v>750</v>
      </c>
      <c r="E146" s="13">
        <v>42749.903749999998</v>
      </c>
      <c r="F146" s="13">
        <v>42749.917002314818</v>
      </c>
      <c r="G146" s="7">
        <v>1</v>
      </c>
      <c r="H146" s="22" t="s">
        <v>751</v>
      </c>
      <c r="I146" s="13">
        <v>42749.94159722222</v>
      </c>
      <c r="J146" s="7">
        <v>0</v>
      </c>
      <c r="K146" s="105" t="str">
        <f>IF(ISEVEN(B146),(B146-1)&amp;"/"&amp;B146,B146&amp;"/"&amp;(B146+1))</f>
        <v>4003/4004</v>
      </c>
      <c r="L146" s="22" t="str">
        <f>VLOOKUP(A146,'Trips&amp;Operators'!$C$1:$G$99999,5,FALSE)</f>
        <v>STAMBAUGH JAMES</v>
      </c>
      <c r="M146" s="6">
        <f>I146-F146</f>
        <v>2.4594907401478849E-2</v>
      </c>
      <c r="N146" s="7">
        <f>24*60*SUM($M146:$M146)</f>
        <v>35.416666658129543</v>
      </c>
      <c r="O146" s="7"/>
      <c r="P146" s="7"/>
      <c r="Q146" s="23"/>
      <c r="R146" s="23"/>
      <c r="S146" s="32">
        <f>SUM(U146:U146)/IF(AG146="EC",12,1)</f>
        <v>1</v>
      </c>
      <c r="T146" s="47" t="str">
        <f t="shared" si="95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20:41:24-700',mode:absolute,to:'2017-01-14 23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146" s="49" t="str">
        <f>IF(AA146&lt;IF(AG146="EC",23,5.65),"Y","N")</f>
        <v>N</v>
      </c>
      <c r="X146" s="173">
        <f t="shared" si="107"/>
        <v>1</v>
      </c>
      <c r="Y146" s="64">
        <f>RIGHT(D146,LEN(D146)-4)/10000</f>
        <v>4.3099999999999999E-2</v>
      </c>
      <c r="Z146" s="64">
        <f>RIGHT(H146,LEN(H146)-4)/10000</f>
        <v>23.2849</v>
      </c>
      <c r="AA146" s="64">
        <f>ABS(Z146-Y146)</f>
        <v>23.241800000000001</v>
      </c>
      <c r="AB146" s="61" t="e">
        <f>VLOOKUP(A146,Enforcements!$C$7:$K$15,8,0)</f>
        <v>#N/A</v>
      </c>
      <c r="AC146" s="57" t="e">
        <f>VLOOKUP(A146,Enforcements!$C$7:$E$15,3,0)</f>
        <v>#N/A</v>
      </c>
      <c r="AD146" s="58" t="str">
        <f t="shared" si="99"/>
        <v>0233-14</v>
      </c>
      <c r="AE146" s="87" t="str">
        <f t="shared" ref="AE146:AE177" si="113"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AF146" s="84" t="str">
        <f t="shared" ref="AF146:AF177" si="114"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/stypes="app*4003*20170115*" /stext=" 05:.+((SYSTEM_STATE.+slice.+state.+changed )|(ment ac)|(multiple cpu faults)|(system.+state.+changed )|(\[timeout)|(PRM\|1\|D)|(kpr)|(kdp)|(\|lc)|(penalty))" /e /r /s</v>
      </c>
      <c r="AG146" s="1" t="str">
        <f t="shared" si="102"/>
        <v>EC</v>
      </c>
      <c r="AH146" s="88" t="str">
        <f t="shared" si="108"/>
        <v>"%USERPROFILE%\Documents\GitHub\eaglep3\Utilities\RefineRTDCRunTimes.py" --tripid 233-14 --locoid 4003 --swversion DE.1.0.8.0 --startMP 204:431 --initTime 2017-01-14T21:41:24 --startdatetime 2017-01-14T22:00:29 --delay 1 --endMP 204:232849 --enddatetime 2017-01-14T22:35:54 --enforcementcount 0 &gt;&gt;C:\Users\stu\Documents\GitHub\eaglep3-reporting\EC\2017-01-14-refined-times.txt</v>
      </c>
      <c r="AI146" s="115" t="str">
        <f t="shared" si="109"/>
        <v>echo {"issue":{"subject":"","project_id":79,"tracker_id":40,"status_id":1,"priority_id":2,"assigned_to_id":23,"start_date":"2017-01-14","description":"","custom_fields":[{"id":1,"name":"Subdivision","value":"EC"},{"id":4,"name":"Milepost","value":"23.2849"},{"id":17,"name":"Train ID","value":"233-14"},{"id":16,"name":"Locomotive ID","value":"4003"},{"id":130,"name":"Impact","value":""},{"id":150,"name":"Time of Event (Mountain Time)","value":"22:35:54"},{"id":151,"name":"Denver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110"/>
        <v>start /low /b %USERPROFILE%\Documents\GitHub\eaglep3\Utilities\DownloadLogsFromS3.py --loco 4003 --day 2017-01-14</v>
      </c>
      <c r="AN146" s="189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"%USERPROFILE%\AppData\Local\Temp\OnboardLogs"\RTDC4003\*4003*20170115* | grep -SE "(Enforcement Action)|(\[TIMEOUT)|(CHR.+\|PRM\|1\|D.+(SWITCH|SIGNAL).+UNKNOWN)" - &gt;&gt; 2017-01-14-UncaughtWiMAX.txt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817</v>
      </c>
      <c r="B147" s="7"/>
      <c r="C147" s="22" t="s">
        <v>201</v>
      </c>
      <c r="D147" s="22" t="s">
        <v>750</v>
      </c>
      <c r="E147" s="13">
        <v>42749.903749999998</v>
      </c>
      <c r="F147" s="13"/>
      <c r="G147" s="7"/>
      <c r="H147" s="22"/>
      <c r="I147" s="13"/>
      <c r="J147" s="7">
        <v>0</v>
      </c>
      <c r="K147" s="105" t="str">
        <f t="shared" ref="K147:K157" si="115">IF(ISEVEN(B147),(B147-1)&amp;"/"&amp;B147,B147&amp;"/"&amp;(B147+1))</f>
        <v>-1/</v>
      </c>
      <c r="L147" s="22" t="e">
        <f>VLOOKUP(A147,'Trips&amp;Operators'!$C$1:$G$99999,5,FALSE)</f>
        <v>#N/A</v>
      </c>
      <c r="M147" s="6">
        <f t="shared" ref="M147:M157" si="116">I147-F147</f>
        <v>0</v>
      </c>
      <c r="N147" s="7"/>
      <c r="O147" s="7"/>
      <c r="P147" s="7">
        <v>1</v>
      </c>
      <c r="Q147" s="23"/>
      <c r="R147" s="23" t="s">
        <v>882</v>
      </c>
      <c r="S147" s="32">
        <f t="shared" ref="S147:S157" si="117">SUM(U147:U147)/IF(AG147="EC",12,1)</f>
        <v>0</v>
      </c>
      <c r="T147" s="47" t="str">
        <f t="shared" ref="T147:T157" si="118">IF(ISEVEN(LEFT(AD147,4)),"Southbound","NorthBound")</f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0</v>
      </c>
      <c r="V147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47" s="49" t="e">
        <f t="shared" ref="W147:W157" si="119">IF(AA147&lt;IF(AG147="EC",23,5.65),"Y","N")</f>
        <v>#VALUE!</v>
      </c>
      <c r="X147" s="173">
        <f t="shared" si="107"/>
        <v>1</v>
      </c>
      <c r="Y147" s="64">
        <f t="shared" ref="Y147:Y157" si="120">RIGHT(D147,LEN(D147)-4)/10000</f>
        <v>4.3099999999999999E-2</v>
      </c>
      <c r="Z147" s="64" t="e">
        <f t="shared" ref="Z147:Z157" si="121">RIGHT(H147,LEN(H147)-4)/10000</f>
        <v>#VALUE!</v>
      </c>
      <c r="AA147" s="64" t="e">
        <f t="shared" ref="AA147:AA157" si="122">ABS(Z147-Y147)</f>
        <v>#VALUE!</v>
      </c>
      <c r="AB147" s="61" t="e">
        <f>VLOOKUP(A147,Enforcements!$C$7:$K$15,8,0)</f>
        <v>#N/A</v>
      </c>
      <c r="AC147" s="57" t="e">
        <f>VLOOKUP(A147,Enforcements!$C$7:$E$15,3,0)</f>
        <v>#N/A</v>
      </c>
      <c r="AD147" s="58" t="str">
        <f t="shared" ref="AD147:AD157" si="123">IF(LEN(A147)=6,"0"&amp;A147,A147)</f>
        <v>0234-14</v>
      </c>
      <c r="AE147" s="87" t="str">
        <f t="shared" si="11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7" s="84" t="str">
        <f t="shared" si="11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7" s="1" t="str">
        <f t="shared" ref="AG147:AG157" si="124">IFERROR(IF(VALUE(LEFT(AD147,2))&lt;=2,"EC",IF(OR(VALUE(LEFT(AD147,2))=8,VALUE(LEFT(AD147,2))=18),"NW","Other")),"Other")</f>
        <v>EC</v>
      </c>
      <c r="AH147" s="88" t="str">
        <f t="shared" ref="AH147:AH157" si="125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234-14 --locoid  --swversion DE.1.0.8.0 --startMP 204:431 --initTime 2017-01-14T21:41:24 --startdatetime 1900-01-00T00:00:00 --delay  --endMP  --enddatetime 1900-01-00T00:00:00 --enforcementcount 0 &gt;&gt;C:\Users\stu\Documents\GitHub\eaglep3-reporting\EC\2017-01-14-refined-times.txt</v>
      </c>
      <c r="AI147" s="115" t="e">
        <f t="shared" ref="AI147:AI157" si="126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#VALUE!</v>
      </c>
      <c r="AJ147" s="50"/>
      <c r="AK147" s="50"/>
      <c r="AL147" s="50"/>
      <c r="AM147" s="180" t="str">
        <f t="shared" ref="AM147:AM157" si="127">"start /low /b "&amp;dls3logs&amp;" --loco "&amp;B147&amp;" --day "&amp;TEXT(F147,"YYYY-MM-DD")</f>
        <v>start /low /b %USERPROFILE%\Documents\GitHub\eaglep3\Utilities\DownloadLogsFromS3.py --loco  --day 1900-01-00</v>
      </c>
      <c r="AN147" s="189" t="e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#DIV/0!</v>
      </c>
    </row>
    <row r="148" spans="1:91" s="21" customFormat="1" x14ac:dyDescent="0.25">
      <c r="A148" s="34" t="s">
        <v>818</v>
      </c>
      <c r="B148" s="7"/>
      <c r="C148" s="22" t="s">
        <v>201</v>
      </c>
      <c r="D148" s="22" t="s">
        <v>750</v>
      </c>
      <c r="E148" s="13">
        <v>42749.903749999998</v>
      </c>
      <c r="F148" s="13"/>
      <c r="G148" s="7"/>
      <c r="H148" s="22"/>
      <c r="I148" s="13"/>
      <c r="J148" s="7">
        <v>0</v>
      </c>
      <c r="K148" s="105" t="str">
        <f t="shared" si="115"/>
        <v>-1/</v>
      </c>
      <c r="L148" s="22" t="e">
        <f>VLOOKUP(A148,'Trips&amp;Operators'!$C$1:$G$99999,5,FALSE)</f>
        <v>#N/A</v>
      </c>
      <c r="M148" s="6">
        <f t="shared" si="116"/>
        <v>0</v>
      </c>
      <c r="N148" s="7"/>
      <c r="O148" s="7"/>
      <c r="P148" s="7">
        <v>1</v>
      </c>
      <c r="Q148" s="23"/>
      <c r="R148" s="23" t="s">
        <v>882</v>
      </c>
      <c r="S148" s="32">
        <f t="shared" si="117"/>
        <v>0</v>
      </c>
      <c r="T148" s="47" t="str">
        <f t="shared" si="118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48" s="49" t="e">
        <f t="shared" si="119"/>
        <v>#VALUE!</v>
      </c>
      <c r="X148" s="173">
        <f t="shared" si="107"/>
        <v>1</v>
      </c>
      <c r="Y148" s="64">
        <f t="shared" si="120"/>
        <v>4.3099999999999999E-2</v>
      </c>
      <c r="Z148" s="64" t="e">
        <f t="shared" si="121"/>
        <v>#VALUE!</v>
      </c>
      <c r="AA148" s="64" t="e">
        <f t="shared" si="122"/>
        <v>#VALUE!</v>
      </c>
      <c r="AB148" s="61" t="e">
        <f>VLOOKUP(A148,Enforcements!$C$7:$K$15,8,0)</f>
        <v>#N/A</v>
      </c>
      <c r="AC148" s="57" t="e">
        <f>VLOOKUP(A148,Enforcements!$C$7:$E$15,3,0)</f>
        <v>#N/A</v>
      </c>
      <c r="AD148" s="58" t="str">
        <f t="shared" si="123"/>
        <v>0235-14</v>
      </c>
      <c r="AE148" s="87" t="str">
        <f t="shared" si="11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8" s="84" t="str">
        <f t="shared" si="11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8" s="1" t="str">
        <f t="shared" si="124"/>
        <v>EC</v>
      </c>
      <c r="AH148" s="88" t="str">
        <f t="shared" si="125"/>
        <v>"%USERPROFILE%\Documents\GitHub\eaglep3\Utilities\RefineRTDCRunTimes.py" --tripid 235-14 --locoid  --swversion DE.1.0.8.0 --startMP 204:431 --initTime 2017-01-14T21:41:24 --startdatetime 1900-01-00T00:00:00 --delay  --endMP  --enddatetime 1900-01-00T00:00:00 --enforcementcount 0 &gt;&gt;C:\Users\stu\Documents\GitHub\eaglep3-reporting\EC\2017-01-14-refined-times.txt</v>
      </c>
      <c r="AI148" s="115" t="e">
        <f t="shared" si="126"/>
        <v>#VALUE!</v>
      </c>
      <c r="AJ148" s="50"/>
      <c r="AK148" s="50"/>
      <c r="AL148" s="50"/>
      <c r="AM148" s="180" t="str">
        <f t="shared" si="127"/>
        <v>start /low /b %USERPROFILE%\Documents\GitHub\eaglep3\Utilities\DownloadLogsFromS3.py --loco  --day 1900-01-00</v>
      </c>
      <c r="AN148" s="189" t="e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#DIV/0!</v>
      </c>
    </row>
    <row r="149" spans="1:91" s="21" customFormat="1" x14ac:dyDescent="0.25">
      <c r="A149" s="34" t="s">
        <v>819</v>
      </c>
      <c r="B149" s="7"/>
      <c r="C149" s="22" t="s">
        <v>201</v>
      </c>
      <c r="D149" s="22" t="s">
        <v>750</v>
      </c>
      <c r="E149" s="13">
        <v>42749.903749999998</v>
      </c>
      <c r="F149" s="13"/>
      <c r="G149" s="7"/>
      <c r="H149" s="22"/>
      <c r="I149" s="13"/>
      <c r="J149" s="7">
        <v>0</v>
      </c>
      <c r="K149" s="105" t="str">
        <f t="shared" si="115"/>
        <v>-1/</v>
      </c>
      <c r="L149" s="22" t="e">
        <f>VLOOKUP(A149,'Trips&amp;Operators'!$C$1:$G$99999,5,FALSE)</f>
        <v>#N/A</v>
      </c>
      <c r="M149" s="6">
        <f t="shared" si="116"/>
        <v>0</v>
      </c>
      <c r="N149" s="7"/>
      <c r="O149" s="7"/>
      <c r="P149" s="7">
        <v>1</v>
      </c>
      <c r="Q149" s="23"/>
      <c r="R149" s="23" t="s">
        <v>882</v>
      </c>
      <c r="S149" s="32">
        <f t="shared" si="117"/>
        <v>0</v>
      </c>
      <c r="T149" s="47" t="str">
        <f t="shared" si="118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0</v>
      </c>
      <c r="V149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49" s="49" t="e">
        <f t="shared" si="119"/>
        <v>#VALUE!</v>
      </c>
      <c r="X149" s="173">
        <f t="shared" si="107"/>
        <v>1</v>
      </c>
      <c r="Y149" s="64">
        <f t="shared" si="120"/>
        <v>4.3099999999999999E-2</v>
      </c>
      <c r="Z149" s="64" t="e">
        <f t="shared" si="121"/>
        <v>#VALUE!</v>
      </c>
      <c r="AA149" s="64" t="e">
        <f t="shared" si="122"/>
        <v>#VALUE!</v>
      </c>
      <c r="AB149" s="61" t="e">
        <f>VLOOKUP(A149,Enforcements!$C$7:$K$15,8,0)</f>
        <v>#N/A</v>
      </c>
      <c r="AC149" s="57" t="e">
        <f>VLOOKUP(A149,Enforcements!$C$7:$E$15,3,0)</f>
        <v>#N/A</v>
      </c>
      <c r="AD149" s="58" t="str">
        <f t="shared" si="123"/>
        <v>0236-14</v>
      </c>
      <c r="AE149" s="87" t="str">
        <f t="shared" si="11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9" s="84" t="str">
        <f t="shared" si="11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9" s="1" t="str">
        <f t="shared" si="124"/>
        <v>EC</v>
      </c>
      <c r="AH149" s="88" t="str">
        <f t="shared" si="125"/>
        <v>"%USERPROFILE%\Documents\GitHub\eaglep3\Utilities\RefineRTDCRunTimes.py" --tripid 236-14 --locoid  --swversion DE.1.0.8.0 --startMP 204:431 --initTime 2017-01-14T21:41:24 --startdatetime 1900-01-00T00:00:00 --delay  --endMP  --enddatetime 1900-01-00T00:00:00 --enforcementcount 0 &gt;&gt;C:\Users\stu\Documents\GitHub\eaglep3-reporting\EC\2017-01-14-refined-times.txt</v>
      </c>
      <c r="AI149" s="115" t="e">
        <f t="shared" si="126"/>
        <v>#VALUE!</v>
      </c>
      <c r="AJ149" s="50"/>
      <c r="AK149" s="50"/>
      <c r="AL149" s="50"/>
      <c r="AM149" s="180" t="str">
        <f t="shared" si="127"/>
        <v>start /low /b %USERPROFILE%\Documents\GitHub\eaglep3\Utilities\DownloadLogsFromS3.py --loco  --day 1900-01-00</v>
      </c>
      <c r="AN149" s="189" t="e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#DIV/0!</v>
      </c>
    </row>
    <row r="150" spans="1:91" s="21" customFormat="1" x14ac:dyDescent="0.25">
      <c r="A150" s="34" t="s">
        <v>820</v>
      </c>
      <c r="B150" s="7"/>
      <c r="C150" s="22" t="s">
        <v>201</v>
      </c>
      <c r="D150" s="22" t="s">
        <v>750</v>
      </c>
      <c r="E150" s="13">
        <v>42749.903749999998</v>
      </c>
      <c r="F150" s="13"/>
      <c r="G150" s="7"/>
      <c r="H150" s="22"/>
      <c r="I150" s="13"/>
      <c r="J150" s="7">
        <v>0</v>
      </c>
      <c r="K150" s="105" t="str">
        <f t="shared" si="115"/>
        <v>-1/</v>
      </c>
      <c r="L150" s="22" t="e">
        <f>VLOOKUP(A150,'Trips&amp;Operators'!$C$1:$G$99999,5,FALSE)</f>
        <v>#N/A</v>
      </c>
      <c r="M150" s="6">
        <f t="shared" si="116"/>
        <v>0</v>
      </c>
      <c r="N150" s="7"/>
      <c r="O150" s="7"/>
      <c r="P150" s="7">
        <v>1</v>
      </c>
      <c r="Q150" s="23"/>
      <c r="R150" s="23" t="s">
        <v>882</v>
      </c>
      <c r="S150" s="32">
        <f t="shared" si="117"/>
        <v>0</v>
      </c>
      <c r="T150" s="47" t="str">
        <f t="shared" si="118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0" s="49" t="e">
        <f t="shared" si="119"/>
        <v>#VALUE!</v>
      </c>
      <c r="X150" s="173">
        <f t="shared" si="107"/>
        <v>1</v>
      </c>
      <c r="Y150" s="64">
        <f t="shared" si="120"/>
        <v>4.3099999999999999E-2</v>
      </c>
      <c r="Z150" s="64" t="e">
        <f t="shared" si="121"/>
        <v>#VALUE!</v>
      </c>
      <c r="AA150" s="64" t="e">
        <f t="shared" si="122"/>
        <v>#VALUE!</v>
      </c>
      <c r="AB150" s="61" t="e">
        <f>VLOOKUP(A150,Enforcements!$C$7:$K$15,8,0)</f>
        <v>#N/A</v>
      </c>
      <c r="AC150" s="57" t="e">
        <f>VLOOKUP(A150,Enforcements!$C$7:$E$15,3,0)</f>
        <v>#N/A</v>
      </c>
      <c r="AD150" s="58" t="str">
        <f t="shared" si="123"/>
        <v>0237-14</v>
      </c>
      <c r="AE150" s="87" t="str">
        <f t="shared" si="11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0" s="84" t="str">
        <f t="shared" si="11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0" s="1" t="str">
        <f t="shared" si="124"/>
        <v>EC</v>
      </c>
      <c r="AH150" s="88" t="str">
        <f t="shared" si="125"/>
        <v>"%USERPROFILE%\Documents\GitHub\eaglep3\Utilities\RefineRTDCRunTimes.py" --tripid 237-14 --locoid  --swversion DE.1.0.8.0 --startMP 204:431 --initTime 2017-01-14T21:41:24 --startdatetime 1900-01-00T00:00:00 --delay  --endMP  --enddatetime 1900-01-00T00:00:00 --enforcementcount 0 &gt;&gt;C:\Users\stu\Documents\GitHub\eaglep3-reporting\EC\2017-01-14-refined-times.txt</v>
      </c>
      <c r="AI150" s="115" t="e">
        <f t="shared" si="126"/>
        <v>#VALUE!</v>
      </c>
      <c r="AJ150" s="50"/>
      <c r="AK150" s="50"/>
      <c r="AL150" s="50"/>
      <c r="AM150" s="180" t="str">
        <f t="shared" si="127"/>
        <v>start /low /b %USERPROFILE%\Documents\GitHub\eaglep3\Utilities\DownloadLogsFromS3.py --loco  --day 1900-01-00</v>
      </c>
      <c r="AN150" s="189" t="e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#DIV/0!</v>
      </c>
    </row>
    <row r="151" spans="1:91" s="21" customFormat="1" x14ac:dyDescent="0.25">
      <c r="A151" s="34" t="s">
        <v>821</v>
      </c>
      <c r="B151" s="7"/>
      <c r="C151" s="22" t="s">
        <v>201</v>
      </c>
      <c r="D151" s="22" t="s">
        <v>750</v>
      </c>
      <c r="E151" s="13">
        <v>42749.903749999998</v>
      </c>
      <c r="F151" s="13"/>
      <c r="G151" s="7"/>
      <c r="H151" s="22"/>
      <c r="I151" s="13"/>
      <c r="J151" s="7">
        <v>0</v>
      </c>
      <c r="K151" s="105" t="str">
        <f t="shared" si="115"/>
        <v>-1/</v>
      </c>
      <c r="L151" s="22" t="e">
        <f>VLOOKUP(A151,'Trips&amp;Operators'!$C$1:$G$99999,5,FALSE)</f>
        <v>#N/A</v>
      </c>
      <c r="M151" s="6">
        <f t="shared" si="116"/>
        <v>0</v>
      </c>
      <c r="N151" s="7"/>
      <c r="O151" s="7"/>
      <c r="P151" s="7">
        <v>1</v>
      </c>
      <c r="Q151" s="23"/>
      <c r="R151" s="23" t="s">
        <v>882</v>
      </c>
      <c r="S151" s="32">
        <f t="shared" si="117"/>
        <v>0</v>
      </c>
      <c r="T151" s="47" t="str">
        <f t="shared" si="118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1" s="49" t="e">
        <f t="shared" si="119"/>
        <v>#VALUE!</v>
      </c>
      <c r="X151" s="173">
        <f t="shared" si="107"/>
        <v>1</v>
      </c>
      <c r="Y151" s="64">
        <f t="shared" si="120"/>
        <v>4.3099999999999999E-2</v>
      </c>
      <c r="Z151" s="64" t="e">
        <f t="shared" si="121"/>
        <v>#VALUE!</v>
      </c>
      <c r="AA151" s="64" t="e">
        <f t="shared" si="122"/>
        <v>#VALUE!</v>
      </c>
      <c r="AB151" s="61" t="e">
        <f>VLOOKUP(A151,Enforcements!$C$7:$K$15,8,0)</f>
        <v>#N/A</v>
      </c>
      <c r="AC151" s="57" t="e">
        <f>VLOOKUP(A151,Enforcements!$C$7:$E$15,3,0)</f>
        <v>#N/A</v>
      </c>
      <c r="AD151" s="58" t="str">
        <f t="shared" si="123"/>
        <v>0238-14</v>
      </c>
      <c r="AE151" s="87" t="str">
        <f t="shared" si="11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1" s="84" t="str">
        <f t="shared" si="11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1" s="1" t="str">
        <f t="shared" si="124"/>
        <v>EC</v>
      </c>
      <c r="AH151" s="88" t="str">
        <f t="shared" si="125"/>
        <v>"%USERPROFILE%\Documents\GitHub\eaglep3\Utilities\RefineRTDCRunTimes.py" --tripid 238-14 --locoid  --swversion DE.1.0.8.0 --startMP 204:431 --initTime 2017-01-14T21:41:24 --startdatetime 1900-01-00T00:00:00 --delay  --endMP  --enddatetime 1900-01-00T00:00:00 --enforcementcount 0 &gt;&gt;C:\Users\stu\Documents\GitHub\eaglep3-reporting\EC\2017-01-14-refined-times.txt</v>
      </c>
      <c r="AI151" s="115" t="e">
        <f t="shared" si="126"/>
        <v>#VALUE!</v>
      </c>
      <c r="AJ151" s="50"/>
      <c r="AK151" s="50"/>
      <c r="AL151" s="50"/>
      <c r="AM151" s="180" t="str">
        <f t="shared" si="127"/>
        <v>start /low /b %USERPROFILE%\Documents\GitHub\eaglep3\Utilities\DownloadLogsFromS3.py --loco  --day 1900-01-00</v>
      </c>
      <c r="AN151" s="189" t="e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#DIV/0!</v>
      </c>
    </row>
    <row r="152" spans="1:91" s="21" customFormat="1" x14ac:dyDescent="0.25">
      <c r="A152" s="34" t="s">
        <v>822</v>
      </c>
      <c r="B152" s="7"/>
      <c r="C152" s="22" t="s">
        <v>201</v>
      </c>
      <c r="D152" s="22" t="s">
        <v>750</v>
      </c>
      <c r="E152" s="13">
        <v>42749.903749999998</v>
      </c>
      <c r="F152" s="13"/>
      <c r="G152" s="7"/>
      <c r="H152" s="22"/>
      <c r="I152" s="13"/>
      <c r="J152" s="7">
        <v>0</v>
      </c>
      <c r="K152" s="105" t="str">
        <f t="shared" si="115"/>
        <v>-1/</v>
      </c>
      <c r="L152" s="22" t="e">
        <f>VLOOKUP(A152,'Trips&amp;Operators'!$C$1:$G$99999,5,FALSE)</f>
        <v>#N/A</v>
      </c>
      <c r="M152" s="6">
        <f t="shared" si="116"/>
        <v>0</v>
      </c>
      <c r="N152" s="7"/>
      <c r="O152" s="7"/>
      <c r="P152" s="7">
        <v>1</v>
      </c>
      <c r="Q152" s="23"/>
      <c r="R152" s="23" t="s">
        <v>882</v>
      </c>
      <c r="S152" s="32">
        <f t="shared" si="117"/>
        <v>0</v>
      </c>
      <c r="T152" s="47" t="str">
        <f t="shared" si="118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2" s="49" t="e">
        <f t="shared" si="119"/>
        <v>#VALUE!</v>
      </c>
      <c r="X152" s="173">
        <f t="shared" si="107"/>
        <v>1</v>
      </c>
      <c r="Y152" s="64">
        <f t="shared" si="120"/>
        <v>4.3099999999999999E-2</v>
      </c>
      <c r="Z152" s="64" t="e">
        <f t="shared" si="121"/>
        <v>#VALUE!</v>
      </c>
      <c r="AA152" s="64" t="e">
        <f t="shared" si="122"/>
        <v>#VALUE!</v>
      </c>
      <c r="AB152" s="61" t="e">
        <f>VLOOKUP(A152,Enforcements!$C$7:$K$15,8,0)</f>
        <v>#N/A</v>
      </c>
      <c r="AC152" s="57" t="e">
        <f>VLOOKUP(A152,Enforcements!$C$7:$E$15,3,0)</f>
        <v>#N/A</v>
      </c>
      <c r="AD152" s="58" t="str">
        <f t="shared" si="123"/>
        <v>0239-14</v>
      </c>
      <c r="AE152" s="87" t="str">
        <f t="shared" si="11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2" s="84" t="str">
        <f t="shared" si="11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2" s="1" t="str">
        <f t="shared" si="124"/>
        <v>EC</v>
      </c>
      <c r="AH152" s="88" t="str">
        <f t="shared" si="125"/>
        <v>"%USERPROFILE%\Documents\GitHub\eaglep3\Utilities\RefineRTDCRunTimes.py" --tripid 239-14 --locoid  --swversion DE.1.0.8.0 --startMP 204:431 --initTime 2017-01-14T21:41:24 --startdatetime 1900-01-00T00:00:00 --delay  --endMP  --enddatetime 1900-01-00T00:00:00 --enforcementcount 0 &gt;&gt;C:\Users\stu\Documents\GitHub\eaglep3-reporting\EC\2017-01-14-refined-times.txt</v>
      </c>
      <c r="AI152" s="115" t="e">
        <f t="shared" si="126"/>
        <v>#VALUE!</v>
      </c>
      <c r="AJ152" s="50"/>
      <c r="AK152" s="50"/>
      <c r="AL152" s="50"/>
      <c r="AM152" s="180" t="str">
        <f t="shared" si="127"/>
        <v>start /low /b %USERPROFILE%\Documents\GitHub\eaglep3\Utilities\DownloadLogsFromS3.py --loco  --day 1900-01-00</v>
      </c>
      <c r="AN152" s="189" t="e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#DIV/0!</v>
      </c>
    </row>
    <row r="153" spans="1:91" s="21" customFormat="1" x14ac:dyDescent="0.25">
      <c r="A153" s="34" t="s">
        <v>823</v>
      </c>
      <c r="B153" s="7"/>
      <c r="C153" s="22" t="s">
        <v>201</v>
      </c>
      <c r="D153" s="22" t="s">
        <v>750</v>
      </c>
      <c r="E153" s="13">
        <v>42749.903749999998</v>
      </c>
      <c r="F153" s="13"/>
      <c r="G153" s="7"/>
      <c r="H153" s="22"/>
      <c r="I153" s="13"/>
      <c r="J153" s="7">
        <v>0</v>
      </c>
      <c r="K153" s="105" t="str">
        <f t="shared" si="115"/>
        <v>-1/</v>
      </c>
      <c r="L153" s="22" t="e">
        <f>VLOOKUP(A153,'Trips&amp;Operators'!$C$1:$G$99999,5,FALSE)</f>
        <v>#N/A</v>
      </c>
      <c r="M153" s="6">
        <f t="shared" si="116"/>
        <v>0</v>
      </c>
      <c r="N153" s="7"/>
      <c r="O153" s="7"/>
      <c r="P153" s="7">
        <v>1</v>
      </c>
      <c r="Q153" s="23"/>
      <c r="R153" s="23" t="s">
        <v>882</v>
      </c>
      <c r="S153" s="32">
        <f t="shared" si="117"/>
        <v>0</v>
      </c>
      <c r="T153" s="47" t="str">
        <f t="shared" si="118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3" s="49" t="e">
        <f t="shared" si="119"/>
        <v>#VALUE!</v>
      </c>
      <c r="X153" s="173">
        <f t="shared" si="107"/>
        <v>1</v>
      </c>
      <c r="Y153" s="64">
        <f t="shared" si="120"/>
        <v>4.3099999999999999E-2</v>
      </c>
      <c r="Z153" s="64" t="e">
        <f t="shared" si="121"/>
        <v>#VALUE!</v>
      </c>
      <c r="AA153" s="64" t="e">
        <f t="shared" si="122"/>
        <v>#VALUE!</v>
      </c>
      <c r="AB153" s="61" t="e">
        <f>VLOOKUP(A153,Enforcements!$C$7:$K$15,8,0)</f>
        <v>#N/A</v>
      </c>
      <c r="AC153" s="57" t="e">
        <f>VLOOKUP(A153,Enforcements!$C$7:$E$15,3,0)</f>
        <v>#N/A</v>
      </c>
      <c r="AD153" s="58" t="str">
        <f t="shared" si="123"/>
        <v>0240-14</v>
      </c>
      <c r="AE153" s="87" t="str">
        <f t="shared" si="11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3" s="84" t="str">
        <f t="shared" si="11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3" s="1" t="str">
        <f t="shared" si="124"/>
        <v>EC</v>
      </c>
      <c r="AH153" s="88" t="str">
        <f t="shared" si="125"/>
        <v>"%USERPROFILE%\Documents\GitHub\eaglep3\Utilities\RefineRTDCRunTimes.py" --tripid 240-14 --locoid  --swversion DE.1.0.8.0 --startMP 204:431 --initTime 2017-01-14T21:41:24 --startdatetime 1900-01-00T00:00:00 --delay  --endMP  --enddatetime 1900-01-00T00:00:00 --enforcementcount 0 &gt;&gt;C:\Users\stu\Documents\GitHub\eaglep3-reporting\EC\2017-01-14-refined-times.txt</v>
      </c>
      <c r="AI153" s="115" t="e">
        <f t="shared" si="126"/>
        <v>#VALUE!</v>
      </c>
      <c r="AJ153" s="50"/>
      <c r="AK153" s="50"/>
      <c r="AL153" s="50"/>
      <c r="AM153" s="180" t="str">
        <f t="shared" si="127"/>
        <v>start /low /b %USERPROFILE%\Documents\GitHub\eaglep3\Utilities\DownloadLogsFromS3.py --loco  --day 1900-01-00</v>
      </c>
      <c r="AN153" s="189" t="e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#DIV/0!</v>
      </c>
    </row>
    <row r="154" spans="1:91" s="21" customFormat="1" x14ac:dyDescent="0.25">
      <c r="A154" s="34" t="s">
        <v>824</v>
      </c>
      <c r="B154" s="7"/>
      <c r="C154" s="22" t="s">
        <v>201</v>
      </c>
      <c r="D154" s="22" t="s">
        <v>750</v>
      </c>
      <c r="E154" s="13">
        <v>42749.903749999998</v>
      </c>
      <c r="F154" s="13"/>
      <c r="G154" s="7"/>
      <c r="H154" s="22"/>
      <c r="I154" s="13"/>
      <c r="J154" s="7">
        <v>0</v>
      </c>
      <c r="K154" s="105" t="str">
        <f t="shared" si="115"/>
        <v>-1/</v>
      </c>
      <c r="L154" s="22" t="e">
        <f>VLOOKUP(A154,'Trips&amp;Operators'!$C$1:$G$99999,5,FALSE)</f>
        <v>#N/A</v>
      </c>
      <c r="M154" s="6">
        <f t="shared" si="116"/>
        <v>0</v>
      </c>
      <c r="N154" s="7"/>
      <c r="O154" s="7"/>
      <c r="P154" s="7">
        <v>1</v>
      </c>
      <c r="Q154" s="23"/>
      <c r="R154" s="23" t="s">
        <v>882</v>
      </c>
      <c r="S154" s="32">
        <f t="shared" si="117"/>
        <v>0</v>
      </c>
      <c r="T154" s="47" t="str">
        <f t="shared" si="118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4" s="49" t="e">
        <f t="shared" si="119"/>
        <v>#VALUE!</v>
      </c>
      <c r="X154" s="173">
        <f t="shared" si="107"/>
        <v>1</v>
      </c>
      <c r="Y154" s="64">
        <f t="shared" si="120"/>
        <v>4.3099999999999999E-2</v>
      </c>
      <c r="Z154" s="64" t="e">
        <f t="shared" si="121"/>
        <v>#VALUE!</v>
      </c>
      <c r="AA154" s="64" t="e">
        <f t="shared" si="122"/>
        <v>#VALUE!</v>
      </c>
      <c r="AB154" s="61" t="e">
        <f>VLOOKUP(A154,Enforcements!$C$7:$K$15,8,0)</f>
        <v>#N/A</v>
      </c>
      <c r="AC154" s="57" t="e">
        <f>VLOOKUP(A154,Enforcements!$C$7:$E$15,3,0)</f>
        <v>#N/A</v>
      </c>
      <c r="AD154" s="58" t="str">
        <f t="shared" si="123"/>
        <v>0241-14</v>
      </c>
      <c r="AE154" s="87" t="str">
        <f t="shared" si="11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4" s="84" t="str">
        <f t="shared" si="11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4" s="1" t="str">
        <f t="shared" si="124"/>
        <v>EC</v>
      </c>
      <c r="AH154" s="88" t="str">
        <f t="shared" si="125"/>
        <v>"%USERPROFILE%\Documents\GitHub\eaglep3\Utilities\RefineRTDCRunTimes.py" --tripid 241-14 --locoid  --swversion DE.1.0.8.0 --startMP 204:431 --initTime 2017-01-14T21:41:24 --startdatetime 1900-01-00T00:00:00 --delay  --endMP  --enddatetime 1900-01-00T00:00:00 --enforcementcount 0 &gt;&gt;C:\Users\stu\Documents\GitHub\eaglep3-reporting\EC\2017-01-14-refined-times.txt</v>
      </c>
      <c r="AI154" s="115" t="e">
        <f t="shared" si="126"/>
        <v>#VALUE!</v>
      </c>
      <c r="AJ154" s="50"/>
      <c r="AK154" s="50"/>
      <c r="AL154" s="50"/>
      <c r="AM154" s="180" t="str">
        <f t="shared" si="127"/>
        <v>start /low /b %USERPROFILE%\Documents\GitHub\eaglep3\Utilities\DownloadLogsFromS3.py --loco  --day 1900-01-00</v>
      </c>
      <c r="AN154" s="189" t="e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#DIV/0!</v>
      </c>
    </row>
    <row r="155" spans="1:91" s="21" customFormat="1" x14ac:dyDescent="0.25">
      <c r="A155" s="34" t="s">
        <v>825</v>
      </c>
      <c r="B155" s="7"/>
      <c r="C155" s="22" t="s">
        <v>201</v>
      </c>
      <c r="D155" s="22" t="s">
        <v>750</v>
      </c>
      <c r="E155" s="13">
        <v>42749.903749999998</v>
      </c>
      <c r="F155" s="13"/>
      <c r="G155" s="7"/>
      <c r="H155" s="22"/>
      <c r="I155" s="13"/>
      <c r="J155" s="7">
        <v>0</v>
      </c>
      <c r="K155" s="105" t="str">
        <f t="shared" si="115"/>
        <v>-1/</v>
      </c>
      <c r="L155" s="22" t="e">
        <f>VLOOKUP(A155,'Trips&amp;Operators'!$C$1:$G$99999,5,FALSE)</f>
        <v>#N/A</v>
      </c>
      <c r="M155" s="6">
        <f t="shared" si="116"/>
        <v>0</v>
      </c>
      <c r="N155" s="7"/>
      <c r="O155" s="7"/>
      <c r="P155" s="7">
        <v>1</v>
      </c>
      <c r="Q155" s="23"/>
      <c r="R155" s="23" t="s">
        <v>882</v>
      </c>
      <c r="S155" s="32">
        <f t="shared" si="117"/>
        <v>0</v>
      </c>
      <c r="T155" s="47" t="str">
        <f t="shared" si="118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5" s="49" t="e">
        <f t="shared" si="119"/>
        <v>#VALUE!</v>
      </c>
      <c r="X155" s="173">
        <f t="shared" si="107"/>
        <v>1</v>
      </c>
      <c r="Y155" s="64">
        <f t="shared" si="120"/>
        <v>4.3099999999999999E-2</v>
      </c>
      <c r="Z155" s="64" t="e">
        <f t="shared" si="121"/>
        <v>#VALUE!</v>
      </c>
      <c r="AA155" s="64" t="e">
        <f t="shared" si="122"/>
        <v>#VALUE!</v>
      </c>
      <c r="AB155" s="61" t="e">
        <f>VLOOKUP(A155,Enforcements!$C$7:$K$15,8,0)</f>
        <v>#N/A</v>
      </c>
      <c r="AC155" s="57" t="e">
        <f>VLOOKUP(A155,Enforcements!$C$7:$E$15,3,0)</f>
        <v>#N/A</v>
      </c>
      <c r="AD155" s="58" t="str">
        <f t="shared" si="123"/>
        <v>0242-14</v>
      </c>
      <c r="AE155" s="87" t="str">
        <f t="shared" si="11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5" s="84" t="str">
        <f t="shared" si="11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5" s="1" t="str">
        <f t="shared" si="124"/>
        <v>EC</v>
      </c>
      <c r="AH155" s="88" t="str">
        <f t="shared" si="125"/>
        <v>"%USERPROFILE%\Documents\GitHub\eaglep3\Utilities\RefineRTDCRunTimes.py" --tripid 242-14 --locoid  --swversion DE.1.0.8.0 --startMP 204:431 --initTime 2017-01-14T21:41:24 --startdatetime 1900-01-00T00:00:00 --delay  --endMP  --enddatetime 1900-01-00T00:00:00 --enforcementcount 0 &gt;&gt;C:\Users\stu\Documents\GitHub\eaglep3-reporting\EC\2017-01-14-refined-times.txt</v>
      </c>
      <c r="AI155" s="115" t="e">
        <f t="shared" si="126"/>
        <v>#VALUE!</v>
      </c>
      <c r="AJ155" s="50"/>
      <c r="AK155" s="50"/>
      <c r="AL155" s="50"/>
      <c r="AM155" s="180" t="str">
        <f t="shared" si="127"/>
        <v>start /low /b %USERPROFILE%\Documents\GitHub\eaglep3\Utilities\DownloadLogsFromS3.py --loco  --day 1900-01-00</v>
      </c>
      <c r="AN155" s="189" t="e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#DIV/0!</v>
      </c>
    </row>
    <row r="156" spans="1:91" s="21" customFormat="1" x14ac:dyDescent="0.25">
      <c r="A156" s="34" t="s">
        <v>826</v>
      </c>
      <c r="B156" s="7"/>
      <c r="C156" s="22" t="s">
        <v>201</v>
      </c>
      <c r="D156" s="22" t="s">
        <v>750</v>
      </c>
      <c r="E156" s="13">
        <v>42749.903749999998</v>
      </c>
      <c r="F156" s="13"/>
      <c r="G156" s="7"/>
      <c r="H156" s="22"/>
      <c r="I156" s="13"/>
      <c r="J156" s="7">
        <v>0</v>
      </c>
      <c r="K156" s="105" t="str">
        <f t="shared" si="115"/>
        <v>-1/</v>
      </c>
      <c r="L156" s="22" t="e">
        <f>VLOOKUP(A156,'Trips&amp;Operators'!$C$1:$G$99999,5,FALSE)</f>
        <v>#N/A</v>
      </c>
      <c r="M156" s="6">
        <f t="shared" si="116"/>
        <v>0</v>
      </c>
      <c r="N156" s="7"/>
      <c r="O156" s="7"/>
      <c r="P156" s="7">
        <v>1</v>
      </c>
      <c r="Q156" s="23"/>
      <c r="R156" s="23" t="s">
        <v>882</v>
      </c>
      <c r="S156" s="32">
        <f t="shared" si="117"/>
        <v>0</v>
      </c>
      <c r="T156" s="47" t="str">
        <f t="shared" si="118"/>
        <v>NorthBound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6" s="49" t="e">
        <f t="shared" si="119"/>
        <v>#VALUE!</v>
      </c>
      <c r="X156" s="173">
        <f t="shared" si="107"/>
        <v>1</v>
      </c>
      <c r="Y156" s="64">
        <f t="shared" si="120"/>
        <v>4.3099999999999999E-2</v>
      </c>
      <c r="Z156" s="64" t="e">
        <f t="shared" si="121"/>
        <v>#VALUE!</v>
      </c>
      <c r="AA156" s="64" t="e">
        <f t="shared" si="122"/>
        <v>#VALUE!</v>
      </c>
      <c r="AB156" s="61" t="e">
        <f>VLOOKUP(A156,Enforcements!$C$7:$K$15,8,0)</f>
        <v>#N/A</v>
      </c>
      <c r="AC156" s="57" t="e">
        <f>VLOOKUP(A156,Enforcements!$C$7:$E$15,3,0)</f>
        <v>#N/A</v>
      </c>
      <c r="AD156" s="58" t="str">
        <f t="shared" si="123"/>
        <v>0243-14</v>
      </c>
      <c r="AE156" s="87" t="str">
        <f t="shared" si="11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6" s="84" t="str">
        <f t="shared" si="11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6" s="1" t="str">
        <f t="shared" si="124"/>
        <v>EC</v>
      </c>
      <c r="AH156" s="88" t="str">
        <f t="shared" si="125"/>
        <v>"%USERPROFILE%\Documents\GitHub\eaglep3\Utilities\RefineRTDCRunTimes.py" --tripid 243-14 --locoid  --swversion DE.1.0.8.0 --startMP 204:431 --initTime 2017-01-14T21:41:24 --startdatetime 1900-01-00T00:00:00 --delay  --endMP  --enddatetime 1900-01-00T00:00:00 --enforcementcount 0 &gt;&gt;C:\Users\stu\Documents\GitHub\eaglep3-reporting\EC\2017-01-14-refined-times.txt</v>
      </c>
      <c r="AI156" s="115" t="e">
        <f t="shared" si="126"/>
        <v>#VALUE!</v>
      </c>
      <c r="AJ156" s="50"/>
      <c r="AK156" s="50"/>
      <c r="AL156" s="50"/>
      <c r="AM156" s="180" t="str">
        <f t="shared" si="127"/>
        <v>start /low /b %USERPROFILE%\Documents\GitHub\eaglep3\Utilities\DownloadLogsFromS3.py --loco  --day 1900-01-00</v>
      </c>
      <c r="AN156" s="189" t="e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#DIV/0!</v>
      </c>
    </row>
    <row r="157" spans="1:91" s="21" customFormat="1" x14ac:dyDescent="0.25">
      <c r="A157" s="34" t="s">
        <v>827</v>
      </c>
      <c r="B157" s="7"/>
      <c r="C157" s="22" t="s">
        <v>201</v>
      </c>
      <c r="D157" s="22" t="s">
        <v>750</v>
      </c>
      <c r="E157" s="13">
        <v>42749.903749999998</v>
      </c>
      <c r="F157" s="13"/>
      <c r="G157" s="7"/>
      <c r="H157" s="22"/>
      <c r="I157" s="13"/>
      <c r="J157" s="7">
        <v>0</v>
      </c>
      <c r="K157" s="105" t="str">
        <f t="shared" si="115"/>
        <v>-1/</v>
      </c>
      <c r="L157" s="22" t="e">
        <f>VLOOKUP(A157,'Trips&amp;Operators'!$C$1:$G$99999,5,FALSE)</f>
        <v>#N/A</v>
      </c>
      <c r="M157" s="6">
        <f t="shared" si="116"/>
        <v>0</v>
      </c>
      <c r="N157" s="7"/>
      <c r="O157" s="7"/>
      <c r="P157" s="7">
        <v>1</v>
      </c>
      <c r="Q157" s="23"/>
      <c r="R157" s="23" t="s">
        <v>882</v>
      </c>
      <c r="S157" s="32">
        <f t="shared" si="117"/>
        <v>0</v>
      </c>
      <c r="T157" s="47" t="str">
        <f t="shared" si="118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20:41:24-700',mode:absolute,to:'1900-01-00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7" s="49" t="e">
        <f t="shared" si="119"/>
        <v>#VALUE!</v>
      </c>
      <c r="X157" s="173">
        <f t="shared" si="107"/>
        <v>1</v>
      </c>
      <c r="Y157" s="64">
        <f t="shared" si="120"/>
        <v>4.3099999999999999E-2</v>
      </c>
      <c r="Z157" s="64" t="e">
        <f t="shared" si="121"/>
        <v>#VALUE!</v>
      </c>
      <c r="AA157" s="64" t="e">
        <f t="shared" si="122"/>
        <v>#VALUE!</v>
      </c>
      <c r="AB157" s="61" t="e">
        <f>VLOOKUP(A157,Enforcements!$C$7:$K$15,8,0)</f>
        <v>#N/A</v>
      </c>
      <c r="AC157" s="57" t="e">
        <f>VLOOKUP(A157,Enforcements!$C$7:$E$15,3,0)</f>
        <v>#N/A</v>
      </c>
      <c r="AD157" s="58" t="str">
        <f t="shared" si="123"/>
        <v>0244-14</v>
      </c>
      <c r="AE157" s="87" t="str">
        <f t="shared" si="113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7" s="84" t="str">
        <f t="shared" si="114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7" s="1" t="str">
        <f t="shared" si="124"/>
        <v>EC</v>
      </c>
      <c r="AH157" s="88" t="str">
        <f t="shared" si="125"/>
        <v>"%USERPROFILE%\Documents\GitHub\eaglep3\Utilities\RefineRTDCRunTimes.py" --tripid 244-14 --locoid  --swversion DE.1.0.8.0 --startMP 204:431 --initTime 2017-01-14T21:41:24 --startdatetime 1900-01-00T00:00:00 --delay  --endMP  --enddatetime 1900-01-00T00:00:00 --enforcementcount 0 &gt;&gt;C:\Users\stu\Documents\GitHub\eaglep3-reporting\EC\2017-01-14-refined-times.txt</v>
      </c>
      <c r="AI157" s="115" t="e">
        <f t="shared" si="126"/>
        <v>#VALUE!</v>
      </c>
      <c r="AJ157" s="50"/>
      <c r="AK157" s="50"/>
      <c r="AL157" s="50"/>
      <c r="AM157" s="180" t="str">
        <f t="shared" si="127"/>
        <v>start /low /b %USERPROFILE%\Documents\GitHub\eaglep3\Utilities\DownloadLogsFromS3.py --loco  --day 1900-01-00</v>
      </c>
      <c r="AN157" s="189" t="e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#DIV/0!</v>
      </c>
    </row>
    <row r="158" spans="1:91" s="21" customFormat="1" x14ac:dyDescent="0.25">
      <c r="A158" s="34" t="s">
        <v>484</v>
      </c>
      <c r="B158" s="7">
        <v>4045</v>
      </c>
      <c r="C158" s="22" t="s">
        <v>201</v>
      </c>
      <c r="D158" s="22" t="s">
        <v>682</v>
      </c>
      <c r="E158" s="13">
        <v>42749.232997685183</v>
      </c>
      <c r="F158" s="13">
        <v>42749.237245370372</v>
      </c>
      <c r="G158" s="7">
        <v>1</v>
      </c>
      <c r="H158" s="22" t="s">
        <v>683</v>
      </c>
      <c r="I158" s="13">
        <v>42749.247650462959</v>
      </c>
      <c r="J158" s="7">
        <v>0</v>
      </c>
      <c r="K158" s="105" t="str">
        <f t="shared" ref="K158:K189" si="128">IF(ISEVEN(B158),(B158-1)&amp;"/"&amp;B158,B158&amp;"/"&amp;(B158+1))</f>
        <v>4045/4046</v>
      </c>
      <c r="L158" s="22" t="str">
        <f>VLOOKUP(A158,'Trips&amp;Operators'!$C$1:$G$99999,5,FALSE)</f>
        <v>SHOOK JOHN</v>
      </c>
      <c r="M158" s="6">
        <f t="shared" ref="M158:M189" si="129">I158-F158</f>
        <v>1.0405092587461695E-2</v>
      </c>
      <c r="N158" s="7">
        <f t="shared" ref="N158:N171" si="130">24*60*SUM($M158:$M158)</f>
        <v>14.983333325944841</v>
      </c>
      <c r="O158" s="7"/>
      <c r="P158" s="7"/>
      <c r="Q158" s="23"/>
      <c r="R158" s="23"/>
      <c r="S158" s="32">
        <f t="shared" ref="S158:S189" si="131">SUM(U158:U158)/IF(AG158="EC",12,1)</f>
        <v>1</v>
      </c>
      <c r="T158" s="47" t="str">
        <f t="shared" ref="T158:T189" si="132">IF(ISEVEN(LEFT(AD158,4)),"Southbound","NorthBound")</f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04:35:31-700',mode:absolute,to:'2017-01-14 06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58" s="49" t="str">
        <f t="shared" ref="W158:W189" si="133">IF(AA158&lt;IF(AG158="EC",23,5.65),"Y","N")</f>
        <v>N</v>
      </c>
      <c r="X158" s="173">
        <f t="shared" si="107"/>
        <v>1556</v>
      </c>
      <c r="Y158" s="64">
        <f t="shared" ref="Y158:Y189" si="134">RIGHT(D158,LEN(D158)-4)/10000</f>
        <v>5.8673999999999999</v>
      </c>
      <c r="Z158" s="64">
        <f t="shared" ref="Z158:Z189" si="135">RIGHT(H158,LEN(H158)-4)/10000</f>
        <v>7.3300000000000004E-2</v>
      </c>
      <c r="AA158" s="64">
        <f t="shared" ref="AA158:AA189" si="136">ABS(Z158-Y158)</f>
        <v>5.7941000000000003</v>
      </c>
      <c r="AB158" s="61" t="e">
        <f>VLOOKUP(A158,Enforcements!$C$7:$K$15,8,0)</f>
        <v>#N/A</v>
      </c>
      <c r="AC158" s="57" t="e">
        <f>VLOOKUP(A158,Enforcements!$C$7:$E$15,3,0)</f>
        <v>#N/A</v>
      </c>
      <c r="AD158" s="58" t="str">
        <f t="shared" ref="AD158:AD189" si="137">IF(LEN(A158)=6,"0"&amp;A158,A158)</f>
        <v>1800-14</v>
      </c>
      <c r="AE158" s="87" t="str">
        <f t="shared" si="11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58" s="84" t="str">
        <f t="shared" si="114"/>
        <v>"C:\Program Files (x86)\AstroGrep\AstroGrep.exe" /spath="%USERPROFILE%\AppData\Local\Temp\OnboardLogs" /stypes="app*4045*20170114*" /stext=" 12:.+((SYSTEM_STATE.+slice.+state.+changed )|(ment ac)|(multiple cpu faults)|(system.+state.+changed )|(\[timeout)|(PRM\|1\|D)|(kpr)|(kdp)|(\|lc)|(penalty))" /e /r /s</v>
      </c>
      <c r="AG158" s="1" t="str">
        <f t="shared" ref="AG158:AG189" si="138">IFERROR(IF(VALUE(LEFT(AD158,2))&lt;=2,"EC",IF(OR(VALUE(LEFT(AD158,2))=8,VALUE(LEFT(AD158,2))=18),"NW","Other")),"Other")</f>
        <v>NW</v>
      </c>
      <c r="AH158" s="88" t="str">
        <f t="shared" si="108"/>
        <v>"%USERPROFILE%\Documents\GitHub\eaglep3\Utilities\RefineRTDCRunTimes.py" --tripid 1800-14 --locoid 4045 --swversion DE.1.0.8.0 --startMP 300:58674 --initTime 2017-01-14T05:35:31 --startdatetime 2017-01-14T05:41:38 --delay 1 --endMP 204:733 --enddatetime 2017-01-14T05:56:37 --enforcementcount 0 &gt;&gt;C:\Users\stu\Documents\GitHub\eaglep3-reporting\EC\2017-01-14-refined-times.txt</v>
      </c>
      <c r="AI158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{"issue":{"subject":"","project_id":79,"tracker_id":40,"status_id":1,"priority_id":2,"assigned_to_id":23,"start_date":"2017-01-14","description":"","custom_fields":[{"id":1,"name":"Subdivision","value":"NW"},{"id":4,"name":"Milepost","value":"0.0733"},{"id":17,"name":"Train ID","value":"1800-14"},{"id":16,"name":"Locomotive ID","value":"4045"},{"id":130,"name":"Impact","value":""},{"id":150,"name":"Time of Event (Mountain Time)","value":"05:56:37"},{"id":151,"name":"Denver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110"/>
        <v>start /low /b %USERPROFILE%\Documents\GitHub\eaglep3\Utilities\DownloadLogsFromS3.py --loco 4045 --day 2017-01-14</v>
      </c>
      <c r="AN158" s="189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488</v>
      </c>
      <c r="B159" s="7">
        <v>4046</v>
      </c>
      <c r="C159" s="22" t="s">
        <v>201</v>
      </c>
      <c r="D159" s="22" t="s">
        <v>684</v>
      </c>
      <c r="E159" s="13">
        <v>42749.24962962963</v>
      </c>
      <c r="F159" s="13">
        <v>42749.264791666668</v>
      </c>
      <c r="G159" s="7">
        <v>1</v>
      </c>
      <c r="H159" s="22" t="s">
        <v>427</v>
      </c>
      <c r="I159" s="13">
        <v>42749.27511574074</v>
      </c>
      <c r="J159" s="7">
        <v>0</v>
      </c>
      <c r="K159" s="105" t="str">
        <f t="shared" si="128"/>
        <v>4045/4046</v>
      </c>
      <c r="L159" s="22" t="str">
        <f>VLOOKUP(A159,'Trips&amp;Operators'!$C$1:$G$99999,5,FALSE)</f>
        <v>SHOOK JOHN</v>
      </c>
      <c r="M159" s="6">
        <f t="shared" si="129"/>
        <v>1.0324074071832001E-2</v>
      </c>
      <c r="N159" s="7">
        <f t="shared" si="130"/>
        <v>14.866666663438082</v>
      </c>
      <c r="O159" s="7"/>
      <c r="P159" s="7"/>
      <c r="Q159" s="23"/>
      <c r="R159" s="23"/>
      <c r="S159" s="32">
        <f t="shared" si="131"/>
        <v>1</v>
      </c>
      <c r="T159" s="47" t="str">
        <f t="shared" si="132"/>
        <v>NorthBound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04:59:28-700',mode:absolute,to:'2017-01-14 07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59" s="49" t="str">
        <f t="shared" si="133"/>
        <v>N</v>
      </c>
      <c r="X159" s="173">
        <f t="shared" si="107"/>
        <v>1</v>
      </c>
      <c r="Y159" s="64">
        <f t="shared" si="134"/>
        <v>0.1004</v>
      </c>
      <c r="Z159" s="64">
        <f t="shared" si="135"/>
        <v>5.8986000000000001</v>
      </c>
      <c r="AA159" s="64">
        <f t="shared" si="136"/>
        <v>5.7982000000000005</v>
      </c>
      <c r="AB159" s="61" t="e">
        <f>VLOOKUP(A159,Enforcements!$C$7:$K$15,8,0)</f>
        <v>#N/A</v>
      </c>
      <c r="AC159" s="57" t="e">
        <f>VLOOKUP(A159,Enforcements!$C$7:$E$15,3,0)</f>
        <v>#N/A</v>
      </c>
      <c r="AD159" s="58" t="str">
        <f t="shared" si="137"/>
        <v>1801-14</v>
      </c>
      <c r="AE159" s="87" t="str">
        <f t="shared" si="11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59" s="84" t="str">
        <f t="shared" si="114"/>
        <v>"C:\Program Files (x86)\AstroGrep\AstroGrep.exe" /spath="%USERPROFILE%\AppData\Local\Temp\OnboardLogs" /stypes="app*4046*20170114*" /stext=" 13:.+((SYSTEM_STATE.+slice.+state.+changed )|(ment ac)|(multiple cpu faults)|(system.+state.+changed )|(\[timeout)|(PRM\|1\|D)|(kpr)|(kdp)|(\|lc)|(penalty))" /e /r /s</v>
      </c>
      <c r="AG159" s="1" t="str">
        <f t="shared" si="138"/>
        <v>NW</v>
      </c>
      <c r="AH159" s="88" t="str">
        <f t="shared" si="108"/>
        <v>"%USERPROFILE%\Documents\GitHub\eaglep3\Utilities\RefineRTDCRunTimes.py" --tripid 1801-14 --locoid 4046 --swversion DE.1.0.8.0 --startMP 204:1004 --initTime 2017-01-14T05:59:28 --startdatetime 2017-01-14T06:21:18 --delay 1 --endMP 300:58986 --enddatetime 2017-01-14T06:36:10 --enforcementcount 0 &gt;&gt;C:\Users\stu\Documents\GitHub\eaglep3-reporting\EC\2017-01-14-refined-times.txt</v>
      </c>
      <c r="AI159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{"issue":{"subject":"","project_id":79,"tracker_id":40,"status_id":1,"priority_id":2,"assigned_to_id":23,"start_date":"2017-01-14","description":"","custom_fields":[{"id":1,"name":"Subdivision","value":"NW"},{"id":4,"name":"Milepost","value":"5.8986"},{"id":17,"name":"Train ID","value":"1801-14"},{"id":16,"name":"Locomotive ID","value":"4046"},{"id":130,"name":"Impact","value":""},{"id":150,"name":"Time of Event (Mountain Time)","value":"06:36:10"},{"id":151,"name":"Denver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110"/>
        <v>start /low /b %USERPROFILE%\Documents\GitHub\eaglep3\Utilities\DownloadLogsFromS3.py --loco 4046 --day 2017-01-14</v>
      </c>
      <c r="AN159" s="189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493</v>
      </c>
      <c r="B160" s="7">
        <v>4045</v>
      </c>
      <c r="C160" s="22" t="s">
        <v>201</v>
      </c>
      <c r="D160" s="22" t="s">
        <v>685</v>
      </c>
      <c r="E160" s="13">
        <v>42749.276631944442</v>
      </c>
      <c r="F160" s="13">
        <v>42749.27884259259</v>
      </c>
      <c r="G160" s="7">
        <v>1</v>
      </c>
      <c r="H160" s="22" t="s">
        <v>686</v>
      </c>
      <c r="I160" s="13">
        <v>42749.288981481484</v>
      </c>
      <c r="J160" s="7">
        <v>0</v>
      </c>
      <c r="K160" s="105" t="str">
        <f t="shared" si="128"/>
        <v>4045/4046</v>
      </c>
      <c r="L160" s="22" t="str">
        <f>VLOOKUP(A160,'Trips&amp;Operators'!$C$1:$G$99999,5,FALSE)</f>
        <v>SHOOK JOHN</v>
      </c>
      <c r="M160" s="6">
        <f t="shared" si="129"/>
        <v>1.0138888894289266E-2</v>
      </c>
      <c r="N160" s="7">
        <f t="shared" si="130"/>
        <v>14.600000007776543</v>
      </c>
      <c r="O160" s="7"/>
      <c r="P160" s="7"/>
      <c r="Q160" s="23"/>
      <c r="R160" s="23"/>
      <c r="S160" s="32">
        <f t="shared" si="131"/>
        <v>1</v>
      </c>
      <c r="T160" s="47" t="str">
        <f t="shared" si="132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05:38:21-700',mode:absolute,to:'2017-01-14 07:56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60" s="49" t="str">
        <f t="shared" si="133"/>
        <v>N</v>
      </c>
      <c r="X160" s="173">
        <f t="shared" ref="X160:X167" si="139">VALUE(LEFT(AD160,4))-VALUE(LEFT(AD159,4))</f>
        <v>1</v>
      </c>
      <c r="Y160" s="64">
        <f t="shared" si="134"/>
        <v>5.8663999999999996</v>
      </c>
      <c r="Z160" s="64">
        <f t="shared" si="135"/>
        <v>7.3999999999999996E-2</v>
      </c>
      <c r="AA160" s="64">
        <f t="shared" si="136"/>
        <v>5.7923999999999998</v>
      </c>
      <c r="AB160" s="61" t="e">
        <f>VLOOKUP(A160,Enforcements!$C$7:$K$15,8,0)</f>
        <v>#N/A</v>
      </c>
      <c r="AC160" s="57" t="e">
        <f>VLOOKUP(A160,Enforcements!$C$7:$E$15,3,0)</f>
        <v>#N/A</v>
      </c>
      <c r="AD160" s="58" t="str">
        <f t="shared" si="137"/>
        <v>1802-14</v>
      </c>
      <c r="AE160" s="87" t="str">
        <f t="shared" si="11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60" s="84" t="str">
        <f t="shared" si="114"/>
        <v>"C:\Program Files (x86)\AstroGrep\AstroGrep.exe" /spath="%USERPROFILE%\AppData\Local\Temp\OnboardLogs" /stypes="app*4045*20170114*" /stext=" 13:.+((SYSTEM_STATE.+slice.+state.+changed )|(ment ac)|(multiple cpu faults)|(system.+state.+changed )|(\[timeout)|(PRM\|1\|D)|(kpr)|(kdp)|(\|lc)|(penalty))" /e /r /s</v>
      </c>
      <c r="AG160" s="1" t="str">
        <f t="shared" si="138"/>
        <v>NW</v>
      </c>
      <c r="AH160" s="88" t="str">
        <f t="shared" si="108"/>
        <v>"%USERPROFILE%\Documents\GitHub\eaglep3\Utilities\RefineRTDCRunTimes.py" --tripid 1802-14 --locoid 4045 --swversion DE.1.0.8.0 --startMP 300:58664 --initTime 2017-01-14T06:38:21 --startdatetime 2017-01-14T06:41:32 --delay 1 --endMP 204:740 --enddatetime 2017-01-14T06:56:08 --enforcementcount 0 &gt;&gt;C:\Users\stu\Documents\GitHub\eaglep3-reporting\EC\2017-01-14-refined-times.txt</v>
      </c>
      <c r="AI160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{"issue":{"subject":"","project_id":79,"tracker_id":40,"status_id":1,"priority_id":2,"assigned_to_id":23,"start_date":"2017-01-14","description":"","custom_fields":[{"id":1,"name":"Subdivision","value":"NW"},{"id":4,"name":"Milepost","value":"0.074"},{"id":17,"name":"Train ID","value":"1802-14"},{"id":16,"name":"Locomotive ID","value":"4045"},{"id":130,"name":"Impact","value":""},{"id":150,"name":"Time of Event (Mountain Time)","value":"06:56:08"},{"id":151,"name":"Denver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110"/>
        <v>start /low /b %USERPROFILE%\Documents\GitHub\eaglep3\Utilities\DownloadLogsFromS3.py --loco 4045 --day 2017-01-14</v>
      </c>
      <c r="AN160" s="189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498</v>
      </c>
      <c r="B161" s="7">
        <v>4046</v>
      </c>
      <c r="C161" s="22" t="s">
        <v>201</v>
      </c>
      <c r="D161" s="22" t="s">
        <v>687</v>
      </c>
      <c r="E161" s="13">
        <v>42749.291238425925</v>
      </c>
      <c r="F161" s="13">
        <v>42749.306435185186</v>
      </c>
      <c r="G161" s="7">
        <v>0</v>
      </c>
      <c r="H161" s="22" t="s">
        <v>326</v>
      </c>
      <c r="I161" s="13">
        <v>42749.317256944443</v>
      </c>
      <c r="J161" s="7">
        <v>0</v>
      </c>
      <c r="K161" s="105" t="str">
        <f t="shared" si="128"/>
        <v>4045/4046</v>
      </c>
      <c r="L161" s="22" t="str">
        <f>VLOOKUP(A161,'Trips&amp;Operators'!$C$1:$G$99999,5,FALSE)</f>
        <v>SHOOK JOHN</v>
      </c>
      <c r="M161" s="6">
        <f t="shared" si="129"/>
        <v>1.0821759256941732E-2</v>
      </c>
      <c r="N161" s="7">
        <f t="shared" si="130"/>
        <v>15.583333329996094</v>
      </c>
      <c r="O161" s="7"/>
      <c r="P161" s="7"/>
      <c r="Q161" s="23"/>
      <c r="R161" s="23"/>
      <c r="S161" s="32">
        <f t="shared" si="131"/>
        <v>1</v>
      </c>
      <c r="T161" s="47" t="str">
        <f t="shared" si="132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05:59:23-700',mode:absolute,to:'2017-01-14 08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61" s="49" t="str">
        <f t="shared" si="133"/>
        <v>N</v>
      </c>
      <c r="X161" s="173">
        <f t="shared" si="139"/>
        <v>1</v>
      </c>
      <c r="Y161" s="64">
        <f t="shared" si="134"/>
        <v>0.1009</v>
      </c>
      <c r="Z161" s="64">
        <f t="shared" si="135"/>
        <v>5.8967000000000001</v>
      </c>
      <c r="AA161" s="64">
        <f t="shared" si="136"/>
        <v>5.7957999999999998</v>
      </c>
      <c r="AB161" s="61" t="e">
        <f>VLOOKUP(A161,Enforcements!$C$7:$K$15,8,0)</f>
        <v>#N/A</v>
      </c>
      <c r="AC161" s="57" t="e">
        <f>VLOOKUP(A161,Enforcements!$C$7:$E$15,3,0)</f>
        <v>#N/A</v>
      </c>
      <c r="AD161" s="58" t="str">
        <f t="shared" si="137"/>
        <v>1803-14</v>
      </c>
      <c r="AE161" s="87" t="str">
        <f t="shared" si="11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61" s="84" t="str">
        <f t="shared" si="114"/>
        <v>"C:\Program Files (x86)\AstroGrep\AstroGrep.exe" /spath="%USERPROFILE%\AppData\Local\Temp\OnboardLogs" /stypes="app*4046*20170114*" /stext=" 14:.+((SYSTEM_STATE.+slice.+state.+changed )|(ment ac)|(multiple cpu faults)|(system.+state.+changed )|(\[timeout)|(PRM\|1\|D)|(kpr)|(kdp)|(\|lc)|(penalty))" /e /r /s</v>
      </c>
      <c r="AG161" s="1" t="str">
        <f t="shared" si="138"/>
        <v>NW</v>
      </c>
      <c r="AH161" s="88" t="str">
        <f t="shared" si="108"/>
        <v>"%USERPROFILE%\Documents\GitHub\eaglep3\Utilities\RefineRTDCRunTimes.py" --tripid 1803-14 --locoid 4046 --swversion DE.1.0.8.0 --startMP 204:1009 --initTime 2017-01-14T06:59:23 --startdatetime 2017-01-14T07:21:16 --delay 0 --endMP 300:58967 --enddatetime 2017-01-14T07:36:51 --enforcementcount 0 &gt;&gt;C:\Users\stu\Documents\GitHub\eaglep3-reporting\EC\2017-01-14-refined-times.txt</v>
      </c>
      <c r="AI161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{"issue":{"subject":"","project_id":79,"tracker_id":40,"status_id":1,"priority_id":2,"assigned_to_id":23,"start_date":"2017-01-14","description":"","custom_fields":[{"id":1,"name":"Subdivision","value":"NW"},{"id":4,"name":"Milepost","value":"5.8967"},{"id":17,"name":"Train ID","value":"1803-14"},{"id":16,"name":"Locomotive ID","value":"4046"},{"id":130,"name":"Impact","value":""},{"id":150,"name":"Time of Event (Mountain Time)","value":"07:36:51"},{"id":151,"name":"Denver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110"/>
        <v>start /low /b %USERPROFILE%\Documents\GitHub\eaglep3\Utilities\DownloadLogsFromS3.py --loco 4046 --day 2017-01-14</v>
      </c>
      <c r="AN161" s="189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504</v>
      </c>
      <c r="B162" s="7">
        <v>4045</v>
      </c>
      <c r="C162" s="22" t="s">
        <v>201</v>
      </c>
      <c r="D162" s="22" t="s">
        <v>688</v>
      </c>
      <c r="E162" s="13">
        <v>42749.318611111114</v>
      </c>
      <c r="F162" s="13">
        <v>42749.3203587963</v>
      </c>
      <c r="G162" s="7">
        <v>1</v>
      </c>
      <c r="H162" s="22" t="s">
        <v>689</v>
      </c>
      <c r="I162" s="13">
        <v>42749.330937500003</v>
      </c>
      <c r="J162" s="7">
        <v>0</v>
      </c>
      <c r="K162" s="105" t="str">
        <f t="shared" si="128"/>
        <v>4045/4046</v>
      </c>
      <c r="L162" s="22" t="str">
        <f>VLOOKUP(A162,'Trips&amp;Operators'!$C$1:$G$99999,5,FALSE)</f>
        <v>SHOOK JOHN</v>
      </c>
      <c r="M162" s="6">
        <f t="shared" si="129"/>
        <v>1.0578703702776693E-2</v>
      </c>
      <c r="N162" s="7">
        <f t="shared" si="130"/>
        <v>15.233333331998438</v>
      </c>
      <c r="O162" s="7"/>
      <c r="P162" s="7"/>
      <c r="Q162" s="23"/>
      <c r="R162" s="23"/>
      <c r="S162" s="32">
        <f t="shared" si="131"/>
        <v>1</v>
      </c>
      <c r="T162" s="47" t="str">
        <f t="shared" si="132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06:38:48-700',mode:absolute,to:'2017-01-14 08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62" s="49" t="str">
        <f t="shared" si="133"/>
        <v>N</v>
      </c>
      <c r="X162" s="173">
        <f t="shared" si="139"/>
        <v>1</v>
      </c>
      <c r="Y162" s="64">
        <f t="shared" si="134"/>
        <v>5.8653000000000004</v>
      </c>
      <c r="Z162" s="64">
        <f t="shared" si="135"/>
        <v>7.4300000000000005E-2</v>
      </c>
      <c r="AA162" s="64">
        <f t="shared" si="136"/>
        <v>5.7910000000000004</v>
      </c>
      <c r="AB162" s="61" t="e">
        <f>VLOOKUP(A162,Enforcements!$C$7:$K$15,8,0)</f>
        <v>#N/A</v>
      </c>
      <c r="AC162" s="57" t="e">
        <f>VLOOKUP(A162,Enforcements!$C$7:$E$15,3,0)</f>
        <v>#N/A</v>
      </c>
      <c r="AD162" s="58" t="str">
        <f t="shared" si="137"/>
        <v>1804-14</v>
      </c>
      <c r="AE162" s="87" t="str">
        <f t="shared" si="11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62" s="84" t="str">
        <f t="shared" si="114"/>
        <v>"C:\Program Files (x86)\AstroGrep\AstroGrep.exe" /spath="%USERPROFILE%\AppData\Local\Temp\OnboardLogs" /stypes="app*4045*20170114*" /stext=" 14:.+((SYSTEM_STATE.+slice.+state.+changed )|(ment ac)|(multiple cpu faults)|(system.+state.+changed )|(\[timeout)|(PRM\|1\|D)|(kpr)|(kdp)|(\|lc)|(penalty))" /e /r /s</v>
      </c>
      <c r="AG162" s="1" t="str">
        <f t="shared" si="138"/>
        <v>NW</v>
      </c>
      <c r="AH162" s="88" t="str">
        <f t="shared" si="108"/>
        <v>"%USERPROFILE%\Documents\GitHub\eaglep3\Utilities\RefineRTDCRunTimes.py" --tripid 1804-14 --locoid 4045 --swversion DE.1.0.8.0 --startMP 300:58653 --initTime 2017-01-14T07:38:48 --startdatetime 2017-01-14T07:41:19 --delay 1 --endMP 204:743 --enddatetime 2017-01-14T07:56:33 --enforcementcount 0 &gt;&gt;C:\Users\stu\Documents\GitHub\eaglep3-reporting\EC\2017-01-14-refined-times.txt</v>
      </c>
      <c r="AI162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{"issue":{"subject":"","project_id":79,"tracker_id":40,"status_id":1,"priority_id":2,"assigned_to_id":23,"start_date":"2017-01-14","description":"","custom_fields":[{"id":1,"name":"Subdivision","value":"NW"},{"id":4,"name":"Milepost","value":"0.0743"},{"id":17,"name":"Train ID","value":"1804-14"},{"id":16,"name":"Locomotive ID","value":"4045"},{"id":130,"name":"Impact","value":""},{"id":150,"name":"Time of Event (Mountain Time)","value":"07:56:33"},{"id":151,"name":"Denver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110"/>
        <v>start /low /b %USERPROFILE%\Documents\GitHub\eaglep3\Utilities\DownloadLogsFromS3.py --loco 4045 --day 2017-01-14</v>
      </c>
      <c r="AN162" s="189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507</v>
      </c>
      <c r="B163" s="7">
        <v>4046</v>
      </c>
      <c r="C163" s="22" t="s">
        <v>201</v>
      </c>
      <c r="D163" s="22" t="s">
        <v>422</v>
      </c>
      <c r="E163" s="13">
        <v>42749.334374999999</v>
      </c>
      <c r="F163" s="13">
        <v>42749.348101851851</v>
      </c>
      <c r="G163" s="7">
        <v>1</v>
      </c>
      <c r="H163" s="22" t="s">
        <v>426</v>
      </c>
      <c r="I163" s="13">
        <v>42749.358576388891</v>
      </c>
      <c r="J163" s="7">
        <v>0</v>
      </c>
      <c r="K163" s="105" t="str">
        <f t="shared" si="128"/>
        <v>4045/4046</v>
      </c>
      <c r="L163" s="22" t="str">
        <f>VLOOKUP(A163,'Trips&amp;Operators'!$C$1:$G$99999,5,FALSE)</f>
        <v>SHOOK JOHN</v>
      </c>
      <c r="M163" s="6">
        <f t="shared" si="129"/>
        <v>1.0474537040863652E-2</v>
      </c>
      <c r="N163" s="7">
        <f t="shared" si="130"/>
        <v>15.083333338843659</v>
      </c>
      <c r="O163" s="7"/>
      <c r="P163" s="7"/>
      <c r="Q163" s="23"/>
      <c r="R163" s="23"/>
      <c r="S163" s="32">
        <f t="shared" si="131"/>
        <v>1</v>
      </c>
      <c r="T163" s="47" t="str">
        <f t="shared" si="132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07:01:30-700',mode:absolute,to:'2017-01-14 09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63" s="49" t="str">
        <f t="shared" si="133"/>
        <v>N</v>
      </c>
      <c r="X163" s="173">
        <f t="shared" si="139"/>
        <v>1</v>
      </c>
      <c r="Y163" s="64">
        <f t="shared" si="134"/>
        <v>0.10349999999999999</v>
      </c>
      <c r="Z163" s="64">
        <f t="shared" si="135"/>
        <v>5.899</v>
      </c>
      <c r="AA163" s="64">
        <f t="shared" si="136"/>
        <v>5.7954999999999997</v>
      </c>
      <c r="AB163" s="61" t="e">
        <f>VLOOKUP(A163,Enforcements!$C$7:$K$15,8,0)</f>
        <v>#N/A</v>
      </c>
      <c r="AC163" s="57" t="e">
        <f>VLOOKUP(A163,Enforcements!$C$7:$E$15,3,0)</f>
        <v>#N/A</v>
      </c>
      <c r="AD163" s="58" t="str">
        <f t="shared" si="137"/>
        <v>1805-14</v>
      </c>
      <c r="AE163" s="87" t="str">
        <f t="shared" si="11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63" s="84" t="str">
        <f t="shared" si="114"/>
        <v>"C:\Program Files (x86)\AstroGrep\AstroGrep.exe" /spath="%USERPROFILE%\AppData\Local\Temp\OnboardLogs" /stypes="app*4046*20170114*" /stext=" 15:.+((SYSTEM_STATE.+slice.+state.+changed )|(ment ac)|(multiple cpu faults)|(system.+state.+changed )|(\[timeout)|(PRM\|1\|D)|(kpr)|(kdp)|(\|lc)|(penalty))" /e /r /s</v>
      </c>
      <c r="AG163" s="1" t="str">
        <f t="shared" si="138"/>
        <v>NW</v>
      </c>
      <c r="AH163" s="88" t="str">
        <f t="shared" si="108"/>
        <v>"%USERPROFILE%\Documents\GitHub\eaglep3\Utilities\RefineRTDCRunTimes.py" --tripid 1805-14 --locoid 4046 --swversion DE.1.0.8.0 --startMP 204:1035 --initTime 2017-01-14T08:01:30 --startdatetime 2017-01-14T08:21:16 --delay 1 --endMP 300:58990 --enddatetime 2017-01-14T08:36:21 --enforcementcount 0 &gt;&gt;C:\Users\stu\Documents\GitHub\eaglep3-reporting\EC\2017-01-14-refined-times.txt</v>
      </c>
      <c r="AI163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{"issue":{"subject":"","project_id":79,"tracker_id":40,"status_id":1,"priority_id":2,"assigned_to_id":23,"start_date":"2017-01-14","description":"","custom_fields":[{"id":1,"name":"Subdivision","value":"NW"},{"id":4,"name":"Milepost","value":"5.899"},{"id":17,"name":"Train ID","value":"1805-14"},{"id":16,"name":"Locomotive ID","value":"4046"},{"id":130,"name":"Impact","value":""},{"id":150,"name":"Time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110"/>
        <v>start /low /b %USERPROFILE%\Documents\GitHub\eaglep3\Utilities\DownloadLogsFromS3.py --loco 4046 --day 2017-01-14</v>
      </c>
      <c r="AN163" s="189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513</v>
      </c>
      <c r="B164" s="7">
        <v>4045</v>
      </c>
      <c r="C164" s="22" t="s">
        <v>201</v>
      </c>
      <c r="D164" s="22" t="s">
        <v>428</v>
      </c>
      <c r="E164" s="13">
        <v>42749.36010416667</v>
      </c>
      <c r="F164" s="13">
        <v>42749.362071759257</v>
      </c>
      <c r="G164" s="7">
        <v>1</v>
      </c>
      <c r="H164" s="22" t="s">
        <v>690</v>
      </c>
      <c r="I164" s="13">
        <v>42749.372453703705</v>
      </c>
      <c r="J164" s="7">
        <v>0</v>
      </c>
      <c r="K164" s="105" t="str">
        <f t="shared" si="128"/>
        <v>4045/4046</v>
      </c>
      <c r="L164" s="22" t="str">
        <f>VLOOKUP(A164,'Trips&amp;Operators'!$C$1:$G$99999,5,FALSE)</f>
        <v>SHOOK JOHN</v>
      </c>
      <c r="M164" s="6">
        <f t="shared" si="129"/>
        <v>1.0381944448454306E-2</v>
      </c>
      <c r="N164" s="7">
        <f t="shared" si="130"/>
        <v>14.9500000057742</v>
      </c>
      <c r="O164" s="7"/>
      <c r="P164" s="7"/>
      <c r="Q164" s="23"/>
      <c r="R164" s="23"/>
      <c r="S164" s="32">
        <f t="shared" si="131"/>
        <v>1</v>
      </c>
      <c r="T164" s="47" t="str">
        <f t="shared" si="132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07:38:33-700',mode:absolute,to:'2017-01-14 09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64" s="49" t="str">
        <f t="shared" si="133"/>
        <v>N</v>
      </c>
      <c r="X164" s="173">
        <f t="shared" si="139"/>
        <v>1</v>
      </c>
      <c r="Y164" s="64">
        <f t="shared" si="134"/>
        <v>5.867</v>
      </c>
      <c r="Z164" s="64">
        <f t="shared" si="135"/>
        <v>7.1300000000000002E-2</v>
      </c>
      <c r="AA164" s="64">
        <f t="shared" si="136"/>
        <v>5.7957000000000001</v>
      </c>
      <c r="AB164" s="61" t="e">
        <f>VLOOKUP(A164,Enforcements!$C$7:$K$15,8,0)</f>
        <v>#N/A</v>
      </c>
      <c r="AC164" s="57" t="e">
        <f>VLOOKUP(A164,Enforcements!$C$7:$E$15,3,0)</f>
        <v>#N/A</v>
      </c>
      <c r="AD164" s="58" t="str">
        <f t="shared" si="137"/>
        <v>1806-14</v>
      </c>
      <c r="AE164" s="87" t="str">
        <f t="shared" si="11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64" s="84" t="str">
        <f t="shared" si="114"/>
        <v>"C:\Program Files (x86)\AstroGrep\AstroGrep.exe" /spath="%USERPROFILE%\AppData\Local\Temp\OnboardLogs" /stypes="app*4045*20170114*" /stext=" 15:.+((SYSTEM_STATE.+slice.+state.+changed )|(ment ac)|(multiple cpu faults)|(system.+state.+changed )|(\[timeout)|(PRM\|1\|D)|(kpr)|(kdp)|(\|lc)|(penalty))" /e /r /s</v>
      </c>
      <c r="AG164" s="1" t="str">
        <f t="shared" si="138"/>
        <v>NW</v>
      </c>
      <c r="AH164" s="88" t="str">
        <f t="shared" si="108"/>
        <v>"%USERPROFILE%\Documents\GitHub\eaglep3\Utilities\RefineRTDCRunTimes.py" --tripid 1806-14 --locoid 4045 --swversion DE.1.0.8.0 --startMP 300:58670 --initTime 2017-01-14T08:38:33 --startdatetime 2017-01-14T08:41:23 --delay 1 --endMP 204:713 --enddatetime 2017-01-14T08:56:20 --enforcementcount 0 &gt;&gt;C:\Users\stu\Documents\GitHub\eaglep3-reporting\EC\2017-01-14-refined-times.txt</v>
      </c>
      <c r="AI164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{"issue":{"subject":"","project_id":79,"tracker_id":40,"status_id":1,"priority_id":2,"assigned_to_id":23,"start_date":"2017-01-14","description":"","custom_fields":[{"id":1,"name":"Subdivision","value":"NW"},{"id":4,"name":"Milepost","value":"0.0713"},{"id":17,"name":"Train ID","value":"1806-14"},{"id":16,"name":"Locomotive ID","value":"4045"},{"id":130,"name":"Impact","value":""},{"id":150,"name":"Time of Event (Mountain Time)","value":"08:56:20"},{"id":151,"name":"Denver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110"/>
        <v>start /low /b %USERPROFILE%\Documents\GitHub\eaglep3\Utilities\DownloadLogsFromS3.py --loco 4045 --day 2017-01-14</v>
      </c>
      <c r="AN164" s="189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516</v>
      </c>
      <c r="B165" s="7">
        <v>4046</v>
      </c>
      <c r="C165" s="22" t="s">
        <v>201</v>
      </c>
      <c r="D165" s="22" t="s">
        <v>691</v>
      </c>
      <c r="E165" s="13">
        <v>42749.374745370369</v>
      </c>
      <c r="F165" s="13">
        <v>42749.389756944445</v>
      </c>
      <c r="G165" s="7">
        <v>1</v>
      </c>
      <c r="H165" s="22" t="s">
        <v>692</v>
      </c>
      <c r="I165" s="13">
        <v>42749.399884259263</v>
      </c>
      <c r="J165" s="7">
        <v>0</v>
      </c>
      <c r="K165" s="105" t="str">
        <f t="shared" si="128"/>
        <v>4045/4046</v>
      </c>
      <c r="L165" s="22" t="str">
        <f>VLOOKUP(A165,'Trips&amp;Operators'!$C$1:$G$99999,5,FALSE)</f>
        <v>SHOOK JOHN</v>
      </c>
      <c r="M165" s="6">
        <f t="shared" si="129"/>
        <v>1.0127314817509614E-2</v>
      </c>
      <c r="N165" s="7">
        <f t="shared" si="130"/>
        <v>14.583333337213844</v>
      </c>
      <c r="O165" s="7"/>
      <c r="P165" s="7"/>
      <c r="Q165" s="23"/>
      <c r="R165" s="23"/>
      <c r="S165" s="32">
        <f t="shared" si="131"/>
        <v>1</v>
      </c>
      <c r="T165" s="47" t="str">
        <f t="shared" si="132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07:59:38-700',mode:absolute,to:'2017-01-14 10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65" s="49" t="str">
        <f t="shared" si="133"/>
        <v>N</v>
      </c>
      <c r="X165" s="173">
        <f t="shared" si="139"/>
        <v>1</v>
      </c>
      <c r="Y165" s="64">
        <f t="shared" si="134"/>
        <v>0.1021</v>
      </c>
      <c r="Z165" s="64">
        <f t="shared" si="135"/>
        <v>5.8987999999999996</v>
      </c>
      <c r="AA165" s="64">
        <f t="shared" si="136"/>
        <v>5.7966999999999995</v>
      </c>
      <c r="AB165" s="61" t="e">
        <f>VLOOKUP(A165,Enforcements!$C$7:$K$15,8,0)</f>
        <v>#N/A</v>
      </c>
      <c r="AC165" s="57" t="e">
        <f>VLOOKUP(A165,Enforcements!$C$7:$E$15,3,0)</f>
        <v>#N/A</v>
      </c>
      <c r="AD165" s="58" t="str">
        <f t="shared" si="137"/>
        <v>1807-14</v>
      </c>
      <c r="AE165" s="87" t="str">
        <f t="shared" si="11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65" s="84" t="str">
        <f t="shared" si="114"/>
        <v>"C:\Program Files (x86)\AstroGrep\AstroGrep.exe" /spath="%USERPROFILE%\AppData\Local\Temp\OnboardLogs" /stypes="app*4046*20170114*" /stext=" 16:.+((SYSTEM_STATE.+slice.+state.+changed )|(ment ac)|(multiple cpu faults)|(system.+state.+changed )|(\[timeout)|(PRM\|1\|D)|(kpr)|(kdp)|(\|lc)|(penalty))" /e /r /s</v>
      </c>
      <c r="AG165" s="1" t="str">
        <f t="shared" si="138"/>
        <v>NW</v>
      </c>
      <c r="AH165" s="88" t="str">
        <f t="shared" si="108"/>
        <v>"%USERPROFILE%\Documents\GitHub\eaglep3\Utilities\RefineRTDCRunTimes.py" --tripid 1807-14 --locoid 4046 --swversion DE.1.0.8.0 --startMP 204:1021 --initTime 2017-01-14T08:59:38 --startdatetime 2017-01-14T09:21:15 --delay 1 --endMP 300:58988 --enddatetime 2017-01-14T09:35:50 --enforcementcount 0 &gt;&gt;C:\Users\stu\Documents\GitHub\eaglep3-reporting\EC\2017-01-14-refined-times.txt</v>
      </c>
      <c r="AI165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{"issue":{"subject":"","project_id":79,"tracker_id":40,"status_id":1,"priority_id":2,"assigned_to_id":23,"start_date":"2017-01-14","description":"","custom_fields":[{"id":1,"name":"Subdivision","value":"NW"},{"id":4,"name":"Milepost","value":"5.8988"},{"id":17,"name":"Train ID","value":"1807-14"},{"id":16,"name":"Locomotive ID","value":"4046"},{"id":130,"name":"Impact","value":""},{"id":150,"name":"Time of Event (Mountain Time)","value":"09:35:50"},{"id":151,"name":"Denver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110"/>
        <v>start /low /b %USERPROFILE%\Documents\GitHub\eaglep3\Utilities\DownloadLogsFromS3.py --loco 4046 --day 2017-01-14</v>
      </c>
      <c r="AN165" s="189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521</v>
      </c>
      <c r="B166" s="7">
        <v>4045</v>
      </c>
      <c r="C166" s="22" t="s">
        <v>201</v>
      </c>
      <c r="D166" s="22" t="s">
        <v>425</v>
      </c>
      <c r="E166" s="13">
        <v>42749.401307870372</v>
      </c>
      <c r="F166" s="13">
        <v>42749.403124999997</v>
      </c>
      <c r="G166" s="7">
        <v>1</v>
      </c>
      <c r="H166" s="22" t="s">
        <v>423</v>
      </c>
      <c r="I166" s="13">
        <v>42749.414039351854</v>
      </c>
      <c r="J166" s="7">
        <v>0</v>
      </c>
      <c r="K166" s="105" t="str">
        <f t="shared" si="128"/>
        <v>4045/4046</v>
      </c>
      <c r="L166" s="22" t="str">
        <f>VLOOKUP(A166,'Trips&amp;Operators'!$C$1:$G$99999,5,FALSE)</f>
        <v>SHOOK JOHN</v>
      </c>
      <c r="M166" s="6">
        <f t="shared" si="129"/>
        <v>1.0914351856627036E-2</v>
      </c>
      <c r="N166" s="7">
        <f t="shared" si="130"/>
        <v>15.716666673542932</v>
      </c>
      <c r="O166" s="7"/>
      <c r="P166" s="7"/>
      <c r="Q166" s="23"/>
      <c r="R166" s="23"/>
      <c r="S166" s="32">
        <f t="shared" si="131"/>
        <v>1</v>
      </c>
      <c r="T166" s="47" t="str">
        <f t="shared" si="132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08:37:53-700',mode:absolute,to:'2017-01-14 10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66" s="49" t="str">
        <f t="shared" si="133"/>
        <v>N</v>
      </c>
      <c r="X166" s="173">
        <f t="shared" si="139"/>
        <v>1</v>
      </c>
      <c r="Y166" s="64">
        <f t="shared" si="134"/>
        <v>5.8662000000000001</v>
      </c>
      <c r="Z166" s="64">
        <f t="shared" si="135"/>
        <v>7.2900000000000006E-2</v>
      </c>
      <c r="AA166" s="64">
        <f t="shared" si="136"/>
        <v>5.7933000000000003</v>
      </c>
      <c r="AB166" s="61" t="e">
        <f>VLOOKUP(A166,Enforcements!$C$7:$K$15,8,0)</f>
        <v>#N/A</v>
      </c>
      <c r="AC166" s="57" t="e">
        <f>VLOOKUP(A166,Enforcements!$C$7:$E$15,3,0)</f>
        <v>#N/A</v>
      </c>
      <c r="AD166" s="58" t="str">
        <f t="shared" si="137"/>
        <v>1808-14</v>
      </c>
      <c r="AE166" s="87" t="str">
        <f t="shared" si="11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66" s="84" t="str">
        <f t="shared" si="114"/>
        <v>"C:\Program Files (x86)\AstroGrep\AstroGrep.exe" /spath="%USERPROFILE%\AppData\Local\Temp\OnboardLogs" /stypes="app*4045*20170114*" /stext=" 16:.+((SYSTEM_STATE.+slice.+state.+changed )|(ment ac)|(multiple cpu faults)|(system.+state.+changed )|(\[timeout)|(PRM\|1\|D)|(kpr)|(kdp)|(\|lc)|(penalty))" /e /r /s</v>
      </c>
      <c r="AG166" s="1" t="str">
        <f t="shared" si="138"/>
        <v>NW</v>
      </c>
      <c r="AH166" s="88" t="str">
        <f t="shared" si="108"/>
        <v>"%USERPROFILE%\Documents\GitHub\eaglep3\Utilities\RefineRTDCRunTimes.py" --tripid 1808-14 --locoid 4045 --swversion DE.1.0.8.0 --startMP 300:58662 --initTime 2017-01-14T09:37:53 --startdatetime 2017-01-14T09:40:30 --delay 1 --endMP 204:729 --enddatetime 2017-01-14T09:56:13 --enforcementcount 0 &gt;&gt;C:\Users\stu\Documents\GitHub\eaglep3-reporting\EC\2017-01-14-refined-times.txt</v>
      </c>
      <c r="AI166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{"issue":{"subject":"","project_id":79,"tracker_id":40,"status_id":1,"priority_id":2,"assigned_to_id":23,"start_date":"2017-01-14","description":"","custom_fields":[{"id":1,"name":"Subdivision","value":"NW"},{"id":4,"name":"Milepost","value":"0.0729"},{"id":17,"name":"Train ID","value":"1808-14"},{"id":16,"name":"Locomotive ID","value":"4045"},{"id":130,"name":"Impact","value":""},{"id":150,"name":"Time of Event (Mountain Time)","value":"09:56:13"},{"id":151,"name":"Denver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110"/>
        <v>start /low /b %USERPROFILE%\Documents\GitHub\eaglep3\Utilities\DownloadLogsFromS3.py --loco 4045 --day 2017-01-14</v>
      </c>
      <c r="AN166" s="189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528</v>
      </c>
      <c r="B167" s="7">
        <v>4046</v>
      </c>
      <c r="C167" s="22" t="s">
        <v>201</v>
      </c>
      <c r="D167" s="22" t="s">
        <v>693</v>
      </c>
      <c r="E167" s="13">
        <v>42749.417824074073</v>
      </c>
      <c r="F167" s="13">
        <v>42749.431435185186</v>
      </c>
      <c r="G167" s="7">
        <v>1</v>
      </c>
      <c r="H167" s="22" t="s">
        <v>694</v>
      </c>
      <c r="I167" s="13">
        <v>42749.441724537035</v>
      </c>
      <c r="J167" s="7">
        <v>0</v>
      </c>
      <c r="K167" s="105" t="str">
        <f t="shared" si="128"/>
        <v>4045/4046</v>
      </c>
      <c r="L167" s="22" t="str">
        <f>VLOOKUP(A167,'Trips&amp;Operators'!$C$1:$G$99999,5,FALSE)</f>
        <v>SHOOK JOHN</v>
      </c>
      <c r="M167" s="6">
        <f t="shared" si="129"/>
        <v>1.0289351848769002E-2</v>
      </c>
      <c r="N167" s="7">
        <f t="shared" si="130"/>
        <v>14.816666662227362</v>
      </c>
      <c r="O167" s="7"/>
      <c r="P167" s="7"/>
      <c r="Q167" s="23"/>
      <c r="R167" s="23"/>
      <c r="S167" s="32">
        <f t="shared" si="131"/>
        <v>1</v>
      </c>
      <c r="T167" s="47" t="str">
        <f t="shared" si="132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09:01:40-700',mode:absolute,to:'2017-01-14 11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67" s="49" t="str">
        <f t="shared" si="133"/>
        <v>N</v>
      </c>
      <c r="X167" s="173">
        <f t="shared" si="139"/>
        <v>1</v>
      </c>
      <c r="Y167" s="64">
        <f t="shared" si="134"/>
        <v>0.1027</v>
      </c>
      <c r="Z167" s="64">
        <f t="shared" si="135"/>
        <v>5.8997000000000002</v>
      </c>
      <c r="AA167" s="64">
        <f t="shared" si="136"/>
        <v>5.7970000000000006</v>
      </c>
      <c r="AB167" s="61" t="e">
        <f>VLOOKUP(A167,Enforcements!$C$7:$K$15,8,0)</f>
        <v>#N/A</v>
      </c>
      <c r="AC167" s="57" t="e">
        <f>VLOOKUP(A167,Enforcements!$C$7:$E$15,3,0)</f>
        <v>#N/A</v>
      </c>
      <c r="AD167" s="58" t="str">
        <f t="shared" si="137"/>
        <v>1809-14</v>
      </c>
      <c r="AE167" s="87" t="str">
        <f t="shared" si="11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67" s="84" t="str">
        <f t="shared" si="114"/>
        <v>"C:\Program Files (x86)\AstroGrep\AstroGrep.exe" /spath="%USERPROFILE%\AppData\Local\Temp\OnboardLogs" /stypes="app*4046*20170114*" /stext=" 17:.+((SYSTEM_STATE.+slice.+state.+changed )|(ment ac)|(multiple cpu faults)|(system.+state.+changed )|(\[timeout)|(PRM\|1\|D)|(kpr)|(kdp)|(\|lc)|(penalty))" /e /r /s</v>
      </c>
      <c r="AG167" s="1" t="str">
        <f t="shared" si="138"/>
        <v>NW</v>
      </c>
      <c r="AH167" s="88" t="str">
        <f t="shared" si="108"/>
        <v>"%USERPROFILE%\Documents\GitHub\eaglep3\Utilities\RefineRTDCRunTimes.py" --tripid 1809-14 --locoid 4046 --swversion DE.1.0.8.0 --startMP 204:1027 --initTime 2017-01-14T10:01:40 --startdatetime 2017-01-14T10:21:16 --delay 1 --endMP 300:58997 --enddatetime 2017-01-14T10:36:05 --enforcementcount 0 &gt;&gt;C:\Users\stu\Documents\GitHub\eaglep3-reporting\EC\2017-01-14-refined-times.txt</v>
      </c>
      <c r="AI167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{"issue":{"subject":"","project_id":79,"tracker_id":40,"status_id":1,"priority_id":2,"assigned_to_id":23,"start_date":"2017-01-14","description":"","custom_fields":[{"id":1,"name":"Subdivision","value":"NW"},{"id":4,"name":"Milepost","value":"5.8997"},{"id":17,"name":"Train ID","value":"1809-14"},{"id":16,"name":"Locomotive ID","value":"4046"},{"id":130,"name":"Impact","value":""},{"id":150,"name":"Time of Event (Mountain Time)","value":"10:36:05"},{"id":151,"name":"Denver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110"/>
        <v>start /low /b %USERPROFILE%\Documents\GitHub\eaglep3\Utilities\DownloadLogsFromS3.py --loco 4046 --day 2017-01-14</v>
      </c>
      <c r="AN167" s="189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535</v>
      </c>
      <c r="B168" s="7">
        <v>4045</v>
      </c>
      <c r="C168" s="22" t="s">
        <v>201</v>
      </c>
      <c r="D168" s="22" t="s">
        <v>697</v>
      </c>
      <c r="E168" s="13">
        <v>42749.443171296298</v>
      </c>
      <c r="F168" s="13">
        <v>42749.445023148146</v>
      </c>
      <c r="G168" s="7">
        <v>3</v>
      </c>
      <c r="H168" s="22" t="s">
        <v>698</v>
      </c>
      <c r="I168" s="13">
        <v>42749.45579861111</v>
      </c>
      <c r="J168" s="7">
        <v>0</v>
      </c>
      <c r="K168" s="105" t="str">
        <f t="shared" si="128"/>
        <v>4045/4046</v>
      </c>
      <c r="L168" s="22" t="str">
        <f>VLOOKUP(A168,'Trips&amp;Operators'!$C$1:$G$99999,5,FALSE)</f>
        <v>SHOOK JOHN</v>
      </c>
      <c r="M168" s="6">
        <f t="shared" si="129"/>
        <v>1.0775462964375038E-2</v>
      </c>
      <c r="N168" s="7">
        <f t="shared" si="130"/>
        <v>15.516666668700054</v>
      </c>
      <c r="O168" s="7"/>
      <c r="P168" s="7"/>
      <c r="Q168" s="23"/>
      <c r="R168" s="23"/>
      <c r="S168" s="32">
        <f t="shared" si="131"/>
        <v>1</v>
      </c>
      <c r="T168" s="47" t="str">
        <f t="shared" si="132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09:38:10-700',mode:absolute,to:'2017-01-14 11:56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68" s="49" t="str">
        <f t="shared" si="133"/>
        <v>N</v>
      </c>
      <c r="X168" s="173">
        <f t="shared" ref="X168:X172" si="140">VALUE(LEFT(AD168,4))-VALUE(LEFT(AD167,4))</f>
        <v>1</v>
      </c>
      <c r="Y168" s="64">
        <f t="shared" si="134"/>
        <v>5.7460000000000004</v>
      </c>
      <c r="Z168" s="64">
        <f t="shared" si="135"/>
        <v>7.0800000000000002E-2</v>
      </c>
      <c r="AA168" s="64">
        <f t="shared" si="136"/>
        <v>5.6752000000000002</v>
      </c>
      <c r="AB168" s="61" t="e">
        <f>VLOOKUP(A168,Enforcements!$C$7:$K$15,8,0)</f>
        <v>#N/A</v>
      </c>
      <c r="AC168" s="57" t="e">
        <f>VLOOKUP(A168,Enforcements!$C$7:$E$15,3,0)</f>
        <v>#N/A</v>
      </c>
      <c r="AD168" s="58" t="str">
        <f t="shared" si="137"/>
        <v>1810-14</v>
      </c>
      <c r="AE168" s="87" t="str">
        <f t="shared" si="11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68" s="84" t="str">
        <f t="shared" si="114"/>
        <v>"C:\Program Files (x86)\AstroGrep\AstroGrep.exe" /spath="%USERPROFILE%\AppData\Local\Temp\OnboardLogs" /stypes="app*4045*20170114*" /stext=" 17:.+((SYSTEM_STATE.+slice.+state.+changed )|(ment ac)|(multiple cpu faults)|(system.+state.+changed )|(\[timeout)|(PRM\|1\|D)|(kpr)|(kdp)|(\|lc)|(penalty))" /e /r /s</v>
      </c>
      <c r="AG168" s="1" t="str">
        <f t="shared" si="138"/>
        <v>NW</v>
      </c>
      <c r="AH168" s="88" t="str">
        <f t="shared" si="108"/>
        <v>"%USERPROFILE%\Documents\GitHub\eaglep3\Utilities\RefineRTDCRunTimes.py" --tripid 1810-14 --locoid 4045 --swversion DE.1.0.8.0 --startMP 300:57460 --initTime 2017-01-14T10:38:10 --startdatetime 2017-01-14T10:40:50 --delay 3 --endMP 204:708 --enddatetime 2017-01-14T10:56:21 --enforcementcount 0 &gt;&gt;C:\Users\stu\Documents\GitHub\eaglep3-reporting\EC\2017-01-14-refined-times.txt</v>
      </c>
      <c r="AI168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{"issue":{"subject":"","project_id":79,"tracker_id":40,"status_id":1,"priority_id":2,"assigned_to_id":23,"start_date":"2017-01-14","description":"","custom_fields":[{"id":1,"name":"Subdivision","value":"NW"},{"id":4,"name":"Milepost","value":"0.0708"},{"id":17,"name":"Train ID","value":"1810-14"},{"id":16,"name":"Locomotive ID","value":"4045"},{"id":130,"name":"Impact","value":""},{"id":150,"name":"Time of Event (Mountain Time)","value":"10:56:21"},{"id":151,"name":"Denver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110"/>
        <v>start /low /b %USERPROFILE%\Documents\GitHub\eaglep3\Utilities\DownloadLogsFromS3.py --loco 4045 --day 2017-01-14</v>
      </c>
      <c r="AN168" s="189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541</v>
      </c>
      <c r="B169" s="7">
        <v>4046</v>
      </c>
      <c r="C169" s="22" t="s">
        <v>201</v>
      </c>
      <c r="D169" s="22" t="s">
        <v>699</v>
      </c>
      <c r="E169" s="13">
        <v>42749.458749999998</v>
      </c>
      <c r="F169" s="13">
        <v>42749.473101851851</v>
      </c>
      <c r="G169" s="7">
        <v>1</v>
      </c>
      <c r="H169" s="22" t="s">
        <v>700</v>
      </c>
      <c r="I169" s="13">
        <v>42749.483460648145</v>
      </c>
      <c r="J169" s="7">
        <v>0</v>
      </c>
      <c r="K169" s="105" t="str">
        <f t="shared" si="128"/>
        <v>4045/4046</v>
      </c>
      <c r="L169" s="22" t="str">
        <f>VLOOKUP(A169,'Trips&amp;Operators'!$C$1:$G$99999,5,FALSE)</f>
        <v>SHOOK JOHN</v>
      </c>
      <c r="M169" s="6">
        <f t="shared" si="129"/>
        <v>1.0358796294895001E-2</v>
      </c>
      <c r="N169" s="7">
        <f t="shared" si="130"/>
        <v>14.916666664648801</v>
      </c>
      <c r="O169" s="7"/>
      <c r="P169" s="7"/>
      <c r="Q169" s="23"/>
      <c r="R169" s="23"/>
      <c r="S169" s="32">
        <f t="shared" si="131"/>
        <v>1</v>
      </c>
      <c r="T169" s="47" t="str">
        <f t="shared" si="132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10:00:36-700',mode:absolute,to:'2017-01-14 12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69" s="49" t="str">
        <f t="shared" si="133"/>
        <v>N</v>
      </c>
      <c r="X169" s="173">
        <f t="shared" si="140"/>
        <v>1</v>
      </c>
      <c r="Y169" s="64">
        <f t="shared" si="134"/>
        <v>0.1018</v>
      </c>
      <c r="Z169" s="64">
        <f t="shared" si="135"/>
        <v>5.9006999999999996</v>
      </c>
      <c r="AA169" s="64">
        <f t="shared" si="136"/>
        <v>5.7988999999999997</v>
      </c>
      <c r="AB169" s="61" t="e">
        <f>VLOOKUP(A169,Enforcements!$C$7:$K$15,8,0)</f>
        <v>#N/A</v>
      </c>
      <c r="AC169" s="57" t="e">
        <f>VLOOKUP(A169,Enforcements!$C$7:$E$15,3,0)</f>
        <v>#N/A</v>
      </c>
      <c r="AD169" s="58" t="str">
        <f t="shared" si="137"/>
        <v>1811-14</v>
      </c>
      <c r="AE169" s="87" t="str">
        <f t="shared" si="11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69" s="84" t="str">
        <f t="shared" si="114"/>
        <v>"C:\Program Files (x86)\AstroGrep\AstroGrep.exe" /spath="%USERPROFILE%\AppData\Local\Temp\OnboardLogs" /stypes="app*4046*20170114*" /stext=" 18:.+((SYSTEM_STATE.+slice.+state.+changed )|(ment ac)|(multiple cpu faults)|(system.+state.+changed )|(\[timeout)|(PRM\|1\|D)|(kpr)|(kdp)|(\|lc)|(penalty))" /e /r /s</v>
      </c>
      <c r="AG169" s="1" t="str">
        <f t="shared" si="138"/>
        <v>NW</v>
      </c>
      <c r="AH169" s="88" t="str">
        <f t="shared" si="108"/>
        <v>"%USERPROFILE%\Documents\GitHub\eaglep3\Utilities\RefineRTDCRunTimes.py" --tripid 1811-14 --locoid 4046 --swversion DE.1.0.8.0 --startMP 204:1018 --initTime 2017-01-14T11:00:36 --startdatetime 2017-01-14T11:21:16 --delay 1 --endMP 300:59007 --enddatetime 2017-01-14T11:36:11 --enforcementcount 0 &gt;&gt;C:\Users\stu\Documents\GitHub\eaglep3-reporting\EC\2017-01-14-refined-times.txt</v>
      </c>
      <c r="AI169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{"issue":{"subject":"","project_id":79,"tracker_id":40,"status_id":1,"priority_id":2,"assigned_to_id":23,"start_date":"2017-01-14","description":"","custom_fields":[{"id":1,"name":"Subdivision","value":"NW"},{"id":4,"name":"Milepost","value":"5.9007"},{"id":17,"name":"Train ID","value":"1811-14"},{"id":16,"name":"Locomotive ID","value":"4046"},{"id":130,"name":"Impact","value":""},{"id":150,"name":"Time of Event (Mountain Time)","value":"11:36:11"},{"id":151,"name":"Denver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110"/>
        <v>start /low /b %USERPROFILE%\Documents\GitHub\eaglep3\Utilities\DownloadLogsFromS3.py --loco 4046 --day 2017-01-14</v>
      </c>
      <c r="AN169" s="189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4" t="s">
        <v>547</v>
      </c>
      <c r="B170" s="7">
        <v>4045</v>
      </c>
      <c r="C170" s="22" t="s">
        <v>201</v>
      </c>
      <c r="D170" s="22" t="s">
        <v>701</v>
      </c>
      <c r="E170" s="13">
        <v>42749.484918981485</v>
      </c>
      <c r="F170" s="13">
        <v>42749.486585648148</v>
      </c>
      <c r="G170" s="7">
        <v>2</v>
      </c>
      <c r="H170" s="22" t="s">
        <v>689</v>
      </c>
      <c r="I170" s="13">
        <v>42749.497997685183</v>
      </c>
      <c r="J170" s="7">
        <v>0</v>
      </c>
      <c r="K170" s="105" t="str">
        <f t="shared" si="128"/>
        <v>4045/4046</v>
      </c>
      <c r="L170" s="22" t="str">
        <f>VLOOKUP(A170,'Trips&amp;Operators'!$C$1:$G$99999,5,FALSE)</f>
        <v>SHOOK JOHN</v>
      </c>
      <c r="M170" s="6">
        <f t="shared" si="129"/>
        <v>1.1412037034460809E-2</v>
      </c>
      <c r="N170" s="7">
        <f t="shared" si="130"/>
        <v>16.433333329623565</v>
      </c>
      <c r="O170" s="7"/>
      <c r="P170" s="7"/>
      <c r="Q170" s="23"/>
      <c r="R170" s="23"/>
      <c r="S170" s="32">
        <f t="shared" si="131"/>
        <v>1</v>
      </c>
      <c r="T170" s="47" t="str">
        <f t="shared" si="132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10:38:17-700',mode:absolute,to:'2017-01-14 12:57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70" s="49" t="str">
        <f t="shared" si="133"/>
        <v>N</v>
      </c>
      <c r="X170" s="173">
        <f t="shared" si="140"/>
        <v>1</v>
      </c>
      <c r="Y170" s="64">
        <f t="shared" si="134"/>
        <v>5.843</v>
      </c>
      <c r="Z170" s="64">
        <f t="shared" si="135"/>
        <v>7.4300000000000005E-2</v>
      </c>
      <c r="AA170" s="64">
        <f t="shared" si="136"/>
        <v>5.7686999999999999</v>
      </c>
      <c r="AB170" s="61" t="e">
        <f>VLOOKUP(A170,Enforcements!$C$7:$K$15,8,0)</f>
        <v>#N/A</v>
      </c>
      <c r="AC170" s="57" t="e">
        <f>VLOOKUP(A170,Enforcements!$C$7:$E$15,3,0)</f>
        <v>#N/A</v>
      </c>
      <c r="AD170" s="58" t="str">
        <f t="shared" si="137"/>
        <v>1812-14</v>
      </c>
      <c r="AE170" s="87" t="str">
        <f t="shared" si="11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70" s="84" t="str">
        <f t="shared" si="114"/>
        <v>"C:\Program Files (x86)\AstroGrep\AstroGrep.exe" /spath="%USERPROFILE%\AppData\Local\Temp\OnboardLogs" /stypes="app*4045*20170114*" /stext=" 18:.+((SYSTEM_STATE.+slice.+state.+changed )|(ment ac)|(multiple cpu faults)|(system.+state.+changed )|(\[timeout)|(PRM\|1\|D)|(kpr)|(kdp)|(\|lc)|(penalty))" /e /r /s</v>
      </c>
      <c r="AG170" s="1" t="str">
        <f t="shared" si="138"/>
        <v>NW</v>
      </c>
      <c r="AH170" s="88" t="str">
        <f t="shared" si="108"/>
        <v>"%USERPROFILE%\Documents\GitHub\eaglep3\Utilities\RefineRTDCRunTimes.py" --tripid 1812-14 --locoid 4045 --swversion DE.1.0.8.0 --startMP 300:58430 --initTime 2017-01-14T11:38:17 --startdatetime 2017-01-14T11:40:41 --delay 2 --endMP 204:743 --enddatetime 2017-01-14T11:57:07 --enforcementcount 0 &gt;&gt;C:\Users\stu\Documents\GitHub\eaglep3-reporting\EC\2017-01-14-refined-times.txt</v>
      </c>
      <c r="AI170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{"issue":{"subject":"","project_id":79,"tracker_id":40,"status_id":1,"priority_id":2,"assigned_to_id":23,"start_date":"2017-01-14","description":"","custom_fields":[{"id":1,"name":"Subdivision","value":"NW"},{"id":4,"name":"Milepost","value":"0.0743"},{"id":17,"name":"Train ID","value":"1812-14"},{"id":16,"name":"Locomotive ID","value":"4045"},{"id":130,"name":"Impact","value":""},{"id":150,"name":"Time of Event (Mountain Time)","value":"11:57:07"},{"id":151,"name":"Denver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110"/>
        <v>start /low /b %USERPROFILE%\Documents\GitHub\eaglep3\Utilities\DownloadLogsFromS3.py --loco 4045 --day 2017-01-14</v>
      </c>
      <c r="AN170" s="189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</row>
    <row r="171" spans="1:91" s="21" customFormat="1" x14ac:dyDescent="0.25">
      <c r="A171" s="34" t="s">
        <v>552</v>
      </c>
      <c r="B171" s="7">
        <v>4046</v>
      </c>
      <c r="C171" s="22" t="s">
        <v>201</v>
      </c>
      <c r="D171" s="22" t="s">
        <v>702</v>
      </c>
      <c r="E171" s="13">
        <v>42749.500752314816</v>
      </c>
      <c r="F171" s="13">
        <v>42749.514756944445</v>
      </c>
      <c r="G171" s="7">
        <v>1</v>
      </c>
      <c r="H171" s="22" t="s">
        <v>692</v>
      </c>
      <c r="I171" s="13">
        <v>42749.525358796294</v>
      </c>
      <c r="J171" s="7">
        <v>0</v>
      </c>
      <c r="K171" s="105" t="str">
        <f t="shared" si="128"/>
        <v>4045/4046</v>
      </c>
      <c r="L171" s="22" t="str">
        <f>VLOOKUP(A171,'Trips&amp;Operators'!$C$1:$G$99999,5,FALSE)</f>
        <v>SHOOK JOHN</v>
      </c>
      <c r="M171" s="6">
        <f t="shared" si="129"/>
        <v>1.060185184906004E-2</v>
      </c>
      <c r="N171" s="7">
        <f t="shared" si="130"/>
        <v>15.266666662646458</v>
      </c>
      <c r="O171" s="7"/>
      <c r="P171" s="7"/>
      <c r="Q171" s="23"/>
      <c r="R171" s="23"/>
      <c r="S171" s="32">
        <f t="shared" si="131"/>
        <v>1</v>
      </c>
      <c r="T171" s="47" t="str">
        <f t="shared" si="132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11:01:05-700',mode:absolute,to:'2017-01-14 13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71" s="49" t="str">
        <f t="shared" si="133"/>
        <v>N</v>
      </c>
      <c r="X171" s="173">
        <f t="shared" si="140"/>
        <v>1</v>
      </c>
      <c r="Y171" s="64">
        <f t="shared" si="134"/>
        <v>0.1011</v>
      </c>
      <c r="Z171" s="64">
        <f t="shared" si="135"/>
        <v>5.8987999999999996</v>
      </c>
      <c r="AA171" s="64">
        <f t="shared" si="136"/>
        <v>5.7976999999999999</v>
      </c>
      <c r="AB171" s="61" t="e">
        <f>VLOOKUP(A171,Enforcements!$C$7:$K$15,8,0)</f>
        <v>#N/A</v>
      </c>
      <c r="AC171" s="57" t="e">
        <f>VLOOKUP(A171,Enforcements!$C$7:$E$15,3,0)</f>
        <v>#N/A</v>
      </c>
      <c r="AD171" s="58" t="str">
        <f t="shared" si="137"/>
        <v>1813-14</v>
      </c>
      <c r="AE171" s="87" t="str">
        <f t="shared" si="11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71" s="84" t="str">
        <f t="shared" si="114"/>
        <v>"C:\Program Files (x86)\AstroGrep\AstroGrep.exe" /spath="%USERPROFILE%\AppData\Local\Temp\OnboardLogs" /stypes="app*4046*20170114*" /stext=" 19:.+((SYSTEM_STATE.+slice.+state.+changed )|(ment ac)|(multiple cpu faults)|(system.+state.+changed )|(\[timeout)|(PRM\|1\|D)|(kpr)|(kdp)|(\|lc)|(penalty))" /e /r /s</v>
      </c>
      <c r="AG171" s="1" t="str">
        <f t="shared" si="138"/>
        <v>NW</v>
      </c>
      <c r="AH171" s="88" t="str">
        <f t="shared" si="108"/>
        <v>"%USERPROFILE%\Documents\GitHub\eaglep3\Utilities\RefineRTDCRunTimes.py" --tripid 1813-14 --locoid 4046 --swversion DE.1.0.8.0 --startMP 204:1011 --initTime 2017-01-14T12:01:05 --startdatetime 2017-01-14T12:21:15 --delay 1 --endMP 300:58988 --enddatetime 2017-01-14T12:36:31 --enforcementcount 0 &gt;&gt;C:\Users\stu\Documents\GitHub\eaglep3-reporting\EC\2017-01-14-refined-times.txt</v>
      </c>
      <c r="AI171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{"issue":{"subject":"","project_id":79,"tracker_id":40,"status_id":1,"priority_id":2,"assigned_to_id":23,"start_date":"2017-01-14","description":"","custom_fields":[{"id":1,"name":"Subdivision","value":"NW"},{"id":4,"name":"Milepost","value":"5.8988"},{"id":17,"name":"Train ID","value":"1813-14"},{"id":16,"name":"Locomotive ID","value":"4046"},{"id":130,"name":"Impact","value":""},{"id":150,"name":"Time of Event (Mountain Time)","value":"12:36:31"},{"id":151,"name":"Denver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110"/>
        <v>start /low /b %USERPROFILE%\Documents\GitHub\eaglep3\Utilities\DownloadLogsFromS3.py --loco 4046 --day 2017-01-14</v>
      </c>
      <c r="AN171" s="189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4" t="s">
        <v>443</v>
      </c>
      <c r="B172" s="7">
        <v>4045</v>
      </c>
      <c r="C172" s="22" t="s">
        <v>201</v>
      </c>
      <c r="D172" s="22" t="s">
        <v>703</v>
      </c>
      <c r="E172" s="13">
        <v>42749.526956018519</v>
      </c>
      <c r="F172" s="13">
        <v>42749.528807870367</v>
      </c>
      <c r="G172" s="7">
        <v>2</v>
      </c>
      <c r="H172" s="22" t="s">
        <v>703</v>
      </c>
      <c r="I172" s="13">
        <v>42749.528912037036</v>
      </c>
      <c r="J172" s="7">
        <v>0</v>
      </c>
      <c r="K172" s="105" t="str">
        <f t="shared" si="128"/>
        <v>4045/4046</v>
      </c>
      <c r="L172" s="22" t="str">
        <f>VLOOKUP(A172,'Trips&amp;Operators'!$C$1:$G$99999,5,FALSE)</f>
        <v>SHOOK JOHN</v>
      </c>
      <c r="M172" s="6">
        <f t="shared" si="129"/>
        <v>1.0416666918899864E-4</v>
      </c>
      <c r="N172" s="7"/>
      <c r="O172" s="7"/>
      <c r="P172" s="7">
        <v>1</v>
      </c>
      <c r="Q172" s="23"/>
      <c r="R172" s="23" t="s">
        <v>301</v>
      </c>
      <c r="S172" s="32">
        <f t="shared" si="131"/>
        <v>0</v>
      </c>
      <c r="T172" s="47" t="str">
        <f t="shared" si="132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11:38:49-700',mode:absolute,to:'2017-01-14 13:41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72" s="49" t="str">
        <f t="shared" si="133"/>
        <v>Y</v>
      </c>
      <c r="X172" s="173">
        <f t="shared" si="140"/>
        <v>1</v>
      </c>
      <c r="Y172" s="64">
        <f t="shared" si="134"/>
        <v>5.8474000000000004</v>
      </c>
      <c r="Z172" s="64">
        <f t="shared" si="135"/>
        <v>5.8474000000000004</v>
      </c>
      <c r="AA172" s="64">
        <f t="shared" si="136"/>
        <v>0</v>
      </c>
      <c r="AB172" s="61" t="e">
        <f>VLOOKUP(A172,Enforcements!$C$7:$K$15,8,0)</f>
        <v>#N/A</v>
      </c>
      <c r="AC172" s="57" t="e">
        <f>VLOOKUP(A172,Enforcements!$C$7:$E$15,3,0)</f>
        <v>#N/A</v>
      </c>
      <c r="AD172" s="58" t="str">
        <f t="shared" si="137"/>
        <v>1814-14</v>
      </c>
      <c r="AE172" s="87" t="str">
        <f t="shared" si="11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72" s="84" t="str">
        <f t="shared" si="114"/>
        <v>"C:\Program Files (x86)\AstroGrep\AstroGrep.exe" /spath="%USERPROFILE%\AppData\Local\Temp\OnboardLogs" /stypes="app*4045*20170114*" /stext=" 19:.+((SYSTEM_STATE.+slice.+state.+changed )|(ment ac)|(multiple cpu faults)|(system.+state.+changed )|(\[timeout)|(PRM\|1\|D)|(kpr)|(kdp)|(\|lc)|(penalty))" /e /r /s</v>
      </c>
      <c r="AG172" s="1" t="str">
        <f t="shared" si="138"/>
        <v>NW</v>
      </c>
      <c r="AH172" s="88" t="str">
        <f t="shared" si="108"/>
        <v>"%USERPROFILE%\Documents\GitHub\eaglep3\Utilities\RefineRTDCRunTimes.py" --tripid 1814-14 --locoid 4045 --swversion DE.1.0.8.0 --startMP 300:58474 --initTime 2017-01-14T12:38:49 --startdatetime 2017-01-14T12:41:29 --delay 2 --endMP 300:58474 --enddatetime 2017-01-14T12:41:38 --enforcementcount 0 &gt;&gt;C:\Users\stu\Documents\GitHub\eaglep3-reporting\EC\2017-01-14-refined-times.txt</v>
      </c>
      <c r="AI172" s="115" t="str">
        <f t="shared" si="109"/>
        <v>echo {"issue":{"subject":"Onboard in-route failure","project_id":79,"tracker_id":40,"status_id":1,"priority_id":2,"assigned_to_id":23,"start_date":"2017-01-14","description":"","custom_fields":[{"id":1,"name":"Subdivision","value":"NW"},{"id":4,"name":"Milepost","value":"5.8474"},{"id":17,"name":"Train ID","value":"1814-14"},{"id":16,"name":"Locomotive ID","value":"4045"},{"id":130,"name":"Impact","value":""},{"id":150,"name":"Time of Event (Mountain Time)","value":"12:41:38"},{"id":151,"name":"Denver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110"/>
        <v>start /low /b %USERPROFILE%\Documents\GitHub\eaglep3\Utilities\DownloadLogsFromS3.py --loco 4045 --day 2017-01-14</v>
      </c>
      <c r="AN172" s="189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</row>
    <row r="173" spans="1:91" s="21" customFormat="1" x14ac:dyDescent="0.25">
      <c r="A173" s="34" t="s">
        <v>563</v>
      </c>
      <c r="B173" s="7">
        <v>4046</v>
      </c>
      <c r="C173" s="22" t="s">
        <v>201</v>
      </c>
      <c r="D173" s="22" t="s">
        <v>704</v>
      </c>
      <c r="E173" s="13">
        <v>42749.542604166665</v>
      </c>
      <c r="F173" s="13">
        <v>42749.556493055556</v>
      </c>
      <c r="G173" s="7">
        <v>1</v>
      </c>
      <c r="H173" s="22" t="s">
        <v>705</v>
      </c>
      <c r="I173" s="13">
        <v>42749.566689814812</v>
      </c>
      <c r="J173" s="7">
        <v>0</v>
      </c>
      <c r="K173" s="105" t="str">
        <f t="shared" si="128"/>
        <v>4045/4046</v>
      </c>
      <c r="L173" s="22" t="str">
        <f>VLOOKUP(A173,'Trips&amp;Operators'!$C$1:$G$99999,5,FALSE)</f>
        <v>SHOOK JOHN</v>
      </c>
      <c r="M173" s="6">
        <f t="shared" si="129"/>
        <v>1.0196759256359655E-2</v>
      </c>
      <c r="N173" s="7">
        <f t="shared" ref="N173:N204" si="141">24*60*SUM($M173:$M173)</f>
        <v>14.683333329157904</v>
      </c>
      <c r="O173" s="7"/>
      <c r="P173" s="7"/>
      <c r="Q173" s="23"/>
      <c r="R173" s="23"/>
      <c r="S173" s="32">
        <f t="shared" si="131"/>
        <v>1</v>
      </c>
      <c r="T173" s="47" t="str">
        <f t="shared" si="132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12:01:21-700',mode:absolute,to:'2017-01-14 14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73" s="49" t="str">
        <f t="shared" si="133"/>
        <v>N</v>
      </c>
      <c r="X173" s="173">
        <f t="shared" ref="X173:X204" si="142">VALUE(LEFT(AD173,4))-VALUE(LEFT(AD172,4))</f>
        <v>1</v>
      </c>
      <c r="Y173" s="64">
        <f t="shared" si="134"/>
        <v>0.10440000000000001</v>
      </c>
      <c r="Z173" s="64">
        <f t="shared" si="135"/>
        <v>5.9008000000000003</v>
      </c>
      <c r="AA173" s="64">
        <f t="shared" si="136"/>
        <v>5.7964000000000002</v>
      </c>
      <c r="AB173" s="61" t="e">
        <f>VLOOKUP(A173,Enforcements!$C$7:$K$15,8,0)</f>
        <v>#N/A</v>
      </c>
      <c r="AC173" s="57" t="e">
        <f>VLOOKUP(A173,Enforcements!$C$7:$E$15,3,0)</f>
        <v>#N/A</v>
      </c>
      <c r="AD173" s="58" t="str">
        <f t="shared" si="137"/>
        <v>1815-14</v>
      </c>
      <c r="AE173" s="87" t="str">
        <f t="shared" si="11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73" s="84" t="str">
        <f t="shared" si="114"/>
        <v>"C:\Program Files (x86)\AstroGrep\AstroGrep.exe" /spath="%USERPROFILE%\AppData\Local\Temp\OnboardLogs" /stypes="app*4046*20170114*" /stext=" 20:.+((SYSTEM_STATE.+slice.+state.+changed )|(ment ac)|(multiple cpu faults)|(system.+state.+changed )|(\[timeout)|(PRM\|1\|D)|(kpr)|(kdp)|(\|lc)|(penalty))" /e /r /s</v>
      </c>
      <c r="AG173" s="1" t="str">
        <f t="shared" si="138"/>
        <v>NW</v>
      </c>
      <c r="AH173" s="88" t="str">
        <f t="shared" si="108"/>
        <v>"%USERPROFILE%\Documents\GitHub\eaglep3\Utilities\RefineRTDCRunTimes.py" --tripid 1815-14 --locoid 4046 --swversion DE.1.0.8.0 --startMP 204:1044 --initTime 2017-01-14T13:01:21 --startdatetime 2017-01-14T13:21:21 --delay 1 --endMP 300:59008 --enddatetime 2017-01-14T13:36:02 --enforcementcount 0 &gt;&gt;C:\Users\stu\Documents\GitHub\eaglep3-reporting\EC\2017-01-14-refined-times.txt</v>
      </c>
      <c r="AI173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{"issue":{"subject":"","project_id":79,"tracker_id":40,"status_id":1,"priority_id":2,"assigned_to_id":23,"start_date":"2017-01-14","description":"","custom_fields":[{"id":1,"name":"Subdivision","value":"NW"},{"id":4,"name":"Milepost","value":"5.9008"},{"id":17,"name":"Train ID","value":"1815-14"},{"id":16,"name":"Locomotive ID","value":"4046"},{"id":130,"name":"Impact","value":""},{"id":150,"name":"Time of Event (Mountain Time)","value":"13:36:02"},{"id":151,"name":"Denver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110"/>
        <v>start /low /b %USERPROFILE%\Documents\GitHub\eaglep3\Utilities\DownloadLogsFromS3.py --loco 4046 --day 2017-01-14</v>
      </c>
      <c r="AN173" s="189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568</v>
      </c>
      <c r="B174" s="7">
        <v>4045</v>
      </c>
      <c r="C174" s="22" t="s">
        <v>201</v>
      </c>
      <c r="D174" s="22" t="s">
        <v>706</v>
      </c>
      <c r="E174" s="13">
        <v>42749.568298611113</v>
      </c>
      <c r="F174" s="13">
        <v>42749.569965277777</v>
      </c>
      <c r="G174" s="7">
        <v>1</v>
      </c>
      <c r="H174" s="22" t="s">
        <v>683</v>
      </c>
      <c r="I174" s="13">
        <v>42749.580659722225</v>
      </c>
      <c r="J174" s="7">
        <v>0</v>
      </c>
      <c r="K174" s="105" t="str">
        <f t="shared" si="128"/>
        <v>4045/4046</v>
      </c>
      <c r="L174" s="22" t="str">
        <f>VLOOKUP(A174,'Trips&amp;Operators'!$C$1:$G$99999,5,FALSE)</f>
        <v>SHOOK JOHN</v>
      </c>
      <c r="M174" s="6">
        <f t="shared" si="129"/>
        <v>1.0694444448745344E-2</v>
      </c>
      <c r="N174" s="7">
        <f t="shared" si="141"/>
        <v>15.400000006193295</v>
      </c>
      <c r="O174" s="7"/>
      <c r="P174" s="7"/>
      <c r="Q174" s="23"/>
      <c r="R174" s="23"/>
      <c r="S174" s="32">
        <f t="shared" si="131"/>
        <v>1</v>
      </c>
      <c r="T174" s="47" t="str">
        <f t="shared" si="132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12:38:21-700',mode:absolute,to:'2017-01-14 14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74" s="49" t="str">
        <f t="shared" si="133"/>
        <v>N</v>
      </c>
      <c r="X174" s="173">
        <f t="shared" si="142"/>
        <v>1</v>
      </c>
      <c r="Y174" s="64">
        <f t="shared" si="134"/>
        <v>5.8686999999999996</v>
      </c>
      <c r="Z174" s="64">
        <f t="shared" si="135"/>
        <v>7.3300000000000004E-2</v>
      </c>
      <c r="AA174" s="64">
        <f t="shared" si="136"/>
        <v>5.7953999999999999</v>
      </c>
      <c r="AB174" s="61" t="e">
        <f>VLOOKUP(A174,Enforcements!$C$7:$K$15,8,0)</f>
        <v>#N/A</v>
      </c>
      <c r="AC174" s="57" t="e">
        <f>VLOOKUP(A174,Enforcements!$C$7:$E$15,3,0)</f>
        <v>#N/A</v>
      </c>
      <c r="AD174" s="58" t="str">
        <f t="shared" si="137"/>
        <v>1816-14</v>
      </c>
      <c r="AE174" s="87" t="str">
        <f t="shared" si="11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74" s="84" t="str">
        <f t="shared" si="114"/>
        <v>"C:\Program Files (x86)\AstroGrep\AstroGrep.exe" /spath="%USERPROFILE%\AppData\Local\Temp\OnboardLogs" /stypes="app*4045*20170114*" /stext=" 20:.+((SYSTEM_STATE.+slice.+state.+changed )|(ment ac)|(multiple cpu faults)|(system.+state.+changed )|(\[timeout)|(PRM\|1\|D)|(kpr)|(kdp)|(\|lc)|(penalty))" /e /r /s</v>
      </c>
      <c r="AG174" s="1" t="str">
        <f t="shared" si="138"/>
        <v>NW</v>
      </c>
      <c r="AH174" s="88" t="str">
        <f t="shared" si="108"/>
        <v>"%USERPROFILE%\Documents\GitHub\eaglep3\Utilities\RefineRTDCRunTimes.py" --tripid 1816-14 --locoid 4045 --swversion DE.1.0.8.0 --startMP 300:58687 --initTime 2017-01-14T13:38:21 --startdatetime 2017-01-14T13:40:45 --delay 1 --endMP 204:733 --enddatetime 2017-01-14T13:56:09 --enforcementcount 0 &gt;&gt;C:\Users\stu\Documents\GitHub\eaglep3-reporting\EC\2017-01-14-refined-times.txt</v>
      </c>
      <c r="AI174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{"issue":{"subject":"","project_id":79,"tracker_id":40,"status_id":1,"priority_id":2,"assigned_to_id":23,"start_date":"2017-01-14","description":"","custom_fields":[{"id":1,"name":"Subdivision","value":"NW"},{"id":4,"name":"Milepost","value":"0.0733"},{"id":17,"name":"Train ID","value":"1816-14"},{"id":16,"name":"Locomotive ID","value":"4045"},{"id":130,"name":"Impact","value":""},{"id":150,"name":"Time of Event (Mountain Time)","value":"13:56:09"},{"id":151,"name":"Denver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110"/>
        <v>start /low /b %USERPROFILE%\Documents\GitHub\eaglep3\Utilities\DownloadLogsFromS3.py --loco 4045 --day 2017-01-14</v>
      </c>
      <c r="AN174" s="189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575</v>
      </c>
      <c r="B175" s="7">
        <v>4046</v>
      </c>
      <c r="C175" s="22" t="s">
        <v>201</v>
      </c>
      <c r="D175" s="22" t="s">
        <v>687</v>
      </c>
      <c r="E175" s="13">
        <v>42749.594259259262</v>
      </c>
      <c r="F175" s="13">
        <v>42749.59820601852</v>
      </c>
      <c r="G175" s="7">
        <v>1</v>
      </c>
      <c r="H175" s="22" t="s">
        <v>707</v>
      </c>
      <c r="I175" s="13">
        <v>42749.608217592591</v>
      </c>
      <c r="J175" s="7">
        <v>0</v>
      </c>
      <c r="K175" s="105" t="str">
        <f t="shared" si="128"/>
        <v>4045/4046</v>
      </c>
      <c r="L175" s="22" t="str">
        <f>VLOOKUP(A175,'Trips&amp;Operators'!$C$1:$G$99999,5,FALSE)</f>
        <v>HELVIE ADAM</v>
      </c>
      <c r="M175" s="6">
        <f t="shared" si="129"/>
        <v>1.0011574071540963E-2</v>
      </c>
      <c r="N175" s="7">
        <f t="shared" si="141"/>
        <v>14.416666663018987</v>
      </c>
      <c r="O175" s="7"/>
      <c r="P175" s="7"/>
      <c r="Q175" s="23"/>
      <c r="R175" s="23"/>
      <c r="S175" s="32">
        <f t="shared" si="131"/>
        <v>1</v>
      </c>
      <c r="T175" s="47" t="str">
        <f t="shared" si="132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13:15:44-700',mode:absolute,to:'2017-01-14 15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75" s="49" t="str">
        <f t="shared" si="133"/>
        <v>N</v>
      </c>
      <c r="X175" s="173">
        <f t="shared" si="142"/>
        <v>1</v>
      </c>
      <c r="Y175" s="64">
        <f t="shared" si="134"/>
        <v>0.1009</v>
      </c>
      <c r="Z175" s="64">
        <f t="shared" si="135"/>
        <v>5.8930999999999996</v>
      </c>
      <c r="AA175" s="64">
        <f t="shared" si="136"/>
        <v>5.7921999999999993</v>
      </c>
      <c r="AB175" s="61" t="e">
        <f>VLOOKUP(A175,Enforcements!$C$7:$K$15,8,0)</f>
        <v>#N/A</v>
      </c>
      <c r="AC175" s="57" t="e">
        <f>VLOOKUP(A175,Enforcements!$C$7:$E$15,3,0)</f>
        <v>#N/A</v>
      </c>
      <c r="AD175" s="58" t="str">
        <f t="shared" si="137"/>
        <v>1817-14</v>
      </c>
      <c r="AE175" s="87" t="str">
        <f t="shared" si="11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75" s="84" t="str">
        <f t="shared" si="114"/>
        <v>"C:\Program Files (x86)\AstroGrep\AstroGrep.exe" /spath="%USERPROFILE%\AppData\Local\Temp\OnboardLogs" /stypes="app*4046*20170114*" /stext=" 21:.+((SYSTEM_STATE.+slice.+state.+changed )|(ment ac)|(multiple cpu faults)|(system.+state.+changed )|(\[timeout)|(PRM\|1\|D)|(kpr)|(kdp)|(\|lc)|(penalty))" /e /r /s</v>
      </c>
      <c r="AG175" s="1" t="str">
        <f t="shared" si="138"/>
        <v>NW</v>
      </c>
      <c r="AH175" s="88" t="str">
        <f t="shared" si="108"/>
        <v>"%USERPROFILE%\Documents\GitHub\eaglep3\Utilities\RefineRTDCRunTimes.py" --tripid 1817-14 --locoid 4046 --swversion DE.1.0.8.0 --startMP 204:1009 --initTime 2017-01-14T14:15:44 --startdatetime 2017-01-14T14:21:25 --delay 1 --endMP 300:58931 --enddatetime 2017-01-14T14:35:50 --enforcementcount 0 &gt;&gt;C:\Users\stu\Documents\GitHub\eaglep3-reporting\EC\2017-01-14-refined-times.txt</v>
      </c>
      <c r="AI175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{"issue":{"subject":"","project_id":79,"tracker_id":40,"status_id":1,"priority_id":2,"assigned_to_id":23,"start_date":"2017-01-14","description":"","custom_fields":[{"id":1,"name":"Subdivision","value":"NW"},{"id":4,"name":"Milepost","value":"5.8931"},{"id":17,"name":"Train ID","value":"1817-14"},{"id":16,"name":"Locomotive ID","value":"4046"},{"id":130,"name":"Impact","value":""},{"id":150,"name":"Time of Event (Mountain Time)","value":"14:35:50"},{"id":151,"name":"Denver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110"/>
        <v>start /low /b %USERPROFILE%\Documents\GitHub\eaglep3\Utilities\DownloadLogsFromS3.py --loco 4046 --day 2017-01-14</v>
      </c>
      <c r="AN175" s="189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580</v>
      </c>
      <c r="B176" s="7">
        <v>4045</v>
      </c>
      <c r="C176" s="22" t="s">
        <v>201</v>
      </c>
      <c r="D176" s="22" t="s">
        <v>429</v>
      </c>
      <c r="E176" s="13">
        <v>42749.610543981478</v>
      </c>
      <c r="F176" s="13">
        <v>42749.612210648149</v>
      </c>
      <c r="G176" s="7">
        <v>1</v>
      </c>
      <c r="H176" s="22" t="s">
        <v>683</v>
      </c>
      <c r="I176" s="13">
        <v>42749.621701388889</v>
      </c>
      <c r="J176" s="7">
        <v>0</v>
      </c>
      <c r="K176" s="105" t="str">
        <f t="shared" si="128"/>
        <v>4045/4046</v>
      </c>
      <c r="L176" s="22" t="str">
        <f>VLOOKUP(A176,'Trips&amp;Operators'!$C$1:$G$99999,5,FALSE)</f>
        <v>HELVIE ADAM</v>
      </c>
      <c r="M176" s="6">
        <f t="shared" si="129"/>
        <v>9.4907407401478849E-3</v>
      </c>
      <c r="N176" s="7">
        <f t="shared" si="141"/>
        <v>13.666666665812954</v>
      </c>
      <c r="O176" s="7"/>
      <c r="P176" s="7"/>
      <c r="Q176" s="23"/>
      <c r="R176" s="23"/>
      <c r="S176" s="32">
        <f t="shared" si="131"/>
        <v>1</v>
      </c>
      <c r="T176" s="47" t="str">
        <f t="shared" si="132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13:39:11-700',mode:absolute,to:'2017-01-14 15:55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76" s="49" t="str">
        <f t="shared" si="133"/>
        <v>N</v>
      </c>
      <c r="X176" s="173">
        <f t="shared" si="142"/>
        <v>1</v>
      </c>
      <c r="Y176" s="64">
        <f t="shared" si="134"/>
        <v>5.8619000000000003</v>
      </c>
      <c r="Z176" s="64">
        <f t="shared" si="135"/>
        <v>7.3300000000000004E-2</v>
      </c>
      <c r="AA176" s="64">
        <f t="shared" si="136"/>
        <v>5.7886000000000006</v>
      </c>
      <c r="AB176" s="61" t="e">
        <f>VLOOKUP(A176,Enforcements!$C$7:$K$15,8,0)</f>
        <v>#N/A</v>
      </c>
      <c r="AC176" s="57" t="e">
        <f>VLOOKUP(A176,Enforcements!$C$7:$E$15,3,0)</f>
        <v>#N/A</v>
      </c>
      <c r="AD176" s="58" t="str">
        <f t="shared" si="137"/>
        <v>1818-14</v>
      </c>
      <c r="AE176" s="87" t="str">
        <f t="shared" si="11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76" s="84" t="str">
        <f t="shared" si="114"/>
        <v>"C:\Program Files (x86)\AstroGrep\AstroGrep.exe" /spath="%USERPROFILE%\AppData\Local\Temp\OnboardLogs" /stypes="app*4045*20170114*" /stext=" 21:.+((SYSTEM_STATE.+slice.+state.+changed )|(ment ac)|(multiple cpu faults)|(system.+state.+changed )|(\[timeout)|(PRM\|1\|D)|(kpr)|(kdp)|(\|lc)|(penalty))" /e /r /s</v>
      </c>
      <c r="AG176" s="1" t="str">
        <f t="shared" si="138"/>
        <v>NW</v>
      </c>
      <c r="AH176" s="88" t="str">
        <f t="shared" si="108"/>
        <v>"%USERPROFILE%\Documents\GitHub\eaglep3\Utilities\RefineRTDCRunTimes.py" --tripid 1818-14 --locoid 4045 --swversion DE.1.0.8.0 --startMP 300:58619 --initTime 2017-01-14T14:39:11 --startdatetime 2017-01-14T14:41:35 --delay 1 --endMP 204:733 --enddatetime 2017-01-14T14:55:15 --enforcementcount 0 &gt;&gt;C:\Users\stu\Documents\GitHub\eaglep3-reporting\EC\2017-01-14-refined-times.txt</v>
      </c>
      <c r="AI176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{"issue":{"subject":"","project_id":79,"tracker_id":40,"status_id":1,"priority_id":2,"assigned_to_id":23,"start_date":"2017-01-14","description":"","custom_fields":[{"id":1,"name":"Subdivision","value":"NW"},{"id":4,"name":"Milepost","value":"0.0733"},{"id":17,"name":"Train ID","value":"1818-14"},{"id":16,"name":"Locomotive ID","value":"4045"},{"id":130,"name":"Impact","value":""},{"id":150,"name":"Time of Event (Mountain Time)","value":"14:55:15"},{"id":151,"name":"Denver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110"/>
        <v>start /low /b %USERPROFILE%\Documents\GitHub\eaglep3\Utilities\DownloadLogsFromS3.py --loco 4045 --day 2017-01-14</v>
      </c>
      <c r="AN176" s="189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587</v>
      </c>
      <c r="B177" s="7">
        <v>4046</v>
      </c>
      <c r="C177" s="22" t="s">
        <v>201</v>
      </c>
      <c r="D177" s="22" t="s">
        <v>430</v>
      </c>
      <c r="E177" s="13">
        <v>42749.637835648151</v>
      </c>
      <c r="F177" s="13">
        <v>42749.639756944445</v>
      </c>
      <c r="G177" s="7">
        <v>1</v>
      </c>
      <c r="H177" s="22" t="s">
        <v>327</v>
      </c>
      <c r="I177" s="13">
        <v>42749.649745370371</v>
      </c>
      <c r="J177" s="7">
        <v>0</v>
      </c>
      <c r="K177" s="105" t="str">
        <f t="shared" si="128"/>
        <v>4045/4046</v>
      </c>
      <c r="L177" s="22" t="str">
        <f>VLOOKUP(A177,'Trips&amp;Operators'!$C$1:$G$99999,5,FALSE)</f>
        <v>HELVIE ADAM</v>
      </c>
      <c r="M177" s="6">
        <f t="shared" si="129"/>
        <v>9.9884259252576157E-3</v>
      </c>
      <c r="N177" s="7">
        <f t="shared" si="141"/>
        <v>14.383333332370967</v>
      </c>
      <c r="O177" s="7"/>
      <c r="P177" s="7"/>
      <c r="Q177" s="23"/>
      <c r="R177" s="23"/>
      <c r="S177" s="32">
        <f t="shared" si="131"/>
        <v>1</v>
      </c>
      <c r="T177" s="47" t="str">
        <f t="shared" si="132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14:18:29-700',mode:absolute,to:'2017-01-14 16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77" s="49" t="str">
        <f t="shared" si="133"/>
        <v>N</v>
      </c>
      <c r="X177" s="173">
        <f t="shared" si="142"/>
        <v>1</v>
      </c>
      <c r="Y177" s="64">
        <f t="shared" si="134"/>
        <v>0.1037</v>
      </c>
      <c r="Z177" s="64">
        <f t="shared" si="135"/>
        <v>5.8933</v>
      </c>
      <c r="AA177" s="64">
        <f t="shared" si="136"/>
        <v>5.7896000000000001</v>
      </c>
      <c r="AB177" s="61" t="e">
        <f>VLOOKUP(A177,Enforcements!$C$7:$K$15,8,0)</f>
        <v>#N/A</v>
      </c>
      <c r="AC177" s="57" t="e">
        <f>VLOOKUP(A177,Enforcements!$C$7:$E$15,3,0)</f>
        <v>#N/A</v>
      </c>
      <c r="AD177" s="58" t="str">
        <f t="shared" si="137"/>
        <v>1819-14</v>
      </c>
      <c r="AE177" s="87" t="str">
        <f t="shared" si="11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77" s="84" t="str">
        <f t="shared" si="114"/>
        <v>"C:\Program Files (x86)\AstroGrep\AstroGrep.exe" /spath="%USERPROFILE%\AppData\Local\Temp\OnboardLogs" /stypes="app*4046*20170114*" /stext=" 22:.+((SYSTEM_STATE.+slice.+state.+changed )|(ment ac)|(multiple cpu faults)|(system.+state.+changed )|(\[timeout)|(PRM\|1\|D)|(kpr)|(kdp)|(\|lc)|(penalty))" /e /r /s</v>
      </c>
      <c r="AG177" s="1" t="str">
        <f t="shared" si="138"/>
        <v>NW</v>
      </c>
      <c r="AH177" s="88" t="str">
        <f t="shared" si="108"/>
        <v>"%USERPROFILE%\Documents\GitHub\eaglep3\Utilities\RefineRTDCRunTimes.py" --tripid 1819-14 --locoid 4046 --swversion DE.1.0.8.0 --startMP 204:1037 --initTime 2017-01-14T15:18:29 --startdatetime 2017-01-14T15:21:15 --delay 1 --endMP 300:58933 --enddatetime 2017-01-14T15:35:38 --enforcementcount 0 &gt;&gt;C:\Users\stu\Documents\GitHub\eaglep3-reporting\EC\2017-01-14-refined-times.txt</v>
      </c>
      <c r="AI177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{"issue":{"subject":"","project_id":79,"tracker_id":40,"status_id":1,"priority_id":2,"assigned_to_id":23,"start_date":"2017-01-14","description":"","custom_fields":[{"id":1,"name":"Subdivision","value":"NW"},{"id":4,"name":"Milepost","value":"5.8933"},{"id":17,"name":"Train ID","value":"1819-14"},{"id":16,"name":"Locomotive ID","value":"4046"},{"id":130,"name":"Impact","value":""},{"id":150,"name":"Time of Event (Mountain Time)","value":"15:35:38"},{"id":151,"name":"Denver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110"/>
        <v>start /low /b %USERPROFILE%\Documents\GitHub\eaglep3\Utilities\DownloadLogsFromS3.py --loco 4046 --day 2017-01-14</v>
      </c>
      <c r="AN177" s="189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590</v>
      </c>
      <c r="B178" s="7">
        <v>4045</v>
      </c>
      <c r="C178" s="22" t="s">
        <v>201</v>
      </c>
      <c r="D178" s="22" t="s">
        <v>710</v>
      </c>
      <c r="E178" s="13">
        <v>42749.652037037034</v>
      </c>
      <c r="F178" s="13">
        <v>42749.653495370374</v>
      </c>
      <c r="G178" s="7">
        <v>1</v>
      </c>
      <c r="H178" s="22" t="s">
        <v>345</v>
      </c>
      <c r="I178" s="13">
        <v>42749.663981481484</v>
      </c>
      <c r="J178" s="7">
        <v>0</v>
      </c>
      <c r="K178" s="105" t="str">
        <f t="shared" si="128"/>
        <v>4045/4046</v>
      </c>
      <c r="L178" s="22" t="str">
        <f>VLOOKUP(A178,'Trips&amp;Operators'!$C$1:$G$99999,5,FALSE)</f>
        <v>HELVIE ADAM</v>
      </c>
      <c r="M178" s="6">
        <f t="shared" si="129"/>
        <v>1.0486111110367347E-2</v>
      </c>
      <c r="N178" s="7">
        <f t="shared" si="141"/>
        <v>15.099999998928979</v>
      </c>
      <c r="O178" s="7"/>
      <c r="P178" s="7"/>
      <c r="Q178" s="23"/>
      <c r="R178" s="23"/>
      <c r="S178" s="32">
        <f t="shared" si="131"/>
        <v>1</v>
      </c>
      <c r="T178" s="47" t="str">
        <f t="shared" si="132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14:38:56-700',mode:absolute,to:'2017-01-14 16:56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78" s="49" t="str">
        <f t="shared" si="133"/>
        <v>N</v>
      </c>
      <c r="X178" s="173">
        <f t="shared" si="142"/>
        <v>1</v>
      </c>
      <c r="Y178" s="64">
        <f t="shared" si="134"/>
        <v>5.8628</v>
      </c>
      <c r="Z178" s="64">
        <f t="shared" si="135"/>
        <v>6.9400000000000003E-2</v>
      </c>
      <c r="AA178" s="64">
        <f t="shared" si="136"/>
        <v>5.7934000000000001</v>
      </c>
      <c r="AB178" s="61" t="e">
        <f>VLOOKUP(A178,Enforcements!$C$7:$K$15,8,0)</f>
        <v>#N/A</v>
      </c>
      <c r="AC178" s="57" t="e">
        <f>VLOOKUP(A178,Enforcements!$C$7:$E$15,3,0)</f>
        <v>#N/A</v>
      </c>
      <c r="AD178" s="58" t="str">
        <f t="shared" si="137"/>
        <v>1820-14</v>
      </c>
      <c r="AE178" s="87" t="str">
        <f t="shared" ref="AE178:AE209" si="143"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78" s="84" t="str">
        <f t="shared" ref="AF178:AF209" si="144"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/stypes="app*4045*20170114*" /stext=" 22:.+((SYSTEM_STATE.+slice.+state.+changed )|(ment ac)|(multiple cpu faults)|(system.+state.+changed )|(\[timeout)|(PRM\|1\|D)|(kpr)|(kdp)|(\|lc)|(penalty))" /e /r /s</v>
      </c>
      <c r="AG178" s="1" t="str">
        <f t="shared" si="138"/>
        <v>NW</v>
      </c>
      <c r="AH178" s="88" t="str">
        <f t="shared" si="108"/>
        <v>"%USERPROFILE%\Documents\GitHub\eaglep3\Utilities\RefineRTDCRunTimes.py" --tripid 1820-14 --locoid 4045 --swversion DE.1.0.8.0 --startMP 300:58628 --initTime 2017-01-14T15:38:56 --startdatetime 2017-01-14T15:41:02 --delay 1 --endMP 204:694 --enddatetime 2017-01-14T15:56:08 --enforcementcount 0 &gt;&gt;C:\Users\stu\Documents\GitHub\eaglep3-reporting\EC\2017-01-14-refined-times.txt</v>
      </c>
      <c r="AI178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{"issue":{"subject":"","project_id":79,"tracker_id":40,"status_id":1,"priority_id":2,"assigned_to_id":23,"start_date":"2017-01-14","description":"","custom_fields":[{"id":1,"name":"Subdivision","value":"NW"},{"id":4,"name":"Milepost","value":"0.0694"},{"id":17,"name":"Train ID","value":"1820-14"},{"id":16,"name":"Locomotive ID","value":"4045"},{"id":130,"name":"Impact","value":""},{"id":150,"name":"Time of Event (Mountain Time)","value":"15:56:08"},{"id":151,"name":"Denver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110"/>
        <v>start /low /b %USERPROFILE%\Documents\GitHub\eaglep3\Utilities\DownloadLogsFromS3.py --loco 4045 --day 2017-01-14</v>
      </c>
      <c r="AN178" s="189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4" t="s">
        <v>596</v>
      </c>
      <c r="B179" s="7">
        <v>4046</v>
      </c>
      <c r="C179" s="22" t="s">
        <v>201</v>
      </c>
      <c r="D179" s="22" t="s">
        <v>711</v>
      </c>
      <c r="E179" s="13">
        <v>42749.678344907406</v>
      </c>
      <c r="F179" s="13">
        <v>42749.681469907409</v>
      </c>
      <c r="G179" s="7">
        <v>1</v>
      </c>
      <c r="H179" s="22" t="s">
        <v>431</v>
      </c>
      <c r="I179" s="13">
        <v>42749.691481481481</v>
      </c>
      <c r="J179" s="7">
        <v>0</v>
      </c>
      <c r="K179" s="105" t="str">
        <f t="shared" si="128"/>
        <v>4045/4046</v>
      </c>
      <c r="L179" s="22" t="str">
        <f>VLOOKUP(A179,'Trips&amp;Operators'!$C$1:$G$99999,5,FALSE)</f>
        <v>HELVIE ADAM</v>
      </c>
      <c r="M179" s="6">
        <f t="shared" si="129"/>
        <v>1.0011574071540963E-2</v>
      </c>
      <c r="N179" s="7">
        <f t="shared" si="141"/>
        <v>14.416666663018987</v>
      </c>
      <c r="O179" s="7"/>
      <c r="P179" s="7"/>
      <c r="Q179" s="23"/>
      <c r="R179" s="23"/>
      <c r="S179" s="32">
        <f t="shared" si="131"/>
        <v>1</v>
      </c>
      <c r="T179" s="47" t="str">
        <f t="shared" si="132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15:16:49-700',mode:absolute,to:'2017-01-14 17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79" s="49" t="str">
        <f t="shared" si="133"/>
        <v>N</v>
      </c>
      <c r="X179" s="173">
        <f t="shared" si="142"/>
        <v>1</v>
      </c>
      <c r="Y179" s="64">
        <f t="shared" si="134"/>
        <v>0.1</v>
      </c>
      <c r="Z179" s="64">
        <f t="shared" si="135"/>
        <v>5.8959999999999999</v>
      </c>
      <c r="AA179" s="64">
        <f t="shared" si="136"/>
        <v>5.7960000000000003</v>
      </c>
      <c r="AB179" s="61" t="e">
        <f>VLOOKUP(A179,Enforcements!$C$7:$K$15,8,0)</f>
        <v>#N/A</v>
      </c>
      <c r="AC179" s="57" t="e">
        <f>VLOOKUP(A179,Enforcements!$C$7:$E$15,3,0)</f>
        <v>#N/A</v>
      </c>
      <c r="AD179" s="58" t="str">
        <f t="shared" si="137"/>
        <v>1821-14</v>
      </c>
      <c r="AE179" s="87" t="str">
        <f t="shared" si="14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79" s="84" t="str">
        <f t="shared" si="144"/>
        <v>"C:\Program Files (x86)\AstroGrep\AstroGrep.exe" /spath="%USERPROFILE%\AppData\Local\Temp\OnboardLogs" /stypes="app*4046*20170114*" /stext=" 23:.+((SYSTEM_STATE.+slice.+state.+changed )|(ment ac)|(multiple cpu faults)|(system.+state.+changed )|(\[timeout)|(PRM\|1\|D)|(kpr)|(kdp)|(\|lc)|(penalty))" /e /r /s</v>
      </c>
      <c r="AG179" s="1" t="str">
        <f t="shared" si="138"/>
        <v>NW</v>
      </c>
      <c r="AH179" s="88" t="str">
        <f t="shared" si="108"/>
        <v>"%USERPROFILE%\Documents\GitHub\eaglep3\Utilities\RefineRTDCRunTimes.py" --tripid 1821-14 --locoid 4046 --swversion DE.1.0.8.0 --startMP 204:1000 --initTime 2017-01-14T16:16:49 --startdatetime 2017-01-14T16:21:19 --delay 1 --endMP 300:58960 --enddatetime 2017-01-14T16:35:44 --enforcementcount 0 &gt;&gt;C:\Users\stu\Documents\GitHub\eaglep3-reporting\EC\2017-01-14-refined-times.txt</v>
      </c>
      <c r="AI179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{"issue":{"subject":"","project_id":79,"tracker_id":40,"status_id":1,"priority_id":2,"assigned_to_id":23,"start_date":"2017-01-14","description":"","custom_fields":[{"id":1,"name":"Subdivision","value":"NW"},{"id":4,"name":"Milepost","value":"5.896"},{"id":17,"name":"Train ID","value":"1821-14"},{"id":16,"name":"Locomotive ID","value":"4046"},{"id":130,"name":"Impact","value":""},{"id":150,"name":"Time of Event (Mountain Time)","value":"16:35:44"},{"id":151,"name":"Denver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110"/>
        <v>start /low /b %USERPROFILE%\Documents\GitHub\eaglep3\Utilities\DownloadLogsFromS3.py --loco 4046 --day 2017-01-14</v>
      </c>
      <c r="AN179" s="189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</row>
    <row r="180" spans="1:91" s="21" customFormat="1" x14ac:dyDescent="0.25">
      <c r="A180" s="34" t="s">
        <v>601</v>
      </c>
      <c r="B180" s="7">
        <v>4045</v>
      </c>
      <c r="C180" s="22" t="s">
        <v>201</v>
      </c>
      <c r="D180" s="22" t="s">
        <v>710</v>
      </c>
      <c r="E180" s="13">
        <v>42749.693229166667</v>
      </c>
      <c r="F180" s="13">
        <v>42749.694699074076</v>
      </c>
      <c r="G180" s="7">
        <v>1</v>
      </c>
      <c r="H180" s="22" t="s">
        <v>434</v>
      </c>
      <c r="I180" s="13">
        <v>42749.705682870372</v>
      </c>
      <c r="J180" s="7">
        <v>0</v>
      </c>
      <c r="K180" s="105" t="str">
        <f t="shared" si="128"/>
        <v>4045/4046</v>
      </c>
      <c r="L180" s="22" t="str">
        <f>VLOOKUP(A180,'Trips&amp;Operators'!$C$1:$G$99999,5,FALSE)</f>
        <v>HELVIE ADAM</v>
      </c>
      <c r="M180" s="6">
        <f t="shared" si="129"/>
        <v>1.0983796295477077E-2</v>
      </c>
      <c r="N180" s="7">
        <f t="shared" si="141"/>
        <v>15.816666665486991</v>
      </c>
      <c r="O180" s="7"/>
      <c r="P180" s="7"/>
      <c r="Q180" s="23"/>
      <c r="R180" s="23"/>
      <c r="S180" s="32">
        <f t="shared" si="131"/>
        <v>1</v>
      </c>
      <c r="T180" s="47" t="str">
        <f t="shared" si="132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15:38:15-700',mode:absolute,to:'2017-01-14 17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80" s="49" t="str">
        <f t="shared" si="133"/>
        <v>N</v>
      </c>
      <c r="X180" s="173">
        <f t="shared" si="142"/>
        <v>1</v>
      </c>
      <c r="Y180" s="64">
        <f t="shared" si="134"/>
        <v>5.8628</v>
      </c>
      <c r="Z180" s="64">
        <f t="shared" si="135"/>
        <v>6.9599999999999995E-2</v>
      </c>
      <c r="AA180" s="64">
        <f t="shared" si="136"/>
        <v>5.7931999999999997</v>
      </c>
      <c r="AB180" s="61" t="e">
        <f>VLOOKUP(A180,Enforcements!$C$7:$K$15,8,0)</f>
        <v>#N/A</v>
      </c>
      <c r="AC180" s="57" t="e">
        <f>VLOOKUP(A180,Enforcements!$C$7:$E$15,3,0)</f>
        <v>#N/A</v>
      </c>
      <c r="AD180" s="58" t="str">
        <f t="shared" si="137"/>
        <v>1822-14</v>
      </c>
      <c r="AE180" s="87" t="str">
        <f t="shared" si="14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80" s="84" t="str">
        <f t="shared" si="144"/>
        <v>"C:\Program Files (x86)\AstroGrep\AstroGrep.exe" /spath="%USERPROFILE%\AppData\Local\Temp\OnboardLogs" /stypes="app*4045*20170114*" /stext=" 23:.+((SYSTEM_STATE.+slice.+state.+changed )|(ment ac)|(multiple cpu faults)|(system.+state.+changed )|(\[timeout)|(PRM\|1\|D)|(kpr)|(kdp)|(\|lc)|(penalty))" /e /r /s</v>
      </c>
      <c r="AG180" s="1" t="str">
        <f t="shared" si="138"/>
        <v>NW</v>
      </c>
      <c r="AH180" s="88" t="str">
        <f t="shared" si="108"/>
        <v>"%USERPROFILE%\Documents\GitHub\eaglep3\Utilities\RefineRTDCRunTimes.py" --tripid 1822-14 --locoid 4045 --swversion DE.1.0.8.0 --startMP 300:58628 --initTime 2017-01-14T16:38:15 --startdatetime 2017-01-14T16:40:22 --delay 1 --endMP 204:696 --enddatetime 2017-01-14T16:56:11 --enforcementcount 0 &gt;&gt;C:\Users\stu\Documents\GitHub\eaglep3-reporting\EC\2017-01-14-refined-times.txt</v>
      </c>
      <c r="AI180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{"issue":{"subject":"","project_id":79,"tracker_id":40,"status_id":1,"priority_id":2,"assigned_to_id":23,"start_date":"2017-01-14","description":"","custom_fields":[{"id":1,"name":"Subdivision","value":"NW"},{"id":4,"name":"Milepost","value":"0.0696"},{"id":17,"name":"Train ID","value":"1822-14"},{"id":16,"name":"Locomotive ID","value":"4045"},{"id":130,"name":"Impact","value":""},{"id":150,"name":"Time of Event (Mountain Time)","value":"16:56:11"},{"id":151,"name":"Denver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110"/>
        <v>start /low /b %USERPROFILE%\Documents\GitHub\eaglep3\Utilities\DownloadLogsFromS3.py --loco 4045 --day 2017-01-14</v>
      </c>
      <c r="AN180" s="189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"%USERPROFILE%\AppData\Local\Temp\OnboardLogs"\RTDC4045\*4045*20170114* | grep -SE "(Enforcement Action)|(\[TIMEOUT)|(CHR.+\|PRM\|1\|D.+(SWITCH|SIGNAL).+UNKNOWN)" - &gt;&gt; 2017-01-14-UncaughtWiMAX.txt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609</v>
      </c>
      <c r="B181" s="7">
        <v>4046</v>
      </c>
      <c r="C181" s="22" t="s">
        <v>201</v>
      </c>
      <c r="D181" s="22" t="s">
        <v>712</v>
      </c>
      <c r="E181" s="13">
        <v>42749.719699074078</v>
      </c>
      <c r="F181" s="13">
        <v>42749.723090277781</v>
      </c>
      <c r="G181" s="7">
        <v>3</v>
      </c>
      <c r="H181" s="22" t="s">
        <v>433</v>
      </c>
      <c r="I181" s="13">
        <v>42749.733425925922</v>
      </c>
      <c r="J181" s="7">
        <v>0</v>
      </c>
      <c r="K181" s="105" t="str">
        <f t="shared" si="128"/>
        <v>4045/4046</v>
      </c>
      <c r="L181" s="22" t="str">
        <f>VLOOKUP(A181,'Trips&amp;Operators'!$C$1:$G$99999,5,FALSE)</f>
        <v>LOPES KIMBERLY</v>
      </c>
      <c r="M181" s="6">
        <f t="shared" si="129"/>
        <v>1.0335648141335696E-2</v>
      </c>
      <c r="N181" s="7">
        <f t="shared" si="141"/>
        <v>14.883333323523402</v>
      </c>
      <c r="O181" s="7"/>
      <c r="P181" s="7"/>
      <c r="Q181" s="23"/>
      <c r="R181" s="23"/>
      <c r="S181" s="32">
        <f t="shared" si="131"/>
        <v>1</v>
      </c>
      <c r="T181" s="47" t="str">
        <f t="shared" si="132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16:16:22-700',mode:absolute,to:'2017-01-14 18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81" s="49" t="str">
        <f t="shared" si="133"/>
        <v>N</v>
      </c>
      <c r="X181" s="173">
        <f t="shared" si="142"/>
        <v>1</v>
      </c>
      <c r="Y181" s="64">
        <f t="shared" si="134"/>
        <v>0.10059999999999999</v>
      </c>
      <c r="Z181" s="64">
        <f t="shared" si="135"/>
        <v>5.8971</v>
      </c>
      <c r="AA181" s="64">
        <f t="shared" si="136"/>
        <v>5.7965</v>
      </c>
      <c r="AB181" s="61" t="e">
        <f>VLOOKUP(A181,Enforcements!$C$7:$K$15,8,0)</f>
        <v>#N/A</v>
      </c>
      <c r="AC181" s="57" t="e">
        <f>VLOOKUP(A181,Enforcements!$C$7:$E$15,3,0)</f>
        <v>#N/A</v>
      </c>
      <c r="AD181" s="58" t="str">
        <f t="shared" si="137"/>
        <v>1823-14</v>
      </c>
      <c r="AE181" s="87" t="str">
        <f t="shared" si="14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81" s="84" t="str">
        <f t="shared" si="144"/>
        <v>"C:\Program Files (x86)\AstroGrep\AstroGrep.exe" /spath="%USERPROFILE%\AppData\Local\Temp\OnboardLogs" /stypes="app*4046*20170115*" /stext=" 00:.+((SYSTEM_STATE.+slice.+state.+changed )|(ment ac)|(multiple cpu faults)|(system.+state.+changed )|(\[timeout)|(PRM\|1\|D)|(kpr)|(kdp)|(\|lc)|(penalty))" /e /r /s</v>
      </c>
      <c r="AG181" s="1" t="str">
        <f t="shared" si="138"/>
        <v>NW</v>
      </c>
      <c r="AH181" s="88" t="str">
        <f t="shared" si="108"/>
        <v>"%USERPROFILE%\Documents\GitHub\eaglep3\Utilities\RefineRTDCRunTimes.py" --tripid 1823-14 --locoid 4046 --swversion DE.1.0.8.0 --startMP 204:1006 --initTime 2017-01-14T17:16:22 --startdatetime 2017-01-14T17:21:15 --delay 3 --endMP 300:58971 --enddatetime 2017-01-14T17:36:08 --enforcementcount 0 &gt;&gt;C:\Users\stu\Documents\GitHub\eaglep3-reporting\EC\2017-01-14-refined-times.txt</v>
      </c>
      <c r="AI181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{"issue":{"subject":"","project_id":79,"tracker_id":40,"status_id":1,"priority_id":2,"assigned_to_id":23,"start_date":"2017-01-14","description":"","custom_fields":[{"id":1,"name":"Subdivision","value":"NW"},{"id":4,"name":"Milepost","value":"5.8971"},{"id":17,"name":"Train ID","value":"1823-14"},{"id":16,"name":"Locomotive ID","value":"4046"},{"id":130,"name":"Impact","value":""},{"id":150,"name":"Time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110"/>
        <v>start /low /b %USERPROFILE%\Documents\GitHub\eaglep3\Utilities\DownloadLogsFromS3.py --loco 4046 --day 2017-01-14</v>
      </c>
      <c r="AN181" s="189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"%USERPROFILE%\AppData\Local\Temp\OnboardLogs"\RTDC4046\*4046*20170115* | grep -SE "(Enforcement Action)|(\[TIMEOUT)|(CHR.+\|PRM\|1\|D.+(SWITCH|SIGNAL).+UNKNOWN)" - &gt;&gt; 2017-01-14-UncaughtWiMAX.txt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612</v>
      </c>
      <c r="B182" s="7">
        <v>4045</v>
      </c>
      <c r="C182" s="22" t="s">
        <v>201</v>
      </c>
      <c r="D182" s="22" t="s">
        <v>432</v>
      </c>
      <c r="E182" s="13">
        <v>42749.734166666669</v>
      </c>
      <c r="F182" s="13">
        <v>42749.735648148147</v>
      </c>
      <c r="G182" s="7">
        <v>1</v>
      </c>
      <c r="H182" s="22" t="s">
        <v>713</v>
      </c>
      <c r="I182" s="13">
        <v>42749.747650462959</v>
      </c>
      <c r="J182" s="7">
        <v>0</v>
      </c>
      <c r="K182" s="105" t="str">
        <f t="shared" si="128"/>
        <v>4045/4046</v>
      </c>
      <c r="L182" s="22" t="str">
        <f>VLOOKUP(A182,'Trips&amp;Operators'!$C$1:$G$99999,5,FALSE)</f>
        <v>LOPES KIMBERLY</v>
      </c>
      <c r="M182" s="6">
        <f t="shared" si="129"/>
        <v>1.2002314811979886E-2</v>
      </c>
      <c r="N182" s="7">
        <f t="shared" si="141"/>
        <v>17.283333329251036</v>
      </c>
      <c r="O182" s="7"/>
      <c r="P182" s="7"/>
      <c r="Q182" s="23"/>
      <c r="R182" s="23"/>
      <c r="S182" s="32">
        <f t="shared" si="131"/>
        <v>1</v>
      </c>
      <c r="T182" s="47" t="str">
        <f t="shared" si="132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16:37:12-700',mode:absolute,to:'2017-01-14 18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82" s="49" t="str">
        <f t="shared" si="133"/>
        <v>N</v>
      </c>
      <c r="X182" s="173">
        <f t="shared" si="142"/>
        <v>1</v>
      </c>
      <c r="Y182" s="64">
        <f t="shared" si="134"/>
        <v>5.8648999999999996</v>
      </c>
      <c r="Z182" s="64">
        <f t="shared" si="135"/>
        <v>7.3599999999999999E-2</v>
      </c>
      <c r="AA182" s="64">
        <f t="shared" si="136"/>
        <v>5.7912999999999997</v>
      </c>
      <c r="AB182" s="61" t="e">
        <f>VLOOKUP(A182,Enforcements!$C$7:$K$15,8,0)</f>
        <v>#N/A</v>
      </c>
      <c r="AC182" s="57" t="e">
        <f>VLOOKUP(A182,Enforcements!$C$7:$E$15,3,0)</f>
        <v>#N/A</v>
      </c>
      <c r="AD182" s="58" t="str">
        <f t="shared" si="137"/>
        <v>1824-14</v>
      </c>
      <c r="AE182" s="87" t="str">
        <f t="shared" si="14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82" s="84" t="str">
        <f t="shared" si="144"/>
        <v>"C:\Program Files (x86)\AstroGrep\AstroGrep.exe" /spath="%USERPROFILE%\AppData\Local\Temp\OnboardLogs" /stypes="app*4045*20170115*" /stext=" 00:.+((SYSTEM_STATE.+slice.+state.+changed )|(ment ac)|(multiple cpu faults)|(system.+state.+changed )|(\[timeout)|(PRM\|1\|D)|(kpr)|(kdp)|(\|lc)|(penalty))" /e /r /s</v>
      </c>
      <c r="AG182" s="1" t="str">
        <f t="shared" si="138"/>
        <v>NW</v>
      </c>
      <c r="AH182" s="88" t="str">
        <f t="shared" si="108"/>
        <v>"%USERPROFILE%\Documents\GitHub\eaglep3\Utilities\RefineRTDCRunTimes.py" --tripid 1824-14 --locoid 4045 --swversion DE.1.0.8.0 --startMP 300:58649 --initTime 2017-01-14T17:37:12 --startdatetime 2017-01-14T17:39:20 --delay 1 --endMP 204:736 --enddatetime 2017-01-14T17:56:37 --enforcementcount 0 &gt;&gt;C:\Users\stu\Documents\GitHub\eaglep3-reporting\EC\2017-01-14-refined-times.txt</v>
      </c>
      <c r="AI182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{"issue":{"subject":"","project_id":79,"tracker_id":40,"status_id":1,"priority_id":2,"assigned_to_id":23,"start_date":"2017-01-14","description":"","custom_fields":[{"id":1,"name":"Subdivision","value":"NW"},{"id":4,"name":"Milepost","value":"0.0736"},{"id":17,"name":"Train ID","value":"1824-14"},{"id":16,"name":"Locomotive ID","value":"4045"},{"id":130,"name":"Impact","value":""},{"id":150,"name":"Time of Event (Mountain Time)","value":"17:56:37"},{"id":151,"name":"Denver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110"/>
        <v>start /low /b %USERPROFILE%\Documents\GitHub\eaglep3\Utilities\DownloadLogsFromS3.py --loco 4045 --day 2017-01-14</v>
      </c>
      <c r="AN182" s="189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"%USERPROFILE%\AppData\Local\Temp\OnboardLogs"\RTDC4045\*4045*20170115* | grep -SE "(Enforcement Action)|(\[TIMEOUT)|(CHR.+\|PRM\|1\|D.+(SWITCH|SIGNAL).+UNKNOWN)" - &gt;&gt; 2017-01-14-UncaughtWiMAX.txt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4" t="s">
        <v>616</v>
      </c>
      <c r="B183" s="7">
        <v>4046</v>
      </c>
      <c r="C183" s="22" t="s">
        <v>201</v>
      </c>
      <c r="D183" s="22" t="s">
        <v>693</v>
      </c>
      <c r="E183" s="13">
        <v>42749.749050925922</v>
      </c>
      <c r="F183" s="13">
        <v>42749.764756944445</v>
      </c>
      <c r="G183" s="7">
        <v>1</v>
      </c>
      <c r="H183" s="22" t="s">
        <v>311</v>
      </c>
      <c r="I183" s="13">
        <v>42749.775300925925</v>
      </c>
      <c r="J183" s="7">
        <v>0</v>
      </c>
      <c r="K183" s="105" t="str">
        <f t="shared" si="128"/>
        <v>4045/4046</v>
      </c>
      <c r="L183" s="22" t="str">
        <f>VLOOKUP(A183,'Trips&amp;Operators'!$C$1:$G$99999,5,FALSE)</f>
        <v>LOPES KIMBERLY</v>
      </c>
      <c r="M183" s="6">
        <f t="shared" si="129"/>
        <v>1.0543981479713693E-2</v>
      </c>
      <c r="N183" s="7">
        <f t="shared" si="141"/>
        <v>15.183333330787718</v>
      </c>
      <c r="O183" s="7"/>
      <c r="P183" s="7"/>
      <c r="Q183" s="23"/>
      <c r="R183" s="23"/>
      <c r="S183" s="32">
        <f t="shared" si="131"/>
        <v>1</v>
      </c>
      <c r="T183" s="47" t="str">
        <f t="shared" si="132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16:58:38-700',mode:absolute,to:'2017-01-14 19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83" s="49" t="str">
        <f t="shared" si="133"/>
        <v>N</v>
      </c>
      <c r="X183" s="173">
        <f t="shared" si="142"/>
        <v>1</v>
      </c>
      <c r="Y183" s="64">
        <f t="shared" si="134"/>
        <v>0.1027</v>
      </c>
      <c r="Z183" s="64">
        <f t="shared" si="135"/>
        <v>5.8956</v>
      </c>
      <c r="AA183" s="64">
        <f t="shared" si="136"/>
        <v>5.7929000000000004</v>
      </c>
      <c r="AB183" s="61" t="e">
        <f>VLOOKUP(A183,Enforcements!$C$7:$K$15,8,0)</f>
        <v>#N/A</v>
      </c>
      <c r="AC183" s="57" t="e">
        <f>VLOOKUP(A183,Enforcements!$C$7:$E$15,3,0)</f>
        <v>#N/A</v>
      </c>
      <c r="AD183" s="58" t="str">
        <f t="shared" si="137"/>
        <v>1825-14</v>
      </c>
      <c r="AE183" s="87" t="str">
        <f t="shared" si="14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83" s="84" t="str">
        <f t="shared" si="144"/>
        <v>"C:\Program Files (x86)\AstroGrep\AstroGrep.exe" /spath="%USERPROFILE%\AppData\Local\Temp\OnboardLogs" /stypes="app*4046*20170115*" /stext=" 01:.+((SYSTEM_STATE.+slice.+state.+changed )|(ment ac)|(multiple cpu faults)|(system.+state.+changed )|(\[timeout)|(PRM\|1\|D)|(kpr)|(kdp)|(\|lc)|(penalty))" /e /r /s</v>
      </c>
      <c r="AG183" s="1" t="str">
        <f t="shared" si="138"/>
        <v>NW</v>
      </c>
      <c r="AH183" s="88" t="str">
        <f t="shared" si="108"/>
        <v>"%USERPROFILE%\Documents\GitHub\eaglep3\Utilities\RefineRTDCRunTimes.py" --tripid 1825-14 --locoid 4046 --swversion DE.1.0.8.0 --startMP 204:1027 --initTime 2017-01-14T17:58:38 --startdatetime 2017-01-14T18:21:15 --delay 1 --endMP 300:58956 --enddatetime 2017-01-14T18:36:26 --enforcementcount 0 &gt;&gt;C:\Users\stu\Documents\GitHub\eaglep3-reporting\EC\2017-01-14-refined-times.txt</v>
      </c>
      <c r="AI183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{"issue":{"subject":"","project_id":79,"tracker_id":40,"status_id":1,"priority_id":2,"assigned_to_id":23,"start_date":"2017-01-14","description":"","custom_fields":[{"id":1,"name":"Subdivision","value":"NW"},{"id":4,"name":"Milepost","value":"5.8956"},{"id":17,"name":"Train ID","value":"1825-14"},{"id":16,"name":"Locomotive ID","value":"4046"},{"id":130,"name":"Impact","value":""},{"id":150,"name":"Time of Event (Mountain Time)","value":"18:36:26"},{"id":151,"name":"Denver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110"/>
        <v>start /low /b %USERPROFILE%\Documents\GitHub\eaglep3\Utilities\DownloadLogsFromS3.py --loco 4046 --day 2017-01-14</v>
      </c>
      <c r="AN183" s="189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"%USERPROFILE%\AppData\Local\Temp\OnboardLogs"\RTDC4046\*4046*20170115* | grep -SE "(Enforcement Action)|(\[TIMEOUT)|(CHR.+\|PRM\|1\|D.+(SWITCH|SIGNAL).+UNKNOWN)" - &gt;&gt; 2017-01-14-UncaughtWiMAX.txt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4" t="s">
        <v>622</v>
      </c>
      <c r="B184" s="7">
        <v>4045</v>
      </c>
      <c r="C184" s="22" t="s">
        <v>201</v>
      </c>
      <c r="D184" s="22" t="s">
        <v>714</v>
      </c>
      <c r="E184" s="13">
        <v>42749.776296296295</v>
      </c>
      <c r="F184" s="13">
        <v>42749.77784722222</v>
      </c>
      <c r="G184" s="7">
        <v>1</v>
      </c>
      <c r="H184" s="22" t="s">
        <v>715</v>
      </c>
      <c r="I184" s="13">
        <v>42749.790821759256</v>
      </c>
      <c r="J184" s="7">
        <v>0</v>
      </c>
      <c r="K184" s="105" t="str">
        <f t="shared" si="128"/>
        <v>4045/4046</v>
      </c>
      <c r="L184" s="22" t="str">
        <f>VLOOKUP(A184,'Trips&amp;Operators'!$C$1:$G$99999,5,FALSE)</f>
        <v>LOPES KIMBERLY</v>
      </c>
      <c r="M184" s="6">
        <f t="shared" si="129"/>
        <v>1.2974537035916001E-2</v>
      </c>
      <c r="N184" s="7">
        <f t="shared" si="141"/>
        <v>18.683333331719041</v>
      </c>
      <c r="O184" s="7"/>
      <c r="P184" s="7"/>
      <c r="Q184" s="23"/>
      <c r="R184" s="23"/>
      <c r="S184" s="32">
        <f t="shared" si="131"/>
        <v>1</v>
      </c>
      <c r="T184" s="47" t="str">
        <f t="shared" si="132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17:37:52-700',mode:absolute,to:'2017-01-14 19:58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84" s="49" t="str">
        <f t="shared" si="133"/>
        <v>N</v>
      </c>
      <c r="X184" s="173">
        <f t="shared" si="142"/>
        <v>1</v>
      </c>
      <c r="Y184" s="64">
        <f t="shared" si="134"/>
        <v>5.8632</v>
      </c>
      <c r="Z184" s="64">
        <f t="shared" si="135"/>
        <v>7.2599999999999998E-2</v>
      </c>
      <c r="AA184" s="64">
        <f t="shared" si="136"/>
        <v>5.7905999999999995</v>
      </c>
      <c r="AB184" s="61" t="e">
        <f>VLOOKUP(A184,Enforcements!$C$7:$K$15,8,0)</f>
        <v>#N/A</v>
      </c>
      <c r="AC184" s="57" t="e">
        <f>VLOOKUP(A184,Enforcements!$C$7:$E$15,3,0)</f>
        <v>#N/A</v>
      </c>
      <c r="AD184" s="58" t="str">
        <f t="shared" si="137"/>
        <v>1826-14</v>
      </c>
      <c r="AE184" s="87" t="str">
        <f t="shared" si="14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84" s="84" t="str">
        <f t="shared" si="144"/>
        <v>"C:\Program Files (x86)\AstroGrep\AstroGrep.exe" /spath="%USERPROFILE%\AppData\Local\Temp\OnboardLogs" /stypes="app*4045*20170115*" /stext=" 01:.+((SYSTEM_STATE.+slice.+state.+changed )|(ment ac)|(multiple cpu faults)|(system.+state.+changed )|(\[timeout)|(PRM\|1\|D)|(kpr)|(kdp)|(\|lc)|(penalty))" /e /r /s</v>
      </c>
      <c r="AG184" s="1" t="str">
        <f t="shared" si="138"/>
        <v>NW</v>
      </c>
      <c r="AH184" s="88" t="str">
        <f t="shared" si="108"/>
        <v>"%USERPROFILE%\Documents\GitHub\eaglep3\Utilities\RefineRTDCRunTimes.py" --tripid 1826-14 --locoid 4045 --swversion DE.1.0.8.0 --startMP 300:58632 --initTime 2017-01-14T18:37:52 --startdatetime 2017-01-14T18:40:06 --delay 1 --endMP 204:726 --enddatetime 2017-01-14T18:58:47 --enforcementcount 0 &gt;&gt;C:\Users\stu\Documents\GitHub\eaglep3-reporting\EC\2017-01-14-refined-times.txt</v>
      </c>
      <c r="AI184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{"issue":{"subject":"","project_id":79,"tracker_id":40,"status_id":1,"priority_id":2,"assigned_to_id":23,"start_date":"2017-01-14","description":"","custom_fields":[{"id":1,"name":"Subdivision","value":"NW"},{"id":4,"name":"Milepost","value":"0.0726"},{"id":17,"name":"Train ID","value":"1826-14"},{"id":16,"name":"Locomotive ID","value":"4045"},{"id":130,"name":"Impact","value":""},{"id":150,"name":"Time of Event (Mountain Time)","value":"18:58:47"},{"id":151,"name":"Denver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110"/>
        <v>start /low /b %USERPROFILE%\Documents\GitHub\eaglep3\Utilities\DownloadLogsFromS3.py --loco 4045 --day 2017-01-14</v>
      </c>
      <c r="AN184" s="189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"%USERPROFILE%\AppData\Local\Temp\OnboardLogs"\RTDC4045\*4045*20170115* | grep -SE "(Enforcement Action)|(\[TIMEOUT)|(CHR.+\|PRM\|1\|D.+(SWITCH|SIGNAL).+UNKNOWN)" - &gt;&gt; 2017-01-14-UncaughtWiMAX.txt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4" t="s">
        <v>626</v>
      </c>
      <c r="B185" s="7">
        <v>4046</v>
      </c>
      <c r="C185" s="22" t="s">
        <v>201</v>
      </c>
      <c r="D185" s="22" t="s">
        <v>693</v>
      </c>
      <c r="E185" s="13">
        <v>42749.79550925926</v>
      </c>
      <c r="F185" s="13">
        <v>42749.806886574072</v>
      </c>
      <c r="G185" s="7">
        <v>1</v>
      </c>
      <c r="H185" s="22" t="s">
        <v>716</v>
      </c>
      <c r="I185" s="13">
        <v>42749.818136574075</v>
      </c>
      <c r="J185" s="7">
        <v>0</v>
      </c>
      <c r="K185" s="105" t="str">
        <f t="shared" si="128"/>
        <v>4045/4046</v>
      </c>
      <c r="L185" s="22" t="str">
        <f>VLOOKUP(A185,'Trips&amp;Operators'!$C$1:$G$99999,5,FALSE)</f>
        <v>MCREYNOLDS KYLE</v>
      </c>
      <c r="M185" s="6">
        <f t="shared" si="129"/>
        <v>1.1250000003201421E-2</v>
      </c>
      <c r="N185" s="7">
        <f t="shared" si="141"/>
        <v>16.200000004610047</v>
      </c>
      <c r="O185" s="7"/>
      <c r="P185" s="7"/>
      <c r="Q185" s="23"/>
      <c r="R185" s="23"/>
      <c r="S185" s="32">
        <f t="shared" si="131"/>
        <v>1</v>
      </c>
      <c r="T185" s="47" t="str">
        <f t="shared" si="132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18:05:32-700',mode:absolute,to:'2017-01-14 20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85" s="49" t="str">
        <f t="shared" si="133"/>
        <v>N</v>
      </c>
      <c r="X185" s="173">
        <f t="shared" si="142"/>
        <v>1</v>
      </c>
      <c r="Y185" s="64">
        <f t="shared" si="134"/>
        <v>0.1027</v>
      </c>
      <c r="Z185" s="64">
        <f t="shared" si="135"/>
        <v>5.8935000000000004</v>
      </c>
      <c r="AA185" s="64">
        <f t="shared" si="136"/>
        <v>5.7908000000000008</v>
      </c>
      <c r="AB185" s="61" t="e">
        <f>VLOOKUP(A185,Enforcements!$C$7:$K$15,8,0)</f>
        <v>#N/A</v>
      </c>
      <c r="AC185" s="57" t="e">
        <f>VLOOKUP(A185,Enforcements!$C$7:$E$15,3,0)</f>
        <v>#N/A</v>
      </c>
      <c r="AD185" s="58" t="str">
        <f t="shared" si="137"/>
        <v>1827-14</v>
      </c>
      <c r="AE185" s="87" t="str">
        <f t="shared" si="14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85" s="84" t="str">
        <f t="shared" si="144"/>
        <v>"C:\Program Files (x86)\AstroGrep\AstroGrep.exe" /spath="%USERPROFILE%\AppData\Local\Temp\OnboardLogs" /stypes="app*4046*20170115*" /stext=" 02:.+((SYSTEM_STATE.+slice.+state.+changed )|(ment ac)|(multiple cpu faults)|(system.+state.+changed )|(\[timeout)|(PRM\|1\|D)|(kpr)|(kdp)|(\|lc)|(penalty))" /e /r /s</v>
      </c>
      <c r="AG185" s="1" t="str">
        <f t="shared" si="138"/>
        <v>NW</v>
      </c>
      <c r="AH185" s="88" t="str">
        <f t="shared" si="108"/>
        <v>"%USERPROFILE%\Documents\GitHub\eaglep3\Utilities\RefineRTDCRunTimes.py" --tripid 1827-14 --locoid 4046 --swversion DE.1.0.8.0 --startMP 204:1027 --initTime 2017-01-14T19:05:32 --startdatetime 2017-01-14T19:21:55 --delay 1 --endMP 300:58935 --enddatetime 2017-01-14T19:38:07 --enforcementcount 0 &gt;&gt;C:\Users\stu\Documents\GitHub\eaglep3-reporting\EC\2017-01-14-refined-times.txt</v>
      </c>
      <c r="AI185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{"issue":{"subject":"","project_id":79,"tracker_id":40,"status_id":1,"priority_id":2,"assigned_to_id":23,"start_date":"2017-01-14","description":"","custom_fields":[{"id":1,"name":"Subdivision","value":"NW"},{"id":4,"name":"Milepost","value":"5.8935"},{"id":17,"name":"Train ID","value":"1827-14"},{"id":16,"name":"Locomotive ID","value":"4046"},{"id":130,"name":"Impact","value":""},{"id":150,"name":"Time of Event (Mountain Time)","value":"19:38:07"},{"id":151,"name":"Denver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110"/>
        <v>start /low /b %USERPROFILE%\Documents\GitHub\eaglep3\Utilities\DownloadLogsFromS3.py --loco 4046 --day 2017-01-14</v>
      </c>
      <c r="AN185" s="189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"%USERPROFILE%\AppData\Local\Temp\OnboardLogs"\RTDC4046\*4046*20170115* | grep -SE "(Enforcement Action)|(\[TIMEOUT)|(CHR.+\|PRM\|1\|D.+(SWITCH|SIGNAL).+UNKNOWN)" - &gt;&gt; 2017-01-14-UncaughtWiMAX.txt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4" t="s">
        <v>630</v>
      </c>
      <c r="B186" s="7">
        <v>4045</v>
      </c>
      <c r="C186" s="22" t="s">
        <v>201</v>
      </c>
      <c r="D186" s="22" t="s">
        <v>717</v>
      </c>
      <c r="E186" s="13">
        <v>42749.819120370368</v>
      </c>
      <c r="F186" s="13">
        <v>42749.820868055554</v>
      </c>
      <c r="G186" s="7">
        <v>1</v>
      </c>
      <c r="H186" s="22" t="s">
        <v>718</v>
      </c>
      <c r="I186" s="13">
        <v>42749.833078703705</v>
      </c>
      <c r="J186" s="7">
        <v>0</v>
      </c>
      <c r="K186" s="105" t="str">
        <f t="shared" si="128"/>
        <v>4045/4046</v>
      </c>
      <c r="L186" s="22" t="str">
        <f>VLOOKUP(A186,'Trips&amp;Operators'!$C$1:$G$99999,5,FALSE)</f>
        <v>MCREYNOLDS KYLE</v>
      </c>
      <c r="M186" s="6">
        <f t="shared" si="129"/>
        <v>1.2210648150357883E-2</v>
      </c>
      <c r="N186" s="7">
        <f t="shared" si="141"/>
        <v>17.583333336515352</v>
      </c>
      <c r="O186" s="7"/>
      <c r="P186" s="7"/>
      <c r="Q186" s="23"/>
      <c r="R186" s="23"/>
      <c r="S186" s="32">
        <f t="shared" si="131"/>
        <v>1</v>
      </c>
      <c r="T186" s="47" t="str">
        <f t="shared" si="132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18:39:32-700',mode:absolute,to:'2017-01-14 20:59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86" s="49" t="str">
        <f t="shared" si="133"/>
        <v>N</v>
      </c>
      <c r="X186" s="173">
        <f t="shared" si="142"/>
        <v>1</v>
      </c>
      <c r="Y186" s="64">
        <f t="shared" si="134"/>
        <v>5.8616999999999999</v>
      </c>
      <c r="Z186" s="64">
        <f t="shared" si="135"/>
        <v>7.3400000000000007E-2</v>
      </c>
      <c r="AA186" s="64">
        <f t="shared" si="136"/>
        <v>5.7882999999999996</v>
      </c>
      <c r="AB186" s="61" t="e">
        <f>VLOOKUP(A186,Enforcements!$C$7:$K$15,8,0)</f>
        <v>#N/A</v>
      </c>
      <c r="AC186" s="57" t="e">
        <f>VLOOKUP(A186,Enforcements!$C$7:$E$15,3,0)</f>
        <v>#N/A</v>
      </c>
      <c r="AD186" s="58" t="str">
        <f t="shared" si="137"/>
        <v>1828-14</v>
      </c>
      <c r="AE186" s="87" t="str">
        <f t="shared" si="14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86" s="84" t="str">
        <f t="shared" si="144"/>
        <v>"C:\Program Files (x86)\AstroGrep\AstroGrep.exe" /spath="%USERPROFILE%\AppData\Local\Temp\OnboardLogs" /stypes="app*4045*20170115*" /stext=" 02:.+((SYSTEM_STATE.+slice.+state.+changed )|(ment ac)|(multiple cpu faults)|(system.+state.+changed )|(\[timeout)|(PRM\|1\|D)|(kpr)|(kdp)|(\|lc)|(penalty))" /e /r /s</v>
      </c>
      <c r="AG186" s="1" t="str">
        <f t="shared" si="138"/>
        <v>NW</v>
      </c>
      <c r="AH186" s="88" t="str">
        <f t="shared" si="108"/>
        <v>"%USERPROFILE%\Documents\GitHub\eaglep3\Utilities\RefineRTDCRunTimes.py" --tripid 1828-14 --locoid 4045 --swversion DE.1.0.8.0 --startMP 300:58617 --initTime 2017-01-14T19:39:32 --startdatetime 2017-01-14T19:42:03 --delay 1 --endMP 204:734 --enddatetime 2017-01-14T19:59:38 --enforcementcount 0 &gt;&gt;C:\Users\stu\Documents\GitHub\eaglep3-reporting\EC\2017-01-14-refined-times.txt</v>
      </c>
      <c r="AI186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{"issue":{"subject":"","project_id":79,"tracker_id":40,"status_id":1,"priority_id":2,"assigned_to_id":23,"start_date":"2017-01-14","description":"","custom_fields":[{"id":1,"name":"Subdivision","value":"NW"},{"id":4,"name":"Milepost","value":"0.0734"},{"id":17,"name":"Train ID","value":"1828-14"},{"id":16,"name":"Locomotive ID","value":"4045"},{"id":130,"name":"Impact","value":""},{"id":150,"name":"Time of Event (Mountain Time)","value":"19:59:38"},{"id":151,"name":"Denver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110"/>
        <v>start /low /b %USERPROFILE%\Documents\GitHub\eaglep3\Utilities\DownloadLogsFromS3.py --loco 4045 --day 2017-01-14</v>
      </c>
      <c r="AN186" s="189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"%USERPROFILE%\AppData\Local\Temp\OnboardLogs"\RTDC4045\*4045*20170115* | grep -SE "(Enforcement Action)|(\[TIMEOUT)|(CHR.+\|PRM\|1\|D.+(SWITCH|SIGNAL).+UNKNOWN)" - &gt;&gt; 2017-01-14-UncaughtWiMAX.txt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4" t="s">
        <v>634</v>
      </c>
      <c r="B187" s="7">
        <v>4046</v>
      </c>
      <c r="C187" s="22" t="s">
        <v>201</v>
      </c>
      <c r="D187" s="22" t="s">
        <v>719</v>
      </c>
      <c r="E187" s="13">
        <v>42749.838368055556</v>
      </c>
      <c r="F187" s="13">
        <v>42749.848541666666</v>
      </c>
      <c r="G187" s="7">
        <v>1</v>
      </c>
      <c r="H187" s="22" t="s">
        <v>707</v>
      </c>
      <c r="I187" s="13">
        <v>42749.859317129631</v>
      </c>
      <c r="J187" s="7">
        <v>0</v>
      </c>
      <c r="K187" s="105" t="str">
        <f t="shared" si="128"/>
        <v>4045/4046</v>
      </c>
      <c r="L187" s="22" t="str">
        <f>VLOOKUP(A187,'Trips&amp;Operators'!$C$1:$G$99999,5,FALSE)</f>
        <v>MCREYNOLDS KYLE</v>
      </c>
      <c r="M187" s="6">
        <f t="shared" si="129"/>
        <v>1.0775462964375038E-2</v>
      </c>
      <c r="N187" s="7">
        <f t="shared" si="141"/>
        <v>15.516666668700054</v>
      </c>
      <c r="O187" s="7"/>
      <c r="P187" s="7"/>
      <c r="Q187" s="23"/>
      <c r="R187" s="23"/>
      <c r="S187" s="32">
        <f t="shared" si="131"/>
        <v>1</v>
      </c>
      <c r="T187" s="47" t="str">
        <f t="shared" si="132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19:07:15-700',mode:absolute,to:'2017-01-14 21:37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87" s="49" t="str">
        <f t="shared" si="133"/>
        <v>N</v>
      </c>
      <c r="X187" s="173">
        <f t="shared" si="142"/>
        <v>1</v>
      </c>
      <c r="Y187" s="64">
        <f t="shared" si="134"/>
        <v>0.10199999999999999</v>
      </c>
      <c r="Z187" s="64">
        <f t="shared" si="135"/>
        <v>5.8930999999999996</v>
      </c>
      <c r="AA187" s="64">
        <f t="shared" si="136"/>
        <v>5.7910999999999992</v>
      </c>
      <c r="AB187" s="61" t="e">
        <f>VLOOKUP(A187,Enforcements!$C$7:$K$15,8,0)</f>
        <v>#N/A</v>
      </c>
      <c r="AC187" s="57" t="e">
        <f>VLOOKUP(A187,Enforcements!$C$7:$E$15,3,0)</f>
        <v>#N/A</v>
      </c>
      <c r="AD187" s="58" t="str">
        <f t="shared" si="137"/>
        <v>1829-14</v>
      </c>
      <c r="AE187" s="87" t="str">
        <f t="shared" si="14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87" s="84" t="str">
        <f t="shared" si="144"/>
        <v>"C:\Program Files (x86)\AstroGrep\AstroGrep.exe" /spath="%USERPROFILE%\AppData\Local\Temp\OnboardLogs" /stypes="app*4046*20170115*" /stext=" 03:.+((SYSTEM_STATE.+slice.+state.+changed )|(ment ac)|(multiple cpu faults)|(system.+state.+changed )|(\[timeout)|(PRM\|1\|D)|(kpr)|(kdp)|(\|lc)|(penalty))" /e /r /s</v>
      </c>
      <c r="AG187" s="1" t="str">
        <f t="shared" si="138"/>
        <v>NW</v>
      </c>
      <c r="AH187" s="88" t="str">
        <f t="shared" si="108"/>
        <v>"%USERPROFILE%\Documents\GitHub\eaglep3\Utilities\RefineRTDCRunTimes.py" --tripid 1829-14 --locoid 4046 --swversion DE.1.0.8.0 --startMP 204:1020 --initTime 2017-01-14T20:07:15 --startdatetime 2017-01-14T20:21:54 --delay 1 --endMP 300:58931 --enddatetime 2017-01-14T20:37:25 --enforcementcount 0 &gt;&gt;C:\Users\stu\Documents\GitHub\eaglep3-reporting\EC\2017-01-14-refined-times.txt</v>
      </c>
      <c r="AI187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{"issue":{"subject":"","project_id":79,"tracker_id":40,"status_id":1,"priority_id":2,"assigned_to_id":23,"start_date":"2017-01-14","description":"","custom_fields":[{"id":1,"name":"Subdivision","value":"NW"},{"id":4,"name":"Milepost","value":"5.8931"},{"id":17,"name":"Train ID","value":"1829-14"},{"id":16,"name":"Locomotive ID","value":"4046"},{"id":130,"name":"Impact","value":""},{"id":150,"name":"Time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110"/>
        <v>start /low /b %USERPROFILE%\Documents\GitHub\eaglep3\Utilities\DownloadLogsFromS3.py --loco 4046 --day 2017-01-14</v>
      </c>
      <c r="AN187" s="189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"%USERPROFILE%\AppData\Local\Temp\OnboardLogs"\RTDC4046\*4046*20170115* | grep -SE "(Enforcement Action)|(\[TIMEOUT)|(CHR.+\|PRM\|1\|D.+(SWITCH|SIGNAL).+UNKNOWN)" - &gt;&gt; 2017-01-14-UncaughtWiMAX.txt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4" t="s">
        <v>636</v>
      </c>
      <c r="B188" s="7">
        <v>4045</v>
      </c>
      <c r="C188" s="22" t="s">
        <v>201</v>
      </c>
      <c r="D188" s="22" t="s">
        <v>720</v>
      </c>
      <c r="E188" s="13">
        <v>42749.86042824074</v>
      </c>
      <c r="F188" s="13">
        <v>42749.861967592595</v>
      </c>
      <c r="G188" s="7">
        <v>1</v>
      </c>
      <c r="H188" s="22" t="s">
        <v>718</v>
      </c>
      <c r="I188" s="13">
        <v>42749.872939814813</v>
      </c>
      <c r="J188" s="7">
        <v>0</v>
      </c>
      <c r="K188" s="105" t="str">
        <f t="shared" si="128"/>
        <v>4045/4046</v>
      </c>
      <c r="L188" s="22" t="str">
        <f>VLOOKUP(A188,'Trips&amp;Operators'!$C$1:$G$99999,5,FALSE)</f>
        <v>MCREYNOLDS KYLE</v>
      </c>
      <c r="M188" s="6">
        <f t="shared" si="129"/>
        <v>1.0972222218697425E-2</v>
      </c>
      <c r="N188" s="7">
        <f t="shared" si="141"/>
        <v>15.799999994924292</v>
      </c>
      <c r="O188" s="7"/>
      <c r="P188" s="7"/>
      <c r="Q188" s="23"/>
      <c r="R188" s="23"/>
      <c r="S188" s="32">
        <f t="shared" si="131"/>
        <v>1</v>
      </c>
      <c r="T188" s="47" t="str">
        <f t="shared" si="132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19:39:01-700',mode:absolute,to:'2017-01-14 21:57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88" s="49" t="str">
        <f t="shared" si="133"/>
        <v>N</v>
      </c>
      <c r="X188" s="173">
        <f t="shared" si="142"/>
        <v>1</v>
      </c>
      <c r="Y188" s="64">
        <f t="shared" si="134"/>
        <v>5.8615000000000004</v>
      </c>
      <c r="Z188" s="64">
        <f t="shared" si="135"/>
        <v>7.3400000000000007E-2</v>
      </c>
      <c r="AA188" s="64">
        <f t="shared" si="136"/>
        <v>5.7881</v>
      </c>
      <c r="AB188" s="61" t="e">
        <f>VLOOKUP(A188,Enforcements!$C$7:$K$15,8,0)</f>
        <v>#N/A</v>
      </c>
      <c r="AC188" s="57" t="e">
        <f>VLOOKUP(A188,Enforcements!$C$7:$E$15,3,0)</f>
        <v>#N/A</v>
      </c>
      <c r="AD188" s="58" t="str">
        <f t="shared" si="137"/>
        <v>1830-14</v>
      </c>
      <c r="AE188" s="87" t="str">
        <f t="shared" si="14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88" s="84" t="str">
        <f t="shared" si="144"/>
        <v>"C:\Program Files (x86)\AstroGrep\AstroGrep.exe" /spath="%USERPROFILE%\AppData\Local\Temp\OnboardLogs" /stypes="app*4045*20170115*" /stext=" 03:.+((SYSTEM_STATE.+slice.+state.+changed )|(ment ac)|(multiple cpu faults)|(system.+state.+changed )|(\[timeout)|(PRM\|1\|D)|(kpr)|(kdp)|(\|lc)|(penalty))" /e /r /s</v>
      </c>
      <c r="AG188" s="1" t="str">
        <f t="shared" si="138"/>
        <v>NW</v>
      </c>
      <c r="AH188" s="88" t="str">
        <f t="shared" si="108"/>
        <v>"%USERPROFILE%\Documents\GitHub\eaglep3\Utilities\RefineRTDCRunTimes.py" --tripid 1830-14 --locoid 4045 --swversion DE.1.0.8.0 --startMP 300:58615 --initTime 2017-01-14T20:39:01 --startdatetime 2017-01-14T20:41:14 --delay 1 --endMP 204:734 --enddatetime 2017-01-14T20:57:02 --enforcementcount 0 &gt;&gt;C:\Users\stu\Documents\GitHub\eaglep3-reporting\EC\2017-01-14-refined-times.txt</v>
      </c>
      <c r="AI188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{"issue":{"subject":"","project_id":79,"tracker_id":40,"status_id":1,"priority_id":2,"assigned_to_id":23,"start_date":"2017-01-14","description":"","custom_fields":[{"id":1,"name":"Subdivision","value":"NW"},{"id":4,"name":"Milepost","value":"0.0734"},{"id":17,"name":"Train ID","value":"1830-14"},{"id":16,"name":"Locomotive ID","value":"4045"},{"id":130,"name":"Impact","value":""},{"id":150,"name":"Time of Event (Mountain Time)","value":"20:57:02"},{"id":151,"name":"Denver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110"/>
        <v>start /low /b %USERPROFILE%\Documents\GitHub\eaglep3\Utilities\DownloadLogsFromS3.py --loco 4045 --day 2017-01-14</v>
      </c>
      <c r="AN188" s="189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"%USERPROFILE%\AppData\Local\Temp\OnboardLogs"\RTDC4045\*4045*20170115* | grep -SE "(Enforcement Action)|(\[TIMEOUT)|(CHR.+\|PRM\|1\|D.+(SWITCH|SIGNAL).+UNKNOWN)" - &gt;&gt; 2017-01-14-UncaughtWiMAX.txt</v>
      </c>
    </row>
    <row r="189" spans="1:91" x14ac:dyDescent="0.25">
      <c r="A189" s="34" t="s">
        <v>638</v>
      </c>
      <c r="B189" s="7">
        <v>4046</v>
      </c>
      <c r="C189" s="22" t="s">
        <v>201</v>
      </c>
      <c r="D189" s="22" t="s">
        <v>424</v>
      </c>
      <c r="E189" s="13">
        <v>42749.880254629628</v>
      </c>
      <c r="F189" s="13">
        <v>42749.889988425923</v>
      </c>
      <c r="G189" s="7">
        <v>1</v>
      </c>
      <c r="H189" s="22" t="s">
        <v>721</v>
      </c>
      <c r="I189" s="13">
        <v>42749.901261574072</v>
      </c>
      <c r="J189" s="7">
        <v>0</v>
      </c>
      <c r="K189" s="105" t="str">
        <f t="shared" si="128"/>
        <v>4045/4046</v>
      </c>
      <c r="L189" s="22" t="str">
        <f>VLOOKUP(A189,'Trips&amp;Operators'!$C$1:$G$99999,5,FALSE)</f>
        <v>MCREYNOLDS KYLE</v>
      </c>
      <c r="M189" s="6">
        <f t="shared" si="129"/>
        <v>1.1273148149484769E-2</v>
      </c>
      <c r="N189" s="7">
        <f t="shared" si="141"/>
        <v>16.233333335258067</v>
      </c>
      <c r="O189" s="7"/>
      <c r="P189" s="7"/>
      <c r="Q189" s="23"/>
      <c r="R189" s="23"/>
      <c r="S189" s="32">
        <f t="shared" si="131"/>
        <v>1</v>
      </c>
      <c r="T189" s="47" t="str">
        <f t="shared" si="132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20:07:34-700',mode:absolute,to:'2017-01-14 22:37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89" s="49" t="str">
        <f t="shared" si="133"/>
        <v>N</v>
      </c>
      <c r="X189" s="173">
        <f t="shared" si="142"/>
        <v>1</v>
      </c>
      <c r="Y189" s="64">
        <f t="shared" si="134"/>
        <v>0.1013</v>
      </c>
      <c r="Z189" s="64">
        <f t="shared" si="135"/>
        <v>5.8998999999999997</v>
      </c>
      <c r="AA189" s="64">
        <f t="shared" si="136"/>
        <v>5.7985999999999995</v>
      </c>
      <c r="AB189" s="61" t="e">
        <f>VLOOKUP(A189,Enforcements!$C$7:$K$15,8,0)</f>
        <v>#N/A</v>
      </c>
      <c r="AC189" s="57" t="e">
        <f>VLOOKUP(A189,Enforcements!$C$7:$E$15,3,0)</f>
        <v>#N/A</v>
      </c>
      <c r="AD189" s="58" t="str">
        <f t="shared" si="137"/>
        <v>1831-14</v>
      </c>
      <c r="AE189" s="87" t="str">
        <f t="shared" si="14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89" s="84" t="str">
        <f t="shared" si="144"/>
        <v>"C:\Program Files (x86)\AstroGrep\AstroGrep.exe" /spath="%USERPROFILE%\AppData\Local\Temp\OnboardLogs" /stypes="app*4046*20170115*" /stext=" 04:.+((SYSTEM_STATE.+slice.+state.+changed )|(ment ac)|(multiple cpu faults)|(system.+state.+changed )|(\[timeout)|(PRM\|1\|D)|(kpr)|(kdp)|(\|lc)|(penalty))" /e /r /s</v>
      </c>
      <c r="AG189" s="1" t="str">
        <f t="shared" si="138"/>
        <v>NW</v>
      </c>
      <c r="AH189" s="88" t="str">
        <f t="shared" si="108"/>
        <v>"%USERPROFILE%\Documents\GitHub\eaglep3\Utilities\RefineRTDCRunTimes.py" --tripid 1831-14 --locoid 4046 --swversion DE.1.0.8.0 --startMP 204:1013 --initTime 2017-01-14T21:07:34 --startdatetime 2017-01-14T21:21:35 --delay 1 --endMP 300:58999 --enddatetime 2017-01-14T21:37:49 --enforcementcount 0 &gt;&gt;C:\Users\stu\Documents\GitHub\eaglep3-reporting\EC\2017-01-14-refined-times.txt</v>
      </c>
      <c r="AI189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{"issue":{"subject":"","project_id":79,"tracker_id":40,"status_id":1,"priority_id":2,"assigned_to_id":23,"start_date":"2017-01-14","description":"","custom_fields":[{"id":1,"name":"Subdivision","value":"NW"},{"id":4,"name":"Milepost","value":"5.8999"},{"id":17,"name":"Train ID","value":"1831-14"},{"id":16,"name":"Locomotive ID","value":"4046"},{"id":130,"name":"Impact","value":""},{"id":150,"name":"Time of Event (Mountain Time)","value":"21:37:49"},{"id":151,"name":"Denver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110"/>
        <v>start /low /b %USERPROFILE%\Documents\GitHub\eaglep3\Utilities\DownloadLogsFromS3.py --loco 4046 --day 2017-01-14</v>
      </c>
      <c r="AN189" s="189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"%USERPROFILE%\AppData\Local\Temp\OnboardLogs"\RTDC4046\*4046*20170115* | grep -SE "(Enforcement Action)|(\[TIMEOUT)|(CHR.+\|PRM\|1\|D.+(SWITCH|SIGNAL).+UNKNOWN)" - &gt;&gt; 2017-01-14-UncaughtWiMAX.txt</v>
      </c>
    </row>
    <row r="190" spans="1:91" x14ac:dyDescent="0.25">
      <c r="A190" s="34" t="s">
        <v>640</v>
      </c>
      <c r="B190" s="7">
        <v>4045</v>
      </c>
      <c r="C190" s="22" t="s">
        <v>201</v>
      </c>
      <c r="D190" s="22" t="s">
        <v>428</v>
      </c>
      <c r="E190" s="13">
        <v>42749.902511574073</v>
      </c>
      <c r="F190" s="13">
        <v>42749.903969907406</v>
      </c>
      <c r="G190" s="7">
        <v>1</v>
      </c>
      <c r="H190" s="22" t="s">
        <v>722</v>
      </c>
      <c r="I190" s="13">
        <v>42749.914259259262</v>
      </c>
      <c r="J190" s="7">
        <v>0</v>
      </c>
      <c r="K190" s="105" t="str">
        <f t="shared" ref="K190:K222" si="145">IF(ISEVEN(B190),(B190-1)&amp;"/"&amp;B190,B190&amp;"/"&amp;(B190+1))</f>
        <v>4045/4046</v>
      </c>
      <c r="L190" s="22" t="str">
        <f>VLOOKUP(A190,'Trips&amp;Operators'!$C$1:$G$99999,5,FALSE)</f>
        <v>MCREYNOLDS KYLE</v>
      </c>
      <c r="M190" s="6">
        <f t="shared" ref="M190:M222" si="146">I190-F190</f>
        <v>1.0289351856044959E-2</v>
      </c>
      <c r="N190" s="7">
        <f t="shared" si="141"/>
        <v>14.816666672704741</v>
      </c>
      <c r="O190" s="7"/>
      <c r="P190" s="7"/>
      <c r="Q190" s="23"/>
      <c r="R190" s="23"/>
      <c r="S190" s="32">
        <f t="shared" ref="S190:S222" si="147">SUM(U190:U190)/IF(AG190="EC",12,1)</f>
        <v>1</v>
      </c>
      <c r="T190" s="47" t="str">
        <f t="shared" ref="T190:T222" si="148">IF(ISEVEN(LEFT(AD190,4)),"Southbound","NorthBound")</f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20:39:37-700',mode:absolute,to:'2017-01-14 22:56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90" s="49" t="str">
        <f t="shared" ref="W190:W222" si="149">IF(AA190&lt;IF(AG190="EC",23,5.65),"Y","N")</f>
        <v>N</v>
      </c>
      <c r="X190" s="173">
        <f t="shared" si="142"/>
        <v>1</v>
      </c>
      <c r="Y190" s="64">
        <f t="shared" ref="Y190:Y222" si="150">RIGHT(D190,LEN(D190)-4)/10000</f>
        <v>5.867</v>
      </c>
      <c r="Z190" s="64">
        <f t="shared" ref="Z190:Z222" si="151">RIGHT(H190,LEN(H190)-4)/10000</f>
        <v>7.3800000000000004E-2</v>
      </c>
      <c r="AA190" s="64">
        <f t="shared" ref="AA190:AA221" si="152">ABS(Z190-Y190)</f>
        <v>5.7931999999999997</v>
      </c>
      <c r="AB190" s="61" t="e">
        <f>VLOOKUP(A190,Enforcements!$C$7:$K$15,8,0)</f>
        <v>#N/A</v>
      </c>
      <c r="AC190" s="57" t="e">
        <f>VLOOKUP(A190,Enforcements!$C$7:$E$15,3,0)</f>
        <v>#N/A</v>
      </c>
      <c r="AD190" s="58" t="str">
        <f t="shared" ref="AD190:AD222" si="153">IF(LEN(A190)=6,"0"&amp;A190,A190)</f>
        <v>1832-14</v>
      </c>
      <c r="AE190" s="87" t="str">
        <f t="shared" si="14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190" s="84" t="str">
        <f t="shared" si="144"/>
        <v>"C:\Program Files (x86)\AstroGrep\AstroGrep.exe" /spath="%USERPROFILE%\AppData\Local\Temp\OnboardLogs" /stypes="app*4045*20170115*" /stext=" 04:.+((SYSTEM_STATE.+slice.+state.+changed )|(ment ac)|(multiple cpu faults)|(system.+state.+changed )|(\[timeout)|(PRM\|1\|D)|(kpr)|(kdp)|(\|lc)|(penalty))" /e /r /s</v>
      </c>
      <c r="AG190" s="1" t="str">
        <f t="shared" ref="AG190:AG222" si="154">IFERROR(IF(VALUE(LEFT(AD190,2))&lt;=2,"EC",IF(OR(VALUE(LEFT(AD190,2))=8,VALUE(LEFT(AD190,2))=18),"NW","Other")),"Other")</f>
        <v>NW</v>
      </c>
      <c r="AH190" s="88" t="str">
        <f t="shared" si="108"/>
        <v>"%USERPROFILE%\Documents\GitHub\eaglep3\Utilities\RefineRTDCRunTimes.py" --tripid 1832-14 --locoid 4045 --swversion DE.1.0.8.0 --startMP 300:58670 --initTime 2017-01-14T21:39:37 --startdatetime 2017-01-14T21:41:43 --delay 1 --endMP 204:738 --enddatetime 2017-01-14T21:56:32 --enforcementcount 0 &gt;&gt;C:\Users\stu\Documents\GitHub\eaglep3-reporting\EC\2017-01-14-refined-times.txt</v>
      </c>
      <c r="AI190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{"issue":{"subject":"","project_id":79,"tracker_id":40,"status_id":1,"priority_id":2,"assigned_to_id":23,"start_date":"2017-01-14","description":"","custom_fields":[{"id":1,"name":"Subdivision","value":"NW"},{"id":4,"name":"Milepost","value":"0.0738"},{"id":17,"name":"Train ID","value":"1832-14"},{"id":16,"name":"Locomotive ID","value":"4045"},{"id":130,"name":"Impact","value":""},{"id":150,"name":"Time of Event (Mountain Time)","value":"21:56:32"},{"id":151,"name":"Denver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110"/>
        <v>start /low /b %USERPROFILE%\Documents\GitHub\eaglep3\Utilities\DownloadLogsFromS3.py --loco 4045 --day 2017-01-14</v>
      </c>
      <c r="AN190" s="189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"%USERPROFILE%\AppData\Local\Temp\OnboardLogs"\RTDC4045\*4045*20170115* | grep -SE "(Enforcement Action)|(\[TIMEOUT)|(CHR.+\|PRM\|1\|D.+(SWITCH|SIGNAL).+UNKNOWN)" - &gt;&gt; 2017-01-14-UncaughtWiMAX.txt</v>
      </c>
    </row>
    <row r="191" spans="1:91" x14ac:dyDescent="0.25">
      <c r="A191" s="34" t="s">
        <v>641</v>
      </c>
      <c r="B191" s="7">
        <v>4046</v>
      </c>
      <c r="C191" s="22" t="s">
        <v>201</v>
      </c>
      <c r="D191" s="22" t="s">
        <v>723</v>
      </c>
      <c r="E191" s="13">
        <v>42749.918668981481</v>
      </c>
      <c r="F191" s="13">
        <v>42749.93172453704</v>
      </c>
      <c r="G191" s="7">
        <v>1</v>
      </c>
      <c r="H191" s="22" t="s">
        <v>724</v>
      </c>
      <c r="I191" s="13">
        <v>42749.942187499997</v>
      </c>
      <c r="J191" s="7">
        <v>0</v>
      </c>
      <c r="K191" s="105" t="str">
        <f t="shared" si="145"/>
        <v>4045/4046</v>
      </c>
      <c r="L191" s="22" t="str">
        <f>VLOOKUP(A191,'Trips&amp;Operators'!$C$1:$G$99999,5,FALSE)</f>
        <v>MCREYNOLDS KYLE</v>
      </c>
      <c r="M191" s="6">
        <f t="shared" si="146"/>
        <v>1.0462962956808042E-2</v>
      </c>
      <c r="N191" s="7">
        <f t="shared" si="141"/>
        <v>15.06666665780358</v>
      </c>
      <c r="O191" s="7"/>
      <c r="P191" s="7"/>
      <c r="Q191" s="23"/>
      <c r="R191" s="23"/>
      <c r="S191" s="32">
        <f t="shared" si="147"/>
        <v>1</v>
      </c>
      <c r="T191" s="47" t="str">
        <f t="shared" si="148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21:02:53-700',mode:absolute,to:'2017-01-14 23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91" s="49" t="str">
        <f t="shared" si="149"/>
        <v>N</v>
      </c>
      <c r="X191" s="173">
        <f t="shared" si="142"/>
        <v>1</v>
      </c>
      <c r="Y191" s="64">
        <f t="shared" si="150"/>
        <v>0.1023</v>
      </c>
      <c r="Z191" s="64">
        <f t="shared" si="151"/>
        <v>5.8905000000000003</v>
      </c>
      <c r="AA191" s="64">
        <f t="shared" si="152"/>
        <v>5.7882000000000007</v>
      </c>
      <c r="AB191" s="61" t="e">
        <f>VLOOKUP(A191,Enforcements!$C$7:$K$15,8,0)</f>
        <v>#N/A</v>
      </c>
      <c r="AC191" s="57" t="e">
        <f>VLOOKUP(A191,Enforcements!$C$7:$E$15,3,0)</f>
        <v>#N/A</v>
      </c>
      <c r="AD191" s="58" t="str">
        <f t="shared" si="153"/>
        <v>1833-14</v>
      </c>
      <c r="AE191" s="87" t="str">
        <f t="shared" si="14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191" s="84" t="str">
        <f t="shared" si="144"/>
        <v>"C:\Program Files (x86)\AstroGrep\AstroGrep.exe" /spath="%USERPROFILE%\AppData\Local\Temp\OnboardLogs" /stypes="app*4046*20170115*" /stext=" 05:.+((SYSTEM_STATE.+slice.+state.+changed )|(ment ac)|(multiple cpu faults)|(system.+state.+changed )|(\[timeout)|(PRM\|1\|D)|(kpr)|(kdp)|(\|lc)|(penalty))" /e /r /s</v>
      </c>
      <c r="AG191" s="1" t="str">
        <f t="shared" si="154"/>
        <v>NW</v>
      </c>
      <c r="AH191" s="88" t="str">
        <f t="shared" si="108"/>
        <v>"%USERPROFILE%\Documents\GitHub\eaglep3\Utilities\RefineRTDCRunTimes.py" --tripid 1833-14 --locoid 4046 --swversion DE.1.0.8.0 --startMP 204:1023 --initTime 2017-01-14T22:02:53 --startdatetime 2017-01-14T22:21:41 --delay 1 --endMP 300:58905 --enddatetime 2017-01-14T22:36:45 --enforcementcount 0 &gt;&gt;C:\Users\stu\Documents\GitHub\eaglep3-reporting\EC\2017-01-14-refined-times.txt</v>
      </c>
      <c r="AI191" s="115" t="str">
        <f t="shared" si="109"/>
        <v>echo {"issue":{"subject":"","project_id":79,"tracker_id":40,"status_id":1,"priority_id":2,"assigned_to_id":23,"start_date":"2017-01-14","description":"","custom_fields":[{"id":1,"name":"Subdivision","value":"NW"},{"id":4,"name":"Milepost","value":"5.8905"},{"id":17,"name":"Train ID","value":"1833-14"},{"id":16,"name":"Locomotive ID","value":"4046"},{"id":130,"name":"Impact","value":""},{"id":150,"name":"Time of Event (Mountain Time)","value":"22:36:45"},{"id":151,"name":"Denver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110"/>
        <v>start /low /b %USERPROFILE%\Documents\GitHub\eaglep3\Utilities\DownloadLogsFromS3.py --loco 4046 --day 2017-01-14</v>
      </c>
      <c r="AN191" s="189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"%USERPROFILE%\AppData\Local\Temp\OnboardLogs"\RTDC4046\*4046*20170115* | grep -SE "(Enforcement Action)|(\[TIMEOUT)|(CHR.+\|PRM\|1\|D.+(SWITCH|SIGNAL).+UNKNOWN)" - &gt;&gt; 2017-01-14-UncaughtWiMAX.txt</v>
      </c>
    </row>
    <row r="192" spans="1:91" s="21" customFormat="1" x14ac:dyDescent="0.25">
      <c r="A192" s="34" t="s">
        <v>465</v>
      </c>
      <c r="B192" s="7">
        <v>4030</v>
      </c>
      <c r="C192" s="22" t="s">
        <v>201</v>
      </c>
      <c r="D192" s="22" t="s">
        <v>752</v>
      </c>
      <c r="E192" s="13">
        <v>42749.121898148151</v>
      </c>
      <c r="F192" s="13">
        <v>42749.123136574075</v>
      </c>
      <c r="G192" s="7">
        <v>1</v>
      </c>
      <c r="H192" s="22" t="s">
        <v>259</v>
      </c>
      <c r="I192" s="13">
        <v>42749.129155092596</v>
      </c>
      <c r="J192" s="7">
        <v>0</v>
      </c>
      <c r="K192" s="105" t="str">
        <f t="shared" si="145"/>
        <v>4029/4030</v>
      </c>
      <c r="L192" s="22" t="str">
        <f>VLOOKUP(A192,'Trips&amp;Operators'!$C$1:$G$99999,5,FALSE)</f>
        <v>BEAM ROSS</v>
      </c>
      <c r="M192" s="6">
        <f t="shared" si="146"/>
        <v>6.0185185211594217E-3</v>
      </c>
      <c r="N192" s="7">
        <f t="shared" si="141"/>
        <v>8.6666666704695672</v>
      </c>
      <c r="O192" s="7"/>
      <c r="P192" s="7"/>
      <c r="Q192" s="23"/>
      <c r="R192" s="23"/>
      <c r="S192" s="32">
        <f t="shared" si="147"/>
        <v>1</v>
      </c>
      <c r="T192" s="47" t="str">
        <f t="shared" si="148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01:55:32-700',mode:absolute,to:'2017-01-14 04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192" s="49" t="str">
        <f t="shared" si="149"/>
        <v>Y</v>
      </c>
      <c r="X192" s="173">
        <f t="shared" si="142"/>
        <v>-1531</v>
      </c>
      <c r="Y192" s="64">
        <f t="shared" si="150"/>
        <v>1.9693000000000001</v>
      </c>
      <c r="Z192" s="64">
        <f t="shared" si="151"/>
        <v>1.5800000000000002E-2</v>
      </c>
      <c r="AA192" s="64">
        <f t="shared" si="152"/>
        <v>1.9535</v>
      </c>
      <c r="AB192" s="61" t="e">
        <f>VLOOKUP(A192,Enforcements!$C$7:$K$15,8,0)</f>
        <v>#N/A</v>
      </c>
      <c r="AC192" s="57" t="e">
        <f>VLOOKUP(A192,Enforcements!$C$7:$E$15,3,0)</f>
        <v>#N/A</v>
      </c>
      <c r="AD192" s="58" t="str">
        <f t="shared" si="153"/>
        <v>0302-14</v>
      </c>
      <c r="AE192" s="87" t="str">
        <f t="shared" si="143"/>
        <v>aws s3 cp s3://rtdc.mdm.uploadarchive.raw/RTDC4030/ "%USERPROFILE%\AppData\Local\Temp\OnboardLogs"\RTDC4030\2017-01-14 --exclude "*" --recursive --include "*20170114*" &amp; "%USERPROFILE%\Documents\GitHub\mrs-test-scripts\Headless Mode &amp; Sideloading\WalkAndUnGZ.bat" "%USERPROFILE%\AppData\Local\Temp\OnboardLogs"\RTDC4030\2017-01-14 &amp; aws s3 cp s3://rtdc.mdm.uploadarchive.raw/RTDC4030/ "%USERPROFILE%\AppData\Local\Temp\OnboardLogs"\RTDC4030\2017-01-15 --exclude "*" --recursive --include "*20170115*" &amp; "%USERPROFILE%\Documents\GitHub\mrs-test-scripts\Headless Mode &amp; Sideloading\WalkAndUnGZ.bat" "%USERPROFILE%\AppData\Local\Temp\OnboardLogs"\RTDC4030\2017-01-15</v>
      </c>
      <c r="AF192" s="84" t="str">
        <f t="shared" si="144"/>
        <v>"C:\Program Files (x86)\AstroGrep\AstroGrep.exe" /spath="%USERPROFILE%\AppData\Local\Temp\OnboardLogs" /stypes="app*4030*20170114*" /stext=" 10:.+((SYSTEM_STATE.+slice.+state.+changed )|(ment ac)|(multiple cpu faults)|(system.+state.+changed )|(\[timeout)|(PRM\|1\|D)|(kpr)|(kdp)|(\|lc)|(penalty))" /e /r /s</v>
      </c>
      <c r="AG192" s="1" t="str">
        <f t="shared" si="154"/>
        <v>Other</v>
      </c>
      <c r="AH192" s="88" t="str">
        <f t="shared" si="108"/>
        <v>"%USERPROFILE%\Documents\GitHub\eaglep3\Utilities\RefineRTDCRunTimes.py" --tripid 302-14 --locoid 4030 --swversion DE.1.0.8.0 --startMP 300:19693 --initTime 2017-01-14T02:55:32 --startdatetime 2017-01-14T02:57:19 --delay 1 --endMP 204:158 --enddatetime 2017-01-14T03:05:59 --enforcementcount 0 &gt;&gt;C:\Users\stu\Documents\GitHub\eaglep3-reporting\EC\2017-01-14-refined-times.txt</v>
      </c>
      <c r="AI192" s="115" t="str">
        <f t="shared" si="109"/>
        <v>echo {"issue":{"subject":"","project_id":79,"tracker_id":40,"status_id":1,"priority_id":2,"assigned_to_id":23,"start_date":"2017-01-14","description":"","custom_fields":[{"id":1,"name":"Subdivision","value":"Other"},{"id":4,"name":"Milepost","value":"0.0158"},{"id":17,"name":"Train ID","value":"302-14"},{"id":16,"name":"Locomotive ID","value":"4030"},{"id":130,"name":"Impact","value":""},{"id":150,"name":"Time of Event (Mountain Time)","value":"03:05:59"},{"id":151,"name":"Denver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110"/>
        <v>start /low /b %USERPROFILE%\Documents\GitHub\eaglep3\Utilities\DownloadLogsFromS3.py --loco 4030 --day 2017-01-14</v>
      </c>
      <c r="AN192" s="189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"%USERPROFILE%\AppData\Local\Temp\OnboardLogs"\RTDC4030\*4030*20170114* | grep -SE "(Enforcement Action)|(\[TIMEOUT)|(CHR.+\|PRM\|1\|D.+(SWITCH|SIGNAL).+UNKNOWN)" - &gt;&gt; 2017-01-14-UncaughtWiMAX.txt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623</v>
      </c>
      <c r="B193" s="7">
        <v>4022</v>
      </c>
      <c r="C193" s="22" t="s">
        <v>201</v>
      </c>
      <c r="D193" s="22" t="s">
        <v>753</v>
      </c>
      <c r="E193" s="13">
        <v>42749.778101851851</v>
      </c>
      <c r="F193" s="13">
        <v>25568.708333333332</v>
      </c>
      <c r="G193" s="7">
        <v>1</v>
      </c>
      <c r="H193" s="22" t="s">
        <v>754</v>
      </c>
      <c r="I193" s="13">
        <v>25568.708333333332</v>
      </c>
      <c r="J193" s="7">
        <v>0</v>
      </c>
      <c r="K193" s="105" t="str">
        <f t="shared" si="145"/>
        <v>4021/4022</v>
      </c>
      <c r="L193" s="22" t="str">
        <f>VLOOKUP(A193,'Trips&amp;Operators'!$C$1:$G$99999,5,FALSE)</f>
        <v>KILLION DAVID</v>
      </c>
      <c r="M193" s="6">
        <f t="shared" si="146"/>
        <v>0</v>
      </c>
      <c r="N193" s="7">
        <f t="shared" si="141"/>
        <v>0</v>
      </c>
      <c r="O193" s="7"/>
      <c r="P193" s="7"/>
      <c r="Q193" s="23"/>
      <c r="R193" s="23"/>
      <c r="S193" s="32">
        <f t="shared" si="147"/>
        <v>1</v>
      </c>
      <c r="T193" s="47" t="str">
        <f t="shared" si="148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17:40:28-700',mode:absolute,to:'1969-12-31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93" s="49" t="str">
        <f t="shared" si="149"/>
        <v>Y</v>
      </c>
      <c r="X193" s="173">
        <f t="shared" si="142"/>
        <v>1</v>
      </c>
      <c r="Y193" s="64">
        <f t="shared" si="150"/>
        <v>3.61E-2</v>
      </c>
      <c r="Z193" s="64">
        <f t="shared" si="151"/>
        <v>2.3346</v>
      </c>
      <c r="AA193" s="64">
        <f t="shared" si="152"/>
        <v>2.2985000000000002</v>
      </c>
      <c r="AB193" s="61" t="e">
        <f>VLOOKUP(A193,Enforcements!$C$7:$K$15,8,0)</f>
        <v>#N/A</v>
      </c>
      <c r="AC193" s="57" t="e">
        <f>VLOOKUP(A193,Enforcements!$C$7:$E$15,3,0)</f>
        <v>#N/A</v>
      </c>
      <c r="AD193" s="58" t="str">
        <f t="shared" si="153"/>
        <v>0303-14</v>
      </c>
      <c r="AE193" s="87" t="str">
        <f t="shared" si="143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193" s="84" t="str">
        <f t="shared" si="144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193" s="1" t="str">
        <f t="shared" si="154"/>
        <v>Other</v>
      </c>
      <c r="AH193" s="88" t="str">
        <f t="shared" si="108"/>
        <v>"%USERPROFILE%\Documents\GitHub\eaglep3\Utilities\RefineRTDCRunTimes.py" --tripid 303-14 --locoid 4022 --swversion DE.1.0.8.0 --startMP 204:361 --initTime 2017-01-14T18:40:28 --startdatetime 1969-12-31T17:00:00 --delay 1 --endMP 300:23346 --enddatetime 1969-12-31T17:00:00 --enforcementcount 0 &gt;&gt;C:\Users\stu\Documents\GitHub\eaglep3-reporting\EC\2017-01-14-refined-times.txt</v>
      </c>
      <c r="AI193" s="115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ID","value":"303-14"},{"id":16,"name":"Locomotive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110"/>
        <v>start /low /b %USERPROFILE%\Documents\GitHub\eaglep3\Utilities\DownloadLogsFromS3.py --loco 4022 --day 1969-12-31</v>
      </c>
      <c r="AN193" s="189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2017-01-14-UncaughtWiMAX.txt</v>
      </c>
    </row>
    <row r="194" spans="1:91" x14ac:dyDescent="0.25">
      <c r="A194" s="34" t="s">
        <v>627</v>
      </c>
      <c r="B194" s="7">
        <v>4014</v>
      </c>
      <c r="C194" s="22" t="s">
        <v>201</v>
      </c>
      <c r="D194" s="22" t="s">
        <v>670</v>
      </c>
      <c r="E194" s="13">
        <v>42749.798356481479</v>
      </c>
      <c r="F194" s="13">
        <v>25568.708333333332</v>
      </c>
      <c r="G194" s="7">
        <v>1</v>
      </c>
      <c r="H194" s="22" t="s">
        <v>755</v>
      </c>
      <c r="I194" s="13">
        <v>25568.708333333332</v>
      </c>
      <c r="J194" s="7">
        <v>0</v>
      </c>
      <c r="K194" s="105" t="str">
        <f t="shared" si="145"/>
        <v>4013/4014</v>
      </c>
      <c r="L194" s="22" t="str">
        <f>VLOOKUP(A194,'Trips&amp;Operators'!$C$1:$G$99999,5,FALSE)</f>
        <v>BRANDNER MELINDA</v>
      </c>
      <c r="M194" s="6">
        <f t="shared" si="146"/>
        <v>0</v>
      </c>
      <c r="N194" s="7">
        <f t="shared" si="141"/>
        <v>0</v>
      </c>
      <c r="O194" s="7"/>
      <c r="P194" s="7"/>
      <c r="Q194" s="23"/>
      <c r="R194" s="23"/>
      <c r="S194" s="32">
        <f t="shared" si="147"/>
        <v>1</v>
      </c>
      <c r="T194" s="47" t="str">
        <f t="shared" si="148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18:09:38-700',mode:absolute,to:'1969-12-31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W194" s="49" t="str">
        <f t="shared" si="149"/>
        <v>Y</v>
      </c>
      <c r="X194" s="173">
        <f t="shared" si="142"/>
        <v>2</v>
      </c>
      <c r="Y194" s="64">
        <f t="shared" si="150"/>
        <v>4.5100000000000001E-2</v>
      </c>
      <c r="Z194" s="64">
        <f t="shared" si="151"/>
        <v>2.3012999999999999</v>
      </c>
      <c r="AA194" s="64">
        <f t="shared" si="152"/>
        <v>2.2561999999999998</v>
      </c>
      <c r="AB194" s="61" t="e">
        <f>VLOOKUP(A194,Enforcements!$C$7:$K$15,8,0)</f>
        <v>#N/A</v>
      </c>
      <c r="AC194" s="57" t="e">
        <f>VLOOKUP(A194,Enforcements!$C$7:$E$15,3,0)</f>
        <v>#N/A</v>
      </c>
      <c r="AD194" s="58" t="str">
        <f t="shared" si="153"/>
        <v>0305-14</v>
      </c>
      <c r="AE194" s="87" t="str">
        <f t="shared" si="143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194" s="84" t="str">
        <f t="shared" si="144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194" s="1" t="str">
        <f t="shared" si="154"/>
        <v>Other</v>
      </c>
      <c r="AH194" s="88" t="str">
        <f t="shared" si="108"/>
        <v>"%USERPROFILE%\Documents\GitHub\eaglep3\Utilities\RefineRTDCRunTimes.py" --tripid 305-14 --locoid 4014 --swversion DE.1.0.8.0 --startMP 204:451 --initTime 2017-01-14T19:09:38 --startdatetime 1969-12-31T17:00:00 --delay 1 --endMP 300:23013 --enddatetime 1969-12-31T17:00:00 --enforcementcount 0 &gt;&gt;C:\Users\stu\Documents\GitHub\eaglep3-reporting\EC\2017-01-14-refined-times.txt</v>
      </c>
      <c r="AI194" s="115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{"issue":{"subject":"","project_id":79,"tracker_id":40,"status_id":1,"priority_id":2,"assigned_to_id":23,"start_date":"1969-12-31","description":"","custom_fields":[{"id":1,"name":"Subdivision","value":"Other"},{"id":4,"name":"Milepost","value":"2.3013"},{"id":17,"name":"Train ID","value":"305-14"},{"id":16,"name":"Locomotive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110"/>
        <v>start /low /b %USERPROFILE%\Documents\GitHub\eaglep3\Utilities\DownloadLogsFromS3.py --loco 4014 --day 1969-12-31</v>
      </c>
      <c r="AN194" s="189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"%USERPROFILE%\AppData\Local\Temp\OnboardLogs"\RTDC4014\*4014*19700101* | grep -SE "(Enforcement Action)|(\[TIMEOUT)|(CHR.+\|PRM\|1\|D.+(SWITCH|SIGNAL).+UNKNOWN)" - &gt;&gt; 2017-01-14-UncaughtWiMAX.txt</v>
      </c>
    </row>
    <row r="195" spans="1:91" x14ac:dyDescent="0.25">
      <c r="A195" s="34" t="s">
        <v>436</v>
      </c>
      <c r="B195" s="7">
        <v>4041</v>
      </c>
      <c r="C195" s="22" t="s">
        <v>201</v>
      </c>
      <c r="D195" s="22" t="s">
        <v>756</v>
      </c>
      <c r="E195" s="13">
        <v>42749.151701388888</v>
      </c>
      <c r="F195" s="13">
        <v>42749.15525462963</v>
      </c>
      <c r="G195" s="7">
        <v>5</v>
      </c>
      <c r="H195" s="22" t="s">
        <v>224</v>
      </c>
      <c r="I195" s="13">
        <v>42749.161759259259</v>
      </c>
      <c r="J195" s="7">
        <v>0</v>
      </c>
      <c r="K195" s="105" t="str">
        <f t="shared" si="145"/>
        <v>4041/4042</v>
      </c>
      <c r="L195" s="22" t="str">
        <f>VLOOKUP(A195,'Trips&amp;Operators'!$C$1:$G$99999,5,FALSE)</f>
        <v>MAELZER KURT</v>
      </c>
      <c r="M195" s="6">
        <f t="shared" si="146"/>
        <v>6.5046296294895001E-3</v>
      </c>
      <c r="N195" s="7">
        <f t="shared" si="141"/>
        <v>9.3666666664648801</v>
      </c>
      <c r="O195" s="7"/>
      <c r="P195" s="7"/>
      <c r="Q195" s="23"/>
      <c r="R195" s="23"/>
      <c r="S195" s="32">
        <f t="shared" si="147"/>
        <v>1</v>
      </c>
      <c r="T195" s="47" t="str">
        <f t="shared" si="148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02:38:27-700',mode:absolute,to:'2017-01-14 04:52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W195" s="49" t="str">
        <f t="shared" si="149"/>
        <v>Y</v>
      </c>
      <c r="X195" s="173">
        <f t="shared" si="142"/>
        <v>1</v>
      </c>
      <c r="Y195" s="64">
        <f t="shared" si="150"/>
        <v>1.9895</v>
      </c>
      <c r="Z195" s="64">
        <f t="shared" si="151"/>
        <v>1.4500000000000001E-2</v>
      </c>
      <c r="AA195" s="64">
        <f t="shared" si="152"/>
        <v>1.9750000000000001</v>
      </c>
      <c r="AB195" s="61" t="e">
        <f>VLOOKUP(A195,Enforcements!$C$7:$K$15,8,0)</f>
        <v>#N/A</v>
      </c>
      <c r="AC195" s="57" t="e">
        <f>VLOOKUP(A195,Enforcements!$C$7:$E$15,3,0)</f>
        <v>#N/A</v>
      </c>
      <c r="AD195" s="58" t="str">
        <f t="shared" si="153"/>
        <v>0306-14</v>
      </c>
      <c r="AE195" s="87" t="str">
        <f t="shared" si="143"/>
        <v>aws s3 cp s3://rtdc.mdm.uploadarchive.raw/RTDC4041/ "%USERPROFILE%\AppData\Local\Temp\OnboardLogs"\RTDC4041\2017-01-14 --exclude "*" --recursive --include "*20170114*" &amp; "%USERPROFILE%\Documents\GitHub\mrs-test-scripts\Headless Mode &amp; Sideloading\WalkAndUnGZ.bat" "%USERPROFILE%\AppData\Local\Temp\OnboardLogs"\RTDC4041\2017-01-14 &amp; 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</v>
      </c>
      <c r="AF195" s="84" t="str">
        <f t="shared" si="144"/>
        <v>"C:\Program Files (x86)\AstroGrep\AstroGrep.exe" /spath="%USERPROFILE%\AppData\Local\Temp\OnboardLogs" /stypes="app*4041*20170114*" /stext=" 10:.+((SYSTEM_STATE.+slice.+state.+changed )|(ment ac)|(multiple cpu faults)|(system.+state.+changed )|(\[timeout)|(PRM\|1\|D)|(kpr)|(kdp)|(\|lc)|(penalty))" /e /r /s</v>
      </c>
      <c r="AG195" s="1" t="str">
        <f t="shared" si="154"/>
        <v>Other</v>
      </c>
      <c r="AH195" s="88" t="str">
        <f t="shared" si="108"/>
        <v>"%USERPROFILE%\Documents\GitHub\eaglep3\Utilities\RefineRTDCRunTimes.py" --tripid 306-14 --locoid 4041 --swversion DE.1.0.8.0 --startMP 300:19895 --initTime 2017-01-14T03:38:27 --startdatetime 2017-01-14T03:43:34 --delay 5 --endMP 204:145 --enddatetime 2017-01-14T03:52:56 --enforcementcount 0 &gt;&gt;C:\Users\stu\Documents\GitHub\eaglep3-reporting\EC\2017-01-14-refined-times.txt</v>
      </c>
      <c r="AI195" s="115" t="str">
        <f t="shared" si="109"/>
        <v>echo {"issue":{"subject":"","project_id":79,"tracker_id":40,"status_id":1,"priority_id":2,"assigned_to_id":23,"start_date":"2017-01-14","description":"","custom_fields":[{"id":1,"name":"Subdivision","value":"Other"},{"id":4,"name":"Milepost","value":"0.0145"},{"id":17,"name":"Train ID","value":"306-14"},{"id":16,"name":"Locomotive ID","value":"4041"},{"id":130,"name":"Impact","value":""},{"id":150,"name":"Time of Event (Mountain Time)","value":"03:52:56"},{"id":151,"name":"Denver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110"/>
        <v>start /low /b %USERPROFILE%\Documents\GitHub\eaglep3\Utilities\DownloadLogsFromS3.py --loco 4041 --day 2017-01-14</v>
      </c>
      <c r="AN195" s="189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"%USERPROFILE%\AppData\Local\Temp\OnboardLogs"\RTDC4041\*4041*20170114* | grep -SE "(Enforcement Action)|(\[TIMEOUT)|(CHR.+\|PRM\|1\|D.+(SWITCH|SIGNAL).+UNKNOWN)" - &gt;&gt; 2017-01-14-UncaughtWiMAX.txt</v>
      </c>
    </row>
    <row r="196" spans="1:91" x14ac:dyDescent="0.25">
      <c r="A196" s="34" t="s">
        <v>631</v>
      </c>
      <c r="B196" s="7">
        <v>4038</v>
      </c>
      <c r="C196" s="22" t="s">
        <v>201</v>
      </c>
      <c r="D196" s="22" t="s">
        <v>670</v>
      </c>
      <c r="E196" s="13">
        <v>42749.819814814815</v>
      </c>
      <c r="F196" s="13">
        <v>25568.708333333332</v>
      </c>
      <c r="G196" s="7">
        <v>1</v>
      </c>
      <c r="H196" s="22" t="s">
        <v>754</v>
      </c>
      <c r="I196" s="13">
        <v>25568.708333333332</v>
      </c>
      <c r="J196" s="7">
        <v>0</v>
      </c>
      <c r="K196" s="105" t="str">
        <f t="shared" si="145"/>
        <v>4037/4038</v>
      </c>
      <c r="L196" s="22" t="str">
        <f>VLOOKUP(A196,'Trips&amp;Operators'!$C$1:$G$99999,5,FALSE)</f>
        <v>WHITED DUSTIN</v>
      </c>
      <c r="M196" s="6">
        <f t="shared" si="146"/>
        <v>0</v>
      </c>
      <c r="N196" s="7">
        <f t="shared" si="141"/>
        <v>0</v>
      </c>
      <c r="O196" s="7"/>
      <c r="P196" s="7"/>
      <c r="Q196" s="23"/>
      <c r="R196" s="23"/>
      <c r="S196" s="32">
        <f t="shared" si="147"/>
        <v>1</v>
      </c>
      <c r="T196" s="47" t="str">
        <f t="shared" si="148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18:40:32-700',mode:absolute,to:'1969-12-31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W196" s="49" t="str">
        <f t="shared" si="149"/>
        <v>Y</v>
      </c>
      <c r="X196" s="173">
        <f t="shared" si="142"/>
        <v>1</v>
      </c>
      <c r="Y196" s="64">
        <f t="shared" si="150"/>
        <v>4.5100000000000001E-2</v>
      </c>
      <c r="Z196" s="64">
        <f t="shared" si="151"/>
        <v>2.3346</v>
      </c>
      <c r="AA196" s="64">
        <f t="shared" si="152"/>
        <v>2.2894999999999999</v>
      </c>
      <c r="AB196" s="61" t="e">
        <f>VLOOKUP(A196,Enforcements!$C$7:$K$15,8,0)</f>
        <v>#N/A</v>
      </c>
      <c r="AC196" s="57" t="e">
        <f>VLOOKUP(A196,Enforcements!$C$7:$E$15,3,0)</f>
        <v>#N/A</v>
      </c>
      <c r="AD196" s="58" t="str">
        <f t="shared" si="153"/>
        <v>0307-14</v>
      </c>
      <c r="AE196" s="87" t="str">
        <f t="shared" si="143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196" s="84" t="str">
        <f t="shared" si="144"/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196" s="1" t="str">
        <f t="shared" si="154"/>
        <v>Other</v>
      </c>
      <c r="AH196" s="88" t="str">
        <f t="shared" si="108"/>
        <v>"%USERPROFILE%\Documents\GitHub\eaglep3\Utilities\RefineRTDCRunTimes.py" --tripid 307-14 --locoid 4038 --swversion DE.1.0.8.0 --startMP 204:451 --initTime 2017-01-14T19:40:32 --startdatetime 1969-12-31T17:00:00 --delay 1 --endMP 300:23346 --enddatetime 1969-12-31T17:00:00 --enforcementcount 0 &gt;&gt;C:\Users\stu\Documents\GitHub\eaglep3-reporting\EC\2017-01-14-refined-times.txt</v>
      </c>
      <c r="AI196" s="115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ID","value":"307-14"},{"id":16,"name":"Locomotive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110"/>
        <v>start /low /b %USERPROFILE%\Documents\GitHub\eaglep3\Utilities\DownloadLogsFromS3.py --loco 4038 --day 1969-12-31</v>
      </c>
      <c r="AN196" s="189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"%USERPROFILE%\AppData\Local\Temp\OnboardLogs"\RTDC4038\*4038*19700101* | grep -SE "(Enforcement Action)|(\[TIMEOUT)|(CHR.+\|PRM\|1\|D.+(SWITCH|SIGNAL).+UNKNOWN)" - &gt;&gt; 2017-01-14-UncaughtWiMAX.txt</v>
      </c>
    </row>
    <row r="197" spans="1:91" x14ac:dyDescent="0.25">
      <c r="A197" s="34" t="s">
        <v>437</v>
      </c>
      <c r="B197" s="7">
        <v>4028</v>
      </c>
      <c r="C197" s="22" t="s">
        <v>201</v>
      </c>
      <c r="D197" s="22" t="s">
        <v>757</v>
      </c>
      <c r="E197" s="13">
        <v>42749.175787037035</v>
      </c>
      <c r="F197" s="13">
        <v>42749.177025462966</v>
      </c>
      <c r="G197" s="7">
        <v>1</v>
      </c>
      <c r="H197" s="22" t="s">
        <v>224</v>
      </c>
      <c r="I197" s="13">
        <v>42749.184537037036</v>
      </c>
      <c r="J197" s="7">
        <v>0</v>
      </c>
      <c r="K197" s="105" t="str">
        <f t="shared" si="145"/>
        <v>4027/4028</v>
      </c>
      <c r="L197" s="22" t="str">
        <f>VLOOKUP(A197,'Trips&amp;Operators'!$C$1:$G$99999,5,FALSE)</f>
        <v>DAVIS WENDY</v>
      </c>
      <c r="M197" s="6">
        <f t="shared" si="146"/>
        <v>7.5115740692126565E-3</v>
      </c>
      <c r="N197" s="7">
        <f t="shared" si="141"/>
        <v>10.816666659666225</v>
      </c>
      <c r="O197" s="7"/>
      <c r="P197" s="7"/>
      <c r="Q197" s="23"/>
      <c r="R197" s="23"/>
      <c r="S197" s="32">
        <f t="shared" si="147"/>
        <v>1</v>
      </c>
      <c r="T197" s="47" t="str">
        <f t="shared" si="148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03:13:08-700',mode:absolute,to:'2017-01-14 05:25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W197" s="49" t="str">
        <f t="shared" si="149"/>
        <v>Y</v>
      </c>
      <c r="X197" s="173">
        <f t="shared" si="142"/>
        <v>1</v>
      </c>
      <c r="Y197" s="64">
        <f t="shared" si="150"/>
        <v>2.3405999999999998</v>
      </c>
      <c r="Z197" s="64">
        <f t="shared" si="151"/>
        <v>1.4500000000000001E-2</v>
      </c>
      <c r="AA197" s="64">
        <f t="shared" si="152"/>
        <v>2.3260999999999998</v>
      </c>
      <c r="AB197" s="61" t="e">
        <f>VLOOKUP(A197,Enforcements!$C$7:$K$15,8,0)</f>
        <v>#N/A</v>
      </c>
      <c r="AC197" s="57" t="e">
        <f>VLOOKUP(A197,Enforcements!$C$7:$E$15,3,0)</f>
        <v>#N/A</v>
      </c>
      <c r="AD197" s="58" t="str">
        <f t="shared" si="153"/>
        <v>0308-14</v>
      </c>
      <c r="AE197" s="87" t="str">
        <f t="shared" si="143"/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AF197" s="84" t="str">
        <f t="shared" si="144"/>
        <v>"C:\Program Files (x86)\AstroGrep\AstroGrep.exe" /spath="%USERPROFILE%\AppData\Local\Temp\OnboardLogs" /stypes="app*4028*20170114*" /stext=" 11:.+((SYSTEM_STATE.+slice.+state.+changed )|(ment ac)|(multiple cpu faults)|(system.+state.+changed )|(\[timeout)|(PRM\|1\|D)|(kpr)|(kdp)|(\|lc)|(penalty))" /e /r /s</v>
      </c>
      <c r="AG197" s="1" t="str">
        <f t="shared" si="154"/>
        <v>Other</v>
      </c>
      <c r="AH197" s="88" t="str">
        <f t="shared" si="108"/>
        <v>"%USERPROFILE%\Documents\GitHub\eaglep3\Utilities\RefineRTDCRunTimes.py" --tripid 308-14 --locoid 4028 --swversion DE.1.0.8.0 --startMP 300:23406 --initTime 2017-01-14T04:13:08 --startdatetime 2017-01-14T04:14:55 --delay 1 --endMP 204:145 --enddatetime 2017-01-14T04:25:44 --enforcementcount 0 &gt;&gt;C:\Users\stu\Documents\GitHub\eaglep3-reporting\EC\2017-01-14-refined-times.txt</v>
      </c>
      <c r="AI197" s="115" t="str">
        <f t="shared" si="109"/>
        <v>echo {"issue":{"subject":"","project_id":79,"tracker_id":40,"status_id":1,"priority_id":2,"assigned_to_id":23,"start_date":"2017-01-14","description":"","custom_fields":[{"id":1,"name":"Subdivision","value":"Other"},{"id":4,"name":"Milepost","value":"0.0145"},{"id":17,"name":"Train ID","value":"308-14"},{"id":16,"name":"Locomotive ID","value":"4028"},{"id":130,"name":"Impact","value":""},{"id":150,"name":"Time of Event (Mountain Time)","value":"04:25:44"},{"id":151,"name":"Denver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110"/>
        <v>start /low /b %USERPROFILE%\Documents\GitHub\eaglep3\Utilities\DownloadLogsFromS3.py --loco 4028 --day 2017-01-14</v>
      </c>
      <c r="AN197" s="189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"%USERPROFILE%\AppData\Local\Temp\OnboardLogs"\RTDC4028\*4028*20170114* | grep -SE "(Enforcement Action)|(\[TIMEOUT)|(CHR.+\|PRM\|1\|D.+(SWITCH|SIGNAL).+UNKNOWN)" - &gt;&gt; 2017-01-14-UncaughtWiMAX.txt</v>
      </c>
    </row>
    <row r="198" spans="1:91" s="21" customFormat="1" x14ac:dyDescent="0.25">
      <c r="A198" s="34" t="s">
        <v>474</v>
      </c>
      <c r="B198" s="7">
        <v>4021</v>
      </c>
      <c r="C198" s="22" t="s">
        <v>201</v>
      </c>
      <c r="D198" s="22" t="s">
        <v>758</v>
      </c>
      <c r="E198" s="13">
        <v>42749.178020833337</v>
      </c>
      <c r="F198" s="13">
        <v>42749.181087962963</v>
      </c>
      <c r="G198" s="7">
        <v>4</v>
      </c>
      <c r="H198" s="22" t="s">
        <v>240</v>
      </c>
      <c r="I198" s="13">
        <v>42749.191331018519</v>
      </c>
      <c r="J198" s="7">
        <v>0</v>
      </c>
      <c r="K198" s="105" t="str">
        <f t="shared" si="145"/>
        <v>4021/4022</v>
      </c>
      <c r="L198" s="22" t="str">
        <f>VLOOKUP(A198,'Trips&amp;Operators'!$C$1:$G$99999,5,FALSE)</f>
        <v>OUN ZACK</v>
      </c>
      <c r="M198" s="6">
        <f t="shared" si="146"/>
        <v>1.0243055556202307E-2</v>
      </c>
      <c r="N198" s="7">
        <f t="shared" si="141"/>
        <v>14.750000000931323</v>
      </c>
      <c r="O198" s="7"/>
      <c r="P198" s="7"/>
      <c r="Q198" s="23"/>
      <c r="R198" s="23"/>
      <c r="S198" s="32">
        <f t="shared" si="147"/>
        <v>1</v>
      </c>
      <c r="T198" s="47" t="str">
        <f t="shared" si="148"/>
        <v>Southbound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03:16:21-700',mode:absolute,to:'2017-01-14 05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98" s="49" t="str">
        <f t="shared" si="149"/>
        <v>Y</v>
      </c>
      <c r="X198" s="173">
        <f t="shared" si="142"/>
        <v>2</v>
      </c>
      <c r="Y198" s="64">
        <f t="shared" si="150"/>
        <v>2.3186</v>
      </c>
      <c r="Z198" s="64">
        <f t="shared" si="151"/>
        <v>1.3899999999999999E-2</v>
      </c>
      <c r="AA198" s="64">
        <f t="shared" si="152"/>
        <v>2.3047</v>
      </c>
      <c r="AB198" s="61" t="e">
        <f>VLOOKUP(A198,Enforcements!$C$7:$K$15,8,0)</f>
        <v>#N/A</v>
      </c>
      <c r="AC198" s="57" t="e">
        <f>VLOOKUP(A198,Enforcements!$C$7:$E$15,3,0)</f>
        <v>#N/A</v>
      </c>
      <c r="AD198" s="58" t="str">
        <f t="shared" si="153"/>
        <v>0310-14</v>
      </c>
      <c r="AE198" s="87" t="str">
        <f t="shared" si="143"/>
        <v>aws s3 cp s3://rtdc.mdm.uploadarchive.raw/RTDC4021/ "%USERPROFILE%\AppData\Local\Temp\OnboardLogs"\RTDC4021\2017-01-14 --exclude "*" --recursive --include "*20170114*" &amp; "%USERPROFILE%\Documents\GitHub\mrs-test-scripts\Headless Mode &amp; Sideloading\WalkAndUnGZ.bat" "%USERPROFILE%\AppData\Local\Temp\OnboardLogs"\RTDC4021\2017-01-14 &amp; aws s3 cp s3://rtdc.mdm.uploadarchive.raw/RTDC4021/ "%USERPROFILE%\AppData\Local\Temp\OnboardLogs"\RTDC4021\2017-01-15 --exclude "*" --recursive --include "*20170115*" &amp; "%USERPROFILE%\Documents\GitHub\mrs-test-scripts\Headless Mode &amp; Sideloading\WalkAndUnGZ.bat" "%USERPROFILE%\AppData\Local\Temp\OnboardLogs"\RTDC4021\2017-01-15</v>
      </c>
      <c r="AF198" s="84" t="str">
        <f t="shared" si="144"/>
        <v>"C:\Program Files (x86)\AstroGrep\AstroGrep.exe" /spath="%USERPROFILE%\AppData\Local\Temp\OnboardLogs" /stypes="app*4021*20170114*" /stext=" 11:.+((SYSTEM_STATE.+slice.+state.+changed )|(ment ac)|(multiple cpu faults)|(system.+state.+changed )|(\[timeout)|(PRM\|1\|D)|(kpr)|(kdp)|(\|lc)|(penalty))" /e /r /s</v>
      </c>
      <c r="AG198" s="1" t="str">
        <f t="shared" si="154"/>
        <v>Other</v>
      </c>
      <c r="AH198" s="88" t="str">
        <f t="shared" si="108"/>
        <v>"%USERPROFILE%\Documents\GitHub\eaglep3\Utilities\RefineRTDCRunTimes.py" --tripid 310-14 --locoid 4021 --swversion DE.1.0.8.0 --startMP 300:23186 --initTime 2017-01-14T04:16:21 --startdatetime 2017-01-14T04:20:46 --delay 4 --endMP 204:139 --enddatetime 2017-01-14T04:35:31 --enforcementcount 0 &gt;&gt;C:\Users\stu\Documents\GitHub\eaglep3-reporting\EC\2017-01-14-refined-times.txt</v>
      </c>
      <c r="AI198" s="115" t="str">
        <f t="shared" si="109"/>
        <v>echo {"issue":{"subject":"","project_id":79,"tracker_id":40,"status_id":1,"priority_id":2,"assigned_to_id":23,"start_date":"2017-01-14","description":"","custom_fields":[{"id":1,"name":"Subdivision","value":"Other"},{"id":4,"name":"Milepost","value":"0.0139"},{"id":17,"name":"Train ID","value":"310-14"},{"id":16,"name":"Locomotive ID","value":"4021"},{"id":130,"name":"Impact","value":""},{"id":150,"name":"Time of Event (Mountain Time)","value":"04:35:31"},{"id":151,"name":"Denver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110"/>
        <v>start /low /b %USERPROFILE%\Documents\GitHub\eaglep3\Utilities\DownloadLogsFromS3.py --loco 4021 --day 2017-01-14</v>
      </c>
      <c r="AN198" s="189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"%USERPROFILE%\AppData\Local\Temp\OnboardLogs"\RTDC4021\*4021*20170114* | grep -SE "(Enforcement Action)|(\[TIMEOUT)|(CHR.+\|PRM\|1\|D.+(SWITCH|SIGNAL).+UNKNOWN)" - &gt;&gt; 2017-01-14-UncaughtWiMAX.txt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4" t="s">
        <v>463</v>
      </c>
      <c r="B199" s="7">
        <v>4040</v>
      </c>
      <c r="C199" s="22" t="s">
        <v>201</v>
      </c>
      <c r="D199" s="22" t="s">
        <v>759</v>
      </c>
      <c r="E199" s="13">
        <v>42749.090416666666</v>
      </c>
      <c r="F199" s="13">
        <v>25568.708333333332</v>
      </c>
      <c r="G199" s="7">
        <v>1</v>
      </c>
      <c r="H199" s="22" t="s">
        <v>760</v>
      </c>
      <c r="I199" s="13">
        <v>25568.708333333332</v>
      </c>
      <c r="J199" s="7">
        <v>0</v>
      </c>
      <c r="K199" s="105" t="str">
        <f t="shared" si="145"/>
        <v>4039/4040</v>
      </c>
      <c r="L199" s="22" t="str">
        <f>VLOOKUP(A199,'Trips&amp;Operators'!$C$1:$G$99999,5,FALSE)</f>
        <v>HILLS DUSTIN</v>
      </c>
      <c r="M199" s="6">
        <f t="shared" si="146"/>
        <v>0</v>
      </c>
      <c r="N199" s="7">
        <f t="shared" si="141"/>
        <v>0</v>
      </c>
      <c r="O199" s="7"/>
      <c r="P199" s="7"/>
      <c r="Q199" s="23"/>
      <c r="R199" s="23"/>
      <c r="S199" s="32">
        <f t="shared" si="147"/>
        <v>1</v>
      </c>
      <c r="T199" s="47" t="str">
        <f t="shared" si="148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01:10:12-700',mode:absolute,to:'1969-12-31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99" s="49" t="str">
        <f t="shared" si="149"/>
        <v>Y</v>
      </c>
      <c r="X199" s="173">
        <f t="shared" si="142"/>
        <v>3</v>
      </c>
      <c r="Y199" s="64">
        <f t="shared" si="150"/>
        <v>3.8399999999999997E-2</v>
      </c>
      <c r="Z199" s="64">
        <f t="shared" si="151"/>
        <v>2.3317999999999999</v>
      </c>
      <c r="AA199" s="64">
        <f t="shared" si="152"/>
        <v>2.2933999999999997</v>
      </c>
      <c r="AB199" s="61" t="e">
        <f>VLOOKUP(A199,Enforcements!$C$7:$K$15,8,0)</f>
        <v>#N/A</v>
      </c>
      <c r="AC199" s="57" t="e">
        <f>VLOOKUP(A199,Enforcements!$C$7:$E$15,3,0)</f>
        <v>#N/A</v>
      </c>
      <c r="AD199" s="58" t="str">
        <f t="shared" si="153"/>
        <v>0313-13</v>
      </c>
      <c r="AE199" s="87" t="str">
        <f t="shared" si="143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199" s="84" t="str">
        <f t="shared" si="144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199" s="1" t="str">
        <f t="shared" si="154"/>
        <v>Other</v>
      </c>
      <c r="AH199" s="88" t="str">
        <f t="shared" si="108"/>
        <v>"%USERPROFILE%\Documents\GitHub\eaglep3\Utilities\RefineRTDCRunTimes.py" --tripid 313-13 --locoid 4040 --swversion DE.1.0.8.0 --startMP 204:384 --initTime 2017-01-14T02:10:12 --startdatetime 1969-12-31T17:00:00 --delay 1 --endMP 300:23318 --enddatetime 1969-12-31T17:00:00 --enforcementcount 0 &gt;&gt;C:\Users\stu\Documents\GitHub\eaglep3-reporting\EC\2017-01-14-refined-times.txt</v>
      </c>
      <c r="AI199" s="115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{"issue":{"subject":"","project_id":79,"tracker_id":40,"status_id":1,"priority_id":2,"assigned_to_id":23,"start_date":"1969-12-31","description":"","custom_fields":[{"id":1,"name":"Subdivision","value":"Other"},{"id":4,"name":"Milepost","value":"2.3318"},{"id":17,"name":"Train ID","value":"313-13"},{"id":16,"name":"Locomotive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110"/>
        <v>start /low /b %USERPROFILE%\Documents\GitHub\eaglep3\Utilities\DownloadLogsFromS3.py --loco 4040 --day 1969-12-31</v>
      </c>
      <c r="AN199" s="189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2017-01-14-UncaughtWiMAX.txt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4" t="s">
        <v>480</v>
      </c>
      <c r="B200" s="7">
        <v>4046</v>
      </c>
      <c r="C200" s="22" t="s">
        <v>201</v>
      </c>
      <c r="D200" s="22" t="s">
        <v>727</v>
      </c>
      <c r="E200" s="13">
        <v>42749.223194444443</v>
      </c>
      <c r="F200" s="13">
        <v>42749.224618055552</v>
      </c>
      <c r="G200" s="7">
        <v>1</v>
      </c>
      <c r="H200" s="22" t="s">
        <v>721</v>
      </c>
      <c r="I200" s="13">
        <v>42749.230567129627</v>
      </c>
      <c r="J200" s="7">
        <v>0</v>
      </c>
      <c r="K200" s="105" t="str">
        <f t="shared" si="145"/>
        <v>4045/4046</v>
      </c>
      <c r="L200" s="22" t="str">
        <f>VLOOKUP(A200,'Trips&amp;Operators'!$C$1:$G$99999,5,FALSE)</f>
        <v>SHOOK JOHN</v>
      </c>
      <c r="M200" s="6">
        <f t="shared" si="146"/>
        <v>5.9490740750334226E-3</v>
      </c>
      <c r="N200" s="7">
        <f t="shared" si="141"/>
        <v>8.5666666680481285</v>
      </c>
      <c r="O200" s="7"/>
      <c r="P200" s="7"/>
      <c r="Q200" s="23"/>
      <c r="R200" s="23"/>
      <c r="S200" s="32">
        <f t="shared" si="147"/>
        <v>0</v>
      </c>
      <c r="T200" s="47" t="str">
        <f t="shared" si="148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04:21:24-700',mode:absolute,to:'2017-01-14 06:32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200" s="49" t="str">
        <f t="shared" si="149"/>
        <v>Y</v>
      </c>
      <c r="X200" s="173">
        <f t="shared" si="142"/>
        <v>1588</v>
      </c>
      <c r="Y200" s="64">
        <f t="shared" si="150"/>
        <v>3.0057</v>
      </c>
      <c r="Z200" s="64">
        <f t="shared" si="151"/>
        <v>5.8998999999999997</v>
      </c>
      <c r="AA200" s="64">
        <f t="shared" si="152"/>
        <v>2.8941999999999997</v>
      </c>
      <c r="AB200" s="61" t="e">
        <f>VLOOKUP(A200,Enforcements!$C$7:$K$15,8,0)</f>
        <v>#N/A</v>
      </c>
      <c r="AC200" s="57" t="e">
        <f>VLOOKUP(A200,Enforcements!$C$7:$E$15,3,0)</f>
        <v>#N/A</v>
      </c>
      <c r="AD200" s="58" t="str">
        <f t="shared" si="153"/>
        <v>1901-14</v>
      </c>
      <c r="AE200" s="87" t="str">
        <f t="shared" si="143"/>
        <v>aws s3 cp s3://rtdc.mdm.uploadarchive.raw/RTDC4046/ "%USERPROFILE%\AppData\Local\Temp\OnboardLogs"\RTDC4046\2017-01-14 --exclude "*" --recursive --include "*20170114*" &amp; "%USERPROFILE%\Documents\GitHub\mrs-test-scripts\Headless Mode &amp; Sideloading\WalkAndUnGZ.bat" "%USERPROFILE%\AppData\Local\Temp\OnboardLogs"\RTDC4046\2017-01-14 &amp; aws s3 cp s3://rtdc.mdm.uploadarchive.raw/RTDC4046/ "%USERPROFILE%\AppData\Local\Temp\OnboardLogs"\RTDC4046\2017-01-15 --exclude "*" --recursive --include "*20170115*" &amp; "%USERPROFILE%\Documents\GitHub\mrs-test-scripts\Headless Mode &amp; Sideloading\WalkAndUnGZ.bat" "%USERPROFILE%\AppData\Local\Temp\OnboardLogs"\RTDC4046\2017-01-15</v>
      </c>
      <c r="AF200" s="84" t="str">
        <f t="shared" si="144"/>
        <v>"C:\Program Files (x86)\AstroGrep\AstroGrep.exe" /spath="%USERPROFILE%\AppData\Local\Temp\OnboardLogs" /stypes="app*4046*20170114*" /stext=" 12:.+((SYSTEM_STATE.+slice.+state.+changed )|(ment ac)|(multiple cpu faults)|(system.+state.+changed )|(\[timeout)|(PRM\|1\|D)|(kpr)|(kdp)|(\|lc)|(penalty))" /e /r /s</v>
      </c>
      <c r="AG200" s="1" t="str">
        <f t="shared" si="154"/>
        <v>Other</v>
      </c>
      <c r="AH200" s="88" t="str">
        <f t="shared" si="108"/>
        <v>"%USERPROFILE%\Documents\GitHub\eaglep3\Utilities\RefineRTDCRunTimes.py" --tripid 1901-14 --locoid 4046 --swversion DE.1.0.8.0 --startMP 300:30057 --initTime 2017-01-14T05:21:24 --startdatetime 2017-01-14T05:23:27 --delay 1 --endMP 300:58999 --enddatetime 2017-01-14T05:32:01 --enforcementcount 0 &gt;&gt;C:\Users\stu\Documents\GitHub\eaglep3-reporting\EC\2017-01-14-refined-times.txt</v>
      </c>
      <c r="AI200" s="115" t="str">
        <f t="shared" si="109"/>
        <v>echo {"issue":{"subject":"","project_id":79,"tracker_id":40,"status_id":1,"priority_id":2,"assigned_to_id":23,"start_date":"2017-01-14","description":"","custom_fields":[{"id":1,"name":"Subdivision","value":"Other"},{"id":4,"name":"Milepost","value":"5.8999"},{"id":17,"name":"Train ID","value":"1901-14"},{"id":16,"name":"Locomotive ID","value":"4046"},{"id":130,"name":"Impact","value":""},{"id":150,"name":"Time of Event (Mountain Time)","value":"05:32:01"},{"id":151,"name":"Denver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110"/>
        <v>start /low /b %USERPROFILE%\Documents\GitHub\eaglep3\Utilities\DownloadLogsFromS3.py --loco 4046 --day 2017-01-14</v>
      </c>
      <c r="AN200" s="189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"%USERPROFILE%\AppData\Local\Temp\OnboardLogs"\RTDC4046\*4046*20170114* | grep -SE "(Enforcement Action)|(\[TIMEOUT)|(CHR.+\|PRM\|1\|D.+(SWITCH|SIGNAL).+UNKNOWN)" - &gt;&gt; 2017-01-14-UncaughtWiMAX.txt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4" t="s">
        <v>642</v>
      </c>
      <c r="B201" s="7">
        <v>4045</v>
      </c>
      <c r="C201" s="22" t="s">
        <v>201</v>
      </c>
      <c r="D201" s="22" t="s">
        <v>325</v>
      </c>
      <c r="E201" s="13">
        <v>42749.944386574076</v>
      </c>
      <c r="F201" s="13">
        <v>42749.946157407408</v>
      </c>
      <c r="G201" s="7">
        <v>1</v>
      </c>
      <c r="H201" s="22" t="s">
        <v>728</v>
      </c>
      <c r="I201" s="13">
        <v>42749.95144675926</v>
      </c>
      <c r="J201" s="7">
        <v>0</v>
      </c>
      <c r="K201" s="105" t="str">
        <f t="shared" si="145"/>
        <v>4045/4046</v>
      </c>
      <c r="L201" s="22" t="str">
        <f>VLOOKUP(A201,'Trips&amp;Operators'!$C$1:$G$99999,5,FALSE)</f>
        <v>MCREYNOLDS KYLE</v>
      </c>
      <c r="M201" s="6">
        <f t="shared" si="146"/>
        <v>5.2893518513883464E-3</v>
      </c>
      <c r="N201" s="7">
        <f t="shared" si="141"/>
        <v>7.6166666659992188</v>
      </c>
      <c r="O201" s="7"/>
      <c r="P201" s="7"/>
      <c r="Q201" s="23"/>
      <c r="R201" s="23"/>
      <c r="S201" s="32">
        <f t="shared" si="147"/>
        <v>0</v>
      </c>
      <c r="T201" s="47" t="str">
        <f t="shared" si="148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21:39:55-700',mode:absolute,to:'2017-01-14 23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201" s="49" t="str">
        <f t="shared" si="149"/>
        <v>Y</v>
      </c>
      <c r="X201" s="173">
        <f t="shared" si="142"/>
        <v>1</v>
      </c>
      <c r="Y201" s="64">
        <f t="shared" si="150"/>
        <v>5.8625999999999996</v>
      </c>
      <c r="Z201" s="64">
        <f t="shared" si="151"/>
        <v>2.1774</v>
      </c>
      <c r="AA201" s="64">
        <f t="shared" si="152"/>
        <v>3.6851999999999996</v>
      </c>
      <c r="AB201" s="61" t="e">
        <f>VLOOKUP(A201,Enforcements!$C$7:$K$15,8,0)</f>
        <v>#N/A</v>
      </c>
      <c r="AC201" s="57" t="e">
        <f>VLOOKUP(A201,Enforcements!$C$7:$E$15,3,0)</f>
        <v>#N/A</v>
      </c>
      <c r="AD201" s="58" t="str">
        <f t="shared" si="153"/>
        <v>1902-14</v>
      </c>
      <c r="AE201" s="87" t="str">
        <f t="shared" si="143"/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AF201" s="84" t="str">
        <f t="shared" si="144"/>
        <v>"C:\Program Files (x86)\AstroGrep\AstroGrep.exe" /spath="%USERPROFILE%\AppData\Local\Temp\OnboardLogs" /stypes="app*4045*20170115*" /stext=" 05:.+((SYSTEM_STATE.+slice.+state.+changed )|(ment ac)|(multiple cpu faults)|(system.+state.+changed )|(\[timeout)|(PRM\|1\|D)|(kpr)|(kdp)|(\|lc)|(penalty))" /e /r /s</v>
      </c>
      <c r="AG201" s="1" t="str">
        <f t="shared" si="154"/>
        <v>Other</v>
      </c>
      <c r="AH201" s="88" t="str">
        <f t="shared" si="108"/>
        <v>"%USERPROFILE%\Documents\GitHub\eaglep3\Utilities\RefineRTDCRunTimes.py" --tripid 1902-14 --locoid 4045 --swversion DE.1.0.8.0 --startMP 300:58626 --initTime 2017-01-14T22:39:55 --startdatetime 2017-01-14T22:42:28 --delay 1 --endMP 300:21774 --enddatetime 2017-01-14T22:50:05 --enforcementcount 0 &gt;&gt;C:\Users\stu\Documents\GitHub\eaglep3-reporting\EC\2017-01-14-refined-times.txt</v>
      </c>
      <c r="AI201" s="115" t="str">
        <f t="shared" si="109"/>
        <v>echo {"issue":{"subject":"","project_id":79,"tracker_id":40,"status_id":1,"priority_id":2,"assigned_to_id":23,"start_date":"2017-01-14","description":"","custom_fields":[{"id":1,"name":"Subdivision","value":"Other"},{"id":4,"name":"Milepost","value":"2.1774"},{"id":17,"name":"Train ID","value":"1902-14"},{"id":16,"name":"Locomotive ID","value":"4045"},{"id":130,"name":"Impact","value":""},{"id":150,"name":"Time of Event (Mountain Time)","value":"22:50:05"},{"id":151,"name":"Denver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110"/>
        <v>start /low /b %USERPROFILE%\Documents\GitHub\eaglep3\Utilities\DownloadLogsFromS3.py --loco 4045 --day 2017-01-14</v>
      </c>
      <c r="AN201" s="189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"%USERPROFILE%\AppData\Local\Temp\OnboardLogs"\RTDC4045\*4045*20170115* | grep -SE "(Enforcement Action)|(\[TIMEOUT)|(CHR.+\|PRM\|1\|D.+(SWITCH|SIGNAL).+UNKNOWN)" - &gt;&gt; 2017-01-14-UncaughtWiMAX.txt</v>
      </c>
    </row>
    <row r="202" spans="1:91" x14ac:dyDescent="0.25">
      <c r="A202" s="34" t="s">
        <v>525</v>
      </c>
      <c r="B202" s="7">
        <v>4008</v>
      </c>
      <c r="C202" s="22" t="s">
        <v>201</v>
      </c>
      <c r="D202" s="22" t="s">
        <v>761</v>
      </c>
      <c r="E202" s="13">
        <v>42749.416134259256</v>
      </c>
      <c r="F202" s="13">
        <v>42749.417500000003</v>
      </c>
      <c r="G202" s="7">
        <v>1</v>
      </c>
      <c r="H202" s="22" t="s">
        <v>321</v>
      </c>
      <c r="I202" s="13">
        <v>42749.423877314817</v>
      </c>
      <c r="J202" s="7">
        <v>0</v>
      </c>
      <c r="K202" s="105" t="str">
        <f t="shared" si="145"/>
        <v>4007/4008</v>
      </c>
      <c r="L202" s="22" t="str">
        <f>VLOOKUP(A202,'Trips&amp;Operators'!$C$1:$G$99999,5,FALSE)</f>
        <v>BRANDNER MELINDA</v>
      </c>
      <c r="M202" s="6">
        <f t="shared" si="146"/>
        <v>6.3773148140171543E-3</v>
      </c>
      <c r="N202" s="7">
        <f t="shared" si="141"/>
        <v>9.1833333321847022</v>
      </c>
      <c r="O202" s="7"/>
      <c r="P202" s="7"/>
      <c r="Q202" s="23"/>
      <c r="R202" s="23"/>
      <c r="S202" s="32">
        <f t="shared" si="147"/>
        <v>0</v>
      </c>
      <c r="T202" s="47" t="e">
        <f t="shared" si="148"/>
        <v>#VALUE!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08:59:14-700',mode:absolute,to:'2017-01-14 11:10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202" s="49" t="str">
        <f t="shared" si="149"/>
        <v>Y</v>
      </c>
      <c r="X202" s="173" t="e">
        <f t="shared" si="142"/>
        <v>#VALUE!</v>
      </c>
      <c r="Y202" s="64">
        <f t="shared" si="150"/>
        <v>2.2006999999999999</v>
      </c>
      <c r="Z202" s="64">
        <f t="shared" si="151"/>
        <v>1.29E-2</v>
      </c>
      <c r="AA202" s="64">
        <f t="shared" si="152"/>
        <v>2.1877999999999997</v>
      </c>
      <c r="AB202" s="61" t="e">
        <f>VLOOKUP(A202,Enforcements!$C$7:$K$15,8,0)</f>
        <v>#N/A</v>
      </c>
      <c r="AC202" s="57" t="e">
        <f>VLOOKUP(A202,Enforcements!$C$7:$E$15,3,0)</f>
        <v>#N/A</v>
      </c>
      <c r="AD202" s="58" t="str">
        <f t="shared" si="153"/>
        <v>50-14</v>
      </c>
      <c r="AE202" s="87" t="str">
        <f t="shared" si="143"/>
        <v>aws s3 cp s3://rtdc.mdm.uploadarchive.raw/RTDC4008/ "%USERPROFILE%\AppData\Local\Temp\OnboardLogs"\RTDC4008\2017-01-14 --exclude "*" --recursive --include "*20170114*" &amp; "%USERPROFILE%\Documents\GitHub\mrs-test-scripts\Headless Mode &amp; Sideloading\WalkAndUnGZ.bat" "%USERPROFILE%\AppData\Local\Temp\OnboardLogs"\RTDC4008\2017-01-14 &amp; aws s3 cp s3://rtdc.mdm.uploadarchive.raw/RTDC4008/ "%USERPROFILE%\AppData\Local\Temp\OnboardLogs"\RTDC4008\2017-01-15 --exclude "*" --recursive --include "*20170115*" &amp; "%USERPROFILE%\Documents\GitHub\mrs-test-scripts\Headless Mode &amp; Sideloading\WalkAndUnGZ.bat" "%USERPROFILE%\AppData\Local\Temp\OnboardLogs"\RTDC4008\2017-01-15</v>
      </c>
      <c r="AF202" s="84" t="str">
        <f t="shared" si="144"/>
        <v>"C:\Program Files (x86)\AstroGrep\AstroGrep.exe" /spath="%USERPROFILE%\AppData\Local\Temp\OnboardLogs" /stypes="app*4008*20170114*" /stext=" 17:.+((SYSTEM_STATE.+slice.+state.+changed )|(ment ac)|(multiple cpu faults)|(system.+state.+changed )|(\[timeout)|(PRM\|1\|D)|(kpr)|(kdp)|(\|lc)|(penalty))" /e /r /s</v>
      </c>
      <c r="AG202" s="1" t="str">
        <f t="shared" si="154"/>
        <v>Other</v>
      </c>
      <c r="AH202" s="88" t="str">
        <f t="shared" si="108"/>
        <v>"%USERPROFILE%\Documents\GitHub\eaglep3\Utilities\RefineRTDCRunTimes.py" --tripid 50-14 --locoid 4008 --swversion DE.1.0.8.0 --startMP 300:22007 --initTime 2017-01-14T09:59:14 --startdatetime 2017-01-14T10:01:12 --delay 1 --endMP 204:129 --enddatetime 2017-01-14T10:10:23 --enforcementcount 0 &gt;&gt;C:\Users\stu\Documents\GitHub\eaglep3-reporting\EC\2017-01-14-refined-times.txt</v>
      </c>
      <c r="AI202" s="115" t="str">
        <f t="shared" si="109"/>
        <v>echo {"issue":{"subject":"","project_id":79,"tracker_id":40,"status_id":1,"priority_id":2,"assigned_to_id":23,"start_date":"2017-01-14","description":"","custom_fields":[{"id":1,"name":"Subdivision","value":"Other"},{"id":4,"name":"Milepost","value":"0.0129"},{"id":17,"name":"Train ID","value":"50-14"},{"id":16,"name":"Locomotive ID","value":"4008"},{"id":130,"name":"Impact","value":""},{"id":150,"name":"Time of Event (Mountain Time)","value":"10:10:23"},{"id":151,"name":"Denver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110"/>
        <v>start /low /b %USERPROFILE%\Documents\GitHub\eaglep3\Utilities\DownloadLogsFromS3.py --loco 4008 --day 2017-01-14</v>
      </c>
      <c r="AN202" s="189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"%USERPROFILE%\AppData\Local\Temp\OnboardLogs"\RTDC4008\*4008*20170114* | grep -SE "(Enforcement Action)|(\[TIMEOUT)|(CHR.+\|PRM\|1\|D.+(SWITCH|SIGNAL).+UNKNOWN)" - &gt;&gt; 2017-01-14-UncaughtWiMAX.txt</v>
      </c>
    </row>
    <row r="203" spans="1:91" x14ac:dyDescent="0.25">
      <c r="A203" s="34" t="s">
        <v>533</v>
      </c>
      <c r="B203" s="7">
        <v>4007</v>
      </c>
      <c r="C203" s="22" t="s">
        <v>201</v>
      </c>
      <c r="D203" s="22" t="s">
        <v>762</v>
      </c>
      <c r="E203" s="13">
        <v>42749.434710648151</v>
      </c>
      <c r="F203" s="13">
        <v>42749.436064814814</v>
      </c>
      <c r="G203" s="7">
        <v>1</v>
      </c>
      <c r="H203" s="22" t="s">
        <v>763</v>
      </c>
      <c r="I203" s="13">
        <v>42749.50880787037</v>
      </c>
      <c r="J203" s="7">
        <v>0</v>
      </c>
      <c r="K203" s="105" t="str">
        <f t="shared" si="145"/>
        <v>4007/4008</v>
      </c>
      <c r="L203" s="22" t="str">
        <f>VLOOKUP(A203,'Trips&amp;Operators'!$C$1:$G$99999,5,FALSE)</f>
        <v>BEAM ROSS</v>
      </c>
      <c r="M203" s="6">
        <f t="shared" si="146"/>
        <v>7.2743055556202307E-2</v>
      </c>
      <c r="N203" s="7">
        <f t="shared" si="141"/>
        <v>104.75000000093132</v>
      </c>
      <c r="O203" s="7"/>
      <c r="P203" s="7"/>
      <c r="Q203" s="23"/>
      <c r="R203" s="23"/>
      <c r="S203" s="32">
        <f t="shared" si="147"/>
        <v>0</v>
      </c>
      <c r="T203" s="47" t="e">
        <f t="shared" si="148"/>
        <v>#VALUE!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09:25:59-700',mode:absolute,to:'2017-01-14 13:12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203" s="49" t="str">
        <f t="shared" si="149"/>
        <v>Y</v>
      </c>
      <c r="X203" s="173" t="e">
        <f t="shared" si="142"/>
        <v>#VALUE!</v>
      </c>
      <c r="Y203" s="64">
        <f t="shared" si="150"/>
        <v>4.5699999999999998E-2</v>
      </c>
      <c r="Z203" s="64">
        <f t="shared" si="151"/>
        <v>2.3302</v>
      </c>
      <c r="AA203" s="64">
        <f t="shared" si="152"/>
        <v>2.2845</v>
      </c>
      <c r="AB203" s="61" t="e">
        <f>VLOOKUP(A203,Enforcements!$C$7:$K$15,8,0)</f>
        <v>#N/A</v>
      </c>
      <c r="AC203" s="57" t="e">
        <f>VLOOKUP(A203,Enforcements!$C$7:$E$15,3,0)</f>
        <v>#N/A</v>
      </c>
      <c r="AD203" s="58" t="str">
        <f t="shared" si="153"/>
        <v>51-14</v>
      </c>
      <c r="AE203" s="87" t="str">
        <f t="shared" si="143"/>
        <v>aws s3 cp s3://rtdc.mdm.uploadarchive.raw/RTDC4007/ "%USERPROFILE%\AppData\Local\Temp\OnboardLogs"\RTDC4007\2017-01-14 --exclude "*" --recursive --include "*20170114*" &amp; "%USERPROFILE%\Documents\GitHub\mrs-test-scripts\Headless Mode &amp; Sideloading\WalkAndUnGZ.bat" "%USERPROFILE%\AppData\Local\Temp\OnboardLogs"\RTDC4007\2017-01-14 &amp; aws s3 cp s3://rtdc.mdm.uploadarchive.raw/RTDC4007/ "%USERPROFILE%\AppData\Local\Temp\OnboardLogs"\RTDC4007\2017-01-15 --exclude "*" --recursive --include "*20170115*" &amp; "%USERPROFILE%\Documents\GitHub\mrs-test-scripts\Headless Mode &amp; Sideloading\WalkAndUnGZ.bat" "%USERPROFILE%\AppData\Local\Temp\OnboardLogs"\RTDC4007\2017-01-15</v>
      </c>
      <c r="AF203" s="84" t="str">
        <f t="shared" si="144"/>
        <v>"C:\Program Files (x86)\AstroGrep\AstroGrep.exe" /spath="%USERPROFILE%\AppData\Local\Temp\OnboardLogs" /stypes="app*4007*20170114*" /stext=" 19:.+((SYSTEM_STATE.+slice.+state.+changed )|(ment ac)|(multiple cpu faults)|(system.+state.+changed )|(\[timeout)|(PRM\|1\|D)|(kpr)|(kdp)|(\|lc)|(penalty))" /e /r /s</v>
      </c>
      <c r="AG203" s="1" t="str">
        <f t="shared" si="154"/>
        <v>Other</v>
      </c>
      <c r="AH203" s="88" t="str">
        <f t="shared" si="108"/>
        <v>"%USERPROFILE%\Documents\GitHub\eaglep3\Utilities\RefineRTDCRunTimes.py" --tripid 51-14 --locoid 4007 --swversion DE.1.0.8.0 --startMP 204:457 --initTime 2017-01-14T10:25:59 --startdatetime 2017-01-14T10:27:56 --delay 1 --endMP 300:23302 --enddatetime 2017-01-14T12:12:41 --enforcementcount 0 &gt;&gt;C:\Users\stu\Documents\GitHub\eaglep3-reporting\EC\2017-01-14-refined-times.txt</v>
      </c>
      <c r="AI203" s="115" t="str">
        <f t="shared" si="109"/>
        <v>echo {"issue":{"subject":"","project_id":79,"tracker_id":40,"status_id":1,"priority_id":2,"assigned_to_id":23,"start_date":"2017-01-14","description":"","custom_fields":[{"id":1,"name":"Subdivision","value":"Other"},{"id":4,"name":"Milepost","value":"2.3302"},{"id":17,"name":"Train ID","value":"51-14"},{"id":16,"name":"Locomotive ID","value":"4007"},{"id":130,"name":"Impact","value":""},{"id":150,"name":"Time of Event (Mountain Time)","value":"12:12:41"},{"id":151,"name":"Denver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110"/>
        <v>start /low /b %USERPROFILE%\Documents\GitHub\eaglep3\Utilities\DownloadLogsFromS3.py --loco 4007 --day 2017-01-14</v>
      </c>
      <c r="AN203" s="189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"%USERPROFILE%\AppData\Local\Temp\OnboardLogs"\RTDC4007\*4007*20170114* | grep -SE "(Enforcement Action)|(\[TIMEOUT)|(CHR.+\|PRM\|1\|D.+(SWITCH|SIGNAL).+UNKNOWN)" - &gt;&gt; 2017-01-14-UncaughtWiMAX.txt</v>
      </c>
    </row>
    <row r="204" spans="1:91" x14ac:dyDescent="0.25">
      <c r="A204" s="34" t="s">
        <v>538</v>
      </c>
      <c r="B204" s="7">
        <v>4052</v>
      </c>
      <c r="C204" s="22" t="s">
        <v>201</v>
      </c>
      <c r="D204" s="22" t="s">
        <v>764</v>
      </c>
      <c r="E204" s="13">
        <v>42749.454918981479</v>
      </c>
      <c r="F204" s="13">
        <v>42749.459097222221</v>
      </c>
      <c r="G204" s="7">
        <v>5</v>
      </c>
      <c r="H204" s="22">
        <v>8.5284722222222218</v>
      </c>
      <c r="I204" s="13">
        <v>42749.465555555558</v>
      </c>
      <c r="J204" s="7">
        <v>0</v>
      </c>
      <c r="K204" s="105" t="str">
        <f t="shared" si="145"/>
        <v>4051/4052</v>
      </c>
      <c r="L204" s="22" t="str">
        <f>VLOOKUP(A204,'Trips&amp;Operators'!$C$1:$G$99999,5,FALSE)</f>
        <v>BRUDER RICHARD</v>
      </c>
      <c r="M204" s="6">
        <f t="shared" si="146"/>
        <v>6.4583333369228058E-3</v>
      </c>
      <c r="N204" s="7">
        <f t="shared" si="141"/>
        <v>9.3000000051688403</v>
      </c>
      <c r="O204" s="7"/>
      <c r="P204" s="7"/>
      <c r="Q204" s="23"/>
      <c r="R204" s="23"/>
      <c r="S204" s="32">
        <f t="shared" si="147"/>
        <v>0</v>
      </c>
      <c r="T204" s="47" t="e">
        <f t="shared" si="148"/>
        <v>#VALUE!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09:55:05-700',mode:absolute,to:'2017-01-14 12:10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4052%22')),sort:!(Time,asc))</v>
      </c>
      <c r="W204" s="49" t="str">
        <f t="shared" si="149"/>
        <v>N</v>
      </c>
      <c r="X204" s="173" t="e">
        <f t="shared" si="142"/>
        <v>#VALUE!</v>
      </c>
      <c r="Y204" s="64">
        <f t="shared" si="150"/>
        <v>2.3347000000000002</v>
      </c>
      <c r="Z204" s="64">
        <f t="shared" si="151"/>
        <v>84722222.222200006</v>
      </c>
      <c r="AA204" s="64">
        <f t="shared" si="152"/>
        <v>84722219.887500003</v>
      </c>
      <c r="AB204" s="61" t="e">
        <f>VLOOKUP(A204,Enforcements!$C$7:$K$15,8,0)</f>
        <v>#N/A</v>
      </c>
      <c r="AC204" s="57" t="e">
        <f>VLOOKUP(A204,Enforcements!$C$7:$E$15,3,0)</f>
        <v>#N/A</v>
      </c>
      <c r="AD204" s="58" t="str">
        <f t="shared" si="153"/>
        <v>52-14</v>
      </c>
      <c r="AE204" s="87" t="str">
        <f t="shared" si="143"/>
        <v>aws s3 cp s3://rtdc.mdm.uploadarchive.raw/RTDC4052/ "%USERPROFILE%\AppData\Local\Temp\OnboardLogs"\RTDC4052\2017-01-14 --exclude "*" --recursive --include "*20170114*" &amp; "%USERPROFILE%\Documents\GitHub\mrs-test-scripts\Headless Mode &amp; Sideloading\WalkAndUnGZ.bat" "%USERPROFILE%\AppData\Local\Temp\OnboardLogs"\RTDC4052\2017-01-14 &amp; aws s3 cp s3://rtdc.mdm.uploadarchive.raw/RTDC4052/ "%USERPROFILE%\AppData\Local\Temp\OnboardLogs"\RTDC4052\2017-01-15 --exclude "*" --recursive --include "*20170115*" &amp; "%USERPROFILE%\Documents\GitHub\mrs-test-scripts\Headless Mode &amp; Sideloading\WalkAndUnGZ.bat" "%USERPROFILE%\AppData\Local\Temp\OnboardLogs"\RTDC4052\2017-01-15</v>
      </c>
      <c r="AF204" s="84" t="str">
        <f t="shared" si="144"/>
        <v>"C:\Program Files (x86)\AstroGrep\AstroGrep.exe" /spath="%USERPROFILE%\AppData\Local\Temp\OnboardLogs" /stypes="app*4052*20170114*" /stext=" 18:.+((SYSTEM_STATE.+slice.+state.+changed )|(ment ac)|(multiple cpu faults)|(system.+state.+changed )|(\[timeout)|(PRM\|1\|D)|(kpr)|(kdp)|(\|lc)|(penalty))" /e /r /s</v>
      </c>
      <c r="AG204" s="1" t="str">
        <f t="shared" si="154"/>
        <v>Other</v>
      </c>
      <c r="AH204" s="88" t="str">
        <f t="shared" si="108"/>
        <v>"%USERPROFILE%\Documents\GitHub\eaglep3\Utilities\RefineRTDCRunTimes.py" --tripid 52-14 --locoid 4052 --swversion DE.1.0.8.0 --startMP 300:23347 --initTime 2017-01-14T10:55:05 --startdatetime 2017-01-14T11:01:06 --delay 5 --endMP 8.52847222222222 --enddatetime 2017-01-14T11:10:24 --enforcementcount 0 &gt;&gt;C:\Users\stu\Documents\GitHub\eaglep3-reporting\EC\2017-01-14-refined-times.txt</v>
      </c>
      <c r="AI204" s="115" t="str">
        <f t="shared" si="109"/>
        <v>echo {"issue":{"subject":"","project_id":79,"tracker_id":40,"status_id":1,"priority_id":2,"assigned_to_id":23,"start_date":"2017-01-14","description":"","custom_fields":[{"id":1,"name":"Subdivision","value":"Other"},{"id":4,"name":"Milepost","value":"84722222.2222"},{"id":17,"name":"Train ID","value":"52-14"},{"id":16,"name":"Locomotive ID","value":"4052"},{"id":130,"name":"Impact","value":""},{"id":150,"name":"Time of Event (Mountain Time)","value":"11:10:24"},{"id":151,"name":"Denver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110"/>
        <v>start /low /b %USERPROFILE%\Documents\GitHub\eaglep3\Utilities\DownloadLogsFromS3.py --loco 4052 --day 2017-01-14</v>
      </c>
      <c r="AN204" s="189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"%USERPROFILE%\AppData\Local\Temp\OnboardLogs"\RTDC4052\*4052*20170114* | grep -SE "(Enforcement Action)|(\[TIMEOUT)|(CHR.+\|PRM\|1\|D.+(SWITCH|SIGNAL).+UNKNOWN)" - &gt;&gt; 2017-01-14-UncaughtWiMAX.txt</v>
      </c>
    </row>
    <row r="205" spans="1:91" x14ac:dyDescent="0.25">
      <c r="A205" s="34" t="s">
        <v>549</v>
      </c>
      <c r="B205" s="7">
        <v>4051</v>
      </c>
      <c r="C205" s="22" t="s">
        <v>201</v>
      </c>
      <c r="D205" s="22" t="s">
        <v>765</v>
      </c>
      <c r="E205" s="13">
        <v>42749.488981481481</v>
      </c>
      <c r="F205" s="13">
        <v>25568.708333333332</v>
      </c>
      <c r="G205" s="7">
        <v>1</v>
      </c>
      <c r="H205" s="22" t="s">
        <v>766</v>
      </c>
      <c r="I205" s="13">
        <v>25568.708333333332</v>
      </c>
      <c r="J205" s="7">
        <v>0</v>
      </c>
      <c r="K205" s="105" t="str">
        <f t="shared" si="145"/>
        <v>4051/4052</v>
      </c>
      <c r="L205" s="22" t="str">
        <f>VLOOKUP(A205,'Trips&amp;Operators'!$C$1:$G$99999,5,FALSE)</f>
        <v>OUN ZACK</v>
      </c>
      <c r="M205" s="6">
        <f t="shared" si="146"/>
        <v>0</v>
      </c>
      <c r="N205" s="7">
        <f t="shared" ref="N205:N222" si="155">24*60*SUM($M205:$M205)</f>
        <v>0</v>
      </c>
      <c r="O205" s="7"/>
      <c r="P205" s="7"/>
      <c r="Q205" s="23"/>
      <c r="R205" s="23"/>
      <c r="S205" s="32">
        <f t="shared" si="147"/>
        <v>0</v>
      </c>
      <c r="T205" s="47" t="e">
        <f t="shared" si="148"/>
        <v>#VALUE!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10:44:08-700',mode:absolute,to:'1969-12-31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4051%22')),sort:!(Time,asc))</v>
      </c>
      <c r="W205" s="49" t="str">
        <f t="shared" si="149"/>
        <v>Y</v>
      </c>
      <c r="X205" s="173" t="e">
        <f t="shared" ref="X205:X222" si="156">VALUE(LEFT(AD205,4))-VALUE(LEFT(AD204,4))</f>
        <v>#VALUE!</v>
      </c>
      <c r="Y205" s="64">
        <f t="shared" si="150"/>
        <v>3.39E-2</v>
      </c>
      <c r="Z205" s="64">
        <f t="shared" si="151"/>
        <v>2.4226000000000001</v>
      </c>
      <c r="AA205" s="64">
        <f t="shared" si="152"/>
        <v>2.3887</v>
      </c>
      <c r="AB205" s="61" t="e">
        <f>VLOOKUP(A205,Enforcements!$C$7:$K$15,8,0)</f>
        <v>#N/A</v>
      </c>
      <c r="AC205" s="57" t="e">
        <f>VLOOKUP(A205,Enforcements!$C$7:$E$15,3,0)</f>
        <v>#N/A</v>
      </c>
      <c r="AD205" s="58" t="str">
        <f t="shared" si="153"/>
        <v>53-14</v>
      </c>
      <c r="AE205" s="87" t="str">
        <f t="shared" si="143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5" s="84" t="str">
        <f t="shared" si="144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5" s="1" t="str">
        <f t="shared" si="154"/>
        <v>Other</v>
      </c>
      <c r="AH205" s="88" t="str">
        <f t="shared" si="108"/>
        <v>"%USERPROFILE%\Documents\GitHub\eaglep3\Utilities\RefineRTDCRunTimes.py" --tripid 53-14 --locoid 4051 --swversion DE.1.0.8.0 --startMP 204:339 --initTime 2017-01-14T11:44:08 --startdatetime 1969-12-31T17:00:00 --delay 1 --endMP 300:24226 --enddatetime 1969-12-31T17:00:00 --enforcementcount 0 &gt;&gt;C:\Users\stu\Documents\GitHub\eaglep3-reporting\EC\2017-01-14-refined-times.txt</v>
      </c>
      <c r="AI205" s="115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{"issue":{"subject":"","project_id":79,"tracker_id":40,"status_id":1,"priority_id":2,"assigned_to_id":23,"start_date":"1969-12-31","description":"","custom_fields":[{"id":1,"name":"Subdivision","value":"Other"},{"id":4,"name":"Milepost","value":"2.4226"},{"id":17,"name":"Train ID","value":"53-14"},{"id":16,"name":"Locomotive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110"/>
        <v>start /low /b %USERPROFILE%\Documents\GitHub\eaglep3\Utilities\DownloadLogsFromS3.py --loco 4051 --day 1969-12-31</v>
      </c>
      <c r="AN205" s="189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2017-01-14-UncaughtWiMAX.txt</v>
      </c>
    </row>
    <row r="206" spans="1:91" x14ac:dyDescent="0.25">
      <c r="A206" s="34" t="s">
        <v>553</v>
      </c>
      <c r="B206" s="7">
        <v>4007</v>
      </c>
      <c r="C206" s="22" t="s">
        <v>201</v>
      </c>
      <c r="D206" s="22" t="s">
        <v>767</v>
      </c>
      <c r="E206" s="13">
        <v>42749.502384259256</v>
      </c>
      <c r="F206" s="13">
        <v>25568.708333333332</v>
      </c>
      <c r="G206" s="7">
        <v>1</v>
      </c>
      <c r="H206" s="22" t="s">
        <v>768</v>
      </c>
      <c r="I206" s="13">
        <v>25568.708333333332</v>
      </c>
      <c r="J206" s="7">
        <v>0</v>
      </c>
      <c r="K206" s="105" t="str">
        <f t="shared" si="145"/>
        <v>4007/4008</v>
      </c>
      <c r="L206" s="22" t="str">
        <f>VLOOKUP(A206,'Trips&amp;Operators'!$C$1:$G$99999,5,FALSE)</f>
        <v>LOZA FIDEL</v>
      </c>
      <c r="M206" s="6">
        <f t="shared" si="146"/>
        <v>0</v>
      </c>
      <c r="N206" s="7">
        <f t="shared" si="155"/>
        <v>0</v>
      </c>
      <c r="O206" s="7"/>
      <c r="P206" s="7"/>
      <c r="Q206" s="23"/>
      <c r="R206" s="23"/>
      <c r="S206" s="32">
        <f t="shared" si="147"/>
        <v>0</v>
      </c>
      <c r="T206" s="47" t="e">
        <f t="shared" si="148"/>
        <v>#VALUE!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4" t="str">
        <f t="shared" si="111"/>
        <v>https://search-rtdc-monitor-bjffxe2xuh6vdkpspy63sjmuny.us-east-1.es.amazonaws.com/_plugin/kibana/#/discover/Steve-Slow-Train-Analysis-(2080s-and-2083s)?_g=(refreshInterval:(display:Off,section:0,value:0),time:(from:'2017-01-14 11:03:26-700',mode:absolute,to:'1969-12-31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206" s="49" t="str">
        <f t="shared" si="149"/>
        <v>Y</v>
      </c>
      <c r="X206" s="173" t="e">
        <f t="shared" si="156"/>
        <v>#VALUE!</v>
      </c>
      <c r="Y206" s="64">
        <f t="shared" si="150"/>
        <v>0.1166</v>
      </c>
      <c r="Z206" s="64">
        <f t="shared" si="151"/>
        <v>2.4245999999999999</v>
      </c>
      <c r="AA206" s="64">
        <f t="shared" si="152"/>
        <v>2.3079999999999998</v>
      </c>
      <c r="AB206" s="61" t="e">
        <f>VLOOKUP(A206,Enforcements!$C$7:$K$15,8,0)</f>
        <v>#N/A</v>
      </c>
      <c r="AC206" s="57" t="e">
        <f>VLOOKUP(A206,Enforcements!$C$7:$E$15,3,0)</f>
        <v>#N/A</v>
      </c>
      <c r="AD206" s="58" t="str">
        <f t="shared" si="153"/>
        <v>55-14</v>
      </c>
      <c r="AE206" s="87" t="str">
        <f t="shared" si="143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6" s="84" t="str">
        <f t="shared" si="144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06" s="1" t="str">
        <f t="shared" si="154"/>
        <v>Other</v>
      </c>
      <c r="AH206" s="88" t="str">
        <f t="shared" si="108"/>
        <v>"%USERPROFILE%\Documents\GitHub\eaglep3\Utilities\RefineRTDCRunTimes.py" --tripid 55-14 --locoid 4007 --swversion DE.1.0.8.0 --startMP 204:1166 --initTime 2017-01-14T12:03:26 --startdatetime 1969-12-31T17:00:00 --delay 1 --endMP 300:24246 --enddatetime 1969-12-31T17:00:00 --enforcementcount 0 &gt;&gt;C:\Users\stu\Documents\GitHub\eaglep3-reporting\EC\2017-01-14-refined-times.txt</v>
      </c>
      <c r="AI206" s="115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{"issue":{"subject":"","project_id":79,"tracker_id":40,"status_id":1,"priority_id":2,"assigned_to_id":23,"start_date":"1969-12-31","description":"","custom_fields":[{"id":1,"name":"Subdivision","value":"Other"},{"id":4,"name":"Milepost","value":"2.4246"},{"id":17,"name":"Train ID","value":"55-14"},{"id":16,"name":"Locomotive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110"/>
        <v>start /low /b %USERPROFILE%\Documents\GitHub\eaglep3\Utilities\DownloadLogsFromS3.py --loco 4007 --day 1969-12-31</v>
      </c>
      <c r="AN206" s="189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2017-01-14-UncaughtWiMAX.txt</v>
      </c>
    </row>
    <row r="207" spans="1:91" x14ac:dyDescent="0.25">
      <c r="A207" s="34" t="s">
        <v>606</v>
      </c>
      <c r="B207" s="7">
        <v>4029</v>
      </c>
      <c r="C207" s="22" t="s">
        <v>201</v>
      </c>
      <c r="D207" s="22" t="s">
        <v>769</v>
      </c>
      <c r="E207" s="13">
        <v>42749.719340277778</v>
      </c>
      <c r="F207" s="13">
        <v>42749.748055555552</v>
      </c>
      <c r="G207" s="7">
        <v>1</v>
      </c>
      <c r="H207" s="22" t="s">
        <v>770</v>
      </c>
      <c r="I207" s="13">
        <v>42749.755844907406</v>
      </c>
      <c r="J207" s="7">
        <v>0</v>
      </c>
      <c r="K207" s="105" t="str">
        <f t="shared" si="145"/>
        <v>4029/4030</v>
      </c>
      <c r="L207" s="22" t="str">
        <f>VLOOKUP(A207,'Trips&amp;Operators'!$C$1:$G$99999,5,FALSE)</f>
        <v>DELGADO DIANAH</v>
      </c>
      <c r="M207" s="6">
        <f t="shared" si="146"/>
        <v>7.7893518537166528E-3</v>
      </c>
      <c r="N207" s="7">
        <f t="shared" si="155"/>
        <v>11.21666666935198</v>
      </c>
      <c r="O207" s="7"/>
      <c r="P207" s="7"/>
      <c r="Q207" s="23"/>
      <c r="R207" s="23"/>
      <c r="S207" s="32">
        <f t="shared" si="147"/>
        <v>0</v>
      </c>
      <c r="T207" s="47" t="e">
        <f t="shared" si="148"/>
        <v>#VALUE!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ref="V207:V222" si="157"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https://search-rtdc-monitor-bjffxe2xuh6vdkpspy63sjmuny.us-east-1.es.amazonaws.com/_plugin/kibana/#/discover/Steve-Slow-Train-Analysis-(2080s-and-2083s)?_g=(refreshInterval:(display:Off,section:0,value:0),time:(from:'2017-01-14 16:15:51-700',mode:absolute,to:'2017-01-14 19:08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W207" s="49" t="str">
        <f t="shared" si="149"/>
        <v>Y</v>
      </c>
      <c r="X207" s="173" t="e">
        <f t="shared" si="156"/>
        <v>#VALUE!</v>
      </c>
      <c r="Y207" s="64">
        <f t="shared" si="150"/>
        <v>0.1479</v>
      </c>
      <c r="Z207" s="64">
        <f t="shared" si="151"/>
        <v>2.4975999999999998</v>
      </c>
      <c r="AA207" s="64">
        <f t="shared" si="152"/>
        <v>2.3496999999999999</v>
      </c>
      <c r="AB207" s="61" t="e">
        <f>VLOOKUP(A207,Enforcements!$C$7:$K$15,8,0)</f>
        <v>#N/A</v>
      </c>
      <c r="AC207" s="57" t="e">
        <f>VLOOKUP(A207,Enforcements!$C$7:$E$15,3,0)</f>
        <v>#N/A</v>
      </c>
      <c r="AD207" s="58" t="str">
        <f t="shared" si="153"/>
        <v>57-14</v>
      </c>
      <c r="AE207" s="87" t="str">
        <f t="shared" si="143"/>
        <v>aws s3 cp s3://rtdc.mdm.uploadarchive.raw/RTDC4029/ "%USERPROFILE%\AppData\Local\Temp\OnboardLogs"\RTDC4029\2017-01-14 --exclude "*" --recursive --include "*20170114*" &amp; "%USERPROFILE%\Documents\GitHub\mrs-test-scripts\Headless Mode &amp; Sideloading\WalkAndUnGZ.bat" "%USERPROFILE%\AppData\Local\Temp\OnboardLogs"\RTDC4029\2017-01-14 &amp; aws s3 cp s3://rtdc.mdm.uploadarchive.raw/RTDC4029/ "%USERPROFILE%\AppData\Local\Temp\OnboardLogs"\RTDC4029\2017-01-15 --exclude "*" --recursive --include "*20170115*" &amp; "%USERPROFILE%\Documents\GitHub\mrs-test-scripts\Headless Mode &amp; Sideloading\WalkAndUnGZ.bat" "%USERPROFILE%\AppData\Local\Temp\OnboardLogs"\RTDC4029\2017-01-15</v>
      </c>
      <c r="AF207" s="84" t="str">
        <f t="shared" si="144"/>
        <v>"C:\Program Files (x86)\AstroGrep\AstroGrep.exe" /spath="%USERPROFILE%\AppData\Local\Temp\OnboardLogs" /stypes="app*4029*20170115*" /stext=" 01:.+((SYSTEM_STATE.+slice.+state.+changed )|(ment ac)|(multiple cpu faults)|(system.+state.+changed )|(\[timeout)|(PRM\|1\|D)|(kpr)|(kdp)|(\|lc)|(penalty))" /e /r /s</v>
      </c>
      <c r="AG207" s="1" t="str">
        <f t="shared" si="154"/>
        <v>Other</v>
      </c>
      <c r="AH207" s="88" t="str">
        <f t="shared" si="108"/>
        <v>"%USERPROFILE%\Documents\GitHub\eaglep3\Utilities\RefineRTDCRunTimes.py" --tripid 57-14 --locoid 4029 --swversion DE.1.0.8.0 --startMP 204:1479 --initTime 2017-01-14T17:15:51 --startdatetime 2017-01-14T17:57:12 --delay 1 --endMP 300:24976 --enddatetime 2017-01-14T18:08:25 --enforcementcount 0 &gt;&gt;C:\Users\stu\Documents\GitHub\eaglep3-reporting\EC\2017-01-14-refined-times.txt</v>
      </c>
      <c r="AI207" s="115" t="str">
        <f t="shared" si="109"/>
        <v>echo {"issue":{"subject":"","project_id":79,"tracker_id":40,"status_id":1,"priority_id":2,"assigned_to_id":23,"start_date":"2017-01-14","description":"","custom_fields":[{"id":1,"name":"Subdivision","value":"Other"},{"id":4,"name":"Milepost","value":"2.4976"},{"id":17,"name":"Train ID","value":"57-14"},{"id":16,"name":"Locomotive ID","value":"4029"},{"id":130,"name":"Impact","value":""},{"id":150,"name":"Time of Event (Mountain Time)","value":"18:08:25"},{"id":151,"name":"Denver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110"/>
        <v>start /low /b %USERPROFILE%\Documents\GitHub\eaglep3\Utilities\DownloadLogsFromS3.py --loco 4029 --day 2017-01-14</v>
      </c>
      <c r="AN207" s="189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"%USERPROFILE%\AppData\Local\Temp\OnboardLogs"\RTDC4029\*4029*20170115* | grep -SE "(Enforcement Action)|(\[TIMEOUT)|(CHR.+\|PRM\|1\|D.+(SWITCH|SIGNAL).+UNKNOWN)" - &gt;&gt; 2017-01-14-UncaughtWiMAX.txt</v>
      </c>
    </row>
    <row r="208" spans="1:91" s="21" customFormat="1" x14ac:dyDescent="0.25">
      <c r="A208" s="34" t="s">
        <v>646</v>
      </c>
      <c r="B208" s="7">
        <v>4002</v>
      </c>
      <c r="C208" s="22" t="s">
        <v>201</v>
      </c>
      <c r="D208" s="22" t="s">
        <v>771</v>
      </c>
      <c r="E208" s="13">
        <v>42750.10696759259</v>
      </c>
      <c r="F208" s="13">
        <v>25568.708333333332</v>
      </c>
      <c r="G208" s="7">
        <v>1</v>
      </c>
      <c r="H208" s="22" t="s">
        <v>772</v>
      </c>
      <c r="I208" s="13">
        <v>25568.708333333332</v>
      </c>
      <c r="J208" s="7">
        <v>0</v>
      </c>
      <c r="K208" s="105" t="str">
        <f t="shared" si="145"/>
        <v>4001/4002</v>
      </c>
      <c r="L208" s="22" t="str">
        <f>VLOOKUP(A208,'Trips&amp;Operators'!$C$1:$G$99999,5,FALSE)</f>
        <v>SAFIEF AEIMEN</v>
      </c>
      <c r="M208" s="6">
        <f t="shared" si="146"/>
        <v>0</v>
      </c>
      <c r="N208" s="7">
        <f t="shared" si="155"/>
        <v>0</v>
      </c>
      <c r="O208" s="7"/>
      <c r="P208" s="7"/>
      <c r="Q208" s="23"/>
      <c r="R208" s="23"/>
      <c r="S208" s="32">
        <f t="shared" si="147"/>
        <v>0</v>
      </c>
      <c r="T208" s="47" t="e">
        <f t="shared" si="148"/>
        <v>#VALUE!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https://search-rtdc-monitor-bjffxe2xuh6vdkpspy63sjmuny.us-east-1.es.amazonaws.com/_plugin/kibana/#/discover/Steve-Slow-Train-Analysis-(2080s-and-2083s)?_g=(refreshInterval:(display:Off,section:0,value:0),time:(from:'2017-01-15 01:34:02-700',mode:absolute,to:'1969-12-31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08" s="49" t="str">
        <f t="shared" si="149"/>
        <v>N</v>
      </c>
      <c r="X208" s="173" t="e">
        <f t="shared" si="156"/>
        <v>#VALUE!</v>
      </c>
      <c r="Y208" s="64">
        <f t="shared" si="150"/>
        <v>1.0136000000000001</v>
      </c>
      <c r="Z208" s="64">
        <f t="shared" si="151"/>
        <v>7.0373999999999999</v>
      </c>
      <c r="AA208" s="64">
        <f t="shared" si="152"/>
        <v>6.0237999999999996</v>
      </c>
      <c r="AB208" s="61" t="e">
        <f>VLOOKUP(A208,Enforcements!$C$7:$K$15,8,0)</f>
        <v>#N/A</v>
      </c>
      <c r="AC208" s="57" t="e">
        <f>VLOOKUP(A208,Enforcements!$C$7:$E$15,3,0)</f>
        <v>#N/A</v>
      </c>
      <c r="AD208" s="58" t="str">
        <f t="shared" si="153"/>
        <v>71-14</v>
      </c>
      <c r="AE208" s="87" t="str">
        <f t="shared" si="143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8" s="84" t="str">
        <f t="shared" si="144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8" s="1" t="str">
        <f t="shared" si="154"/>
        <v>Other</v>
      </c>
      <c r="AH208" s="88" t="str">
        <f t="shared" si="108"/>
        <v>"%USERPROFILE%\Documents\GitHub\eaglep3\Utilities\RefineRTDCRunTimes.py" --tripid 71-14 --locoid 4002 --swversion DE.1.0.8.0 --startMP 204:10136 --initTime 2017-01-15T02:34:02 --startdatetime 1969-12-31T17:00:00 --delay 1 --endMP 204:70374 --enddatetime 1969-12-31T17:00:00 --enforcementcount 0 &gt;&gt;C:\Users\stu\Documents\GitHub\eaglep3-reporting\EC\2017-01-14-refined-times.txt</v>
      </c>
      <c r="AI208" s="115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{"issue":{"subject":"","project_id":79,"tracker_id":40,"status_id":1,"priority_id":2,"assigned_to_id":23,"start_date":"1969-12-31","description":"","custom_fields":[{"id":1,"name":"Subdivision","value":"Other"},{"id":4,"name":"Milepost","value":"7.0374"},{"id":17,"name":"Train ID","value":"71-14"},{"id":16,"name":"Locomotive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110"/>
        <v>start /low /b %USERPROFILE%\Documents\GitHub\eaglep3\Utilities\DownloadLogsFromS3.py --loco 4002 --day 1969-12-31</v>
      </c>
      <c r="AN208" s="189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2017-01-14-UncaughtWiMAX.txt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4" t="s">
        <v>646</v>
      </c>
      <c r="B209" s="7">
        <v>4002</v>
      </c>
      <c r="C209" s="22" t="s">
        <v>201</v>
      </c>
      <c r="D209" s="22" t="s">
        <v>773</v>
      </c>
      <c r="E209" s="13">
        <v>42749.974317129629</v>
      </c>
      <c r="F209" s="13">
        <v>42749.994629629633</v>
      </c>
      <c r="G209" s="7">
        <v>2</v>
      </c>
      <c r="H209" s="22" t="s">
        <v>774</v>
      </c>
      <c r="I209" s="13">
        <v>42750.003807870373</v>
      </c>
      <c r="J209" s="7">
        <v>0</v>
      </c>
      <c r="K209" s="105" t="str">
        <f t="shared" si="145"/>
        <v>4001/4002</v>
      </c>
      <c r="L209" s="22" t="str">
        <f>VLOOKUP(A209,'Trips&amp;Operators'!$C$1:$G$99999,5,FALSE)</f>
        <v>SAFIEF AEIMEN</v>
      </c>
      <c r="M209" s="6">
        <f t="shared" si="146"/>
        <v>9.1782407398568466E-3</v>
      </c>
      <c r="N209" s="7">
        <f t="shared" si="155"/>
        <v>13.216666665393859</v>
      </c>
      <c r="O209" s="7"/>
      <c r="P209" s="7"/>
      <c r="Q209" s="23"/>
      <c r="R209" s="23"/>
      <c r="S209" s="32">
        <f t="shared" si="147"/>
        <v>0</v>
      </c>
      <c r="T209" s="47" t="e">
        <f t="shared" si="148"/>
        <v>#VALUE!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https://search-rtdc-monitor-bjffxe2xuh6vdkpspy63sjmuny.us-east-1.es.amazonaws.com/_plugin/kibana/#/discover/Steve-Slow-Train-Analysis-(2080s-and-2083s)?_g=(refreshInterval:(display:Off,section:0,value:0),time:(from:'2017-01-14 22:23:01-700',mode:absolute,to:'2017-01-15 01:05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09" s="49" t="str">
        <f t="shared" si="149"/>
        <v>N</v>
      </c>
      <c r="X209" s="173" t="e">
        <f t="shared" si="156"/>
        <v>#VALUE!</v>
      </c>
      <c r="Y209" s="64">
        <f t="shared" si="150"/>
        <v>1.0481</v>
      </c>
      <c r="Z209" s="64">
        <f t="shared" si="151"/>
        <v>6.7889999999999997</v>
      </c>
      <c r="AA209" s="64">
        <f t="shared" si="152"/>
        <v>5.7408999999999999</v>
      </c>
      <c r="AB209" s="61" t="e">
        <f>VLOOKUP(A209,Enforcements!$C$7:$K$15,8,0)</f>
        <v>#N/A</v>
      </c>
      <c r="AC209" s="57" t="e">
        <f>VLOOKUP(A209,Enforcements!$C$7:$E$15,3,0)</f>
        <v>#N/A</v>
      </c>
      <c r="AD209" s="58" t="str">
        <f t="shared" si="153"/>
        <v>71-14</v>
      </c>
      <c r="AE209" s="87" t="str">
        <f t="shared" si="143"/>
        <v>aws s3 cp s3://rtdc.mdm.uploadarchive.raw/RTDC4002/ "%USERPROFILE%\AppData\Local\Temp\OnboardLogs"\RTDC4002\2017-01-14 --exclude "*" --recursive --include "*20170114*" &amp; "%USERPROFILE%\Documents\GitHub\mrs-test-scripts\Headless Mode &amp; Sideloading\WalkAndUnGZ.bat" "%USERPROFILE%\AppData\Local\Temp\OnboardLogs"\RTDC4002\2017-01-14 &amp; aws s3 cp s3://rtdc.mdm.uploadarchive.raw/RTDC4002/ "%USERPROFILE%\AppData\Local\Temp\OnboardLogs"\RTDC4002\2017-01-15 --exclude "*" --recursive --include "*20170115*" &amp; "%USERPROFILE%\Documents\GitHub\mrs-test-scripts\Headless Mode &amp; Sideloading\WalkAndUnGZ.bat" "%USERPROFILE%\AppData\Local\Temp\OnboardLogs"\RTDC4002\2017-01-15</v>
      </c>
      <c r="AF209" s="84" t="str">
        <f t="shared" si="144"/>
        <v>"C:\Program Files (x86)\AstroGrep\AstroGrep.exe" /spath="%USERPROFILE%\AppData\Local\Temp\OnboardLogs" /stypes="app*4002*20170115*" /stext=" 07:.+((SYSTEM_STATE.+slice.+state.+changed )|(ment ac)|(multiple cpu faults)|(system.+state.+changed )|(\[timeout)|(PRM\|1\|D)|(kpr)|(kdp)|(\|lc)|(penalty))" /e /r /s</v>
      </c>
      <c r="AG209" s="1" t="str">
        <f t="shared" si="154"/>
        <v>Other</v>
      </c>
      <c r="AH209" s="88" t="str">
        <f t="shared" si="108"/>
        <v>"%USERPROFILE%\Documents\GitHub\eaglep3\Utilities\RefineRTDCRunTimes.py" --tripid 71-14 --locoid 4002 --swversion DE.1.0.8.0 --startMP 204:10481 --initTime 2017-01-14T23:23:01 --startdatetime 2017-01-14T23:52:16 --delay 2 --endMP 204:67890 --enddatetime 2017-01-15T00:05:29 --enforcementcount 0 &gt;&gt;C:\Users\stu\Documents\GitHub\eaglep3-reporting\EC\2017-01-14-refined-times.txt</v>
      </c>
      <c r="AI209" s="115" t="str">
        <f t="shared" si="109"/>
        <v>echo {"issue":{"subject":"","project_id":79,"tracker_id":40,"status_id":1,"priority_id":2,"assigned_to_id":23,"start_date":"2017-01-15","description":"","custom_fields":[{"id":1,"name":"Subdivision","value":"Other"},{"id":4,"name":"Milepost","value":"6.789"},{"id":17,"name":"Train ID","value":"71-14"},{"id":16,"name":"Locomotive ID","value":"4002"},{"id":130,"name":"Impact","value":""},{"id":150,"name":"Time of Event (Mountain Time)","value":"00:05:29"},{"id":151,"name":"Denver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110"/>
        <v>start /low /b %USERPROFILE%\Documents\GitHub\eaglep3\Utilities\DownloadLogsFromS3.py --loco 4002 --day 2017-01-14</v>
      </c>
      <c r="AN209" s="189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"%USERPROFILE%\AppData\Local\Temp\OnboardLogs"\RTDC4002\*4002*20170115* | grep -SE "(Enforcement Action)|(\[TIMEOUT)|(CHR.+\|PRM\|1\|D.+(SWITCH|SIGNAL).+UNKNOWN)" - &gt;&gt; 2017-01-14-UncaughtWiMAX.txt</v>
      </c>
    </row>
    <row r="210" spans="1:91" s="21" customFormat="1" x14ac:dyDescent="0.25">
      <c r="A210" s="34" t="s">
        <v>646</v>
      </c>
      <c r="B210" s="7">
        <v>4002</v>
      </c>
      <c r="C210" s="22" t="s">
        <v>201</v>
      </c>
      <c r="D210" s="22" t="s">
        <v>775</v>
      </c>
      <c r="E210" s="13">
        <v>42750.030312499999</v>
      </c>
      <c r="F210" s="13">
        <v>42750.039814814816</v>
      </c>
      <c r="G210" s="7">
        <v>1</v>
      </c>
      <c r="H210" s="22" t="s">
        <v>776</v>
      </c>
      <c r="I210" s="13">
        <v>42750.048900462964</v>
      </c>
      <c r="J210" s="7">
        <v>0</v>
      </c>
      <c r="K210" s="105" t="str">
        <f t="shared" si="145"/>
        <v>4001/4002</v>
      </c>
      <c r="L210" s="22" t="str">
        <f>VLOOKUP(A210,'Trips&amp;Operators'!$C$1:$G$99999,5,FALSE)</f>
        <v>SAFIEF AEIMEN</v>
      </c>
      <c r="M210" s="6">
        <f t="shared" si="146"/>
        <v>9.0856481474475004E-3</v>
      </c>
      <c r="N210" s="7">
        <f t="shared" si="155"/>
        <v>13.083333332324401</v>
      </c>
      <c r="O210" s="7"/>
      <c r="P210" s="7"/>
      <c r="Q210" s="23"/>
      <c r="R210" s="23"/>
      <c r="S210" s="32">
        <f t="shared" si="147"/>
        <v>0</v>
      </c>
      <c r="T210" s="47" t="e">
        <f t="shared" si="148"/>
        <v>#VALUE!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https://search-rtdc-monitor-bjffxe2xuh6vdkpspy63sjmuny.us-east-1.es.amazonaws.com/_plugin/kibana/#/discover/Steve-Slow-Train-Analysis-(2080s-and-2083s)?_g=(refreshInterval:(display:Off,section:0,value:0),time:(from:'2017-01-14 23:43:39-700',mode:absolute,to:'2017-01-15 02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10" s="49" t="str">
        <f t="shared" si="149"/>
        <v>N</v>
      </c>
      <c r="X210" s="173" t="e">
        <f t="shared" si="156"/>
        <v>#VALUE!</v>
      </c>
      <c r="Y210" s="64">
        <f t="shared" si="150"/>
        <v>1.0585</v>
      </c>
      <c r="Z210" s="64">
        <f t="shared" si="151"/>
        <v>6.7984</v>
      </c>
      <c r="AA210" s="64">
        <f t="shared" si="152"/>
        <v>5.7399000000000004</v>
      </c>
      <c r="AB210" s="61" t="e">
        <f>VLOOKUP(A210,Enforcements!$C$7:$K$15,8,0)</f>
        <v>#N/A</v>
      </c>
      <c r="AC210" s="57" t="e">
        <f>VLOOKUP(A210,Enforcements!$C$7:$E$15,3,0)</f>
        <v>#N/A</v>
      </c>
      <c r="AD210" s="58" t="str">
        <f t="shared" si="153"/>
        <v>71-14</v>
      </c>
      <c r="AE210" s="87" t="str">
        <f t="shared" ref="AE210:AE222" si="158"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s3://rtdc.mdm.uploadarchive.raw/RTDC4002/ "%USERPROFILE%\AppData\Local\Temp\OnboardLogs"\RTDC4002\2017-01-15 --exclude "*" --recursive --include "*20170115*" &amp; "%USERPROFILE%\Documents\GitHub\mrs-test-scripts\Headless Mode &amp; Sideloading\WalkAndUnGZ.bat" "%USERPROFILE%\AppData\Local\Temp\OnboardLogs"\RTDC4002\2017-01-15 &amp; aws s3 cp s3://rtdc.mdm.uploadarchive.raw/RTDC4002/ "%USERPROFILE%\AppData\Local\Temp\OnboardLogs"\RTDC4002\2017-01-16 --exclude "*" --recursive --include "*20170116*" &amp; "%USERPROFILE%\Documents\GitHub\mrs-test-scripts\Headless Mode &amp; Sideloading\WalkAndUnGZ.bat" "%USERPROFILE%\AppData\Local\Temp\OnboardLogs"\RTDC4002\2017-01-16</v>
      </c>
      <c r="AF210" s="84" t="str">
        <f t="shared" ref="AF210:AF222" si="159"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/stypes="app*4002*20170115*" /stext=" 08:.+((SYSTEM_STATE.+slice.+state.+changed )|(ment ac)|(multiple cpu faults)|(system.+state.+changed )|(\[timeout)|(PRM\|1\|D)|(kpr)|(kdp)|(\|lc)|(penalty))" /e /r /s</v>
      </c>
      <c r="AG210" s="1" t="str">
        <f t="shared" si="154"/>
        <v>Other</v>
      </c>
      <c r="AH210" s="88" t="str">
        <f t="shared" si="108"/>
        <v>"%USERPROFILE%\Documents\GitHub\eaglep3\Utilities\RefineRTDCRunTimes.py" --tripid 71-14 --locoid 4002 --swversion DE.1.0.8.0 --startMP 204:10585 --initTime 2017-01-15T00:43:39 --startdatetime 2017-01-15T00:57:20 --delay 1 --endMP 204:67984 --enddatetime 2017-01-15T01:10:25 --enforcementcount 0 &gt;&gt;C:\Users\stu\Documents\GitHub\eaglep3-reporting\EC\2017-01-14-refined-times.txt</v>
      </c>
      <c r="AI210" s="115" t="str">
        <f t="shared" si="109"/>
        <v>echo {"issue":{"subject":"","project_id":79,"tracker_id":40,"status_id":1,"priority_id":2,"assigned_to_id":23,"start_date":"2017-01-15","description":"","custom_fields":[{"id":1,"name":"Subdivision","value":"Other"},{"id":4,"name":"Milepost","value":"6.7984"},{"id":17,"name":"Train ID","value":"71-14"},{"id":16,"name":"Locomotive ID","value":"4002"},{"id":130,"name":"Impact","value":""},{"id":150,"name":"Time of Event (Mountain Time)","value":"01:10:25"},{"id":151,"name":"Denver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110"/>
        <v>start /low /b %USERPROFILE%\Documents\GitHub\eaglep3\Utilities\DownloadLogsFromS3.py --loco 4002 --day 2017-01-15</v>
      </c>
      <c r="AN210" s="189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"%USERPROFILE%\AppData\Local\Temp\OnboardLogs"\RTDC4002\*4002*20170115* | grep -SE "(Enforcement Action)|(\[TIMEOUT)|(CHR.+\|PRM\|1\|D.+(SWITCH|SIGNAL).+UNKNOWN)" - &gt;&gt; 2017-01-14-UncaughtWiMAX.txt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4" t="s">
        <v>646</v>
      </c>
      <c r="B211" s="7">
        <v>4002</v>
      </c>
      <c r="C211" s="22" t="s">
        <v>201</v>
      </c>
      <c r="D211" s="22" t="s">
        <v>777</v>
      </c>
      <c r="E211" s="13">
        <v>42750.073344907411</v>
      </c>
      <c r="F211" s="13">
        <v>42750.109236111108</v>
      </c>
      <c r="G211" s="7">
        <v>6</v>
      </c>
      <c r="H211" s="22" t="s">
        <v>778</v>
      </c>
      <c r="I211" s="13">
        <v>42750.116828703707</v>
      </c>
      <c r="J211" s="7">
        <v>0</v>
      </c>
      <c r="K211" s="105" t="str">
        <f t="shared" si="145"/>
        <v>4001/4002</v>
      </c>
      <c r="L211" s="22" t="str">
        <f>VLOOKUP(A211,'Trips&amp;Operators'!$C$1:$G$99999,5,FALSE)</f>
        <v>SAFIEF AEIMEN</v>
      </c>
      <c r="M211" s="6">
        <f t="shared" si="146"/>
        <v>7.5925925993942656E-3</v>
      </c>
      <c r="N211" s="7">
        <f t="shared" si="155"/>
        <v>10.933333343127742</v>
      </c>
      <c r="O211" s="7"/>
      <c r="P211" s="7"/>
      <c r="Q211" s="23"/>
      <c r="R211" s="23"/>
      <c r="S211" s="32">
        <f t="shared" si="147"/>
        <v>0</v>
      </c>
      <c r="T211" s="47" t="e">
        <f t="shared" si="148"/>
        <v>#VALUE!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https://search-rtdc-monitor-bjffxe2xuh6vdkpspy63sjmuny.us-east-1.es.amazonaws.com/_plugin/kibana/#/discover/Steve-Slow-Train-Analysis-(2080s-and-2083s)?_g=(refreshInterval:(display:Off,section:0,value:0),time:(from:'2017-01-15 00:45:37-700',mode:absolute,to:'2017-01-15 03:48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11" s="49" t="str">
        <f t="shared" si="149"/>
        <v>N</v>
      </c>
      <c r="X211" s="173" t="e">
        <f t="shared" si="156"/>
        <v>#VALUE!</v>
      </c>
      <c r="Y211" s="64">
        <f t="shared" si="150"/>
        <v>0.99680000000000002</v>
      </c>
      <c r="Z211" s="64">
        <f t="shared" si="151"/>
        <v>6.7956000000000003</v>
      </c>
      <c r="AA211" s="64">
        <f t="shared" si="152"/>
        <v>5.7988</v>
      </c>
      <c r="AB211" s="61" t="e">
        <f>VLOOKUP(A211,Enforcements!$C$7:$K$15,8,0)</f>
        <v>#N/A</v>
      </c>
      <c r="AC211" s="57" t="e">
        <f>VLOOKUP(A211,Enforcements!$C$7:$E$15,3,0)</f>
        <v>#N/A</v>
      </c>
      <c r="AD211" s="58" t="str">
        <f t="shared" si="153"/>
        <v>71-14</v>
      </c>
      <c r="AE211" s="87" t="str">
        <f t="shared" si="158"/>
        <v>aws s3 cp s3://rtdc.mdm.uploadarchive.raw/RTDC4002/ "%USERPROFILE%\AppData\Local\Temp\OnboardLogs"\RTDC4002\2017-01-15 --exclude "*" --recursive --include "*20170115*" &amp; "%USERPROFILE%\Documents\GitHub\mrs-test-scripts\Headless Mode &amp; Sideloading\WalkAndUnGZ.bat" "%USERPROFILE%\AppData\Local\Temp\OnboardLogs"\RTDC4002\2017-01-15 &amp; aws s3 cp s3://rtdc.mdm.uploadarchive.raw/RTDC4002/ "%USERPROFILE%\AppData\Local\Temp\OnboardLogs"\RTDC4002\2017-01-16 --exclude "*" --recursive --include "*20170116*" &amp; "%USERPROFILE%\Documents\GitHub\mrs-test-scripts\Headless Mode &amp; Sideloading\WalkAndUnGZ.bat" "%USERPROFILE%\AppData\Local\Temp\OnboardLogs"\RTDC4002\2017-01-16</v>
      </c>
      <c r="AF211" s="84" t="str">
        <f t="shared" si="159"/>
        <v>"C:\Program Files (x86)\AstroGrep\AstroGrep.exe" /spath="%USERPROFILE%\AppData\Local\Temp\OnboardLogs" /stypes="app*4002*20170115*" /stext=" 09:.+((SYSTEM_STATE.+slice.+state.+changed )|(ment ac)|(multiple cpu faults)|(system.+state.+changed )|(\[timeout)|(PRM\|1\|D)|(kpr)|(kdp)|(\|lc)|(penalty))" /e /r /s</v>
      </c>
      <c r="AG211" s="1" t="str">
        <f t="shared" si="154"/>
        <v>Other</v>
      </c>
      <c r="AH211" s="88" t="str">
        <f t="shared" si="108"/>
        <v>"%USERPROFILE%\Documents\GitHub\eaglep3\Utilities\RefineRTDCRunTimes.py" --tripid 71-14 --locoid 4002 --swversion DE.1.0.8.0 --startMP 204:9968 --initTime 2017-01-15T01:45:37 --startdatetime 2017-01-15T02:37:18 --delay 6 --endMP 204:67956 --enddatetime 2017-01-15T02:48:14 --enforcementcount 0 &gt;&gt;C:\Users\stu\Documents\GitHub\eaglep3-reporting\EC\2017-01-14-refined-times.txt</v>
      </c>
      <c r="AI211" s="115" t="str">
        <f t="shared" si="109"/>
        <v>echo {"issue":{"subject":"","project_id":79,"tracker_id":40,"status_id":1,"priority_id":2,"assigned_to_id":23,"start_date":"2017-01-15","description":"","custom_fields":[{"id":1,"name":"Subdivision","value":"Other"},{"id":4,"name":"Milepost","value":"6.7956"},{"id":17,"name":"Train ID","value":"71-14"},{"id":16,"name":"Locomotive ID","value":"4002"},{"id":130,"name":"Impact","value":""},{"id":150,"name":"Time of Event (Mountain Time)","value":"02:48:14"},{"id":151,"name":"Denver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110"/>
        <v>start /low /b %USERPROFILE%\Documents\GitHub\eaglep3\Utilities\DownloadLogsFromS3.py --loco 4002 --day 2017-01-15</v>
      </c>
      <c r="AN211" s="189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"%USERPROFILE%\AppData\Local\Temp\OnboardLogs"\RTDC4002\*4002*20170115* | grep -SE "(Enforcement Action)|(\[TIMEOUT)|(CHR.+\|PRM\|1\|D.+(SWITCH|SIGNAL).+UNKNOWN)" - &gt;&gt; 2017-01-14-UncaughtWiMAX.txt</v>
      </c>
    </row>
    <row r="212" spans="1:91" x14ac:dyDescent="0.25">
      <c r="A212" s="34" t="s">
        <v>649</v>
      </c>
      <c r="B212" s="7">
        <v>4001</v>
      </c>
      <c r="C212" s="22" t="s">
        <v>201</v>
      </c>
      <c r="D212" s="22" t="s">
        <v>779</v>
      </c>
      <c r="E212" s="13">
        <v>42750.091261574074</v>
      </c>
      <c r="F212" s="13">
        <v>42750.120428240742</v>
      </c>
      <c r="G212" s="7">
        <v>1</v>
      </c>
      <c r="H212" s="22" t="s">
        <v>780</v>
      </c>
      <c r="I212" s="13">
        <v>42750.129259259258</v>
      </c>
      <c r="J212" s="7">
        <v>0</v>
      </c>
      <c r="K212" s="105" t="str">
        <f t="shared" si="145"/>
        <v>4001/4002</v>
      </c>
      <c r="L212" s="22" t="str">
        <f>VLOOKUP(A212,'Trips&amp;Operators'!$C$1:$G$99999,5,FALSE)</f>
        <v>SAFIEF AEIMEN</v>
      </c>
      <c r="M212" s="6">
        <f t="shared" si="146"/>
        <v>8.8310185165028088E-3</v>
      </c>
      <c r="N212" s="7">
        <f t="shared" si="155"/>
        <v>12.716666663764045</v>
      </c>
      <c r="O212" s="7"/>
      <c r="P212" s="7"/>
      <c r="Q212" s="23"/>
      <c r="R212" s="23"/>
      <c r="S212" s="32">
        <f t="shared" si="147"/>
        <v>0</v>
      </c>
      <c r="T212" s="47" t="e">
        <f t="shared" si="148"/>
        <v>#VALUE!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https://search-rtdc-monitor-bjffxe2xuh6vdkpspy63sjmuny.us-east-1.es.amazonaws.com/_plugin/kibana/#/discover/Steve-Slow-Train-Analysis-(2080s-and-2083s)?_g=(refreshInterval:(display:Off,section:0,value:0),time:(from:'2017-01-15 01:11:25-700',mode:absolute,to:'2017-01-15 04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12" s="49" t="str">
        <f t="shared" si="149"/>
        <v>N</v>
      </c>
      <c r="X212" s="173" t="e">
        <f t="shared" si="156"/>
        <v>#VALUE!</v>
      </c>
      <c r="Y212" s="64">
        <f t="shared" si="150"/>
        <v>6.976</v>
      </c>
      <c r="Z212" s="64">
        <f t="shared" si="151"/>
        <v>0.99</v>
      </c>
      <c r="AA212" s="64">
        <f t="shared" si="152"/>
        <v>5.9859999999999998</v>
      </c>
      <c r="AB212" s="61" t="e">
        <f>VLOOKUP(A212,Enforcements!$C$7:$K$15,8,0)</f>
        <v>#N/A</v>
      </c>
      <c r="AC212" s="57" t="e">
        <f>VLOOKUP(A212,Enforcements!$C$7:$E$15,3,0)</f>
        <v>#N/A</v>
      </c>
      <c r="AD212" s="58" t="str">
        <f t="shared" si="153"/>
        <v>72-14</v>
      </c>
      <c r="AE212" s="87" t="str">
        <f t="shared" si="158"/>
        <v>aws s3 cp s3://rtdc.mdm.uploadarchive.raw/RTDC4001/ "%USERPROFILE%\AppData\Local\Temp\OnboardLogs"\RTDC4001\2017-01-15 --exclude "*" --recursive --include "*20170115*" &amp; "%USERPROFILE%\Documents\GitHub\mrs-test-scripts\Headless Mode &amp; Sideloading\WalkAndUnGZ.bat" "%USERPROFILE%\AppData\Local\Temp\OnboardLogs"\RTDC4001\2017-01-15 &amp; aws s3 cp s3://rtdc.mdm.uploadarchive.raw/RTDC4001/ "%USERPROFILE%\AppData\Local\Temp\OnboardLogs"\RTDC4001\2017-01-16 --exclude "*" --recursive --include "*20170116*" &amp; "%USERPROFILE%\Documents\GitHub\mrs-test-scripts\Headless Mode &amp; Sideloading\WalkAndUnGZ.bat" "%USERPROFILE%\AppData\Local\Temp\OnboardLogs"\RTDC4001\2017-01-16</v>
      </c>
      <c r="AF212" s="84" t="str">
        <f t="shared" si="159"/>
        <v>"C:\Program Files (x86)\AstroGrep\AstroGrep.exe" /spath="%USERPROFILE%\AppData\Local\Temp\OnboardLogs" /stypes="app*4001*20170115*" /stext=" 10:.+((SYSTEM_STATE.+slice.+state.+changed )|(ment ac)|(multiple cpu faults)|(system.+state.+changed )|(\[timeout)|(PRM\|1\|D)|(kpr)|(kdp)|(\|lc)|(penalty))" /e /r /s</v>
      </c>
      <c r="AG212" s="1" t="str">
        <f t="shared" si="154"/>
        <v>Other</v>
      </c>
      <c r="AH212" s="88" t="str">
        <f t="shared" si="108"/>
        <v>"%USERPROFILE%\Documents\GitHub\eaglep3\Utilities\RefineRTDCRunTimes.py" --tripid 72-14 --locoid 4001 --swversion DE.1.0.8.0 --startMP 204:69760 --initTime 2017-01-15T02:11:25 --startdatetime 2017-01-15T02:53:25 --delay 1 --endMP 204:9900 --enddatetime 2017-01-15T03:06:08 --enforcementcount 0 &gt;&gt;C:\Users\stu\Documents\GitHub\eaglep3-reporting\EC\2017-01-14-refined-times.txt</v>
      </c>
      <c r="AI212" s="115" t="str">
        <f t="shared" si="109"/>
        <v>echo {"issue":{"subject":"","project_id":79,"tracker_id":40,"status_id":1,"priority_id":2,"assigned_to_id":23,"start_date":"2017-01-15","description":"","custom_fields":[{"id":1,"name":"Subdivision","value":"Other"},{"id":4,"name":"Milepost","value":"0.99"},{"id":17,"name":"Train ID","value":"72-14"},{"id":16,"name":"Locomotive ID","value":"4001"},{"id":130,"name":"Impact","value":""},{"id":150,"name":"Time of Event (Mountain Time)","value":"03:06:08"},{"id":151,"name":"Denver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110"/>
        <v>start /low /b %USERPROFILE%\Documents\GitHub\eaglep3\Utilities\DownloadLogsFromS3.py --loco 4001 --day 2017-01-15</v>
      </c>
      <c r="AN212" s="189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"%USERPROFILE%\AppData\Local\Temp\OnboardLogs"\RTDC4001\*4001*20170115* | grep -SE "(Enforcement Action)|(\[TIMEOUT)|(CHR.+\|PRM\|1\|D.+(SWITCH|SIGNAL).+UNKNOWN)" - &gt;&gt; 2017-01-14-UncaughtWiMAX.txt</v>
      </c>
    </row>
    <row r="213" spans="1:91" x14ac:dyDescent="0.25">
      <c r="A213" s="34" t="s">
        <v>649</v>
      </c>
      <c r="B213" s="7">
        <v>4001</v>
      </c>
      <c r="C213" s="22" t="s">
        <v>201</v>
      </c>
      <c r="D213" s="22" t="s">
        <v>781</v>
      </c>
      <c r="E213" s="13">
        <v>42750.012673611112</v>
      </c>
      <c r="F213" s="13">
        <v>42750.017060185186</v>
      </c>
      <c r="G213" s="7">
        <v>1</v>
      </c>
      <c r="H213" s="22" t="s">
        <v>782</v>
      </c>
      <c r="I213" s="13">
        <v>42750.028148148151</v>
      </c>
      <c r="J213" s="7">
        <v>0</v>
      </c>
      <c r="K213" s="105" t="str">
        <f t="shared" si="145"/>
        <v>4001/4002</v>
      </c>
      <c r="L213" s="22" t="str">
        <f>VLOOKUP(A213,'Trips&amp;Operators'!$C$1:$G$99999,5,FALSE)</f>
        <v>SAFIEF AEIMEN</v>
      </c>
      <c r="M213" s="6">
        <f t="shared" si="146"/>
        <v>1.1087962964666076E-2</v>
      </c>
      <c r="N213" s="7">
        <f t="shared" si="155"/>
        <v>15.966666669119149</v>
      </c>
      <c r="O213" s="7"/>
      <c r="P213" s="7"/>
      <c r="Q213" s="23"/>
      <c r="R213" s="23"/>
      <c r="S213" s="32">
        <f t="shared" si="147"/>
        <v>0</v>
      </c>
      <c r="T213" s="47" t="e">
        <f t="shared" si="148"/>
        <v>#VALUE!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https://search-rtdc-monitor-bjffxe2xuh6vdkpspy63sjmuny.us-east-1.es.amazonaws.com/_plugin/kibana/#/discover/Steve-Slow-Train-Analysis-(2080s-and-2083s)?_g=(refreshInterval:(display:Off,section:0,value:0),time:(from:'2017-01-14 23:18:15-700',mode:absolute,to:'2017-01-15 01:40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13" s="49" t="str">
        <f t="shared" si="149"/>
        <v>N</v>
      </c>
      <c r="X213" s="173" t="e">
        <f t="shared" si="156"/>
        <v>#VALUE!</v>
      </c>
      <c r="Y213" s="64">
        <f t="shared" si="150"/>
        <v>6.9804000000000004</v>
      </c>
      <c r="Z213" s="64">
        <f t="shared" si="151"/>
        <v>1.0346</v>
      </c>
      <c r="AA213" s="64">
        <f t="shared" si="152"/>
        <v>5.9458000000000002</v>
      </c>
      <c r="AB213" s="61" t="e">
        <f>VLOOKUP(A213,Enforcements!$C$7:$K$15,8,0)</f>
        <v>#N/A</v>
      </c>
      <c r="AC213" s="57" t="e">
        <f>VLOOKUP(A213,Enforcements!$C$7:$E$15,3,0)</f>
        <v>#N/A</v>
      </c>
      <c r="AD213" s="58" t="str">
        <f t="shared" si="153"/>
        <v>72-14</v>
      </c>
      <c r="AE213" s="87" t="str">
        <f t="shared" si="158"/>
        <v>aws s3 cp s3://rtdc.mdm.uploadarchive.raw/RTDC4001/ "%USERPROFILE%\AppData\Local\Temp\OnboardLogs"\RTDC4001\2017-01-15 --exclude "*" --recursive --include "*20170115*" &amp; "%USERPROFILE%\Documents\GitHub\mrs-test-scripts\Headless Mode &amp; Sideloading\WalkAndUnGZ.bat" "%USERPROFILE%\AppData\Local\Temp\OnboardLogs"\RTDC4001\2017-01-15 &amp; aws s3 cp s3://rtdc.mdm.uploadarchive.raw/RTDC4001/ "%USERPROFILE%\AppData\Local\Temp\OnboardLogs"\RTDC4001\2017-01-16 --exclude "*" --recursive --include "*20170116*" &amp; "%USERPROFILE%\Documents\GitHub\mrs-test-scripts\Headless Mode &amp; Sideloading\WalkAndUnGZ.bat" "%USERPROFILE%\AppData\Local\Temp\OnboardLogs"\RTDC4001\2017-01-16</v>
      </c>
      <c r="AF213" s="84" t="str">
        <f t="shared" si="159"/>
        <v>"C:\Program Files (x86)\AstroGrep\AstroGrep.exe" /spath="%USERPROFILE%\AppData\Local\Temp\OnboardLogs" /stypes="app*4001*20170115*" /stext=" 07:.+((SYSTEM_STATE.+slice.+state.+changed )|(ment ac)|(multiple cpu faults)|(system.+state.+changed )|(\[timeout)|(PRM\|1\|D)|(kpr)|(kdp)|(\|lc)|(penalty))" /e /r /s</v>
      </c>
      <c r="AG213" s="1" t="str">
        <f t="shared" si="154"/>
        <v>Other</v>
      </c>
      <c r="AH213" s="88" t="str">
        <f t="shared" si="108"/>
        <v>"%USERPROFILE%\Documents\GitHub\eaglep3\Utilities\RefineRTDCRunTimes.py" --tripid 72-14 --locoid 4001 --swversion DE.1.0.8.0 --startMP 204:69804 --initTime 2017-01-15T00:18:15 --startdatetime 2017-01-15T00:24:34 --delay 1 --endMP 204:10346 --enddatetime 2017-01-15T00:40:32 --enforcementcount 0 &gt;&gt;C:\Users\stu\Documents\GitHub\eaglep3-reporting\EC\2017-01-14-refined-times.txt</v>
      </c>
      <c r="AI213" s="115" t="str">
        <f t="shared" si="109"/>
        <v>echo {"issue":{"subject":"","project_id":79,"tracker_id":40,"status_id":1,"priority_id":2,"assigned_to_id":23,"start_date":"2017-01-15","description":"","custom_fields":[{"id":1,"name":"Subdivision","value":"Other"},{"id":4,"name":"Milepost","value":"1.0346"},{"id":17,"name":"Train ID","value":"72-14"},{"id":16,"name":"Locomotive ID","value":"4001"},{"id":130,"name":"Impact","value":""},{"id":150,"name":"Time of Event (Mountain Time)","value":"00:40:32"},{"id":151,"name":"Denver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110"/>
        <v>start /low /b %USERPROFILE%\Documents\GitHub\eaglep3\Utilities\DownloadLogsFromS3.py --loco 4001 --day 2017-01-15</v>
      </c>
      <c r="AN213" s="189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"%USERPROFILE%\AppData\Local\Temp\OnboardLogs"\RTDC4001\*4001*20170115* | grep -SE "(Enforcement Action)|(\[TIMEOUT)|(CHR.+\|PRM\|1\|D.+(SWITCH|SIGNAL).+UNKNOWN)" - &gt;&gt; 2017-01-14-UncaughtWiMAX.txt</v>
      </c>
    </row>
    <row r="214" spans="1:91" s="21" customFormat="1" x14ac:dyDescent="0.25">
      <c r="A214" s="34" t="s">
        <v>649</v>
      </c>
      <c r="B214" s="7">
        <v>4001</v>
      </c>
      <c r="C214" s="22" t="s">
        <v>201</v>
      </c>
      <c r="D214" s="22" t="s">
        <v>783</v>
      </c>
      <c r="E214" s="13">
        <v>42750.055752314816</v>
      </c>
      <c r="F214" s="13">
        <v>42750.096331018518</v>
      </c>
      <c r="G214" s="7">
        <v>6</v>
      </c>
      <c r="H214" s="22" t="s">
        <v>784</v>
      </c>
      <c r="I214" s="13">
        <v>42750.104907407411</v>
      </c>
      <c r="J214" s="7">
        <v>0</v>
      </c>
      <c r="K214" s="105" t="str">
        <f t="shared" si="145"/>
        <v>4001/4002</v>
      </c>
      <c r="L214" s="22" t="str">
        <f>VLOOKUP(A214,'Trips&amp;Operators'!$C$1:$G$99999,5,FALSE)</f>
        <v>SAFIEF AEIMEN</v>
      </c>
      <c r="M214" s="6">
        <f t="shared" si="146"/>
        <v>8.5763888928340748E-3</v>
      </c>
      <c r="N214" s="7">
        <f t="shared" si="155"/>
        <v>12.350000005681068</v>
      </c>
      <c r="O214" s="7"/>
      <c r="P214" s="7"/>
      <c r="Q214" s="23"/>
      <c r="R214" s="23"/>
      <c r="S214" s="32">
        <f t="shared" si="147"/>
        <v>0</v>
      </c>
      <c r="T214" s="47" t="e">
        <f t="shared" si="148"/>
        <v>#VALUE!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https://search-rtdc-monitor-bjffxe2xuh6vdkpspy63sjmuny.us-east-1.es.amazonaws.com/_plugin/kibana/#/discover/Steve-Slow-Train-Analysis-(2080s-and-2083s)?_g=(refreshInterval:(display:Off,section:0,value:0),time:(from:'2017-01-15 00:20:17-700',mode:absolute,to:'2017-01-15 03:31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14" s="49" t="str">
        <f t="shared" si="149"/>
        <v>N</v>
      </c>
      <c r="X214" s="173" t="e">
        <f t="shared" si="156"/>
        <v>#VALUE!</v>
      </c>
      <c r="Y214" s="64">
        <f t="shared" si="150"/>
        <v>7.5209999999999999</v>
      </c>
      <c r="Z214" s="64">
        <f t="shared" si="151"/>
        <v>0.9667</v>
      </c>
      <c r="AA214" s="64">
        <f t="shared" si="152"/>
        <v>6.5542999999999996</v>
      </c>
      <c r="AB214" s="61" t="e">
        <f>VLOOKUP(A214,Enforcements!$C$7:$K$15,8,0)</f>
        <v>#N/A</v>
      </c>
      <c r="AC214" s="57" t="e">
        <f>VLOOKUP(A214,Enforcements!$C$7:$E$15,3,0)</f>
        <v>#N/A</v>
      </c>
      <c r="AD214" s="58" t="str">
        <f t="shared" si="153"/>
        <v>72-14</v>
      </c>
      <c r="AE214" s="87" t="str">
        <f t="shared" si="158"/>
        <v>aws s3 cp s3://rtdc.mdm.uploadarchive.raw/RTDC4001/ "%USERPROFILE%\AppData\Local\Temp\OnboardLogs"\RTDC4001\2017-01-15 --exclude "*" --recursive --include "*20170115*" &amp; "%USERPROFILE%\Documents\GitHub\mrs-test-scripts\Headless Mode &amp; Sideloading\WalkAndUnGZ.bat" "%USERPROFILE%\AppData\Local\Temp\OnboardLogs"\RTDC4001\2017-01-15 &amp; aws s3 cp s3://rtdc.mdm.uploadarchive.raw/RTDC4001/ "%USERPROFILE%\AppData\Local\Temp\OnboardLogs"\RTDC4001\2017-01-16 --exclude "*" --recursive --include "*20170116*" &amp; "%USERPROFILE%\Documents\GitHub\mrs-test-scripts\Headless Mode &amp; Sideloading\WalkAndUnGZ.bat" "%USERPROFILE%\AppData\Local\Temp\OnboardLogs"\RTDC4001\2017-01-16</v>
      </c>
      <c r="AF214" s="84" t="str">
        <f t="shared" si="159"/>
        <v>"C:\Program Files (x86)\AstroGrep\AstroGrep.exe" /spath="%USERPROFILE%\AppData\Local\Temp\OnboardLogs" /stypes="app*4001*20170115*" /stext=" 09:.+((SYSTEM_STATE.+slice.+state.+changed )|(ment ac)|(multiple cpu faults)|(system.+state.+changed )|(\[timeout)|(PRM\|1\|D)|(kpr)|(kdp)|(\|lc)|(penalty))" /e /r /s</v>
      </c>
      <c r="AG214" s="1" t="str">
        <f t="shared" si="154"/>
        <v>Other</v>
      </c>
      <c r="AH214" s="88" t="str">
        <f t="shared" si="108"/>
        <v>"%USERPROFILE%\Documents\GitHub\eaglep3\Utilities\RefineRTDCRunTimes.py" --tripid 72-14 --locoid 4001 --swversion DE.1.0.8.0 --startMP 204:75210 --initTime 2017-01-15T01:20:17 --startdatetime 2017-01-15T02:18:43 --delay 6 --endMP 204:9667 --enddatetime 2017-01-15T02:31:04 --enforcementcount 0 &gt;&gt;C:\Users\stu\Documents\GitHub\eaglep3-reporting\EC\2017-01-14-refined-times.txt</v>
      </c>
      <c r="AI214" s="115" t="str">
        <f t="shared" si="109"/>
        <v>echo {"issue":{"subject":"","project_id":79,"tracker_id":40,"status_id":1,"priority_id":2,"assigned_to_id":23,"start_date":"2017-01-15","description":"","custom_fields":[{"id":1,"name":"Subdivision","value":"Other"},{"id":4,"name":"Milepost","value":"0.9667"},{"id":17,"name":"Train ID","value":"72-14"},{"id":16,"name":"Locomotive ID","value":"4001"},{"id":130,"name":"Impact","value":""},{"id":150,"name":"Time of Event (Mountain Time)","value":"02:31:04"},{"id":151,"name":"Denver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110"/>
        <v>start /low /b %USERPROFILE%\Documents\GitHub\eaglep3\Utilities\DownloadLogsFromS3.py --loco 4001 --day 2017-01-15</v>
      </c>
      <c r="AN214" s="189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"%USERPROFILE%\AppData\Local\Temp\OnboardLogs"\RTDC4001\*4001*20170115* | grep -SE "(Enforcement Action)|(\[TIMEOUT)|(CHR.+\|PRM\|1\|D.+(SWITCH|SIGNAL).+UNKNOWN)" - &gt;&gt; 2017-01-14-UncaughtWiMAX.txt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4" t="s">
        <v>643</v>
      </c>
      <c r="B215" s="7">
        <v>4031</v>
      </c>
      <c r="C215" s="22" t="s">
        <v>201</v>
      </c>
      <c r="D215" s="22" t="s">
        <v>785</v>
      </c>
      <c r="E215" s="13">
        <v>42750.06354166667</v>
      </c>
      <c r="F215" s="13">
        <v>42750.095439814817</v>
      </c>
      <c r="G215" s="7">
        <v>1</v>
      </c>
      <c r="H215" s="22" t="s">
        <v>786</v>
      </c>
      <c r="I215" s="13">
        <v>42750.103946759256</v>
      </c>
      <c r="J215" s="7">
        <v>0</v>
      </c>
      <c r="K215" s="105" t="str">
        <f t="shared" si="145"/>
        <v>4031/4032</v>
      </c>
      <c r="L215" s="22" t="str">
        <f>VLOOKUP(A215,'Trips&amp;Operators'!$C$1:$G$99999,5,FALSE)</f>
        <v>MAGEE KENYA</v>
      </c>
      <c r="M215" s="6">
        <f t="shared" si="146"/>
        <v>8.5069444394321181E-3</v>
      </c>
      <c r="N215" s="7">
        <f t="shared" si="155"/>
        <v>12.24999999278225</v>
      </c>
      <c r="O215" s="7"/>
      <c r="P215" s="7"/>
      <c r="Q215" s="23"/>
      <c r="R215" s="23"/>
      <c r="S215" s="32">
        <f t="shared" si="147"/>
        <v>0</v>
      </c>
      <c r="T215" s="47" t="e">
        <f t="shared" si="148"/>
        <v>#VALUE!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https://search-rtdc-monitor-bjffxe2xuh6vdkpspy63sjmuny.us-east-1.es.amazonaws.com/_plugin/kibana/#/discover/Steve-Slow-Train-Analysis-(2080s-and-2083s)?_g=(refreshInterval:(display:Off,section:0,value:0),time:(from:'2017-01-15 00:31:30-700',mode:absolute,to:'2017-01-15 03:29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15" s="49" t="str">
        <f t="shared" si="149"/>
        <v>Y</v>
      </c>
      <c r="X215" s="173" t="e">
        <f t="shared" si="156"/>
        <v>#VALUE!</v>
      </c>
      <c r="Y215" s="64">
        <f t="shared" si="150"/>
        <v>1.016</v>
      </c>
      <c r="Z215" s="64">
        <f t="shared" si="151"/>
        <v>6.6452</v>
      </c>
      <c r="AA215" s="64">
        <f t="shared" si="152"/>
        <v>5.6292</v>
      </c>
      <c r="AB215" s="61" t="e">
        <f>VLOOKUP(A215,Enforcements!$C$7:$K$15,8,0)</f>
        <v>#N/A</v>
      </c>
      <c r="AC215" s="57" t="e">
        <f>VLOOKUP(A215,Enforcements!$C$7:$E$15,3,0)</f>
        <v>#N/A</v>
      </c>
      <c r="AD215" s="58" t="str">
        <f t="shared" si="153"/>
        <v>81-14</v>
      </c>
      <c r="AE215" s="87" t="str">
        <f t="shared" si="158"/>
        <v>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 &amp; 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</v>
      </c>
      <c r="AF215" s="84" t="str">
        <f t="shared" si="159"/>
        <v>"C:\Program Files (x86)\AstroGrep\AstroGrep.exe" /spath="%USERPROFILE%\AppData\Local\Temp\OnboardLogs" /stypes="app*4031*20170115*" /stext=" 09:.+((SYSTEM_STATE.+slice.+state.+changed )|(ment ac)|(multiple cpu faults)|(system.+state.+changed )|(\[timeout)|(PRM\|1\|D)|(kpr)|(kdp)|(\|lc)|(penalty))" /e /r /s</v>
      </c>
      <c r="AG215" s="1" t="str">
        <f t="shared" si="154"/>
        <v>Other</v>
      </c>
      <c r="AH215" s="88" t="str">
        <f t="shared" si="108"/>
        <v>"%USERPROFILE%\Documents\GitHub\eaglep3\Utilities\RefineRTDCRunTimes.py" --tripid 81-14 --locoid 4031 --swversion DE.1.0.8.0 --startMP 204:10160 --initTime 2017-01-15T01:31:30 --startdatetime 2017-01-15T02:17:26 --delay 1 --endMP 204:66452 --enddatetime 2017-01-15T02:29:41 --enforcementcount 0 &gt;&gt;C:\Users\stu\Documents\GitHub\eaglep3-reporting\EC\2017-01-14-refined-times.txt</v>
      </c>
      <c r="AI215" s="115" t="str">
        <f t="shared" si="109"/>
        <v>echo {"issue":{"subject":"","project_id":79,"tracker_id":40,"status_id":1,"priority_id":2,"assigned_to_id":23,"start_date":"2017-01-15","description":"","custom_fields":[{"id":1,"name":"Subdivision","value":"Other"},{"id":4,"name":"Milepost","value":"6.6452"},{"id":17,"name":"Train ID","value":"81-14"},{"id":16,"name":"Locomotive ID","value":"4031"},{"id":130,"name":"Impact","value":""},{"id":150,"name":"Time of Event (Mountain Time)","value":"02:29:41"},{"id":151,"name":"Denver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110"/>
        <v>start /low /b %USERPROFILE%\Documents\GitHub\eaglep3\Utilities\DownloadLogsFromS3.py --loco 4031 --day 2017-01-15</v>
      </c>
      <c r="AN215" s="189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"%USERPROFILE%\AppData\Local\Temp\OnboardLogs"\RTDC4031\*4031*20170115* | grep -SE "(Enforcement Action)|(\[TIMEOUT)|(CHR.+\|PRM\|1\|D.+(SWITCH|SIGNAL).+UNKNOWN)" - &gt;&gt; 2017-01-14-UncaughtWiMAX.txt</v>
      </c>
    </row>
    <row r="216" spans="1:91" s="21" customFormat="1" x14ac:dyDescent="0.25">
      <c r="A216" s="34" t="s">
        <v>643</v>
      </c>
      <c r="B216" s="7">
        <v>4031</v>
      </c>
      <c r="C216" s="22" t="s">
        <v>201</v>
      </c>
      <c r="D216" s="22" t="s">
        <v>787</v>
      </c>
      <c r="E216" s="13">
        <v>42750.0937037037</v>
      </c>
      <c r="F216" s="13">
        <v>25568.708333333332</v>
      </c>
      <c r="G216" s="7">
        <v>2</v>
      </c>
      <c r="H216" s="22" t="s">
        <v>788</v>
      </c>
      <c r="I216" s="13">
        <v>25568.708333333332</v>
      </c>
      <c r="J216" s="7">
        <v>0</v>
      </c>
      <c r="K216" s="105" t="str">
        <f t="shared" si="145"/>
        <v>4031/4032</v>
      </c>
      <c r="L216" s="22" t="str">
        <f>VLOOKUP(A216,'Trips&amp;Operators'!$C$1:$G$99999,5,FALSE)</f>
        <v>MAGEE KENYA</v>
      </c>
      <c r="M216" s="6">
        <f t="shared" si="146"/>
        <v>0</v>
      </c>
      <c r="N216" s="7">
        <f t="shared" si="155"/>
        <v>0</v>
      </c>
      <c r="O216" s="7"/>
      <c r="P216" s="7"/>
      <c r="Q216" s="23"/>
      <c r="R216" s="23"/>
      <c r="S216" s="32">
        <f t="shared" si="147"/>
        <v>0</v>
      </c>
      <c r="T216" s="47" t="e">
        <f t="shared" si="148"/>
        <v>#VALUE!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https://search-rtdc-monitor-bjffxe2xuh6vdkpspy63sjmuny.us-east-1.es.amazonaws.com/_plugin/kibana/#/discover/Steve-Slow-Train-Analysis-(2080s-and-2083s)?_g=(refreshInterval:(display:Off,section:0,value:0),time:(from:'2017-01-15 01:14:56-700',mode:absolute,to:'1969-12-31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16" s="49" t="str">
        <f t="shared" si="149"/>
        <v>N</v>
      </c>
      <c r="X216" s="173" t="e">
        <f t="shared" si="156"/>
        <v>#VALUE!</v>
      </c>
      <c r="Y216" s="64">
        <f t="shared" si="150"/>
        <v>1.036</v>
      </c>
      <c r="Z216" s="64">
        <f t="shared" si="151"/>
        <v>7.0029000000000003</v>
      </c>
      <c r="AA216" s="64">
        <f t="shared" si="152"/>
        <v>5.9669000000000008</v>
      </c>
      <c r="AB216" s="61" t="e">
        <f>VLOOKUP(A216,Enforcements!$C$7:$K$15,8,0)</f>
        <v>#N/A</v>
      </c>
      <c r="AC216" s="57" t="e">
        <f>VLOOKUP(A216,Enforcements!$C$7:$E$15,3,0)</f>
        <v>#N/A</v>
      </c>
      <c r="AD216" s="58" t="str">
        <f t="shared" si="153"/>
        <v>81-14</v>
      </c>
      <c r="AE216" s="87" t="str">
        <f t="shared" si="158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6" s="84" t="str">
        <f t="shared" si="159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6" s="1" t="str">
        <f t="shared" si="154"/>
        <v>Other</v>
      </c>
      <c r="AH216" s="88" t="str">
        <f t="shared" ref="AH216:AH222" si="160"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81-14 --locoid 4031 --swversion DE.1.0.8.0 --startMP 204:10360 --initTime 2017-01-15T02:14:56 --startdatetime 1969-12-31T17:00:00 --delay 2 --endMP 204:70029 --enddatetime 1969-12-31T17:00:00 --enforcementcount 0 &gt;&gt;C:\Users\stu\Documents\GitHub\eaglep3-reporting\EC\2017-01-14-refined-times.txt</v>
      </c>
      <c r="AI216" s="115" t="str">
        <f t="shared" ref="AI216:AI222" si="161"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Z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{"issue":{"subject":"","project_id":79,"tracker_id":40,"status_id":1,"priority_id":2,"assigned_to_id":23,"start_date":"1969-12-31","description":"","custom_fields":[{"id":1,"name":"Subdivision","value":"Other"},{"id":4,"name":"Milepost","value":"7.0029"},{"id":17,"name":"Train ID","value":"81-14"},{"id":16,"name":"Locomotive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ref="AM216:AM222" si="162">"start /low /b "&amp;dls3logs&amp;" --loco "&amp;B216&amp;" --day "&amp;TEXT(F216,"YYYY-MM-DD")</f>
        <v>start /low /b %USERPROFILE%\Documents\GitHub\eaglep3\Utilities\DownloadLogsFromS3.py --loco 4031 --day 1969-12-31</v>
      </c>
      <c r="AN216" s="189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"%USERPROFILE%\AppData\Local\Temp\OnboardLogs"\RTDC4031\*4031*19700101* | grep -SE "(Enforcement Action)|(\[TIMEOUT)|(CHR.+\|PRM\|1\|D.+(SWITCH|SIGNAL).+UNKNOWN)" - &gt;&gt; 2017-01-14-UncaughtWiMAX.txt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4" t="s">
        <v>643</v>
      </c>
      <c r="B217" s="7">
        <v>4031</v>
      </c>
      <c r="C217" s="22" t="s">
        <v>201</v>
      </c>
      <c r="D217" s="22" t="s">
        <v>789</v>
      </c>
      <c r="E217" s="13">
        <v>42749.974537037036</v>
      </c>
      <c r="F217" s="13">
        <v>42750.028749999998</v>
      </c>
      <c r="G217" s="7">
        <v>1</v>
      </c>
      <c r="H217" s="22" t="s">
        <v>790</v>
      </c>
      <c r="I217" s="13">
        <v>42750.039027777777</v>
      </c>
      <c r="J217" s="7">
        <v>0</v>
      </c>
      <c r="K217" s="105" t="str">
        <f t="shared" si="145"/>
        <v>4031/4032</v>
      </c>
      <c r="L217" s="22" t="str">
        <f>VLOOKUP(A217,'Trips&amp;Operators'!$C$1:$G$99999,5,FALSE)</f>
        <v>MAGEE KENYA</v>
      </c>
      <c r="M217" s="6">
        <f t="shared" si="146"/>
        <v>1.0277777779265307E-2</v>
      </c>
      <c r="N217" s="7">
        <f t="shared" si="155"/>
        <v>14.800000002142042</v>
      </c>
      <c r="O217" s="7"/>
      <c r="P217" s="7"/>
      <c r="Q217" s="23"/>
      <c r="R217" s="23"/>
      <c r="S217" s="32">
        <f t="shared" si="147"/>
        <v>0</v>
      </c>
      <c r="T217" s="47" t="e">
        <f t="shared" si="148"/>
        <v>#VALUE!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https://search-rtdc-monitor-bjffxe2xuh6vdkpspy63sjmuny.us-east-1.es.amazonaws.com/_plugin/kibana/#/discover/Steve-Slow-Train-Analysis-(2080s-and-2083s)?_g=(refreshInterval:(display:Off,section:0,value:0),time:(from:'2017-01-14 22:23:20-700',mode:absolute,to:'2017-01-15 01:56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17" s="49" t="str">
        <f t="shared" si="149"/>
        <v>N</v>
      </c>
      <c r="X217" s="173" t="e">
        <f t="shared" si="156"/>
        <v>#VALUE!</v>
      </c>
      <c r="Y217" s="64">
        <f t="shared" si="150"/>
        <v>1.0479000000000001</v>
      </c>
      <c r="Z217" s="64">
        <f t="shared" si="151"/>
        <v>6.7891000000000004</v>
      </c>
      <c r="AA217" s="64">
        <f t="shared" si="152"/>
        <v>5.7412000000000001</v>
      </c>
      <c r="AB217" s="61" t="e">
        <f>VLOOKUP(A217,Enforcements!$C$7:$K$15,8,0)</f>
        <v>#N/A</v>
      </c>
      <c r="AC217" s="57" t="e">
        <f>VLOOKUP(A217,Enforcements!$C$7:$E$15,3,0)</f>
        <v>#N/A</v>
      </c>
      <c r="AD217" s="58" t="str">
        <f t="shared" si="153"/>
        <v>81-14</v>
      </c>
      <c r="AE217" s="87" t="str">
        <f t="shared" si="158"/>
        <v>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 &amp; 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</v>
      </c>
      <c r="AF217" s="84" t="str">
        <f t="shared" si="159"/>
        <v>"C:\Program Files (x86)\AstroGrep\AstroGrep.exe" /spath="%USERPROFILE%\AppData\Local\Temp\OnboardLogs" /stypes="app*4031*20170115*" /stext=" 07:.+((SYSTEM_STATE.+slice.+state.+changed )|(ment ac)|(multiple cpu faults)|(system.+state.+changed )|(\[timeout)|(PRM\|1\|D)|(kpr)|(kdp)|(\|lc)|(penalty))" /e /r /s</v>
      </c>
      <c r="AG217" s="1" t="str">
        <f t="shared" si="154"/>
        <v>Other</v>
      </c>
      <c r="AH217" s="88" t="str">
        <f t="shared" si="160"/>
        <v>"%USERPROFILE%\Documents\GitHub\eaglep3\Utilities\RefineRTDCRunTimes.py" --tripid 81-14 --locoid 4031 --swversion DE.1.0.8.0 --startMP 204:10479 --initTime 2017-01-14T23:23:20 --startdatetime 2017-01-15T00:41:24 --delay 1 --endMP 204:67891 --enddatetime 2017-01-15T00:56:12 --enforcementcount 0 &gt;&gt;C:\Users\stu\Documents\GitHub\eaglep3-reporting\EC\2017-01-14-refined-times.txt</v>
      </c>
      <c r="AI217" s="115" t="str">
        <f t="shared" si="161"/>
        <v>echo {"issue":{"subject":"","project_id":79,"tracker_id":40,"status_id":1,"priority_id":2,"assigned_to_id":23,"start_date":"2017-01-15","description":"","custom_fields":[{"id":1,"name":"Subdivision","value":"Other"},{"id":4,"name":"Milepost","value":"6.7891"},{"id":17,"name":"Train ID","value":"81-14"},{"id":16,"name":"Locomotive ID","value":"4031"},{"id":130,"name":"Impact","value":""},{"id":150,"name":"Time of Event (Mountain Time)","value":"00:56:12"},{"id":151,"name":"Denver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162"/>
        <v>start /low /b %USERPROFILE%\Documents\GitHub\eaglep3\Utilities\DownloadLogsFromS3.py --loco 4031 --day 2017-01-15</v>
      </c>
      <c r="AN217" s="189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"%USERPROFILE%\AppData\Local\Temp\OnboardLogs"\RTDC4031\*4031*20170115* | grep -SE "(Enforcement Action)|(\[TIMEOUT)|(CHR.+\|PRM\|1\|D.+(SWITCH|SIGNAL).+UNKNOWN)" - &gt;&gt; 2017-01-14-UncaughtWiMAX.txt</v>
      </c>
    </row>
    <row r="218" spans="1:91" x14ac:dyDescent="0.25">
      <c r="A218" s="34" t="s">
        <v>643</v>
      </c>
      <c r="B218" s="7">
        <v>4031</v>
      </c>
      <c r="C218" s="22" t="s">
        <v>201</v>
      </c>
      <c r="D218" s="22" t="s">
        <v>791</v>
      </c>
      <c r="E218" s="13">
        <v>42750.01935185185</v>
      </c>
      <c r="F218" s="13">
        <v>42750.028749999998</v>
      </c>
      <c r="G218" s="7">
        <v>6</v>
      </c>
      <c r="H218" s="22" t="s">
        <v>790</v>
      </c>
      <c r="I218" s="13">
        <v>42750.039027777777</v>
      </c>
      <c r="J218" s="7">
        <v>0</v>
      </c>
      <c r="K218" s="105" t="str">
        <f t="shared" si="145"/>
        <v>4031/4032</v>
      </c>
      <c r="L218" s="22" t="str">
        <f>VLOOKUP(A218,'Trips&amp;Operators'!$C$1:$G$99999,5,FALSE)</f>
        <v>MAGEE KENYA</v>
      </c>
      <c r="M218" s="6">
        <f t="shared" si="146"/>
        <v>1.0277777779265307E-2</v>
      </c>
      <c r="N218" s="7">
        <f t="shared" si="155"/>
        <v>14.800000002142042</v>
      </c>
      <c r="O218" s="7"/>
      <c r="P218" s="7"/>
      <c r="Q218" s="23"/>
      <c r="R218" s="23"/>
      <c r="S218" s="32">
        <f t="shared" si="147"/>
        <v>0</v>
      </c>
      <c r="T218" s="47" t="e">
        <f t="shared" si="148"/>
        <v>#VALUE!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https://search-rtdc-monitor-bjffxe2xuh6vdkpspy63sjmuny.us-east-1.es.amazonaws.com/_plugin/kibana/#/discover/Steve-Slow-Train-Analysis-(2080s-and-2083s)?_g=(refreshInterval:(display:Off,section:0,value:0),time:(from:'2017-01-14 23:27:52-700',mode:absolute,to:'2017-01-15 01:56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18" s="49" t="str">
        <f t="shared" si="149"/>
        <v>N</v>
      </c>
      <c r="X218" s="173" t="e">
        <f t="shared" si="156"/>
        <v>#VALUE!</v>
      </c>
      <c r="Y218" s="64">
        <f t="shared" si="150"/>
        <v>1.0750999999999999</v>
      </c>
      <c r="Z218" s="64">
        <f t="shared" si="151"/>
        <v>6.7891000000000004</v>
      </c>
      <c r="AA218" s="64">
        <f t="shared" si="152"/>
        <v>5.7140000000000004</v>
      </c>
      <c r="AB218" s="61" t="e">
        <f>VLOOKUP(A218,Enforcements!$C$7:$K$15,8,0)</f>
        <v>#N/A</v>
      </c>
      <c r="AC218" s="57" t="e">
        <f>VLOOKUP(A218,Enforcements!$C$7:$E$15,3,0)</f>
        <v>#N/A</v>
      </c>
      <c r="AD218" s="58" t="str">
        <f t="shared" si="153"/>
        <v>81-14</v>
      </c>
      <c r="AE218" s="87" t="str">
        <f t="shared" si="158"/>
        <v>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 &amp; 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</v>
      </c>
      <c r="AF218" s="84" t="str">
        <f t="shared" si="159"/>
        <v>"C:\Program Files (x86)\AstroGrep\AstroGrep.exe" /spath="%USERPROFILE%\AppData\Local\Temp\OnboardLogs" /stypes="app*4031*20170115*" /stext=" 07:.+((SYSTEM_STATE.+slice.+state.+changed )|(ment ac)|(multiple cpu faults)|(system.+state.+changed )|(\[timeout)|(PRM\|1\|D)|(kpr)|(kdp)|(\|lc)|(penalty))" /e /r /s</v>
      </c>
      <c r="AG218" s="1" t="str">
        <f t="shared" si="154"/>
        <v>Other</v>
      </c>
      <c r="AH218" s="88" t="str">
        <f t="shared" si="160"/>
        <v>"%USERPROFILE%\Documents\GitHub\eaglep3\Utilities\RefineRTDCRunTimes.py" --tripid 81-14 --locoid 4031 --swversion DE.1.0.8.0 --startMP 204:10751 --initTime 2017-01-15T00:27:52 --startdatetime 2017-01-15T00:41:24 --delay 6 --endMP 204:67891 --enddatetime 2017-01-15T00:56:12 --enforcementcount 0 &gt;&gt;C:\Users\stu\Documents\GitHub\eaglep3-reporting\EC\2017-01-14-refined-times.txt</v>
      </c>
      <c r="AI218" s="115" t="str">
        <f t="shared" si="161"/>
        <v>echo {"issue":{"subject":"","project_id":79,"tracker_id":40,"status_id":1,"priority_id":2,"assigned_to_id":23,"start_date":"2017-01-15","description":"","custom_fields":[{"id":1,"name":"Subdivision","value":"Other"},{"id":4,"name":"Milepost","value":"6.7891"},{"id":17,"name":"Train ID","value":"81-14"},{"id":16,"name":"Locomotive ID","value":"4031"},{"id":130,"name":"Impact","value":""},{"id":150,"name":"Time of Event (Mountain Time)","value":"00:56:12"},{"id":151,"name":"Denver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162"/>
        <v>start /low /b %USERPROFILE%\Documents\GitHub\eaglep3\Utilities\DownloadLogsFromS3.py --loco 4031 --day 2017-01-15</v>
      </c>
      <c r="AN218" s="189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"%USERPROFILE%\AppData\Local\Temp\OnboardLogs"\RTDC4031\*4031*20170115* | grep -SE "(Enforcement Action)|(\[TIMEOUT)|(CHR.+\|PRM\|1\|D.+(SWITCH|SIGNAL).+UNKNOWN)" - &gt;&gt; 2017-01-14-UncaughtWiMAX.txt</v>
      </c>
    </row>
    <row r="219" spans="1:91" x14ac:dyDescent="0.25">
      <c r="A219" s="34" t="s">
        <v>643</v>
      </c>
      <c r="B219" s="7">
        <v>4031</v>
      </c>
      <c r="C219" s="22" t="s">
        <v>201</v>
      </c>
      <c r="D219" s="22" t="s">
        <v>670</v>
      </c>
      <c r="E219" s="13">
        <v>42749.966817129629</v>
      </c>
      <c r="F219" s="13">
        <v>42750.003587962965</v>
      </c>
      <c r="G219" s="7">
        <v>4</v>
      </c>
      <c r="H219" s="22" t="s">
        <v>670</v>
      </c>
      <c r="I219" s="13">
        <v>42750.037638888891</v>
      </c>
      <c r="J219" s="7">
        <v>0</v>
      </c>
      <c r="K219" s="105" t="str">
        <f t="shared" si="145"/>
        <v>4031/4032</v>
      </c>
      <c r="L219" s="22" t="str">
        <f>VLOOKUP(A219,'Trips&amp;Operators'!$C$1:$G$99999,5,FALSE)</f>
        <v>MAGEE KENYA</v>
      </c>
      <c r="M219" s="6">
        <f t="shared" si="146"/>
        <v>3.4050925925839692E-2</v>
      </c>
      <c r="N219" s="7">
        <f t="shared" si="155"/>
        <v>49.033333333209157</v>
      </c>
      <c r="O219" s="7"/>
      <c r="P219" s="7"/>
      <c r="Q219" s="23"/>
      <c r="R219" s="23"/>
      <c r="S219" s="32">
        <f t="shared" si="147"/>
        <v>0</v>
      </c>
      <c r="T219" s="47" t="e">
        <f t="shared" si="148"/>
        <v>#VALUE!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https://search-rtdc-monitor-bjffxe2xuh6vdkpspy63sjmuny.us-east-1.es.amazonaws.com/_plugin/kibana/#/discover/Steve-Slow-Train-Analysis-(2080s-and-2083s)?_g=(refreshInterval:(display:Off,section:0,value:0),time:(from:'2017-01-14 22:12:13-700',mode:absolute,to:'2017-01-15 01:54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19" s="49" t="str">
        <f t="shared" si="149"/>
        <v>Y</v>
      </c>
      <c r="X219" s="173" t="e">
        <f t="shared" si="156"/>
        <v>#VALUE!</v>
      </c>
      <c r="Y219" s="64">
        <f t="shared" si="150"/>
        <v>4.5100000000000001E-2</v>
      </c>
      <c r="Z219" s="64">
        <f t="shared" si="151"/>
        <v>4.5100000000000001E-2</v>
      </c>
      <c r="AA219" s="64">
        <f t="shared" si="152"/>
        <v>0</v>
      </c>
      <c r="AB219" s="61" t="e">
        <f>VLOOKUP(A219,Enforcements!$C$7:$K$15,8,0)</f>
        <v>#N/A</v>
      </c>
      <c r="AC219" s="57" t="e">
        <f>VLOOKUP(A219,Enforcements!$C$7:$E$15,3,0)</f>
        <v>#N/A</v>
      </c>
      <c r="AD219" s="58" t="str">
        <f t="shared" si="153"/>
        <v>81-14</v>
      </c>
      <c r="AE219" s="87" t="str">
        <f t="shared" si="158"/>
        <v>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 &amp; aws s3 cp s3://rtdc.mdm.uploadarchive.raw/RTDC4031/ "%USERPROFILE%\AppData\Local\Temp\OnboardLogs"\RTDC4031\2017-01-16 --exclude "*" --recursive --include "*20170116*" &amp; "%USERPROFILE%\Documents\GitHub\mrs-test-scripts\Headless Mode &amp; Sideloading\WalkAndUnGZ.bat" "%USERPROFILE%\AppData\Local\Temp\OnboardLogs"\RTDC4031\2017-01-16</v>
      </c>
      <c r="AF219" s="84" t="str">
        <f t="shared" si="159"/>
        <v>"C:\Program Files (x86)\AstroGrep\AstroGrep.exe" /spath="%USERPROFILE%\AppData\Local\Temp\OnboardLogs" /stypes="app*4031*20170115*" /stext=" 07:.+((SYSTEM_STATE.+slice.+state.+changed )|(ment ac)|(multiple cpu faults)|(system.+state.+changed )|(\[timeout)|(PRM\|1\|D)|(kpr)|(kdp)|(\|lc)|(penalty))" /e /r /s</v>
      </c>
      <c r="AG219" s="1" t="str">
        <f t="shared" si="154"/>
        <v>Other</v>
      </c>
      <c r="AH219" s="88" t="str">
        <f t="shared" si="160"/>
        <v>"%USERPROFILE%\Documents\GitHub\eaglep3\Utilities\RefineRTDCRunTimes.py" --tripid 81-14 --locoid 4031 --swversion DE.1.0.8.0 --startMP 204:451 --initTime 2017-01-14T23:12:13 --startdatetime 2017-01-15T00:05:10 --delay 4 --endMP 204:451 --enddatetime 2017-01-15T00:54:12 --enforcementcount 0 &gt;&gt;C:\Users\stu\Documents\GitHub\eaglep3-reporting\EC\2017-01-14-refined-times.txt</v>
      </c>
      <c r="AI219" s="115" t="str">
        <f t="shared" si="161"/>
        <v>echo {"issue":{"subject":"","project_id":79,"tracker_id":40,"status_id":1,"priority_id":2,"assigned_to_id":23,"start_date":"2017-01-15","description":"","custom_fields":[{"id":1,"name":"Subdivision","value":"Other"},{"id":4,"name":"Milepost","value":"0.0451"},{"id":17,"name":"Train ID","value":"81-14"},{"id":16,"name":"Locomotive ID","value":"4031"},{"id":130,"name":"Impact","value":""},{"id":150,"name":"Time of Event (Mountain Time)","value":"00:54:12"},{"id":151,"name":"Denver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162"/>
        <v>start /low /b %USERPROFILE%\Documents\GitHub\eaglep3\Utilities\DownloadLogsFromS3.py --loco 4031 --day 2017-01-15</v>
      </c>
      <c r="AN219" s="189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"%USERPROFILE%\AppData\Local\Temp\OnboardLogs"\RTDC4031\*4031*20170115* | grep -SE "(Enforcement Action)|(\[TIMEOUT)|(CHR.+\|PRM\|1\|D.+(SWITCH|SIGNAL).+UNKNOWN)" - &gt;&gt; 2017-01-14-UncaughtWiMAX.txt</v>
      </c>
    </row>
    <row r="220" spans="1:91" s="21" customFormat="1" x14ac:dyDescent="0.25">
      <c r="A220" s="34" t="s">
        <v>650</v>
      </c>
      <c r="B220" s="7">
        <v>4032</v>
      </c>
      <c r="C220" s="22" t="s">
        <v>201</v>
      </c>
      <c r="D220" s="22" t="s">
        <v>792</v>
      </c>
      <c r="E220" s="13">
        <v>42750.104826388888</v>
      </c>
      <c r="F220" s="13">
        <v>42750.107800925929</v>
      </c>
      <c r="G220" s="7">
        <v>2</v>
      </c>
      <c r="H220" s="22" t="s">
        <v>793</v>
      </c>
      <c r="I220" s="13">
        <v>42750.115717592591</v>
      </c>
      <c r="J220" s="7">
        <v>0</v>
      </c>
      <c r="K220" s="105" t="str">
        <f t="shared" si="145"/>
        <v>4031/4032</v>
      </c>
      <c r="L220" s="22" t="str">
        <f>VLOOKUP(A220,'Trips&amp;Operators'!$C$1:$G$99999,5,FALSE)</f>
        <v>MAGEE KENYA</v>
      </c>
      <c r="M220" s="6">
        <f t="shared" si="146"/>
        <v>7.916666661913041E-3</v>
      </c>
      <c r="N220" s="7">
        <f t="shared" si="155"/>
        <v>11.399999993154779</v>
      </c>
      <c r="O220" s="7"/>
      <c r="P220" s="7"/>
      <c r="Q220" s="23"/>
      <c r="R220" s="23"/>
      <c r="S220" s="32">
        <f t="shared" si="147"/>
        <v>0</v>
      </c>
      <c r="T220" s="47" t="e">
        <f t="shared" si="148"/>
        <v>#VALUE!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https://search-rtdc-monitor-bjffxe2xuh6vdkpspy63sjmuny.us-east-1.es.amazonaws.com/_plugin/kibana/#/discover/Steve-Slow-Train-Analysis-(2080s-and-2083s)?_g=(refreshInterval:(display:Off,section:0,value:0),time:(from:'2017-01-15 01:30:57-700',mode:absolute,to:'2017-01-15 03:46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20" s="49" t="str">
        <f t="shared" si="149"/>
        <v>N</v>
      </c>
      <c r="X220" s="173" t="e">
        <f t="shared" si="156"/>
        <v>#VALUE!</v>
      </c>
      <c r="Y220" s="64">
        <f t="shared" si="150"/>
        <v>6.9718999999999998</v>
      </c>
      <c r="Z220" s="64">
        <f t="shared" si="151"/>
        <v>1.0243</v>
      </c>
      <c r="AA220" s="64">
        <f t="shared" si="152"/>
        <v>5.9475999999999996</v>
      </c>
      <c r="AB220" s="61" t="e">
        <f>VLOOKUP(A220,Enforcements!$C$7:$K$15,8,0)</f>
        <v>#N/A</v>
      </c>
      <c r="AC220" s="57" t="e">
        <f>VLOOKUP(A220,Enforcements!$C$7:$E$15,3,0)</f>
        <v>#N/A</v>
      </c>
      <c r="AD220" s="58" t="str">
        <f t="shared" si="153"/>
        <v>82-14</v>
      </c>
      <c r="AE220" s="87" t="str">
        <f t="shared" si="158"/>
        <v>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 &amp; 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</v>
      </c>
      <c r="AF220" s="84" t="str">
        <f t="shared" si="159"/>
        <v>"C:\Program Files (x86)\AstroGrep\AstroGrep.exe" /spath="%USERPROFILE%\AppData\Local\Temp\OnboardLogs" /stypes="app*4032*20170115*" /stext=" 09:.+((SYSTEM_STATE.+slice.+state.+changed )|(ment ac)|(multiple cpu faults)|(system.+state.+changed )|(\[timeout)|(PRM\|1\|D)|(kpr)|(kdp)|(\|lc)|(penalty))" /e /r /s</v>
      </c>
      <c r="AG220" s="1" t="str">
        <f t="shared" si="154"/>
        <v>Other</v>
      </c>
      <c r="AH220" s="88" t="str">
        <f t="shared" si="160"/>
        <v>"%USERPROFILE%\Documents\GitHub\eaglep3\Utilities\RefineRTDCRunTimes.py" --tripid 82-14 --locoid 4032 --swversion DE.1.0.8.0 --startMP 204:69719 --initTime 2017-01-15T02:30:57 --startdatetime 2017-01-15T02:35:14 --delay 2 --endMP 204:10243 --enddatetime 2017-01-15T02:46:38 --enforcementcount 0 &gt;&gt;C:\Users\stu\Documents\GitHub\eaglep3-reporting\EC\2017-01-14-refined-times.txt</v>
      </c>
      <c r="AI220" s="115" t="str">
        <f t="shared" si="161"/>
        <v>echo {"issue":{"subject":"","project_id":79,"tracker_id":40,"status_id":1,"priority_id":2,"assigned_to_id":23,"start_date":"2017-01-15","description":"","custom_fields":[{"id":1,"name":"Subdivision","value":"Other"},{"id":4,"name":"Milepost","value":"1.0243"},{"id":17,"name":"Train ID","value":"82-14"},{"id":16,"name":"Locomotive ID","value":"4032"},{"id":130,"name":"Impact","value":""},{"id":150,"name":"Time of Event (Mountain Time)","value":"02:46:38"},{"id":151,"name":"Denver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162"/>
        <v>start /low /b %USERPROFILE%\Documents\GitHub\eaglep3\Utilities\DownloadLogsFromS3.py --loco 4032 --day 2017-01-15</v>
      </c>
      <c r="AN220" s="189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"%USERPROFILE%\AppData\Local\Temp\OnboardLogs"\RTDC4032\*4032*20170115* | grep -SE "(Enforcement Action)|(\[TIMEOUT)|(CHR.+\|PRM\|1\|D.+(SWITCH|SIGNAL).+UNKNOWN)" - &gt;&gt; 2017-01-14-UncaughtWiMAX.txt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4" t="s">
        <v>650</v>
      </c>
      <c r="B221" s="7">
        <v>4032</v>
      </c>
      <c r="C221" s="22" t="s">
        <v>201</v>
      </c>
      <c r="D221" s="22" t="s">
        <v>794</v>
      </c>
      <c r="E221" s="13">
        <v>42750.083437499998</v>
      </c>
      <c r="F221" s="13">
        <v>42750.107800925929</v>
      </c>
      <c r="G221" s="7">
        <v>1</v>
      </c>
      <c r="H221" s="22" t="s">
        <v>795</v>
      </c>
      <c r="I221" s="13">
        <v>42750.115717592591</v>
      </c>
      <c r="J221" s="7">
        <v>0</v>
      </c>
      <c r="K221" s="105" t="str">
        <f t="shared" si="145"/>
        <v>4031/4032</v>
      </c>
      <c r="L221" s="22" t="str">
        <f>VLOOKUP(A221,'Trips&amp;Operators'!$C$1:$G$99999,5,FALSE)</f>
        <v>MAGEE KENYA</v>
      </c>
      <c r="M221" s="6">
        <f t="shared" si="146"/>
        <v>7.916666661913041E-3</v>
      </c>
      <c r="N221" s="7">
        <f t="shared" si="155"/>
        <v>11.399999993154779</v>
      </c>
      <c r="O221" s="7"/>
      <c r="P221" s="7"/>
      <c r="Q221" s="23"/>
      <c r="R221" s="23"/>
      <c r="S221" s="32">
        <f t="shared" si="147"/>
        <v>0</v>
      </c>
      <c r="T221" s="47" t="e">
        <f t="shared" si="148"/>
        <v>#VALUE!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https://search-rtdc-monitor-bjffxe2xuh6vdkpspy63sjmuny.us-east-1.es.amazonaws.com/_plugin/kibana/#/discover/Steve-Slow-Train-Analysis-(2080s-and-2083s)?_g=(refreshInterval:(display:Off,section:0,value:0),time:(from:'2017-01-15 01:00:09-700',mode:absolute,to:'2017-01-15 03:46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21" s="49" t="str">
        <f t="shared" si="149"/>
        <v>N</v>
      </c>
      <c r="X221" s="173" t="e">
        <f t="shared" si="156"/>
        <v>#VALUE!</v>
      </c>
      <c r="Y221" s="64">
        <f t="shared" si="150"/>
        <v>6.9865000000000004</v>
      </c>
      <c r="Z221" s="64">
        <f t="shared" si="151"/>
        <v>1.0124</v>
      </c>
      <c r="AA221" s="64">
        <f t="shared" si="152"/>
        <v>5.9741</v>
      </c>
      <c r="AB221" s="61" t="e">
        <f>VLOOKUP(A221,Enforcements!$C$7:$K$15,8,0)</f>
        <v>#N/A</v>
      </c>
      <c r="AC221" s="57" t="e">
        <f>VLOOKUP(A221,Enforcements!$C$7:$E$15,3,0)</f>
        <v>#N/A</v>
      </c>
      <c r="AD221" s="58" t="str">
        <f t="shared" si="153"/>
        <v>82-14</v>
      </c>
      <c r="AE221" s="87" t="str">
        <f t="shared" si="158"/>
        <v>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 &amp; 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</v>
      </c>
      <c r="AF221" s="84" t="str">
        <f t="shared" si="159"/>
        <v>"C:\Program Files (x86)\AstroGrep\AstroGrep.exe" /spath="%USERPROFILE%\AppData\Local\Temp\OnboardLogs" /stypes="app*4032*20170115*" /stext=" 09:.+((SYSTEM_STATE.+slice.+state.+changed )|(ment ac)|(multiple cpu faults)|(system.+state.+changed )|(\[timeout)|(PRM\|1\|D)|(kpr)|(kdp)|(\|lc)|(penalty))" /e /r /s</v>
      </c>
      <c r="AG221" s="1" t="str">
        <f t="shared" si="154"/>
        <v>Other</v>
      </c>
      <c r="AH221" s="88" t="str">
        <f t="shared" si="160"/>
        <v>"%USERPROFILE%\Documents\GitHub\eaglep3\Utilities\RefineRTDCRunTimes.py" --tripid 82-14 --locoid 4032 --swversion DE.1.0.8.0 --startMP 204:69865 --initTime 2017-01-15T02:00:09 --startdatetime 2017-01-15T02:35:14 --delay 1 --endMP 204:10124 --enddatetime 2017-01-15T02:46:38 --enforcementcount 0 &gt;&gt;C:\Users\stu\Documents\GitHub\eaglep3-reporting\EC\2017-01-14-refined-times.txt</v>
      </c>
      <c r="AI221" s="115" t="str">
        <f t="shared" si="161"/>
        <v>echo {"issue":{"subject":"","project_id":79,"tracker_id":40,"status_id":1,"priority_id":2,"assigned_to_id":23,"start_date":"2017-01-15","description":"","custom_fields":[{"id":1,"name":"Subdivision","value":"Other"},{"id":4,"name":"Milepost","value":"1.0124"},{"id":17,"name":"Train ID","value":"82-14"},{"id":16,"name":"Locomotive ID","value":"4032"},{"id":130,"name":"Impact","value":""},{"id":150,"name":"Time of Event (Mountain Time)","value":"02:46:38"},{"id":151,"name":"Denver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162"/>
        <v>start /low /b %USERPROFILE%\Documents\GitHub\eaglep3\Utilities\DownloadLogsFromS3.py --loco 4032 --day 2017-01-15</v>
      </c>
      <c r="AN221" s="189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"%USERPROFILE%\AppData\Local\Temp\OnboardLogs"\RTDC4032\*4032*20170115* | grep -SE "(Enforcement Action)|(\[TIMEOUT)|(CHR.+\|PRM\|1\|D.+(SWITCH|SIGNAL).+UNKNOWN)" - &gt;&gt; 2017-01-14-UncaughtWiMAX.txt</v>
      </c>
    </row>
    <row r="222" spans="1:91" s="21" customFormat="1" x14ac:dyDescent="0.25">
      <c r="A222" s="34" t="s">
        <v>650</v>
      </c>
      <c r="B222" s="7">
        <v>4032</v>
      </c>
      <c r="C222" s="22" t="s">
        <v>201</v>
      </c>
      <c r="D222" s="22" t="s">
        <v>796</v>
      </c>
      <c r="E222" s="13">
        <v>42750.046886574077</v>
      </c>
      <c r="F222" s="13">
        <v>42750.051319444443</v>
      </c>
      <c r="G222" s="7">
        <v>1</v>
      </c>
      <c r="H222" s="22" t="s">
        <v>797</v>
      </c>
      <c r="I222" s="13">
        <v>42750.061481481483</v>
      </c>
      <c r="J222" s="7">
        <v>0</v>
      </c>
      <c r="K222" s="105" t="str">
        <f t="shared" si="145"/>
        <v>4031/4032</v>
      </c>
      <c r="L222" s="22" t="str">
        <f>VLOOKUP(A222,'Trips&amp;Operators'!$C$1:$G$99999,5,FALSE)</f>
        <v>MAGEE KENYA</v>
      </c>
      <c r="M222" s="6">
        <f t="shared" si="146"/>
        <v>1.0162037040572613E-2</v>
      </c>
      <c r="N222" s="7">
        <f t="shared" si="155"/>
        <v>14.633333338424563</v>
      </c>
      <c r="O222" s="7"/>
      <c r="P222" s="7"/>
      <c r="Q222" s="23"/>
      <c r="R222" s="23"/>
      <c r="S222" s="32">
        <f t="shared" si="147"/>
        <v>0</v>
      </c>
      <c r="T222" s="47" t="e">
        <f t="shared" si="148"/>
        <v>#VALUE!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157"/>
        <v>https://search-rtdc-monitor-bjffxe2xuh6vdkpspy63sjmuny.us-east-1.es.amazonaws.com/_plugin/kibana/#/discover/Steve-Slow-Train-Analysis-(2080s-and-2083s)?_g=(refreshInterval:(display:Off,section:0,value:0),time:(from:'2017-01-15 00:07:31-700',mode:absolute,to:'2017-01-15 02:28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22" s="49" t="str">
        <f t="shared" si="149"/>
        <v>N</v>
      </c>
      <c r="X222" s="173" t="e">
        <f t="shared" si="156"/>
        <v>#VALUE!</v>
      </c>
      <c r="Y222" s="64">
        <f t="shared" si="150"/>
        <v>7.6877000000000004</v>
      </c>
      <c r="Z222" s="64">
        <f t="shared" si="151"/>
        <v>0.99129999999999996</v>
      </c>
      <c r="AA222" s="64">
        <f t="shared" ref="AA222" si="163">ABS(Z222-Y222)</f>
        <v>6.6964000000000006</v>
      </c>
      <c r="AB222" s="61" t="e">
        <f>VLOOKUP(A222,Enforcements!$C$7:$K$15,8,0)</f>
        <v>#N/A</v>
      </c>
      <c r="AC222" s="57" t="e">
        <f>VLOOKUP(A222,Enforcements!$C$7:$E$15,3,0)</f>
        <v>#N/A</v>
      </c>
      <c r="AD222" s="58" t="str">
        <f t="shared" si="153"/>
        <v>82-14</v>
      </c>
      <c r="AE222" s="87" t="str">
        <f t="shared" si="158"/>
        <v>aws s3 cp s3://rtdc.mdm.uploadarchive.raw/RTDC4032/ "%USERPROFILE%\AppData\Local\Temp\OnboardLogs"\RTDC4032\2017-01-15 --exclude "*" --recursive --include "*20170115*" &amp; "%USERPROFILE%\Documents\GitHub\mrs-test-scripts\Headless Mode &amp; Sideloading\WalkAndUnGZ.bat" "%USERPROFILE%\AppData\Local\Temp\OnboardLogs"\RTDC4032\2017-01-15 &amp; aws s3 cp s3://rtdc.mdm.uploadarchive.raw/RTDC4032/ "%USERPROFILE%\AppData\Local\Temp\OnboardLogs"\RTDC4032\2017-01-16 --exclude "*" --recursive --include "*20170116*" &amp; "%USERPROFILE%\Documents\GitHub\mrs-test-scripts\Headless Mode &amp; Sideloading\WalkAndUnGZ.bat" "%USERPROFILE%\AppData\Local\Temp\OnboardLogs"\RTDC4032\2017-01-16</v>
      </c>
      <c r="AF222" s="84" t="str">
        <f t="shared" si="159"/>
        <v>"C:\Program Files (x86)\AstroGrep\AstroGrep.exe" /spath="%USERPROFILE%\AppData\Local\Temp\OnboardLogs" /stypes="app*4032*20170115*" /stext=" 08:.+((SYSTEM_STATE.+slice.+state.+changed )|(ment ac)|(multiple cpu faults)|(system.+state.+changed )|(\[timeout)|(PRM\|1\|D)|(kpr)|(kdp)|(\|lc)|(penalty))" /e /r /s</v>
      </c>
      <c r="AG222" s="1" t="str">
        <f t="shared" si="154"/>
        <v>Other</v>
      </c>
      <c r="AH222" s="88" t="str">
        <f t="shared" si="160"/>
        <v>"%USERPROFILE%\Documents\GitHub\eaglep3\Utilities\RefineRTDCRunTimes.py" --tripid 82-14 --locoid 4032 --swversion DE.1.0.8.0 --startMP 204:76877 --initTime 2017-01-15T01:07:31 --startdatetime 2017-01-15T01:13:54 --delay 1 --endMP 204:9913 --enddatetime 2017-01-15T01:28:32 --enforcementcount 0 &gt;&gt;C:\Users\stu\Documents\GitHub\eaglep3-reporting\EC\2017-01-14-refined-times.txt</v>
      </c>
      <c r="AI222" s="115" t="str">
        <f t="shared" si="161"/>
        <v>echo {"issue":{"subject":"","project_id":79,"tracker_id":40,"status_id":1,"priority_id":2,"assigned_to_id":23,"start_date":"2017-01-15","description":"","custom_fields":[{"id":1,"name":"Subdivision","value":"Other"},{"id":4,"name":"Milepost","value":"0.9913"},{"id":17,"name":"Train ID","value":"82-14"},{"id":16,"name":"Locomotive ID","value":"4032"},{"id":130,"name":"Impact","value":""},{"id":150,"name":"Time of Event (Mountain Time)","value":"01:28:32"},{"id":151,"name":"Denver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162"/>
        <v>start /low /b %USERPROFILE%\Documents\GitHub\eaglep3\Utilities\DownloadLogsFromS3.py --loco 4032 --day 2017-01-15</v>
      </c>
      <c r="AN222" s="189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"%USERPROFILE%\AppData\Local\Temp\OnboardLogs"\RTDC4032\*4032*20170115* | grep -SE "(Enforcement Action)|(\[TIMEOUT)|(CHR.+\|PRM\|1\|D.+(SWITCH|SIGNAL).+UNKNOWN)" - &gt;&gt; 2017-01-14-UncaughtWiMAX.txt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</sheetData>
  <autoFilter ref="A12:AG250">
    <sortState ref="A13:AG240">
      <sortCondition ref="AG13:AG212"/>
      <sortCondition ref="AD13:AD212"/>
    </sortState>
  </autoFilter>
  <sortState ref="A13:AH200">
    <sortCondition ref="AG13:AG200"/>
    <sortCondition ref="AD13:AD200"/>
  </sortState>
  <mergeCells count="1">
    <mergeCell ref="A11:P11"/>
  </mergeCells>
  <conditionalFormatting sqref="W11:W12 W265:X1048576 W13:X222">
    <cfRule type="cellIs" dxfId="10" priority="352" operator="equal">
      <formula>"Y"</formula>
    </cfRule>
  </conditionalFormatting>
  <conditionalFormatting sqref="X265:X1048576 X13:X222">
    <cfRule type="cellIs" dxfId="9" priority="335" operator="greaterThan">
      <formula>1</formula>
    </cfRule>
  </conditionalFormatting>
  <conditionalFormatting sqref="X265:X1048576 X12:X222">
    <cfRule type="cellIs" dxfId="8" priority="332" operator="equal">
      <formula>0</formula>
    </cfRule>
  </conditionalFormatting>
  <conditionalFormatting sqref="A13:S222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5"/>
  <sheetViews>
    <sheetView topLeftCell="A2" zoomScaleNormal="100" workbookViewId="0">
      <selection activeCell="P12" sqref="P1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2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2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COUNTIF($O$7:$O$324,"=Y")</f>
        <v>6</v>
      </c>
      <c r="P2" s="129"/>
      <c r="R2" s="85"/>
      <c r="S2" s="97"/>
      <c r="T2" s="82"/>
      <c r="V2" s="45"/>
      <c r="AC2" s="135"/>
      <c r="AE2" s="180"/>
    </row>
    <row r="3" spans="1:32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COUNTA($O$7:$O$324)-O2</f>
        <v>17</v>
      </c>
      <c r="P3" s="129"/>
      <c r="R3" s="85"/>
      <c r="S3" s="97"/>
      <c r="T3" s="82"/>
      <c r="V3" s="45"/>
      <c r="AC3" s="135"/>
      <c r="AE3" s="180"/>
    </row>
    <row r="4" spans="1:32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2" s="10" customFormat="1" ht="15" customHeight="1" x14ac:dyDescent="0.25">
      <c r="A5" s="190" t="str">
        <f>"Eagle P3 Braking Events - "&amp;TEXT(Variables!$A$2,"YYYY-mm-dd")</f>
        <v>Eagle P3 Braking Events - 2017-01-14</v>
      </c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47"/>
      <c r="R5" s="95"/>
      <c r="S5" s="98"/>
      <c r="T5" s="100"/>
      <c r="V5" s="46"/>
      <c r="AC5" s="136"/>
      <c r="AE5" s="182"/>
    </row>
    <row r="6" spans="1:32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220</v>
      </c>
      <c r="AE6" s="181" t="s">
        <v>265</v>
      </c>
    </row>
    <row r="7" spans="1:32" s="1" customFormat="1" x14ac:dyDescent="0.25">
      <c r="A7" s="33">
        <v>42749.372256944444</v>
      </c>
      <c r="B7" s="31" t="s">
        <v>212</v>
      </c>
      <c r="C7" s="31" t="s">
        <v>441</v>
      </c>
      <c r="D7" s="31" t="s">
        <v>49</v>
      </c>
      <c r="E7" s="31" t="s">
        <v>231</v>
      </c>
      <c r="F7" s="44">
        <v>0</v>
      </c>
      <c r="G7" s="44">
        <v>158</v>
      </c>
      <c r="H7" s="44">
        <v>27364</v>
      </c>
      <c r="I7" s="44">
        <v>27273</v>
      </c>
      <c r="J7" s="31" t="s">
        <v>232</v>
      </c>
      <c r="K7" s="44">
        <v>27350</v>
      </c>
      <c r="L7" s="150" t="s">
        <v>51</v>
      </c>
      <c r="M7" s="151">
        <f t="shared" ref="M7:M29" si="0">CONVERT((I7-K7)/10000,"mi","ft")*IF(L7="Increasing Mileposts (1)",-1,1)</f>
        <v>-40.655999999999999</v>
      </c>
      <c r="N7" s="152" t="str">
        <f>VLOOKUP(C7,'Trips&amp;Operators'!$C$1:$G$99999,5,FALSE)</f>
        <v>ROBINSON KADDIBA</v>
      </c>
      <c r="O7" s="179" t="s">
        <v>193</v>
      </c>
      <c r="P7" s="153" t="s">
        <v>302</v>
      </c>
      <c r="Q7" s="31"/>
      <c r="R7" s="96" t="str">
        <f>VLOOKUP(C7,'Train Runs'!$A$13:$AE$9988,31,0)</f>
        <v>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 &amp; 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</v>
      </c>
      <c r="S7" s="99" t="str">
        <f>VLOOKUP(C7,'Train Runs'!$A$13:$AE$9988,22,0)</f>
        <v>https://search-rtdc-monitor-bjffxe2xuh6vdkpspy63sjmuny.us-east-1.es.amazonaws.com/_plugin/kibana/#/discover/Steve-Slow-Train-Analysis-(2080s-and-2083s)?_g=(refreshInterval:(display:Off,section:0,value:0),time:(from:'2017-01-14 07:19:01-700',mode:absolute,to:'2017-01-14 10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T7" s="101" t="str">
        <f t="shared" ref="T7:T2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/stypes="*4037*201701141*" /stext=" 15:.+((SYSTEM_STATE.+slice.+state.+changed )|(ment ac)|(multiple cpu faults)|(system.+state.+changed )|(\[timeout)|(PRM\|1\|D)|(kpr)|(kdp)|(\|lc)|(penalty))" /e /r /s</v>
      </c>
      <c r="U7" s="9" t="str">
        <f t="shared" ref="U7:U29" si="2">MID(B7,13,4)</f>
        <v>4037</v>
      </c>
      <c r="V7" s="33">
        <f t="shared" ref="V7:V29" si="3">A7-utc_offset/24</f>
        <v>42749.663923611108</v>
      </c>
      <c r="W7" s="47" t="str">
        <f t="shared" ref="W7:W29" si="4">IF(VALUE(LEFT(IF(LEN(C7)=6,"0"&amp;C7,C7),2))&lt;=2,"EC",IF(OR(VALUE(LEFT(IF(LEN(C7)=6,"0"&amp;C7,C7),2))=8,VALUE(LEFT(IF(LEN(C7)=6,"0"&amp;C7,C7),2))=18),"NW","Other"))</f>
        <v>EC</v>
      </c>
      <c r="X7" s="47" t="str">
        <f t="shared" ref="X7:X29" si="5">IF(AND(E7="TRACK WARRANT AUTHORITY",G7&lt;10),"OMIT","KEEP")</f>
        <v>KEEP</v>
      </c>
      <c r="Y7" s="115" t="str">
        <f t="shared" ref="Y7:Y2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arrival","project_id":79,"tracker_id":40,"status_id":1,"priority_id":2,"assigned_to_id":23,"start_date":"2017-01-14","description":"","custom_fields":[{"id":1,"name":"Subdivision","value":"EC"},{"id":4,"name":"Milepost","value":"2.735"},{"id":17,"name":"Train ID","value":"132-14"},{"id":16,"name":"Locomotive ID","value":"4037"},{"id":130,"name":"Impact","value":""},{"id":150,"name":"Time of Event (Mountain Time)","value":"08:56:03"},{"id":151,"name":"Denver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2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"%USERPROFILE%\AppData\Local\Temp\OnboardLogs"\RTDC4037\*4037*201701141*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"%USERPROFILE%\AppData\Local\Temp\OnboardLogs"\RTDC4037\*4037*201701141* &gt;&gt; 2017-01-14-SliceDisagreementCheck.txt</v>
      </c>
      <c r="AE7" s="183" t="str">
        <f t="shared" ref="AE7:AE29" si="8">"start /low /b "&amp;dls3logs&amp;" --loco "&amp;U7&amp;" --day "&amp;TEXT(V7,"YYYY-MM-DD")</f>
        <v>start /low /b %USERPROFILE%\Documents\GitHub\eaglep3\Utilities\DownloadLogsFromS3.py --loco 4037 --day 2017-01-14</v>
      </c>
    </row>
    <row r="8" spans="1:32" s="1" customFormat="1" x14ac:dyDescent="0.25">
      <c r="A8" s="33">
        <v>42749.881064814814</v>
      </c>
      <c r="B8" s="31" t="s">
        <v>312</v>
      </c>
      <c r="C8" s="31" t="s">
        <v>450</v>
      </c>
      <c r="D8" s="31" t="s">
        <v>49</v>
      </c>
      <c r="E8" s="31" t="s">
        <v>231</v>
      </c>
      <c r="F8" s="44">
        <v>50</v>
      </c>
      <c r="G8" s="44">
        <v>112</v>
      </c>
      <c r="H8" s="44">
        <v>33032</v>
      </c>
      <c r="I8" s="44">
        <v>33160</v>
      </c>
      <c r="J8" s="31" t="s">
        <v>232</v>
      </c>
      <c r="K8" s="44">
        <v>33137</v>
      </c>
      <c r="L8" s="150" t="s">
        <v>50</v>
      </c>
      <c r="M8" s="151">
        <f t="shared" si="0"/>
        <v>-12.144</v>
      </c>
      <c r="N8" s="152" t="str">
        <f>VLOOKUP(C8,'Trips&amp;Operators'!$C$1:$G$99999,5,FALSE)</f>
        <v>BROWN JACOB</v>
      </c>
      <c r="O8" s="179" t="s">
        <v>193</v>
      </c>
      <c r="P8" s="153" t="s">
        <v>302</v>
      </c>
      <c r="Q8" s="31"/>
      <c r="R8" s="96" t="str">
        <f>VLOOKUP(C8,'Train Runs'!$A$13:$AE$9988,31,0)</f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S8" s="99" t="str">
        <f>VLOOKUP(C8,'Train Runs'!$A$13:$AE$9988,22,0)</f>
        <v>https://search-rtdc-monitor-bjffxe2xuh6vdkpspy63sjmuny.us-east-1.es.amazonaws.com/_plugin/kibana/#/discover/Steve-Slow-Train-Analysis-(2080s-and-2083s)?_g=(refreshInterval:(display:Off,section:0,value:0),time:(from:'2017-01-14 19:53:34-700',mode:absolute,to:'2017-01-14 22:38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T8" s="101" t="str">
        <f t="shared" si="1"/>
        <v>"C:\Program Files (x86)\AstroGrep\AstroGrep.exe" /spath="%USERPROFILE%\AppData\Local\Temp\OnboardLogs" /stypes="*4018*201701150*" /stext=" 04:.+((SYSTEM_STATE.+slice.+state.+changed )|(ment ac)|(multiple cpu faults)|(system.+state.+changed )|(\[timeout)|(PRM\|1\|D)|(kpr)|(kdp)|(\|lc)|(penalty))" /e /r /s</v>
      </c>
      <c r="U8" s="9" t="str">
        <f t="shared" si="2"/>
        <v>4018</v>
      </c>
      <c r="V8" s="33">
        <f t="shared" si="3"/>
        <v>42750.172731481478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arrival","project_id":79,"tracker_id":40,"status_id":1,"priority_id":2,"assigned_to_id":23,"start_date":"2017-01-14","description":"","custom_fields":[{"id":1,"name":"Subdivision","value":"EC"},{"id":4,"name":"Milepost","value":"3.3137"},{"id":17,"name":"Train ID","value":"229-14"},{"id":16,"name":"Locomotive ID","value":"4018"},{"id":130,"name":"Impact","value":""},{"id":150,"name":"Time of Event (Mountain Time)","value":"21:08:44"},{"id":151,"name":"Denver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"%USERPROFILE%\AppData\Local\Temp\OnboardLogs"\RTDC4018\*4018*201701150*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"%USERPROFILE%\AppData\Local\Temp\OnboardLogs"\RTDC4018\*4018*201701150* &gt;&gt; 2017-01-14-SliceDisagreementCheck.txt</v>
      </c>
      <c r="AE8" s="183" t="str">
        <f t="shared" si="8"/>
        <v>start /low /b %USERPROFILE%\Documents\GitHub\eaglep3\Utilities\DownloadLogsFromS3.py --loco 4018 --day 2017-01-15</v>
      </c>
    </row>
    <row r="9" spans="1:32" s="1" customFormat="1" x14ac:dyDescent="0.25">
      <c r="A9" s="33">
        <v>42749.880648148152</v>
      </c>
      <c r="B9" s="31" t="s">
        <v>312</v>
      </c>
      <c r="C9" s="31" t="s">
        <v>450</v>
      </c>
      <c r="D9" s="31" t="s">
        <v>49</v>
      </c>
      <c r="E9" s="31" t="s">
        <v>231</v>
      </c>
      <c r="F9" s="44">
        <v>290</v>
      </c>
      <c r="G9" s="44">
        <v>347</v>
      </c>
      <c r="H9" s="44">
        <v>31991</v>
      </c>
      <c r="I9" s="44">
        <v>32909</v>
      </c>
      <c r="J9" s="31" t="s">
        <v>232</v>
      </c>
      <c r="K9" s="44">
        <v>33137</v>
      </c>
      <c r="L9" s="150" t="s">
        <v>50</v>
      </c>
      <c r="M9" s="151">
        <f t="shared" si="0"/>
        <v>120.384</v>
      </c>
      <c r="N9" s="152" t="str">
        <f>VLOOKUP(C9,'Trips&amp;Operators'!$C$1:$G$99999,5,FALSE)</f>
        <v>BROWN JACOB</v>
      </c>
      <c r="O9" s="179" t="s">
        <v>193</v>
      </c>
      <c r="P9" s="153" t="s">
        <v>302</v>
      </c>
      <c r="Q9" s="31"/>
      <c r="R9" s="96" t="str">
        <f>VLOOKUP(C9,'Train Runs'!$A$13:$AE$9988,31,0)</f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S9" s="99" t="str">
        <f>VLOOKUP(C9,'Train Runs'!$A$13:$AE$9988,22,0)</f>
        <v>https://search-rtdc-monitor-bjffxe2xuh6vdkpspy63sjmuny.us-east-1.es.amazonaws.com/_plugin/kibana/#/discover/Steve-Slow-Train-Analysis-(2080s-and-2083s)?_g=(refreshInterval:(display:Off,section:0,value:0),time:(from:'2017-01-14 19:53:34-700',mode:absolute,to:'2017-01-14 22:38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T9" s="101" t="str">
        <f t="shared" si="1"/>
        <v>"C:\Program Files (x86)\AstroGrep\AstroGrep.exe" /spath="%USERPROFILE%\AppData\Local\Temp\OnboardLogs" /stypes="*4018*201701150*" /stext=" 04:.+((SYSTEM_STATE.+slice.+state.+changed )|(ment ac)|(multiple cpu faults)|(system.+state.+changed )|(\[timeout)|(PRM\|1\|D)|(kpr)|(kdp)|(\|lc)|(penalty))" /e /r /s</v>
      </c>
      <c r="U9" s="9" t="str">
        <f t="shared" si="2"/>
        <v>4018</v>
      </c>
      <c r="V9" s="33">
        <f t="shared" si="3"/>
        <v>42750.172314814816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arrival","project_id":79,"tracker_id":40,"status_id":1,"priority_id":2,"assigned_to_id":23,"start_date":"2017-01-14","description":"","custom_fields":[{"id":1,"name":"Subdivision","value":"EC"},{"id":4,"name":"Milepost","value":"3.3137"},{"id":17,"name":"Train ID","value":"229-14"},{"id":16,"name":"Locomotive ID","value":"4018"},{"id":130,"name":"Impact","value":""},{"id":150,"name":"Time of Event (Mountain Time)","value":"21:08:08"},{"id":151,"name":"Denver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"%USERPROFILE%\AppData\Local\Temp\OnboardLogs"\RTDC4018\*4018*201701150*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"%USERPROFILE%\AppData\Local\Temp\OnboardLogs"\RTDC4018\*4018*201701150* &gt;&gt; 2017-01-14-SliceDisagreementCheck.txt</v>
      </c>
      <c r="AE9" s="183" t="str">
        <f t="shared" si="8"/>
        <v>start /low /b %USERPROFILE%\Documents\GitHub\eaglep3\Utilities\DownloadLogsFromS3.py --loco 4018 --day 2017-01-15</v>
      </c>
    </row>
    <row r="10" spans="1:32" s="1" customFormat="1" x14ac:dyDescent="0.25">
      <c r="A10" s="33">
        <v>42749.911770833336</v>
      </c>
      <c r="B10" s="31" t="s">
        <v>351</v>
      </c>
      <c r="C10" s="31" t="s">
        <v>451</v>
      </c>
      <c r="D10" s="31" t="s">
        <v>49</v>
      </c>
      <c r="E10" s="31" t="s">
        <v>231</v>
      </c>
      <c r="F10" s="44">
        <v>350</v>
      </c>
      <c r="G10" s="44">
        <v>405</v>
      </c>
      <c r="H10" s="44">
        <v>59282</v>
      </c>
      <c r="I10" s="44">
        <v>58155</v>
      </c>
      <c r="J10" s="31" t="s">
        <v>232</v>
      </c>
      <c r="K10" s="44">
        <v>58904</v>
      </c>
      <c r="L10" s="150" t="s">
        <v>51</v>
      </c>
      <c r="M10" s="151">
        <f t="shared" si="0"/>
        <v>-395.47199999999998</v>
      </c>
      <c r="N10" s="152" t="str">
        <f>VLOOKUP(C10,'Trips&amp;Operators'!$C$1:$G$99999,5,FALSE)</f>
        <v>HILLS DUSTIN</v>
      </c>
      <c r="O10" s="179" t="s">
        <v>276</v>
      </c>
      <c r="P10" s="153" t="s">
        <v>879</v>
      </c>
      <c r="Q10" s="31"/>
      <c r="R10" s="96" t="str">
        <f>VLOOKUP(C10,'Train Runs'!$A$13:$AE$9988,31,0)</f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S10" s="99" t="str">
        <f>VLOOKUP(C10,'Train Runs'!$A$13:$AE$9988,22,0)</f>
        <v>https://search-rtdc-monitor-bjffxe2xuh6vdkpspy63sjmuny.us-east-1.es.amazonaws.com/_plugin/kibana/#/discover/Steve-Slow-Train-Analysis-(2080s-and-2083s)?_g=(refreshInterval:(display:Off,section:0,value:0),time:(from:'2017-01-14 20:19:19-700',mode:absolute,to:'2017-01-14 23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T10" s="101" t="str">
        <f t="shared" si="1"/>
        <v>"C:\Program Files (x86)\AstroGrep\AstroGrep.exe" /spath="%USERPROFILE%\AppData\Local\Temp\OnboardLogs" /stypes="*4028*201701150*" /stext=" 04:.+((SYSTEM_STATE.+slice.+state.+changed )|(ment ac)|(multiple cpu faults)|(system.+state.+changed )|(\[timeout)|(PRM\|1\|D)|(kpr)|(kdp)|(\|lc)|(penalty))" /e /r /s</v>
      </c>
      <c r="U10" s="9" t="str">
        <f t="shared" si="2"/>
        <v>4028</v>
      </c>
      <c r="V10" s="33">
        <f t="shared" si="3"/>
        <v>42750.2034375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arrival, banner w/o braking","project_id":79,"tracker_id":40,"status_id":1,"priority_id":2,"assigned_to_id":23,"start_date":"2017-01-14","description":"","custom_fields":[{"id":1,"name":"Subdivision","value":"EC"},{"id":4,"name":"Milepost","value":"5.8904"},{"id":17,"name":"Train ID","value":"228-14"},{"id":16,"name":"Locomotive ID","value":"4028"},{"id":130,"name":"Impact","value":""},{"id":150,"name":"Time of Event (Mountain Time)","value":"21:52:57"},{"id":151,"name":"Denver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"%USERPROFILE%\AppData\Local\Temp\OnboardLogs"\RTDC4028\*4028*201701150*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"%USERPROFILE%\AppData\Local\Temp\OnboardLogs"\RTDC4028\*4028*201701150* &gt;&gt; 2017-01-14-SliceDisagreementCheck.txt</v>
      </c>
      <c r="AE10" s="183" t="str">
        <f t="shared" si="8"/>
        <v>start /low /b %USERPROFILE%\Documents\GitHub\eaglep3\Utilities\DownloadLogsFromS3.py --loco 4028 --day 2017-01-15</v>
      </c>
    </row>
    <row r="11" spans="1:32" s="1" customFormat="1" x14ac:dyDescent="0.25">
      <c r="A11" s="33">
        <v>42749.180972222224</v>
      </c>
      <c r="B11" s="31" t="s">
        <v>219</v>
      </c>
      <c r="C11" s="31" t="s">
        <v>438</v>
      </c>
      <c r="D11" s="31" t="s">
        <v>49</v>
      </c>
      <c r="E11" s="31" t="s">
        <v>274</v>
      </c>
      <c r="F11" s="44">
        <v>400</v>
      </c>
      <c r="G11" s="44">
        <v>493</v>
      </c>
      <c r="H11" s="44">
        <v>16491</v>
      </c>
      <c r="I11" s="44">
        <v>17781</v>
      </c>
      <c r="J11" s="31" t="s">
        <v>275</v>
      </c>
      <c r="K11" s="44">
        <v>17867</v>
      </c>
      <c r="L11" s="150" t="s">
        <v>50</v>
      </c>
      <c r="M11" s="151">
        <f t="shared" si="0"/>
        <v>45.408000000000001</v>
      </c>
      <c r="N11" s="152" t="str">
        <f>VLOOKUP(C11,'Trips&amp;Operators'!$C$1:$G$99999,5,FALSE)</f>
        <v>MAELZER KURT</v>
      </c>
      <c r="O11" s="179" t="s">
        <v>193</v>
      </c>
      <c r="P11" s="153"/>
      <c r="Q11" s="31"/>
      <c r="R11" s="96" t="str">
        <f>VLOOKUP(C11,'Train Runs'!$A$13:$AE$9988,31,0)</f>
        <v>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 &amp; 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</v>
      </c>
      <c r="S11" s="99" t="str">
        <f>VLOOKUP(C11,'Train Runs'!$A$13:$AE$9988,22,0)</f>
        <v>https://search-rtdc-monitor-bjffxe2xuh6vdkpspy63sjmuny.us-east-1.es.amazonaws.com/_plugin/kibana/#/discover/Steve-Slow-Train-Analysis-(2080s-and-2083s)?_g=(refreshInterval:(display:Off,section:0,value:0),time:(from:'2017-01-14 02:59:00-700',mode:absolute,to:'2017-01-14 05:24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11" s="101" t="str">
        <f t="shared" si="1"/>
        <v>"C:\Program Files (x86)\AstroGrep\AstroGrep.exe" /spath="%USERPROFILE%\AppData\Local\Temp\OnboardLogs" /stypes="*4014*201701141*" /stext=" 11:.+((SYSTEM_STATE.+slice.+state.+changed )|(ment ac)|(multiple cpu faults)|(system.+state.+changed )|(\[timeout)|(PRM\|1\|D)|(kpr)|(kdp)|(\|lc)|(penalty))" /e /r /s</v>
      </c>
      <c r="U11" s="9" t="str">
        <f t="shared" si="2"/>
        <v>4014</v>
      </c>
      <c r="V11" s="33">
        <f t="shared" si="3"/>
        <v>42749.472638888888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{"issue":{"subject":"","project_id":79,"tracker_id":40,"status_id":1,"priority_id":2,"assigned_to_id":23,"start_date":"2017-01-14","description":"","custom_fields":[{"id":1,"name":"Subdivision","value":"EC"},{"id":4,"name":"Milepost","value":"1.7867"},{"id":17,"name":"Train ID","value":"105-14"},{"id":16,"name":"Locomotive ID","value":"4014"},{"id":130,"name":"Impact","value":""},{"id":150,"name":"Time of Event (Mountain Time)","value":"04:20:36"},{"id":151,"name":"Denver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"%USERPROFILE%\AppData\Local\Temp\OnboardLogs"\RTDC4014\*4014*201701141*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"%USERPROFILE%\AppData\Local\Temp\OnboardLogs"\RTDC4014\*4014*201701141* &gt;&gt; 2017-01-14-SliceDisagreementCheck.txt</v>
      </c>
      <c r="AE11" s="183" t="str">
        <f t="shared" si="8"/>
        <v>start /low /b %USERPROFILE%\Documents\GitHub\eaglep3\Utilities\DownloadLogsFromS3.py --loco 4014 --day 2017-01-14</v>
      </c>
    </row>
    <row r="12" spans="1:32" s="1" customFormat="1" x14ac:dyDescent="0.25">
      <c r="A12" s="33">
        <v>42749.387997685182</v>
      </c>
      <c r="B12" s="31" t="s">
        <v>211</v>
      </c>
      <c r="C12" s="31" t="s">
        <v>442</v>
      </c>
      <c r="D12" s="31" t="s">
        <v>49</v>
      </c>
      <c r="E12" s="31" t="s">
        <v>274</v>
      </c>
      <c r="F12" s="44">
        <v>400</v>
      </c>
      <c r="G12" s="44">
        <v>469</v>
      </c>
      <c r="H12" s="44">
        <v>17392</v>
      </c>
      <c r="I12" s="44">
        <v>18096</v>
      </c>
      <c r="J12" s="31" t="s">
        <v>275</v>
      </c>
      <c r="K12" s="44">
        <v>17867</v>
      </c>
      <c r="L12" s="150" t="s">
        <v>50</v>
      </c>
      <c r="M12" s="151">
        <f t="shared" si="0"/>
        <v>-120.91200000000001</v>
      </c>
      <c r="N12" s="152" t="str">
        <f>VLOOKUP(C12,'Trips&amp;Operators'!$C$1:$G$99999,5,FALSE)</f>
        <v>ROBINSON KADDIBA</v>
      </c>
      <c r="O12" s="179" t="s">
        <v>193</v>
      </c>
      <c r="P12" s="153"/>
      <c r="Q12" s="31"/>
      <c r="R12" s="96" t="str">
        <f>VLOOKUP(C12,'Train Runs'!$A$13:$AE$9988,31,0)</f>
        <v>aws s3 cp s3://rtdc.mdm.uploadarchive.raw/RTDC4038/ "%USERPROFILE%\AppData\Local\Temp\OnboardLogs"\RTDC4038\2017-01-14 --exclude "*" --recursive --include "*20170114*" &amp; "%USERPROFILE%\Documents\GitHub\mrs-test-scripts\Headless Mode &amp; Sideloading\WalkAndUnGZ.bat" "%USERPROFILE%\AppData\Local\Temp\OnboardLogs"\RTDC4038\2017-01-14 &amp; aws s3 cp s3://rtdc.mdm.uploadarchive.raw/RTDC4038/ "%USERPROFILE%\AppData\Local\Temp\OnboardLogs"\RTDC4038\2017-01-15 --exclude "*" --recursive --include "*20170115*" &amp; "%USERPROFILE%\Documents\GitHub\mrs-test-scripts\Headless Mode &amp; Sideloading\WalkAndUnGZ.bat" "%USERPROFILE%\AppData\Local\Temp\OnboardLogs"\RTDC4038\2017-01-15</v>
      </c>
      <c r="S12" s="99" t="str">
        <f>VLOOKUP(C12,'Train Runs'!$A$13:$AE$9988,22,0)</f>
        <v>https://search-rtdc-monitor-bjffxe2xuh6vdkpspy63sjmuny.us-east-1.es.amazonaws.com/_plugin/kibana/#/discover/Steve-Slow-Train-Analysis-(2080s-and-2083s)?_g=(refreshInterval:(display:Off,section:0,value:0),time:(from:'2017-01-14 08:08:18-700',mode:absolute,to:'2017-01-14 10:52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4038%22')),sort:!(Time,asc))</v>
      </c>
      <c r="T12" s="101" t="str">
        <f t="shared" si="1"/>
        <v>"C:\Program Files (x86)\AstroGrep\AstroGrep.exe" /spath="%USERPROFILE%\AppData\Local\Temp\OnboardLogs" /stypes="*4038*201701141*" /stext=" 16:.+((SYSTEM_STATE.+slice.+state.+changed )|(ment ac)|(multiple cpu faults)|(system.+state.+changed )|(\[timeout)|(PRM\|1\|D)|(kpr)|(kdp)|(\|lc)|(penalty))" /e /r /s</v>
      </c>
      <c r="U12" s="9" t="str">
        <f t="shared" si="2"/>
        <v>4038</v>
      </c>
      <c r="V12" s="33">
        <f t="shared" si="3"/>
        <v>42749.679664351846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{"issue":{"subject":"","project_id":79,"tracker_id":40,"status_id":1,"priority_id":2,"assigned_to_id":23,"start_date":"2017-01-14","description":"","custom_fields":[{"id":1,"name":"Subdivision","value":"EC"},{"id":4,"name":"Milepost","value":"1.7867"},{"id":17,"name":"Train ID","value":"145-14"},{"id":16,"name":"Locomotive ID","value":"4038"},{"id":130,"name":"Impact","value":""},{"id":150,"name":"Time of Event (Mountain Time)","value":"09:18:43"},{"id":151,"name":"Denver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"%USERPROFILE%\AppData\Local\Temp\OnboardLogs"\RTDC4038\*4038*201701141*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"%USERPROFILE%\AppData\Local\Temp\OnboardLogs"\RTDC4038\*4038*201701141* &gt;&gt; 2017-01-14-SliceDisagreementCheck.txt</v>
      </c>
      <c r="AE12" s="183" t="str">
        <f t="shared" si="8"/>
        <v>start /low /b %USERPROFILE%\Documents\GitHub\eaglep3\Utilities\DownloadLogsFromS3.py --loco 4038 --day 2017-01-14</v>
      </c>
    </row>
    <row r="13" spans="1:32" s="1" customFormat="1" x14ac:dyDescent="0.25">
      <c r="A13" s="33">
        <v>42749.858113425929</v>
      </c>
      <c r="B13" s="31" t="s">
        <v>357</v>
      </c>
      <c r="C13" s="31" t="s">
        <v>449</v>
      </c>
      <c r="D13" s="31" t="s">
        <v>49</v>
      </c>
      <c r="E13" s="31" t="s">
        <v>274</v>
      </c>
      <c r="F13" s="44">
        <v>400</v>
      </c>
      <c r="G13" s="44">
        <v>459</v>
      </c>
      <c r="H13" s="44">
        <v>17206</v>
      </c>
      <c r="I13" s="44">
        <v>17925</v>
      </c>
      <c r="J13" s="31" t="s">
        <v>275</v>
      </c>
      <c r="K13" s="44">
        <v>17867</v>
      </c>
      <c r="L13" s="150" t="s">
        <v>50</v>
      </c>
      <c r="M13" s="151">
        <f t="shared" si="0"/>
        <v>-30.623999999999999</v>
      </c>
      <c r="N13" s="152" t="str">
        <f>VLOOKUP(C13,'Trips&amp;Operators'!$C$1:$G$99999,5,FALSE)</f>
        <v>HILLS DUSTIN</v>
      </c>
      <c r="O13" s="179" t="s">
        <v>193</v>
      </c>
      <c r="P13" s="153"/>
      <c r="Q13" s="31"/>
      <c r="R13" s="96" t="str">
        <f>VLOOKUP(C13,'Train Runs'!$A$13:$AE$9988,31,0)</f>
        <v>aws s3 cp s3://rtdc.mdm.uploadarchive.raw/RTDC4027/ "%USERPROFILE%\AppData\Local\Temp\OnboardLogs"\RTDC4027\2017-01-14 --exclude "*" --recursive --include "*20170114*" &amp; "%USERPROFILE%\Documents\GitHub\mrs-test-scripts\Headless Mode &amp; Sideloading\WalkAndUnGZ.bat" "%USERPROFILE%\AppData\Local\Temp\OnboardLogs"\RTDC4027\2017-01-14 &amp; aws s3 cp s3://rtdc.mdm.uploadarchive.raw/RTDC4027/ "%USERPROFILE%\AppData\Local\Temp\OnboardLogs"\RTDC4027\2017-01-15 --exclude "*" --recursive --include "*20170115*" &amp; "%USERPROFILE%\Documents\GitHub\mrs-test-scripts\Headless Mode &amp; Sideloading\WalkAndUnGZ.bat" "%USERPROFILE%\AppData\Local\Temp\OnboardLogs"\RTDC4027\2017-01-15</v>
      </c>
      <c r="S13" s="99" t="str">
        <f>VLOOKUP(C13,'Train Runs'!$A$13:$AE$9988,22,0)</f>
        <v>https://search-rtdc-monitor-bjffxe2xuh6vdkpspy63sjmuny.us-east-1.es.amazonaws.com/_plugin/kibana/#/discover/Steve-Slow-Train-Analysis-(2080s-and-2083s)?_g=(refreshInterval:(display:Off,section:0,value:0),time:(from:'2017-01-14 19:05:33-700',mode:absolute,to:'2017-01-14 22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4027%22')),sort:!(Time,asc))</v>
      </c>
      <c r="T13" s="101" t="str">
        <f t="shared" si="1"/>
        <v>"C:\Program Files (x86)\AstroGrep\AstroGrep.exe" /spath="%USERPROFILE%\AppData\Local\Temp\OnboardLogs" /stypes="*4027*201701150*" /stext=" 03:.+((SYSTEM_STATE.+slice.+state.+changed )|(ment ac)|(multiple cpu faults)|(system.+state.+changed )|(\[timeout)|(PRM\|1\|D)|(kpr)|(kdp)|(\|lc)|(penalty))" /e /r /s</v>
      </c>
      <c r="U13" s="9" t="str">
        <f t="shared" si="2"/>
        <v>4027</v>
      </c>
      <c r="V13" s="33">
        <f t="shared" si="3"/>
        <v>42750.149780092594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{"issue":{"subject":"","project_id":79,"tracker_id":40,"status_id":1,"priority_id":2,"assigned_to_id":23,"start_date":"2017-01-14","description":"","custom_fields":[{"id":1,"name":"Subdivision","value":"EC"},{"id":4,"name":"Milepost","value":"1.7867"},{"id":17,"name":"Train ID","value":"227-14"},{"id":16,"name":"Locomotive ID","value":"4027"},{"id":130,"name":"Impact","value":""},{"id":150,"name":"Time of Event (Mountain Time)","value":"20:35:41"},{"id":151,"name":"Denver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"%USERPROFILE%\AppData\Local\Temp\OnboardLogs"\RTDC4027\*4027*201701150*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"%USERPROFILE%\AppData\Local\Temp\OnboardLogs"\RTDC4027\*4027*201701150* &gt;&gt; 2017-01-14-SliceDisagreementCheck.txt</v>
      </c>
      <c r="AE13" s="183" t="str">
        <f t="shared" si="8"/>
        <v>start /low /b %USERPROFILE%\Documents\GitHub\eaglep3\Utilities\DownloadLogsFromS3.py --loco 4027 --day 2017-01-15</v>
      </c>
    </row>
    <row r="14" spans="1:32" s="1" customFormat="1" x14ac:dyDescent="0.25">
      <c r="A14" s="33">
        <v>42749.935023148151</v>
      </c>
      <c r="B14" s="31" t="s">
        <v>313</v>
      </c>
      <c r="C14" s="31" t="s">
        <v>452</v>
      </c>
      <c r="D14" s="31" t="s">
        <v>49</v>
      </c>
      <c r="E14" s="31" t="s">
        <v>274</v>
      </c>
      <c r="F14" s="44">
        <v>200</v>
      </c>
      <c r="G14" s="44">
        <v>250</v>
      </c>
      <c r="H14" s="44">
        <v>30662</v>
      </c>
      <c r="I14" s="44">
        <v>30150</v>
      </c>
      <c r="J14" s="31" t="s">
        <v>275</v>
      </c>
      <c r="K14" s="44">
        <v>30562</v>
      </c>
      <c r="L14" s="150" t="s">
        <v>51</v>
      </c>
      <c r="M14" s="151">
        <f t="shared" si="0"/>
        <v>-217.536</v>
      </c>
      <c r="N14" s="152" t="str">
        <f>VLOOKUP(C14,'Trips&amp;Operators'!$C$1:$G$99999,5,FALSE)</f>
        <v>BROWN JACOB</v>
      </c>
      <c r="O14" s="179" t="s">
        <v>193</v>
      </c>
      <c r="P14" s="153"/>
      <c r="Q14" s="31"/>
      <c r="R14" s="96" t="str">
        <f>VLOOKUP(C14,'Train Runs'!$A$13:$AE$9988,31,0)</f>
        <v>aws s3 cp s3://rtdc.mdm.uploadarchive.raw/RTDC4017/ "%USERPROFILE%\AppData\Local\Temp\OnboardLogs"\RTDC4017\2017-01-14 --exclude "*" --recursive --include "*20170114*" &amp; "%USERPROFILE%\Documents\GitHub\mrs-test-scripts\Headless Mode &amp; Sideloading\WalkAndUnGZ.bat" "%USERPROFILE%\AppData\Local\Temp\OnboardLogs"\RTDC4017\2017-01-14 &amp; aws s3 cp s3://rtdc.mdm.uploadarchive.raw/RTDC4017/ "%USERPROFILE%\AppData\Local\Temp\OnboardLogs"\RTDC4017\2017-01-15 --exclude "*" --recursive --include "*20170115*" &amp; "%USERPROFILE%\Documents\GitHub\mrs-test-scripts\Headless Mode &amp; Sideloading\WalkAndUnGZ.bat" "%USERPROFILE%\AppData\Local\Temp\OnboardLogs"\RTDC4017\2017-01-15</v>
      </c>
      <c r="S14" s="99" t="str">
        <f>VLOOKUP(C14,'Train Runs'!$A$13:$AE$9988,22,0)</f>
        <v>https://search-rtdc-monitor-bjffxe2xuh6vdkpspy63sjmuny.us-east-1.es.amazonaws.com/_plugin/kibana/#/discover/Steve-Slow-Train-Analysis-(2080s-and-2083s)?_g=(refreshInterval:(display:Off,section:0,value:0),time:(from:'2017-01-14 20:46:50-700',mode:absolute,to:'2017-01-14 23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T14" s="101" t="str">
        <f t="shared" si="1"/>
        <v>"C:\Program Files (x86)\AstroGrep\AstroGrep.exe" /spath="%USERPROFILE%\AppData\Local\Temp\OnboardLogs" /stypes="*4017*201701150*" /stext=" 05:.+((SYSTEM_STATE.+slice.+state.+changed )|(ment ac)|(multiple cpu faults)|(system.+state.+changed )|(\[timeout)|(PRM\|1\|D)|(kpr)|(kdp)|(\|lc)|(penalty))" /e /r /s</v>
      </c>
      <c r="U14" s="9" t="str">
        <f t="shared" si="2"/>
        <v>4017</v>
      </c>
      <c r="V14" s="33">
        <f t="shared" si="3"/>
        <v>42750.226689814815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{"issue":{"subject":"","project_id":79,"tracker_id":40,"status_id":1,"priority_id":2,"assigned_to_id":23,"start_date":"2017-01-14","description":"","custom_fields":[{"id":1,"name":"Subdivision","value":"EC"},{"id":4,"name":"Milepost","value":"3.0562"},{"id":17,"name":"Train ID","value":"230-14"},{"id":16,"name":"Locomotive ID","value":"4017"},{"id":130,"name":"Impact","value":""},{"id":150,"name":"Time of Event (Mountain Time)","value":"22:26:26"},{"id":151,"name":"Denver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"%USERPROFILE%\AppData\Local\Temp\OnboardLogs"\RTDC4017\*4017*201701150*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"%USERPROFILE%\AppData\Local\Temp\OnboardLogs"\RTDC4017\*4017*201701150* &gt;&gt; 2017-01-14-SliceDisagreementCheck.txt</v>
      </c>
      <c r="AE14" s="183" t="str">
        <f t="shared" si="8"/>
        <v>start /low /b %USERPROFILE%\Documents\GitHub\eaglep3\Utilities\DownloadLogsFromS3.py --loco 4017 --day 2017-01-15</v>
      </c>
    </row>
    <row r="15" spans="1:32" s="1" customFormat="1" x14ac:dyDescent="0.25">
      <c r="A15" s="33">
        <v>42749.182592592595</v>
      </c>
      <c r="B15" s="31" t="s">
        <v>219</v>
      </c>
      <c r="C15" s="31" t="s">
        <v>438</v>
      </c>
      <c r="D15" s="31" t="s">
        <v>49</v>
      </c>
      <c r="E15" s="31" t="s">
        <v>194</v>
      </c>
      <c r="F15" s="44">
        <v>0</v>
      </c>
      <c r="G15" s="44">
        <v>127</v>
      </c>
      <c r="H15" s="44">
        <v>19407</v>
      </c>
      <c r="I15" s="44">
        <v>19830</v>
      </c>
      <c r="J15" s="31" t="s">
        <v>195</v>
      </c>
      <c r="K15" s="44">
        <v>20617</v>
      </c>
      <c r="L15" s="150" t="s">
        <v>50</v>
      </c>
      <c r="M15" s="151">
        <f t="shared" si="0"/>
        <v>415.536</v>
      </c>
      <c r="N15" s="152" t="str">
        <f>VLOOKUP(C15,'Trips&amp;Operators'!$C$1:$G$99999,5,FALSE)</f>
        <v>MAELZER KURT</v>
      </c>
      <c r="O15" s="179" t="s">
        <v>276</v>
      </c>
      <c r="P15" s="153" t="s">
        <v>828</v>
      </c>
      <c r="Q15" s="31"/>
      <c r="R15" s="96" t="str">
        <f>VLOOKUP(C15,'Train Runs'!$A$13:$AE$9988,31,0)</f>
        <v>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 &amp; 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</v>
      </c>
      <c r="S15" s="99" t="str">
        <f>VLOOKUP(C15,'Train Runs'!$A$13:$AE$9988,22,0)</f>
        <v>https://search-rtdc-monitor-bjffxe2xuh6vdkpspy63sjmuny.us-east-1.es.amazonaws.com/_plugin/kibana/#/discover/Steve-Slow-Train-Analysis-(2080s-and-2083s)?_g=(refreshInterval:(display:Off,section:0,value:0),time:(from:'2017-01-14 02:59:00-700',mode:absolute,to:'2017-01-14 05:24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15" s="101" t="str">
        <f t="shared" si="1"/>
        <v>"C:\Program Files (x86)\AstroGrep\AstroGrep.exe" /spath="%USERPROFILE%\AppData\Local\Temp\OnboardLogs" /stypes="*4014*201701141*" /stext=" 11:.+((SYSTEM_STATE.+slice.+state.+changed )|(ment ac)|(multiple cpu faults)|(system.+state.+changed )|(\[timeout)|(PRM\|1\|D)|(kpr)|(kdp)|(\|lc)|(penalty))" /e /r /s</v>
      </c>
      <c r="U15" s="9" t="str">
        <f t="shared" si="2"/>
        <v>4014</v>
      </c>
      <c r="V15" s="33">
        <f t="shared" si="3"/>
        <v>42749.474259259259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{"issue":{"subject":"Wi-MAX data drop","project_id":79,"tracker_id":40,"status_id":1,"priority_id":2,"assigned_to_id":23,"start_date":"2017-01-14","description":"","custom_fields":[{"id":1,"name":"Subdivision","value":"EC"},{"id":4,"name":"Milepost","value":"2.0617"},{"id":17,"name":"Train ID","value":"105-14"},{"id":16,"name":"Locomotive ID","value":"4014"},{"id":130,"name":"Impact","value":""},{"id":150,"name":"Time of Event (Mountain Time)","value":"04:22:56"},{"id":151,"name":"Denver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"%USERPROFILE%\AppData\Local\Temp\OnboardLogs"\RTDC4014\*4014*201701141*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"%USERPROFILE%\AppData\Local\Temp\OnboardLogs"\RTDC4014\*4014*201701141* &gt;&gt; 2017-01-14-SliceDisagreementCheck.txt</v>
      </c>
      <c r="AE15" s="183" t="str">
        <f t="shared" si="8"/>
        <v>start /low /b %USERPROFILE%\Documents\GitHub\eaglep3\Utilities\DownloadLogsFromS3.py --loco 4014 --day 2017-01-14</v>
      </c>
    </row>
    <row r="16" spans="1:32" x14ac:dyDescent="0.25">
      <c r="A16" s="33">
        <v>42749.732800925929</v>
      </c>
      <c r="B16" s="31" t="s">
        <v>219</v>
      </c>
      <c r="C16" s="31" t="s">
        <v>446</v>
      </c>
      <c r="D16" s="31" t="s">
        <v>49</v>
      </c>
      <c r="E16" s="31" t="s">
        <v>194</v>
      </c>
      <c r="F16" s="44">
        <v>0</v>
      </c>
      <c r="G16" s="44">
        <v>117</v>
      </c>
      <c r="H16" s="44">
        <v>19280</v>
      </c>
      <c r="I16" s="44">
        <v>19682</v>
      </c>
      <c r="J16" s="31" t="s">
        <v>195</v>
      </c>
      <c r="K16" s="44">
        <v>20617</v>
      </c>
      <c r="L16" s="150" t="s">
        <v>50</v>
      </c>
      <c r="M16" s="151">
        <f t="shared" si="0"/>
        <v>493.68</v>
      </c>
      <c r="N16" s="152" t="str">
        <f>VLOOKUP(C16,'Trips&amp;Operators'!$C$1:$G$99999,5,FALSE)</f>
        <v>BRANDNER MELINDA</v>
      </c>
      <c r="O16" s="179" t="s">
        <v>276</v>
      </c>
      <c r="P16" s="153" t="s">
        <v>828</v>
      </c>
      <c r="Q16" s="31"/>
      <c r="R16" s="96" t="str">
        <f>VLOOKUP(C16,'Train Runs'!$A$13:$AE$9988,31,0)</f>
        <v>aws s3 cp s3://rtdc.mdm.uploadarchive.raw/RTDC4014/ "%USERPROFILE%\AppData\Local\Temp\OnboardLogs"\RTDC4014\2017-01-14 --exclude "*" --recursive --include "*20170114*" &amp; "%USERPROFILE%\Documents\GitHub\mrs-test-scripts\Headless Mode &amp; Sideloading\WalkAndUnGZ.bat" "%USERPROFILE%\AppData\Local\Temp\OnboardLogs"\RTDC4014\2017-01-14 &amp; aws s3 cp s3://rtdc.mdm.uploadarchive.raw/RTDC4014/ "%USERPROFILE%\AppData\Local\Temp\OnboardLogs"\RTDC4014\2017-01-15 --exclude "*" --recursive --include "*20170115*" &amp; "%USERPROFILE%\Documents\GitHub\mrs-test-scripts\Headless Mode &amp; Sideloading\WalkAndUnGZ.bat" "%USERPROFILE%\AppData\Local\Temp\OnboardLogs"\RTDC4014\2017-01-15</v>
      </c>
      <c r="S16" s="99" t="str">
        <f>VLOOKUP(C16,'Train Runs'!$A$13:$AE$9988,22,0)</f>
        <v>https://search-rtdc-monitor-bjffxe2xuh6vdkpspy63sjmuny.us-east-1.es.amazonaws.com/_plugin/kibana/#/discover/Steve-Slow-Train-Analysis-(2080s-and-2083s)?_g=(refreshInterval:(display:Off,section:0,value:0),time:(from:'2017-01-14 16:25:25-700',mode:absolute,to:'2017-01-14 19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4014%22')),sort:!(Time,asc))</v>
      </c>
      <c r="T16" s="101" t="str">
        <f t="shared" si="1"/>
        <v>"C:\Program Files (x86)\AstroGrep\AstroGrep.exe" /spath="%USERPROFILE%\AppData\Local\Temp\OnboardLogs" /stypes="*4014*201701150*" /stext=" 00:.+((SYSTEM_STATE.+slice.+state.+changed )|(ment ac)|(multiple cpu faults)|(system.+state.+changed )|(\[timeout)|(PRM\|1\|D)|(kpr)|(kdp)|(\|lc)|(penalty))" /e /r /s</v>
      </c>
      <c r="U16" s="9" t="str">
        <f t="shared" si="2"/>
        <v>4014</v>
      </c>
      <c r="V16" s="33">
        <f t="shared" si="3"/>
        <v>42750.024467592593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{"issue":{"subject":"Wi-MAX data drop","project_id":79,"tracker_id":40,"status_id":1,"priority_id":2,"assigned_to_id":23,"start_date":"2017-01-14","description":"","custom_fields":[{"id":1,"name":"Subdivision","value":"EC"},{"id":4,"name":"Milepost","value":"2.0617"},{"id":17,"name":"Train ID","value":"211-14"},{"id":16,"name":"Locomotive ID","value":"4014"},{"id":130,"name":"Impact","value":""},{"id":150,"name":"Time of Event (Mountain Time)","value":"17:35:14"},{"id":151,"name":"Denver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"%USERPROFILE%\AppData\Local\Temp\OnboardLogs"\RTDC4014\*4014*201701150*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"%USERPROFILE%\AppData\Local\Temp\OnboardLogs"\RTDC4014\*4014*201701150* &gt;&gt; 2017-01-14-SliceDisagreementCheck.txt</v>
      </c>
      <c r="AE16" s="183" t="str">
        <f t="shared" si="8"/>
        <v>start /low /b %USERPROFILE%\Documents\GitHub\eaglep3\Utilities\DownloadLogsFromS3.py --loco 4014 --day 2017-01-15</v>
      </c>
      <c r="AF16" s="1"/>
    </row>
    <row r="17" spans="1:32" x14ac:dyDescent="0.25">
      <c r="A17" s="33">
        <v>42749.222962962966</v>
      </c>
      <c r="B17" s="31" t="s">
        <v>435</v>
      </c>
      <c r="C17" s="31" t="s">
        <v>439</v>
      </c>
      <c r="D17" s="31" t="s">
        <v>49</v>
      </c>
      <c r="E17" s="31" t="s">
        <v>194</v>
      </c>
      <c r="F17" s="44">
        <v>0</v>
      </c>
      <c r="G17" s="44">
        <v>550</v>
      </c>
      <c r="H17" s="44">
        <v>164281</v>
      </c>
      <c r="I17" s="44">
        <v>162176</v>
      </c>
      <c r="J17" s="31" t="s">
        <v>195</v>
      </c>
      <c r="K17" s="44">
        <v>162262</v>
      </c>
      <c r="L17" s="150" t="s">
        <v>51</v>
      </c>
      <c r="M17" s="151">
        <f t="shared" si="0"/>
        <v>-45.408000000000001</v>
      </c>
      <c r="N17" s="152" t="str">
        <f>VLOOKUP(C17,'Trips&amp;Operators'!$C$1:$G$99999,5,FALSE)</f>
        <v>MAELZER KURT</v>
      </c>
      <c r="O17" s="179" t="s">
        <v>276</v>
      </c>
      <c r="P17" s="153" t="s">
        <v>828</v>
      </c>
      <c r="Q17" s="31"/>
      <c r="R17" s="96" t="str">
        <f>VLOOKUP(C17,'Train Runs'!$A$13:$AE$9988,31,0)</f>
        <v>aws s3 cp s3://rtdc.mdm.uploadarchive.raw/RTDC4041/ "%USERPROFILE%\AppData\Local\Temp\OnboardLogs"\RTDC4041\2017-01-14 --exclude "*" --recursive --include "*20170114*" &amp; "%USERPROFILE%\Documents\GitHub\mrs-test-scripts\Headless Mode &amp; Sideloading\WalkAndUnGZ.bat" "%USERPROFILE%\AppData\Local\Temp\OnboardLogs"\RTDC4041\2017-01-14 &amp; 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</v>
      </c>
      <c r="S17" s="99" t="str">
        <f>VLOOKUP(C17,'Train Runs'!$A$13:$AE$9988,22,0)</f>
        <v>https://search-rtdc-monitor-bjffxe2xuh6vdkpspy63sjmuny.us-east-1.es.amazonaws.com/_plugin/kibana/#/discover/Steve-Slow-Train-Analysis-(2080s-and-2083s)?_g=(refreshInterval:(display:Off,section:0,value:0),time:(from:'2017-01-14 04:10:07-700',mode:absolute,to:'2017-01-14 06:24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T17" s="101" t="str">
        <f t="shared" si="1"/>
        <v>"C:\Program Files (x86)\AstroGrep\AstroGrep.exe" /spath="%USERPROFILE%\AppData\Local\Temp\OnboardLogs" /stypes="*4041*201701141*" /stext=" 12:.+((SYSTEM_STATE.+slice.+state.+changed )|(ment ac)|(multiple cpu faults)|(system.+state.+changed )|(\[timeout)|(PRM\|1\|D)|(kpr)|(kdp)|(\|lc)|(penalty))" /e /r /s</v>
      </c>
      <c r="U17" s="9" t="str">
        <f t="shared" si="2"/>
        <v>4041</v>
      </c>
      <c r="V17" s="33">
        <f t="shared" si="3"/>
        <v>42749.51462962963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{"issue":{"subject":"Wi-MAX data drop","project_id":79,"tracker_id":40,"status_id":1,"priority_id":2,"assigned_to_id":23,"start_date":"2017-01-14","description":"","custom_fields":[{"id":1,"name":"Subdivision","value":"EC"},{"id":4,"name":"Milepost","value":"16.2262"},{"id":17,"name":"Train ID","value":"106-14"},{"id":16,"name":"Locomotive ID","value":"4041"},{"id":130,"name":"Impact","value":""},{"id":150,"name":"Time of Event (Mountain Time)","value":"05:21:04"},{"id":151,"name":"Denver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"%USERPROFILE%\AppData\Local\Temp\OnboardLogs"\RTDC4041\*4041*201701141*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"%USERPROFILE%\AppData\Local\Temp\OnboardLogs"\RTDC4041\*4041*201701141* &gt;&gt; 2017-01-14-SliceDisagreementCheck.txt</v>
      </c>
      <c r="AE17" s="183" t="str">
        <f t="shared" si="8"/>
        <v>start /low /b %USERPROFILE%\Documents\GitHub\eaglep3\Utilities\DownloadLogsFromS3.py --loco 4041 --day 2017-01-14</v>
      </c>
      <c r="AF17" s="1"/>
    </row>
    <row r="18" spans="1:32" x14ac:dyDescent="0.25">
      <c r="A18" s="33">
        <v>42749.898206018515</v>
      </c>
      <c r="B18" s="31" t="s">
        <v>351</v>
      </c>
      <c r="C18" s="31" t="s">
        <v>451</v>
      </c>
      <c r="D18" s="31" t="s">
        <v>49</v>
      </c>
      <c r="E18" s="31" t="s">
        <v>194</v>
      </c>
      <c r="F18" s="44">
        <v>0</v>
      </c>
      <c r="G18" s="44">
        <v>35</v>
      </c>
      <c r="H18" s="44">
        <v>191904</v>
      </c>
      <c r="I18" s="44">
        <v>191778</v>
      </c>
      <c r="J18" s="31" t="s">
        <v>195</v>
      </c>
      <c r="K18" s="44">
        <v>191723</v>
      </c>
      <c r="L18" s="150" t="s">
        <v>51</v>
      </c>
      <c r="M18" s="151">
        <f t="shared" si="0"/>
        <v>29.04</v>
      </c>
      <c r="N18" s="152" t="str">
        <f>VLOOKUP(C18,'Trips&amp;Operators'!$C$1:$G$99999,5,FALSE)</f>
        <v>HILLS DUSTIN</v>
      </c>
      <c r="O18" s="179" t="s">
        <v>193</v>
      </c>
      <c r="P18" s="153" t="s">
        <v>829</v>
      </c>
      <c r="Q18" s="31"/>
      <c r="R18" s="96" t="str">
        <f>VLOOKUP(C18,'Train Runs'!$A$13:$AE$9988,31,0)</f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S18" s="99" t="str">
        <f>VLOOKUP(C18,'Train Runs'!$A$13:$AE$9988,22,0)</f>
        <v>https://search-rtdc-monitor-bjffxe2xuh6vdkpspy63sjmuny.us-east-1.es.amazonaws.com/_plugin/kibana/#/discover/Steve-Slow-Train-Analysis-(2080s-and-2083s)?_g=(refreshInterval:(display:Off,section:0,value:0),time:(from:'2017-01-14 20:19:19-700',mode:absolute,to:'2017-01-14 23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T18" s="101" t="str">
        <f t="shared" si="1"/>
        <v>"C:\Program Files (x86)\AstroGrep\AstroGrep.exe" /spath="%USERPROFILE%\AppData\Local\Temp\OnboardLogs" /stypes="*4028*201701150*" /stext=" 04:.+((SYSTEM_STATE.+slice.+state.+changed )|(ment ac)|(multiple cpu faults)|(system.+state.+changed )|(\[timeout)|(PRM\|1\|D)|(kpr)|(kdp)|(\|lc)|(penalty))" /e /r /s</v>
      </c>
      <c r="U18" s="9" t="str">
        <f t="shared" si="2"/>
        <v>4028</v>
      </c>
      <c r="V18" s="33">
        <f t="shared" si="3"/>
        <v>42750.18987268518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{"issue":{"subject":"Pena 4S STOP","project_id":79,"tracker_id":40,"status_id":1,"priority_id":2,"assigned_to_id":23,"start_date":"2017-01-14","description":"","custom_fields":[{"id":1,"name":"Subdivision","value":"EC"},{"id":4,"name":"Milepost","value":"19.1723"},{"id":17,"name":"Train ID","value":"228-14"},{"id":16,"name":"Locomotive ID","value":"4028"},{"id":130,"name":"Impact","value":""},{"id":150,"name":"Time of Event (Mountain Time)","value":"21:33:25"},{"id":151,"name":"Denver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"%USERPROFILE%\AppData\Local\Temp\OnboardLogs"\RTDC4028\*4028*201701150*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"%USERPROFILE%\AppData\Local\Temp\OnboardLogs"\RTDC4028\*4028*201701150* &gt;&gt; 2017-01-14-SliceDisagreementCheck.txt</v>
      </c>
      <c r="AE18" s="183" t="str">
        <f t="shared" si="8"/>
        <v>start /low /b %USERPROFILE%\Documents\GitHub\eaglep3\Utilities\DownloadLogsFromS3.py --loco 4028 --day 2017-01-15</v>
      </c>
      <c r="AF18" s="1"/>
    </row>
    <row r="19" spans="1:32" x14ac:dyDescent="0.25">
      <c r="A19" s="33">
        <v>42749.576493055552</v>
      </c>
      <c r="B19" s="31" t="s">
        <v>245</v>
      </c>
      <c r="C19" s="31" t="s">
        <v>445</v>
      </c>
      <c r="D19" s="31" t="s">
        <v>49</v>
      </c>
      <c r="E19" s="31" t="s">
        <v>196</v>
      </c>
      <c r="F19" s="44">
        <v>0</v>
      </c>
      <c r="G19" s="44">
        <v>66</v>
      </c>
      <c r="H19" s="44">
        <v>231</v>
      </c>
      <c r="I19" s="44">
        <v>123</v>
      </c>
      <c r="J19" s="31" t="s">
        <v>197</v>
      </c>
      <c r="K19" s="44">
        <v>1</v>
      </c>
      <c r="L19" s="150" t="s">
        <v>51</v>
      </c>
      <c r="M19" s="151">
        <f t="shared" si="0"/>
        <v>64.415999999999997</v>
      </c>
      <c r="N19" s="152" t="str">
        <f>VLOOKUP(C19,'Trips&amp;Operators'!$C$1:$G$99999,5,FALSE)</f>
        <v>BRANDNER MELINDA</v>
      </c>
      <c r="O19" s="179" t="s">
        <v>276</v>
      </c>
      <c r="P19" s="153" t="s">
        <v>878</v>
      </c>
      <c r="Q19" s="31"/>
      <c r="R19" s="96" t="str">
        <f>VLOOKUP(C19,'Train Runs'!$A$13:$AE$9988,31,0)</f>
        <v>aws s3 cp s3://rtdc.mdm.uploadarchive.raw/RTDC4013/ "%USERPROFILE%\AppData\Local\Temp\OnboardLogs"\RTDC4013\2017-01-14 --exclude "*" --recursive --include "*20170114*" &amp; "%USERPROFILE%\Documents\GitHub\mrs-test-scripts\Headless Mode &amp; Sideloading\WalkAndUnGZ.bat" "%USERPROFILE%\AppData\Local\Temp\OnboardLogs"\RTDC4013\2017-01-14 &amp; aws s3 cp s3://rtdc.mdm.uploadarchive.raw/RTDC4013/ "%USERPROFILE%\AppData\Local\Temp\OnboardLogs"\RTDC4013\2017-01-15 --exclude "*" --recursive --include "*20170115*" &amp; "%USERPROFILE%\Documents\GitHub\mrs-test-scripts\Headless Mode &amp; Sideloading\WalkAndUnGZ.bat" "%USERPROFILE%\AppData\Local\Temp\OnboardLogs"\RTDC4013\2017-01-15</v>
      </c>
      <c r="S19" s="99" t="str">
        <f>VLOOKUP(C19,'Train Runs'!$A$13:$AE$9988,22,0)</f>
        <v>https://search-rtdc-monitor-bjffxe2xuh6vdkpspy63sjmuny.us-east-1.es.amazonaws.com/_plugin/kibana/#/discover/Steve-Slow-Train-Analysis-(2080s-and-2083s)?_g=(refreshInterval:(display:Off,section:0,value:0),time:(from:'2017-01-14 12:03:40-700',mode:absolute,to:'2017-01-14 14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T19" s="101" t="str">
        <f t="shared" si="1"/>
        <v>"C:\Program Files (x86)\AstroGrep\AstroGrep.exe" /spath="%USERPROFILE%\AppData\Local\Temp\OnboardLogs" /stypes="*4013*201701142*" /stext=" 20:.+((SYSTEM_STATE.+slice.+state.+changed )|(ment ac)|(multiple cpu faults)|(system.+state.+changed )|(\[timeout)|(PRM\|1\|D)|(kpr)|(kdp)|(\|lc)|(penalty))" /e /r /s</v>
      </c>
      <c r="U19" s="9" t="str">
        <f t="shared" si="2"/>
        <v>4013</v>
      </c>
      <c r="V19" s="33">
        <f t="shared" si="3"/>
        <v>42749.868159722217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{"issue":{"subject":"Banner w/o braking","project_id":79,"tracker_id":40,"status_id":1,"priority_id":2,"assigned_to_id":23,"start_date":"2017-01-14","description":"","custom_fields":[{"id":1,"name":"Subdivision","value":"EC"},{"id":4,"name":"Milepost","value":"0.0001"},{"id":17,"name":"Train ID","value":"170-14"},{"id":16,"name":"Locomotive ID","value":"4013"},{"id":130,"name":"Impact","value":""},{"id":150,"name":"Time of Event (Mountain Time)","value":"13:50:09"},{"id":151,"name":"Denver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"%USERPROFILE%\AppData\Local\Temp\OnboardLogs"\RTDC4013\*4013*201701142*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"%USERPROFILE%\AppData\Local\Temp\OnboardLogs"\RTDC4013\*4013*201701142* &gt;&gt; 2017-01-14-SliceDisagreementCheck.txt</v>
      </c>
      <c r="AE19" s="183" t="str">
        <f t="shared" si="8"/>
        <v>start /low /b %USERPROFILE%\Documents\GitHub\eaglep3\Utilities\DownloadLogsFromS3.py --loco 4013 --day 2017-01-14</v>
      </c>
      <c r="AF19" s="1"/>
    </row>
    <row r="20" spans="1:32" ht="15" customHeight="1" x14ac:dyDescent="0.25">
      <c r="A20" s="33">
        <v>42749.816446759258</v>
      </c>
      <c r="B20" s="31" t="s">
        <v>212</v>
      </c>
      <c r="C20" s="31" t="s">
        <v>448</v>
      </c>
      <c r="D20" s="31" t="s">
        <v>49</v>
      </c>
      <c r="E20" s="31" t="s">
        <v>196</v>
      </c>
      <c r="F20" s="44">
        <v>0</v>
      </c>
      <c r="G20" s="44">
        <v>65</v>
      </c>
      <c r="H20" s="44">
        <v>205</v>
      </c>
      <c r="I20" s="44">
        <v>162</v>
      </c>
      <c r="J20" s="31" t="s">
        <v>197</v>
      </c>
      <c r="K20" s="44">
        <v>1</v>
      </c>
      <c r="L20" s="150" t="s">
        <v>51</v>
      </c>
      <c r="M20" s="151">
        <f t="shared" si="0"/>
        <v>85.007999999999996</v>
      </c>
      <c r="N20" s="152" t="str">
        <f>VLOOKUP(C20,'Trips&amp;Operators'!$C$1:$G$99999,5,FALSE)</f>
        <v>WHITED DUSTIN</v>
      </c>
      <c r="O20" s="179" t="s">
        <v>193</v>
      </c>
      <c r="P20" s="153"/>
      <c r="Q20" s="31"/>
      <c r="R20" s="96" t="str">
        <f>VLOOKUP(C20,'Train Runs'!$A$13:$AE$9988,31,0)</f>
        <v>aws s3 cp s3://rtdc.mdm.uploadarchive.raw/RTDC4037/ "%USERPROFILE%\AppData\Local\Temp\OnboardLogs"\RTDC4037\2017-01-14 --exclude "*" --recursive --include "*20170114*" &amp; "%USERPROFILE%\Documents\GitHub\mrs-test-scripts\Headless Mode &amp; Sideloading\WalkAndUnGZ.bat" "%USERPROFILE%\AppData\Local\Temp\OnboardLogs"\RTDC4037\2017-01-14 &amp; aws s3 cp s3://rtdc.mdm.uploadarchive.raw/RTDC4037/ "%USERPROFILE%\AppData\Local\Temp\OnboardLogs"\RTDC4037\2017-01-15 --exclude "*" --recursive --include "*20170115*" &amp; "%USERPROFILE%\Documents\GitHub\mrs-test-scripts\Headless Mode &amp; Sideloading\WalkAndUnGZ.bat" "%USERPROFILE%\AppData\Local\Temp\OnboardLogs"\RTDC4037\2017-01-15</v>
      </c>
      <c r="S20" s="99" t="str">
        <f>VLOOKUP(C20,'Train Runs'!$A$13:$AE$9988,22,0)</f>
        <v>https://search-rtdc-monitor-bjffxe2xuh6vdkpspy63sjmuny.us-east-1.es.amazonaws.com/_plugin/kibana/#/discover/Steve-Slow-Train-Analysis-(2080s-and-2083s)?_g=(refreshInterval:(display:Off,section:0,value:0),time:(from:'2017-01-14 17:47:18-700',mode:absolute,to:'2017-01-14 20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4037%22')),sort:!(Time,asc))</v>
      </c>
      <c r="T20" s="101" t="str">
        <f t="shared" si="1"/>
        <v>"C:\Program Files (x86)\AstroGrep\AstroGrep.exe" /spath="%USERPROFILE%\AppData\Local\Temp\OnboardLogs" /stypes="*4037*201701150*" /stext=" 02:.+((SYSTEM_STATE.+slice.+state.+changed )|(ment ac)|(multiple cpu faults)|(system.+state.+changed )|(\[timeout)|(PRM\|1\|D)|(kpr)|(kdp)|(\|lc)|(penalty))" /e /r /s</v>
      </c>
      <c r="U20" s="9" t="str">
        <f t="shared" si="2"/>
        <v>4037</v>
      </c>
      <c r="V20" s="33">
        <f t="shared" si="3"/>
        <v>42750.108113425922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{"issue":{"subject":"","project_id":79,"tracker_id":40,"status_id":1,"priority_id":2,"assigned_to_id":23,"start_date":"2017-01-14","description":"","custom_fields":[{"id":1,"name":"Subdivision","value":"EC"},{"id":4,"name":"Milepost","value":"0.0001"},{"id":17,"name":"Train ID","value":"216-14"},{"id":16,"name":"Locomotive ID","value":"4037"},{"id":130,"name":"Impact","value":""},{"id":150,"name":"Time of Event (Mountain Time)","value":"19:35:41"},{"id":151,"name":"Denver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"%USERPROFILE%\AppData\Local\Temp\OnboardLogs"\RTDC4037\*4037*201701150*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"%USERPROFILE%\AppData\Local\Temp\OnboardLogs"\RTDC4037\*4037*201701150* &gt;&gt; 2017-01-14-SliceDisagreementCheck.txt</v>
      </c>
      <c r="AE20" s="183" t="str">
        <f t="shared" si="8"/>
        <v>start /low /b %USERPROFILE%\Documents\GitHub\eaglep3\Utilities\DownloadLogsFromS3.py --loco 4037 --day 2017-01-15</v>
      </c>
      <c r="AF20" s="1"/>
    </row>
    <row r="21" spans="1:32" ht="15" customHeight="1" x14ac:dyDescent="0.25">
      <c r="A21" s="33">
        <v>42749.328819444447</v>
      </c>
      <c r="B21" s="31" t="s">
        <v>270</v>
      </c>
      <c r="C21" s="31" t="s">
        <v>440</v>
      </c>
      <c r="D21" s="31" t="s">
        <v>49</v>
      </c>
      <c r="E21" s="31" t="s">
        <v>196</v>
      </c>
      <c r="F21" s="44">
        <v>0</v>
      </c>
      <c r="G21" s="44">
        <v>44</v>
      </c>
      <c r="H21" s="44">
        <v>233327</v>
      </c>
      <c r="I21" s="44">
        <v>233355</v>
      </c>
      <c r="J21" s="31" t="s">
        <v>197</v>
      </c>
      <c r="K21" s="44">
        <v>233491</v>
      </c>
      <c r="L21" s="150" t="s">
        <v>50</v>
      </c>
      <c r="M21" s="151">
        <f t="shared" si="0"/>
        <v>71.808000000000007</v>
      </c>
      <c r="N21" s="152" t="str">
        <f>VLOOKUP(C21,'Trips&amp;Operators'!$C$1:$G$99999,5,FALSE)</f>
        <v>GEBRETEKLE DAGNEW</v>
      </c>
      <c r="O21" s="179" t="s">
        <v>193</v>
      </c>
      <c r="P21" s="153"/>
      <c r="Q21" s="31"/>
      <c r="R21" s="96" t="str">
        <f>VLOOKUP(C21,'Train Runs'!$A$13:$AE$9988,31,0)</f>
        <v>aws s3 cp s3://rtdc.mdm.uploadarchive.raw/RTDC4031/ "%USERPROFILE%\AppData\Local\Temp\OnboardLogs"\RTDC4031\2017-01-14 --exclude "*" --recursive --include "*20170114*" &amp; "%USERPROFILE%\Documents\GitHub\mrs-test-scripts\Headless Mode &amp; Sideloading\WalkAndUnGZ.bat" "%USERPROFILE%\AppData\Local\Temp\OnboardLogs"\RTDC4031\2017-01-14 &amp; aws s3 cp s3://rtdc.mdm.uploadarchive.raw/RTDC4031/ "%USERPROFILE%\AppData\Local\Temp\OnboardLogs"\RTDC4031\2017-01-15 --exclude "*" --recursive --include "*20170115*" &amp; "%USERPROFILE%\Documents\GitHub\mrs-test-scripts\Headless Mode &amp; Sideloading\WalkAndUnGZ.bat" "%USERPROFILE%\AppData\Local\Temp\OnboardLogs"\RTDC4031\2017-01-15</v>
      </c>
      <c r="S21" s="99" t="str">
        <f>VLOOKUP(C21,'Train Runs'!$A$13:$AE$9988,22,0)</f>
        <v>https://search-rtdc-monitor-bjffxe2xuh6vdkpspy63sjmuny.us-east-1.es.amazonaws.com/_plugin/kibana/#/discover/Steve-Slow-Train-Analysis-(2080s-and-2083s)?_g=(refreshInterval:(display:Off,section:0,value:0),time:(from:'2017-01-14 06:14:15-700',mode:absolute,to:'2017-01-14 08:53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T21" s="101" t="str">
        <f t="shared" si="1"/>
        <v>"C:\Program Files (x86)\AstroGrep\AstroGrep.exe" /spath="%USERPROFILE%\AppData\Local\Temp\OnboardLogs" /stypes="*4031*201701141*" /stext=" 14:.+((SYSTEM_STATE.+slice.+state.+changed )|(ment ac)|(multiple cpu faults)|(system.+state.+changed )|(\[timeout)|(PRM\|1\|D)|(kpr)|(kdp)|(\|lc)|(penalty))" /e /r /s</v>
      </c>
      <c r="U21" s="9" t="str">
        <f t="shared" si="2"/>
        <v>4031</v>
      </c>
      <c r="V21" s="33">
        <f t="shared" si="3"/>
        <v>42749.620486111111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{"issue":{"subject":"","project_id":79,"tracker_id":40,"status_id":1,"priority_id":2,"assigned_to_id":23,"start_date":"2017-01-14","description":"","custom_fields":[{"id":1,"name":"Subdivision","value":"EC"},{"id":4,"name":"Milepost","value":"23.3491"},{"id":17,"name":"Train ID","value":"129-14"},{"id":16,"name":"Locomotive ID","value":"4031"},{"id":130,"name":"Impact","value":""},{"id":150,"name":"Time of Event (Mountain Time)","value":"07:53:30"},{"id":151,"name":"Denver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"%USERPROFILE%\AppData\Local\Temp\OnboardLogs"\RTDC4031\*4031*201701141*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"%USERPROFILE%\AppData\Local\Temp\OnboardLogs"\RTDC4031\*4031*201701141* &gt;&gt; 2017-01-14-SliceDisagreementCheck.txt</v>
      </c>
      <c r="AE21" s="183" t="str">
        <f t="shared" si="8"/>
        <v>start /low /b %USERPROFILE%\Documents\GitHub\eaglep3\Utilities\DownloadLogsFromS3.py --loco 4031 --day 2017-01-14</v>
      </c>
      <c r="AF21" s="1"/>
    </row>
    <row r="22" spans="1:32" x14ac:dyDescent="0.25">
      <c r="A22" s="33">
        <v>42749.567499999997</v>
      </c>
      <c r="B22" s="31" t="s">
        <v>247</v>
      </c>
      <c r="C22" s="31" t="s">
        <v>444</v>
      </c>
      <c r="D22" s="31" t="s">
        <v>49</v>
      </c>
      <c r="E22" s="31" t="s">
        <v>196</v>
      </c>
      <c r="F22" s="44">
        <v>0</v>
      </c>
      <c r="G22" s="44">
        <v>150</v>
      </c>
      <c r="H22" s="44">
        <v>232591</v>
      </c>
      <c r="I22" s="44">
        <v>232811</v>
      </c>
      <c r="J22" s="31" t="s">
        <v>197</v>
      </c>
      <c r="K22" s="44">
        <v>233491</v>
      </c>
      <c r="L22" s="150" t="s">
        <v>50</v>
      </c>
      <c r="M22" s="151">
        <f t="shared" si="0"/>
        <v>359.04</v>
      </c>
      <c r="N22" s="152" t="str">
        <f>VLOOKUP(C22,'Trips&amp;Operators'!$C$1:$G$99999,5,FALSE)</f>
        <v>DAVIS MICHAEL</v>
      </c>
      <c r="O22" s="179" t="s">
        <v>193</v>
      </c>
      <c r="P22" s="153"/>
      <c r="Q22" s="31"/>
      <c r="R22" s="96" t="str">
        <f>VLOOKUP(C22,'Train Runs'!$A$13:$AE$9988,31,0)</f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S22" s="99" t="str">
        <f>VLOOKUP(C22,'Train Runs'!$A$13:$AE$9988,22,0)</f>
        <v>https://search-rtdc-monitor-bjffxe2xuh6vdkpspy63sjmuny.us-east-1.es.amazonaws.com/_plugin/kibana/#/discover/Steve-Slow-Train-Analysis-(2080s-and-2083s)?_g=(refreshInterval:(display:Off,section:0,value:0),time:(from:'2017-01-14 11:54:47-700',mode:absolute,to:'2017-01-14 14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T22" s="101" t="str">
        <f t="shared" si="1"/>
        <v>"C:\Program Files (x86)\AstroGrep\AstroGrep.exe" /spath="%USERPROFILE%\AppData\Local\Temp\OnboardLogs" /stypes="*4003*201701142*" /stext=" 20:.+((SYSTEM_STATE.+slice.+state.+changed )|(ment ac)|(multiple cpu faults)|(system.+state.+changed )|(\[timeout)|(PRM\|1\|D)|(kpr)|(kdp)|(\|lc)|(penalty))" /e /r /s</v>
      </c>
      <c r="U22" s="9" t="str">
        <f t="shared" si="2"/>
        <v>4003</v>
      </c>
      <c r="V22" s="33">
        <f t="shared" si="3"/>
        <v>42749.859166666662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{"issue":{"subject":"","project_id":79,"tracker_id":40,"status_id":1,"priority_id":2,"assigned_to_id":23,"start_date":"2017-01-14","description":"","custom_fields":[{"id":1,"name":"Subdivision","value":"EC"},{"id":4,"name":"Milepost","value":"23.3491"},{"id":17,"name":"Train ID","value":"175-14"},{"id":16,"name":"Locomotive ID","value":"4003"},{"id":130,"name":"Impact","value":""},{"id":150,"name":"Time of Event (Mountain Time)","value":"13:37:12"},{"id":151,"name":"Denver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"%USERPROFILE%\AppData\Local\Temp\OnboardLogs"\RTDC4003\*4003*201701142*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"%USERPROFILE%\AppData\Local\Temp\OnboardLogs"\RTDC4003\*4003*201701142* &gt;&gt; 2017-01-14-SliceDisagreementCheck.txt</v>
      </c>
      <c r="AE22" s="183" t="str">
        <f t="shared" si="8"/>
        <v>start /low /b %USERPROFILE%\Documents\GitHub\eaglep3\Utilities\DownloadLogsFromS3.py --loco 4003 --day 2017-01-14</v>
      </c>
      <c r="AF22" s="1"/>
    </row>
    <row r="23" spans="1:32" x14ac:dyDescent="0.25">
      <c r="A23" s="33">
        <v>42749.901539351849</v>
      </c>
      <c r="B23" s="31" t="s">
        <v>312</v>
      </c>
      <c r="C23" s="31" t="s">
        <v>450</v>
      </c>
      <c r="D23" s="31" t="s">
        <v>49</v>
      </c>
      <c r="E23" s="31" t="s">
        <v>196</v>
      </c>
      <c r="F23" s="44">
        <v>0</v>
      </c>
      <c r="G23" s="44">
        <v>149</v>
      </c>
      <c r="H23" s="44">
        <v>232496</v>
      </c>
      <c r="I23" s="44">
        <v>232719</v>
      </c>
      <c r="J23" s="31" t="s">
        <v>197</v>
      </c>
      <c r="K23" s="44">
        <v>233491</v>
      </c>
      <c r="L23" s="150" t="s">
        <v>50</v>
      </c>
      <c r="M23" s="151">
        <f t="shared" si="0"/>
        <v>407.61599999999999</v>
      </c>
      <c r="N23" s="152" t="str">
        <f>VLOOKUP(C23,'Trips&amp;Operators'!$C$1:$G$99999,5,FALSE)</f>
        <v>BROWN JACOB</v>
      </c>
      <c r="O23" s="179" t="s">
        <v>193</v>
      </c>
      <c r="P23" s="153"/>
      <c r="Q23" s="31"/>
      <c r="R23" s="96" t="str">
        <f>VLOOKUP(C23,'Train Runs'!$A$13:$AE$9988,31,0)</f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S23" s="99" t="str">
        <f>VLOOKUP(C23,'Train Runs'!$A$13:$AE$9988,22,0)</f>
        <v>https://search-rtdc-monitor-bjffxe2xuh6vdkpspy63sjmuny.us-east-1.es.amazonaws.com/_plugin/kibana/#/discover/Steve-Slow-Train-Analysis-(2080s-and-2083s)?_g=(refreshInterval:(display:Off,section:0,value:0),time:(from:'2017-01-14 19:53:34-700',mode:absolute,to:'2017-01-14 22:38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T23" s="101" t="str">
        <f t="shared" si="1"/>
        <v>"C:\Program Files (x86)\AstroGrep\AstroGrep.exe" /spath="%USERPROFILE%\AppData\Local\Temp\OnboardLogs" /stypes="*4018*201701150*" /stext=" 04:.+((SYSTEM_STATE.+slice.+state.+changed )|(ment ac)|(multiple cpu faults)|(system.+state.+changed )|(\[timeout)|(PRM\|1\|D)|(kpr)|(kdp)|(\|lc)|(penalty))" /e /r /s</v>
      </c>
      <c r="U23" s="9" t="str">
        <f t="shared" si="2"/>
        <v>4018</v>
      </c>
      <c r="V23" s="33">
        <f t="shared" si="3"/>
        <v>42750.193206018514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{"issue":{"subject":"","project_id":79,"tracker_id":40,"status_id":1,"priority_id":2,"assigned_to_id":23,"start_date":"2017-01-14","description":"","custom_fields":[{"id":1,"name":"Subdivision","value":"EC"},{"id":4,"name":"Milepost","value":"23.3491"},{"id":17,"name":"Train ID","value":"229-14"},{"id":16,"name":"Locomotive ID","value":"4018"},{"id":130,"name":"Impact","value":""},{"id":150,"name":"Time of Event (Mountain Time)","value":"21:38:13"},{"id":151,"name":"Denver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"%USERPROFILE%\AppData\Local\Temp\OnboardLogs"\RTDC4018\*4018*201701150*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"%USERPROFILE%\AppData\Local\Temp\OnboardLogs"\RTDC4018\*4018*201701150* &gt;&gt; 2017-01-14-SliceDisagreementCheck.txt</v>
      </c>
      <c r="AE23" s="183" t="str">
        <f t="shared" si="8"/>
        <v>start /low /b %USERPROFILE%\Documents\GitHub\eaglep3\Utilities\DownloadLogsFromS3.py --loco 4018 --day 2017-01-15</v>
      </c>
      <c r="AF23" s="1"/>
    </row>
    <row r="24" spans="1:32" x14ac:dyDescent="0.25">
      <c r="A24" s="33">
        <v>42749.901979166665</v>
      </c>
      <c r="B24" s="31" t="s">
        <v>312</v>
      </c>
      <c r="C24" s="31" t="s">
        <v>450</v>
      </c>
      <c r="D24" s="31" t="s">
        <v>49</v>
      </c>
      <c r="E24" s="31" t="s">
        <v>196</v>
      </c>
      <c r="F24" s="44">
        <v>0</v>
      </c>
      <c r="G24" s="44">
        <v>72</v>
      </c>
      <c r="H24" s="44">
        <v>232775</v>
      </c>
      <c r="I24" s="44">
        <v>232887</v>
      </c>
      <c r="J24" s="31" t="s">
        <v>197</v>
      </c>
      <c r="K24" s="44">
        <v>233491</v>
      </c>
      <c r="L24" s="150" t="s">
        <v>50</v>
      </c>
      <c r="M24" s="151">
        <f t="shared" si="0"/>
        <v>318.91199999999998</v>
      </c>
      <c r="N24" s="152" t="str">
        <f>VLOOKUP(C24,'Trips&amp;Operators'!$C$1:$G$99999,5,FALSE)</f>
        <v>BROWN JACOB</v>
      </c>
      <c r="O24" s="179" t="s">
        <v>193</v>
      </c>
      <c r="P24" s="153"/>
      <c r="Q24" s="31"/>
      <c r="R24" s="96" t="str">
        <f>VLOOKUP(C24,'Train Runs'!$A$13:$AE$9988,31,0)</f>
        <v>aws s3 cp s3://rtdc.mdm.uploadarchive.raw/RTDC4018/ "%USERPROFILE%\AppData\Local\Temp\OnboardLogs"\RTDC4018\2017-01-14 --exclude "*" --recursive --include "*20170114*" &amp; "%USERPROFILE%\Documents\GitHub\mrs-test-scripts\Headless Mode &amp; Sideloading\WalkAndUnGZ.bat" "%USERPROFILE%\AppData\Local\Temp\OnboardLogs"\RTDC4018\2017-01-14 &amp; aws s3 cp s3://rtdc.mdm.uploadarchive.raw/RTDC4018/ "%USERPROFILE%\AppData\Local\Temp\OnboardLogs"\RTDC4018\2017-01-15 --exclude "*" --recursive --include "*20170115*" &amp; "%USERPROFILE%\Documents\GitHub\mrs-test-scripts\Headless Mode &amp; Sideloading\WalkAndUnGZ.bat" "%USERPROFILE%\AppData\Local\Temp\OnboardLogs"\RTDC4018\2017-01-15</v>
      </c>
      <c r="S24" s="99" t="str">
        <f>VLOOKUP(C24,'Train Runs'!$A$13:$AE$9988,22,0)</f>
        <v>https://search-rtdc-monitor-bjffxe2xuh6vdkpspy63sjmuny.us-east-1.es.amazonaws.com/_plugin/kibana/#/discover/Steve-Slow-Train-Analysis-(2080s-and-2083s)?_g=(refreshInterval:(display:Off,section:0,value:0),time:(from:'2017-01-14 19:53:34-700',mode:absolute,to:'2017-01-14 22:38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T24" s="101" t="str">
        <f t="shared" si="1"/>
        <v>"C:\Program Files (x86)\AstroGrep\AstroGrep.exe" /spath="%USERPROFILE%\AppData\Local\Temp\OnboardLogs" /stypes="*4018*201701150*" /stext=" 04:.+((SYSTEM_STATE.+slice.+state.+changed )|(ment ac)|(multiple cpu faults)|(system.+state.+changed )|(\[timeout)|(PRM\|1\|D)|(kpr)|(kdp)|(\|lc)|(penalty))" /e /r /s</v>
      </c>
      <c r="U24" s="9" t="str">
        <f t="shared" si="2"/>
        <v>4018</v>
      </c>
      <c r="V24" s="33">
        <f t="shared" si="3"/>
        <v>42750.193645833329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{"issue":{"subject":"","project_id":79,"tracker_id":40,"status_id":1,"priority_id":2,"assigned_to_id":23,"start_date":"2017-01-14","description":"","custom_fields":[{"id":1,"name":"Subdivision","value":"EC"},{"id":4,"name":"Milepost","value":"23.3491"},{"id":17,"name":"Train ID","value":"229-14"},{"id":16,"name":"Locomotive ID","value":"4018"},{"id":130,"name":"Impact","value":""},{"id":150,"name":"Time of Event (Mountain Time)","value":"21:38:51"},{"id":151,"name":"Denver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"%USERPROFILE%\AppData\Local\Temp\OnboardLogs"\RTDC4018\*4018*201701150*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"%USERPROFILE%\AppData\Local\Temp\OnboardLogs"\RTDC4018\*4018*201701150* &gt;&gt; 2017-01-14-SliceDisagreementCheck.txt</v>
      </c>
      <c r="AE24" s="183" t="str">
        <f t="shared" si="8"/>
        <v>start /low /b %USERPROFILE%\Documents\GitHub\eaglep3\Utilities\DownloadLogsFromS3.py --loco 4018 --day 2017-01-15</v>
      </c>
      <c r="AF24" s="1"/>
    </row>
    <row r="25" spans="1:32" x14ac:dyDescent="0.25">
      <c r="A25" s="33">
        <v>42749.94159722222</v>
      </c>
      <c r="B25" s="31" t="s">
        <v>247</v>
      </c>
      <c r="C25" s="31" t="s">
        <v>453</v>
      </c>
      <c r="D25" s="31" t="s">
        <v>49</v>
      </c>
      <c r="E25" s="31" t="s">
        <v>196</v>
      </c>
      <c r="F25" s="44">
        <v>0</v>
      </c>
      <c r="G25" s="44">
        <v>144</v>
      </c>
      <c r="H25" s="44">
        <v>232660</v>
      </c>
      <c r="I25" s="44">
        <v>232877</v>
      </c>
      <c r="J25" s="31" t="s">
        <v>197</v>
      </c>
      <c r="K25" s="44">
        <v>233491</v>
      </c>
      <c r="L25" s="150" t="s">
        <v>50</v>
      </c>
      <c r="M25" s="151">
        <f t="shared" si="0"/>
        <v>324.19200000000001</v>
      </c>
      <c r="N25" s="152" t="str">
        <f>VLOOKUP(C25,'Trips&amp;Operators'!$C$1:$G$99999,5,FALSE)</f>
        <v>STAMBAUGH JAMES</v>
      </c>
      <c r="O25" s="179" t="s">
        <v>193</v>
      </c>
      <c r="P25" s="153"/>
      <c r="Q25" s="31"/>
      <c r="R25" s="96" t="str">
        <f>VLOOKUP(C25,'Train Runs'!$A$13:$AE$9988,31,0)</f>
        <v>aws s3 cp s3://rtdc.mdm.uploadarchive.raw/RTDC4003/ "%USERPROFILE%\AppData\Local\Temp\OnboardLogs"\RTDC4003\2017-01-14 --exclude "*" --recursive --include "*20170114*" &amp; "%USERPROFILE%\Documents\GitHub\mrs-test-scripts\Headless Mode &amp; Sideloading\WalkAndUnGZ.bat" "%USERPROFILE%\AppData\Local\Temp\OnboardLogs"\RTDC4003\2017-01-14 &amp; aws s3 cp s3://rtdc.mdm.uploadarchive.raw/RTDC4003/ "%USERPROFILE%\AppData\Local\Temp\OnboardLogs"\RTDC4003\2017-01-15 --exclude "*" --recursive --include "*20170115*" &amp; "%USERPROFILE%\Documents\GitHub\mrs-test-scripts\Headless Mode &amp; Sideloading\WalkAndUnGZ.bat" "%USERPROFILE%\AppData\Local\Temp\OnboardLogs"\RTDC4003\2017-01-15</v>
      </c>
      <c r="S25" s="99" t="str">
        <f>VLOOKUP(C25,'Train Runs'!$A$13:$AE$9988,22,0)</f>
        <v>https://search-rtdc-monitor-bjffxe2xuh6vdkpspy63sjmuny.us-east-1.es.amazonaws.com/_plugin/kibana/#/discover/Steve-Slow-Train-Analysis-(2080s-and-2083s)?_g=(refreshInterval:(display:Off,section:0,value:0),time:(from:'2017-01-14 20:41:24-700',mode:absolute,to:'2017-01-14 23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T25" s="101" t="str">
        <f t="shared" si="1"/>
        <v>"C:\Program Files (x86)\AstroGrep\AstroGrep.exe" /spath="%USERPROFILE%\AppData\Local\Temp\OnboardLogs" /stypes="*4003*201701150*" /stext=" 05:.+((SYSTEM_STATE.+slice.+state.+changed )|(ment ac)|(multiple cpu faults)|(system.+state.+changed )|(\[timeout)|(PRM\|1\|D)|(kpr)|(kdp)|(\|lc)|(penalty))" /e /r /s</v>
      </c>
      <c r="U25" s="9" t="str">
        <f t="shared" si="2"/>
        <v>4003</v>
      </c>
      <c r="V25" s="33">
        <f t="shared" si="3"/>
        <v>42750.233263888884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{"issue":{"subject":"","project_id":79,"tracker_id":40,"status_id":1,"priority_id":2,"assigned_to_id":23,"start_date":"2017-01-14","description":"","custom_fields":[{"id":1,"name":"Subdivision","value":"EC"},{"id":4,"name":"Milepost","value":"23.3491"},{"id":17,"name":"Train ID","value":"233-14"},{"id":16,"name":"Locomotive ID","value":"4003"},{"id":130,"name":"Impact","value":""},{"id":150,"name":"Time of Event (Mountain Time)","value":"22:35:54"},{"id":151,"name":"Denver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"%USERPROFILE%\AppData\Local\Temp\OnboardLogs"\RTDC4003\*4003*201701150*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"%USERPROFILE%\AppData\Local\Temp\OnboardLogs"\RTDC4003\*4003*201701150* &gt;&gt; 2017-01-14-SliceDisagreementCheck.txt</v>
      </c>
      <c r="AE25" s="183" t="str">
        <f t="shared" si="8"/>
        <v>start /low /b %USERPROFILE%\Documents\GitHub\eaglep3\Utilities\DownloadLogsFromS3.py --loco 4003 --day 2017-01-15</v>
      </c>
      <c r="AF25" s="1"/>
    </row>
    <row r="26" spans="1:32" x14ac:dyDescent="0.25">
      <c r="A26" s="33">
        <v>42749.528923611113</v>
      </c>
      <c r="B26" s="31" t="s">
        <v>331</v>
      </c>
      <c r="C26" s="31" t="s">
        <v>443</v>
      </c>
      <c r="D26" s="31" t="s">
        <v>98</v>
      </c>
      <c r="E26" s="31" t="s">
        <v>194</v>
      </c>
      <c r="F26" s="44">
        <v>0</v>
      </c>
      <c r="G26" s="44">
        <v>36</v>
      </c>
      <c r="H26" s="44">
        <v>58470</v>
      </c>
      <c r="I26" s="44">
        <v>58443</v>
      </c>
      <c r="J26" s="31" t="s">
        <v>195</v>
      </c>
      <c r="K26" s="44">
        <v>58472</v>
      </c>
      <c r="L26" s="150" t="s">
        <v>51</v>
      </c>
      <c r="M26" s="151">
        <f t="shared" si="0"/>
        <v>-15.311999999999999</v>
      </c>
      <c r="N26" s="152" t="str">
        <f>VLOOKUP(C26,'Trips&amp;Operators'!$C$1:$G$99999,5,FALSE)</f>
        <v>SHOOK JOHN</v>
      </c>
      <c r="O26" s="179" t="s">
        <v>276</v>
      </c>
      <c r="P26" s="153" t="s">
        <v>301</v>
      </c>
      <c r="Q26" s="31"/>
      <c r="R26" s="96" t="str">
        <f>VLOOKUP(C26,'Train Runs'!$A$13:$AE$9988,31,0)</f>
        <v>aws s3 cp s3://rtdc.mdm.uploadarchive.raw/RTDC4045/ "%USERPROFILE%\AppData\Local\Temp\OnboardLogs"\RTDC4045\2017-01-14 --exclude "*" --recursive --include "*20170114*" &amp; "%USERPROFILE%\Documents\GitHub\mrs-test-scripts\Headless Mode &amp; Sideloading\WalkAndUnGZ.bat" "%USERPROFILE%\AppData\Local\Temp\OnboardLogs"\RTDC4045\2017-01-14 &amp; aws s3 cp s3://rtdc.mdm.uploadarchive.raw/RTDC4045/ "%USERPROFILE%\AppData\Local\Temp\OnboardLogs"\RTDC4045\2017-01-15 --exclude "*" --recursive --include "*20170115*" &amp; "%USERPROFILE%\Documents\GitHub\mrs-test-scripts\Headless Mode &amp; Sideloading\WalkAndUnGZ.bat" "%USERPROFILE%\AppData\Local\Temp\OnboardLogs"\RTDC4045\2017-01-15</v>
      </c>
      <c r="S26" s="99" t="str">
        <f>VLOOKUP(C26,'Train Runs'!$A$13:$AE$9988,22,0)</f>
        <v>https://search-rtdc-monitor-bjffxe2xuh6vdkpspy63sjmuny.us-east-1.es.amazonaws.com/_plugin/kibana/#/discover/Steve-Slow-Train-Analysis-(2080s-and-2083s)?_g=(refreshInterval:(display:Off,section:0,value:0),time:(from:'2017-01-14 11:38:49-700',mode:absolute,to:'2017-01-14 13:41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T26" s="101" t="str">
        <f t="shared" si="1"/>
        <v>"C:\Program Files (x86)\AstroGrep\AstroGrep.exe" /spath="%USERPROFILE%\AppData\Local\Temp\OnboardLogs" /stypes="*4045*201701141*" /stext=" 19:.+((SYSTEM_STATE.+slice.+state.+changed )|(ment ac)|(multiple cpu faults)|(system.+state.+changed )|(\[timeout)|(PRM\|1\|D)|(kpr)|(kdp)|(\|lc)|(penalty))" /e /r /s</v>
      </c>
      <c r="U26" s="9" t="str">
        <f t="shared" si="2"/>
        <v>4045</v>
      </c>
      <c r="V26" s="33">
        <f t="shared" si="3"/>
        <v>42749.820590277777</v>
      </c>
      <c r="W26" s="47" t="str">
        <f t="shared" si="4"/>
        <v>NW</v>
      </c>
      <c r="X26" s="47" t="str">
        <f t="shared" si="5"/>
        <v>KEEP</v>
      </c>
      <c r="Y26" s="115" t="str">
        <f t="shared" si="6"/>
        <v>echo {"issue":{"subject":"Onboard in-route failure","project_id":79,"tracker_id":40,"status_id":1,"priority_id":2,"assigned_to_id":23,"start_date":"2017-01-14","description":"","custom_fields":[{"id":1,"name":"Subdivision","value":"NW"},{"id":4,"name":"Milepost","value":"5.8472"},{"id":17,"name":"Train ID","value":"1814-14"},{"id":16,"name":"Locomotive ID","value":"4045"},{"id":130,"name":"Impact","value":""},{"id":150,"name":"Time of Event (Mountain Time)","value":"12:41:39"},{"id":151,"name":"Denver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"%USERPROFILE%\AppData\Local\Temp\OnboardLogs"\RTDC4045\*4045*201701141*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"%USERPROFILE%\AppData\Local\Temp\OnboardLogs"\RTDC4045\*4045*201701141* &gt;&gt; 2017-01-14-SliceDisagreementCheck.txt</v>
      </c>
      <c r="AE26" s="183" t="str">
        <f t="shared" si="8"/>
        <v>start /low /b %USERPROFILE%\Documents\GitHub\eaglep3\Utilities\DownloadLogsFromS3.py --loco 4045 --day 2017-01-14</v>
      </c>
      <c r="AF26" s="1"/>
    </row>
    <row r="27" spans="1:32" x14ac:dyDescent="0.25">
      <c r="A27" s="33">
        <v>42749.158773148149</v>
      </c>
      <c r="B27" s="31" t="s">
        <v>435</v>
      </c>
      <c r="C27" s="31" t="s">
        <v>436</v>
      </c>
      <c r="D27" s="31" t="s">
        <v>49</v>
      </c>
      <c r="E27" s="31" t="s">
        <v>194</v>
      </c>
      <c r="F27" s="44">
        <v>0</v>
      </c>
      <c r="G27" s="44">
        <v>127</v>
      </c>
      <c r="H27" s="44">
        <v>6892</v>
      </c>
      <c r="I27" s="44">
        <v>6644</v>
      </c>
      <c r="J27" s="31" t="s">
        <v>195</v>
      </c>
      <c r="K27" s="44">
        <v>6799</v>
      </c>
      <c r="L27" s="150" t="s">
        <v>51</v>
      </c>
      <c r="M27" s="151">
        <f t="shared" si="0"/>
        <v>-81.84</v>
      </c>
      <c r="N27" s="152" t="str">
        <f>VLOOKUP(C27,'Trips&amp;Operators'!$C$1:$G$99999,5,FALSE)</f>
        <v>MAELZER KURT</v>
      </c>
      <c r="O27" s="179" t="s">
        <v>193</v>
      </c>
      <c r="P27" s="153"/>
      <c r="Q27" s="31"/>
      <c r="R27" s="96" t="str">
        <f>VLOOKUP(C27,'Train Runs'!$A$13:$AE$9988,31,0)</f>
        <v>aws s3 cp s3://rtdc.mdm.uploadarchive.raw/RTDC4041/ "%USERPROFILE%\AppData\Local\Temp\OnboardLogs"\RTDC4041\2017-01-14 --exclude "*" --recursive --include "*20170114*" &amp; "%USERPROFILE%\Documents\GitHub\mrs-test-scripts\Headless Mode &amp; Sideloading\WalkAndUnGZ.bat" "%USERPROFILE%\AppData\Local\Temp\OnboardLogs"\RTDC4041\2017-01-14 &amp; aws s3 cp s3://rtdc.mdm.uploadarchive.raw/RTDC4041/ "%USERPROFILE%\AppData\Local\Temp\OnboardLogs"\RTDC4041\2017-01-15 --exclude "*" --recursive --include "*20170115*" &amp; "%USERPROFILE%\Documents\GitHub\mrs-test-scripts\Headless Mode &amp; Sideloading\WalkAndUnGZ.bat" "%USERPROFILE%\AppData\Local\Temp\OnboardLogs"\RTDC4041\2017-01-15</v>
      </c>
      <c r="S27" s="99" t="str">
        <f>VLOOKUP(C27,'Train Runs'!$A$13:$AE$9988,22,0)</f>
        <v>https://search-rtdc-monitor-bjffxe2xuh6vdkpspy63sjmuny.us-east-1.es.amazonaws.com/_plugin/kibana/#/discover/Steve-Slow-Train-Analysis-(2080s-and-2083s)?_g=(refreshInterval:(display:Off,section:0,value:0),time:(from:'2017-01-14 02:38:27-700',mode:absolute,to:'2017-01-14 04:52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4041%22')),sort:!(Time,asc))</v>
      </c>
      <c r="T27" s="101" t="str">
        <f t="shared" si="1"/>
        <v>"C:\Program Files (x86)\AstroGrep\AstroGrep.exe" /spath="%USERPROFILE%\AppData\Local\Temp\OnboardLogs" /stypes="*4041*201701141*" /stext=" 10:.+((SYSTEM_STATE.+slice.+state.+changed )|(ment ac)|(multiple cpu faults)|(system.+state.+changed )|(\[timeout)|(PRM\|1\|D)|(kpr)|(kdp)|(\|lc)|(penalty))" /e /r /s</v>
      </c>
      <c r="U27" s="9" t="str">
        <f t="shared" si="2"/>
        <v>4041</v>
      </c>
      <c r="V27" s="33">
        <f t="shared" si="3"/>
        <v>42749.450439814813</v>
      </c>
      <c r="W27" s="47" t="str">
        <f t="shared" si="4"/>
        <v>Other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{"issue":{"subject":"","project_id":79,"tracker_id":40,"status_id":1,"priority_id":2,"assigned_to_id":23,"start_date":"2017-01-14","description":"","custom_fields":[{"id":1,"name":"Subdivision","value":"Other"},{"id":4,"name":"Milepost","value":"0.6799"},{"id":17,"name":"Train ID","value":"306-14"},{"id":16,"name":"Locomotive ID","value":"4041"},{"id":130,"name":"Impact","value":""},{"id":150,"name":"Time of Event (Mountain Time)","value":"03:48:38"},{"id":151,"name":"Denver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"%USERPROFILE%\AppData\Local\Temp\OnboardLogs"\RTDC4041\*4041*201701141*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"%USERPROFILE%\AppData\Local\Temp\OnboardLogs"\RTDC4041\*4041*201701141* &gt;&gt; 2017-01-14-SliceDisagreementCheck.txt</v>
      </c>
      <c r="AE27" s="183" t="str">
        <f t="shared" si="8"/>
        <v>start /low /b %USERPROFILE%\Documents\GitHub\eaglep3\Utilities\DownloadLogsFromS3.py --loco 4041 --day 2017-01-14</v>
      </c>
      <c r="AF27" s="1"/>
    </row>
    <row r="28" spans="1:32" x14ac:dyDescent="0.25">
      <c r="A28" s="33">
        <v>42749.180162037039</v>
      </c>
      <c r="B28" s="31" t="s">
        <v>351</v>
      </c>
      <c r="C28" s="31" t="s">
        <v>437</v>
      </c>
      <c r="D28" s="31" t="s">
        <v>49</v>
      </c>
      <c r="E28" s="31" t="s">
        <v>194</v>
      </c>
      <c r="F28" s="44">
        <v>0</v>
      </c>
      <c r="G28" s="44">
        <v>101</v>
      </c>
      <c r="H28" s="44">
        <v>11038</v>
      </c>
      <c r="I28" s="44">
        <v>10899</v>
      </c>
      <c r="J28" s="31" t="s">
        <v>195</v>
      </c>
      <c r="K28" s="44">
        <v>11016</v>
      </c>
      <c r="L28" s="150" t="s">
        <v>51</v>
      </c>
      <c r="M28" s="151">
        <f t="shared" si="0"/>
        <v>-61.776000000000003</v>
      </c>
      <c r="N28" s="152" t="str">
        <f>VLOOKUP(C28,'Trips&amp;Operators'!$C$1:$G$99999,5,FALSE)</f>
        <v>DAVIS WENDY</v>
      </c>
      <c r="O28" s="179" t="s">
        <v>193</v>
      </c>
      <c r="P28" s="153"/>
      <c r="Q28" s="31"/>
      <c r="R28" s="96" t="str">
        <f>VLOOKUP(C28,'Train Runs'!$A$13:$AE$9988,31,0)</f>
        <v>aws s3 cp s3://rtdc.mdm.uploadarchive.raw/RTDC4028/ "%USERPROFILE%\AppData\Local\Temp\OnboardLogs"\RTDC4028\2017-01-14 --exclude "*" --recursive --include "*20170114*" &amp; "%USERPROFILE%\Documents\GitHub\mrs-test-scripts\Headless Mode &amp; Sideloading\WalkAndUnGZ.bat" "%USERPROFILE%\AppData\Local\Temp\OnboardLogs"\RTDC4028\2017-01-14 &amp; aws s3 cp s3://rtdc.mdm.uploadarchive.raw/RTDC4028/ "%USERPROFILE%\AppData\Local\Temp\OnboardLogs"\RTDC4028\2017-01-15 --exclude "*" --recursive --include "*20170115*" &amp; "%USERPROFILE%\Documents\GitHub\mrs-test-scripts\Headless Mode &amp; Sideloading\WalkAndUnGZ.bat" "%USERPROFILE%\AppData\Local\Temp\OnboardLogs"\RTDC4028\2017-01-15</v>
      </c>
      <c r="S28" s="99" t="str">
        <f>VLOOKUP(C28,'Train Runs'!$A$13:$AE$9988,22,0)</f>
        <v>https://search-rtdc-monitor-bjffxe2xuh6vdkpspy63sjmuny.us-east-1.es.amazonaws.com/_plugin/kibana/#/discover/Steve-Slow-Train-Analysis-(2080s-and-2083s)?_g=(refreshInterval:(display:Off,section:0,value:0),time:(from:'2017-01-14 03:13:08-700',mode:absolute,to:'2017-01-14 05:25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4028%22')),sort:!(Time,asc))</v>
      </c>
      <c r="T28" s="101" t="str">
        <f t="shared" si="1"/>
        <v>"C:\Program Files (x86)\AstroGrep\AstroGrep.exe" /spath="%USERPROFILE%\AppData\Local\Temp\OnboardLogs" /stypes="*4028*201701141*" /stext=" 11:.+((SYSTEM_STATE.+slice.+state.+changed )|(ment ac)|(multiple cpu faults)|(system.+state.+changed )|(\[timeout)|(PRM\|1\|D)|(kpr)|(kdp)|(\|lc)|(penalty))" /e /r /s</v>
      </c>
      <c r="U28" s="9" t="str">
        <f t="shared" si="2"/>
        <v>4028</v>
      </c>
      <c r="V28" s="33">
        <f t="shared" si="3"/>
        <v>42749.471828703703</v>
      </c>
      <c r="W28" s="47" t="str">
        <f t="shared" si="4"/>
        <v>Other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{"issue":{"subject":"","project_id":79,"tracker_id":40,"status_id":1,"priority_id":2,"assigned_to_id":23,"start_date":"2017-01-14","description":"","custom_fields":[{"id":1,"name":"Subdivision","value":"Other"},{"id":4,"name":"Milepost","value":"1.1016"},{"id":17,"name":"Train ID","value":"308-14"},{"id":16,"name":"Locomotive ID","value":"4028"},{"id":130,"name":"Impact","value":""},{"id":150,"name":"Time of Event (Mountain Time)","value":"04:19:26"},{"id":151,"name":"Denver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"%USERPROFILE%\AppData\Local\Temp\OnboardLogs"\RTDC4028\*4028*201701141*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"%USERPROFILE%\AppData\Local\Temp\OnboardLogs"\RTDC4028\*4028*201701141* &gt;&gt; 2017-01-14-SliceDisagreementCheck.txt</v>
      </c>
      <c r="AE28" s="183" t="str">
        <f t="shared" si="8"/>
        <v>start /low /b %USERPROFILE%\Documents\GitHub\eaglep3\Utilities\DownloadLogsFromS3.py --loco 4028 --day 2017-01-14</v>
      </c>
      <c r="AF28" s="1"/>
    </row>
    <row r="29" spans="1:32" x14ac:dyDescent="0.25">
      <c r="A29" s="33">
        <v>42749.756932870368</v>
      </c>
      <c r="B29" s="31" t="s">
        <v>279</v>
      </c>
      <c r="C29" s="31" t="s">
        <v>447</v>
      </c>
      <c r="D29" s="31" t="s">
        <v>98</v>
      </c>
      <c r="E29" s="31" t="s">
        <v>196</v>
      </c>
      <c r="F29" s="44">
        <v>0</v>
      </c>
      <c r="G29" s="44">
        <v>8</v>
      </c>
      <c r="H29" s="44">
        <v>839</v>
      </c>
      <c r="I29" s="44">
        <v>0</v>
      </c>
      <c r="J29" s="31" t="s">
        <v>197</v>
      </c>
      <c r="K29" s="44">
        <v>839</v>
      </c>
      <c r="L29" s="150" t="s">
        <v>51</v>
      </c>
      <c r="M29" s="151">
        <f t="shared" si="0"/>
        <v>-442.99200000000002</v>
      </c>
      <c r="N29" s="152" t="str">
        <f>VLOOKUP(C29,'Trips&amp;Operators'!$C$1:$G$99999,5,FALSE)</f>
        <v>PERKINS DARREN</v>
      </c>
      <c r="O29" s="179" t="s">
        <v>193</v>
      </c>
      <c r="P29" s="153"/>
      <c r="Q29" s="31"/>
      <c r="R29" s="96" t="e">
        <f>VLOOKUP(C29,'Train Runs'!$A$13:$AE$9988,31,0)</f>
        <v>#N/A</v>
      </c>
      <c r="S29" s="99" t="e">
        <f>VLOOKUP(C29,'Train Runs'!$A$13:$AE$9988,22,0)</f>
        <v>#N/A</v>
      </c>
      <c r="T29" s="101" t="str">
        <f t="shared" si="1"/>
        <v>"C:\Program Files (x86)\AstroGrep\AstroGrep.exe" /spath="%USERPROFILE%\AppData\Local\Temp\OnboardLogs" /stypes="*4001*201701150*" /stext=" 01:.+((SYSTEM_STATE.+slice.+state.+changed )|(ment ac)|(multiple cpu faults)|(system.+state.+changed )|(\[timeout)|(PRM\|1\|D)|(kpr)|(kdp)|(\|lc)|(penalty))" /e /r /s</v>
      </c>
      <c r="U29" s="9" t="str">
        <f t="shared" si="2"/>
        <v>4001</v>
      </c>
      <c r="V29" s="33">
        <f t="shared" si="3"/>
        <v>42750.048599537033</v>
      </c>
      <c r="W29" s="47" t="str">
        <f t="shared" si="4"/>
        <v>Other</v>
      </c>
      <c r="X29" s="47" t="str">
        <f t="shared" si="5"/>
        <v>OMIT</v>
      </c>
      <c r="Y29" s="115" t="str">
        <f t="shared" si="6"/>
        <v>echo {"issue":{"subject":"","project_id":79,"tracker_id":40,"status_id":1,"priority_id":2,"assigned_to_id":23,"start_date":"2017-01-14","description":"","custom_fields":[{"id":1,"name":"Subdivision","value":"Other"},{"id":4,"name":"Milepost","value":"0.0839"},{"id":17,"name":"Train ID","value":"66-14"},{"id":16,"name":"Locomotive ID","value":"4001"},{"id":130,"name":"Impact","value":""},{"id":150,"name":"Time of Event (Mountain Time)","value":"18:09:59"},{"id":151,"name":"Denver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"%USERPROFILE%\AppData\Local\Temp\OnboardLogs"\RTDC4001\*4001*201701150*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"%USERPROFILE%\AppData\Local\Temp\OnboardLogs"\RTDC4001\*4001*201701150* &gt;&gt; 2017-01-14-SliceDisagreementCheck.txt</v>
      </c>
      <c r="AE29" s="183" t="str">
        <f t="shared" si="8"/>
        <v>start /low /b %USERPROFILE%\Documents\GitHub\eaglep3\Utilities\DownloadLogsFromS3.py --loco 4001 --day 2017-01-15</v>
      </c>
      <c r="AF29" s="1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</sheetData>
  <autoFilter ref="A6:AC36">
    <sortState ref="A7:AC36">
      <sortCondition ref="V6:V36"/>
    </sortState>
  </autoFilter>
  <sortState ref="A7:AE29">
    <sortCondition ref="W7:W29"/>
    <sortCondition ref="E7:E29"/>
    <sortCondition ref="K7:K29"/>
    <sortCondition ref="C7:C29"/>
    <sortCondition ref="F7:F29"/>
  </sortState>
  <mergeCells count="1">
    <mergeCell ref="A5:O5"/>
  </mergeCells>
  <conditionalFormatting sqref="O6:P6 R6 O66:O1048576 O7:O2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9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42"/>
  <sheetViews>
    <sheetView workbookViewId="0">
      <selection activeCell="A3" sqref="A3:XFD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5"/>
      <c r="B1" s="191" t="str">
        <f>"Trips that did not appear in PTC Data "&amp;TEXT(Variables!$A$2,"YYYY-mm-dd")</f>
        <v>Trips that did not appear in PTC Data 2017-01-14</v>
      </c>
      <c r="C1" s="191"/>
      <c r="D1" s="191"/>
      <c r="E1" s="191"/>
      <c r="F1" s="191"/>
    </row>
    <row r="2" spans="1:10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7">
        <v>104</v>
      </c>
      <c r="B3" s="44" t="str">
        <f>A3&amp;"-"&amp;IF(DAY(Variables!$A$2)&lt;10,0,"")&amp;DAY(Variables!$A$2)</f>
        <v>104-14</v>
      </c>
      <c r="C3" s="154"/>
      <c r="D3" s="159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22104-14%22)),sort:!(Time,asc))</v>
      </c>
      <c r="J3" s="31" t="str">
        <f>VLOOKUP(B3,'Train Runs'!$A$13:$A$99985,1,FALSE)</f>
        <v>104-14</v>
      </c>
    </row>
    <row r="4" spans="1:10" x14ac:dyDescent="0.25">
      <c r="A4" s="167">
        <v>116</v>
      </c>
      <c r="B4" s="44" t="str">
        <f>A4&amp;"-"&amp;IF(DAY(Variables!$A$2)&lt;10,0,"")&amp;DAY(Variables!$A$2)</f>
        <v>116-14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22116-14%22)),sort:!(Time,asc))</v>
      </c>
      <c r="J4" s="31" t="str">
        <f>VLOOKUP(B4,'Train Runs'!$A$13:$A$99985,1,FALSE)</f>
        <v>116-14</v>
      </c>
    </row>
    <row r="5" spans="1:10" x14ac:dyDescent="0.25">
      <c r="A5" s="167"/>
      <c r="B5" s="44" t="str">
        <f>A5&amp;"-"&amp;IF(DAY(Variables!$A$2)&lt;10,0,"")&amp;DAY(Variables!$A$2)</f>
        <v>-14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5" s="31" t="e">
        <f>VLOOKUP(B5,'Train Runs'!$A$13:$A$99985,1,FALSE)</f>
        <v>#N/A</v>
      </c>
    </row>
    <row r="6" spans="1:10" x14ac:dyDescent="0.25">
      <c r="A6" s="167"/>
      <c r="B6" s="44" t="str">
        <f>A6&amp;"-"&amp;IF(DAY(Variables!$A$2)&lt;10,0,"")&amp;DAY(Variables!$A$2)</f>
        <v>-14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6" s="31" t="e">
        <f>VLOOKUP(B6,'Train Runs'!$A$13:$A$99985,1,FALSE)</f>
        <v>#N/A</v>
      </c>
    </row>
    <row r="7" spans="1:10" x14ac:dyDescent="0.25">
      <c r="A7" s="167"/>
      <c r="B7" s="44" t="str">
        <f>A7&amp;"-"&amp;IF(DAY(Variables!$A$2)&lt;10,0,"")&amp;DAY(Variables!$A$2)</f>
        <v>-14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7" s="31" t="e">
        <f>VLOOKUP(B7,'Train Runs'!$A$13:$A$99985,1,FALSE)</f>
        <v>#N/A</v>
      </c>
    </row>
    <row r="8" spans="1:10" x14ac:dyDescent="0.25">
      <c r="A8" s="167"/>
      <c r="B8" s="44" t="str">
        <f>A8&amp;"-"&amp;IF(DAY(Variables!$A$2)&lt;10,0,"")&amp;DAY(Variables!$A$2)</f>
        <v>-14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8" s="31" t="e">
        <f>VLOOKUP(B8,'Train Runs'!$A$13:$A$99985,1,FALSE)</f>
        <v>#N/A</v>
      </c>
    </row>
    <row r="9" spans="1:10" x14ac:dyDescent="0.25">
      <c r="A9" s="167"/>
      <c r="B9" s="44" t="str">
        <f>A9&amp;"-"&amp;IF(DAY(Variables!$A$2)&lt;10,0,"")&amp;DAY(Variables!$A$2)</f>
        <v>-14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9" s="31" t="e">
        <f>VLOOKUP(B9,'Train Runs'!$A$13:$A$99985,1,FALSE)</f>
        <v>#N/A</v>
      </c>
    </row>
    <row r="10" spans="1:10" x14ac:dyDescent="0.25">
      <c r="A10" s="167"/>
      <c r="B10" s="44" t="str">
        <f>A10&amp;"-"&amp;IF(DAY(Variables!$A$2)&lt;10,0,"")&amp;DAY(Variables!$A$2)</f>
        <v>-14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0" s="31" t="e">
        <f>VLOOKUP(B10,'Train Runs'!$A$13:$A$99985,1,FALSE)</f>
        <v>#N/A</v>
      </c>
    </row>
    <row r="11" spans="1:10" x14ac:dyDescent="0.25">
      <c r="A11" s="167"/>
      <c r="B11" s="44" t="str">
        <f>A11&amp;"-"&amp;IF(DAY(Variables!$A$2)&lt;10,0,"")&amp;DAY(Variables!$A$2)</f>
        <v>-14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1" s="31" t="e">
        <f>VLOOKUP(B11,'Train Runs'!$A$13:$A$99985,1,FALSE)</f>
        <v>#N/A</v>
      </c>
    </row>
    <row r="12" spans="1:10" x14ac:dyDescent="0.25">
      <c r="A12" s="167"/>
      <c r="B12" s="44" t="str">
        <f>A12&amp;"-"&amp;IF(DAY(Variables!$A$2)&lt;10,0,"")&amp;DAY(Variables!$A$2)</f>
        <v>-14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2" s="31" t="e">
        <f>VLOOKUP(B12,'Train Runs'!$A$13:$A$99985,1,FALSE)</f>
        <v>#N/A</v>
      </c>
    </row>
    <row r="13" spans="1:10" x14ac:dyDescent="0.25">
      <c r="A13" s="167"/>
      <c r="B13" s="44" t="str">
        <f>A13&amp;"-"&amp;IF(DAY(Variables!$A$2)&lt;10,0,"")&amp;DAY(Variables!$A$2)</f>
        <v>-14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3" s="31" t="e">
        <f>VLOOKUP(B13,'Train Runs'!$A$13:$A$99985,1,FALSE)</f>
        <v>#N/A</v>
      </c>
    </row>
    <row r="14" spans="1:10" x14ac:dyDescent="0.25">
      <c r="A14" s="167"/>
      <c r="B14" s="44" t="str">
        <f>A14&amp;"-"&amp;IF(DAY(Variables!$A$2)&lt;10,0,"")&amp;DAY(Variables!$A$2)</f>
        <v>-14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4" s="31" t="e">
        <f>VLOOKUP(B14,'Train Runs'!$A$13:$A$99985,1,FALSE)</f>
        <v>#N/A</v>
      </c>
    </row>
    <row r="15" spans="1:10" x14ac:dyDescent="0.25">
      <c r="A15" s="167"/>
      <c r="B15" s="44" t="str">
        <f>A15&amp;"-"&amp;IF(DAY(Variables!$A$2)&lt;10,0,"")&amp;DAY(Variables!$A$2)</f>
        <v>-14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5" s="31" t="e">
        <f>VLOOKUP(B15,'Train Runs'!$A$13:$A$99985,1,FALSE)</f>
        <v>#N/A</v>
      </c>
    </row>
    <row r="16" spans="1:10" x14ac:dyDescent="0.25">
      <c r="A16" s="167"/>
      <c r="B16" s="44" t="str">
        <f>A16&amp;"-"&amp;IF(DAY(Variables!$A$2)&lt;10,0,"")&amp;DAY(Variables!$A$2)</f>
        <v>-14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6" s="31" t="e">
        <f>VLOOKUP(B16,'Train Runs'!$A$13:$A$99985,1,FALSE)</f>
        <v>#N/A</v>
      </c>
    </row>
    <row r="17" spans="1:10" x14ac:dyDescent="0.25">
      <c r="A17" s="167"/>
      <c r="B17" s="44" t="str">
        <f>A17&amp;"-"&amp;IF(DAY(Variables!$A$2)&lt;10,0,"")&amp;DAY(Variables!$A$2)</f>
        <v>-14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7" s="31" t="e">
        <f>VLOOKUP(B17,'Train Runs'!$A$13:$A$99985,1,FALSE)</f>
        <v>#N/A</v>
      </c>
    </row>
    <row r="18" spans="1:10" x14ac:dyDescent="0.25">
      <c r="A18" s="167"/>
      <c r="B18" s="44" t="str">
        <f>A18&amp;"-"&amp;IF(DAY(Variables!$A$2)&lt;10,0,"")&amp;DAY(Variables!$A$2)</f>
        <v>-14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8" s="31" t="e">
        <f>VLOOKUP(B18,'Train Runs'!$A$13:$A$99985,1,FALSE)</f>
        <v>#N/A</v>
      </c>
    </row>
    <row r="19" spans="1:10" x14ac:dyDescent="0.25">
      <c r="A19" s="167"/>
      <c r="B19" s="44" t="str">
        <f>A19&amp;"-"&amp;IF(DAY(Variables!$A$2)&lt;10,0,"")&amp;DAY(Variables!$A$2)</f>
        <v>-14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9" s="31" t="e">
        <f>VLOOKUP(B19,'Train Runs'!$A$13:$A$99985,1,FALSE)</f>
        <v>#N/A</v>
      </c>
    </row>
    <row r="20" spans="1:10" x14ac:dyDescent="0.25">
      <c r="A20" s="167"/>
      <c r="B20" s="44" t="str">
        <f>A20&amp;"-"&amp;IF(DAY(Variables!$A$2)&lt;10,0,"")&amp;DAY(Variables!$A$2)</f>
        <v>-14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20" s="31" t="e">
        <f>VLOOKUP(B20,'Train Runs'!$A$13:$A$99985,1,FALSE)</f>
        <v>#N/A</v>
      </c>
    </row>
    <row r="21" spans="1:10" x14ac:dyDescent="0.25">
      <c r="A21" s="167"/>
      <c r="B21" s="44" t="str">
        <f>A21&amp;"-"&amp;IF(DAY(Variables!$A$2)&lt;10,0,"")&amp;DAY(Variables!$A$2)</f>
        <v>-14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21" s="31" t="e">
        <f>VLOOKUP(B21,'Train Runs'!$A$13:$A$99985,1,FALSE)</f>
        <v>#N/A</v>
      </c>
    </row>
    <row r="22" spans="1:10" x14ac:dyDescent="0.25">
      <c r="A22" s="167"/>
      <c r="B22" s="44" t="str">
        <f>A22&amp;"-"&amp;IF(DAY(Variables!$A$2)&lt;10,0,"")&amp;DAY(Variables!$A$2)</f>
        <v>-14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22" s="31" t="e">
        <f>VLOOKUP(B22,'Train Runs'!$A$13:$A$99985,1,FALSE)</f>
        <v>#N/A</v>
      </c>
    </row>
    <row r="23" spans="1:10" x14ac:dyDescent="0.25">
      <c r="A23" s="167"/>
      <c r="B23" s="44" t="str">
        <f>A23&amp;"-"&amp;IF(DAY(Variables!$A$2)&lt;10,0,"")&amp;DAY(Variables!$A$2)</f>
        <v>-14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23" s="31" t="e">
        <f>VLOOKUP(B23,'Train Runs'!$A$13:$A$99985,1,FALSE)</f>
        <v>#N/A</v>
      </c>
    </row>
    <row r="24" spans="1:10" x14ac:dyDescent="0.25">
      <c r="A24" s="167"/>
      <c r="B24" s="44" t="str">
        <f>A24&amp;"-"&amp;IF(DAY(Variables!$A$2)&lt;10,0,"")&amp;DAY(Variables!$A$2)</f>
        <v>-14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24" s="31" t="e">
        <f>VLOOKUP(B24,'Train Runs'!$A$13:$A$99985,1,FALSE)</f>
        <v>#N/A</v>
      </c>
    </row>
    <row r="25" spans="1:10" x14ac:dyDescent="0.25">
      <c r="A25" s="167"/>
      <c r="B25" s="44" t="str">
        <f>A25&amp;"-"&amp;IF(DAY(Variables!$A$2)&lt;10,0,"")&amp;DAY(Variables!$A$2)</f>
        <v>-14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25" s="31" t="e">
        <f>VLOOKUP(B25,'Train Runs'!$A$13:$A$99985,1,FALSE)</f>
        <v>#N/A</v>
      </c>
    </row>
    <row r="26" spans="1:10" x14ac:dyDescent="0.25">
      <c r="A26" s="167"/>
      <c r="B26" s="44" t="str">
        <f>A26&amp;"-"&amp;IF(DAY(Variables!$A$2)&lt;10,0,"")&amp;DAY(Variables!$A$2)</f>
        <v>-14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26" s="31" t="e">
        <f>VLOOKUP(B26,'Train Runs'!$A$13:$A$99985,1,FALSE)</f>
        <v>#N/A</v>
      </c>
    </row>
    <row r="27" spans="1:10" x14ac:dyDescent="0.25">
      <c r="A27" s="167"/>
      <c r="B27" s="44" t="str">
        <f>A27&amp;"-"&amp;IF(DAY(Variables!$A$2)&lt;10,0,"")&amp;DAY(Variables!$A$2)</f>
        <v>-14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27" s="31" t="e">
        <f>VLOOKUP(B27,'Train Runs'!$A$13:$A$99985,1,FALSE)</f>
        <v>#N/A</v>
      </c>
    </row>
    <row r="28" spans="1:10" x14ac:dyDescent="0.25">
      <c r="A28" s="167"/>
      <c r="B28" s="44" t="str">
        <f>A28&amp;"-"&amp;IF(DAY(Variables!$A$2)&lt;10,0,"")&amp;DAY(Variables!$A$2)</f>
        <v>-14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28" s="31" t="e">
        <f>VLOOKUP(B28,'Train Runs'!$A$13:$A$99985,1,FALSE)</f>
        <v>#N/A</v>
      </c>
    </row>
    <row r="29" spans="1:10" x14ac:dyDescent="0.25">
      <c r="A29" s="167"/>
      <c r="B29" s="44" t="str">
        <f>A29&amp;"-"&amp;IF(DAY(Variables!$A$2)&lt;10,0,"")&amp;DAY(Variables!$A$2)</f>
        <v>-14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29" s="31" t="e">
        <f>VLOOKUP(B29,'Train Runs'!$A$13:$A$99985,1,FALSE)</f>
        <v>#N/A</v>
      </c>
    </row>
    <row r="30" spans="1:10" x14ac:dyDescent="0.25">
      <c r="A30" s="167"/>
      <c r="B30" s="44" t="str">
        <f>A30&amp;"-"&amp;IF(DAY(Variables!$A$2)&lt;10,0,"")&amp;DAY(Variables!$A$2)</f>
        <v>-14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30" s="31" t="e">
        <f>VLOOKUP(B30,'Train Runs'!$A$13:$A$99985,1,FALSE)</f>
        <v>#N/A</v>
      </c>
    </row>
    <row r="31" spans="1:10" x14ac:dyDescent="0.25">
      <c r="A31" s="167"/>
      <c r="B31" s="44" t="str">
        <f>A31&amp;"-"&amp;IF(DAY(Variables!$A$2)&lt;10,0,"")&amp;DAY(Variables!$A$2)</f>
        <v>-14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31" s="31" t="e">
        <f>VLOOKUP(B31,'Train Runs'!$A$13:$A$99985,1,FALSE)</f>
        <v>#N/A</v>
      </c>
    </row>
    <row r="32" spans="1:10" x14ac:dyDescent="0.25">
      <c r="A32" s="167"/>
      <c r="B32" s="44" t="str">
        <f>A32&amp;"-"&amp;IF(DAY(Variables!$A$2)&lt;10,0,"")&amp;DAY(Variables!$A$2)</f>
        <v>-14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32" s="31" t="e">
        <f>VLOOKUP(B32,'Train Runs'!$A$13:$A$99985,1,FALSE)</f>
        <v>#N/A</v>
      </c>
    </row>
    <row r="33" spans="1:10" x14ac:dyDescent="0.25">
      <c r="A33" s="167"/>
      <c r="B33" s="44" t="str">
        <f>A33&amp;"-"&amp;IF(DAY(Variables!$A$2)&lt;10,0,"")&amp;DAY(Variables!$A$2)</f>
        <v>-14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33" s="31" t="e">
        <f>VLOOKUP(B33,'Train Runs'!$A$13:$A$99985,1,FALSE)</f>
        <v>#N/A</v>
      </c>
    </row>
    <row r="34" spans="1:10" x14ac:dyDescent="0.25">
      <c r="A34" s="167"/>
      <c r="B34" s="44" t="str">
        <f>A34&amp;"-"&amp;IF(DAY(Variables!$A$2)&lt;10,0,"")&amp;DAY(Variables!$A$2)</f>
        <v>-14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34" s="31" t="e">
        <f>VLOOKUP(B34,'Train Runs'!$A$13:$A$99985,1,FALSE)</f>
        <v>#N/A</v>
      </c>
    </row>
    <row r="35" spans="1:10" x14ac:dyDescent="0.25">
      <c r="A35" s="167"/>
      <c r="B35" s="44" t="str">
        <f>A35&amp;"-"&amp;IF(DAY(Variables!$A$2)&lt;10,0,"")&amp;DAY(Variables!$A$2)</f>
        <v>-14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35" s="31" t="e">
        <f>VLOOKUP(B35,'Train Runs'!$A$13:$A$99985,1,FALSE)</f>
        <v>#N/A</v>
      </c>
    </row>
    <row r="36" spans="1:10" x14ac:dyDescent="0.25">
      <c r="A36" s="167"/>
      <c r="B36" s="44" t="str">
        <f>A36&amp;"-"&amp;IF(DAY(Variables!$A$2)&lt;10,0,"")&amp;DAY(Variables!$A$2)</f>
        <v>-14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36" s="31" t="e">
        <f>VLOOKUP(B36,'Train Runs'!$A$13:$A$99985,1,FALSE)</f>
        <v>#N/A</v>
      </c>
    </row>
    <row r="37" spans="1:10" x14ac:dyDescent="0.25">
      <c r="A37" s="167"/>
      <c r="B37" s="44" t="str">
        <f>A37&amp;"-"&amp;IF(DAY(Variables!$A$2)&lt;10,0,"")&amp;DAY(Variables!$A$2)</f>
        <v>-14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37" s="31" t="e">
        <f>VLOOKUP(B37,'Train Runs'!$A$13:$A$99985,1,FALSE)</f>
        <v>#N/A</v>
      </c>
    </row>
    <row r="38" spans="1:10" x14ac:dyDescent="0.25">
      <c r="A38" s="167"/>
      <c r="B38" s="44" t="str">
        <f>A38&amp;"-"&amp;IF(DAY(Variables!$A$2)&lt;10,0,"")&amp;DAY(Variables!$A$2)</f>
        <v>-14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38" s="31" t="e">
        <f>VLOOKUP(B38,'Train Runs'!$A$13:$A$99985,1,FALSE)</f>
        <v>#N/A</v>
      </c>
    </row>
    <row r="39" spans="1:10" x14ac:dyDescent="0.25">
      <c r="A39" s="167"/>
      <c r="B39" s="44" t="str">
        <f>A39&amp;"-"&amp;IF(DAY(Variables!$A$2)&lt;10,0,"")&amp;DAY(Variables!$A$2)</f>
        <v>-14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39" s="31" t="e">
        <f>VLOOKUP(B39,'Train Runs'!$A$13:$A$99985,1,FALSE)</f>
        <v>#N/A</v>
      </c>
    </row>
    <row r="40" spans="1:10" x14ac:dyDescent="0.25">
      <c r="A40" s="167"/>
      <c r="B40" s="44" t="str">
        <f>A40&amp;"-"&amp;IF(DAY(Variables!$A$2)&lt;10,0,"")&amp;DAY(Variables!$A$2)</f>
        <v>-14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40" s="31" t="e">
        <f>VLOOKUP(B40,'Train Runs'!$A$13:$A$99985,1,FALSE)</f>
        <v>#N/A</v>
      </c>
    </row>
    <row r="41" spans="1:10" x14ac:dyDescent="0.25">
      <c r="A41" s="167"/>
      <c r="B41" s="44" t="str">
        <f>A41&amp;"-"&amp;IF(DAY(Variables!$A$2)&lt;10,0,"")&amp;DAY(Variables!$A$2)</f>
        <v>-14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41" s="31" t="e">
        <f>VLOOKUP(B41,'Train Runs'!$A$13:$A$99985,1,FALSE)</f>
        <v>#N/A</v>
      </c>
    </row>
    <row r="42" spans="1:10" x14ac:dyDescent="0.25">
      <c r="A42" s="167"/>
      <c r="B42" s="44" t="str">
        <f>A42&amp;"-"&amp;IF(DAY(Variables!$A$2)&lt;10,0,"")&amp;DAY(Variables!$A$2)</f>
        <v>-14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42" s="31" t="e">
        <f>VLOOKUP(B42,'Train Runs'!$A$13:$A$99985,1,FALSE)</f>
        <v>#N/A</v>
      </c>
    </row>
    <row r="43" spans="1:10" x14ac:dyDescent="0.25">
      <c r="A43" s="167"/>
      <c r="B43" s="44" t="str">
        <f>A43&amp;"-"&amp;IF(DAY(Variables!$A$2)&lt;10,0,"")&amp;DAY(Variables!$A$2)</f>
        <v>-14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43" s="31" t="e">
        <f>VLOOKUP(B43,'Train Runs'!$A$13:$A$99985,1,FALSE)</f>
        <v>#N/A</v>
      </c>
    </row>
    <row r="44" spans="1:10" x14ac:dyDescent="0.25">
      <c r="A44" s="167"/>
      <c r="B44" s="44" t="str">
        <f>A44&amp;"-"&amp;IF(DAY(Variables!$A$2)&lt;10,0,"")&amp;DAY(Variables!$A$2)</f>
        <v>-14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44" s="31" t="e">
        <f>VLOOKUP(B44,'Train Runs'!$A$13:$A$99985,1,FALSE)</f>
        <v>#N/A</v>
      </c>
    </row>
    <row r="45" spans="1:10" x14ac:dyDescent="0.25">
      <c r="A45" s="167"/>
      <c r="B45" s="44" t="str">
        <f>A45&amp;"-"&amp;IF(DAY(Variables!$A$2)&lt;10,0,"")&amp;DAY(Variables!$A$2)</f>
        <v>-14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45" s="31" t="e">
        <f>VLOOKUP(B45,'Train Runs'!$A$13:$A$99985,1,FALSE)</f>
        <v>#N/A</v>
      </c>
    </row>
    <row r="46" spans="1:10" x14ac:dyDescent="0.25">
      <c r="A46" s="167"/>
      <c r="B46" s="44" t="str">
        <f>A46&amp;"-"&amp;IF(DAY(Variables!$A$2)&lt;10,0,"")&amp;DAY(Variables!$A$2)</f>
        <v>-14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46" s="31" t="e">
        <f>VLOOKUP(B46,'Train Runs'!$A$13:$A$99985,1,FALSE)</f>
        <v>#N/A</v>
      </c>
    </row>
    <row r="47" spans="1:10" x14ac:dyDescent="0.25">
      <c r="A47" s="167"/>
      <c r="B47" s="44" t="str">
        <f>A47&amp;"-"&amp;IF(DAY(Variables!$A$2)&lt;10,0,"")&amp;DAY(Variables!$A$2)</f>
        <v>-14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47" s="31" t="e">
        <f>VLOOKUP(B47,'Train Runs'!$A$13:$A$99985,1,FALSE)</f>
        <v>#N/A</v>
      </c>
    </row>
    <row r="48" spans="1:10" x14ac:dyDescent="0.25">
      <c r="A48" s="167"/>
      <c r="B48" s="44" t="str">
        <f>A48&amp;"-"&amp;IF(DAY(Variables!$A$2)&lt;10,0,"")&amp;DAY(Variables!$A$2)</f>
        <v>-14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48" s="31" t="e">
        <f>VLOOKUP(B48,'Train Runs'!$A$13:$A$99985,1,FALSE)</f>
        <v>#N/A</v>
      </c>
    </row>
    <row r="49" spans="1:10" x14ac:dyDescent="0.25">
      <c r="A49" s="167"/>
      <c r="B49" s="44" t="str">
        <f>A49&amp;"-"&amp;IF(DAY(Variables!$A$2)&lt;10,0,"")&amp;DAY(Variables!$A$2)</f>
        <v>-14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49" s="31" t="e">
        <f>VLOOKUP(B49,'Train Runs'!$A$13:$A$99985,1,FALSE)</f>
        <v>#N/A</v>
      </c>
    </row>
    <row r="50" spans="1:10" x14ac:dyDescent="0.25">
      <c r="A50" s="167"/>
      <c r="B50" s="44" t="str">
        <f>A50&amp;"-"&amp;IF(DAY(Variables!$A$2)&lt;10,0,"")&amp;DAY(Variables!$A$2)</f>
        <v>-14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50" s="31" t="e">
        <f>VLOOKUP(B50,'Train Runs'!$A$13:$A$99985,1,FALSE)</f>
        <v>#N/A</v>
      </c>
    </row>
    <row r="51" spans="1:10" x14ac:dyDescent="0.25">
      <c r="A51" s="167"/>
      <c r="B51" s="44" t="str">
        <f>A51&amp;"-"&amp;IF(DAY(Variables!$A$2)&lt;10,0,"")&amp;DAY(Variables!$A$2)</f>
        <v>-14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51" s="31" t="e">
        <f>VLOOKUP(B51,'Train Runs'!$A$13:$A$99985,1,FALSE)</f>
        <v>#N/A</v>
      </c>
    </row>
    <row r="52" spans="1:10" x14ac:dyDescent="0.25">
      <c r="A52" s="167"/>
      <c r="B52" s="44" t="str">
        <f>A52&amp;"-"&amp;IF(DAY(Variables!$A$2)&lt;10,0,"")&amp;DAY(Variables!$A$2)</f>
        <v>-14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52" s="31" t="e">
        <f>VLOOKUP(B52,'Train Runs'!$A$13:$A$99985,1,FALSE)</f>
        <v>#N/A</v>
      </c>
    </row>
    <row r="53" spans="1:10" x14ac:dyDescent="0.25">
      <c r="A53" s="167"/>
      <c r="B53" s="44" t="str">
        <f>A53&amp;"-"&amp;IF(DAY(Variables!$A$2)&lt;10,0,"")&amp;DAY(Variables!$A$2)</f>
        <v>-14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53" s="31" t="e">
        <f>VLOOKUP(B53,'Train Runs'!$A$13:$A$99985,1,FALSE)</f>
        <v>#N/A</v>
      </c>
    </row>
    <row r="54" spans="1:10" x14ac:dyDescent="0.25">
      <c r="A54" s="167"/>
      <c r="B54" s="44" t="str">
        <f>A54&amp;"-"&amp;IF(DAY(Variables!$A$2)&lt;10,0,"")&amp;DAY(Variables!$A$2)</f>
        <v>-14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54" s="31" t="e">
        <f>VLOOKUP(B54,'Train Runs'!$A$13:$A$99985,1,FALSE)</f>
        <v>#N/A</v>
      </c>
    </row>
    <row r="55" spans="1:10" x14ac:dyDescent="0.25">
      <c r="A55" s="167"/>
      <c r="B55" s="44" t="str">
        <f>A55&amp;"-"&amp;IF(DAY(Variables!$A$2)&lt;10,0,"")&amp;DAY(Variables!$A$2)</f>
        <v>-14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55" s="31" t="e">
        <f>VLOOKUP(B55,'Train Runs'!$A$13:$A$99985,1,FALSE)</f>
        <v>#N/A</v>
      </c>
    </row>
    <row r="56" spans="1:10" x14ac:dyDescent="0.25">
      <c r="A56" s="167"/>
      <c r="B56" s="44" t="str">
        <f>A56&amp;"-"&amp;IF(DAY(Variables!$A$2)&lt;10,0,"")&amp;DAY(Variables!$A$2)</f>
        <v>-14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56" s="31" t="e">
        <f>VLOOKUP(B56,'Train Runs'!$A$13:$A$99985,1,FALSE)</f>
        <v>#N/A</v>
      </c>
    </row>
    <row r="57" spans="1:10" x14ac:dyDescent="0.25">
      <c r="A57" s="167"/>
      <c r="B57" s="44" t="str">
        <f>A57&amp;"-"&amp;IF(DAY(Variables!$A$2)&lt;10,0,"")&amp;DAY(Variables!$A$2)</f>
        <v>-14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57" s="31" t="e">
        <f>VLOOKUP(B57,'Train Runs'!$A$13:$A$99985,1,FALSE)</f>
        <v>#N/A</v>
      </c>
    </row>
    <row r="58" spans="1:10" x14ac:dyDescent="0.25">
      <c r="A58" s="167"/>
      <c r="B58" s="44" t="str">
        <f>A58&amp;"-"&amp;IF(DAY(Variables!$A$2)&lt;10,0,"")&amp;DAY(Variables!$A$2)</f>
        <v>-14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58" s="31" t="e">
        <f>VLOOKUP(B58,'Train Runs'!$A$13:$A$99985,1,FALSE)</f>
        <v>#N/A</v>
      </c>
    </row>
    <row r="59" spans="1:10" x14ac:dyDescent="0.25">
      <c r="A59" s="167"/>
      <c r="B59" s="44" t="str">
        <f>A59&amp;"-"&amp;IF(DAY(Variables!$A$2)&lt;10,0,"")&amp;DAY(Variables!$A$2)</f>
        <v>-14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59" s="31" t="e">
        <f>VLOOKUP(B59,'Train Runs'!$A$13:$A$99985,1,FALSE)</f>
        <v>#N/A</v>
      </c>
    </row>
    <row r="60" spans="1:10" x14ac:dyDescent="0.25">
      <c r="A60" s="167"/>
      <c r="B60" s="44" t="str">
        <f>A60&amp;"-"&amp;IF(DAY(Variables!$A$2)&lt;10,0,"")&amp;DAY(Variables!$A$2)</f>
        <v>-14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60" s="31" t="e">
        <f>VLOOKUP(B60,'Train Runs'!$A$13:$A$99985,1,FALSE)</f>
        <v>#N/A</v>
      </c>
    </row>
    <row r="61" spans="1:10" x14ac:dyDescent="0.25">
      <c r="A61" s="167"/>
      <c r="B61" s="44" t="str">
        <f>A61&amp;"-"&amp;IF(DAY(Variables!$A$2)&lt;10,0,"")&amp;DAY(Variables!$A$2)</f>
        <v>-14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61" s="31" t="e">
        <f>VLOOKUP(B61,'Train Runs'!$A$13:$A$99985,1,FALSE)</f>
        <v>#N/A</v>
      </c>
    </row>
    <row r="62" spans="1:10" x14ac:dyDescent="0.25">
      <c r="A62" s="167"/>
      <c r="B62" s="44" t="str">
        <f>A62&amp;"-"&amp;IF(DAY(Variables!$A$2)&lt;10,0,"")&amp;DAY(Variables!$A$2)</f>
        <v>-14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62" s="31" t="e">
        <f>VLOOKUP(B62,'Train Runs'!$A$13:$A$99985,1,FALSE)</f>
        <v>#N/A</v>
      </c>
    </row>
    <row r="63" spans="1:10" x14ac:dyDescent="0.25">
      <c r="A63" s="167"/>
      <c r="B63" s="44" t="str">
        <f>A63&amp;"-"&amp;IF(DAY(Variables!$A$2)&lt;10,0,"")&amp;DAY(Variables!$A$2)</f>
        <v>-14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63" s="31" t="e">
        <f>VLOOKUP(B63,'Train Runs'!$A$13:$A$99985,1,FALSE)</f>
        <v>#N/A</v>
      </c>
    </row>
    <row r="64" spans="1:10" x14ac:dyDescent="0.25">
      <c r="A64" s="167"/>
      <c r="B64" s="44" t="str">
        <f>A64&amp;"-"&amp;IF(DAY(Variables!$A$2)&lt;10,0,"")&amp;DAY(Variables!$A$2)</f>
        <v>-14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64" s="31" t="e">
        <f>VLOOKUP(B64,'Train Runs'!$A$13:$A$99985,1,FALSE)</f>
        <v>#N/A</v>
      </c>
    </row>
    <row r="65" spans="1:10" x14ac:dyDescent="0.25">
      <c r="A65" s="167"/>
      <c r="B65" s="44" t="str">
        <f>A65&amp;"-"&amp;IF(DAY(Variables!$A$2)&lt;10,0,"")&amp;DAY(Variables!$A$2)</f>
        <v>-14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65" s="31" t="e">
        <f>VLOOKUP(B65,'Train Runs'!$A$13:$A$99985,1,FALSE)</f>
        <v>#N/A</v>
      </c>
    </row>
    <row r="66" spans="1:10" x14ac:dyDescent="0.25">
      <c r="A66" s="167"/>
      <c r="B66" s="44" t="str">
        <f>A66&amp;"-"&amp;IF(DAY(Variables!$A$2)&lt;10,0,"")&amp;DAY(Variables!$A$2)</f>
        <v>-14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66" s="31" t="e">
        <f>VLOOKUP(B66,'Train Runs'!$A$13:$A$99985,1,FALSE)</f>
        <v>#N/A</v>
      </c>
    </row>
    <row r="67" spans="1:10" x14ac:dyDescent="0.25">
      <c r="A67" s="167"/>
      <c r="B67" s="44" t="str">
        <f>A67&amp;"-"&amp;IF(DAY(Variables!$A$2)&lt;10,0,"")&amp;DAY(Variables!$A$2)</f>
        <v>-14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ref="I67:I13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67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67" s="31" t="e">
        <f>VLOOKUP(B67,'Train Runs'!$A$13:$A$99985,1,FALSE)</f>
        <v>#N/A</v>
      </c>
    </row>
    <row r="68" spans="1:10" x14ac:dyDescent="0.25">
      <c r="A68" s="167"/>
      <c r="B68" s="44" t="str">
        <f>A68&amp;"-"&amp;IF(DAY(Variables!$A$2)&lt;10,0,"")&amp;DAY(Variables!$A$2)</f>
        <v>-14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68" s="31" t="e">
        <f>VLOOKUP(B68,'Train Runs'!$A$13:$A$99985,1,FALSE)</f>
        <v>#N/A</v>
      </c>
    </row>
    <row r="69" spans="1:10" x14ac:dyDescent="0.25">
      <c r="A69" s="167"/>
      <c r="B69" s="44" t="str">
        <f>A69&amp;"-"&amp;IF(DAY(Variables!$A$2)&lt;10,0,"")&amp;DAY(Variables!$A$2)</f>
        <v>-14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69" s="31" t="e">
        <f>VLOOKUP(B69,'Train Runs'!$A$13:$A$99985,1,FALSE)</f>
        <v>#N/A</v>
      </c>
    </row>
    <row r="70" spans="1:10" x14ac:dyDescent="0.25">
      <c r="A70" s="167"/>
      <c r="B70" s="44" t="str">
        <f>A70&amp;"-"&amp;IF(DAY(Variables!$A$2)&lt;10,0,"")&amp;DAY(Variables!$A$2)</f>
        <v>-14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70" s="31" t="e">
        <f>VLOOKUP(B70,'Train Runs'!$A$13:$A$99985,1,FALSE)</f>
        <v>#N/A</v>
      </c>
    </row>
    <row r="71" spans="1:10" x14ac:dyDescent="0.25">
      <c r="A71" s="167"/>
      <c r="B71" s="44" t="str">
        <f>A71&amp;"-"&amp;IF(DAY(Variables!$A$2)&lt;10,0,"")&amp;DAY(Variables!$A$2)</f>
        <v>-14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71" s="31" t="e">
        <f>VLOOKUP(B71,'Train Runs'!$A$13:$A$99985,1,FALSE)</f>
        <v>#N/A</v>
      </c>
    </row>
    <row r="72" spans="1:10" x14ac:dyDescent="0.25">
      <c r="A72" s="167"/>
      <c r="B72" s="44" t="str">
        <f>A72&amp;"-"&amp;IF(DAY(Variables!$A$2)&lt;10,0,"")&amp;DAY(Variables!$A$2)</f>
        <v>-14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72" s="31" t="e">
        <f>VLOOKUP(B72,'Train Runs'!$A$13:$A$99985,1,FALSE)</f>
        <v>#N/A</v>
      </c>
    </row>
    <row r="73" spans="1:10" x14ac:dyDescent="0.25">
      <c r="A73" s="167"/>
      <c r="B73" s="44" t="str">
        <f>A73&amp;"-"&amp;IF(DAY(Variables!$A$2)&lt;10,0,"")&amp;DAY(Variables!$A$2)</f>
        <v>-14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73" s="31" t="e">
        <f>VLOOKUP(B73,'Train Runs'!$A$13:$A$99985,1,FALSE)</f>
        <v>#N/A</v>
      </c>
    </row>
    <row r="74" spans="1:10" x14ac:dyDescent="0.25">
      <c r="A74" s="167"/>
      <c r="B74" s="44" t="str">
        <f>A74&amp;"-"&amp;IF(DAY(Variables!$A$2)&lt;10,0,"")&amp;DAY(Variables!$A$2)</f>
        <v>-14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74" s="31" t="e">
        <f>VLOOKUP(B74,'Train Runs'!$A$13:$A$99985,1,FALSE)</f>
        <v>#N/A</v>
      </c>
    </row>
    <row r="75" spans="1:10" x14ac:dyDescent="0.25">
      <c r="A75" s="167"/>
      <c r="B75" s="44" t="str">
        <f>A75&amp;"-"&amp;IF(DAY(Variables!$A$2)&lt;10,0,"")&amp;DAY(Variables!$A$2)</f>
        <v>-14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75" s="31" t="e">
        <f>VLOOKUP(B75,'Train Runs'!$A$13:$A$99985,1,FALSE)</f>
        <v>#N/A</v>
      </c>
    </row>
    <row r="76" spans="1:10" x14ac:dyDescent="0.25">
      <c r="A76" s="167"/>
      <c r="B76" s="44" t="str">
        <f>A76&amp;"-"&amp;IF(DAY(Variables!$A$2)&lt;10,0,"")&amp;DAY(Variables!$A$2)</f>
        <v>-14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76" s="31" t="e">
        <f>VLOOKUP(B76,'Train Runs'!$A$13:$A$99985,1,FALSE)</f>
        <v>#N/A</v>
      </c>
    </row>
    <row r="77" spans="1:10" x14ac:dyDescent="0.25">
      <c r="A77" s="167"/>
      <c r="B77" s="44" t="str">
        <f>A77&amp;"-"&amp;IF(DAY(Variables!$A$2)&lt;10,0,"")&amp;DAY(Variables!$A$2)</f>
        <v>-14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77" s="31" t="e">
        <f>VLOOKUP(B77,'Train Runs'!$A$13:$A$99985,1,FALSE)</f>
        <v>#N/A</v>
      </c>
    </row>
    <row r="78" spans="1:10" x14ac:dyDescent="0.25">
      <c r="A78" s="167"/>
      <c r="B78" s="44" t="str">
        <f>A78&amp;"-"&amp;IF(DAY(Variables!$A$2)&lt;10,0,"")&amp;DAY(Variables!$A$2)</f>
        <v>-14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78" s="31" t="e">
        <f>VLOOKUP(B78,'Train Runs'!$A$13:$A$99985,1,FALSE)</f>
        <v>#N/A</v>
      </c>
    </row>
    <row r="79" spans="1:10" x14ac:dyDescent="0.25">
      <c r="A79" s="167"/>
      <c r="B79" s="44" t="str">
        <f>A79&amp;"-"&amp;IF(DAY(Variables!$A$2)&lt;10,0,"")&amp;DAY(Variables!$A$2)</f>
        <v>-14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79" s="31" t="e">
        <f>VLOOKUP(B79,'Train Runs'!$A$13:$A$99985,1,FALSE)</f>
        <v>#N/A</v>
      </c>
    </row>
    <row r="80" spans="1:10" x14ac:dyDescent="0.25">
      <c r="A80" s="167"/>
      <c r="B80" s="44" t="str">
        <f>A80&amp;"-"&amp;IF(DAY(Variables!$A$2)&lt;10,0,"")&amp;DAY(Variables!$A$2)</f>
        <v>-14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80" s="31" t="e">
        <f>VLOOKUP(B80,'Train Runs'!$A$13:$A$99985,1,FALSE)</f>
        <v>#N/A</v>
      </c>
    </row>
    <row r="81" spans="1:10" x14ac:dyDescent="0.25">
      <c r="A81" s="167"/>
      <c r="B81" s="44" t="str">
        <f>A81&amp;"-"&amp;IF(DAY(Variables!$A$2)&lt;10,0,"")&amp;DAY(Variables!$A$2)</f>
        <v>-14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81" s="31" t="e">
        <f>VLOOKUP(B81,'Train Runs'!$A$13:$A$99985,1,FALSE)</f>
        <v>#N/A</v>
      </c>
    </row>
    <row r="82" spans="1:10" x14ac:dyDescent="0.25">
      <c r="A82" s="167"/>
      <c r="B82" s="44" t="str">
        <f>A82&amp;"-"&amp;IF(DAY(Variables!$A$2)&lt;10,0,"")&amp;DAY(Variables!$A$2)</f>
        <v>-14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82" s="31" t="e">
        <f>VLOOKUP(B82,'Train Runs'!$A$13:$A$99985,1,FALSE)</f>
        <v>#N/A</v>
      </c>
    </row>
    <row r="83" spans="1:10" x14ac:dyDescent="0.25">
      <c r="A83" s="167"/>
      <c r="B83" s="44" t="str">
        <f>A83&amp;"-"&amp;IF(DAY(Variables!$A$2)&lt;10,0,"")&amp;DAY(Variables!$A$2)</f>
        <v>-14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83" s="31" t="e">
        <f>VLOOKUP(B83,'Train Runs'!$A$13:$A$99985,1,FALSE)</f>
        <v>#N/A</v>
      </c>
    </row>
    <row r="84" spans="1:10" x14ac:dyDescent="0.25">
      <c r="A84" s="167"/>
      <c r="B84" s="44" t="str">
        <f>A84&amp;"-"&amp;IF(DAY(Variables!$A$2)&lt;10,0,"")&amp;DAY(Variables!$A$2)</f>
        <v>-14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84" s="31" t="e">
        <f>VLOOKUP(B84,'Train Runs'!$A$13:$A$99985,1,FALSE)</f>
        <v>#N/A</v>
      </c>
    </row>
    <row r="85" spans="1:10" x14ac:dyDescent="0.25">
      <c r="A85" s="167"/>
      <c r="B85" s="44" t="str">
        <f>A85&amp;"-"&amp;IF(DAY(Variables!$A$2)&lt;10,0,"")&amp;DAY(Variables!$A$2)</f>
        <v>-14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85" s="31" t="e">
        <f>VLOOKUP(B85,'Train Runs'!$A$13:$A$99985,1,FALSE)</f>
        <v>#N/A</v>
      </c>
    </row>
    <row r="86" spans="1:10" x14ac:dyDescent="0.25">
      <c r="A86" s="167"/>
      <c r="B86" s="44" t="str">
        <f>A86&amp;"-"&amp;IF(DAY(Variables!$A$2)&lt;10,0,"")&amp;DAY(Variables!$A$2)</f>
        <v>-14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86" s="31" t="e">
        <f>VLOOKUP(B86,'Train Runs'!$A$13:$A$99985,1,FALSE)</f>
        <v>#N/A</v>
      </c>
    </row>
    <row r="87" spans="1:10" x14ac:dyDescent="0.25">
      <c r="A87" s="167"/>
      <c r="B87" s="44" t="str">
        <f>A87&amp;"-"&amp;IF(DAY(Variables!$A$2)&lt;10,0,"")&amp;DAY(Variables!$A$2)</f>
        <v>-14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87" s="31" t="e">
        <f>VLOOKUP(B87,'Train Runs'!$A$13:$A$99985,1,FALSE)</f>
        <v>#N/A</v>
      </c>
    </row>
    <row r="88" spans="1:10" x14ac:dyDescent="0.25">
      <c r="A88" s="167"/>
      <c r="B88" s="44" t="str">
        <f>A88&amp;"-"&amp;IF(DAY(Variables!$A$2)&lt;10,0,"")&amp;DAY(Variables!$A$2)</f>
        <v>-14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88" s="31" t="e">
        <f>VLOOKUP(B88,'Train Runs'!$A$13:$A$99985,1,FALSE)</f>
        <v>#N/A</v>
      </c>
    </row>
    <row r="89" spans="1:10" x14ac:dyDescent="0.25">
      <c r="A89" s="167"/>
      <c r="B89" s="44" t="str">
        <f>A89&amp;"-"&amp;IF(DAY(Variables!$A$2)&lt;10,0,"")&amp;DAY(Variables!$A$2)</f>
        <v>-14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89" s="31" t="e">
        <f>VLOOKUP(B89,'Train Runs'!$A$13:$A$99985,1,FALSE)</f>
        <v>#N/A</v>
      </c>
    </row>
    <row r="90" spans="1:10" x14ac:dyDescent="0.25">
      <c r="A90" s="167"/>
      <c r="B90" s="44" t="str">
        <f>A90&amp;"-"&amp;IF(DAY(Variables!$A$2)&lt;10,0,"")&amp;DAY(Variables!$A$2)</f>
        <v>-14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90" s="31" t="e">
        <f>VLOOKUP(B90,'Train Runs'!$A$13:$A$99985,1,FALSE)</f>
        <v>#N/A</v>
      </c>
    </row>
    <row r="91" spans="1:10" x14ac:dyDescent="0.25">
      <c r="A91" s="167"/>
      <c r="B91" s="44" t="str">
        <f>A91&amp;"-"&amp;IF(DAY(Variables!$A$2)&lt;10,0,"")&amp;DAY(Variables!$A$2)</f>
        <v>-14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91" s="31" t="e">
        <f>VLOOKUP(B91,'Train Runs'!$A$13:$A$99985,1,FALSE)</f>
        <v>#N/A</v>
      </c>
    </row>
    <row r="92" spans="1:10" x14ac:dyDescent="0.25">
      <c r="A92" s="167"/>
      <c r="B92" s="44" t="str">
        <f>A92&amp;"-"&amp;IF(DAY(Variables!$A$2)&lt;10,0,"")&amp;DAY(Variables!$A$2)</f>
        <v>-14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92" s="31" t="e">
        <f>VLOOKUP(B92,'Train Runs'!$A$13:$A$99985,1,FALSE)</f>
        <v>#N/A</v>
      </c>
    </row>
    <row r="93" spans="1:10" x14ac:dyDescent="0.25">
      <c r="A93" s="167"/>
      <c r="B93" s="44" t="str">
        <f>A93&amp;"-"&amp;IF(DAY(Variables!$A$2)&lt;10,0,"")&amp;DAY(Variables!$A$2)</f>
        <v>-14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93" s="31" t="e">
        <f>VLOOKUP(B93,'Train Runs'!$A$13:$A$99985,1,FALSE)</f>
        <v>#N/A</v>
      </c>
    </row>
    <row r="94" spans="1:10" x14ac:dyDescent="0.25">
      <c r="A94" s="167"/>
      <c r="B94" s="44" t="str">
        <f>A94&amp;"-"&amp;IF(DAY(Variables!$A$2)&lt;10,0,"")&amp;DAY(Variables!$A$2)</f>
        <v>-14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94" s="31" t="e">
        <f>VLOOKUP(B94,'Train Runs'!$A$13:$A$99985,1,FALSE)</f>
        <v>#N/A</v>
      </c>
    </row>
    <row r="95" spans="1:10" x14ac:dyDescent="0.25">
      <c r="A95" s="167"/>
      <c r="B95" s="44" t="str">
        <f>A95&amp;"-"&amp;IF(DAY(Variables!$A$2)&lt;10,0,"")&amp;DAY(Variables!$A$2)</f>
        <v>-14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95" s="31" t="e">
        <f>VLOOKUP(B95,'Train Runs'!$A$13:$A$99985,1,FALSE)</f>
        <v>#N/A</v>
      </c>
    </row>
    <row r="96" spans="1:10" x14ac:dyDescent="0.25">
      <c r="A96" s="167"/>
      <c r="B96" s="44" t="str">
        <f>A96&amp;"-"&amp;IF(DAY(Variables!$A$2)&lt;10,0,"")&amp;DAY(Variables!$A$2)</f>
        <v>-14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96" s="31" t="e">
        <f>VLOOKUP(B96,'Train Runs'!$A$13:$A$99985,1,FALSE)</f>
        <v>#N/A</v>
      </c>
    </row>
    <row r="97" spans="1:10" x14ac:dyDescent="0.25">
      <c r="A97" s="167"/>
      <c r="B97" s="44" t="str">
        <f>A97&amp;"-"&amp;IF(DAY(Variables!$A$2)&lt;10,0,"")&amp;DAY(Variables!$A$2)</f>
        <v>-14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97" s="31" t="e">
        <f>VLOOKUP(B97,'Train Runs'!$A$13:$A$99985,1,FALSE)</f>
        <v>#N/A</v>
      </c>
    </row>
    <row r="98" spans="1:10" x14ac:dyDescent="0.25">
      <c r="A98" s="167"/>
      <c r="B98" s="44" t="str">
        <f>A98&amp;"-"&amp;IF(DAY(Variables!$A$2)&lt;10,0,"")&amp;DAY(Variables!$A$2)</f>
        <v>-14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98" s="31" t="e">
        <f>VLOOKUP(B98,'Train Runs'!$A$13:$A$99985,1,FALSE)</f>
        <v>#N/A</v>
      </c>
    </row>
    <row r="99" spans="1:10" x14ac:dyDescent="0.25">
      <c r="A99" s="167"/>
      <c r="B99" s="44" t="str">
        <f>A99&amp;"-"&amp;IF(DAY(Variables!$A$2)&lt;10,0,"")&amp;DAY(Variables!$A$2)</f>
        <v>-14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99" s="31" t="e">
        <f>VLOOKUP(B99,'Train Runs'!$A$13:$A$99985,1,FALSE)</f>
        <v>#N/A</v>
      </c>
    </row>
    <row r="100" spans="1:10" x14ac:dyDescent="0.25">
      <c r="A100" s="167"/>
      <c r="B100" s="44" t="str">
        <f>A100&amp;"-"&amp;IF(DAY(Variables!$A$2)&lt;10,0,"")&amp;DAY(Variables!$A$2)</f>
        <v>-14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00" s="31" t="e">
        <f>VLOOKUP(B100,'Train Runs'!$A$13:$A$99985,1,FALSE)</f>
        <v>#N/A</v>
      </c>
    </row>
    <row r="101" spans="1:10" x14ac:dyDescent="0.25">
      <c r="A101" s="167"/>
      <c r="B101" s="44" t="str">
        <f>A101&amp;"-"&amp;IF(DAY(Variables!$A$2)&lt;10,0,"")&amp;DAY(Variables!$A$2)</f>
        <v>-14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01" s="31" t="e">
        <f>VLOOKUP(B101,'Train Runs'!$A$13:$A$99985,1,FALSE)</f>
        <v>#N/A</v>
      </c>
    </row>
    <row r="102" spans="1:10" x14ac:dyDescent="0.25">
      <c r="A102" s="167"/>
      <c r="B102" s="44" t="str">
        <f>A102&amp;"-"&amp;IF(DAY(Variables!$A$2)&lt;10,0,"")&amp;DAY(Variables!$A$2)</f>
        <v>-14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02" s="31" t="e">
        <f>VLOOKUP(B102,'Train Runs'!$A$13:$A$99985,1,FALSE)</f>
        <v>#N/A</v>
      </c>
    </row>
    <row r="103" spans="1:10" x14ac:dyDescent="0.25">
      <c r="A103" s="167"/>
      <c r="B103" s="44" t="str">
        <f>A103&amp;"-"&amp;IF(DAY(Variables!$A$2)&lt;10,0,"")&amp;DAY(Variables!$A$2)</f>
        <v>-14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03" s="31" t="e">
        <f>VLOOKUP(B103,'Train Runs'!$A$13:$A$99985,1,FALSE)</f>
        <v>#N/A</v>
      </c>
    </row>
    <row r="104" spans="1:10" x14ac:dyDescent="0.25">
      <c r="A104" s="167"/>
      <c r="B104" s="44" t="str">
        <f>A104&amp;"-"&amp;IF(DAY(Variables!$A$2)&lt;10,0,"")&amp;DAY(Variables!$A$2)</f>
        <v>-14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04" s="31" t="e">
        <f>VLOOKUP(B104,'Train Runs'!$A$13:$A$99985,1,FALSE)</f>
        <v>#N/A</v>
      </c>
    </row>
    <row r="105" spans="1:10" x14ac:dyDescent="0.25">
      <c r="A105" s="167"/>
      <c r="B105" s="44" t="str">
        <f>A105&amp;"-"&amp;IF(DAY(Variables!$A$2)&lt;10,0,"")&amp;DAY(Variables!$A$2)</f>
        <v>-14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05" s="31" t="e">
        <f>VLOOKUP(B105,'Train Runs'!$A$13:$A$99985,1,FALSE)</f>
        <v>#N/A</v>
      </c>
    </row>
    <row r="106" spans="1:10" x14ac:dyDescent="0.25">
      <c r="A106" s="167"/>
      <c r="B106" s="44" t="str">
        <f>A106&amp;"-"&amp;IF(DAY(Variables!$A$2)&lt;10,0,"")&amp;DAY(Variables!$A$2)</f>
        <v>-14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06" s="31" t="e">
        <f>VLOOKUP(B106,'Train Runs'!$A$13:$A$99985,1,FALSE)</f>
        <v>#N/A</v>
      </c>
    </row>
    <row r="107" spans="1:10" x14ac:dyDescent="0.25">
      <c r="A107" s="167"/>
      <c r="B107" s="44" t="str">
        <f>A107&amp;"-"&amp;IF(DAY(Variables!$A$2)&lt;10,0,"")&amp;DAY(Variables!$A$2)</f>
        <v>-14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07" s="31" t="e">
        <f>VLOOKUP(B107,'Train Runs'!$A$13:$A$99985,1,FALSE)</f>
        <v>#N/A</v>
      </c>
    </row>
    <row r="108" spans="1:10" x14ac:dyDescent="0.25">
      <c r="A108" s="167"/>
      <c r="B108" s="44" t="str">
        <f>A108&amp;"-"&amp;IF(DAY(Variables!$A$2)&lt;10,0,"")&amp;DAY(Variables!$A$2)</f>
        <v>-14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08" s="31" t="e">
        <f>VLOOKUP(B108,'Train Runs'!$A$13:$A$99985,1,FALSE)</f>
        <v>#N/A</v>
      </c>
    </row>
    <row r="109" spans="1:10" x14ac:dyDescent="0.25">
      <c r="A109" s="167"/>
      <c r="B109" s="44" t="str">
        <f>A109&amp;"-"&amp;IF(DAY(Variables!$A$2)&lt;10,0,"")&amp;DAY(Variables!$A$2)</f>
        <v>-14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09" s="31" t="e">
        <f>VLOOKUP(B109,'Train Runs'!$A$13:$A$99985,1,FALSE)</f>
        <v>#N/A</v>
      </c>
    </row>
    <row r="110" spans="1:10" x14ac:dyDescent="0.25">
      <c r="A110" s="167"/>
      <c r="B110" s="44" t="str">
        <f>A110&amp;"-"&amp;IF(DAY(Variables!$A$2)&lt;10,0,"")&amp;DAY(Variables!$A$2)</f>
        <v>-14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10" s="31" t="e">
        <f>VLOOKUP(B110,'Train Runs'!$A$13:$A$99985,1,FALSE)</f>
        <v>#N/A</v>
      </c>
    </row>
    <row r="111" spans="1:10" x14ac:dyDescent="0.25">
      <c r="A111" s="167"/>
      <c r="B111" s="44" t="str">
        <f>A111&amp;"-"&amp;IF(DAY(Variables!$A$2)&lt;10,0,"")&amp;DAY(Variables!$A$2)</f>
        <v>-14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11" s="31" t="e">
        <f>VLOOKUP(B111,'Train Runs'!$A$13:$A$99985,1,FALSE)</f>
        <v>#N/A</v>
      </c>
    </row>
    <row r="112" spans="1:10" x14ac:dyDescent="0.25">
      <c r="A112" s="167"/>
      <c r="B112" s="44" t="str">
        <f>A112&amp;"-"&amp;IF(DAY(Variables!$A$2)&lt;10,0,"")&amp;DAY(Variables!$A$2)</f>
        <v>-14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12" s="31" t="e">
        <f>VLOOKUP(B112,'Train Runs'!$A$13:$A$99985,1,FALSE)</f>
        <v>#N/A</v>
      </c>
    </row>
    <row r="113" spans="1:10" x14ac:dyDescent="0.25">
      <c r="A113" s="167"/>
      <c r="B113" s="44" t="str">
        <f>A113&amp;"-"&amp;IF(DAY(Variables!$A$2)&lt;10,0,"")&amp;DAY(Variables!$A$2)</f>
        <v>-14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13" s="31" t="e">
        <f>VLOOKUP(B113,'Train Runs'!$A$13:$A$99985,1,FALSE)</f>
        <v>#N/A</v>
      </c>
    </row>
    <row r="114" spans="1:10" x14ac:dyDescent="0.25">
      <c r="A114" s="167"/>
      <c r="B114" s="44" t="str">
        <f>A114&amp;"-"&amp;IF(DAY(Variables!$A$2)&lt;10,0,"")&amp;DAY(Variables!$A$2)</f>
        <v>-14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14" s="31" t="e">
        <f>VLOOKUP(B114,'Train Runs'!$A$13:$A$99985,1,FALSE)</f>
        <v>#N/A</v>
      </c>
    </row>
    <row r="115" spans="1:10" x14ac:dyDescent="0.25">
      <c r="A115" s="167"/>
      <c r="B115" s="44" t="str">
        <f>A115&amp;"-"&amp;IF(DAY(Variables!$A$2)&lt;10,0,"")&amp;DAY(Variables!$A$2)</f>
        <v>-14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15" s="31" t="e">
        <f>VLOOKUP(B115,'Train Runs'!$A$13:$A$99985,1,FALSE)</f>
        <v>#N/A</v>
      </c>
    </row>
    <row r="116" spans="1:10" x14ac:dyDescent="0.25">
      <c r="A116" s="167"/>
      <c r="B116" s="44" t="str">
        <f>A116&amp;"-"&amp;IF(DAY(Variables!$A$2)&lt;10,0,"")&amp;DAY(Variables!$A$2)</f>
        <v>-14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16" s="31" t="e">
        <f>VLOOKUP(B116,'Train Runs'!$A$13:$A$99985,1,FALSE)</f>
        <v>#N/A</v>
      </c>
    </row>
    <row r="117" spans="1:10" x14ac:dyDescent="0.25">
      <c r="A117" s="167"/>
      <c r="B117" s="44" t="str">
        <f>A117&amp;"-"&amp;IF(DAY(Variables!$A$2)&lt;10,0,"")&amp;DAY(Variables!$A$2)</f>
        <v>-14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17" s="31" t="e">
        <f>VLOOKUP(B117,'Train Runs'!$A$13:$A$99985,1,FALSE)</f>
        <v>#N/A</v>
      </c>
    </row>
    <row r="118" spans="1:10" x14ac:dyDescent="0.25">
      <c r="A118" s="167"/>
      <c r="B118" s="44" t="str">
        <f>A118&amp;"-"&amp;IF(DAY(Variables!$A$2)&lt;10,0,"")&amp;DAY(Variables!$A$2)</f>
        <v>-14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18" s="31" t="e">
        <f>VLOOKUP(B118,'Train Runs'!$A$13:$A$99985,1,FALSE)</f>
        <v>#N/A</v>
      </c>
    </row>
    <row r="119" spans="1:10" x14ac:dyDescent="0.25">
      <c r="A119" s="167"/>
      <c r="B119" s="44" t="str">
        <f>A119&amp;"-"&amp;IF(DAY(Variables!$A$2)&lt;10,0,"")&amp;DAY(Variables!$A$2)</f>
        <v>-14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19" s="31" t="e">
        <f>VLOOKUP(B119,'Train Runs'!$A$13:$A$99985,1,FALSE)</f>
        <v>#N/A</v>
      </c>
    </row>
    <row r="120" spans="1:10" x14ac:dyDescent="0.25">
      <c r="A120" s="167"/>
      <c r="B120" s="44" t="str">
        <f>A120&amp;"-"&amp;IF(DAY(Variables!$A$2)&lt;10,0,"")&amp;DAY(Variables!$A$2)</f>
        <v>-14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20" s="31" t="e">
        <f>VLOOKUP(B120,'Train Runs'!$A$13:$A$99985,1,FALSE)</f>
        <v>#N/A</v>
      </c>
    </row>
    <row r="121" spans="1:10" x14ac:dyDescent="0.25">
      <c r="A121" s="167"/>
      <c r="B121" s="44" t="str">
        <f>A121&amp;"-"&amp;IF(DAY(Variables!$A$2)&lt;10,0,"")&amp;DAY(Variables!$A$2)</f>
        <v>-14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21" s="31" t="e">
        <f>VLOOKUP(B121,'Train Runs'!$A$13:$A$99985,1,FALSE)</f>
        <v>#N/A</v>
      </c>
    </row>
    <row r="122" spans="1:10" x14ac:dyDescent="0.25">
      <c r="A122" s="167"/>
      <c r="B122" s="44" t="str">
        <f>A122&amp;"-"&amp;IF(DAY(Variables!$A$2)&lt;10,0,"")&amp;DAY(Variables!$A$2)</f>
        <v>-14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22" s="31" t="e">
        <f>VLOOKUP(B122,'Train Runs'!$A$13:$A$99985,1,FALSE)</f>
        <v>#N/A</v>
      </c>
    </row>
    <row r="123" spans="1:10" x14ac:dyDescent="0.25">
      <c r="A123" s="167"/>
      <c r="B123" s="44" t="str">
        <f>A123&amp;"-"&amp;IF(DAY(Variables!$A$2)&lt;10,0,"")&amp;DAY(Variables!$A$2)</f>
        <v>-14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23" s="31" t="e">
        <f>VLOOKUP(B123,'Train Runs'!$A$13:$A$99985,1,FALSE)</f>
        <v>#N/A</v>
      </c>
    </row>
    <row r="124" spans="1:10" x14ac:dyDescent="0.25">
      <c r="A124" s="167"/>
      <c r="B124" s="44" t="str">
        <f>A124&amp;"-"&amp;IF(DAY(Variables!$A$2)&lt;10,0,"")&amp;DAY(Variables!$A$2)</f>
        <v>-14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24" s="31" t="e">
        <f>VLOOKUP(B124,'Train Runs'!$A$13:$A$99985,1,FALSE)</f>
        <v>#N/A</v>
      </c>
    </row>
    <row r="125" spans="1:10" x14ac:dyDescent="0.25">
      <c r="A125" s="167"/>
      <c r="B125" s="44" t="str">
        <f>A125&amp;"-"&amp;IF(DAY(Variables!$A$2)&lt;10,0,"")&amp;DAY(Variables!$A$2)</f>
        <v>-14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25" s="31" t="e">
        <f>VLOOKUP(B125,'Train Runs'!$A$13:$A$99985,1,FALSE)</f>
        <v>#N/A</v>
      </c>
    </row>
    <row r="126" spans="1:10" x14ac:dyDescent="0.25">
      <c r="A126" s="167"/>
      <c r="B126" s="44" t="str">
        <f>A126&amp;"-"&amp;IF(DAY(Variables!$A$2)&lt;10,0,"")&amp;DAY(Variables!$A$2)</f>
        <v>-14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26" s="31" t="e">
        <f>VLOOKUP(B126,'Train Runs'!$A$13:$A$99985,1,FALSE)</f>
        <v>#N/A</v>
      </c>
    </row>
    <row r="127" spans="1:10" x14ac:dyDescent="0.25">
      <c r="A127" s="167"/>
      <c r="B127" s="44" t="str">
        <f>A127&amp;"-"&amp;IF(DAY(Variables!$A$2)&lt;10,0,"")&amp;DAY(Variables!$A$2)</f>
        <v>-14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27" s="31" t="e">
        <f>VLOOKUP(B127,'Train Runs'!$A$13:$A$99985,1,FALSE)</f>
        <v>#N/A</v>
      </c>
    </row>
    <row r="128" spans="1:10" x14ac:dyDescent="0.25">
      <c r="A128" s="167"/>
      <c r="B128" s="44" t="str">
        <f>A128&amp;"-"&amp;IF(DAY(Variables!$A$2)&lt;10,0,"")&amp;DAY(Variables!$A$2)</f>
        <v>-14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28" s="31" t="e">
        <f>VLOOKUP(B128,'Train Runs'!$A$13:$A$99985,1,FALSE)</f>
        <v>#N/A</v>
      </c>
    </row>
    <row r="129" spans="1:10" x14ac:dyDescent="0.25">
      <c r="A129" s="167"/>
      <c r="B129" s="44" t="str">
        <f>A129&amp;"-"&amp;IF(DAY(Variables!$A$2)&lt;10,0,"")&amp;DAY(Variables!$A$2)</f>
        <v>-14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29" s="31" t="e">
        <f>VLOOKUP(B129,'Train Runs'!$A$13:$A$99985,1,FALSE)</f>
        <v>#N/A</v>
      </c>
    </row>
    <row r="130" spans="1:10" x14ac:dyDescent="0.25">
      <c r="A130" s="167"/>
      <c r="B130" s="44" t="str">
        <f>A130&amp;"-"&amp;IF(DAY(Variables!$A$2)&lt;10,0,"")&amp;DAY(Variables!$A$2)</f>
        <v>-14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30" s="31" t="e">
        <f>VLOOKUP(B130,'Train Runs'!$A$13:$A$99985,1,FALSE)</f>
        <v>#N/A</v>
      </c>
    </row>
    <row r="131" spans="1:10" x14ac:dyDescent="0.25">
      <c r="A131" s="167"/>
      <c r="B131" s="44" t="str">
        <f>A131&amp;"-"&amp;IF(DAY(Variables!$A$2)&lt;10,0,"")&amp;DAY(Variables!$A$2)</f>
        <v>-14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ref="I131:I142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*',interval:auto,query:(query_string:(analyze_wildcard:!t,query:%22"&amp;B131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31" s="31" t="e">
        <f>VLOOKUP(B131,'Train Runs'!$A$13:$A$99985,1,FALSE)</f>
        <v>#N/A</v>
      </c>
    </row>
    <row r="132" spans="1:10" x14ac:dyDescent="0.25">
      <c r="A132" s="167"/>
      <c r="B132" s="44" t="str">
        <f>A132&amp;"-"&amp;IF(DAY(Variables!$A$2)&lt;10,0,"")&amp;DAY(Variables!$A$2)</f>
        <v>-14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32" s="31" t="e">
        <f>VLOOKUP(B132,'Train Runs'!$A$13:$A$99985,1,FALSE)</f>
        <v>#N/A</v>
      </c>
    </row>
    <row r="133" spans="1:10" x14ac:dyDescent="0.25">
      <c r="A133" s="167"/>
      <c r="B133" s="44" t="str">
        <f>A133&amp;"-"&amp;IF(DAY(Variables!$A$2)&lt;10,0,"")&amp;DAY(Variables!$A$2)</f>
        <v>-14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33" s="31" t="e">
        <f>VLOOKUP(B133,'Train Runs'!$A$13:$A$99985,1,FALSE)</f>
        <v>#N/A</v>
      </c>
    </row>
    <row r="134" spans="1:10" x14ac:dyDescent="0.25">
      <c r="A134" s="167"/>
      <c r="B134" s="44" t="str">
        <f>A134&amp;"-"&amp;IF(DAY(Variables!$A$2)&lt;10,0,"")&amp;DAY(Variables!$A$2)</f>
        <v>-14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34" s="31" t="e">
        <f>VLOOKUP(B134,'Train Runs'!$A$13:$A$99985,1,FALSE)</f>
        <v>#N/A</v>
      </c>
    </row>
    <row r="135" spans="1:10" x14ac:dyDescent="0.25">
      <c r="A135" s="167"/>
      <c r="B135" s="44" t="str">
        <f>A135&amp;"-"&amp;IF(DAY(Variables!$A$2)&lt;10,0,"")&amp;DAY(Variables!$A$2)</f>
        <v>-14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35" s="31" t="e">
        <f>VLOOKUP(B135,'Train Runs'!$A$13:$A$99985,1,FALSE)</f>
        <v>#N/A</v>
      </c>
    </row>
    <row r="136" spans="1:10" x14ac:dyDescent="0.25">
      <c r="A136" s="167"/>
      <c r="B136" s="44" t="str">
        <f>A136&amp;"-"&amp;IF(DAY(Variables!$A$2)&lt;10,0,"")&amp;DAY(Variables!$A$2)</f>
        <v>-14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36" s="31" t="e">
        <f>VLOOKUP(B136,'Train Runs'!$A$13:$A$99985,1,FALSE)</f>
        <v>#N/A</v>
      </c>
    </row>
    <row r="137" spans="1:10" x14ac:dyDescent="0.25">
      <c r="A137" s="167"/>
      <c r="B137" s="44" t="str">
        <f>A137&amp;"-"&amp;IF(DAY(Variables!$A$2)&lt;10,0,"")&amp;DAY(Variables!$A$2)</f>
        <v>-14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37" s="31" t="e">
        <f>VLOOKUP(B137,'Train Runs'!$A$13:$A$99985,1,FALSE)</f>
        <v>#N/A</v>
      </c>
    </row>
    <row r="138" spans="1:10" x14ac:dyDescent="0.25">
      <c r="A138" s="167"/>
      <c r="B138" s="44" t="str">
        <f>A138&amp;"-"&amp;IF(DAY(Variables!$A$2)&lt;10,0,"")&amp;DAY(Variables!$A$2)</f>
        <v>-14</v>
      </c>
      <c r="C138" s="154"/>
      <c r="D138" s="159"/>
      <c r="E138" s="31"/>
      <c r="F138" s="22" t="e">
        <f>VLOOKUP(B138,'Trips&amp;Operators'!$C$2:$E$10000,3,FALSE)</f>
        <v>#N/A</v>
      </c>
      <c r="G138" s="22" t="e">
        <f>VLOOKUP(B138,'Trips&amp;Operators'!$C$1:$F$10000,4,FALSE)</f>
        <v>#N/A</v>
      </c>
      <c r="H138" s="30" t="e">
        <f>VLOOKUP(B138,'Trips&amp;Operators'!$C$1:$H$10000,5,FALSE)</f>
        <v>#N/A</v>
      </c>
      <c r="I13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38" s="31" t="e">
        <f>VLOOKUP(B138,'Train Runs'!$A$13:$A$99985,1,FALSE)</f>
        <v>#N/A</v>
      </c>
    </row>
    <row r="139" spans="1:10" x14ac:dyDescent="0.25">
      <c r="A139" s="167"/>
      <c r="B139" s="44" t="str">
        <f>A139&amp;"-"&amp;IF(DAY(Variables!$A$2)&lt;10,0,"")&amp;DAY(Variables!$A$2)</f>
        <v>-14</v>
      </c>
      <c r="C139" s="154"/>
      <c r="D139" s="159"/>
      <c r="E139" s="31"/>
      <c r="F139" s="22" t="e">
        <f>VLOOKUP(B139,'Trips&amp;Operators'!$C$2:$E$10000,3,FALSE)</f>
        <v>#N/A</v>
      </c>
      <c r="G139" s="22" t="e">
        <f>VLOOKUP(B139,'Trips&amp;Operators'!$C$1:$F$10000,4,FALSE)</f>
        <v>#N/A</v>
      </c>
      <c r="H139" s="30" t="e">
        <f>VLOOKUP(B139,'Trips&amp;Operators'!$C$1:$H$10000,5,FALSE)</f>
        <v>#N/A</v>
      </c>
      <c r="I13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39" s="31" t="e">
        <f>VLOOKUP(B139,'Train Runs'!$A$13:$A$99985,1,FALSE)</f>
        <v>#N/A</v>
      </c>
    </row>
    <row r="140" spans="1:10" x14ac:dyDescent="0.25">
      <c r="A140" s="167"/>
      <c r="B140" s="44" t="str">
        <f>A140&amp;"-"&amp;IF(DAY(Variables!$A$2)&lt;10,0,"")&amp;DAY(Variables!$A$2)</f>
        <v>-14</v>
      </c>
      <c r="C140" s="154"/>
      <c r="D140" s="159"/>
      <c r="E140" s="31"/>
      <c r="F140" s="22" t="e">
        <f>VLOOKUP(B140,'Trips&amp;Operators'!$C$2:$E$10000,3,FALSE)</f>
        <v>#N/A</v>
      </c>
      <c r="G140" s="22" t="e">
        <f>VLOOKUP(B140,'Trips&amp;Operators'!$C$1:$F$10000,4,FALSE)</f>
        <v>#N/A</v>
      </c>
      <c r="H140" s="30" t="e">
        <f>VLOOKUP(B140,'Trips&amp;Operators'!$C$1:$H$10000,5,FALSE)</f>
        <v>#N/A</v>
      </c>
      <c r="I14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40" s="31" t="e">
        <f>VLOOKUP(B140,'Train Runs'!$A$13:$A$99985,1,FALSE)</f>
        <v>#N/A</v>
      </c>
    </row>
    <row r="141" spans="1:10" x14ac:dyDescent="0.25">
      <c r="A141" s="167"/>
      <c r="B141" s="44" t="str">
        <f>A141&amp;"-"&amp;IF(DAY(Variables!$A$2)&lt;10,0,"")&amp;DAY(Variables!$A$2)</f>
        <v>-14</v>
      </c>
      <c r="C141" s="154"/>
      <c r="D141" s="159"/>
      <c r="E141" s="31"/>
      <c r="F141" s="22" t="e">
        <f>VLOOKUP(B141,'Trips&amp;Operators'!$C$2:$E$10000,3,FALSE)</f>
        <v>#N/A</v>
      </c>
      <c r="G141" s="22" t="e">
        <f>VLOOKUP(B141,'Trips&amp;Operators'!$C$1:$F$10000,4,FALSE)</f>
        <v>#N/A</v>
      </c>
      <c r="H141" s="30" t="e">
        <f>VLOOKUP(B141,'Trips&amp;Operators'!$C$1:$H$10000,5,FALSE)</f>
        <v>#N/A</v>
      </c>
      <c r="I14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41" s="31" t="e">
        <f>VLOOKUP(B141,'Train Runs'!$A$13:$A$99985,1,FALSE)</f>
        <v>#N/A</v>
      </c>
    </row>
    <row r="142" spans="1:10" x14ac:dyDescent="0.25">
      <c r="A142" s="167"/>
      <c r="B142" s="44" t="str">
        <f>A142&amp;"-"&amp;IF(DAY(Variables!$A$2)&lt;10,0,"")&amp;DAY(Variables!$A$2)</f>
        <v>-14</v>
      </c>
      <c r="C142" s="154"/>
      <c r="D142" s="159"/>
      <c r="E142" s="31"/>
      <c r="F142" s="22" t="e">
        <f>VLOOKUP(B142,'Trips&amp;Operators'!$C$2:$E$10000,3,FALSE)</f>
        <v>#N/A</v>
      </c>
      <c r="G142" s="22" t="e">
        <f>VLOOKUP(B142,'Trips&amp;Operators'!$C$1:$F$10000,4,FALSE)</f>
        <v>#N/A</v>
      </c>
      <c r="H142" s="30" t="e">
        <f>VLOOKUP(B142,'Trips&amp;Operators'!$C$1:$H$10000,5,FALSE)</f>
        <v>#N/A</v>
      </c>
      <c r="I14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*',interval:auto,query:(query_string:(analyze_wildcard:!t,query:%22-14%22)),sort:!(Time,asc))</v>
      </c>
      <c r="J142" s="31" t="e">
        <f>VLOOKUP(B142,'Train Runs'!$A$13:$A$99985,1,FALSE)</f>
        <v>#N/A</v>
      </c>
    </row>
  </sheetData>
  <autoFilter ref="A2:J14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235</v>
      </c>
      <c r="G1" s="8" t="s">
        <v>234</v>
      </c>
    </row>
    <row r="2" spans="1:7" x14ac:dyDescent="0.25">
      <c r="A2" s="8">
        <v>42749.032118055555</v>
      </c>
      <c r="B2" s="21" t="s">
        <v>317</v>
      </c>
      <c r="C2" s="21" t="s">
        <v>454</v>
      </c>
      <c r="D2" s="160">
        <v>2270000</v>
      </c>
      <c r="E2" s="21" t="s">
        <v>455</v>
      </c>
      <c r="F2" s="21" t="s">
        <v>456</v>
      </c>
      <c r="G2" s="8" t="str">
        <f>E2&amp;" "&amp;F2</f>
        <v>BROWN JACOB</v>
      </c>
    </row>
    <row r="3" spans="1:7" x14ac:dyDescent="0.25">
      <c r="A3" s="8">
        <v>42749.051689814813</v>
      </c>
      <c r="B3" s="21" t="s">
        <v>254</v>
      </c>
      <c r="C3" s="21" t="s">
        <v>457</v>
      </c>
      <c r="D3" s="160">
        <v>2600000</v>
      </c>
      <c r="E3" s="21" t="s">
        <v>223</v>
      </c>
      <c r="F3" s="21" t="s">
        <v>360</v>
      </c>
      <c r="G3" s="8" t="str">
        <f t="shared" ref="G3:G66" si="0">E3&amp;" "&amp;F3</f>
        <v>DAVIDSON DAVID</v>
      </c>
    </row>
    <row r="4" spans="1:7" x14ac:dyDescent="0.25">
      <c r="A4" s="8">
        <v>42749.052048611113</v>
      </c>
      <c r="B4" s="21" t="s">
        <v>458</v>
      </c>
      <c r="C4" s="21" t="s">
        <v>459</v>
      </c>
      <c r="D4" s="160">
        <v>2220000</v>
      </c>
      <c r="E4" s="21" t="s">
        <v>318</v>
      </c>
      <c r="F4" s="21" t="s">
        <v>319</v>
      </c>
      <c r="G4" s="8" t="str">
        <f t="shared" si="0"/>
        <v>HILLS DUSTIN</v>
      </c>
    </row>
    <row r="5" spans="1:7" x14ac:dyDescent="0.25">
      <c r="A5" s="8">
        <v>42749.070902777778</v>
      </c>
      <c r="B5" s="21" t="s">
        <v>460</v>
      </c>
      <c r="C5" s="21" t="s">
        <v>461</v>
      </c>
      <c r="D5" s="160">
        <v>2000000</v>
      </c>
      <c r="E5" s="21" t="s">
        <v>204</v>
      </c>
      <c r="F5" s="21" t="s">
        <v>233</v>
      </c>
      <c r="G5" s="8" t="str">
        <f t="shared" si="0"/>
        <v>STAMBAUGH JAMES</v>
      </c>
    </row>
    <row r="6" spans="1:7" x14ac:dyDescent="0.25">
      <c r="A6" s="8">
        <v>42749.082395833335</v>
      </c>
      <c r="B6" s="21" t="s">
        <v>288</v>
      </c>
      <c r="C6" s="21" t="s">
        <v>462</v>
      </c>
      <c r="D6" s="160">
        <v>2270000</v>
      </c>
      <c r="E6" s="21" t="s">
        <v>455</v>
      </c>
      <c r="F6" s="21" t="s">
        <v>456</v>
      </c>
      <c r="G6" s="8" t="str">
        <f t="shared" si="0"/>
        <v>BROWN JACOB</v>
      </c>
    </row>
    <row r="7" spans="1:7" x14ac:dyDescent="0.25">
      <c r="A7" s="8">
        <v>42749.090717592589</v>
      </c>
      <c r="B7" s="21" t="s">
        <v>202</v>
      </c>
      <c r="C7" s="21" t="s">
        <v>463</v>
      </c>
      <c r="D7" s="160">
        <v>2220000</v>
      </c>
      <c r="E7" s="21" t="s">
        <v>318</v>
      </c>
      <c r="F7" s="21" t="s">
        <v>319</v>
      </c>
      <c r="G7" s="8" t="str">
        <f t="shared" si="0"/>
        <v>HILLS DUSTIN</v>
      </c>
    </row>
    <row r="8" spans="1:7" x14ac:dyDescent="0.25">
      <c r="A8" s="8">
        <v>42749.11582175926</v>
      </c>
      <c r="B8" s="21" t="s">
        <v>317</v>
      </c>
      <c r="C8" s="21" t="s">
        <v>464</v>
      </c>
      <c r="D8" s="160">
        <v>2270000</v>
      </c>
      <c r="E8" s="21" t="s">
        <v>455</v>
      </c>
      <c r="F8" s="21" t="s">
        <v>456</v>
      </c>
      <c r="G8" s="8" t="str">
        <f t="shared" si="0"/>
        <v>BROWN JACOB</v>
      </c>
    </row>
    <row r="9" spans="1:7" ht="15.75" thickBot="1" x14ac:dyDescent="0.3">
      <c r="A9" s="25">
        <v>42749.118483796294</v>
      </c>
      <c r="B9" s="21" t="s">
        <v>263</v>
      </c>
      <c r="C9" s="21" t="s">
        <v>465</v>
      </c>
      <c r="D9" s="160">
        <v>1340000</v>
      </c>
      <c r="E9" s="21" t="s">
        <v>466</v>
      </c>
      <c r="F9" s="21" t="s">
        <v>467</v>
      </c>
      <c r="G9" s="8" t="str">
        <f t="shared" si="0"/>
        <v>BEAM ROSS</v>
      </c>
    </row>
    <row r="10" spans="1:7" x14ac:dyDescent="0.25">
      <c r="A10" s="8">
        <v>42749.120659722219</v>
      </c>
      <c r="B10" s="21" t="s">
        <v>263</v>
      </c>
      <c r="C10" s="21" t="s">
        <v>465</v>
      </c>
      <c r="D10" s="160">
        <v>1340000</v>
      </c>
      <c r="E10" s="21" t="s">
        <v>466</v>
      </c>
      <c r="F10" s="21" t="s">
        <v>467</v>
      </c>
      <c r="G10" s="8" t="str">
        <f t="shared" si="0"/>
        <v>BEAM ROSS</v>
      </c>
    </row>
    <row r="11" spans="1:7" x14ac:dyDescent="0.25">
      <c r="A11" s="8">
        <v>42749.122175925928</v>
      </c>
      <c r="B11" s="21" t="s">
        <v>263</v>
      </c>
      <c r="C11" s="21" t="s">
        <v>465</v>
      </c>
      <c r="D11" s="160">
        <v>1340000</v>
      </c>
      <c r="E11" s="21" t="s">
        <v>466</v>
      </c>
      <c r="F11" s="21" t="s">
        <v>467</v>
      </c>
      <c r="G11" s="8" t="str">
        <f t="shared" si="0"/>
        <v>BEAM ROSS</v>
      </c>
    </row>
    <row r="12" spans="1:7" x14ac:dyDescent="0.25">
      <c r="A12" s="8">
        <v>42749.131874999999</v>
      </c>
      <c r="B12" s="21" t="s">
        <v>312</v>
      </c>
      <c r="C12" s="21" t="s">
        <v>468</v>
      </c>
      <c r="D12" s="160">
        <v>1340000</v>
      </c>
      <c r="E12" s="21" t="s">
        <v>466</v>
      </c>
      <c r="F12" s="21" t="s">
        <v>467</v>
      </c>
      <c r="G12" s="8" t="str">
        <f t="shared" si="0"/>
        <v>BEAM ROSS</v>
      </c>
    </row>
    <row r="13" spans="1:7" x14ac:dyDescent="0.25">
      <c r="A13" s="8">
        <v>42749.152233796296</v>
      </c>
      <c r="B13" s="21" t="s">
        <v>435</v>
      </c>
      <c r="C13" s="21" t="s">
        <v>436</v>
      </c>
      <c r="D13" s="160">
        <v>2010000</v>
      </c>
      <c r="E13" s="21" t="s">
        <v>469</v>
      </c>
      <c r="F13" s="21" t="s">
        <v>470</v>
      </c>
      <c r="G13" s="8" t="str">
        <f t="shared" si="0"/>
        <v>MAELZER KURT</v>
      </c>
    </row>
    <row r="14" spans="1:7" x14ac:dyDescent="0.25">
      <c r="A14" s="8">
        <v>42749.166516203702</v>
      </c>
      <c r="B14" s="21" t="s">
        <v>219</v>
      </c>
      <c r="C14" s="21" t="s">
        <v>438</v>
      </c>
      <c r="D14" s="160">
        <v>2010000</v>
      </c>
      <c r="E14" s="21" t="s">
        <v>469</v>
      </c>
      <c r="F14" s="21" t="s">
        <v>470</v>
      </c>
      <c r="G14" s="8" t="str">
        <f t="shared" si="0"/>
        <v>MAELZER KURT</v>
      </c>
    </row>
    <row r="15" spans="1:7" x14ac:dyDescent="0.25">
      <c r="A15" s="8">
        <v>42749.168981481482</v>
      </c>
      <c r="B15" s="21" t="s">
        <v>263</v>
      </c>
      <c r="C15" s="21" t="s">
        <v>471</v>
      </c>
      <c r="D15" s="160">
        <v>1340000</v>
      </c>
      <c r="E15" s="21" t="s">
        <v>466</v>
      </c>
      <c r="F15" s="21" t="s">
        <v>467</v>
      </c>
      <c r="G15" s="8" t="str">
        <f t="shared" si="0"/>
        <v>BEAM ROSS</v>
      </c>
    </row>
    <row r="16" spans="1:7" x14ac:dyDescent="0.25">
      <c r="A16" s="8">
        <v>42749.17</v>
      </c>
      <c r="B16" s="21" t="s">
        <v>263</v>
      </c>
      <c r="C16" s="21" t="s">
        <v>471</v>
      </c>
      <c r="D16" s="160">
        <v>1340000</v>
      </c>
      <c r="E16" s="21" t="s">
        <v>466</v>
      </c>
      <c r="F16" s="21" t="s">
        <v>467</v>
      </c>
      <c r="G16" s="8" t="str">
        <f t="shared" si="0"/>
        <v>BEAM ROSS</v>
      </c>
    </row>
    <row r="17" spans="1:7" x14ac:dyDescent="0.25">
      <c r="A17" s="8">
        <v>42749.173773148148</v>
      </c>
      <c r="B17" s="21" t="s">
        <v>263</v>
      </c>
      <c r="C17" s="21" t="s">
        <v>471</v>
      </c>
      <c r="D17" s="160">
        <v>1340000</v>
      </c>
      <c r="E17" s="21" t="s">
        <v>466</v>
      </c>
      <c r="F17" s="21" t="s">
        <v>467</v>
      </c>
      <c r="G17" s="8" t="str">
        <f t="shared" si="0"/>
        <v>BEAM ROSS</v>
      </c>
    </row>
    <row r="18" spans="1:7" x14ac:dyDescent="0.25">
      <c r="A18" s="8">
        <v>42749.17628472222</v>
      </c>
      <c r="B18" s="21" t="s">
        <v>351</v>
      </c>
      <c r="C18" s="21" t="s">
        <v>437</v>
      </c>
      <c r="D18" s="160">
        <v>1990000</v>
      </c>
      <c r="E18" s="21" t="s">
        <v>472</v>
      </c>
      <c r="F18" s="21" t="s">
        <v>473</v>
      </c>
      <c r="G18" s="8" t="str">
        <f t="shared" si="0"/>
        <v>DAVIS WENDY</v>
      </c>
    </row>
    <row r="19" spans="1:7" x14ac:dyDescent="0.25">
      <c r="A19" s="8">
        <v>42749.180300925924</v>
      </c>
      <c r="B19" s="21" t="s">
        <v>349</v>
      </c>
      <c r="C19" s="21" t="s">
        <v>474</v>
      </c>
      <c r="D19" s="160">
        <v>2110000</v>
      </c>
      <c r="E19" s="21" t="s">
        <v>255</v>
      </c>
      <c r="F19" s="21" t="s">
        <v>256</v>
      </c>
      <c r="G19" s="8" t="str">
        <f t="shared" si="0"/>
        <v>OUN ZACK</v>
      </c>
    </row>
    <row r="20" spans="1:7" x14ac:dyDescent="0.25">
      <c r="A20" s="8">
        <v>42749.18650462963</v>
      </c>
      <c r="B20" s="21" t="s">
        <v>357</v>
      </c>
      <c r="C20" s="21" t="s">
        <v>475</v>
      </c>
      <c r="D20" s="160">
        <v>1990000</v>
      </c>
      <c r="E20" s="21" t="s">
        <v>472</v>
      </c>
      <c r="F20" s="21" t="s">
        <v>473</v>
      </c>
      <c r="G20" s="8" t="str">
        <f t="shared" si="0"/>
        <v>DAVIS WENDY</v>
      </c>
    </row>
    <row r="21" spans="1:7" x14ac:dyDescent="0.25">
      <c r="A21" s="8">
        <v>42749.194710648146</v>
      </c>
      <c r="B21" s="21" t="s">
        <v>209</v>
      </c>
      <c r="C21" s="21" t="s">
        <v>476</v>
      </c>
      <c r="D21" s="160">
        <v>2110000</v>
      </c>
      <c r="E21" s="21" t="s">
        <v>255</v>
      </c>
      <c r="F21" s="21" t="s">
        <v>256</v>
      </c>
      <c r="G21" s="8" t="str">
        <f t="shared" si="0"/>
        <v>OUN ZACK</v>
      </c>
    </row>
    <row r="22" spans="1:7" x14ac:dyDescent="0.25">
      <c r="A22" s="27">
        <v>42749.206886574073</v>
      </c>
      <c r="B22" s="21" t="s">
        <v>312</v>
      </c>
      <c r="C22" s="21" t="s">
        <v>477</v>
      </c>
      <c r="D22" s="160">
        <v>890000</v>
      </c>
      <c r="E22" s="21" t="s">
        <v>315</v>
      </c>
      <c r="F22" s="21" t="s">
        <v>316</v>
      </c>
      <c r="G22" s="8" t="str">
        <f t="shared" si="0"/>
        <v>LOZA FIDEL</v>
      </c>
    </row>
    <row r="23" spans="1:7" x14ac:dyDescent="0.25">
      <c r="A23" s="8">
        <v>42749.211087962962</v>
      </c>
      <c r="B23" s="21" t="s">
        <v>478</v>
      </c>
      <c r="C23" s="21" t="s">
        <v>479</v>
      </c>
      <c r="D23" s="160">
        <v>1340000</v>
      </c>
      <c r="E23" s="21" t="s">
        <v>466</v>
      </c>
      <c r="F23" s="21" t="s">
        <v>467</v>
      </c>
      <c r="G23" s="8" t="str">
        <f t="shared" si="0"/>
        <v>BEAM ROSS</v>
      </c>
    </row>
    <row r="24" spans="1:7" x14ac:dyDescent="0.25">
      <c r="A24" s="8">
        <v>42749.215763888889</v>
      </c>
      <c r="B24" s="21" t="s">
        <v>435</v>
      </c>
      <c r="C24" s="21" t="s">
        <v>439</v>
      </c>
      <c r="D24" s="160">
        <v>2010000</v>
      </c>
      <c r="E24" s="21" t="s">
        <v>469</v>
      </c>
      <c r="F24" s="21" t="s">
        <v>470</v>
      </c>
      <c r="G24" s="8" t="str">
        <f t="shared" si="0"/>
        <v>MAELZER KURT</v>
      </c>
    </row>
    <row r="25" spans="1:7" x14ac:dyDescent="0.25">
      <c r="A25" s="8">
        <v>42749.223773148151</v>
      </c>
      <c r="B25" s="21" t="s">
        <v>330</v>
      </c>
      <c r="C25" s="21" t="s">
        <v>480</v>
      </c>
      <c r="D25" s="160">
        <v>2020000</v>
      </c>
      <c r="E25" s="21" t="s">
        <v>358</v>
      </c>
      <c r="F25" s="21" t="s">
        <v>348</v>
      </c>
      <c r="G25" s="8" t="str">
        <f t="shared" si="0"/>
        <v>SHOOK JOHN</v>
      </c>
    </row>
    <row r="26" spans="1:7" x14ac:dyDescent="0.25">
      <c r="A26" s="8">
        <v>42749.225891203707</v>
      </c>
      <c r="B26" s="21" t="s">
        <v>351</v>
      </c>
      <c r="C26" s="21" t="s">
        <v>481</v>
      </c>
      <c r="D26" s="160">
        <v>1990000</v>
      </c>
      <c r="E26" s="21" t="s">
        <v>472</v>
      </c>
      <c r="F26" s="21" t="s">
        <v>473</v>
      </c>
      <c r="G26" s="8" t="str">
        <f t="shared" si="0"/>
        <v>DAVIS WENDY</v>
      </c>
    </row>
    <row r="27" spans="1:7" x14ac:dyDescent="0.25">
      <c r="A27" s="8">
        <v>42749.231539351851</v>
      </c>
      <c r="B27" s="21" t="s">
        <v>211</v>
      </c>
      <c r="C27" s="21" t="s">
        <v>482</v>
      </c>
      <c r="D27" s="160">
        <v>2140000</v>
      </c>
      <c r="E27" s="21" t="s">
        <v>355</v>
      </c>
      <c r="F27" s="21" t="s">
        <v>356</v>
      </c>
      <c r="G27" s="8" t="str">
        <f t="shared" si="0"/>
        <v>ROBINSON KADDIBA</v>
      </c>
    </row>
    <row r="28" spans="1:7" x14ac:dyDescent="0.25">
      <c r="A28" s="8">
        <v>42749.231550925928</v>
      </c>
      <c r="B28" s="21" t="s">
        <v>349</v>
      </c>
      <c r="C28" s="21" t="s">
        <v>483</v>
      </c>
      <c r="D28" s="160">
        <v>2110000</v>
      </c>
      <c r="E28" s="21" t="s">
        <v>255</v>
      </c>
      <c r="F28" s="21" t="s">
        <v>256</v>
      </c>
      <c r="G28" s="8" t="str">
        <f t="shared" si="0"/>
        <v>OUN ZACK</v>
      </c>
    </row>
    <row r="29" spans="1:7" x14ac:dyDescent="0.25">
      <c r="A29" s="8">
        <v>42749.233599537038</v>
      </c>
      <c r="B29" s="21" t="s">
        <v>331</v>
      </c>
      <c r="C29" s="21" t="s">
        <v>484</v>
      </c>
      <c r="D29" s="160">
        <v>2020000</v>
      </c>
      <c r="E29" s="21" t="s">
        <v>358</v>
      </c>
      <c r="F29" s="21" t="s">
        <v>348</v>
      </c>
      <c r="G29" s="8" t="str">
        <f t="shared" si="0"/>
        <v>SHOOK JOHN</v>
      </c>
    </row>
    <row r="30" spans="1:7" x14ac:dyDescent="0.25">
      <c r="A30" s="8">
        <v>42749.238009259258</v>
      </c>
      <c r="B30" s="21" t="s">
        <v>313</v>
      </c>
      <c r="C30" s="21" t="s">
        <v>485</v>
      </c>
      <c r="D30" s="160">
        <v>890000</v>
      </c>
      <c r="E30" s="21" t="s">
        <v>315</v>
      </c>
      <c r="F30" s="21" t="s">
        <v>316</v>
      </c>
      <c r="G30" s="8" t="str">
        <f t="shared" si="0"/>
        <v>LOZA FIDEL</v>
      </c>
    </row>
    <row r="31" spans="1:7" x14ac:dyDescent="0.25">
      <c r="A31" s="8">
        <v>42749.240474537037</v>
      </c>
      <c r="B31" s="21" t="s">
        <v>270</v>
      </c>
      <c r="C31" s="21" t="s">
        <v>486</v>
      </c>
      <c r="D31" s="160">
        <v>1100000</v>
      </c>
      <c r="E31" s="21" t="s">
        <v>346</v>
      </c>
      <c r="F31" s="21" t="s">
        <v>347</v>
      </c>
      <c r="G31" s="8" t="str">
        <f t="shared" si="0"/>
        <v>GEBRETEKLE DAGNEW</v>
      </c>
    </row>
    <row r="32" spans="1:7" x14ac:dyDescent="0.25">
      <c r="A32" s="8">
        <v>42749.249189814815</v>
      </c>
      <c r="B32" s="21" t="s">
        <v>247</v>
      </c>
      <c r="C32" s="21" t="s">
        <v>487</v>
      </c>
      <c r="D32" s="160">
        <v>2010000</v>
      </c>
      <c r="E32" s="21" t="s">
        <v>469</v>
      </c>
      <c r="F32" s="21" t="s">
        <v>470</v>
      </c>
      <c r="G32" s="8" t="str">
        <f t="shared" si="0"/>
        <v>MAELZER KURT</v>
      </c>
    </row>
    <row r="33" spans="1:7" x14ac:dyDescent="0.25">
      <c r="A33" s="8">
        <v>42749.249976851854</v>
      </c>
      <c r="B33" s="21" t="s">
        <v>330</v>
      </c>
      <c r="C33" s="21" t="s">
        <v>488</v>
      </c>
      <c r="D33" s="160">
        <v>2020000</v>
      </c>
      <c r="E33" s="21" t="s">
        <v>358</v>
      </c>
      <c r="F33" s="21" t="s">
        <v>348</v>
      </c>
      <c r="G33" s="8" t="str">
        <f t="shared" si="0"/>
        <v>SHOOK JOHN</v>
      </c>
    </row>
    <row r="34" spans="1:7" x14ac:dyDescent="0.25">
      <c r="A34" s="8">
        <v>42749.254953703705</v>
      </c>
      <c r="B34" s="21" t="s">
        <v>263</v>
      </c>
      <c r="C34" s="21" t="s">
        <v>489</v>
      </c>
      <c r="D34" s="160">
        <v>1340000</v>
      </c>
      <c r="E34" s="21" t="s">
        <v>466</v>
      </c>
      <c r="F34" s="21" t="s">
        <v>467</v>
      </c>
      <c r="G34" s="8" t="str">
        <f t="shared" si="0"/>
        <v>BEAM ROSS</v>
      </c>
    </row>
    <row r="35" spans="1:7" x14ac:dyDescent="0.25">
      <c r="A35" s="8">
        <v>42749.259293981479</v>
      </c>
      <c r="B35" s="21" t="s">
        <v>357</v>
      </c>
      <c r="C35" s="21" t="s">
        <v>490</v>
      </c>
      <c r="D35" s="160">
        <v>1990000</v>
      </c>
      <c r="E35" s="21" t="s">
        <v>472</v>
      </c>
      <c r="F35" s="21" t="s">
        <v>473</v>
      </c>
      <c r="G35" s="8" t="str">
        <f t="shared" si="0"/>
        <v>DAVIS WENDY</v>
      </c>
    </row>
    <row r="36" spans="1:7" x14ac:dyDescent="0.25">
      <c r="A36" s="8">
        <v>42749.267106481479</v>
      </c>
      <c r="B36" s="21" t="s">
        <v>209</v>
      </c>
      <c r="C36" s="21" t="s">
        <v>491</v>
      </c>
      <c r="D36" s="160">
        <v>2110000</v>
      </c>
      <c r="E36" s="21" t="s">
        <v>255</v>
      </c>
      <c r="F36" s="21" t="s">
        <v>256</v>
      </c>
      <c r="G36" s="8" t="str">
        <f t="shared" si="0"/>
        <v>OUN ZACK</v>
      </c>
    </row>
    <row r="37" spans="1:7" x14ac:dyDescent="0.25">
      <c r="A37" s="8">
        <v>42749.275324074071</v>
      </c>
      <c r="B37" s="21" t="s">
        <v>212</v>
      </c>
      <c r="C37" s="21" t="s">
        <v>492</v>
      </c>
      <c r="D37" s="160">
        <v>2140000</v>
      </c>
      <c r="E37" s="21" t="s">
        <v>355</v>
      </c>
      <c r="F37" s="21" t="s">
        <v>356</v>
      </c>
      <c r="G37" s="8" t="str">
        <f t="shared" si="0"/>
        <v>ROBINSON KADDIBA</v>
      </c>
    </row>
    <row r="38" spans="1:7" x14ac:dyDescent="0.25">
      <c r="A38" s="8">
        <v>42749.276979166665</v>
      </c>
      <c r="B38" s="21" t="s">
        <v>331</v>
      </c>
      <c r="C38" s="21" t="s">
        <v>493</v>
      </c>
      <c r="D38" s="160">
        <v>2020000</v>
      </c>
      <c r="E38" s="21" t="s">
        <v>358</v>
      </c>
      <c r="F38" s="21" t="s">
        <v>348</v>
      </c>
      <c r="G38" s="8" t="str">
        <f t="shared" si="0"/>
        <v>SHOOK JOHN</v>
      </c>
    </row>
    <row r="39" spans="1:7" x14ac:dyDescent="0.25">
      <c r="A39" s="8">
        <v>42749.277881944443</v>
      </c>
      <c r="B39" s="21" t="s">
        <v>312</v>
      </c>
      <c r="C39" s="21" t="s">
        <v>494</v>
      </c>
      <c r="D39" s="160">
        <v>890000</v>
      </c>
      <c r="E39" s="21" t="s">
        <v>315</v>
      </c>
      <c r="F39" s="21" t="s">
        <v>316</v>
      </c>
      <c r="G39" s="8" t="str">
        <f t="shared" si="0"/>
        <v>LOZA FIDEL</v>
      </c>
    </row>
    <row r="40" spans="1:7" x14ac:dyDescent="0.25">
      <c r="A40" s="8">
        <v>42749.28533564815</v>
      </c>
      <c r="B40" s="26" t="s">
        <v>246</v>
      </c>
      <c r="C40" s="21" t="s">
        <v>495</v>
      </c>
      <c r="D40" s="160">
        <v>2010000</v>
      </c>
      <c r="E40" s="21" t="s">
        <v>469</v>
      </c>
      <c r="F40" s="21" t="s">
        <v>470</v>
      </c>
      <c r="G40" s="8" t="str">
        <f t="shared" si="0"/>
        <v>MAELZER KURT</v>
      </c>
    </row>
    <row r="41" spans="1:7" x14ac:dyDescent="0.25">
      <c r="A41" s="8">
        <v>42749.288240740738</v>
      </c>
      <c r="B41" s="21" t="s">
        <v>219</v>
      </c>
      <c r="C41" s="21" t="s">
        <v>496</v>
      </c>
      <c r="D41" s="160">
        <v>1300000</v>
      </c>
      <c r="E41" s="21" t="s">
        <v>113</v>
      </c>
      <c r="F41" s="21" t="s">
        <v>497</v>
      </c>
      <c r="G41" s="8" t="str">
        <f t="shared" si="0"/>
        <v>LEVIN SCOTT</v>
      </c>
    </row>
    <row r="42" spans="1:7" x14ac:dyDescent="0.25">
      <c r="A42" s="8">
        <v>42749.291562500002</v>
      </c>
      <c r="B42" s="21" t="s">
        <v>330</v>
      </c>
      <c r="C42" s="21" t="s">
        <v>498</v>
      </c>
      <c r="D42" s="160">
        <v>2020000</v>
      </c>
      <c r="E42" s="21" t="s">
        <v>358</v>
      </c>
      <c r="F42" s="21" t="s">
        <v>348</v>
      </c>
      <c r="G42" s="8" t="str">
        <f t="shared" si="0"/>
        <v>SHOOK JOHN</v>
      </c>
    </row>
    <row r="43" spans="1:7" x14ac:dyDescent="0.25">
      <c r="A43" s="8">
        <v>42749.296215277776</v>
      </c>
      <c r="B43" s="21" t="s">
        <v>351</v>
      </c>
      <c r="C43" s="21" t="s">
        <v>499</v>
      </c>
      <c r="D43" s="160">
        <v>1990000</v>
      </c>
      <c r="E43" s="21" t="s">
        <v>472</v>
      </c>
      <c r="F43" s="21" t="s">
        <v>473</v>
      </c>
      <c r="G43" s="8" t="str">
        <f t="shared" si="0"/>
        <v>DAVIS WENDY</v>
      </c>
    </row>
    <row r="44" spans="1:7" x14ac:dyDescent="0.25">
      <c r="A44" s="8">
        <v>42749.30201388889</v>
      </c>
      <c r="B44" s="21" t="s">
        <v>270</v>
      </c>
      <c r="C44" s="21" t="s">
        <v>440</v>
      </c>
      <c r="D44" s="160">
        <v>1100000</v>
      </c>
      <c r="E44" s="21" t="s">
        <v>346</v>
      </c>
      <c r="F44" s="21" t="s">
        <v>347</v>
      </c>
      <c r="G44" s="8" t="str">
        <f t="shared" si="0"/>
        <v>GEBRETEKLE DAGNEW</v>
      </c>
    </row>
    <row r="45" spans="1:7" x14ac:dyDescent="0.25">
      <c r="A45" s="8">
        <v>42749.302812499998</v>
      </c>
      <c r="B45" s="21" t="s">
        <v>349</v>
      </c>
      <c r="C45" s="21" t="s">
        <v>500</v>
      </c>
      <c r="D45" s="160">
        <v>2110000</v>
      </c>
      <c r="E45" s="21" t="s">
        <v>255</v>
      </c>
      <c r="F45" s="21" t="s">
        <v>256</v>
      </c>
      <c r="G45" s="8" t="str">
        <f t="shared" si="0"/>
        <v>OUN ZACK</v>
      </c>
    </row>
    <row r="46" spans="1:7" x14ac:dyDescent="0.25">
      <c r="A46" s="8">
        <v>42749.31</v>
      </c>
      <c r="B46" s="21" t="s">
        <v>211</v>
      </c>
      <c r="C46" s="21" t="s">
        <v>501</v>
      </c>
      <c r="D46" s="160">
        <v>2140000</v>
      </c>
      <c r="E46" s="21" t="s">
        <v>355</v>
      </c>
      <c r="F46" s="21" t="s">
        <v>356</v>
      </c>
      <c r="G46" s="8" t="str">
        <f t="shared" si="0"/>
        <v>ROBINSON KADDIBA</v>
      </c>
    </row>
    <row r="47" spans="1:7" x14ac:dyDescent="0.25">
      <c r="A47" s="8">
        <v>42749.318796296298</v>
      </c>
      <c r="B47" s="21" t="s">
        <v>247</v>
      </c>
      <c r="C47" s="21" t="s">
        <v>502</v>
      </c>
      <c r="D47" s="160">
        <v>2010000</v>
      </c>
      <c r="E47" s="21" t="s">
        <v>469</v>
      </c>
      <c r="F47" s="21" t="s">
        <v>470</v>
      </c>
      <c r="G47" s="8" t="str">
        <f t="shared" si="0"/>
        <v>MAELZER KURT</v>
      </c>
    </row>
    <row r="48" spans="1:7" x14ac:dyDescent="0.25">
      <c r="A48" s="8">
        <v>42749.318888888891</v>
      </c>
      <c r="B48" s="21" t="s">
        <v>313</v>
      </c>
      <c r="C48" s="21" t="s">
        <v>503</v>
      </c>
      <c r="D48" s="160">
        <v>890000</v>
      </c>
      <c r="E48" s="21" t="s">
        <v>315</v>
      </c>
      <c r="F48" s="21" t="s">
        <v>316</v>
      </c>
      <c r="G48" s="8" t="str">
        <f t="shared" si="0"/>
        <v>LOZA FIDEL</v>
      </c>
    </row>
    <row r="49" spans="1:7" x14ac:dyDescent="0.25">
      <c r="A49" s="8">
        <v>42749.319097222222</v>
      </c>
      <c r="B49" s="21" t="s">
        <v>331</v>
      </c>
      <c r="C49" s="21" t="s">
        <v>504</v>
      </c>
      <c r="D49" s="160">
        <v>2020000</v>
      </c>
      <c r="E49" s="21" t="s">
        <v>358</v>
      </c>
      <c r="F49" s="21" t="s">
        <v>348</v>
      </c>
      <c r="G49" s="8" t="str">
        <f t="shared" si="0"/>
        <v>SHOOK JOHN</v>
      </c>
    </row>
    <row r="50" spans="1:7" x14ac:dyDescent="0.25">
      <c r="A50" s="8">
        <v>42749.328263888892</v>
      </c>
      <c r="B50" s="21" t="s">
        <v>245</v>
      </c>
      <c r="C50" s="21" t="s">
        <v>505</v>
      </c>
      <c r="D50" s="160">
        <v>1340000</v>
      </c>
      <c r="E50" s="21" t="s">
        <v>466</v>
      </c>
      <c r="F50" s="21" t="s">
        <v>467</v>
      </c>
      <c r="G50" s="8" t="str">
        <f t="shared" si="0"/>
        <v>BEAM ROSS</v>
      </c>
    </row>
    <row r="51" spans="1:7" x14ac:dyDescent="0.25">
      <c r="A51" s="8">
        <v>42749.329548611109</v>
      </c>
      <c r="B51" s="21" t="s">
        <v>357</v>
      </c>
      <c r="C51" s="21" t="s">
        <v>506</v>
      </c>
      <c r="D51" s="160">
        <v>1990000</v>
      </c>
      <c r="E51" s="21" t="s">
        <v>472</v>
      </c>
      <c r="F51" s="21" t="s">
        <v>473</v>
      </c>
      <c r="G51" s="8" t="str">
        <f t="shared" si="0"/>
        <v>DAVIS WENDY</v>
      </c>
    </row>
    <row r="52" spans="1:7" x14ac:dyDescent="0.25">
      <c r="A52" s="8">
        <v>42749.334733796299</v>
      </c>
      <c r="B52" s="21" t="s">
        <v>330</v>
      </c>
      <c r="C52" s="21" t="s">
        <v>507</v>
      </c>
      <c r="D52" s="160">
        <v>2020000</v>
      </c>
      <c r="E52" s="21" t="s">
        <v>358</v>
      </c>
      <c r="F52" s="21" t="s">
        <v>348</v>
      </c>
      <c r="G52" s="8" t="str">
        <f t="shared" si="0"/>
        <v>SHOOK JOHN</v>
      </c>
    </row>
    <row r="53" spans="1:7" x14ac:dyDescent="0.25">
      <c r="A53" s="8">
        <v>42749.337766203702</v>
      </c>
      <c r="B53" s="21" t="s">
        <v>273</v>
      </c>
      <c r="C53" s="21" t="s">
        <v>508</v>
      </c>
      <c r="D53" s="160">
        <v>1100000</v>
      </c>
      <c r="E53" s="21" t="s">
        <v>346</v>
      </c>
      <c r="F53" s="21" t="s">
        <v>347</v>
      </c>
      <c r="G53" s="8" t="str">
        <f t="shared" si="0"/>
        <v>GEBRETEKLE DAGNEW</v>
      </c>
    </row>
    <row r="54" spans="1:7" x14ac:dyDescent="0.25">
      <c r="A54" s="8">
        <v>42749.338750000003</v>
      </c>
      <c r="B54" s="21" t="s">
        <v>209</v>
      </c>
      <c r="C54" s="21" t="s">
        <v>509</v>
      </c>
      <c r="D54" s="160">
        <v>2110000</v>
      </c>
      <c r="E54" s="21" t="s">
        <v>255</v>
      </c>
      <c r="F54" s="21" t="s">
        <v>256</v>
      </c>
      <c r="G54" s="8" t="str">
        <f t="shared" si="0"/>
        <v>OUN ZACK</v>
      </c>
    </row>
    <row r="55" spans="1:7" x14ac:dyDescent="0.25">
      <c r="A55" s="8">
        <v>42749.346944444442</v>
      </c>
      <c r="B55" s="21" t="s">
        <v>212</v>
      </c>
      <c r="C55" s="21" t="s">
        <v>441</v>
      </c>
      <c r="D55" s="160">
        <v>2140000</v>
      </c>
      <c r="E55" s="21" t="s">
        <v>355</v>
      </c>
      <c r="F55" s="21" t="s">
        <v>356</v>
      </c>
      <c r="G55" s="8" t="str">
        <f t="shared" si="0"/>
        <v>ROBINSON KADDIBA</v>
      </c>
    </row>
    <row r="56" spans="1:7" x14ac:dyDescent="0.25">
      <c r="A56" s="8">
        <v>42749.349942129629</v>
      </c>
      <c r="B56" s="21" t="s">
        <v>312</v>
      </c>
      <c r="C56" s="21" t="s">
        <v>510</v>
      </c>
      <c r="D56" s="160">
        <v>890000</v>
      </c>
      <c r="E56" s="21" t="s">
        <v>315</v>
      </c>
      <c r="F56" s="21" t="s">
        <v>316</v>
      </c>
      <c r="G56" s="8" t="str">
        <f t="shared" si="0"/>
        <v>LOZA FIDEL</v>
      </c>
    </row>
    <row r="57" spans="1:7" x14ac:dyDescent="0.25">
      <c r="A57" s="8">
        <v>42749.3591087963</v>
      </c>
      <c r="B57" s="21" t="s">
        <v>246</v>
      </c>
      <c r="C57" s="21" t="s">
        <v>511</v>
      </c>
      <c r="D57" s="160">
        <v>2010000</v>
      </c>
      <c r="E57" s="21" t="s">
        <v>469</v>
      </c>
      <c r="F57" s="21" t="s">
        <v>470</v>
      </c>
      <c r="G57" s="8" t="str">
        <f t="shared" si="0"/>
        <v>MAELZER KURT</v>
      </c>
    </row>
    <row r="58" spans="1:7" x14ac:dyDescent="0.25">
      <c r="A58" s="8">
        <v>42749.359699074077</v>
      </c>
      <c r="B58" s="21" t="s">
        <v>219</v>
      </c>
      <c r="C58" s="21" t="s">
        <v>512</v>
      </c>
      <c r="D58" s="160">
        <v>1340000</v>
      </c>
      <c r="E58" s="21" t="s">
        <v>466</v>
      </c>
      <c r="F58" s="21" t="s">
        <v>467</v>
      </c>
      <c r="G58" s="8" t="str">
        <f t="shared" si="0"/>
        <v>BEAM ROSS</v>
      </c>
    </row>
    <row r="59" spans="1:7" x14ac:dyDescent="0.25">
      <c r="A59" s="8">
        <v>42749.360555555555</v>
      </c>
      <c r="B59" s="21" t="s">
        <v>331</v>
      </c>
      <c r="C59" s="21" t="s">
        <v>513</v>
      </c>
      <c r="D59" s="160">
        <v>2020000</v>
      </c>
      <c r="E59" s="21" t="s">
        <v>358</v>
      </c>
      <c r="F59" s="21" t="s">
        <v>348</v>
      </c>
      <c r="G59" s="8" t="str">
        <f t="shared" si="0"/>
        <v>SHOOK JOHN</v>
      </c>
    </row>
    <row r="60" spans="1:7" x14ac:dyDescent="0.25">
      <c r="A60" s="8">
        <v>42749.368703703702</v>
      </c>
      <c r="B60" s="21" t="s">
        <v>351</v>
      </c>
      <c r="C60" s="21" t="s">
        <v>514</v>
      </c>
      <c r="D60" s="160">
        <v>1990000</v>
      </c>
      <c r="E60" s="21" t="s">
        <v>472</v>
      </c>
      <c r="F60" s="21" t="s">
        <v>473</v>
      </c>
      <c r="G60" s="8" t="str">
        <f t="shared" si="0"/>
        <v>DAVIS WENDY</v>
      </c>
    </row>
    <row r="61" spans="1:7" x14ac:dyDescent="0.25">
      <c r="A61" s="8">
        <v>42749.370763888888</v>
      </c>
      <c r="B61" s="21" t="s">
        <v>270</v>
      </c>
      <c r="C61" s="21" t="s">
        <v>515</v>
      </c>
      <c r="D61" s="160">
        <v>1100000</v>
      </c>
      <c r="E61" s="21" t="s">
        <v>346</v>
      </c>
      <c r="F61" s="21" t="s">
        <v>347</v>
      </c>
      <c r="G61" s="8" t="str">
        <f t="shared" si="0"/>
        <v>GEBRETEKLE DAGNEW</v>
      </c>
    </row>
    <row r="62" spans="1:7" x14ac:dyDescent="0.25">
      <c r="A62" s="8">
        <v>42749.375127314815</v>
      </c>
      <c r="B62" s="21" t="s">
        <v>330</v>
      </c>
      <c r="C62" s="21" t="s">
        <v>516</v>
      </c>
      <c r="D62" s="160">
        <v>2020000</v>
      </c>
      <c r="E62" s="21" t="s">
        <v>358</v>
      </c>
      <c r="F62" s="21" t="s">
        <v>348</v>
      </c>
      <c r="G62" s="8" t="str">
        <f t="shared" si="0"/>
        <v>SHOOK JOHN</v>
      </c>
    </row>
    <row r="63" spans="1:7" x14ac:dyDescent="0.25">
      <c r="A63" s="8">
        <v>42749.378969907404</v>
      </c>
      <c r="B63" s="21" t="s">
        <v>349</v>
      </c>
      <c r="C63" s="21" t="s">
        <v>517</v>
      </c>
      <c r="D63" s="160">
        <v>2110000</v>
      </c>
      <c r="E63" s="21" t="s">
        <v>255</v>
      </c>
      <c r="F63" s="21" t="s">
        <v>256</v>
      </c>
      <c r="G63" s="8" t="str">
        <f t="shared" si="0"/>
        <v>OUN ZACK</v>
      </c>
    </row>
    <row r="64" spans="1:7" x14ac:dyDescent="0.25">
      <c r="A64" s="27">
        <v>42749.381145833337</v>
      </c>
      <c r="B64" s="21" t="s">
        <v>211</v>
      </c>
      <c r="C64" s="21" t="s">
        <v>442</v>
      </c>
      <c r="D64" s="160">
        <v>2140000</v>
      </c>
      <c r="E64" s="21" t="s">
        <v>355</v>
      </c>
      <c r="F64" s="21" t="s">
        <v>356</v>
      </c>
      <c r="G64" s="8" t="str">
        <f t="shared" si="0"/>
        <v>ROBINSON KADDIBA</v>
      </c>
    </row>
    <row r="65" spans="1:7" x14ac:dyDescent="0.25">
      <c r="A65" s="8">
        <v>42749.390104166669</v>
      </c>
      <c r="B65" s="21" t="s">
        <v>313</v>
      </c>
      <c r="C65" s="21" t="s">
        <v>518</v>
      </c>
      <c r="D65" s="160">
        <v>890000</v>
      </c>
      <c r="E65" s="21" t="s">
        <v>315</v>
      </c>
      <c r="F65" s="21" t="s">
        <v>316</v>
      </c>
      <c r="G65" s="8" t="str">
        <f t="shared" si="0"/>
        <v>LOZA FIDEL</v>
      </c>
    </row>
    <row r="66" spans="1:7" x14ac:dyDescent="0.25">
      <c r="A66" s="8">
        <v>42749.391006944446</v>
      </c>
      <c r="B66" s="21" t="s">
        <v>247</v>
      </c>
      <c r="C66" s="21" t="s">
        <v>519</v>
      </c>
      <c r="D66" s="160">
        <v>2010000</v>
      </c>
      <c r="E66" s="21" t="s">
        <v>469</v>
      </c>
      <c r="F66" s="21" t="s">
        <v>470</v>
      </c>
      <c r="G66" s="8" t="str">
        <f t="shared" si="0"/>
        <v>MAELZER KURT</v>
      </c>
    </row>
    <row r="67" spans="1:7" x14ac:dyDescent="0.25">
      <c r="A67" s="8">
        <v>42749.399097222224</v>
      </c>
      <c r="B67" s="21" t="s">
        <v>245</v>
      </c>
      <c r="C67" s="21" t="s">
        <v>520</v>
      </c>
      <c r="D67" s="160">
        <v>1340000</v>
      </c>
      <c r="E67" s="21" t="s">
        <v>466</v>
      </c>
      <c r="F67" s="21" t="s">
        <v>467</v>
      </c>
      <c r="G67" s="8" t="str">
        <f t="shared" ref="G67:G130" si="1">E67&amp;" "&amp;F67</f>
        <v>BEAM ROSS</v>
      </c>
    </row>
    <row r="68" spans="1:7" x14ac:dyDescent="0.25">
      <c r="A68" s="8">
        <v>42749.401689814818</v>
      </c>
      <c r="B68" s="21" t="s">
        <v>331</v>
      </c>
      <c r="C68" s="21" t="s">
        <v>521</v>
      </c>
      <c r="D68" s="160">
        <v>2020000</v>
      </c>
      <c r="E68" s="21" t="s">
        <v>358</v>
      </c>
      <c r="F68" s="21" t="s">
        <v>348</v>
      </c>
      <c r="G68" s="8" t="str">
        <f t="shared" si="1"/>
        <v>SHOOK JOHN</v>
      </c>
    </row>
    <row r="69" spans="1:7" x14ac:dyDescent="0.25">
      <c r="A69" s="8">
        <v>42749.403622685182</v>
      </c>
      <c r="B69" s="21" t="s">
        <v>357</v>
      </c>
      <c r="C69" s="21" t="s">
        <v>522</v>
      </c>
      <c r="D69" s="160">
        <v>1990000</v>
      </c>
      <c r="E69" s="21" t="s">
        <v>472</v>
      </c>
      <c r="F69" s="21" t="s">
        <v>473</v>
      </c>
      <c r="G69" s="8" t="str">
        <f t="shared" si="1"/>
        <v>DAVIS WENDY</v>
      </c>
    </row>
    <row r="70" spans="1:7" x14ac:dyDescent="0.25">
      <c r="A70" s="8">
        <v>42749.411111111112</v>
      </c>
      <c r="B70" s="21" t="s">
        <v>273</v>
      </c>
      <c r="C70" s="21" t="s">
        <v>523</v>
      </c>
      <c r="D70" s="160">
        <v>1100000</v>
      </c>
      <c r="E70" s="21" t="s">
        <v>346</v>
      </c>
      <c r="F70" s="21" t="s">
        <v>347</v>
      </c>
      <c r="G70" s="8" t="str">
        <f t="shared" si="1"/>
        <v>GEBRETEKLE DAGNEW</v>
      </c>
    </row>
    <row r="71" spans="1:7" x14ac:dyDescent="0.25">
      <c r="A71" s="8">
        <v>42749.411226851851</v>
      </c>
      <c r="B71" s="21" t="s">
        <v>209</v>
      </c>
      <c r="C71" s="21" t="s">
        <v>524</v>
      </c>
      <c r="D71" s="160">
        <v>2110000</v>
      </c>
      <c r="E71" s="21" t="s">
        <v>255</v>
      </c>
      <c r="F71" s="21" t="s">
        <v>256</v>
      </c>
      <c r="G71" s="8" t="str">
        <f t="shared" si="1"/>
        <v>OUN ZACK</v>
      </c>
    </row>
    <row r="72" spans="1:7" x14ac:dyDescent="0.25">
      <c r="A72" s="8">
        <v>42749.416724537034</v>
      </c>
      <c r="B72" s="21" t="s">
        <v>314</v>
      </c>
      <c r="C72" s="21" t="s">
        <v>525</v>
      </c>
      <c r="D72" s="160">
        <v>2360000</v>
      </c>
      <c r="E72" s="21" t="s">
        <v>526</v>
      </c>
      <c r="F72" s="21" t="s">
        <v>527</v>
      </c>
      <c r="G72" s="8" t="str">
        <f t="shared" si="1"/>
        <v>BRANDNER MELINDA</v>
      </c>
    </row>
    <row r="73" spans="1:7" x14ac:dyDescent="0.25">
      <c r="A73" s="8">
        <v>42749.418182870373</v>
      </c>
      <c r="B73" s="21" t="s">
        <v>330</v>
      </c>
      <c r="C73" s="21" t="s">
        <v>528</v>
      </c>
      <c r="D73" s="160">
        <v>2020000</v>
      </c>
      <c r="E73" s="21" t="s">
        <v>358</v>
      </c>
      <c r="F73" s="21" t="s">
        <v>348</v>
      </c>
      <c r="G73" s="8" t="str">
        <f t="shared" si="1"/>
        <v>SHOOK JOHN</v>
      </c>
    </row>
    <row r="74" spans="1:7" x14ac:dyDescent="0.25">
      <c r="A74" s="8">
        <v>42749.420902777776</v>
      </c>
      <c r="B74" s="21" t="s">
        <v>212</v>
      </c>
      <c r="C74" s="21" t="s">
        <v>529</v>
      </c>
      <c r="D74" s="160">
        <v>2140000</v>
      </c>
      <c r="E74" s="21" t="s">
        <v>355</v>
      </c>
      <c r="F74" s="21" t="s">
        <v>356</v>
      </c>
      <c r="G74" s="8" t="str">
        <f t="shared" si="1"/>
        <v>ROBINSON KADDIBA</v>
      </c>
    </row>
    <row r="75" spans="1:7" x14ac:dyDescent="0.25">
      <c r="A75" s="8">
        <v>42749.423900462964</v>
      </c>
      <c r="B75" s="21" t="s">
        <v>312</v>
      </c>
      <c r="C75" s="21" t="s">
        <v>530</v>
      </c>
      <c r="D75" s="160">
        <v>890000</v>
      </c>
      <c r="E75" s="21" t="s">
        <v>315</v>
      </c>
      <c r="F75" s="21" t="s">
        <v>316</v>
      </c>
      <c r="G75" s="8" t="str">
        <f t="shared" si="1"/>
        <v>LOZA FIDEL</v>
      </c>
    </row>
    <row r="76" spans="1:7" x14ac:dyDescent="0.25">
      <c r="A76" s="8">
        <v>42749.427025462966</v>
      </c>
      <c r="B76" s="21" t="s">
        <v>246</v>
      </c>
      <c r="C76" s="21" t="s">
        <v>531</v>
      </c>
      <c r="D76" s="160">
        <v>2010000</v>
      </c>
      <c r="E76" s="21" t="s">
        <v>469</v>
      </c>
      <c r="F76" s="21" t="s">
        <v>470</v>
      </c>
      <c r="G76" s="8" t="str">
        <f t="shared" si="1"/>
        <v>MAELZER KURT</v>
      </c>
    </row>
    <row r="77" spans="1:7" x14ac:dyDescent="0.25">
      <c r="A77" s="8">
        <v>42749.43341435185</v>
      </c>
      <c r="B77" s="21" t="s">
        <v>219</v>
      </c>
      <c r="C77" s="21" t="s">
        <v>532</v>
      </c>
      <c r="D77" s="160">
        <v>2360000</v>
      </c>
      <c r="E77" s="21" t="s">
        <v>526</v>
      </c>
      <c r="F77" s="21" t="s">
        <v>527</v>
      </c>
      <c r="G77" s="8" t="str">
        <f t="shared" si="1"/>
        <v>BRANDNER MELINDA</v>
      </c>
    </row>
    <row r="78" spans="1:7" x14ac:dyDescent="0.25">
      <c r="A78" s="8">
        <v>42749.435347222221</v>
      </c>
      <c r="B78" s="21" t="s">
        <v>269</v>
      </c>
      <c r="C78" s="21" t="s">
        <v>533</v>
      </c>
      <c r="D78" s="160">
        <v>1340000</v>
      </c>
      <c r="E78" s="21" t="s">
        <v>466</v>
      </c>
      <c r="F78" s="21" t="s">
        <v>467</v>
      </c>
      <c r="G78" s="8" t="str">
        <f t="shared" si="1"/>
        <v>BEAM ROSS</v>
      </c>
    </row>
    <row r="79" spans="1:7" x14ac:dyDescent="0.25">
      <c r="A79" s="8">
        <v>42749.442465277774</v>
      </c>
      <c r="B79" s="21" t="s">
        <v>351</v>
      </c>
      <c r="C79" s="21" t="s">
        <v>534</v>
      </c>
      <c r="D79" s="160">
        <v>1990000</v>
      </c>
      <c r="E79" s="21" t="s">
        <v>472</v>
      </c>
      <c r="F79" s="21" t="s">
        <v>473</v>
      </c>
      <c r="G79" s="8" t="str">
        <f t="shared" si="1"/>
        <v>DAVIS WENDY</v>
      </c>
    </row>
    <row r="80" spans="1:7" x14ac:dyDescent="0.25">
      <c r="A80" s="8">
        <v>42749.443680555552</v>
      </c>
      <c r="B80" s="21" t="s">
        <v>331</v>
      </c>
      <c r="C80" s="21" t="s">
        <v>535</v>
      </c>
      <c r="D80" s="160">
        <v>2020000</v>
      </c>
      <c r="E80" s="21" t="s">
        <v>358</v>
      </c>
      <c r="F80" s="21" t="s">
        <v>348</v>
      </c>
      <c r="G80" s="8" t="str">
        <f t="shared" si="1"/>
        <v>SHOOK JOHN</v>
      </c>
    </row>
    <row r="81" spans="1:7" x14ac:dyDescent="0.25">
      <c r="A81" s="8">
        <v>42749.445844907408</v>
      </c>
      <c r="B81" s="21" t="s">
        <v>270</v>
      </c>
      <c r="C81" s="21" t="s">
        <v>536</v>
      </c>
      <c r="D81" s="160">
        <v>1100000</v>
      </c>
      <c r="E81" s="21" t="s">
        <v>346</v>
      </c>
      <c r="F81" s="21" t="s">
        <v>347</v>
      </c>
      <c r="G81" s="8" t="str">
        <f t="shared" si="1"/>
        <v>GEBRETEKLE DAGNEW</v>
      </c>
    </row>
    <row r="82" spans="1:7" x14ac:dyDescent="0.25">
      <c r="A82" s="8">
        <v>42749.452199074076</v>
      </c>
      <c r="B82" s="21" t="s">
        <v>349</v>
      </c>
      <c r="C82" s="21" t="s">
        <v>537</v>
      </c>
      <c r="D82" s="160">
        <v>2110000</v>
      </c>
      <c r="E82" s="21" t="s">
        <v>255</v>
      </c>
      <c r="F82" s="21" t="s">
        <v>256</v>
      </c>
      <c r="G82" s="8" t="str">
        <f t="shared" si="1"/>
        <v>OUN ZACK</v>
      </c>
    </row>
    <row r="83" spans="1:7" x14ac:dyDescent="0.25">
      <c r="A83" s="8">
        <v>42749.45652777778</v>
      </c>
      <c r="B83" s="21" t="s">
        <v>155</v>
      </c>
      <c r="C83" s="21" t="s">
        <v>538</v>
      </c>
      <c r="D83" s="160">
        <v>1770000</v>
      </c>
      <c r="E83" s="21" t="s">
        <v>328</v>
      </c>
      <c r="F83" s="21" t="s">
        <v>329</v>
      </c>
      <c r="G83" s="8" t="str">
        <f t="shared" si="1"/>
        <v>BRUDER RICHARD</v>
      </c>
    </row>
    <row r="84" spans="1:7" x14ac:dyDescent="0.25">
      <c r="A84" s="8">
        <v>42749.457372685189</v>
      </c>
      <c r="B84" s="21" t="s">
        <v>211</v>
      </c>
      <c r="C84" s="21" t="s">
        <v>539</v>
      </c>
      <c r="D84" s="160">
        <v>880000</v>
      </c>
      <c r="E84" s="21" t="s">
        <v>540</v>
      </c>
      <c r="F84" s="21" t="s">
        <v>241</v>
      </c>
      <c r="G84" s="8" t="str">
        <f t="shared" si="1"/>
        <v>STEWART MICHAEL</v>
      </c>
    </row>
    <row r="85" spans="1:7" x14ac:dyDescent="0.25">
      <c r="A85" s="8">
        <v>42749.459108796298</v>
      </c>
      <c r="B85" s="21" t="s">
        <v>330</v>
      </c>
      <c r="C85" s="21" t="s">
        <v>541</v>
      </c>
      <c r="D85" s="160">
        <v>2020000</v>
      </c>
      <c r="E85" s="21" t="s">
        <v>358</v>
      </c>
      <c r="F85" s="21" t="s">
        <v>348</v>
      </c>
      <c r="G85" s="8" t="str">
        <f t="shared" si="1"/>
        <v>SHOOK JOHN</v>
      </c>
    </row>
    <row r="86" spans="1:7" x14ac:dyDescent="0.25">
      <c r="A86" s="8">
        <v>42749.462152777778</v>
      </c>
      <c r="B86" s="21" t="s">
        <v>313</v>
      </c>
      <c r="C86" s="21" t="s">
        <v>542</v>
      </c>
      <c r="D86" s="160">
        <v>890000</v>
      </c>
      <c r="E86" s="21" t="s">
        <v>315</v>
      </c>
      <c r="F86" s="21" t="s">
        <v>316</v>
      </c>
      <c r="G86" s="8" t="str">
        <f t="shared" si="1"/>
        <v>LOZA FIDEL</v>
      </c>
    </row>
    <row r="87" spans="1:7" x14ac:dyDescent="0.25">
      <c r="A87" s="8">
        <v>42749.468495370369</v>
      </c>
      <c r="B87" s="21" t="s">
        <v>247</v>
      </c>
      <c r="C87" s="21" t="s">
        <v>543</v>
      </c>
      <c r="D87" s="160">
        <v>920000</v>
      </c>
      <c r="E87" s="21" t="s">
        <v>472</v>
      </c>
      <c r="F87" s="21" t="s">
        <v>241</v>
      </c>
      <c r="G87" s="8" t="str">
        <f t="shared" si="1"/>
        <v>DAVIS MICHAEL</v>
      </c>
    </row>
    <row r="88" spans="1:7" x14ac:dyDescent="0.25">
      <c r="A88" s="8">
        <v>42749.470312500001</v>
      </c>
      <c r="B88" s="21" t="s">
        <v>245</v>
      </c>
      <c r="C88" s="21" t="s">
        <v>544</v>
      </c>
      <c r="D88" s="160">
        <v>2360000</v>
      </c>
      <c r="E88" s="21" t="s">
        <v>526</v>
      </c>
      <c r="F88" s="21" t="s">
        <v>527</v>
      </c>
      <c r="G88" s="8" t="str">
        <f t="shared" si="1"/>
        <v>BRANDNER MELINDA</v>
      </c>
    </row>
    <row r="89" spans="1:7" x14ac:dyDescent="0.25">
      <c r="A89" s="8">
        <v>42749.478715277779</v>
      </c>
      <c r="B89" s="21" t="s">
        <v>357</v>
      </c>
      <c r="C89" s="21" t="s">
        <v>545</v>
      </c>
      <c r="D89" s="160">
        <v>1770000</v>
      </c>
      <c r="E89" s="21" t="s">
        <v>328</v>
      </c>
      <c r="F89" s="21" t="s">
        <v>329</v>
      </c>
      <c r="G89" s="8" t="str">
        <f t="shared" si="1"/>
        <v>BRUDER RICHARD</v>
      </c>
    </row>
    <row r="90" spans="1:7" x14ac:dyDescent="0.25">
      <c r="A90" s="8">
        <v>42749.483298611114</v>
      </c>
      <c r="B90" s="21" t="s">
        <v>273</v>
      </c>
      <c r="C90" s="21" t="s">
        <v>546</v>
      </c>
      <c r="D90" s="160">
        <v>1100000</v>
      </c>
      <c r="E90" s="21" t="s">
        <v>346</v>
      </c>
      <c r="F90" s="21" t="s">
        <v>347</v>
      </c>
      <c r="G90" s="8" t="str">
        <f t="shared" si="1"/>
        <v>GEBRETEKLE DAGNEW</v>
      </c>
    </row>
    <row r="91" spans="1:7" x14ac:dyDescent="0.25">
      <c r="A91" s="8">
        <v>42749.485300925924</v>
      </c>
      <c r="B91" s="21" t="s">
        <v>331</v>
      </c>
      <c r="C91" s="21" t="s">
        <v>547</v>
      </c>
      <c r="D91" s="160">
        <v>2020000</v>
      </c>
      <c r="E91" s="21" t="s">
        <v>358</v>
      </c>
      <c r="F91" s="21" t="s">
        <v>348</v>
      </c>
      <c r="G91" s="8" t="str">
        <f t="shared" si="1"/>
        <v>SHOOK JOHN</v>
      </c>
    </row>
    <row r="92" spans="1:7" x14ac:dyDescent="0.25">
      <c r="A92" s="8">
        <v>42749.487326388888</v>
      </c>
      <c r="B92" s="21" t="s">
        <v>209</v>
      </c>
      <c r="C92" s="21" t="s">
        <v>548</v>
      </c>
      <c r="D92" s="160">
        <v>2030000</v>
      </c>
      <c r="E92" s="21" t="s">
        <v>359</v>
      </c>
      <c r="F92" s="21" t="s">
        <v>360</v>
      </c>
      <c r="G92" s="8" t="str">
        <f t="shared" si="1"/>
        <v>KILLION DAVID</v>
      </c>
    </row>
    <row r="93" spans="1:7" x14ac:dyDescent="0.25">
      <c r="A93" s="8">
        <v>42749.48945601852</v>
      </c>
      <c r="B93" s="21" t="s">
        <v>154</v>
      </c>
      <c r="C93" s="21" t="s">
        <v>549</v>
      </c>
      <c r="D93" s="160">
        <v>2110000</v>
      </c>
      <c r="E93" s="21" t="s">
        <v>255</v>
      </c>
      <c r="F93" s="21" t="s">
        <v>256</v>
      </c>
      <c r="G93" s="8" t="str">
        <f t="shared" si="1"/>
        <v>OUN ZACK</v>
      </c>
    </row>
    <row r="94" spans="1:7" x14ac:dyDescent="0.25">
      <c r="A94" s="8">
        <v>42749.49490740741</v>
      </c>
      <c r="B94" s="21" t="s">
        <v>212</v>
      </c>
      <c r="C94" s="21" t="s">
        <v>550</v>
      </c>
      <c r="D94" s="160">
        <v>880000</v>
      </c>
      <c r="E94" s="21" t="s">
        <v>540</v>
      </c>
      <c r="F94" s="21" t="s">
        <v>241</v>
      </c>
      <c r="G94" s="8" t="str">
        <f t="shared" si="1"/>
        <v>STEWART MICHAEL</v>
      </c>
    </row>
    <row r="95" spans="1:7" x14ac:dyDescent="0.25">
      <c r="A95" s="8">
        <v>42749.496701388889</v>
      </c>
      <c r="B95" s="21" t="s">
        <v>312</v>
      </c>
      <c r="C95" s="21" t="s">
        <v>551</v>
      </c>
      <c r="D95" s="160">
        <v>1300000</v>
      </c>
      <c r="E95" s="21" t="s">
        <v>113</v>
      </c>
      <c r="F95" s="21" t="s">
        <v>497</v>
      </c>
      <c r="G95" s="8" t="str">
        <f t="shared" si="1"/>
        <v>LEVIN SCOTT</v>
      </c>
    </row>
    <row r="96" spans="1:7" x14ac:dyDescent="0.25">
      <c r="A96" s="8">
        <v>42749.501157407409</v>
      </c>
      <c r="B96" s="21" t="s">
        <v>330</v>
      </c>
      <c r="C96" s="21" t="s">
        <v>552</v>
      </c>
      <c r="D96" s="160">
        <v>2020000</v>
      </c>
      <c r="E96" s="21" t="s">
        <v>358</v>
      </c>
      <c r="F96" s="21" t="s">
        <v>348</v>
      </c>
      <c r="G96" s="8" t="str">
        <f t="shared" si="1"/>
        <v>SHOOK JOHN</v>
      </c>
    </row>
    <row r="97" spans="1:7" x14ac:dyDescent="0.25">
      <c r="A97" s="8">
        <v>42749.502800925926</v>
      </c>
      <c r="B97" s="21" t="s">
        <v>269</v>
      </c>
      <c r="C97" s="21" t="s">
        <v>553</v>
      </c>
      <c r="D97" s="160">
        <v>890000</v>
      </c>
      <c r="E97" s="21" t="s">
        <v>315</v>
      </c>
      <c r="F97" s="21" t="s">
        <v>316</v>
      </c>
      <c r="G97" s="8" t="str">
        <f t="shared" si="1"/>
        <v>LOZA FIDEL</v>
      </c>
    </row>
    <row r="98" spans="1:7" x14ac:dyDescent="0.25">
      <c r="A98" s="8">
        <v>42749.506712962961</v>
      </c>
      <c r="B98" s="21" t="s">
        <v>246</v>
      </c>
      <c r="C98" s="21" t="s">
        <v>554</v>
      </c>
      <c r="D98" s="160">
        <v>920000</v>
      </c>
      <c r="E98" s="21" t="s">
        <v>472</v>
      </c>
      <c r="F98" s="21" t="s">
        <v>241</v>
      </c>
      <c r="G98" s="8" t="str">
        <f t="shared" si="1"/>
        <v>DAVIS MICHAEL</v>
      </c>
    </row>
    <row r="99" spans="1:7" x14ac:dyDescent="0.25">
      <c r="A99" s="8">
        <v>42749.510625000003</v>
      </c>
      <c r="B99" s="21" t="s">
        <v>219</v>
      </c>
      <c r="C99" s="21" t="s">
        <v>555</v>
      </c>
      <c r="D99" s="160">
        <v>2360000</v>
      </c>
      <c r="E99" s="21" t="s">
        <v>526</v>
      </c>
      <c r="F99" s="21" t="s">
        <v>527</v>
      </c>
      <c r="G99" s="8" t="str">
        <f t="shared" si="1"/>
        <v>BRANDNER MELINDA</v>
      </c>
    </row>
    <row r="100" spans="1:7" x14ac:dyDescent="0.25">
      <c r="A100" s="8">
        <v>42749.513877314814</v>
      </c>
      <c r="B100" s="21" t="s">
        <v>351</v>
      </c>
      <c r="C100" s="21" t="s">
        <v>556</v>
      </c>
      <c r="D100" s="160">
        <v>1770000</v>
      </c>
      <c r="E100" s="21" t="s">
        <v>328</v>
      </c>
      <c r="F100" s="21" t="s">
        <v>329</v>
      </c>
      <c r="G100" s="8" t="str">
        <f t="shared" si="1"/>
        <v>BRUDER RICHARD</v>
      </c>
    </row>
    <row r="101" spans="1:7" x14ac:dyDescent="0.25">
      <c r="A101" s="8">
        <v>42749.515810185185</v>
      </c>
      <c r="B101" s="21" t="s">
        <v>270</v>
      </c>
      <c r="C101" s="21" t="s">
        <v>557</v>
      </c>
      <c r="D101" s="160">
        <v>1190000</v>
      </c>
      <c r="E101" s="21" t="s">
        <v>558</v>
      </c>
      <c r="F101" s="21" t="s">
        <v>559</v>
      </c>
      <c r="G101" s="8" t="str">
        <f t="shared" si="1"/>
        <v>BRANNON JEFFREY</v>
      </c>
    </row>
    <row r="102" spans="1:7" x14ac:dyDescent="0.25">
      <c r="A102" s="8">
        <v>42749.522372685184</v>
      </c>
      <c r="B102" s="21" t="s">
        <v>349</v>
      </c>
      <c r="C102" s="21" t="s">
        <v>560</v>
      </c>
      <c r="D102" s="160">
        <v>2030000</v>
      </c>
      <c r="E102" s="21" t="s">
        <v>359</v>
      </c>
      <c r="F102" s="21" t="s">
        <v>360</v>
      </c>
      <c r="G102" s="8" t="str">
        <f t="shared" si="1"/>
        <v>KILLION DAVID</v>
      </c>
    </row>
    <row r="103" spans="1:7" x14ac:dyDescent="0.25">
      <c r="A103" s="8">
        <v>42749.527337962965</v>
      </c>
      <c r="B103" s="21" t="s">
        <v>211</v>
      </c>
      <c r="C103" s="21" t="s">
        <v>561</v>
      </c>
      <c r="D103" s="160">
        <v>880000</v>
      </c>
      <c r="E103" s="21" t="s">
        <v>540</v>
      </c>
      <c r="F103" s="21" t="s">
        <v>241</v>
      </c>
      <c r="G103" s="8" t="str">
        <f t="shared" si="1"/>
        <v>STEWART MICHAEL</v>
      </c>
    </row>
    <row r="104" spans="1:7" x14ac:dyDescent="0.25">
      <c r="A104" s="8">
        <v>42749.527372685188</v>
      </c>
      <c r="B104" s="21" t="s">
        <v>331</v>
      </c>
      <c r="C104" s="21" t="s">
        <v>443</v>
      </c>
      <c r="D104" s="160">
        <v>2020000</v>
      </c>
      <c r="E104" s="21" t="s">
        <v>358</v>
      </c>
      <c r="F104" s="21" t="s">
        <v>348</v>
      </c>
      <c r="G104" s="8" t="str">
        <f t="shared" si="1"/>
        <v>SHOOK JOHN</v>
      </c>
    </row>
    <row r="105" spans="1:7" x14ac:dyDescent="0.25">
      <c r="A105" s="8">
        <v>42749.535833333335</v>
      </c>
      <c r="B105" s="21" t="s">
        <v>313</v>
      </c>
      <c r="C105" s="21" t="s">
        <v>562</v>
      </c>
      <c r="D105" s="160">
        <v>1300000</v>
      </c>
      <c r="E105" s="21" t="s">
        <v>113</v>
      </c>
      <c r="F105" s="21" t="s">
        <v>497</v>
      </c>
      <c r="G105" s="8" t="str">
        <f t="shared" si="1"/>
        <v>LEVIN SCOTT</v>
      </c>
    </row>
    <row r="106" spans="1:7" x14ac:dyDescent="0.25">
      <c r="A106" s="8">
        <v>42749.538402777776</v>
      </c>
      <c r="B106" s="21" t="s">
        <v>247</v>
      </c>
      <c r="C106" s="21" t="s">
        <v>444</v>
      </c>
      <c r="D106" s="160">
        <v>920000</v>
      </c>
      <c r="E106" s="21" t="s">
        <v>472</v>
      </c>
      <c r="F106" s="21" t="s">
        <v>241</v>
      </c>
      <c r="G106" s="8" t="str">
        <f t="shared" si="1"/>
        <v>DAVIS MICHAEL</v>
      </c>
    </row>
    <row r="107" spans="1:7" x14ac:dyDescent="0.25">
      <c r="A107" s="8">
        <v>42749.542928240742</v>
      </c>
      <c r="B107" s="21" t="s">
        <v>330</v>
      </c>
      <c r="C107" s="21" t="s">
        <v>563</v>
      </c>
      <c r="D107" s="160">
        <v>2020000</v>
      </c>
      <c r="E107" s="21" t="s">
        <v>358</v>
      </c>
      <c r="F107" s="21" t="s">
        <v>348</v>
      </c>
      <c r="G107" s="8" t="str">
        <f t="shared" si="1"/>
        <v>SHOOK JOHN</v>
      </c>
    </row>
    <row r="108" spans="1:7" x14ac:dyDescent="0.25">
      <c r="A108" s="8">
        <v>42749.544675925928</v>
      </c>
      <c r="B108" s="21" t="s">
        <v>245</v>
      </c>
      <c r="C108" s="21" t="s">
        <v>445</v>
      </c>
      <c r="D108" s="160">
        <v>2360000</v>
      </c>
      <c r="E108" s="21" t="s">
        <v>526</v>
      </c>
      <c r="F108" s="21" t="s">
        <v>527</v>
      </c>
      <c r="G108" s="8" t="str">
        <f t="shared" si="1"/>
        <v>BRANDNER MELINDA</v>
      </c>
    </row>
    <row r="109" spans="1:7" x14ac:dyDescent="0.25">
      <c r="A109" s="8">
        <v>42749.548680555556</v>
      </c>
      <c r="B109" s="21" t="s">
        <v>357</v>
      </c>
      <c r="C109" s="21" t="s">
        <v>564</v>
      </c>
      <c r="D109" s="160">
        <v>1770000</v>
      </c>
      <c r="E109" s="21" t="s">
        <v>328</v>
      </c>
      <c r="F109" s="21" t="s">
        <v>329</v>
      </c>
      <c r="G109" s="8" t="str">
        <f t="shared" si="1"/>
        <v>BRUDER RICHARD</v>
      </c>
    </row>
    <row r="110" spans="1:7" x14ac:dyDescent="0.25">
      <c r="A110" s="8">
        <v>42749.55574074074</v>
      </c>
      <c r="B110" s="21" t="s">
        <v>357</v>
      </c>
      <c r="C110" s="21" t="s">
        <v>564</v>
      </c>
      <c r="D110" s="160">
        <v>1770000</v>
      </c>
      <c r="E110" s="21" t="s">
        <v>328</v>
      </c>
      <c r="F110" s="21" t="s">
        <v>329</v>
      </c>
      <c r="G110" s="8" t="str">
        <f t="shared" si="1"/>
        <v>BRUDER RICHARD</v>
      </c>
    </row>
    <row r="111" spans="1:7" x14ac:dyDescent="0.25">
      <c r="A111" s="8">
        <v>42749.55746527778</v>
      </c>
      <c r="B111" s="21" t="s">
        <v>209</v>
      </c>
      <c r="C111" s="21" t="s">
        <v>565</v>
      </c>
      <c r="D111" s="160">
        <v>2030000</v>
      </c>
      <c r="E111" s="21" t="s">
        <v>359</v>
      </c>
      <c r="F111" s="21" t="s">
        <v>360</v>
      </c>
      <c r="G111" s="8" t="str">
        <f t="shared" si="1"/>
        <v>KILLION DAVID</v>
      </c>
    </row>
    <row r="112" spans="1:7" x14ac:dyDescent="0.25">
      <c r="A112" s="8">
        <v>42749.557800925926</v>
      </c>
      <c r="B112" s="21" t="s">
        <v>273</v>
      </c>
      <c r="C112" s="21" t="s">
        <v>566</v>
      </c>
      <c r="D112" s="160">
        <v>1190000</v>
      </c>
      <c r="E112" s="21" t="s">
        <v>558</v>
      </c>
      <c r="F112" s="21" t="s">
        <v>559</v>
      </c>
      <c r="G112" s="8" t="str">
        <f t="shared" si="1"/>
        <v>BRANNON JEFFREY</v>
      </c>
    </row>
    <row r="113" spans="1:7" x14ac:dyDescent="0.25">
      <c r="A113" s="8">
        <v>42749.567685185182</v>
      </c>
      <c r="B113" s="21" t="s">
        <v>212</v>
      </c>
      <c r="C113" s="21" t="s">
        <v>567</v>
      </c>
      <c r="D113" s="160">
        <v>880000</v>
      </c>
      <c r="E113" s="21" t="s">
        <v>540</v>
      </c>
      <c r="F113" s="21" t="s">
        <v>241</v>
      </c>
      <c r="G113" s="8" t="str">
        <f t="shared" si="1"/>
        <v>STEWART MICHAEL</v>
      </c>
    </row>
    <row r="114" spans="1:7" x14ac:dyDescent="0.25">
      <c r="A114" s="8">
        <v>42749.568738425929</v>
      </c>
      <c r="B114" s="21" t="s">
        <v>331</v>
      </c>
      <c r="C114" s="21" t="s">
        <v>568</v>
      </c>
      <c r="D114" s="160">
        <v>2020000</v>
      </c>
      <c r="E114" s="21" t="s">
        <v>358</v>
      </c>
      <c r="F114" s="21" t="s">
        <v>348</v>
      </c>
      <c r="G114" s="8" t="str">
        <f t="shared" si="1"/>
        <v>SHOOK JOHN</v>
      </c>
    </row>
    <row r="115" spans="1:7" x14ac:dyDescent="0.25">
      <c r="A115" s="8">
        <v>42749.571018518516</v>
      </c>
      <c r="B115" s="21" t="s">
        <v>312</v>
      </c>
      <c r="C115" s="21" t="s">
        <v>569</v>
      </c>
      <c r="D115" s="160">
        <v>1300000</v>
      </c>
      <c r="E115" s="21" t="s">
        <v>113</v>
      </c>
      <c r="F115" s="21" t="s">
        <v>497</v>
      </c>
      <c r="G115" s="8" t="str">
        <f t="shared" si="1"/>
        <v>LEVIN SCOTT</v>
      </c>
    </row>
    <row r="116" spans="1:7" x14ac:dyDescent="0.25">
      <c r="A116" s="8">
        <v>42749.577210648145</v>
      </c>
      <c r="B116" s="21" t="s">
        <v>246</v>
      </c>
      <c r="C116" s="21" t="s">
        <v>570</v>
      </c>
      <c r="D116" s="160">
        <v>920000</v>
      </c>
      <c r="E116" s="21" t="s">
        <v>472</v>
      </c>
      <c r="F116" s="21" t="s">
        <v>241</v>
      </c>
      <c r="G116" s="8" t="str">
        <f t="shared" si="1"/>
        <v>DAVIS MICHAEL</v>
      </c>
    </row>
    <row r="117" spans="1:7" x14ac:dyDescent="0.25">
      <c r="A117" s="8">
        <v>42749.581111111111</v>
      </c>
      <c r="B117" s="21" t="s">
        <v>219</v>
      </c>
      <c r="C117" s="21" t="s">
        <v>571</v>
      </c>
      <c r="D117" s="160">
        <v>2360000</v>
      </c>
      <c r="E117" s="21" t="s">
        <v>526</v>
      </c>
      <c r="F117" s="21" t="s">
        <v>527</v>
      </c>
      <c r="G117" s="8" t="str">
        <f t="shared" si="1"/>
        <v>BRANDNER MELINDA</v>
      </c>
    </row>
    <row r="118" spans="1:7" x14ac:dyDescent="0.25">
      <c r="A118" s="8">
        <v>42749.585740740738</v>
      </c>
      <c r="B118" s="21" t="s">
        <v>351</v>
      </c>
      <c r="C118" s="21" t="s">
        <v>572</v>
      </c>
      <c r="D118" s="160">
        <v>1770000</v>
      </c>
      <c r="E118" s="21" t="s">
        <v>328</v>
      </c>
      <c r="F118" s="21" t="s">
        <v>329</v>
      </c>
      <c r="G118" s="8" t="str">
        <f t="shared" si="1"/>
        <v>BRUDER RICHARD</v>
      </c>
    </row>
    <row r="119" spans="1:7" x14ac:dyDescent="0.25">
      <c r="A119" s="8">
        <v>42749.587847222225</v>
      </c>
      <c r="B119" s="21" t="s">
        <v>270</v>
      </c>
      <c r="C119" s="21" t="s">
        <v>573</v>
      </c>
      <c r="D119" s="160">
        <v>1190000</v>
      </c>
      <c r="E119" s="21" t="s">
        <v>558</v>
      </c>
      <c r="F119" s="21" t="s">
        <v>559</v>
      </c>
      <c r="G119" s="8" t="str">
        <f t="shared" si="1"/>
        <v>BRANNON JEFFREY</v>
      </c>
    </row>
    <row r="120" spans="1:7" x14ac:dyDescent="0.25">
      <c r="A120" s="8">
        <v>42749.591585648152</v>
      </c>
      <c r="B120" s="21" t="s">
        <v>349</v>
      </c>
      <c r="C120" s="21" t="s">
        <v>574</v>
      </c>
      <c r="D120" s="160">
        <v>2030000</v>
      </c>
      <c r="E120" s="21" t="s">
        <v>359</v>
      </c>
      <c r="F120" s="21" t="s">
        <v>360</v>
      </c>
      <c r="G120" s="8" t="str">
        <f t="shared" si="1"/>
        <v>KILLION DAVID</v>
      </c>
    </row>
    <row r="121" spans="1:7" x14ac:dyDescent="0.25">
      <c r="A121" s="8">
        <v>42749.594780092593</v>
      </c>
      <c r="B121" s="21" t="s">
        <v>330</v>
      </c>
      <c r="C121" s="21" t="s">
        <v>575</v>
      </c>
      <c r="D121" s="160">
        <v>1540000</v>
      </c>
      <c r="E121" s="21" t="s">
        <v>576</v>
      </c>
      <c r="F121" s="21" t="s">
        <v>577</v>
      </c>
      <c r="G121" s="8" t="str">
        <f t="shared" si="1"/>
        <v>HELVIE ADAM</v>
      </c>
    </row>
    <row r="122" spans="1:7" x14ac:dyDescent="0.25">
      <c r="A122" s="8">
        <v>42749.601215277777</v>
      </c>
      <c r="B122" s="26" t="s">
        <v>211</v>
      </c>
      <c r="C122" s="21" t="s">
        <v>578</v>
      </c>
      <c r="D122" s="160">
        <v>880000</v>
      </c>
      <c r="E122" s="21" t="s">
        <v>540</v>
      </c>
      <c r="F122" s="21" t="s">
        <v>241</v>
      </c>
      <c r="G122" s="8" t="str">
        <f t="shared" si="1"/>
        <v>STEWART MICHAEL</v>
      </c>
    </row>
    <row r="123" spans="1:7" x14ac:dyDescent="0.25">
      <c r="A123" s="8">
        <v>42749.608148148145</v>
      </c>
      <c r="B123" s="21" t="s">
        <v>313</v>
      </c>
      <c r="C123" s="21" t="s">
        <v>579</v>
      </c>
      <c r="D123" s="160">
        <v>1300000</v>
      </c>
      <c r="E123" s="21" t="s">
        <v>113</v>
      </c>
      <c r="F123" s="21" t="s">
        <v>497</v>
      </c>
      <c r="G123" s="8" t="str">
        <f t="shared" si="1"/>
        <v>LEVIN SCOTT</v>
      </c>
    </row>
    <row r="124" spans="1:7" x14ac:dyDescent="0.25">
      <c r="A124" s="8">
        <v>42749.611284722225</v>
      </c>
      <c r="B124" s="21" t="s">
        <v>331</v>
      </c>
      <c r="C124" s="21" t="s">
        <v>580</v>
      </c>
      <c r="D124" s="160">
        <v>1540000</v>
      </c>
      <c r="E124" s="21" t="s">
        <v>576</v>
      </c>
      <c r="F124" s="21" t="s">
        <v>577</v>
      </c>
      <c r="G124" s="8" t="str">
        <f t="shared" si="1"/>
        <v>HELVIE ADAM</v>
      </c>
    </row>
    <row r="125" spans="1:7" x14ac:dyDescent="0.25">
      <c r="A125" s="8">
        <v>42749.613136574073</v>
      </c>
      <c r="B125" s="21" t="s">
        <v>247</v>
      </c>
      <c r="C125" s="21" t="s">
        <v>581</v>
      </c>
      <c r="D125" s="160">
        <v>920000</v>
      </c>
      <c r="E125" s="21" t="s">
        <v>472</v>
      </c>
      <c r="F125" s="21" t="s">
        <v>241</v>
      </c>
      <c r="G125" s="8" t="str">
        <f t="shared" si="1"/>
        <v>DAVIS MICHAEL</v>
      </c>
    </row>
    <row r="126" spans="1:7" x14ac:dyDescent="0.25">
      <c r="A126" s="8">
        <v>42749.617071759261</v>
      </c>
      <c r="B126" s="21" t="s">
        <v>245</v>
      </c>
      <c r="C126" s="21" t="s">
        <v>582</v>
      </c>
      <c r="D126" s="160">
        <v>2360000</v>
      </c>
      <c r="E126" s="21" t="s">
        <v>526</v>
      </c>
      <c r="F126" s="21" t="s">
        <v>527</v>
      </c>
      <c r="G126" s="8" t="str">
        <f t="shared" si="1"/>
        <v>BRANDNER MELINDA</v>
      </c>
    </row>
    <row r="127" spans="1:7" x14ac:dyDescent="0.25">
      <c r="A127" s="8">
        <v>42749.620081018518</v>
      </c>
      <c r="B127" s="21" t="s">
        <v>357</v>
      </c>
      <c r="C127" s="21" t="s">
        <v>583</v>
      </c>
      <c r="D127" s="160">
        <v>1770000</v>
      </c>
      <c r="E127" s="21" t="s">
        <v>328</v>
      </c>
      <c r="F127" s="21" t="s">
        <v>329</v>
      </c>
      <c r="G127" s="8" t="str">
        <f t="shared" si="1"/>
        <v>BRUDER RICHARD</v>
      </c>
    </row>
    <row r="128" spans="1:7" x14ac:dyDescent="0.25">
      <c r="A128" s="8">
        <v>42749.626782407409</v>
      </c>
      <c r="B128" s="21" t="s">
        <v>273</v>
      </c>
      <c r="C128" s="21" t="s">
        <v>584</v>
      </c>
      <c r="D128" s="160">
        <v>1190000</v>
      </c>
      <c r="E128" s="21" t="s">
        <v>558</v>
      </c>
      <c r="F128" s="21" t="s">
        <v>559</v>
      </c>
      <c r="G128" s="8" t="str">
        <f t="shared" si="1"/>
        <v>BRANNON JEFFREY</v>
      </c>
    </row>
    <row r="129" spans="1:7" x14ac:dyDescent="0.25">
      <c r="A129" s="8">
        <v>42749.630416666667</v>
      </c>
      <c r="B129" s="21" t="s">
        <v>209</v>
      </c>
      <c r="C129" s="21" t="s">
        <v>585</v>
      </c>
      <c r="D129" s="160">
        <v>2030000</v>
      </c>
      <c r="E129" s="21" t="s">
        <v>359</v>
      </c>
      <c r="F129" s="21" t="s">
        <v>360</v>
      </c>
      <c r="G129" s="8" t="str">
        <f t="shared" si="1"/>
        <v>KILLION DAVID</v>
      </c>
    </row>
    <row r="130" spans="1:7" x14ac:dyDescent="0.25">
      <c r="A130" s="8">
        <v>42749.638032407405</v>
      </c>
      <c r="B130" s="21" t="s">
        <v>212</v>
      </c>
      <c r="C130" s="21" t="s">
        <v>586</v>
      </c>
      <c r="D130" s="160">
        <v>880000</v>
      </c>
      <c r="E130" s="21" t="s">
        <v>540</v>
      </c>
      <c r="F130" s="21" t="s">
        <v>241</v>
      </c>
      <c r="G130" s="8" t="str">
        <f t="shared" si="1"/>
        <v>STEWART MICHAEL</v>
      </c>
    </row>
    <row r="131" spans="1:7" x14ac:dyDescent="0.25">
      <c r="A131" s="8">
        <v>42749.63821759259</v>
      </c>
      <c r="B131" s="21" t="s">
        <v>330</v>
      </c>
      <c r="C131" s="21" t="s">
        <v>587</v>
      </c>
      <c r="D131" s="160">
        <v>1540000</v>
      </c>
      <c r="E131" s="21" t="s">
        <v>576</v>
      </c>
      <c r="F131" s="21" t="s">
        <v>577</v>
      </c>
      <c r="G131" s="8" t="str">
        <f t="shared" ref="G131:G194" si="2">E131&amp;" "&amp;F131</f>
        <v>HELVIE ADAM</v>
      </c>
    </row>
    <row r="132" spans="1:7" x14ac:dyDescent="0.25">
      <c r="A132" s="8">
        <v>42749.643842592595</v>
      </c>
      <c r="B132" s="21" t="s">
        <v>312</v>
      </c>
      <c r="C132" s="21" t="s">
        <v>588</v>
      </c>
      <c r="D132" s="160">
        <v>1300000</v>
      </c>
      <c r="E132" s="21" t="s">
        <v>113</v>
      </c>
      <c r="F132" s="21" t="s">
        <v>497</v>
      </c>
      <c r="G132" s="8" t="str">
        <f t="shared" si="2"/>
        <v>LEVIN SCOTT</v>
      </c>
    </row>
    <row r="133" spans="1:7" x14ac:dyDescent="0.25">
      <c r="A133" s="8">
        <v>42749.65</v>
      </c>
      <c r="B133" s="21" t="s">
        <v>246</v>
      </c>
      <c r="C133" s="21" t="s">
        <v>589</v>
      </c>
      <c r="D133" s="160">
        <v>920000</v>
      </c>
      <c r="E133" s="21" t="s">
        <v>472</v>
      </c>
      <c r="F133" s="21" t="s">
        <v>241</v>
      </c>
      <c r="G133" s="8" t="str">
        <f t="shared" si="2"/>
        <v>DAVIS MICHAEL</v>
      </c>
    </row>
    <row r="134" spans="1:7" x14ac:dyDescent="0.25">
      <c r="A134" s="8">
        <v>42749.652326388888</v>
      </c>
      <c r="B134" s="21" t="s">
        <v>331</v>
      </c>
      <c r="C134" s="21" t="s">
        <v>590</v>
      </c>
      <c r="D134" s="160">
        <v>1540000</v>
      </c>
      <c r="E134" s="21" t="s">
        <v>576</v>
      </c>
      <c r="F134" s="21" t="s">
        <v>577</v>
      </c>
      <c r="G134" s="8" t="str">
        <f t="shared" si="2"/>
        <v>HELVIE ADAM</v>
      </c>
    </row>
    <row r="135" spans="1:7" x14ac:dyDescent="0.25">
      <c r="A135" s="8">
        <v>42749.653749999998</v>
      </c>
      <c r="B135" s="21" t="s">
        <v>219</v>
      </c>
      <c r="C135" s="21" t="s">
        <v>591</v>
      </c>
      <c r="D135" s="160">
        <v>2360000</v>
      </c>
      <c r="E135" s="21" t="s">
        <v>526</v>
      </c>
      <c r="F135" s="21" t="s">
        <v>527</v>
      </c>
      <c r="G135" s="8" t="str">
        <f t="shared" si="2"/>
        <v>BRANDNER MELINDA</v>
      </c>
    </row>
    <row r="136" spans="1:7" x14ac:dyDescent="0.25">
      <c r="A136" s="8">
        <v>42749.657835648148</v>
      </c>
      <c r="B136" s="21" t="s">
        <v>351</v>
      </c>
      <c r="C136" s="21" t="s">
        <v>592</v>
      </c>
      <c r="D136" s="160">
        <v>1770000</v>
      </c>
      <c r="E136" s="21" t="s">
        <v>328</v>
      </c>
      <c r="F136" s="21" t="s">
        <v>329</v>
      </c>
      <c r="G136" s="8" t="str">
        <f t="shared" si="2"/>
        <v>BRUDER RICHARD</v>
      </c>
    </row>
    <row r="137" spans="1:7" x14ac:dyDescent="0.25">
      <c r="A137" s="8">
        <v>42749.662719907406</v>
      </c>
      <c r="B137" s="21" t="s">
        <v>270</v>
      </c>
      <c r="C137" s="21" t="s">
        <v>593</v>
      </c>
      <c r="D137" s="160">
        <v>2480000</v>
      </c>
      <c r="E137" s="21" t="s">
        <v>368</v>
      </c>
      <c r="F137" s="21" t="s">
        <v>319</v>
      </c>
      <c r="G137" s="8" t="str">
        <f t="shared" si="2"/>
        <v>WHITED DUSTIN</v>
      </c>
    </row>
    <row r="138" spans="1:7" x14ac:dyDescent="0.25">
      <c r="A138" s="8">
        <v>42749.663738425923</v>
      </c>
      <c r="B138" s="21" t="s">
        <v>270</v>
      </c>
      <c r="C138" s="21" t="s">
        <v>593</v>
      </c>
      <c r="D138" s="160">
        <v>2480000</v>
      </c>
      <c r="E138" s="21" t="s">
        <v>368</v>
      </c>
      <c r="F138" s="21" t="s">
        <v>319</v>
      </c>
      <c r="G138" s="8" t="str">
        <f t="shared" si="2"/>
        <v>WHITED DUSTIN</v>
      </c>
    </row>
    <row r="139" spans="1:7" x14ac:dyDescent="0.25">
      <c r="A139" s="8">
        <v>42749.664490740739</v>
      </c>
      <c r="B139" s="21" t="s">
        <v>349</v>
      </c>
      <c r="C139" s="21" t="s">
        <v>594</v>
      </c>
      <c r="D139" s="160">
        <v>2030000</v>
      </c>
      <c r="E139" s="21" t="s">
        <v>359</v>
      </c>
      <c r="F139" s="21" t="s">
        <v>360</v>
      </c>
      <c r="G139" s="8" t="str">
        <f t="shared" si="2"/>
        <v>KILLION DAVID</v>
      </c>
    </row>
    <row r="140" spans="1:7" x14ac:dyDescent="0.25">
      <c r="A140" s="8">
        <v>42749.673101851855</v>
      </c>
      <c r="B140" s="21" t="s">
        <v>211</v>
      </c>
      <c r="C140" s="21" t="s">
        <v>595</v>
      </c>
      <c r="D140" s="160">
        <v>880000</v>
      </c>
      <c r="E140" s="21" t="s">
        <v>540</v>
      </c>
      <c r="F140" s="21" t="s">
        <v>241</v>
      </c>
      <c r="G140" s="8" t="str">
        <f t="shared" si="2"/>
        <v>STEWART MICHAEL</v>
      </c>
    </row>
    <row r="141" spans="1:7" x14ac:dyDescent="0.25">
      <c r="A141" s="8">
        <v>42749.678738425922</v>
      </c>
      <c r="B141" s="21" t="s">
        <v>330</v>
      </c>
      <c r="C141" s="21" t="s">
        <v>596</v>
      </c>
      <c r="D141" s="160">
        <v>1540000</v>
      </c>
      <c r="E141" s="21" t="s">
        <v>576</v>
      </c>
      <c r="F141" s="21" t="s">
        <v>577</v>
      </c>
      <c r="G141" s="8" t="str">
        <f t="shared" si="2"/>
        <v>HELVIE ADAM</v>
      </c>
    </row>
    <row r="142" spans="1:7" x14ac:dyDescent="0.25">
      <c r="A142" s="8">
        <v>42749.680497685185</v>
      </c>
      <c r="B142" s="21" t="s">
        <v>313</v>
      </c>
      <c r="C142" s="21" t="s">
        <v>597</v>
      </c>
      <c r="D142" s="160">
        <v>1300000</v>
      </c>
      <c r="E142" s="21" t="s">
        <v>113</v>
      </c>
      <c r="F142" s="21" t="s">
        <v>497</v>
      </c>
      <c r="G142" s="8" t="str">
        <f t="shared" si="2"/>
        <v>LEVIN SCOTT</v>
      </c>
    </row>
    <row r="143" spans="1:7" x14ac:dyDescent="0.25">
      <c r="A143" s="8">
        <v>42749.685300925928</v>
      </c>
      <c r="B143" s="21" t="s">
        <v>247</v>
      </c>
      <c r="C143" s="21" t="s">
        <v>598</v>
      </c>
      <c r="D143" s="160">
        <v>920000</v>
      </c>
      <c r="E143" s="21" t="s">
        <v>472</v>
      </c>
      <c r="F143" s="21" t="s">
        <v>241</v>
      </c>
      <c r="G143" s="8" t="str">
        <f t="shared" si="2"/>
        <v>DAVIS MICHAEL</v>
      </c>
    </row>
    <row r="144" spans="1:7" x14ac:dyDescent="0.25">
      <c r="A144" s="8">
        <v>42749.68608796296</v>
      </c>
      <c r="B144" s="21" t="s">
        <v>245</v>
      </c>
      <c r="C144" s="21" t="s">
        <v>599</v>
      </c>
      <c r="D144" s="160">
        <v>2360000</v>
      </c>
      <c r="E144" s="21" t="s">
        <v>526</v>
      </c>
      <c r="F144" s="21" t="s">
        <v>527</v>
      </c>
      <c r="G144" s="8" t="str">
        <f t="shared" si="2"/>
        <v>BRANDNER MELINDA</v>
      </c>
    </row>
    <row r="145" spans="1:7" x14ac:dyDescent="0.25">
      <c r="A145" s="8">
        <v>42749.691932870373</v>
      </c>
      <c r="B145" s="21" t="s">
        <v>357</v>
      </c>
      <c r="C145" s="21" t="s">
        <v>600</v>
      </c>
      <c r="D145" s="160">
        <v>1770000</v>
      </c>
      <c r="E145" s="21" t="s">
        <v>328</v>
      </c>
      <c r="F145" s="21" t="s">
        <v>329</v>
      </c>
      <c r="G145" s="8" t="str">
        <f t="shared" si="2"/>
        <v>BRUDER RICHARD</v>
      </c>
    </row>
    <row r="146" spans="1:7" x14ac:dyDescent="0.25">
      <c r="A146" s="8">
        <v>42749.693796296298</v>
      </c>
      <c r="B146" s="21" t="s">
        <v>331</v>
      </c>
      <c r="C146" s="21" t="s">
        <v>601</v>
      </c>
      <c r="D146" s="160">
        <v>1540000</v>
      </c>
      <c r="E146" s="21" t="s">
        <v>576</v>
      </c>
      <c r="F146" s="21" t="s">
        <v>577</v>
      </c>
      <c r="G146" s="8" t="str">
        <f t="shared" si="2"/>
        <v>HELVIE ADAM</v>
      </c>
    </row>
    <row r="147" spans="1:7" x14ac:dyDescent="0.25">
      <c r="A147" s="8">
        <v>42749.699270833335</v>
      </c>
      <c r="B147" s="21" t="s">
        <v>273</v>
      </c>
      <c r="C147" s="21" t="s">
        <v>602</v>
      </c>
      <c r="D147" s="160">
        <v>2480000</v>
      </c>
      <c r="E147" s="21" t="s">
        <v>368</v>
      </c>
      <c r="F147" s="21" t="s">
        <v>319</v>
      </c>
      <c r="G147" s="8" t="str">
        <f t="shared" si="2"/>
        <v>WHITED DUSTIN</v>
      </c>
    </row>
    <row r="148" spans="1:7" x14ac:dyDescent="0.25">
      <c r="A148" s="8">
        <v>42749.704756944448</v>
      </c>
      <c r="B148" s="21" t="s">
        <v>209</v>
      </c>
      <c r="C148" s="21" t="s">
        <v>603</v>
      </c>
      <c r="D148" s="160">
        <v>2030000</v>
      </c>
      <c r="E148" s="21" t="s">
        <v>359</v>
      </c>
      <c r="F148" s="21" t="s">
        <v>360</v>
      </c>
      <c r="G148" s="8" t="str">
        <f t="shared" si="2"/>
        <v>KILLION DAVID</v>
      </c>
    </row>
    <row r="149" spans="1:7" x14ac:dyDescent="0.25">
      <c r="A149" s="8">
        <v>42749.713310185187</v>
      </c>
      <c r="B149" s="21" t="s">
        <v>212</v>
      </c>
      <c r="C149" s="21" t="s">
        <v>604</v>
      </c>
      <c r="D149" s="160">
        <v>880000</v>
      </c>
      <c r="E149" s="21" t="s">
        <v>540</v>
      </c>
      <c r="F149" s="21" t="s">
        <v>241</v>
      </c>
      <c r="G149" s="8" t="str">
        <f t="shared" si="2"/>
        <v>STEWART MICHAEL</v>
      </c>
    </row>
    <row r="150" spans="1:7" x14ac:dyDescent="0.25">
      <c r="A150" s="8">
        <v>42749.717013888891</v>
      </c>
      <c r="B150" s="21" t="s">
        <v>312</v>
      </c>
      <c r="C150" s="21" t="s">
        <v>605</v>
      </c>
      <c r="D150" s="160">
        <v>1300000</v>
      </c>
      <c r="E150" s="21" t="s">
        <v>113</v>
      </c>
      <c r="F150" s="21" t="s">
        <v>497</v>
      </c>
      <c r="G150" s="8" t="str">
        <f t="shared" si="2"/>
        <v>LEVIN SCOTT</v>
      </c>
    </row>
    <row r="151" spans="1:7" x14ac:dyDescent="0.25">
      <c r="A151" s="8">
        <v>42749.71979166667</v>
      </c>
      <c r="B151" s="21" t="s">
        <v>478</v>
      </c>
      <c r="C151" s="21" t="s">
        <v>606</v>
      </c>
      <c r="D151" s="160">
        <v>2370000</v>
      </c>
      <c r="E151" s="21" t="s">
        <v>607</v>
      </c>
      <c r="F151" s="21" t="s">
        <v>608</v>
      </c>
      <c r="G151" s="8" t="str">
        <f t="shared" si="2"/>
        <v>DELGADO DIANAH</v>
      </c>
    </row>
    <row r="152" spans="1:7" x14ac:dyDescent="0.25">
      <c r="A152" s="8">
        <v>42749.72011574074</v>
      </c>
      <c r="B152" s="21" t="s">
        <v>330</v>
      </c>
      <c r="C152" s="21" t="s">
        <v>609</v>
      </c>
      <c r="D152" s="160">
        <v>2440000</v>
      </c>
      <c r="E152" s="21" t="s">
        <v>361</v>
      </c>
      <c r="F152" s="21" t="s">
        <v>362</v>
      </c>
      <c r="G152" s="8" t="str">
        <f t="shared" si="2"/>
        <v>LOPES KIMBERLY</v>
      </c>
    </row>
    <row r="153" spans="1:7" x14ac:dyDescent="0.25">
      <c r="A153" s="8">
        <v>42749.721030092594</v>
      </c>
      <c r="B153" s="21" t="s">
        <v>330</v>
      </c>
      <c r="C153" s="21" t="s">
        <v>609</v>
      </c>
      <c r="D153" s="160">
        <v>2440000</v>
      </c>
      <c r="E153" s="21" t="s">
        <v>361</v>
      </c>
      <c r="F153" s="21" t="s">
        <v>362</v>
      </c>
      <c r="G153" s="8" t="str">
        <f t="shared" si="2"/>
        <v>LOPES KIMBERLY</v>
      </c>
    </row>
    <row r="154" spans="1:7" x14ac:dyDescent="0.25">
      <c r="A154" s="8">
        <v>42749.721701388888</v>
      </c>
      <c r="B154" s="21" t="s">
        <v>330</v>
      </c>
      <c r="C154" s="21" t="s">
        <v>609</v>
      </c>
      <c r="D154" s="160">
        <v>2440000</v>
      </c>
      <c r="E154" s="21" t="s">
        <v>361</v>
      </c>
      <c r="F154" s="21" t="s">
        <v>362</v>
      </c>
      <c r="G154" s="8" t="str">
        <f t="shared" si="2"/>
        <v>LOPES KIMBERLY</v>
      </c>
    </row>
    <row r="155" spans="1:7" x14ac:dyDescent="0.25">
      <c r="A155" s="8">
        <v>42749.724409722221</v>
      </c>
      <c r="B155" s="21" t="s">
        <v>246</v>
      </c>
      <c r="C155" s="21" t="s">
        <v>610</v>
      </c>
      <c r="D155" s="160">
        <v>920000</v>
      </c>
      <c r="E155" s="21" t="s">
        <v>472</v>
      </c>
      <c r="F155" s="21" t="s">
        <v>241</v>
      </c>
      <c r="G155" s="8" t="str">
        <f t="shared" si="2"/>
        <v>DAVIS MICHAEL</v>
      </c>
    </row>
    <row r="156" spans="1:7" x14ac:dyDescent="0.25">
      <c r="A156" s="8">
        <v>42749.726527777777</v>
      </c>
      <c r="B156" s="21" t="s">
        <v>219</v>
      </c>
      <c r="C156" s="21" t="s">
        <v>446</v>
      </c>
      <c r="D156" s="160">
        <v>2360000</v>
      </c>
      <c r="E156" s="21" t="s">
        <v>526</v>
      </c>
      <c r="F156" s="21" t="s">
        <v>527</v>
      </c>
      <c r="G156" s="8" t="str">
        <f t="shared" si="2"/>
        <v>BRANDNER MELINDA</v>
      </c>
    </row>
    <row r="157" spans="1:7" x14ac:dyDescent="0.25">
      <c r="A157" s="8">
        <v>42749.730011574073</v>
      </c>
      <c r="B157" s="21" t="s">
        <v>351</v>
      </c>
      <c r="C157" s="21" t="s">
        <v>611</v>
      </c>
      <c r="D157" s="160">
        <v>1770000</v>
      </c>
      <c r="E157" s="21" t="s">
        <v>328</v>
      </c>
      <c r="F157" s="21" t="s">
        <v>329</v>
      </c>
      <c r="G157" s="8" t="str">
        <f t="shared" si="2"/>
        <v>BRUDER RICHARD</v>
      </c>
    </row>
    <row r="158" spans="1:7" x14ac:dyDescent="0.25">
      <c r="A158" s="8">
        <v>42749.734571759262</v>
      </c>
      <c r="B158" s="21" t="s">
        <v>331</v>
      </c>
      <c r="C158" s="21" t="s">
        <v>612</v>
      </c>
      <c r="D158" s="160">
        <v>2440000</v>
      </c>
      <c r="E158" s="21" t="s">
        <v>361</v>
      </c>
      <c r="F158" s="21" t="s">
        <v>362</v>
      </c>
      <c r="G158" s="8" t="str">
        <f t="shared" si="2"/>
        <v>LOPES KIMBERLY</v>
      </c>
    </row>
    <row r="159" spans="1:7" x14ac:dyDescent="0.25">
      <c r="A159" s="8">
        <v>42749.737476851849</v>
      </c>
      <c r="B159" s="21" t="s">
        <v>349</v>
      </c>
      <c r="C159" s="21" t="s">
        <v>613</v>
      </c>
      <c r="D159" s="160">
        <v>2030000</v>
      </c>
      <c r="E159" s="21" t="s">
        <v>359</v>
      </c>
      <c r="F159" s="21" t="s">
        <v>360</v>
      </c>
      <c r="G159" s="8" t="str">
        <f t="shared" si="2"/>
        <v>KILLION DAVID</v>
      </c>
    </row>
    <row r="160" spans="1:7" x14ac:dyDescent="0.25">
      <c r="A160" s="8">
        <v>42749.737951388888</v>
      </c>
      <c r="B160" s="21" t="s">
        <v>270</v>
      </c>
      <c r="C160" s="21" t="s">
        <v>614</v>
      </c>
      <c r="D160" s="160">
        <v>2230000</v>
      </c>
      <c r="E160" s="21" t="s">
        <v>250</v>
      </c>
      <c r="F160" s="21" t="s">
        <v>241</v>
      </c>
      <c r="G160" s="8" t="str">
        <f t="shared" si="2"/>
        <v>SMITH MICHAEL</v>
      </c>
    </row>
    <row r="161" spans="1:7" x14ac:dyDescent="0.25">
      <c r="A161" s="8">
        <v>42749.745694444442</v>
      </c>
      <c r="B161" s="21" t="s">
        <v>211</v>
      </c>
      <c r="C161" s="21" t="s">
        <v>615</v>
      </c>
      <c r="D161" s="160">
        <v>2480000</v>
      </c>
      <c r="E161" s="21" t="s">
        <v>368</v>
      </c>
      <c r="F161" s="21" t="s">
        <v>319</v>
      </c>
      <c r="G161" s="8" t="str">
        <f t="shared" si="2"/>
        <v>WHITED DUSTIN</v>
      </c>
    </row>
    <row r="162" spans="1:7" x14ac:dyDescent="0.25">
      <c r="A162" s="8">
        <v>42749.749062499999</v>
      </c>
      <c r="B162" s="21" t="s">
        <v>279</v>
      </c>
      <c r="C162" s="21" t="s">
        <v>447</v>
      </c>
      <c r="D162" s="160">
        <v>2620000</v>
      </c>
      <c r="E162" s="21" t="s">
        <v>366</v>
      </c>
      <c r="F162" s="21" t="s">
        <v>367</v>
      </c>
      <c r="G162" s="8" t="str">
        <f t="shared" si="2"/>
        <v>PERKINS DARREN</v>
      </c>
    </row>
    <row r="163" spans="1:7" x14ac:dyDescent="0.25">
      <c r="A163" s="8">
        <v>42749.7497337963</v>
      </c>
      <c r="B163" s="21" t="s">
        <v>330</v>
      </c>
      <c r="C163" s="21" t="s">
        <v>616</v>
      </c>
      <c r="D163" s="160">
        <v>2440000</v>
      </c>
      <c r="E163" s="21" t="s">
        <v>361</v>
      </c>
      <c r="F163" s="21" t="s">
        <v>362</v>
      </c>
      <c r="G163" s="8" t="str">
        <f t="shared" si="2"/>
        <v>LOPES KIMBERLY</v>
      </c>
    </row>
    <row r="164" spans="1:7" x14ac:dyDescent="0.25">
      <c r="A164" s="8">
        <v>42749.754872685182</v>
      </c>
      <c r="B164" s="21" t="s">
        <v>313</v>
      </c>
      <c r="C164" s="21" t="s">
        <v>617</v>
      </c>
      <c r="D164" s="160">
        <v>1300000</v>
      </c>
      <c r="E164" s="21" t="s">
        <v>113</v>
      </c>
      <c r="F164" s="21" t="s">
        <v>497</v>
      </c>
      <c r="G164" s="8" t="str">
        <f t="shared" si="2"/>
        <v>LEVIN SCOTT</v>
      </c>
    </row>
    <row r="165" spans="1:7" x14ac:dyDescent="0.25">
      <c r="A165" s="8">
        <v>42749.758391203701</v>
      </c>
      <c r="B165" s="21" t="s">
        <v>247</v>
      </c>
      <c r="C165" s="21" t="s">
        <v>618</v>
      </c>
      <c r="D165" s="160">
        <v>2000000</v>
      </c>
      <c r="E165" s="21" t="s">
        <v>204</v>
      </c>
      <c r="F165" s="21" t="s">
        <v>233</v>
      </c>
      <c r="G165" s="8" t="str">
        <f t="shared" si="2"/>
        <v>STAMBAUGH JAMES</v>
      </c>
    </row>
    <row r="166" spans="1:7" x14ac:dyDescent="0.25">
      <c r="A166" s="8">
        <v>42749.763657407406</v>
      </c>
      <c r="B166" s="21" t="s">
        <v>245</v>
      </c>
      <c r="C166" s="21" t="s">
        <v>619</v>
      </c>
      <c r="D166" s="160">
        <v>2360000</v>
      </c>
      <c r="E166" s="21" t="s">
        <v>526</v>
      </c>
      <c r="F166" s="21" t="s">
        <v>527</v>
      </c>
      <c r="G166" s="8" t="str">
        <f t="shared" si="2"/>
        <v>BRANDNER MELINDA</v>
      </c>
    </row>
    <row r="167" spans="1:7" x14ac:dyDescent="0.25">
      <c r="A167" s="8">
        <v>42749.767025462963</v>
      </c>
      <c r="B167" s="21" t="s">
        <v>357</v>
      </c>
      <c r="C167" s="21" t="s">
        <v>620</v>
      </c>
      <c r="D167" s="160">
        <v>2220000</v>
      </c>
      <c r="E167" s="21" t="s">
        <v>318</v>
      </c>
      <c r="F167" s="21" t="s">
        <v>319</v>
      </c>
      <c r="G167" s="8" t="str">
        <f t="shared" si="2"/>
        <v>HILLS DUSTIN</v>
      </c>
    </row>
    <row r="168" spans="1:7" x14ac:dyDescent="0.25">
      <c r="A168" s="8">
        <v>42749.770601851851</v>
      </c>
      <c r="B168" s="21" t="s">
        <v>273</v>
      </c>
      <c r="C168" s="21" t="s">
        <v>621</v>
      </c>
      <c r="D168" s="160">
        <v>2230000</v>
      </c>
      <c r="E168" s="21" t="s">
        <v>250</v>
      </c>
      <c r="F168" s="21" t="s">
        <v>241</v>
      </c>
      <c r="G168" s="8" t="str">
        <f t="shared" si="2"/>
        <v>SMITH MICHAEL</v>
      </c>
    </row>
    <row r="169" spans="1:7" x14ac:dyDescent="0.25">
      <c r="A169" s="8">
        <v>42749.776782407411</v>
      </c>
      <c r="B169" s="21" t="s">
        <v>331</v>
      </c>
      <c r="C169" s="21" t="s">
        <v>622</v>
      </c>
      <c r="D169" s="160">
        <v>2440000</v>
      </c>
      <c r="E169" s="21" t="s">
        <v>361</v>
      </c>
      <c r="F169" s="21" t="s">
        <v>362</v>
      </c>
      <c r="G169" s="8" t="str">
        <f t="shared" si="2"/>
        <v>LOPES KIMBERLY</v>
      </c>
    </row>
    <row r="170" spans="1:7" x14ac:dyDescent="0.25">
      <c r="A170" s="8">
        <v>42749.77857638889</v>
      </c>
      <c r="B170" s="21" t="s">
        <v>209</v>
      </c>
      <c r="C170" s="21" t="s">
        <v>623</v>
      </c>
      <c r="D170" s="160">
        <v>2030000</v>
      </c>
      <c r="E170" s="21" t="s">
        <v>359</v>
      </c>
      <c r="F170" s="21" t="s">
        <v>360</v>
      </c>
      <c r="G170" s="8" t="str">
        <f t="shared" si="2"/>
        <v>KILLION DAVID</v>
      </c>
    </row>
    <row r="171" spans="1:7" x14ac:dyDescent="0.25">
      <c r="A171" s="8">
        <v>42749.783564814818</v>
      </c>
      <c r="B171" s="21" t="s">
        <v>212</v>
      </c>
      <c r="C171" s="21" t="s">
        <v>448</v>
      </c>
      <c r="D171" s="160">
        <v>2480000</v>
      </c>
      <c r="E171" s="21" t="s">
        <v>368</v>
      </c>
      <c r="F171" s="21" t="s">
        <v>319</v>
      </c>
      <c r="G171" s="8" t="str">
        <f t="shared" si="2"/>
        <v>WHITED DUSTIN</v>
      </c>
    </row>
    <row r="172" spans="1:7" x14ac:dyDescent="0.25">
      <c r="A172" s="8">
        <v>42749.78633101852</v>
      </c>
      <c r="B172" s="21" t="s">
        <v>312</v>
      </c>
      <c r="C172" s="21" t="s">
        <v>624</v>
      </c>
      <c r="D172" s="160">
        <v>2270000</v>
      </c>
      <c r="E172" s="21" t="s">
        <v>455</v>
      </c>
      <c r="F172" s="21" t="s">
        <v>456</v>
      </c>
      <c r="G172" s="8" t="str">
        <f t="shared" si="2"/>
        <v>BROWN JACOB</v>
      </c>
    </row>
    <row r="173" spans="1:7" x14ac:dyDescent="0.25">
      <c r="A173" s="8">
        <v>42749.790138888886</v>
      </c>
      <c r="B173" s="21" t="s">
        <v>246</v>
      </c>
      <c r="C173" s="21" t="s">
        <v>625</v>
      </c>
      <c r="D173" s="160">
        <v>2000000</v>
      </c>
      <c r="E173" s="21" t="s">
        <v>204</v>
      </c>
      <c r="F173" s="21" t="s">
        <v>233</v>
      </c>
      <c r="G173" s="8" t="str">
        <f t="shared" si="2"/>
        <v>STAMBAUGH JAMES</v>
      </c>
    </row>
    <row r="174" spans="1:7" x14ac:dyDescent="0.25">
      <c r="A174" s="8">
        <v>42749.796134259261</v>
      </c>
      <c r="B174" s="21" t="s">
        <v>330</v>
      </c>
      <c r="C174" s="21" t="s">
        <v>626</v>
      </c>
      <c r="D174" s="160">
        <v>2540000</v>
      </c>
      <c r="E174" s="21" t="s">
        <v>394</v>
      </c>
      <c r="F174" s="21" t="s">
        <v>395</v>
      </c>
      <c r="G174" s="8" t="str">
        <f t="shared" si="2"/>
        <v>MCREYNOLDS KYLE</v>
      </c>
    </row>
    <row r="175" spans="1:7" x14ac:dyDescent="0.25">
      <c r="A175" s="8">
        <v>42749.798692129632</v>
      </c>
      <c r="B175" s="21" t="s">
        <v>219</v>
      </c>
      <c r="C175" s="21" t="s">
        <v>627</v>
      </c>
      <c r="D175" s="160">
        <v>2360000</v>
      </c>
      <c r="E175" s="21" t="s">
        <v>526</v>
      </c>
      <c r="F175" s="21" t="s">
        <v>527</v>
      </c>
      <c r="G175" s="8" t="str">
        <f t="shared" si="2"/>
        <v>BRANDNER MELINDA</v>
      </c>
    </row>
    <row r="176" spans="1:7" x14ac:dyDescent="0.25">
      <c r="A176" s="8">
        <v>42749.803437499999</v>
      </c>
      <c r="B176" s="21" t="s">
        <v>351</v>
      </c>
      <c r="C176" s="21" t="s">
        <v>628</v>
      </c>
      <c r="D176" s="160">
        <v>2220000</v>
      </c>
      <c r="E176" s="21" t="s">
        <v>318</v>
      </c>
      <c r="F176" s="21" t="s">
        <v>319</v>
      </c>
      <c r="G176" s="8" t="str">
        <f t="shared" si="2"/>
        <v>HILLS DUSTIN</v>
      </c>
    </row>
    <row r="177" spans="1:7" x14ac:dyDescent="0.25">
      <c r="A177" s="8">
        <v>42749.809224537035</v>
      </c>
      <c r="B177" s="21" t="s">
        <v>270</v>
      </c>
      <c r="C177" s="21" t="s">
        <v>629</v>
      </c>
      <c r="D177" s="160">
        <v>2230000</v>
      </c>
      <c r="E177" s="21" t="s">
        <v>250</v>
      </c>
      <c r="F177" s="21" t="s">
        <v>241</v>
      </c>
      <c r="G177" s="8" t="str">
        <f t="shared" si="2"/>
        <v>SMITH MICHAEL</v>
      </c>
    </row>
    <row r="178" spans="1:7" x14ac:dyDescent="0.25">
      <c r="A178" s="8">
        <v>42749.819710648146</v>
      </c>
      <c r="B178" s="21" t="s">
        <v>331</v>
      </c>
      <c r="C178" s="21" t="s">
        <v>630</v>
      </c>
      <c r="D178" s="160">
        <v>2540000</v>
      </c>
      <c r="E178" s="21" t="s">
        <v>394</v>
      </c>
      <c r="F178" s="21" t="s">
        <v>395</v>
      </c>
      <c r="G178" s="8" t="str">
        <f t="shared" si="2"/>
        <v>MCREYNOLDS KYLE</v>
      </c>
    </row>
    <row r="179" spans="1:7" x14ac:dyDescent="0.25">
      <c r="A179" s="8">
        <v>42749.820289351854</v>
      </c>
      <c r="B179" s="21" t="s">
        <v>211</v>
      </c>
      <c r="C179" s="21" t="s">
        <v>631</v>
      </c>
      <c r="D179" s="160">
        <v>2480000</v>
      </c>
      <c r="E179" s="21" t="s">
        <v>368</v>
      </c>
      <c r="F179" s="21" t="s">
        <v>319</v>
      </c>
      <c r="G179" s="8" t="str">
        <f t="shared" si="2"/>
        <v>WHITED DUSTIN</v>
      </c>
    </row>
    <row r="180" spans="1:7" x14ac:dyDescent="0.25">
      <c r="A180" s="8">
        <v>42749.827696759261</v>
      </c>
      <c r="B180" s="21" t="s">
        <v>313</v>
      </c>
      <c r="C180" s="21" t="s">
        <v>632</v>
      </c>
      <c r="D180" s="160">
        <v>2270000</v>
      </c>
      <c r="E180" s="21" t="s">
        <v>455</v>
      </c>
      <c r="F180" s="21" t="s">
        <v>456</v>
      </c>
      <c r="G180" s="8" t="str">
        <f t="shared" si="2"/>
        <v>BROWN JACOB</v>
      </c>
    </row>
    <row r="181" spans="1:7" x14ac:dyDescent="0.25">
      <c r="A181" s="8">
        <v>42749.8278125</v>
      </c>
      <c r="B181" s="21" t="s">
        <v>247</v>
      </c>
      <c r="C181" s="21" t="s">
        <v>633</v>
      </c>
      <c r="D181" s="160">
        <v>2000000</v>
      </c>
      <c r="E181" s="21" t="s">
        <v>204</v>
      </c>
      <c r="F181" s="21" t="s">
        <v>233</v>
      </c>
      <c r="G181" s="8" t="str">
        <f t="shared" si="2"/>
        <v>STAMBAUGH JAMES</v>
      </c>
    </row>
    <row r="182" spans="1:7" x14ac:dyDescent="0.25">
      <c r="A182" s="8">
        <v>42749.837581018517</v>
      </c>
      <c r="B182" s="21" t="s">
        <v>330</v>
      </c>
      <c r="C182" s="21" t="s">
        <v>634</v>
      </c>
      <c r="D182" s="160">
        <v>2540000</v>
      </c>
      <c r="E182" s="21" t="s">
        <v>394</v>
      </c>
      <c r="F182" s="21" t="s">
        <v>395</v>
      </c>
      <c r="G182" s="8" t="str">
        <f t="shared" si="2"/>
        <v>MCREYNOLDS KYLE</v>
      </c>
    </row>
    <row r="183" spans="1:7" x14ac:dyDescent="0.25">
      <c r="A183" s="8">
        <v>42749.837627314817</v>
      </c>
      <c r="B183" s="21" t="s">
        <v>357</v>
      </c>
      <c r="C183" s="21" t="s">
        <v>449</v>
      </c>
      <c r="D183" s="160">
        <v>2220000</v>
      </c>
      <c r="E183" s="21" t="s">
        <v>318</v>
      </c>
      <c r="F183" s="21" t="s">
        <v>319</v>
      </c>
      <c r="G183" s="8" t="str">
        <f t="shared" si="2"/>
        <v>HILLS DUSTIN</v>
      </c>
    </row>
    <row r="184" spans="1:7" x14ac:dyDescent="0.25">
      <c r="A184" s="8">
        <v>42749.838935185187</v>
      </c>
      <c r="B184" s="21" t="s">
        <v>330</v>
      </c>
      <c r="C184" s="21" t="s">
        <v>634</v>
      </c>
      <c r="D184" s="160">
        <v>2540000</v>
      </c>
      <c r="E184" s="21" t="s">
        <v>394</v>
      </c>
      <c r="F184" s="21" t="s">
        <v>395</v>
      </c>
      <c r="G184" s="8" t="str">
        <f t="shared" si="2"/>
        <v>MCREYNOLDS KYLE</v>
      </c>
    </row>
    <row r="185" spans="1:7" x14ac:dyDescent="0.25">
      <c r="A185" s="8">
        <v>42749.843854166669</v>
      </c>
      <c r="B185" s="21" t="s">
        <v>273</v>
      </c>
      <c r="C185" s="21" t="s">
        <v>629</v>
      </c>
      <c r="D185" s="160">
        <v>2230000</v>
      </c>
      <c r="E185" s="21" t="s">
        <v>250</v>
      </c>
      <c r="F185" s="21" t="s">
        <v>241</v>
      </c>
      <c r="G185" s="8" t="str">
        <f t="shared" si="2"/>
        <v>SMITH MICHAEL</v>
      </c>
    </row>
    <row r="186" spans="1:7" x14ac:dyDescent="0.25">
      <c r="A186" s="8">
        <v>42749.84480324074</v>
      </c>
      <c r="B186" s="21" t="s">
        <v>273</v>
      </c>
      <c r="C186" s="21" t="s">
        <v>635</v>
      </c>
      <c r="D186" s="160">
        <v>2230000</v>
      </c>
      <c r="E186" s="21" t="s">
        <v>250</v>
      </c>
      <c r="F186" s="21" t="s">
        <v>241</v>
      </c>
      <c r="G186" s="8" t="str">
        <f t="shared" si="2"/>
        <v>SMITH MICHAEL</v>
      </c>
    </row>
    <row r="187" spans="1:7" x14ac:dyDescent="0.25">
      <c r="A187" s="8">
        <v>42749.860810185186</v>
      </c>
      <c r="B187" s="21" t="s">
        <v>331</v>
      </c>
      <c r="C187" s="21" t="s">
        <v>636</v>
      </c>
      <c r="D187" s="160">
        <v>2540000</v>
      </c>
      <c r="E187" s="21" t="s">
        <v>394</v>
      </c>
      <c r="F187" s="21" t="s">
        <v>395</v>
      </c>
      <c r="G187" s="8" t="str">
        <f t="shared" si="2"/>
        <v>MCREYNOLDS KYLE</v>
      </c>
    </row>
    <row r="188" spans="1:7" x14ac:dyDescent="0.25">
      <c r="A188" s="8">
        <v>42749.860856481479</v>
      </c>
      <c r="B188" s="21" t="s">
        <v>246</v>
      </c>
      <c r="C188" s="21" t="s">
        <v>637</v>
      </c>
      <c r="D188" s="160">
        <v>2000000</v>
      </c>
      <c r="E188" s="21" t="s">
        <v>204</v>
      </c>
      <c r="F188" s="21" t="s">
        <v>233</v>
      </c>
      <c r="G188" s="8" t="str">
        <f t="shared" si="2"/>
        <v>STAMBAUGH JAMES</v>
      </c>
    </row>
    <row r="189" spans="1:7" x14ac:dyDescent="0.25">
      <c r="A189" s="8">
        <v>42749.870925925927</v>
      </c>
      <c r="B189" s="21" t="s">
        <v>312</v>
      </c>
      <c r="C189" s="21" t="s">
        <v>450</v>
      </c>
      <c r="D189" s="160">
        <v>2270000</v>
      </c>
      <c r="E189" s="21" t="s">
        <v>455</v>
      </c>
      <c r="F189" s="21" t="s">
        <v>456</v>
      </c>
      <c r="G189" s="8" t="str">
        <f t="shared" si="2"/>
        <v>BROWN JACOB</v>
      </c>
    </row>
    <row r="190" spans="1:7" x14ac:dyDescent="0.25">
      <c r="A190" s="8">
        <v>42749.88082175926</v>
      </c>
      <c r="B190" s="21" t="s">
        <v>330</v>
      </c>
      <c r="C190" s="21" t="s">
        <v>638</v>
      </c>
      <c r="D190" s="160">
        <v>2540000</v>
      </c>
      <c r="E190" s="21" t="s">
        <v>394</v>
      </c>
      <c r="F190" s="21" t="s">
        <v>395</v>
      </c>
      <c r="G190" s="8" t="str">
        <f t="shared" si="2"/>
        <v>MCREYNOLDS KYLE</v>
      </c>
    </row>
    <row r="191" spans="1:7" x14ac:dyDescent="0.25">
      <c r="A191" s="8">
        <v>42749.882245370369</v>
      </c>
      <c r="B191" s="21" t="s">
        <v>270</v>
      </c>
      <c r="C191" s="21" t="s">
        <v>639</v>
      </c>
      <c r="D191" s="160">
        <v>2230000</v>
      </c>
      <c r="E191" s="21" t="s">
        <v>250</v>
      </c>
      <c r="F191" s="21" t="s">
        <v>241</v>
      </c>
      <c r="G191" s="8" t="str">
        <f t="shared" si="2"/>
        <v>SMITH MICHAEL</v>
      </c>
    </row>
    <row r="192" spans="1:7" x14ac:dyDescent="0.25">
      <c r="A192" s="8">
        <v>42749.888865740744</v>
      </c>
      <c r="B192" s="21" t="s">
        <v>351</v>
      </c>
      <c r="C192" s="21" t="s">
        <v>451</v>
      </c>
      <c r="D192" s="160">
        <v>2220000</v>
      </c>
      <c r="E192" s="21" t="s">
        <v>318</v>
      </c>
      <c r="F192" s="21" t="s">
        <v>319</v>
      </c>
      <c r="G192" s="8" t="str">
        <f t="shared" si="2"/>
        <v>HILLS DUSTIN</v>
      </c>
    </row>
    <row r="193" spans="1:7" x14ac:dyDescent="0.25">
      <c r="A193" s="8">
        <v>42749.902974537035</v>
      </c>
      <c r="B193" s="21" t="s">
        <v>331</v>
      </c>
      <c r="C193" s="21" t="s">
        <v>640</v>
      </c>
      <c r="D193" s="160">
        <v>2540000</v>
      </c>
      <c r="E193" s="21" t="s">
        <v>394</v>
      </c>
      <c r="F193" s="21" t="s">
        <v>395</v>
      </c>
      <c r="G193" s="8" t="str">
        <f t="shared" si="2"/>
        <v>MCREYNOLDS KYLE</v>
      </c>
    </row>
    <row r="194" spans="1:7" x14ac:dyDescent="0.25">
      <c r="A194" s="8">
        <v>42749.904131944444</v>
      </c>
      <c r="B194" s="21" t="s">
        <v>247</v>
      </c>
      <c r="C194" s="21" t="s">
        <v>453</v>
      </c>
      <c r="D194" s="160">
        <v>2000000</v>
      </c>
      <c r="E194" s="21" t="s">
        <v>204</v>
      </c>
      <c r="F194" s="21" t="s">
        <v>233</v>
      </c>
      <c r="G194" s="8" t="str">
        <f t="shared" si="2"/>
        <v>STAMBAUGH JAMES</v>
      </c>
    </row>
    <row r="195" spans="1:7" x14ac:dyDescent="0.25">
      <c r="A195" s="8">
        <v>42749.908032407409</v>
      </c>
      <c r="B195" s="21" t="s">
        <v>313</v>
      </c>
      <c r="C195" s="21" t="s">
        <v>452</v>
      </c>
      <c r="D195" s="160">
        <v>2270000</v>
      </c>
      <c r="E195" s="21" t="s">
        <v>455</v>
      </c>
      <c r="F195" s="21" t="s">
        <v>456</v>
      </c>
      <c r="G195" s="8" t="str">
        <f t="shared" ref="G195:G258" si="3">E195&amp;" "&amp;F195</f>
        <v>BROWN JACOB</v>
      </c>
    </row>
    <row r="196" spans="1:7" x14ac:dyDescent="0.25">
      <c r="A196" s="8">
        <v>42749.91914351852</v>
      </c>
      <c r="B196" s="21" t="s">
        <v>330</v>
      </c>
      <c r="C196" s="21" t="s">
        <v>641</v>
      </c>
      <c r="D196" s="160">
        <v>2540000</v>
      </c>
      <c r="E196" s="21" t="s">
        <v>394</v>
      </c>
      <c r="F196" s="21" t="s">
        <v>395</v>
      </c>
      <c r="G196" s="8" t="str">
        <f t="shared" si="3"/>
        <v>MCREYNOLDS KYLE</v>
      </c>
    </row>
    <row r="197" spans="1:7" x14ac:dyDescent="0.25">
      <c r="A197" s="8">
        <v>42749.944895833331</v>
      </c>
      <c r="B197" s="21" t="s">
        <v>331</v>
      </c>
      <c r="C197" s="21" t="s">
        <v>642</v>
      </c>
      <c r="D197" s="160">
        <v>2540000</v>
      </c>
      <c r="E197" s="21" t="s">
        <v>394</v>
      </c>
      <c r="F197" s="21" t="s">
        <v>395</v>
      </c>
      <c r="G197" s="8" t="str">
        <f t="shared" si="3"/>
        <v>MCREYNOLDS KYLE</v>
      </c>
    </row>
    <row r="198" spans="1:7" x14ac:dyDescent="0.25">
      <c r="A198" s="8">
        <v>42749.968206018515</v>
      </c>
      <c r="B198" s="21" t="s">
        <v>270</v>
      </c>
      <c r="C198" s="21" t="s">
        <v>643</v>
      </c>
      <c r="D198" s="160">
        <v>2610000</v>
      </c>
      <c r="E198" s="21" t="s">
        <v>644</v>
      </c>
      <c r="F198" s="21" t="s">
        <v>645</v>
      </c>
      <c r="G198" s="8" t="str">
        <f t="shared" si="3"/>
        <v>MAGEE KENYA</v>
      </c>
    </row>
    <row r="199" spans="1:7" x14ac:dyDescent="0.25">
      <c r="A199" s="8">
        <v>42749.974710648145</v>
      </c>
      <c r="B199" s="21" t="s">
        <v>270</v>
      </c>
      <c r="C199" s="21" t="s">
        <v>643</v>
      </c>
      <c r="D199" s="160">
        <v>2610000</v>
      </c>
      <c r="E199" s="21" t="s">
        <v>644</v>
      </c>
      <c r="F199" s="21" t="s">
        <v>645</v>
      </c>
      <c r="G199" s="8" t="str">
        <f t="shared" si="3"/>
        <v>MAGEE KENYA</v>
      </c>
    </row>
    <row r="200" spans="1:7" x14ac:dyDescent="0.25">
      <c r="A200" s="8">
        <v>42749.975034722222</v>
      </c>
      <c r="B200" s="21" t="s">
        <v>207</v>
      </c>
      <c r="C200" s="21" t="s">
        <v>646</v>
      </c>
      <c r="D200" s="160">
        <v>2630000</v>
      </c>
      <c r="E200" s="21" t="s">
        <v>647</v>
      </c>
      <c r="F200" s="21" t="s">
        <v>648</v>
      </c>
      <c r="G200" s="8" t="str">
        <f t="shared" si="3"/>
        <v>SAFIEF AEIMEN</v>
      </c>
    </row>
    <row r="201" spans="1:7" x14ac:dyDescent="0.25">
      <c r="A201" s="8">
        <v>42750.013402777775</v>
      </c>
      <c r="B201" s="21" t="s">
        <v>279</v>
      </c>
      <c r="C201" s="21" t="s">
        <v>649</v>
      </c>
      <c r="D201" s="160">
        <v>2630000</v>
      </c>
      <c r="E201" s="21" t="s">
        <v>647</v>
      </c>
      <c r="F201" s="21" t="s">
        <v>648</v>
      </c>
      <c r="G201" s="8" t="str">
        <f t="shared" si="3"/>
        <v>SAFIEF AEIMEN</v>
      </c>
    </row>
    <row r="202" spans="1:7" x14ac:dyDescent="0.25">
      <c r="A202" s="27">
        <v>42750.019918981481</v>
      </c>
      <c r="B202" s="21" t="s">
        <v>270</v>
      </c>
      <c r="C202" s="21" t="s">
        <v>643</v>
      </c>
      <c r="D202" s="160">
        <v>2610000</v>
      </c>
      <c r="E202" s="21" t="s">
        <v>644</v>
      </c>
      <c r="F202" s="21" t="s">
        <v>645</v>
      </c>
      <c r="G202" s="8" t="str">
        <f t="shared" si="3"/>
        <v>MAGEE KENYA</v>
      </c>
    </row>
    <row r="203" spans="1:7" x14ac:dyDescent="0.25">
      <c r="A203" s="8">
        <v>42750.022141203706</v>
      </c>
      <c r="B203" s="21" t="s">
        <v>270</v>
      </c>
      <c r="C203" s="21" t="s">
        <v>643</v>
      </c>
      <c r="D203" s="160">
        <v>2610000</v>
      </c>
      <c r="E203" s="21" t="s">
        <v>644</v>
      </c>
      <c r="F203" s="21" t="s">
        <v>645</v>
      </c>
      <c r="G203" s="8" t="str">
        <f t="shared" si="3"/>
        <v>MAGEE KENYA</v>
      </c>
    </row>
    <row r="204" spans="1:7" x14ac:dyDescent="0.25">
      <c r="A204" s="8">
        <v>42750.030763888892</v>
      </c>
      <c r="B204" s="21" t="s">
        <v>207</v>
      </c>
      <c r="C204" s="21" t="s">
        <v>646</v>
      </c>
      <c r="D204" s="160">
        <v>2630000</v>
      </c>
      <c r="E204" s="21" t="s">
        <v>647</v>
      </c>
      <c r="F204" s="21" t="s">
        <v>648</v>
      </c>
      <c r="G204" s="8" t="str">
        <f t="shared" si="3"/>
        <v>SAFIEF AEIMEN</v>
      </c>
    </row>
    <row r="205" spans="1:7" x14ac:dyDescent="0.25">
      <c r="A205" s="8">
        <v>42750.047361111108</v>
      </c>
      <c r="B205" s="21" t="s">
        <v>273</v>
      </c>
      <c r="C205" s="21" t="s">
        <v>650</v>
      </c>
      <c r="D205" s="160">
        <v>2610000</v>
      </c>
      <c r="E205" s="21" t="s">
        <v>644</v>
      </c>
      <c r="F205" s="21" t="s">
        <v>645</v>
      </c>
      <c r="G205" s="8" t="str">
        <f t="shared" si="3"/>
        <v>MAGEE KENYA</v>
      </c>
    </row>
    <row r="206" spans="1:7" x14ac:dyDescent="0.25">
      <c r="A206" s="8">
        <v>42750.059918981482</v>
      </c>
      <c r="B206" s="21" t="s">
        <v>279</v>
      </c>
      <c r="C206" s="21" t="s">
        <v>649</v>
      </c>
      <c r="D206" s="160">
        <v>2630000</v>
      </c>
      <c r="E206" s="21" t="s">
        <v>647</v>
      </c>
      <c r="F206" s="21" t="s">
        <v>648</v>
      </c>
      <c r="G206" s="8" t="str">
        <f t="shared" si="3"/>
        <v>SAFIEF AEIMEN</v>
      </c>
    </row>
    <row r="207" spans="1:7" x14ac:dyDescent="0.25">
      <c r="A207" s="8">
        <v>42750.063854166663</v>
      </c>
      <c r="B207" s="21" t="s">
        <v>270</v>
      </c>
      <c r="C207" s="21" t="s">
        <v>643</v>
      </c>
      <c r="D207" s="160">
        <v>2610000</v>
      </c>
      <c r="E207" s="21" t="s">
        <v>644</v>
      </c>
      <c r="F207" s="21" t="s">
        <v>645</v>
      </c>
      <c r="G207" s="8" t="str">
        <f t="shared" si="3"/>
        <v>MAGEE KENYA</v>
      </c>
    </row>
    <row r="208" spans="1:7" x14ac:dyDescent="0.25">
      <c r="A208" s="8">
        <v>42750.077673611115</v>
      </c>
      <c r="B208" s="21" t="s">
        <v>207</v>
      </c>
      <c r="C208" s="21" t="s">
        <v>646</v>
      </c>
      <c r="D208" s="160">
        <v>2630000</v>
      </c>
      <c r="E208" s="21" t="s">
        <v>647</v>
      </c>
      <c r="F208" s="21" t="s">
        <v>648</v>
      </c>
      <c r="G208" s="8" t="str">
        <f t="shared" si="3"/>
        <v>SAFIEF AEIMEN</v>
      </c>
    </row>
    <row r="209" spans="1:7" x14ac:dyDescent="0.25">
      <c r="A209" s="8">
        <v>42750.083819444444</v>
      </c>
      <c r="B209" s="21" t="s">
        <v>273</v>
      </c>
      <c r="C209" s="21" t="s">
        <v>650</v>
      </c>
      <c r="D209" s="160">
        <v>2610000</v>
      </c>
      <c r="E209" s="21" t="s">
        <v>644</v>
      </c>
      <c r="F209" s="21" t="s">
        <v>645</v>
      </c>
      <c r="G209" s="8" t="str">
        <f t="shared" si="3"/>
        <v>MAGEE KENYA</v>
      </c>
    </row>
    <row r="210" spans="1:7" x14ac:dyDescent="0.25">
      <c r="A210" s="8">
        <v>42750.091724537036</v>
      </c>
      <c r="B210" s="21" t="s">
        <v>279</v>
      </c>
      <c r="C210" s="21" t="s">
        <v>649</v>
      </c>
      <c r="D210" s="160">
        <v>2630000</v>
      </c>
      <c r="E210" s="21" t="s">
        <v>647</v>
      </c>
      <c r="F210" s="21" t="s">
        <v>648</v>
      </c>
      <c r="G210" s="8" t="str">
        <f t="shared" si="3"/>
        <v>SAFIEF AEIMEN</v>
      </c>
    </row>
    <row r="211" spans="1:7" x14ac:dyDescent="0.25">
      <c r="A211" s="8">
        <v>42750.094201388885</v>
      </c>
      <c r="B211" s="21" t="s">
        <v>270</v>
      </c>
      <c r="C211" s="21" t="s">
        <v>643</v>
      </c>
      <c r="D211" s="160">
        <v>2610000</v>
      </c>
      <c r="E211" s="21" t="s">
        <v>644</v>
      </c>
      <c r="F211" s="21" t="s">
        <v>645</v>
      </c>
      <c r="G211" s="8" t="str">
        <f t="shared" si="3"/>
        <v>MAGEE KENYA</v>
      </c>
    </row>
    <row r="212" spans="1:7" x14ac:dyDescent="0.25">
      <c r="A212" s="8">
        <v>42750.10533564815</v>
      </c>
      <c r="B212" s="21" t="s">
        <v>273</v>
      </c>
      <c r="C212" s="21" t="s">
        <v>650</v>
      </c>
      <c r="D212" s="160">
        <v>2610000</v>
      </c>
      <c r="E212" s="21" t="s">
        <v>644</v>
      </c>
      <c r="F212" s="21" t="s">
        <v>645</v>
      </c>
      <c r="G212" s="8" t="str">
        <f t="shared" si="3"/>
        <v>MAGEE KENYA</v>
      </c>
    </row>
    <row r="213" spans="1:7" x14ac:dyDescent="0.25">
      <c r="A213" s="8">
        <v>42750.106458333335</v>
      </c>
      <c r="B213" s="21" t="s">
        <v>207</v>
      </c>
      <c r="C213" s="21" t="s">
        <v>649</v>
      </c>
      <c r="D213" s="160">
        <v>2630000</v>
      </c>
      <c r="E213" s="21" t="s">
        <v>647</v>
      </c>
      <c r="F213" s="21" t="s">
        <v>648</v>
      </c>
      <c r="G213" s="8" t="str">
        <f t="shared" si="3"/>
        <v>SAFIEF AEIMEN</v>
      </c>
    </row>
    <row r="214" spans="1:7" x14ac:dyDescent="0.25">
      <c r="A214" s="8">
        <v>42750.107476851852</v>
      </c>
      <c r="B214" s="21" t="s">
        <v>207</v>
      </c>
      <c r="C214" s="21" t="s">
        <v>646</v>
      </c>
      <c r="D214" s="160">
        <v>2630000</v>
      </c>
      <c r="E214" s="21" t="s">
        <v>647</v>
      </c>
      <c r="F214" s="21" t="s">
        <v>648</v>
      </c>
      <c r="G214" s="8" t="str">
        <f t="shared" si="3"/>
        <v>SAFIEF AEIMEN</v>
      </c>
    </row>
    <row r="215" spans="1:7" x14ac:dyDescent="0.25">
      <c r="A215" s="8">
        <v>42747.832754629628</v>
      </c>
      <c r="B215" s="21" t="s">
        <v>246</v>
      </c>
      <c r="C215" s="21" t="s">
        <v>369</v>
      </c>
      <c r="D215" s="160">
        <v>2560000</v>
      </c>
      <c r="E215" s="21" t="s">
        <v>363</v>
      </c>
      <c r="F215" s="21" t="s">
        <v>364</v>
      </c>
      <c r="G215" s="8" t="str">
        <f t="shared" si="3"/>
        <v>MACDONALD THOMAS</v>
      </c>
    </row>
    <row r="216" spans="1:7" x14ac:dyDescent="0.25">
      <c r="A216" s="8">
        <v>42747.834976851853</v>
      </c>
      <c r="B216" s="21" t="s">
        <v>263</v>
      </c>
      <c r="C216" s="21" t="s">
        <v>365</v>
      </c>
      <c r="D216" s="160">
        <v>2620000</v>
      </c>
      <c r="E216" s="21" t="s">
        <v>366</v>
      </c>
      <c r="F216" s="21" t="s">
        <v>367</v>
      </c>
      <c r="G216" s="8" t="str">
        <f t="shared" si="3"/>
        <v>PERKINS DARREN</v>
      </c>
    </row>
    <row r="217" spans="1:7" x14ac:dyDescent="0.25">
      <c r="A217" s="8">
        <v>42747.83929398148</v>
      </c>
      <c r="B217" s="21" t="s">
        <v>330</v>
      </c>
      <c r="C217" s="21" t="s">
        <v>370</v>
      </c>
      <c r="D217" s="160">
        <v>2670000</v>
      </c>
      <c r="E217" s="21" t="s">
        <v>303</v>
      </c>
      <c r="F217" s="21" t="s">
        <v>304</v>
      </c>
      <c r="G217" s="8" t="str">
        <f t="shared" si="3"/>
        <v>COMELLA JUSTIN</v>
      </c>
    </row>
    <row r="218" spans="1:7" x14ac:dyDescent="0.25">
      <c r="A218" s="8">
        <v>42747.840138888889</v>
      </c>
      <c r="B218" s="21" t="s">
        <v>209</v>
      </c>
      <c r="C218" s="21" t="s">
        <v>352</v>
      </c>
      <c r="D218" s="160">
        <v>2220000</v>
      </c>
      <c r="E218" s="21" t="s">
        <v>318</v>
      </c>
      <c r="F218" s="21" t="s">
        <v>319</v>
      </c>
      <c r="G218" s="8" t="str">
        <f t="shared" si="3"/>
        <v>HILLS DUSTIN</v>
      </c>
    </row>
    <row r="219" spans="1:7" x14ac:dyDescent="0.25">
      <c r="A219" s="8">
        <v>42747.840775462966</v>
      </c>
      <c r="B219" s="21" t="s">
        <v>273</v>
      </c>
      <c r="C219" s="21" t="s">
        <v>371</v>
      </c>
      <c r="D219" s="160">
        <v>1810000</v>
      </c>
      <c r="E219" s="21" t="s">
        <v>251</v>
      </c>
      <c r="F219" s="21" t="s">
        <v>233</v>
      </c>
      <c r="G219" s="8" t="str">
        <f t="shared" si="3"/>
        <v>NEWELL JAMES</v>
      </c>
    </row>
    <row r="220" spans="1:7" x14ac:dyDescent="0.25">
      <c r="A220" s="8">
        <v>42747.868287037039</v>
      </c>
      <c r="B220" s="21" t="s">
        <v>351</v>
      </c>
      <c r="C220" s="21" t="s">
        <v>372</v>
      </c>
      <c r="D220" s="160">
        <v>2480000</v>
      </c>
      <c r="E220" s="21" t="s">
        <v>368</v>
      </c>
      <c r="F220" s="21" t="s">
        <v>319</v>
      </c>
      <c r="G220" s="8" t="str">
        <f t="shared" si="3"/>
        <v>WHITED DUSTIN</v>
      </c>
    </row>
    <row r="221" spans="1:7" x14ac:dyDescent="0.25">
      <c r="A221" s="8">
        <v>42747.870104166665</v>
      </c>
      <c r="B221" s="21" t="s">
        <v>331</v>
      </c>
      <c r="C221" s="21" t="s">
        <v>373</v>
      </c>
      <c r="D221" s="160">
        <v>2670000</v>
      </c>
      <c r="E221" s="21" t="s">
        <v>303</v>
      </c>
      <c r="F221" s="21" t="s">
        <v>304</v>
      </c>
      <c r="G221" s="8" t="str">
        <f t="shared" si="3"/>
        <v>COMELLA JUSTIN</v>
      </c>
    </row>
    <row r="222" spans="1:7" x14ac:dyDescent="0.25">
      <c r="A222" s="8">
        <v>42747.873472222222</v>
      </c>
      <c r="B222" s="21" t="s">
        <v>247</v>
      </c>
      <c r="C222" s="21" t="s">
        <v>374</v>
      </c>
      <c r="D222" s="160">
        <v>1800000</v>
      </c>
      <c r="E222" s="21" t="s">
        <v>225</v>
      </c>
      <c r="F222" s="21" t="s">
        <v>236</v>
      </c>
      <c r="G222" s="8" t="str">
        <f t="shared" si="3"/>
        <v>CHANDLER KELVIN</v>
      </c>
    </row>
    <row r="223" spans="1:7" x14ac:dyDescent="0.25">
      <c r="A223" s="8">
        <v>42747.882870370369</v>
      </c>
      <c r="B223" s="21" t="s">
        <v>349</v>
      </c>
      <c r="C223" s="21" t="s">
        <v>375</v>
      </c>
      <c r="D223" s="160">
        <v>2220000</v>
      </c>
      <c r="E223" s="21" t="s">
        <v>318</v>
      </c>
      <c r="F223" s="21" t="s">
        <v>319</v>
      </c>
      <c r="G223" s="8" t="str">
        <f t="shared" si="3"/>
        <v>HILLS DUSTIN</v>
      </c>
    </row>
    <row r="224" spans="1:7" x14ac:dyDescent="0.25">
      <c r="A224" s="8">
        <v>42747.883969907409</v>
      </c>
      <c r="B224" t="s">
        <v>284</v>
      </c>
      <c r="C224" t="s">
        <v>376</v>
      </c>
      <c r="D224" s="160">
        <v>2560000</v>
      </c>
      <c r="E224" t="s">
        <v>363</v>
      </c>
      <c r="F224" s="21" t="s">
        <v>364</v>
      </c>
      <c r="G224" s="8" t="str">
        <f t="shared" si="3"/>
        <v>MACDONALD THOMAS</v>
      </c>
    </row>
    <row r="225" spans="1:7" x14ac:dyDescent="0.25">
      <c r="A225" s="8">
        <v>42747.885555555556</v>
      </c>
      <c r="B225" t="s">
        <v>270</v>
      </c>
      <c r="C225" t="s">
        <v>377</v>
      </c>
      <c r="D225" s="160">
        <v>1810000</v>
      </c>
      <c r="E225" t="s">
        <v>251</v>
      </c>
      <c r="F225" s="21" t="s">
        <v>233</v>
      </c>
      <c r="G225" s="8" t="str">
        <f t="shared" si="3"/>
        <v>NEWELL JAMES</v>
      </c>
    </row>
    <row r="226" spans="1:7" x14ac:dyDescent="0.25">
      <c r="A226" s="8">
        <v>42747.88653935185</v>
      </c>
      <c r="B226" t="s">
        <v>330</v>
      </c>
      <c r="C226" t="s">
        <v>378</v>
      </c>
      <c r="D226" s="160">
        <v>2440000</v>
      </c>
      <c r="E226" t="s">
        <v>361</v>
      </c>
      <c r="F226" s="21" t="s">
        <v>362</v>
      </c>
      <c r="G226" s="8" t="str">
        <f t="shared" si="3"/>
        <v>LOPES KIMBERLY</v>
      </c>
    </row>
    <row r="227" spans="1:7" x14ac:dyDescent="0.25">
      <c r="A227" s="8">
        <v>42747.901863425926</v>
      </c>
      <c r="B227" t="s">
        <v>331</v>
      </c>
      <c r="C227" t="s">
        <v>379</v>
      </c>
      <c r="D227" s="160">
        <v>2440000</v>
      </c>
      <c r="E227" t="s">
        <v>361</v>
      </c>
      <c r="F227" s="21" t="s">
        <v>362</v>
      </c>
      <c r="G227" s="8" t="str">
        <f t="shared" si="3"/>
        <v>LOPES KIMBERLY</v>
      </c>
    </row>
    <row r="228" spans="1:7" x14ac:dyDescent="0.25">
      <c r="A228" s="8">
        <v>42747.911180555559</v>
      </c>
      <c r="B228" t="s">
        <v>357</v>
      </c>
      <c r="C228" t="s">
        <v>380</v>
      </c>
      <c r="D228" s="160">
        <v>2480000</v>
      </c>
      <c r="E228" t="s">
        <v>368</v>
      </c>
      <c r="F228" s="21" t="s">
        <v>319</v>
      </c>
      <c r="G228" s="8" t="str">
        <f t="shared" si="3"/>
        <v>WHITED DUSTIN</v>
      </c>
    </row>
    <row r="229" spans="1:7" x14ac:dyDescent="0.25">
      <c r="A229" s="8">
        <v>42747.911979166667</v>
      </c>
      <c r="B229" t="s">
        <v>357</v>
      </c>
      <c r="C229" t="s">
        <v>380</v>
      </c>
      <c r="D229" s="160">
        <v>2480000</v>
      </c>
      <c r="E229" t="s">
        <v>368</v>
      </c>
      <c r="F229" s="21" t="s">
        <v>319</v>
      </c>
      <c r="G229" s="8" t="str">
        <f t="shared" si="3"/>
        <v>WHITED DUSTIN</v>
      </c>
    </row>
    <row r="230" spans="1:7" x14ac:dyDescent="0.25">
      <c r="A230" s="8">
        <v>42747.912118055552</v>
      </c>
      <c r="B230" t="s">
        <v>246</v>
      </c>
      <c r="C230" t="s">
        <v>381</v>
      </c>
      <c r="D230" s="160">
        <v>1800000</v>
      </c>
      <c r="E230" t="s">
        <v>225</v>
      </c>
      <c r="F230" s="21" t="s">
        <v>236</v>
      </c>
      <c r="G230" s="8" t="str">
        <f t="shared" si="3"/>
        <v>CHANDLER KELVIN</v>
      </c>
    </row>
    <row r="231" spans="1:7" x14ac:dyDescent="0.25">
      <c r="A231" s="8">
        <v>42747.918217592596</v>
      </c>
      <c r="B231" t="s">
        <v>330</v>
      </c>
      <c r="C231" t="s">
        <v>382</v>
      </c>
      <c r="D231" s="160">
        <v>2440000</v>
      </c>
      <c r="E231" t="s">
        <v>361</v>
      </c>
      <c r="F231" s="21" t="s">
        <v>362</v>
      </c>
      <c r="G231" s="8" t="str">
        <f t="shared" si="3"/>
        <v>LOPES KIMBERLY</v>
      </c>
    </row>
    <row r="232" spans="1:7" x14ac:dyDescent="0.25">
      <c r="A232" s="8">
        <v>42747.923391203702</v>
      </c>
      <c r="B232" t="s">
        <v>209</v>
      </c>
      <c r="C232" t="s">
        <v>353</v>
      </c>
      <c r="D232" s="160">
        <v>2220000</v>
      </c>
      <c r="E232" t="s">
        <v>318</v>
      </c>
      <c r="F232" s="21" t="s">
        <v>319</v>
      </c>
      <c r="G232" s="8" t="str">
        <f t="shared" si="3"/>
        <v>HILLS DUSTIN</v>
      </c>
    </row>
    <row r="233" spans="1:7" x14ac:dyDescent="0.25">
      <c r="A233" s="8">
        <v>42747.931712962964</v>
      </c>
      <c r="B233" t="s">
        <v>273</v>
      </c>
      <c r="C233" t="s">
        <v>383</v>
      </c>
      <c r="D233" s="160">
        <v>1810000</v>
      </c>
      <c r="E233" t="s">
        <v>251</v>
      </c>
      <c r="F233" s="21" t="s">
        <v>233</v>
      </c>
      <c r="G233" s="8" t="str">
        <f t="shared" si="3"/>
        <v>NEWELL JAMES</v>
      </c>
    </row>
    <row r="234" spans="1:7" x14ac:dyDescent="0.25">
      <c r="A234" s="8">
        <v>42747.943078703705</v>
      </c>
      <c r="B234" t="s">
        <v>331</v>
      </c>
      <c r="C234" t="s">
        <v>384</v>
      </c>
      <c r="D234" s="160">
        <v>2440000</v>
      </c>
      <c r="E234" t="s">
        <v>361</v>
      </c>
      <c r="F234" s="21" t="s">
        <v>362</v>
      </c>
      <c r="G234" s="8" t="str">
        <f t="shared" si="3"/>
        <v>LOPES KIMBERLY</v>
      </c>
    </row>
    <row r="235" spans="1:7" x14ac:dyDescent="0.25">
      <c r="A235" s="8">
        <v>42747.949814814812</v>
      </c>
      <c r="B235" t="s">
        <v>351</v>
      </c>
      <c r="C235" t="s">
        <v>385</v>
      </c>
      <c r="D235" s="160">
        <v>2480000</v>
      </c>
      <c r="E235" t="s">
        <v>368</v>
      </c>
      <c r="F235" s="21" t="s">
        <v>319</v>
      </c>
      <c r="G235" s="8" t="str">
        <f t="shared" si="3"/>
        <v>WHITED DUSTIN</v>
      </c>
    </row>
    <row r="236" spans="1:7" x14ac:dyDescent="0.25">
      <c r="A236" s="8">
        <v>42747.956712962965</v>
      </c>
      <c r="B236" t="s">
        <v>247</v>
      </c>
      <c r="C236" t="s">
        <v>386</v>
      </c>
      <c r="D236" s="160">
        <v>1800000</v>
      </c>
      <c r="E236" t="s">
        <v>225</v>
      </c>
      <c r="F236" s="21" t="s">
        <v>236</v>
      </c>
      <c r="G236" s="8" t="str">
        <f t="shared" si="3"/>
        <v>CHANDLER KELVIN</v>
      </c>
    </row>
    <row r="237" spans="1:7" x14ac:dyDescent="0.25">
      <c r="A237" s="8">
        <v>42747.965300925927</v>
      </c>
      <c r="B237" t="s">
        <v>349</v>
      </c>
      <c r="C237" t="s">
        <v>354</v>
      </c>
      <c r="D237" s="160">
        <v>2220000</v>
      </c>
      <c r="E237" t="s">
        <v>318</v>
      </c>
      <c r="F237" s="21" t="s">
        <v>319</v>
      </c>
      <c r="G237" s="8" t="str">
        <f t="shared" si="3"/>
        <v>HILLS DUSTIN</v>
      </c>
    </row>
    <row r="238" spans="1:7" x14ac:dyDescent="0.25">
      <c r="A238" s="8">
        <v>42747.971747685187</v>
      </c>
      <c r="B238" t="s">
        <v>270</v>
      </c>
      <c r="C238" t="s">
        <v>387</v>
      </c>
      <c r="D238" s="160">
        <v>1810000</v>
      </c>
      <c r="E238" t="s">
        <v>251</v>
      </c>
      <c r="F238" s="21" t="s">
        <v>233</v>
      </c>
      <c r="G238" s="8" t="str">
        <f t="shared" si="3"/>
        <v>NEWELL JAMES</v>
      </c>
    </row>
    <row r="239" spans="1:7" x14ac:dyDescent="0.25">
      <c r="A239" s="8">
        <v>42747.991354166668</v>
      </c>
      <c r="B239" t="s">
        <v>357</v>
      </c>
      <c r="C239" t="s">
        <v>388</v>
      </c>
      <c r="D239" s="160">
        <v>2480000</v>
      </c>
      <c r="E239" t="s">
        <v>368</v>
      </c>
      <c r="F239" s="21" t="s">
        <v>319</v>
      </c>
      <c r="G239" s="8" t="str">
        <f t="shared" si="3"/>
        <v>WHITED DUSTIN</v>
      </c>
    </row>
    <row r="240" spans="1:7" x14ac:dyDescent="0.25">
      <c r="A240" s="8">
        <v>42747.992928240739</v>
      </c>
      <c r="B240" t="s">
        <v>246</v>
      </c>
      <c r="C240" t="s">
        <v>389</v>
      </c>
      <c r="D240" s="160">
        <v>1800000</v>
      </c>
      <c r="E240" t="s">
        <v>225</v>
      </c>
      <c r="F240" s="21" t="s">
        <v>236</v>
      </c>
      <c r="G240" s="8" t="str">
        <f t="shared" si="3"/>
        <v>CHANDLER KELVIN</v>
      </c>
    </row>
    <row r="241" spans="1:7" x14ac:dyDescent="0.25">
      <c r="A241" s="8">
        <v>42748.005949074075</v>
      </c>
      <c r="B241" t="s">
        <v>245</v>
      </c>
      <c r="C241" t="s">
        <v>390</v>
      </c>
      <c r="D241" s="160">
        <v>2560000</v>
      </c>
      <c r="E241" t="s">
        <v>363</v>
      </c>
      <c r="F241" s="21" t="s">
        <v>364</v>
      </c>
      <c r="G241" s="8" t="str">
        <f t="shared" si="3"/>
        <v>MACDONALD THOMAS</v>
      </c>
    </row>
    <row r="242" spans="1:7" x14ac:dyDescent="0.25">
      <c r="A242" s="8">
        <v>42748.006469907406</v>
      </c>
      <c r="B242" t="s">
        <v>245</v>
      </c>
      <c r="C242" t="s">
        <v>390</v>
      </c>
      <c r="D242" s="160">
        <v>2560000</v>
      </c>
      <c r="E242" t="s">
        <v>363</v>
      </c>
      <c r="F242" s="21" t="s">
        <v>364</v>
      </c>
      <c r="G242" s="8" t="str">
        <f t="shared" si="3"/>
        <v>MACDONALD THOMAS</v>
      </c>
    </row>
    <row r="243" spans="1:7" x14ac:dyDescent="0.25">
      <c r="A243" s="8">
        <v>42748.007384259261</v>
      </c>
      <c r="B243" t="s">
        <v>245</v>
      </c>
      <c r="C243" t="s">
        <v>390</v>
      </c>
      <c r="D243" s="160">
        <v>2560000</v>
      </c>
      <c r="E243" t="s">
        <v>363</v>
      </c>
      <c r="F243" s="21" t="s">
        <v>364</v>
      </c>
      <c r="G243" s="8" t="str">
        <f t="shared" si="3"/>
        <v>MACDONALD THOMAS</v>
      </c>
    </row>
    <row r="244" spans="1:7" x14ac:dyDescent="0.25">
      <c r="A244" s="8">
        <v>42748.013229166667</v>
      </c>
      <c r="B244" t="s">
        <v>209</v>
      </c>
      <c r="C244" t="s">
        <v>391</v>
      </c>
      <c r="D244" s="160">
        <v>2220000</v>
      </c>
      <c r="E244" t="s">
        <v>318</v>
      </c>
      <c r="F244" s="21" t="s">
        <v>319</v>
      </c>
      <c r="G244" s="8" t="str">
        <f t="shared" si="3"/>
        <v>HILLS DUSTIN</v>
      </c>
    </row>
    <row r="245" spans="1:7" x14ac:dyDescent="0.25">
      <c r="A245" s="8">
        <v>42748.015185185184</v>
      </c>
      <c r="B245" t="s">
        <v>273</v>
      </c>
      <c r="C245" t="s">
        <v>392</v>
      </c>
      <c r="D245" s="160">
        <v>1810000</v>
      </c>
      <c r="E245" t="s">
        <v>251</v>
      </c>
      <c r="F245" s="21" t="s">
        <v>233</v>
      </c>
      <c r="G245" s="8" t="str">
        <f t="shared" si="3"/>
        <v>NEWELL JAMES</v>
      </c>
    </row>
    <row r="246" spans="1:7" x14ac:dyDescent="0.25">
      <c r="A246" s="8">
        <v>42748.017465277779</v>
      </c>
      <c r="B246" t="s">
        <v>314</v>
      </c>
      <c r="C246" t="s">
        <v>393</v>
      </c>
      <c r="D246" s="160">
        <v>2540000</v>
      </c>
      <c r="E246" t="s">
        <v>394</v>
      </c>
      <c r="F246" s="21" t="s">
        <v>395</v>
      </c>
      <c r="G246" s="8" t="str">
        <f t="shared" si="3"/>
        <v>MCREYNOLDS KYLE</v>
      </c>
    </row>
    <row r="247" spans="1:7" x14ac:dyDescent="0.25">
      <c r="A247" s="8">
        <v>42748.031099537038</v>
      </c>
      <c r="B247" t="s">
        <v>247</v>
      </c>
      <c r="C247" t="s">
        <v>396</v>
      </c>
      <c r="D247" s="160">
        <v>1800000</v>
      </c>
      <c r="E247" t="s">
        <v>225</v>
      </c>
      <c r="F247" s="21" t="s">
        <v>236</v>
      </c>
      <c r="G247" s="8" t="str">
        <f t="shared" si="3"/>
        <v>CHANDLER KELVIN</v>
      </c>
    </row>
    <row r="248" spans="1:7" x14ac:dyDescent="0.25">
      <c r="A248" s="8">
        <v>42748.032673611109</v>
      </c>
      <c r="B248" t="s">
        <v>351</v>
      </c>
      <c r="C248" t="s">
        <v>397</v>
      </c>
      <c r="D248" s="160">
        <v>2480000</v>
      </c>
      <c r="E248" t="s">
        <v>368</v>
      </c>
      <c r="F248" s="21" t="s">
        <v>319</v>
      </c>
      <c r="G248" s="8" t="str">
        <f t="shared" si="3"/>
        <v>WHITED DUSTIN</v>
      </c>
    </row>
    <row r="249" spans="1:7" x14ac:dyDescent="0.25">
      <c r="A249" s="8">
        <v>42748.048483796294</v>
      </c>
      <c r="B249" t="s">
        <v>270</v>
      </c>
      <c r="C249" t="s">
        <v>398</v>
      </c>
      <c r="D249" s="160">
        <v>1810000</v>
      </c>
      <c r="E249" t="s">
        <v>251</v>
      </c>
      <c r="F249" s="21" t="s">
        <v>233</v>
      </c>
      <c r="G249" s="8" t="str">
        <f t="shared" si="3"/>
        <v>NEWELL JAMES</v>
      </c>
    </row>
    <row r="250" spans="1:7" x14ac:dyDescent="0.25">
      <c r="A250" s="8">
        <v>42748.049641203703</v>
      </c>
      <c r="B250" t="s">
        <v>270</v>
      </c>
      <c r="C250" t="s">
        <v>398</v>
      </c>
      <c r="D250" s="160">
        <v>1810000</v>
      </c>
      <c r="E250" t="s">
        <v>251</v>
      </c>
      <c r="F250" s="21" t="s">
        <v>233</v>
      </c>
      <c r="G250" s="8" t="str">
        <f t="shared" si="3"/>
        <v>NEWELL JAMES</v>
      </c>
    </row>
    <row r="251" spans="1:7" x14ac:dyDescent="0.25">
      <c r="A251" s="8">
        <v>42748.051203703704</v>
      </c>
      <c r="B251" t="s">
        <v>349</v>
      </c>
      <c r="C251" t="s">
        <v>399</v>
      </c>
      <c r="D251" s="160">
        <v>2220000</v>
      </c>
      <c r="E251" t="s">
        <v>318</v>
      </c>
      <c r="F251" s="21" t="s">
        <v>319</v>
      </c>
      <c r="G251" s="8" t="str">
        <f t="shared" si="3"/>
        <v>HILLS DUSTIN</v>
      </c>
    </row>
    <row r="252" spans="1:7" x14ac:dyDescent="0.25">
      <c r="A252" s="8">
        <v>42748.073344907411</v>
      </c>
      <c r="B252" t="s">
        <v>357</v>
      </c>
      <c r="C252" t="s">
        <v>400</v>
      </c>
      <c r="D252" s="160">
        <v>2480000</v>
      </c>
      <c r="E252" t="s">
        <v>368</v>
      </c>
      <c r="F252" s="21" t="s">
        <v>319</v>
      </c>
      <c r="G252" s="8" t="str">
        <f t="shared" si="3"/>
        <v>WHITED DUSTIN</v>
      </c>
    </row>
    <row r="253" spans="1:7" x14ac:dyDescent="0.25">
      <c r="A253" s="8">
        <v>42748.08971064815</v>
      </c>
      <c r="B253" t="s">
        <v>209</v>
      </c>
      <c r="C253" t="s">
        <v>401</v>
      </c>
      <c r="D253" s="160">
        <v>2220000</v>
      </c>
      <c r="E253" t="s">
        <v>318</v>
      </c>
      <c r="F253" s="21" t="s">
        <v>319</v>
      </c>
      <c r="G253" s="8" t="str">
        <f t="shared" si="3"/>
        <v>HILLS DUSTIN</v>
      </c>
    </row>
    <row r="254" spans="1:7" x14ac:dyDescent="0.25">
      <c r="A254" s="8">
        <v>42748.090231481481</v>
      </c>
      <c r="B254" t="s">
        <v>209</v>
      </c>
      <c r="C254" t="s">
        <v>401</v>
      </c>
      <c r="D254" s="160">
        <v>2220000</v>
      </c>
      <c r="E254" t="s">
        <v>318</v>
      </c>
      <c r="F254" s="21" t="s">
        <v>319</v>
      </c>
      <c r="G254" s="8" t="str">
        <f t="shared" si="3"/>
        <v>HILLS DUSTIN</v>
      </c>
    </row>
    <row r="255" spans="1:7" x14ac:dyDescent="0.25">
      <c r="A255" s="8">
        <v>42748.090856481482</v>
      </c>
      <c r="B255" t="s">
        <v>209</v>
      </c>
      <c r="C255" t="s">
        <v>401</v>
      </c>
      <c r="D255" s="160">
        <v>2220000</v>
      </c>
      <c r="E255" t="s">
        <v>318</v>
      </c>
      <c r="F255" s="21" t="s">
        <v>319</v>
      </c>
      <c r="G255" s="8" t="str">
        <f t="shared" si="3"/>
        <v>HILLS DUSTIN</v>
      </c>
    </row>
    <row r="256" spans="1:7" x14ac:dyDescent="0.25">
      <c r="A256" s="8">
        <v>42748.091747685183</v>
      </c>
      <c r="B256" t="s">
        <v>209</v>
      </c>
      <c r="C256" t="s">
        <v>401</v>
      </c>
      <c r="D256" s="160">
        <v>2220000</v>
      </c>
      <c r="E256" t="s">
        <v>318</v>
      </c>
      <c r="F256" s="21" t="s">
        <v>319</v>
      </c>
      <c r="G256" s="8" t="str">
        <f t="shared" si="3"/>
        <v>HILLS DUSTIN</v>
      </c>
    </row>
    <row r="257" spans="1:7" x14ac:dyDescent="0.25">
      <c r="A257" s="8">
        <v>42748.1012962963</v>
      </c>
      <c r="B257" t="s">
        <v>349</v>
      </c>
      <c r="C257" t="s">
        <v>401</v>
      </c>
      <c r="D257" s="160">
        <v>2220000</v>
      </c>
      <c r="E257" t="s">
        <v>318</v>
      </c>
      <c r="F257" s="21" t="s">
        <v>319</v>
      </c>
      <c r="G257" s="8" t="str">
        <f t="shared" si="3"/>
        <v>HILLS DUSTIN</v>
      </c>
    </row>
    <row r="258" spans="1:7" x14ac:dyDescent="0.25">
      <c r="A258" s="8">
        <v>42723.111840277779</v>
      </c>
      <c r="B258" t="s">
        <v>205</v>
      </c>
      <c r="C258" t="s">
        <v>257</v>
      </c>
      <c r="D258" s="160">
        <v>2110000</v>
      </c>
      <c r="E258" t="s">
        <v>255</v>
      </c>
      <c r="F258" s="21" t="s">
        <v>256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205</v>
      </c>
      <c r="C259" t="s">
        <v>257</v>
      </c>
      <c r="D259" s="160">
        <v>2110000</v>
      </c>
      <c r="E259" t="s">
        <v>255</v>
      </c>
      <c r="F259" s="21" t="s">
        <v>256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222</v>
      </c>
      <c r="C260" t="s">
        <v>228</v>
      </c>
      <c r="D260" s="160">
        <v>2000000</v>
      </c>
      <c r="E260" t="s">
        <v>204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227</v>
      </c>
      <c r="D261" s="160">
        <v>2530000</v>
      </c>
      <c r="E261" t="s">
        <v>226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202</v>
      </c>
      <c r="C262" t="s">
        <v>229</v>
      </c>
      <c r="D262" s="160">
        <v>2600000</v>
      </c>
      <c r="E262" t="s">
        <v>223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200</v>
      </c>
      <c r="C263" t="s">
        <v>213</v>
      </c>
      <c r="D263" s="160">
        <v>2000000</v>
      </c>
      <c r="E263" t="s">
        <v>204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209</v>
      </c>
      <c r="C264" t="s">
        <v>214</v>
      </c>
      <c r="D264" s="160">
        <v>2550000</v>
      </c>
      <c r="E264" t="s">
        <v>208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212</v>
      </c>
      <c r="C265" t="s">
        <v>215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207</v>
      </c>
      <c r="C266" t="s">
        <v>216</v>
      </c>
      <c r="D266" s="160">
        <v>2420000</v>
      </c>
      <c r="E266" t="s">
        <v>210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205</v>
      </c>
      <c r="C267" t="s">
        <v>217</v>
      </c>
      <c r="D267" s="160">
        <v>2000000</v>
      </c>
      <c r="E267" t="s">
        <v>204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211</v>
      </c>
      <c r="C268" t="s">
        <v>218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332</v>
      </c>
      <c r="I1" s="175" t="s">
        <v>171</v>
      </c>
      <c r="J1" s="175" t="s">
        <v>172</v>
      </c>
      <c r="K1" s="175" t="s">
        <v>277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27.63</v>
      </c>
      <c r="B2" s="165">
        <v>0.52</v>
      </c>
      <c r="C2" s="165">
        <v>22.66</v>
      </c>
      <c r="D2" s="8">
        <v>42749</v>
      </c>
      <c r="E2" s="165">
        <v>0.81</v>
      </c>
      <c r="F2" s="165" t="s">
        <v>230</v>
      </c>
      <c r="G2" s="165">
        <v>273.74</v>
      </c>
      <c r="H2" s="165"/>
      <c r="I2" s="165">
        <v>0</v>
      </c>
      <c r="J2" s="165">
        <v>0</v>
      </c>
      <c r="K2" s="165"/>
      <c r="L2" s="165">
        <v>1029.98</v>
      </c>
      <c r="M2" s="165" t="s">
        <v>289</v>
      </c>
      <c r="N2" s="165">
        <v>27.63</v>
      </c>
      <c r="O2" s="165">
        <v>1484377200</v>
      </c>
      <c r="P2" s="165">
        <v>4.9800000000000004</v>
      </c>
      <c r="Q2" s="165">
        <v>272</v>
      </c>
      <c r="R2" s="165">
        <v>1.41</v>
      </c>
    </row>
    <row r="3" spans="1:18" x14ac:dyDescent="0.25">
      <c r="A3" s="165">
        <v>26.88</v>
      </c>
      <c r="B3" s="165">
        <v>0.41</v>
      </c>
      <c r="C3" s="165">
        <v>22.46</v>
      </c>
      <c r="D3" s="8">
        <v>42749.041666666664</v>
      </c>
      <c r="E3" s="165">
        <v>0.83</v>
      </c>
      <c r="F3" s="165" t="s">
        <v>230</v>
      </c>
      <c r="G3" s="165">
        <v>274.82</v>
      </c>
      <c r="H3" s="165"/>
      <c r="I3" s="165">
        <v>0</v>
      </c>
      <c r="J3" s="165">
        <v>0</v>
      </c>
      <c r="K3" s="165"/>
      <c r="L3" s="165">
        <v>1029.94</v>
      </c>
      <c r="M3" s="165" t="s">
        <v>289</v>
      </c>
      <c r="N3" s="165">
        <v>26.88</v>
      </c>
      <c r="O3" s="165">
        <v>1484380800</v>
      </c>
      <c r="P3" s="165">
        <v>4.84</v>
      </c>
      <c r="Q3" s="165">
        <v>213</v>
      </c>
      <c r="R3" s="165">
        <v>0.39</v>
      </c>
    </row>
    <row r="4" spans="1:18" x14ac:dyDescent="0.25">
      <c r="A4" s="165">
        <v>25.88</v>
      </c>
      <c r="B4" s="165">
        <v>0.28000000000000003</v>
      </c>
      <c r="C4" s="165">
        <v>21.92</v>
      </c>
      <c r="D4" s="8">
        <v>42749.083333333336</v>
      </c>
      <c r="E4" s="165">
        <v>0.85</v>
      </c>
      <c r="F4" s="165" t="s">
        <v>230</v>
      </c>
      <c r="G4" s="165">
        <v>275.89999999999998</v>
      </c>
      <c r="H4" s="165"/>
      <c r="I4" s="165">
        <v>0</v>
      </c>
      <c r="J4" s="165">
        <v>0</v>
      </c>
      <c r="K4" s="165"/>
      <c r="L4" s="165">
        <v>1029.9100000000001</v>
      </c>
      <c r="M4" s="165" t="s">
        <v>289</v>
      </c>
      <c r="N4" s="165">
        <v>25.88</v>
      </c>
      <c r="O4" s="165">
        <v>1484384400</v>
      </c>
      <c r="P4" s="165">
        <v>4.9000000000000004</v>
      </c>
      <c r="Q4" s="165">
        <v>189</v>
      </c>
      <c r="R4" s="165">
        <v>0.63</v>
      </c>
    </row>
    <row r="5" spans="1:18" x14ac:dyDescent="0.25">
      <c r="A5" s="165">
        <v>25.62</v>
      </c>
      <c r="B5" s="165">
        <v>0.3</v>
      </c>
      <c r="C5" s="165">
        <v>21.8</v>
      </c>
      <c r="D5" s="8">
        <v>42749.125</v>
      </c>
      <c r="E5" s="165">
        <v>0.85</v>
      </c>
      <c r="F5" s="165" t="s">
        <v>230</v>
      </c>
      <c r="G5" s="165">
        <v>278.25</v>
      </c>
      <c r="H5" s="165"/>
      <c r="I5" s="165">
        <v>0</v>
      </c>
      <c r="J5" s="165">
        <v>0</v>
      </c>
      <c r="K5" s="165"/>
      <c r="L5" s="165">
        <v>1030.27</v>
      </c>
      <c r="M5" s="165" t="s">
        <v>289</v>
      </c>
      <c r="N5" s="165">
        <v>25.62</v>
      </c>
      <c r="O5" s="165">
        <v>1484388000</v>
      </c>
      <c r="P5" s="165">
        <v>4.58</v>
      </c>
      <c r="Q5" s="165">
        <v>220</v>
      </c>
      <c r="R5" s="165">
        <v>1.88</v>
      </c>
    </row>
    <row r="6" spans="1:18" x14ac:dyDescent="0.25">
      <c r="A6" s="165">
        <v>24.77</v>
      </c>
      <c r="B6" s="165">
        <v>0.41</v>
      </c>
      <c r="C6" s="165">
        <v>20.84</v>
      </c>
      <c r="D6" s="8">
        <v>42749.166666666664</v>
      </c>
      <c r="E6" s="165">
        <v>0.85</v>
      </c>
      <c r="F6" s="165" t="s">
        <v>230</v>
      </c>
      <c r="G6" s="165">
        <v>281.08999999999997</v>
      </c>
      <c r="H6" s="165"/>
      <c r="I6" s="165">
        <v>0</v>
      </c>
      <c r="J6" s="165">
        <v>0</v>
      </c>
      <c r="K6" s="165"/>
      <c r="L6" s="165">
        <v>1030.76</v>
      </c>
      <c r="M6" s="165" t="s">
        <v>289</v>
      </c>
      <c r="N6" s="165">
        <v>24.77</v>
      </c>
      <c r="O6" s="165">
        <v>1484391600</v>
      </c>
      <c r="P6" s="165">
        <v>4.5599999999999996</v>
      </c>
      <c r="Q6" s="165">
        <v>238</v>
      </c>
      <c r="R6" s="165">
        <v>1.73</v>
      </c>
    </row>
    <row r="7" spans="1:18" x14ac:dyDescent="0.25">
      <c r="A7" s="165">
        <v>23.75</v>
      </c>
      <c r="B7" s="165">
        <v>0.48</v>
      </c>
      <c r="C7" s="165">
        <v>20.32</v>
      </c>
      <c r="D7" s="8">
        <v>42749.208333333336</v>
      </c>
      <c r="E7" s="165">
        <v>0.86</v>
      </c>
      <c r="F7" s="165" t="s">
        <v>230</v>
      </c>
      <c r="G7" s="165">
        <v>283.49</v>
      </c>
      <c r="H7" s="165"/>
      <c r="I7" s="165">
        <v>0</v>
      </c>
      <c r="J7" s="165">
        <v>0</v>
      </c>
      <c r="K7" s="165"/>
      <c r="L7" s="165">
        <v>1031.19</v>
      </c>
      <c r="M7" s="165" t="s">
        <v>289</v>
      </c>
      <c r="N7" s="165">
        <v>23.75</v>
      </c>
      <c r="O7" s="165">
        <v>1484395200</v>
      </c>
      <c r="P7" s="165">
        <v>4.8</v>
      </c>
      <c r="Q7" s="165">
        <v>208</v>
      </c>
      <c r="R7" s="165">
        <v>1.99</v>
      </c>
    </row>
    <row r="8" spans="1:18" x14ac:dyDescent="0.25">
      <c r="A8" s="165">
        <v>24.09</v>
      </c>
      <c r="B8" s="165">
        <v>0.48</v>
      </c>
      <c r="C8" s="165">
        <v>20.58</v>
      </c>
      <c r="D8" s="8">
        <v>42749.25</v>
      </c>
      <c r="E8" s="165">
        <v>0.86</v>
      </c>
      <c r="F8" s="165" t="s">
        <v>230</v>
      </c>
      <c r="G8" s="165">
        <v>285.27999999999997</v>
      </c>
      <c r="H8" s="165"/>
      <c r="I8" s="165">
        <v>0</v>
      </c>
      <c r="J8" s="165">
        <v>0</v>
      </c>
      <c r="K8" s="165"/>
      <c r="L8" s="165">
        <v>1031.5999999999999</v>
      </c>
      <c r="M8" s="165" t="s">
        <v>289</v>
      </c>
      <c r="N8" s="165">
        <v>24.09</v>
      </c>
      <c r="O8" s="165">
        <v>1484398800</v>
      </c>
      <c r="P8" s="165">
        <v>5.42</v>
      </c>
      <c r="Q8" s="165">
        <v>187</v>
      </c>
      <c r="R8" s="165">
        <v>2.04</v>
      </c>
    </row>
    <row r="9" spans="1:18" x14ac:dyDescent="0.25">
      <c r="A9" s="165">
        <v>23.53</v>
      </c>
      <c r="B9" s="165">
        <v>0.44</v>
      </c>
      <c r="C9" s="165">
        <v>20.05</v>
      </c>
      <c r="D9" s="8">
        <v>42749.291666666664</v>
      </c>
      <c r="E9" s="165">
        <v>0.86</v>
      </c>
      <c r="F9" s="165" t="s">
        <v>230</v>
      </c>
      <c r="G9" s="165">
        <v>286.63</v>
      </c>
      <c r="H9" s="165"/>
      <c r="I9" s="165">
        <v>0</v>
      </c>
      <c r="J9" s="165">
        <v>0</v>
      </c>
      <c r="K9" s="165"/>
      <c r="L9" s="165">
        <v>1031.8800000000001</v>
      </c>
      <c r="M9" s="165" t="s">
        <v>289</v>
      </c>
      <c r="N9" s="165">
        <v>23.53</v>
      </c>
      <c r="O9" s="165">
        <v>1484402400</v>
      </c>
      <c r="P9" s="165">
        <v>5.03</v>
      </c>
      <c r="Q9" s="165">
        <v>191</v>
      </c>
      <c r="R9" s="165">
        <v>1.89</v>
      </c>
    </row>
    <row r="10" spans="1:18" x14ac:dyDescent="0.25">
      <c r="A10" s="165">
        <v>24.23</v>
      </c>
      <c r="B10" s="165">
        <v>0.45</v>
      </c>
      <c r="C10" s="165">
        <v>20.149999999999999</v>
      </c>
      <c r="D10" s="8">
        <v>42749.333333333336</v>
      </c>
      <c r="E10" s="165">
        <v>0.84</v>
      </c>
      <c r="F10" s="165" t="s">
        <v>290</v>
      </c>
      <c r="G10" s="165">
        <v>287.14999999999998</v>
      </c>
      <c r="H10" s="165"/>
      <c r="I10" s="165">
        <v>0</v>
      </c>
      <c r="J10" s="165">
        <v>0</v>
      </c>
      <c r="K10" s="165"/>
      <c r="L10" s="165">
        <v>1031.5999999999999</v>
      </c>
      <c r="M10" s="165" t="s">
        <v>289</v>
      </c>
      <c r="N10" s="165">
        <v>24.23</v>
      </c>
      <c r="O10" s="165">
        <v>1484406000</v>
      </c>
      <c r="P10" s="165">
        <v>4.8600000000000003</v>
      </c>
      <c r="Q10" s="165">
        <v>233</v>
      </c>
      <c r="R10" s="165">
        <v>2.91</v>
      </c>
    </row>
    <row r="11" spans="1:18" x14ac:dyDescent="0.25">
      <c r="A11" s="165">
        <v>25.93</v>
      </c>
      <c r="B11" s="165">
        <v>0.56999999999999995</v>
      </c>
      <c r="C11" s="165">
        <v>21.46</v>
      </c>
      <c r="D11" s="8">
        <v>42749.375</v>
      </c>
      <c r="E11" s="165">
        <v>0.83</v>
      </c>
      <c r="F11" s="165" t="s">
        <v>290</v>
      </c>
      <c r="G11" s="165">
        <v>286.27</v>
      </c>
      <c r="H11" s="165"/>
      <c r="I11" s="165">
        <v>0</v>
      </c>
      <c r="J11" s="165">
        <v>0</v>
      </c>
      <c r="K11" s="165"/>
      <c r="L11" s="165">
        <v>1030.51</v>
      </c>
      <c r="M11" s="165" t="s">
        <v>289</v>
      </c>
      <c r="N11" s="165">
        <v>25.93</v>
      </c>
      <c r="O11" s="165">
        <v>1484409600</v>
      </c>
      <c r="P11" s="165">
        <v>4.33</v>
      </c>
      <c r="Q11" s="165">
        <v>241</v>
      </c>
      <c r="R11" s="165">
        <v>1.95</v>
      </c>
    </row>
    <row r="12" spans="1:18" x14ac:dyDescent="0.25">
      <c r="A12" s="165">
        <v>30.07</v>
      </c>
      <c r="B12" s="165">
        <v>0.74</v>
      </c>
      <c r="C12" s="165">
        <v>24.32</v>
      </c>
      <c r="D12" s="8">
        <v>42749.416666666664</v>
      </c>
      <c r="E12" s="165">
        <v>0.79</v>
      </c>
      <c r="F12" s="165" t="s">
        <v>290</v>
      </c>
      <c r="G12" s="165">
        <v>284.56</v>
      </c>
      <c r="H12" s="165"/>
      <c r="I12" s="165">
        <v>0</v>
      </c>
      <c r="J12" s="165">
        <v>0</v>
      </c>
      <c r="K12" s="165"/>
      <c r="L12" s="165">
        <v>1028.8599999999999</v>
      </c>
      <c r="M12" s="165" t="s">
        <v>402</v>
      </c>
      <c r="N12" s="165">
        <v>30.07</v>
      </c>
      <c r="O12" s="165">
        <v>1484413200</v>
      </c>
      <c r="P12" s="165">
        <v>4.8499999999999996</v>
      </c>
      <c r="Q12" s="165">
        <v>227</v>
      </c>
      <c r="R12" s="165">
        <v>1.78</v>
      </c>
    </row>
    <row r="13" spans="1:18" x14ac:dyDescent="0.25">
      <c r="A13" s="165">
        <v>34.03</v>
      </c>
      <c r="B13" s="165">
        <v>0.85</v>
      </c>
      <c r="C13" s="165">
        <v>26.35</v>
      </c>
      <c r="D13" s="8">
        <v>42749.458333333336</v>
      </c>
      <c r="E13" s="165">
        <v>0.73</v>
      </c>
      <c r="F13" s="165" t="s">
        <v>290</v>
      </c>
      <c r="G13" s="165">
        <v>283.25</v>
      </c>
      <c r="H13" s="165">
        <v>6.0000000000000001E-3</v>
      </c>
      <c r="I13" s="165">
        <v>8.0000000000000004E-4</v>
      </c>
      <c r="J13" s="165">
        <v>0.01</v>
      </c>
      <c r="K13" s="165" t="s">
        <v>333</v>
      </c>
      <c r="L13" s="165">
        <v>1027.42</v>
      </c>
      <c r="M13" s="165" t="s">
        <v>402</v>
      </c>
      <c r="N13" s="165">
        <v>34.03</v>
      </c>
      <c r="O13" s="165">
        <v>1484416800</v>
      </c>
      <c r="P13" s="165">
        <v>5.07</v>
      </c>
      <c r="Q13" s="165">
        <v>138</v>
      </c>
      <c r="R13" s="165">
        <v>1.29</v>
      </c>
    </row>
    <row r="14" spans="1:18" x14ac:dyDescent="0.25">
      <c r="A14" s="165">
        <v>37.26</v>
      </c>
      <c r="B14" s="165">
        <v>0.84</v>
      </c>
      <c r="C14" s="165">
        <v>27.01</v>
      </c>
      <c r="D14" s="8">
        <v>42749.5</v>
      </c>
      <c r="E14" s="165">
        <v>0.66</v>
      </c>
      <c r="F14" s="165" t="s">
        <v>290</v>
      </c>
      <c r="G14" s="165">
        <v>282.95999999999998</v>
      </c>
      <c r="H14" s="165"/>
      <c r="I14" s="165">
        <v>3.8999999999999998E-3</v>
      </c>
      <c r="J14" s="165">
        <v>0.14000000000000001</v>
      </c>
      <c r="K14" s="165" t="s">
        <v>403</v>
      </c>
      <c r="L14" s="165">
        <v>1026.0999999999999</v>
      </c>
      <c r="M14" s="165" t="s">
        <v>402</v>
      </c>
      <c r="N14" s="165">
        <v>37.26</v>
      </c>
      <c r="O14" s="165">
        <v>1484420400</v>
      </c>
      <c r="P14" s="165">
        <v>5.04</v>
      </c>
      <c r="Q14" s="165">
        <v>35</v>
      </c>
      <c r="R14" s="165">
        <v>0.96</v>
      </c>
    </row>
    <row r="15" spans="1:18" x14ac:dyDescent="0.25">
      <c r="A15" s="165">
        <v>39.24</v>
      </c>
      <c r="B15" s="165">
        <v>0.8</v>
      </c>
      <c r="C15" s="165">
        <v>28.79</v>
      </c>
      <c r="D15" s="8">
        <v>42749.541666666664</v>
      </c>
      <c r="E15" s="165">
        <v>0.66</v>
      </c>
      <c r="F15" s="165" t="s">
        <v>403</v>
      </c>
      <c r="G15" s="165">
        <v>283.07</v>
      </c>
      <c r="H15" s="165"/>
      <c r="I15" s="165">
        <v>9.9000000000000008E-3</v>
      </c>
      <c r="J15" s="165">
        <v>0.46</v>
      </c>
      <c r="K15" s="165" t="s">
        <v>403</v>
      </c>
      <c r="L15" s="165">
        <v>1024.9100000000001</v>
      </c>
      <c r="M15" s="165" t="s">
        <v>651</v>
      </c>
      <c r="N15" s="165">
        <v>39.24</v>
      </c>
      <c r="O15" s="165">
        <v>1484424000</v>
      </c>
      <c r="P15" s="165">
        <v>4.79</v>
      </c>
      <c r="Q15" s="165">
        <v>3</v>
      </c>
      <c r="R15" s="165">
        <v>1.51</v>
      </c>
    </row>
    <row r="16" spans="1:18" x14ac:dyDescent="0.25">
      <c r="A16" s="165">
        <v>41.19</v>
      </c>
      <c r="B16" s="165">
        <v>0.8</v>
      </c>
      <c r="C16" s="165">
        <v>27.86</v>
      </c>
      <c r="D16" s="8">
        <v>42749.583333333336</v>
      </c>
      <c r="E16" s="165">
        <v>0.59</v>
      </c>
      <c r="F16" s="165" t="s">
        <v>290</v>
      </c>
      <c r="G16" s="165">
        <v>282.95</v>
      </c>
      <c r="H16" s="165"/>
      <c r="I16" s="165">
        <v>2.8E-3</v>
      </c>
      <c r="J16" s="165">
        <v>0.08</v>
      </c>
      <c r="K16" s="165" t="s">
        <v>403</v>
      </c>
      <c r="L16" s="165">
        <v>1024.0999999999999</v>
      </c>
      <c r="M16" s="165" t="s">
        <v>402</v>
      </c>
      <c r="N16" s="165">
        <v>41.19</v>
      </c>
      <c r="O16" s="165">
        <v>1484427600</v>
      </c>
      <c r="P16" s="165">
        <v>5.22</v>
      </c>
      <c r="Q16" s="165">
        <v>19</v>
      </c>
      <c r="R16" s="165">
        <v>1.98</v>
      </c>
    </row>
    <row r="17" spans="1:18" x14ac:dyDescent="0.25">
      <c r="A17" s="165">
        <v>41.5</v>
      </c>
      <c r="B17" s="165">
        <v>0.81</v>
      </c>
      <c r="C17" s="165">
        <v>26.41</v>
      </c>
      <c r="D17" s="8">
        <v>42749.625</v>
      </c>
      <c r="E17" s="165">
        <v>0.55000000000000004</v>
      </c>
      <c r="F17" s="165" t="s">
        <v>290</v>
      </c>
      <c r="G17" s="165">
        <v>282.22000000000003</v>
      </c>
      <c r="H17" s="165"/>
      <c r="I17" s="165">
        <v>2.0999999999999999E-3</v>
      </c>
      <c r="J17" s="165">
        <v>0.05</v>
      </c>
      <c r="K17" s="165" t="s">
        <v>403</v>
      </c>
      <c r="L17" s="165">
        <v>1023.91</v>
      </c>
      <c r="M17" s="165" t="s">
        <v>402</v>
      </c>
      <c r="N17" s="165">
        <v>41.5</v>
      </c>
      <c r="O17" s="165">
        <v>1484431200</v>
      </c>
      <c r="P17" s="165">
        <v>10</v>
      </c>
      <c r="Q17" s="165">
        <v>40</v>
      </c>
      <c r="R17" s="165">
        <v>2.82</v>
      </c>
    </row>
    <row r="18" spans="1:18" x14ac:dyDescent="0.25">
      <c r="A18" s="165">
        <v>40.020000000000003</v>
      </c>
      <c r="B18" s="165">
        <v>0.82</v>
      </c>
      <c r="C18" s="165">
        <v>26.11</v>
      </c>
      <c r="D18" s="8">
        <v>42749.666666666664</v>
      </c>
      <c r="E18" s="165">
        <v>0.56999999999999995</v>
      </c>
      <c r="F18" s="165" t="s">
        <v>290</v>
      </c>
      <c r="G18" s="165">
        <v>281.26</v>
      </c>
      <c r="H18" s="165"/>
      <c r="I18" s="165">
        <v>1.2999999999999999E-3</v>
      </c>
      <c r="J18" s="165">
        <v>0.02</v>
      </c>
      <c r="K18" s="165" t="s">
        <v>403</v>
      </c>
      <c r="L18" s="165">
        <v>1024.1300000000001</v>
      </c>
      <c r="M18" s="165" t="s">
        <v>402</v>
      </c>
      <c r="N18" s="165">
        <v>40.020000000000003</v>
      </c>
      <c r="O18" s="165">
        <v>1484434800</v>
      </c>
      <c r="P18" s="165">
        <v>5.63</v>
      </c>
      <c r="Q18" s="165">
        <v>24</v>
      </c>
      <c r="R18" s="165">
        <v>2.76</v>
      </c>
    </row>
    <row r="19" spans="1:18" x14ac:dyDescent="0.25">
      <c r="A19" s="165">
        <v>38.46</v>
      </c>
      <c r="B19" s="165">
        <v>0.84</v>
      </c>
      <c r="C19" s="165">
        <v>26.88</v>
      </c>
      <c r="D19" s="8">
        <v>42749.708333333336</v>
      </c>
      <c r="E19" s="165">
        <v>0.63</v>
      </c>
      <c r="F19" s="165" t="s">
        <v>230</v>
      </c>
      <c r="G19" s="165">
        <v>280.60000000000002</v>
      </c>
      <c r="H19" s="165"/>
      <c r="I19" s="165">
        <v>0</v>
      </c>
      <c r="J19" s="165">
        <v>0</v>
      </c>
      <c r="K19" s="165"/>
      <c r="L19" s="165">
        <v>1024.4000000000001</v>
      </c>
      <c r="M19" s="165" t="s">
        <v>402</v>
      </c>
      <c r="N19" s="165">
        <v>38.46</v>
      </c>
      <c r="O19" s="165">
        <v>1484438400</v>
      </c>
      <c r="P19" s="165">
        <v>9.98</v>
      </c>
      <c r="Q19" s="165">
        <v>43</v>
      </c>
      <c r="R19" s="165">
        <v>2.72</v>
      </c>
    </row>
    <row r="20" spans="1:18" x14ac:dyDescent="0.25">
      <c r="A20" s="165">
        <v>36.659999999999997</v>
      </c>
      <c r="B20" s="165">
        <v>0.8</v>
      </c>
      <c r="C20" s="165">
        <v>26.99</v>
      </c>
      <c r="D20" s="8">
        <v>42749.75</v>
      </c>
      <c r="E20" s="165">
        <v>0.68</v>
      </c>
      <c r="F20" s="165" t="s">
        <v>230</v>
      </c>
      <c r="G20" s="165">
        <v>280.51</v>
      </c>
      <c r="H20" s="165"/>
      <c r="I20" s="165">
        <v>0</v>
      </c>
      <c r="J20" s="165">
        <v>0</v>
      </c>
      <c r="K20" s="165"/>
      <c r="L20" s="165">
        <v>1024.82</v>
      </c>
      <c r="M20" s="165" t="s">
        <v>402</v>
      </c>
      <c r="N20" s="165">
        <v>36.659999999999997</v>
      </c>
      <c r="O20" s="165">
        <v>1484442000</v>
      </c>
      <c r="P20" s="165">
        <v>6.33</v>
      </c>
      <c r="Q20" s="165">
        <v>10</v>
      </c>
      <c r="R20" s="165">
        <v>1.95</v>
      </c>
    </row>
    <row r="21" spans="1:18" x14ac:dyDescent="0.25">
      <c r="A21" s="165">
        <v>35.520000000000003</v>
      </c>
      <c r="B21" s="165">
        <v>0.68</v>
      </c>
      <c r="C21" s="165">
        <v>27.57</v>
      </c>
      <c r="D21" s="8">
        <v>42749.791666666664</v>
      </c>
      <c r="E21" s="165">
        <v>0.72</v>
      </c>
      <c r="F21" s="165" t="s">
        <v>230</v>
      </c>
      <c r="G21" s="165">
        <v>280.72000000000003</v>
      </c>
      <c r="H21" s="165"/>
      <c r="I21" s="165">
        <v>0</v>
      </c>
      <c r="J21" s="165">
        <v>0</v>
      </c>
      <c r="K21" s="165"/>
      <c r="L21" s="165">
        <v>1025.26</v>
      </c>
      <c r="M21" s="165" t="s">
        <v>402</v>
      </c>
      <c r="N21" s="165">
        <v>35.520000000000003</v>
      </c>
      <c r="O21" s="165">
        <v>1484445600</v>
      </c>
      <c r="P21" s="165">
        <v>5.62</v>
      </c>
      <c r="Q21" s="165">
        <v>354</v>
      </c>
      <c r="R21" s="165">
        <v>1.17</v>
      </c>
    </row>
    <row r="22" spans="1:18" x14ac:dyDescent="0.25">
      <c r="A22" s="165">
        <v>33.33</v>
      </c>
      <c r="B22" s="165">
        <v>0.61</v>
      </c>
      <c r="C22" s="165">
        <v>26.6</v>
      </c>
      <c r="D22" s="8">
        <v>42749.833333333336</v>
      </c>
      <c r="E22" s="165">
        <v>0.76</v>
      </c>
      <c r="F22" s="165" t="s">
        <v>230</v>
      </c>
      <c r="G22" s="165">
        <v>280.95</v>
      </c>
      <c r="H22" s="165"/>
      <c r="I22" s="165">
        <v>0</v>
      </c>
      <c r="J22" s="165">
        <v>0</v>
      </c>
      <c r="K22" s="165"/>
      <c r="L22" s="165">
        <v>1025.5899999999999</v>
      </c>
      <c r="M22" s="165" t="s">
        <v>402</v>
      </c>
      <c r="N22" s="165">
        <v>33.33</v>
      </c>
      <c r="O22" s="165">
        <v>1484449200</v>
      </c>
      <c r="P22" s="165">
        <v>5.17</v>
      </c>
      <c r="Q22" s="165">
        <v>345</v>
      </c>
      <c r="R22" s="165">
        <v>1.1100000000000001</v>
      </c>
    </row>
    <row r="23" spans="1:18" x14ac:dyDescent="0.25">
      <c r="A23" s="165">
        <v>31.36</v>
      </c>
      <c r="B23" s="165">
        <v>0.64</v>
      </c>
      <c r="C23" s="165">
        <v>25.79</v>
      </c>
      <c r="D23" s="8">
        <v>42749.875</v>
      </c>
      <c r="E23" s="165">
        <v>0.8</v>
      </c>
      <c r="F23" s="165" t="s">
        <v>230</v>
      </c>
      <c r="G23" s="165">
        <v>281.14999999999998</v>
      </c>
      <c r="H23" s="165"/>
      <c r="I23" s="165">
        <v>0</v>
      </c>
      <c r="J23" s="165">
        <v>0</v>
      </c>
      <c r="K23" s="165"/>
      <c r="L23" s="165">
        <v>1025.71</v>
      </c>
      <c r="M23" s="165" t="s">
        <v>402</v>
      </c>
      <c r="N23" s="165">
        <v>31.36</v>
      </c>
      <c r="O23" s="165">
        <v>1484452800</v>
      </c>
      <c r="P23" s="165">
        <v>4.51</v>
      </c>
      <c r="Q23" s="165">
        <v>329</v>
      </c>
      <c r="R23" s="165">
        <v>1.31</v>
      </c>
    </row>
    <row r="24" spans="1:18" x14ac:dyDescent="0.25">
      <c r="A24" s="165">
        <v>30.27</v>
      </c>
      <c r="B24" s="165">
        <v>0.56999999999999995</v>
      </c>
      <c r="C24" s="165">
        <v>25.47</v>
      </c>
      <c r="D24" s="8">
        <v>42749.916666666664</v>
      </c>
      <c r="E24" s="165">
        <v>0.82</v>
      </c>
      <c r="F24" s="165" t="s">
        <v>230</v>
      </c>
      <c r="G24" s="165">
        <v>281.37</v>
      </c>
      <c r="H24" s="165"/>
      <c r="I24" s="165">
        <v>0</v>
      </c>
      <c r="J24" s="165">
        <v>0</v>
      </c>
      <c r="K24" s="165"/>
      <c r="L24" s="165">
        <v>1025.69</v>
      </c>
      <c r="M24" s="165" t="s">
        <v>289</v>
      </c>
      <c r="N24" s="165">
        <v>30.27</v>
      </c>
      <c r="O24" s="165">
        <v>1484456400</v>
      </c>
      <c r="P24" s="165">
        <v>4.3499999999999996</v>
      </c>
      <c r="Q24" s="165">
        <v>309</v>
      </c>
      <c r="R24" s="165">
        <v>0.97</v>
      </c>
    </row>
    <row r="25" spans="1:18" x14ac:dyDescent="0.25">
      <c r="A25" s="165">
        <v>28.66</v>
      </c>
      <c r="B25" s="165">
        <v>0.47</v>
      </c>
      <c r="C25" s="165">
        <v>24.79</v>
      </c>
      <c r="D25" s="8">
        <v>42749.958333333336</v>
      </c>
      <c r="E25" s="165">
        <v>0.85</v>
      </c>
      <c r="F25" s="165" t="s">
        <v>230</v>
      </c>
      <c r="G25" s="165">
        <v>281.47000000000003</v>
      </c>
      <c r="H25" s="165"/>
      <c r="I25" s="165">
        <v>0</v>
      </c>
      <c r="J25" s="165">
        <v>0</v>
      </c>
      <c r="K25" s="165"/>
      <c r="L25" s="165">
        <v>1025.58</v>
      </c>
      <c r="M25" s="165" t="s">
        <v>289</v>
      </c>
      <c r="N25" s="165">
        <v>28.66</v>
      </c>
      <c r="O25" s="165">
        <v>1484460000</v>
      </c>
      <c r="P25" s="165">
        <v>3.57</v>
      </c>
      <c r="Q25" s="165">
        <v>245</v>
      </c>
      <c r="R25" s="165">
        <v>0.61</v>
      </c>
    </row>
    <row r="26" spans="1:18" x14ac:dyDescent="0.25">
      <c r="A26" s="165">
        <v>28.25</v>
      </c>
      <c r="B26" s="165">
        <v>0.44</v>
      </c>
      <c r="C26" s="165">
        <v>24.43</v>
      </c>
      <c r="D26" s="8">
        <v>42750</v>
      </c>
      <c r="E26" s="165">
        <v>0.85</v>
      </c>
      <c r="F26" s="165" t="s">
        <v>230</v>
      </c>
      <c r="G26" s="165">
        <v>281.29000000000002</v>
      </c>
      <c r="H26" s="165"/>
      <c r="I26" s="165">
        <v>0</v>
      </c>
      <c r="J26" s="165">
        <v>0</v>
      </c>
      <c r="K26" s="165"/>
      <c r="L26" s="165">
        <v>1025.08</v>
      </c>
      <c r="M26" s="165" t="s">
        <v>289</v>
      </c>
      <c r="N26" s="165">
        <v>28.25</v>
      </c>
      <c r="O26" s="165">
        <v>1484463600</v>
      </c>
      <c r="P26" s="165">
        <v>3.2</v>
      </c>
      <c r="Q26" s="165">
        <v>310</v>
      </c>
      <c r="R26" s="165">
        <v>1.07</v>
      </c>
    </row>
    <row r="27" spans="1:18" x14ac:dyDescent="0.25">
      <c r="A27" s="165">
        <v>27.49</v>
      </c>
      <c r="B27" s="165">
        <v>0.23</v>
      </c>
      <c r="C27" s="165">
        <v>24.02</v>
      </c>
      <c r="D27" s="8">
        <v>42750.041666666664</v>
      </c>
      <c r="E27" s="165">
        <v>0.87</v>
      </c>
      <c r="F27" s="165" t="s">
        <v>652</v>
      </c>
      <c r="G27" s="165">
        <v>281.11</v>
      </c>
      <c r="H27" s="165"/>
      <c r="I27" s="165">
        <v>0</v>
      </c>
      <c r="J27" s="165">
        <v>0</v>
      </c>
      <c r="K27" s="165"/>
      <c r="L27" s="165">
        <v>1024.54</v>
      </c>
      <c r="M27" s="165" t="s">
        <v>653</v>
      </c>
      <c r="N27" s="165">
        <v>27.49</v>
      </c>
      <c r="O27" s="165">
        <v>1484467200</v>
      </c>
      <c r="P27" s="165">
        <v>3.3</v>
      </c>
      <c r="Q27" s="165">
        <v>315</v>
      </c>
      <c r="R27" s="165">
        <v>0.69</v>
      </c>
    </row>
    <row r="28" spans="1:18" x14ac:dyDescent="0.25">
      <c r="A28" s="165">
        <v>27.26</v>
      </c>
      <c r="B28" s="165">
        <v>0.34</v>
      </c>
      <c r="C28" s="165">
        <v>24.19</v>
      </c>
      <c r="D28" s="8">
        <v>42750.083333333336</v>
      </c>
      <c r="E28" s="165">
        <v>0.88</v>
      </c>
      <c r="F28" s="165" t="s">
        <v>230</v>
      </c>
      <c r="G28" s="165">
        <v>280.93</v>
      </c>
      <c r="H28" s="165"/>
      <c r="I28" s="165">
        <v>0</v>
      </c>
      <c r="J28" s="165">
        <v>0</v>
      </c>
      <c r="K28" s="165"/>
      <c r="L28" s="165">
        <v>1024.1300000000001</v>
      </c>
      <c r="M28" s="165" t="s">
        <v>289</v>
      </c>
      <c r="N28" s="165">
        <v>27.26</v>
      </c>
      <c r="O28" s="165">
        <v>1484470800</v>
      </c>
      <c r="P28" s="165">
        <v>2.5299999999999998</v>
      </c>
      <c r="Q28" s="165">
        <v>338</v>
      </c>
      <c r="R28" s="165">
        <v>1.31</v>
      </c>
    </row>
    <row r="29" spans="1:18" x14ac:dyDescent="0.25">
      <c r="A29" s="165">
        <v>24.73</v>
      </c>
      <c r="B29" s="165">
        <v>0.3</v>
      </c>
      <c r="C29" s="165">
        <v>21.46</v>
      </c>
      <c r="D29" s="8">
        <v>42750.125</v>
      </c>
      <c r="E29" s="165">
        <v>0.87</v>
      </c>
      <c r="F29" s="165" t="s">
        <v>230</v>
      </c>
      <c r="G29" s="165">
        <v>281.02999999999997</v>
      </c>
      <c r="H29" s="165"/>
      <c r="I29" s="165">
        <v>0</v>
      </c>
      <c r="J29" s="165">
        <v>0</v>
      </c>
      <c r="K29" s="165"/>
      <c r="L29" s="165">
        <v>1023.71</v>
      </c>
      <c r="M29" s="165" t="s">
        <v>289</v>
      </c>
      <c r="N29" s="165">
        <v>24.73</v>
      </c>
      <c r="O29" s="165">
        <v>1484474400</v>
      </c>
      <c r="P29" s="165">
        <v>4.7300000000000004</v>
      </c>
      <c r="Q29" s="165">
        <v>320</v>
      </c>
      <c r="R29" s="165">
        <v>0.85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198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4"/>
  <sheetViews>
    <sheetView workbookViewId="0">
      <selection activeCell="E18" sqref="E18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42749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199</v>
      </c>
      <c r="J17" s="186"/>
      <c r="K17" s="187"/>
      <c r="L17" s="187"/>
    </row>
    <row r="18" spans="3:13" x14ac:dyDescent="0.25">
      <c r="C18" t="s">
        <v>798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799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800</v>
      </c>
      <c r="J20" s="165" t="s">
        <v>87</v>
      </c>
      <c r="M20" s="165" t="s">
        <v>268</v>
      </c>
    </row>
    <row r="21" spans="3:13" x14ac:dyDescent="0.25">
      <c r="C21" t="s">
        <v>801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802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803</v>
      </c>
      <c r="J23" s="188" t="s">
        <v>95</v>
      </c>
      <c r="M23" s="165">
        <v>-7</v>
      </c>
    </row>
    <row r="24" spans="3:13" x14ac:dyDescent="0.25">
      <c r="C24" t="s">
        <v>804</v>
      </c>
      <c r="J24" s="165" t="s">
        <v>108</v>
      </c>
      <c r="M24" s="165" t="s">
        <v>110</v>
      </c>
    </row>
    <row r="25" spans="3:13" x14ac:dyDescent="0.25">
      <c r="C25" t="s">
        <v>805</v>
      </c>
      <c r="J25" s="165" t="s">
        <v>151</v>
      </c>
      <c r="M25" s="165" t="b">
        <v>1</v>
      </c>
    </row>
    <row r="26" spans="3:13" x14ac:dyDescent="0.25">
      <c r="C26" t="s">
        <v>806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C:\Users\stu\Documents\GitHub\eaglep3-reporting\EC\2017-01-14-refined-times.txt</v>
      </c>
    </row>
    <row r="27" spans="3:13" x14ac:dyDescent="0.25">
      <c r="C27" t="s">
        <v>807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C:\Users\stu\Documents\GitHub\eaglep3-reporting\EC\2017-01-14-Enforcements.txt</v>
      </c>
    </row>
    <row r="28" spans="3:13" x14ac:dyDescent="0.25">
      <c r="C28" t="s">
        <v>808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C:\Users\stu\Documents\GitHub\eaglep3-reporting\EC\2017-01-14-Runs-refined.txt</v>
      </c>
    </row>
    <row r="29" spans="3:13" x14ac:dyDescent="0.25">
      <c r="C29" t="s">
        <v>809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C:\Users\stu\Documents\GitHub\eaglep3-reporting\EC\2017-01-14-Trips.txt</v>
      </c>
    </row>
    <row r="30" spans="3:13" x14ac:dyDescent="0.25">
      <c r="C30" t="s">
        <v>810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C:\Users\stu\Documents\GitHub\eaglep3-reporting\EC\2017-01-14-Weather.txt</v>
      </c>
    </row>
    <row r="31" spans="3:13" x14ac:dyDescent="0.25">
      <c r="C31" t="s">
        <v>811</v>
      </c>
      <c r="J31" s="165" t="s">
        <v>266</v>
      </c>
      <c r="M31" s="165" t="s">
        <v>267</v>
      </c>
    </row>
    <row r="32" spans="3:13" x14ac:dyDescent="0.25">
      <c r="C32" t="s">
        <v>812</v>
      </c>
    </row>
    <row r="33" spans="3:3" x14ac:dyDescent="0.25">
      <c r="C33" t="s">
        <v>813</v>
      </c>
    </row>
    <row r="34" spans="3:3" x14ac:dyDescent="0.25">
      <c r="C34" t="s">
        <v>814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830</v>
      </c>
      <c r="B1" t="str">
        <f t="shared" ref="B1:B30" si="0">MID(A1,6,23)</f>
        <v>2017/01/14 10:48:26.753</v>
      </c>
      <c r="C1" t="e">
        <f>ABS(B1-#REF!)</f>
        <v>#REF!</v>
      </c>
    </row>
    <row r="2" spans="1:3" x14ac:dyDescent="0.25">
      <c r="A2" t="s">
        <v>831</v>
      </c>
      <c r="B2" s="21" t="str">
        <f t="shared" si="0"/>
        <v>2017/01/14 10:48:26.773</v>
      </c>
      <c r="C2">
        <f>ABS(B2-B1)</f>
        <v>2.314845914952457E-7</v>
      </c>
    </row>
    <row r="3" spans="1:3" x14ac:dyDescent="0.25">
      <c r="A3" t="s">
        <v>832</v>
      </c>
      <c r="B3" s="21" t="str">
        <f t="shared" si="0"/>
        <v>2017/01/14 10:48:26.874</v>
      </c>
      <c r="C3" s="21">
        <f t="shared" ref="C3:C30" si="1">ABS(B3-B2)</f>
        <v>1.1689844541251659E-6</v>
      </c>
    </row>
    <row r="4" spans="1:3" x14ac:dyDescent="0.25">
      <c r="A4" t="s">
        <v>833</v>
      </c>
      <c r="B4" s="21" t="str">
        <f t="shared" si="0"/>
        <v>2017/01/14 11:20:13.622</v>
      </c>
      <c r="C4" s="21">
        <f t="shared" si="1"/>
        <v>2.2068842590670101E-2</v>
      </c>
    </row>
    <row r="5" spans="1:3" x14ac:dyDescent="0.25">
      <c r="A5" t="s">
        <v>834</v>
      </c>
      <c r="B5" s="21" t="str">
        <f t="shared" si="0"/>
        <v>2017/01/14 11:20:13.708</v>
      </c>
      <c r="C5" s="21">
        <f t="shared" si="1"/>
        <v>9.9536555353552103E-7</v>
      </c>
    </row>
    <row r="6" spans="1:3" x14ac:dyDescent="0.25">
      <c r="A6" t="s">
        <v>835</v>
      </c>
      <c r="B6" s="21" t="str">
        <f t="shared" si="0"/>
        <v>2017/01/14 11:22:42.206</v>
      </c>
      <c r="C6" s="21">
        <f t="shared" si="1"/>
        <v>1.7187268531415612E-3</v>
      </c>
    </row>
    <row r="7" spans="1:3" x14ac:dyDescent="0.25">
      <c r="A7" t="s">
        <v>836</v>
      </c>
      <c r="B7" s="21" t="str">
        <f t="shared" si="0"/>
        <v>2017/01/14 11:22:42.672</v>
      </c>
      <c r="C7" s="21">
        <f t="shared" si="1"/>
        <v>5.39352186024189E-6</v>
      </c>
    </row>
    <row r="8" spans="1:3" x14ac:dyDescent="0.25">
      <c r="A8" t="s">
        <v>837</v>
      </c>
      <c r="B8" s="21" t="str">
        <f t="shared" si="0"/>
        <v>2017/01/14 11:22:42.766</v>
      </c>
      <c r="C8" s="21">
        <f t="shared" si="1"/>
        <v>1.0879593901336193E-6</v>
      </c>
    </row>
    <row r="9" spans="1:3" x14ac:dyDescent="0.25">
      <c r="A9" t="s">
        <v>838</v>
      </c>
      <c r="B9" s="21" t="str">
        <f t="shared" si="0"/>
        <v>2017/01/14 11:23:51.058</v>
      </c>
      <c r="C9" s="21">
        <f t="shared" si="1"/>
        <v>7.9041667049750686E-4</v>
      </c>
    </row>
    <row r="10" spans="1:3" x14ac:dyDescent="0.25">
      <c r="A10" t="s">
        <v>839</v>
      </c>
      <c r="B10" s="21" t="str">
        <f t="shared" si="0"/>
        <v>2017/01/14 11:23:51.675</v>
      </c>
      <c r="C10" s="21">
        <f t="shared" si="1"/>
        <v>7.1411996032111347E-6</v>
      </c>
    </row>
    <row r="11" spans="1:3" x14ac:dyDescent="0.25">
      <c r="A11" t="s">
        <v>840</v>
      </c>
      <c r="B11" s="21" t="str">
        <f t="shared" si="0"/>
        <v>2017/01/14 11:23:51.723</v>
      </c>
      <c r="C11" s="21">
        <f t="shared" si="1"/>
        <v>5.5555574363097548E-7</v>
      </c>
    </row>
    <row r="12" spans="1:3" x14ac:dyDescent="0.25">
      <c r="A12" t="s">
        <v>841</v>
      </c>
      <c r="B12" s="21" t="str">
        <f t="shared" si="0"/>
        <v>2017/01/14 12:20:37.731</v>
      </c>
      <c r="C12" s="21">
        <f t="shared" si="1"/>
        <v>3.9421388893970288E-2</v>
      </c>
    </row>
    <row r="13" spans="1:3" x14ac:dyDescent="0.25">
      <c r="A13" t="s">
        <v>842</v>
      </c>
      <c r="B13" s="21" t="str">
        <f t="shared" si="0"/>
        <v>2017/01/14 12:20:37.794</v>
      </c>
      <c r="C13" s="21">
        <f t="shared" si="1"/>
        <v>7.2916736826300621E-7</v>
      </c>
    </row>
    <row r="14" spans="1:3" x14ac:dyDescent="0.25">
      <c r="A14" t="s">
        <v>843</v>
      </c>
      <c r="B14" s="21" t="str">
        <f t="shared" si="0"/>
        <v>2017/01/14 12:20:37.869</v>
      </c>
      <c r="C14" s="21">
        <f t="shared" si="1"/>
        <v>8.6805084720253944E-7</v>
      </c>
    </row>
    <row r="15" spans="1:3" x14ac:dyDescent="0.25">
      <c r="A15" t="s">
        <v>844</v>
      </c>
      <c r="B15" s="21" t="str">
        <f t="shared" si="0"/>
        <v>2017/01/14 12:24:15.969</v>
      </c>
      <c r="C15" s="21">
        <f t="shared" si="1"/>
        <v>2.5243055570172146E-3</v>
      </c>
    </row>
    <row r="16" spans="1:3" x14ac:dyDescent="0.25">
      <c r="A16" t="s">
        <v>845</v>
      </c>
      <c r="B16" s="21" t="str">
        <f t="shared" si="0"/>
        <v>2017/01/14 12:24:16.145</v>
      </c>
      <c r="C16" s="21">
        <f t="shared" si="1"/>
        <v>2.0370353013277054E-6</v>
      </c>
    </row>
    <row r="17" spans="1:3" x14ac:dyDescent="0.25">
      <c r="A17" t="s">
        <v>846</v>
      </c>
      <c r="B17" s="21" t="str">
        <f t="shared" si="0"/>
        <v>2017/01/14 12:24:16.572</v>
      </c>
      <c r="C17" s="21">
        <f t="shared" si="1"/>
        <v>4.9421287258155644E-6</v>
      </c>
    </row>
    <row r="18" spans="1:3" x14ac:dyDescent="0.25">
      <c r="A18" t="s">
        <v>847</v>
      </c>
      <c r="B18" s="21" t="str">
        <f t="shared" si="0"/>
        <v>2017/01/14 14:53:24.624</v>
      </c>
      <c r="C18" s="21">
        <f t="shared" si="1"/>
        <v>0.10356541666988051</v>
      </c>
    </row>
    <row r="19" spans="1:3" x14ac:dyDescent="0.25">
      <c r="A19" t="s">
        <v>848</v>
      </c>
      <c r="B19" s="21" t="str">
        <f t="shared" si="0"/>
        <v>2017/01/14 14:53:24.907</v>
      </c>
      <c r="C19" s="21">
        <f t="shared" si="1"/>
        <v>3.2754614949226379E-6</v>
      </c>
    </row>
    <row r="20" spans="1:3" x14ac:dyDescent="0.25">
      <c r="A20" t="s">
        <v>849</v>
      </c>
      <c r="B20" s="21" t="str">
        <f t="shared" si="0"/>
        <v>2017/01/14 15:55:54.880</v>
      </c>
      <c r="C20" s="21">
        <f t="shared" si="1"/>
        <v>4.3402465278632008E-2</v>
      </c>
    </row>
    <row r="21" spans="1:3" x14ac:dyDescent="0.25">
      <c r="A21" t="s">
        <v>850</v>
      </c>
      <c r="B21" s="21" t="str">
        <f t="shared" si="0"/>
        <v>2017/01/14 15:55:54.996</v>
      </c>
      <c r="C21" s="21">
        <f t="shared" si="1"/>
        <v>1.3425960787571967E-6</v>
      </c>
    </row>
    <row r="22" spans="1:3" x14ac:dyDescent="0.25">
      <c r="A22" t="s">
        <v>851</v>
      </c>
      <c r="B22" s="21" t="str">
        <f t="shared" si="0"/>
        <v>2017/01/14 15:55:55.042</v>
      </c>
      <c r="C22" s="21">
        <f t="shared" si="1"/>
        <v>5.3240364650264382E-7</v>
      </c>
    </row>
    <row r="23" spans="1:3" x14ac:dyDescent="0.25">
      <c r="A23" t="s">
        <v>852</v>
      </c>
      <c r="B23" s="21" t="str">
        <f t="shared" si="0"/>
        <v>2017/01/14 16:18:22.878</v>
      </c>
      <c r="C23" s="21">
        <f t="shared" si="1"/>
        <v>1.5599953701894265E-2</v>
      </c>
    </row>
    <row r="24" spans="1:3" x14ac:dyDescent="0.25">
      <c r="A24" t="s">
        <v>853</v>
      </c>
      <c r="B24" s="21" t="str">
        <f t="shared" si="0"/>
        <v>2017/01/14 16:18:22.902</v>
      </c>
      <c r="C24" s="21">
        <f t="shared" si="1"/>
        <v>2.7778150979429483E-7</v>
      </c>
    </row>
    <row r="25" spans="1:3" x14ac:dyDescent="0.25">
      <c r="A25" t="s">
        <v>854</v>
      </c>
      <c r="B25" s="21" t="str">
        <f t="shared" si="0"/>
        <v>2017/01/14 19:41:33.175</v>
      </c>
      <c r="C25" s="21">
        <f t="shared" si="1"/>
        <v>0.14109112268488389</v>
      </c>
    </row>
    <row r="26" spans="1:3" x14ac:dyDescent="0.25">
      <c r="A26" t="s">
        <v>855</v>
      </c>
      <c r="B26" s="21" t="str">
        <f t="shared" si="0"/>
        <v>2017/01/14 19:41:33.841</v>
      </c>
      <c r="C26" s="21">
        <f t="shared" si="1"/>
        <v>7.708331395406276E-6</v>
      </c>
    </row>
    <row r="27" spans="1:3" x14ac:dyDescent="0.25">
      <c r="A27" t="s">
        <v>856</v>
      </c>
      <c r="B27" s="21" t="str">
        <f t="shared" si="0"/>
        <v>2017/01/14 19:41:33.871</v>
      </c>
      <c r="C27" s="21">
        <f t="shared" si="1"/>
        <v>3.4722324926406145E-7</v>
      </c>
    </row>
    <row r="28" spans="1:3" x14ac:dyDescent="0.25">
      <c r="A28" t="s">
        <v>857</v>
      </c>
      <c r="B28" s="21" t="str">
        <f t="shared" si="0"/>
        <v>2017/01/14 20:37:02.027</v>
      </c>
      <c r="C28" s="21">
        <f t="shared" si="1"/>
        <v>3.8520324073033407E-2</v>
      </c>
    </row>
    <row r="29" spans="1:3" x14ac:dyDescent="0.25">
      <c r="A29" t="s">
        <v>858</v>
      </c>
      <c r="B29" s="21" t="str">
        <f t="shared" si="0"/>
        <v>2017/01/14 20:37:02.762</v>
      </c>
      <c r="C29" s="21">
        <f t="shared" si="1"/>
        <v>8.506947779096663E-6</v>
      </c>
    </row>
    <row r="30" spans="1:3" x14ac:dyDescent="0.25">
      <c r="A30" t="s">
        <v>859</v>
      </c>
      <c r="B30" s="21" t="str">
        <f t="shared" si="0"/>
        <v>2017/01/14 20:37:02.873</v>
      </c>
      <c r="C30" s="21">
        <f t="shared" si="1"/>
        <v>1.2847231118939817E-6</v>
      </c>
    </row>
    <row r="31" spans="1:3" x14ac:dyDescent="0.25">
      <c r="A31" t="s">
        <v>860</v>
      </c>
      <c r="B31" s="21" t="str">
        <f t="shared" ref="B31:B46" si="2">MID(A31,6,23)</f>
        <v>2017/01/14 20:37:39.034</v>
      </c>
      <c r="C31" s="21">
        <f t="shared" ref="C31:C46" si="3">ABS(B31-B30)</f>
        <v>4.18530085880775E-4</v>
      </c>
    </row>
    <row r="32" spans="1:3" x14ac:dyDescent="0.25">
      <c r="A32" t="s">
        <v>861</v>
      </c>
      <c r="B32" s="21" t="str">
        <f t="shared" si="2"/>
        <v>2017/01/14 20:49:56.025</v>
      </c>
      <c r="C32" s="21">
        <f t="shared" si="3"/>
        <v>8.5299884303822182E-3</v>
      </c>
    </row>
    <row r="33" spans="1:3" x14ac:dyDescent="0.25">
      <c r="A33" t="s">
        <v>862</v>
      </c>
      <c r="B33" s="21" t="str">
        <f t="shared" si="2"/>
        <v>2017/01/15 00:35:01.171</v>
      </c>
      <c r="C33" s="21">
        <f t="shared" si="3"/>
        <v>0.15630956018139841</v>
      </c>
    </row>
    <row r="34" spans="1:3" x14ac:dyDescent="0.25">
      <c r="A34" t="s">
        <v>863</v>
      </c>
      <c r="B34" s="21" t="str">
        <f t="shared" si="2"/>
        <v>2017/01/15 00:35:02.188</v>
      </c>
      <c r="C34" s="21">
        <f t="shared" si="3"/>
        <v>1.1770833225455135E-5</v>
      </c>
    </row>
    <row r="35" spans="1:3" x14ac:dyDescent="0.25">
      <c r="A35" t="s">
        <v>864</v>
      </c>
      <c r="B35" s="21" t="str">
        <f t="shared" si="2"/>
        <v>2017/01/15 00:35:02.233</v>
      </c>
      <c r="C35" s="21">
        <f t="shared" si="3"/>
        <v>5.2083487389609218E-7</v>
      </c>
    </row>
    <row r="36" spans="1:3" x14ac:dyDescent="0.25">
      <c r="A36" t="s">
        <v>865</v>
      </c>
      <c r="B36" s="21" t="str">
        <f t="shared" si="2"/>
        <v>2017/01/15 02:35:36.871</v>
      </c>
      <c r="C36" s="21">
        <f t="shared" si="3"/>
        <v>8.3734236111922655E-2</v>
      </c>
    </row>
    <row r="37" spans="1:3" x14ac:dyDescent="0.25">
      <c r="A37" t="s">
        <v>866</v>
      </c>
      <c r="B37" s="21" t="str">
        <f t="shared" si="2"/>
        <v>2017/01/15 02:35:36.989</v>
      </c>
      <c r="C37" s="21">
        <f t="shared" si="3"/>
        <v>1.3657408999279141E-6</v>
      </c>
    </row>
    <row r="38" spans="1:3" x14ac:dyDescent="0.25">
      <c r="A38" t="s">
        <v>867</v>
      </c>
      <c r="B38" s="21" t="str">
        <f t="shared" si="2"/>
        <v>2017/01/15 02:35:37.028</v>
      </c>
      <c r="C38" s="21">
        <f t="shared" si="3"/>
        <v>4.5138585846871138E-7</v>
      </c>
    </row>
    <row r="39" spans="1:3" x14ac:dyDescent="0.25">
      <c r="A39" t="s">
        <v>868</v>
      </c>
      <c r="B39" s="21" t="str">
        <f t="shared" si="2"/>
        <v>2017/01/15 03:35:18.904</v>
      </c>
      <c r="C39" s="21">
        <f t="shared" si="3"/>
        <v>4.145689815049991E-2</v>
      </c>
    </row>
    <row r="40" spans="1:3" x14ac:dyDescent="0.25">
      <c r="A40" t="s">
        <v>869</v>
      </c>
      <c r="B40" s="21" t="str">
        <f t="shared" si="2"/>
        <v>2017/01/15 03:35:19.228</v>
      </c>
      <c r="C40" s="21">
        <f t="shared" si="3"/>
        <v>3.749999450519681E-6</v>
      </c>
    </row>
    <row r="41" spans="1:3" x14ac:dyDescent="0.25">
      <c r="A41" t="s">
        <v>870</v>
      </c>
      <c r="B41" s="21" t="str">
        <f t="shared" si="2"/>
        <v>2017/01/15 04:33:15.612</v>
      </c>
      <c r="C41" s="21">
        <f t="shared" si="3"/>
        <v>4.023592592420755E-2</v>
      </c>
    </row>
    <row r="42" spans="1:3" x14ac:dyDescent="0.25">
      <c r="A42" t="s">
        <v>871</v>
      </c>
      <c r="B42" s="21" t="str">
        <f t="shared" si="2"/>
        <v>2017/01/15 04:33:15.841</v>
      </c>
      <c r="C42" s="21">
        <f t="shared" si="3"/>
        <v>2.6504640118218958E-6</v>
      </c>
    </row>
    <row r="43" spans="1:3" x14ac:dyDescent="0.25">
      <c r="A43" t="s">
        <v>872</v>
      </c>
      <c r="B43" s="21" t="str">
        <f t="shared" si="2"/>
        <v>2017/01/15 04:52:36.860</v>
      </c>
      <c r="C43" s="21">
        <f t="shared" si="3"/>
        <v>1.3437719906505663E-2</v>
      </c>
    </row>
    <row r="44" spans="1:3" x14ac:dyDescent="0.25">
      <c r="A44" t="s">
        <v>873</v>
      </c>
      <c r="B44" s="21" t="str">
        <f t="shared" si="2"/>
        <v>2017/01/15 05:35:44.764</v>
      </c>
      <c r="C44" s="21">
        <f t="shared" si="3"/>
        <v>2.9952592594781891E-2</v>
      </c>
    </row>
    <row r="45" spans="1:3" x14ac:dyDescent="0.25">
      <c r="A45" t="s">
        <v>874</v>
      </c>
      <c r="B45" s="21" t="str">
        <f t="shared" si="2"/>
        <v>2017/01/15 05:35:44.870</v>
      </c>
      <c r="C45" s="21">
        <f t="shared" si="3"/>
        <v>1.2268501450307667E-6</v>
      </c>
    </row>
    <row r="46" spans="1:3" x14ac:dyDescent="0.25">
      <c r="A46" t="s">
        <v>875</v>
      </c>
      <c r="B46" s="21" t="str">
        <f t="shared" si="2"/>
        <v>2017/01/15 05:35:45.030</v>
      </c>
      <c r="C46" s="21">
        <f t="shared" si="3"/>
        <v>1.851854904089123E-6</v>
      </c>
    </row>
    <row r="47" spans="1:3" x14ac:dyDescent="0.25">
      <c r="B47" s="21"/>
      <c r="C47" s="21"/>
    </row>
    <row r="48" spans="1:3" x14ac:dyDescent="0.25">
      <c r="B48" s="21"/>
      <c r="C48" s="21"/>
    </row>
    <row r="49" spans="2:3" x14ac:dyDescent="0.25">
      <c r="B49" s="21"/>
      <c r="C49" s="21"/>
    </row>
    <row r="50" spans="2:3" x14ac:dyDescent="0.25">
      <c r="B50" s="21"/>
      <c r="C50" s="21"/>
    </row>
    <row r="51" spans="2:3" x14ac:dyDescent="0.25">
      <c r="B51" s="21"/>
      <c r="C51" s="21"/>
    </row>
    <row r="52" spans="2:3" x14ac:dyDescent="0.25">
      <c r="B52" s="21"/>
      <c r="C52" s="21"/>
    </row>
    <row r="53" spans="2:3" x14ac:dyDescent="0.25">
      <c r="B53" s="21"/>
      <c r="C53" s="21"/>
    </row>
    <row r="54" spans="2:3" x14ac:dyDescent="0.25">
      <c r="B54" s="21"/>
      <c r="C54" s="21"/>
    </row>
    <row r="55" spans="2:3" x14ac:dyDescent="0.25">
      <c r="B55" s="21"/>
      <c r="C55" s="21"/>
    </row>
    <row r="56" spans="2:3" x14ac:dyDescent="0.25">
      <c r="B56" s="21"/>
      <c r="C56" s="21"/>
    </row>
    <row r="57" spans="2:3" x14ac:dyDescent="0.25">
      <c r="B57" s="21"/>
      <c r="C57" s="21"/>
    </row>
    <row r="58" spans="2:3" x14ac:dyDescent="0.25">
      <c r="B58" s="21"/>
      <c r="C58" s="21"/>
    </row>
    <row r="59" spans="2:3" x14ac:dyDescent="0.25">
      <c r="B59" s="21"/>
      <c r="C59" s="21"/>
    </row>
    <row r="60" spans="2:3" x14ac:dyDescent="0.25">
      <c r="B60" s="21"/>
      <c r="C60" s="21"/>
    </row>
    <row r="61" spans="2:3" x14ac:dyDescent="0.25">
      <c r="B61" s="21"/>
      <c r="C61" s="21"/>
    </row>
    <row r="62" spans="2:3" x14ac:dyDescent="0.25">
      <c r="B62" s="21"/>
      <c r="C62" s="21"/>
    </row>
    <row r="63" spans="2:3" x14ac:dyDescent="0.25">
      <c r="B63" s="21"/>
      <c r="C63" s="21"/>
    </row>
    <row r="64" spans="2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2017-01-16T18:23:36Z</dcterms:modified>
</cp:coreProperties>
</file>