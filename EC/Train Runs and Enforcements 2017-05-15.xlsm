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Enforcements!$A$6:$AC$61</definedName>
    <definedName name="_xlnm._FilterDatabase" localSheetId="2" hidden="1">'Missing Trips'!$A$2:$J$76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3" i="1" l="1"/>
  <c r="X174" i="1"/>
  <c r="X175" i="1"/>
  <c r="X176" i="1"/>
  <c r="X177" i="1"/>
  <c r="X178" i="1"/>
  <c r="X179" i="1"/>
  <c r="X180" i="1"/>
  <c r="X181" i="1"/>
  <c r="K14" i="1"/>
  <c r="L14" i="1"/>
  <c r="M14" i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P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A19" i="1" s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T25" i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T31" i="1" s="1"/>
  <c r="AE31" i="1"/>
  <c r="AF31" i="1"/>
  <c r="AG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T33" i="1"/>
  <c r="V33" i="1"/>
  <c r="Y33" i="1"/>
  <c r="Z33" i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T36" i="1"/>
  <c r="V36" i="1"/>
  <c r="X36" i="1"/>
  <c r="Y36" i="1"/>
  <c r="Z36" i="1"/>
  <c r="AA36" i="1" s="1"/>
  <c r="W36" i="1" s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T37" i="1"/>
  <c r="V37" i="1"/>
  <c r="X37" i="1"/>
  <c r="Y37" i="1"/>
  <c r="Z37" i="1"/>
  <c r="AB37" i="1"/>
  <c r="AC37" i="1"/>
  <c r="AD37" i="1"/>
  <c r="AE37" i="1"/>
  <c r="R7" i="3" s="1"/>
  <c r="AF37" i="1"/>
  <c r="AG37" i="1"/>
  <c r="AH37" i="1"/>
  <c r="AI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T39" i="1" s="1"/>
  <c r="AE39" i="1"/>
  <c r="AF39" i="1"/>
  <c r="AG39" i="1"/>
  <c r="AI39" i="1" s="1"/>
  <c r="AH39" i="1"/>
  <c r="AM39" i="1"/>
  <c r="AN39" i="1"/>
  <c r="K40" i="1"/>
  <c r="L40" i="1"/>
  <c r="M40" i="1"/>
  <c r="N40" i="1" s="1"/>
  <c r="V40" i="1"/>
  <c r="X40" i="1"/>
  <c r="Y40" i="1"/>
  <c r="Z40" i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T41" i="1"/>
  <c r="V41" i="1"/>
  <c r="X41" i="1"/>
  <c r="Y41" i="1"/>
  <c r="Z41" i="1"/>
  <c r="AB41" i="1"/>
  <c r="AC41" i="1"/>
  <c r="AD41" i="1"/>
  <c r="AE41" i="1"/>
  <c r="AF41" i="1"/>
  <c r="AG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G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A50" i="1" s="1"/>
  <c r="AB50" i="1"/>
  <c r="AC50" i="1"/>
  <c r="AD50" i="1"/>
  <c r="AG50" i="1" s="1"/>
  <c r="AE50" i="1"/>
  <c r="R32" i="3" s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A55" i="1" s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/>
  <c r="V56" i="1"/>
  <c r="Y56" i="1"/>
  <c r="AA56" i="1" s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X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R8" i="3" s="1"/>
  <c r="AF70" i="1"/>
  <c r="AH70" i="1"/>
  <c r="AM70" i="1"/>
  <c r="AN70" i="1"/>
  <c r="K71" i="1"/>
  <c r="L71" i="1"/>
  <c r="M71" i="1"/>
  <c r="N71" i="1" s="1"/>
  <c r="V71" i="1"/>
  <c r="S18" i="3" s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AB72" i="1"/>
  <c r="AC72" i="1"/>
  <c r="AD72" i="1"/>
  <c r="T72" i="1" s="1"/>
  <c r="AE72" i="1"/>
  <c r="R22" i="3" s="1"/>
  <c r="AF72" i="1"/>
  <c r="AH72" i="1"/>
  <c r="AM72" i="1"/>
  <c r="AN72" i="1"/>
  <c r="K73" i="1"/>
  <c r="L73" i="1"/>
  <c r="M73" i="1"/>
  <c r="N73" i="1" s="1"/>
  <c r="V73" i="1"/>
  <c r="S36" i="3" s="1"/>
  <c r="Y73" i="1"/>
  <c r="Z73" i="1"/>
  <c r="AA73" i="1" s="1"/>
  <c r="AB73" i="1"/>
  <c r="AC73" i="1"/>
  <c r="AD73" i="1"/>
  <c r="X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G75" i="1"/>
  <c r="AI75" i="1" s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R39" i="3" s="1"/>
  <c r="AF79" i="1"/>
  <c r="AH79" i="1"/>
  <c r="AM79" i="1"/>
  <c r="AN79" i="1"/>
  <c r="K80" i="1"/>
  <c r="L80" i="1"/>
  <c r="M80" i="1"/>
  <c r="N80" i="1" s="1"/>
  <c r="T80" i="1"/>
  <c r="V80" i="1"/>
  <c r="Y80" i="1"/>
  <c r="Z80" i="1"/>
  <c r="AB80" i="1"/>
  <c r="AC80" i="1"/>
  <c r="AD80" i="1"/>
  <c r="AG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R13" i="3" s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R28" i="3" s="1"/>
  <c r="AF84" i="1"/>
  <c r="AH84" i="1"/>
  <c r="AM84" i="1"/>
  <c r="AN84" i="1"/>
  <c r="K85" i="1"/>
  <c r="L85" i="1"/>
  <c r="M85" i="1"/>
  <c r="N85" i="1" s="1"/>
  <c r="T85" i="1"/>
  <c r="V85" i="1"/>
  <c r="X85" i="1"/>
  <c r="Y85" i="1"/>
  <c r="Z85" i="1"/>
  <c r="AB85" i="1"/>
  <c r="AC85" i="1"/>
  <c r="AD85" i="1"/>
  <c r="AE85" i="1"/>
  <c r="R24" i="3" s="1"/>
  <c r="AF85" i="1"/>
  <c r="AG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T93" i="1"/>
  <c r="V93" i="1"/>
  <c r="X93" i="1"/>
  <c r="Y93" i="1"/>
  <c r="Z93" i="1"/>
  <c r="AB93" i="1"/>
  <c r="AC93" i="1"/>
  <c r="AD93" i="1"/>
  <c r="AE93" i="1"/>
  <c r="R15" i="3" s="1"/>
  <c r="AF93" i="1"/>
  <c r="AG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AA97" i="1" s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S29" i="3" s="1"/>
  <c r="Y104" i="1"/>
  <c r="Z104" i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/>
  <c r="V108" i="1"/>
  <c r="Y108" i="1"/>
  <c r="AA108" i="1" s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X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R43" i="3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AA128" i="1" s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X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R46" i="3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G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AH149" i="1"/>
  <c r="AM149" i="1"/>
  <c r="AN149" i="1"/>
  <c r="K150" i="1"/>
  <c r="L150" i="1"/>
  <c r="M150" i="1"/>
  <c r="N150" i="1" s="1"/>
  <c r="T150" i="1"/>
  <c r="V150" i="1"/>
  <c r="Y150" i="1"/>
  <c r="Z150" i="1"/>
  <c r="AA150" i="1" s="1"/>
  <c r="AB150" i="1"/>
  <c r="AC150" i="1"/>
  <c r="AD150" i="1"/>
  <c r="X150" i="1" s="1"/>
  <c r="AE150" i="1"/>
  <c r="R12" i="3" s="1"/>
  <c r="AF150" i="1"/>
  <c r="AH150" i="1"/>
  <c r="AM150" i="1"/>
  <c r="AN150" i="1"/>
  <c r="K151" i="1"/>
  <c r="L151" i="1"/>
  <c r="M151" i="1"/>
  <c r="N151" i="1" s="1"/>
  <c r="V151" i="1"/>
  <c r="Y151" i="1"/>
  <c r="Z151" i="1"/>
  <c r="AA151" i="1" s="1"/>
  <c r="AB151" i="1"/>
  <c r="AC151" i="1"/>
  <c r="AD151" i="1"/>
  <c r="T151" i="1" s="1"/>
  <c r="AE151" i="1"/>
  <c r="AF151" i="1"/>
  <c r="AG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G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W208" i="1" s="1"/>
  <c r="AB208" i="1"/>
  <c r="AC208" i="1"/>
  <c r="AD208" i="1"/>
  <c r="AG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 s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64" i="1"/>
  <c r="AM164" i="1"/>
  <c r="AN164" i="1"/>
  <c r="K212" i="1"/>
  <c r="L212" i="1"/>
  <c r="M212" i="1"/>
  <c r="N212" i="1" s="1"/>
  <c r="T212" i="1"/>
  <c r="V212" i="1"/>
  <c r="Y212" i="1"/>
  <c r="AA212" i="1" s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G218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AE226" i="1"/>
  <c r="AF226" i="1"/>
  <c r="AH172" i="1"/>
  <c r="AM172" i="1"/>
  <c r="AN172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3" i="1"/>
  <c r="AM173" i="1"/>
  <c r="AN173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AG229" i="1" s="1"/>
  <c r="AI229" i="1" s="1"/>
  <c r="AE229" i="1"/>
  <c r="AF229" i="1"/>
  <c r="K230" i="1"/>
  <c r="L230" i="1"/>
  <c r="M230" i="1"/>
  <c r="N230" i="1" s="1"/>
  <c r="V230" i="1"/>
  <c r="Y230" i="1"/>
  <c r="Z230" i="1"/>
  <c r="AA230" i="1" s="1"/>
  <c r="AB230" i="1"/>
  <c r="AC230" i="1"/>
  <c r="AD230" i="1"/>
  <c r="T230" i="1" s="1"/>
  <c r="AE230" i="1"/>
  <c r="AF230" i="1"/>
  <c r="AH175" i="1"/>
  <c r="AM175" i="1"/>
  <c r="AN175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6" i="1"/>
  <c r="AM176" i="1"/>
  <c r="AN176" i="1"/>
  <c r="K232" i="1"/>
  <c r="L232" i="1"/>
  <c r="M232" i="1"/>
  <c r="N232" i="1" s="1"/>
  <c r="V232" i="1"/>
  <c r="Y232" i="1"/>
  <c r="Z232" i="1"/>
  <c r="AA232" i="1" s="1"/>
  <c r="AB232" i="1"/>
  <c r="AC232" i="1"/>
  <c r="AD232" i="1"/>
  <c r="AE232" i="1"/>
  <c r="AF232" i="1"/>
  <c r="AH177" i="1"/>
  <c r="AM177" i="1"/>
  <c r="AN177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8" i="1"/>
  <c r="AM178" i="1"/>
  <c r="AN178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79" i="1"/>
  <c r="AM179" i="1"/>
  <c r="AN179" i="1"/>
  <c r="K235" i="1"/>
  <c r="L235" i="1"/>
  <c r="M235" i="1"/>
  <c r="N235" i="1" s="1"/>
  <c r="V235" i="1"/>
  <c r="S66" i="3" s="1"/>
  <c r="Y235" i="1"/>
  <c r="Z235" i="1"/>
  <c r="AA235" i="1" s="1"/>
  <c r="W235" i="1" s="1"/>
  <c r="AB235" i="1"/>
  <c r="AC235" i="1"/>
  <c r="AD235" i="1"/>
  <c r="AG235" i="1" s="1"/>
  <c r="AE235" i="1"/>
  <c r="AF235" i="1"/>
  <c r="AH180" i="1"/>
  <c r="AM180" i="1"/>
  <c r="AN180" i="1"/>
  <c r="K236" i="1"/>
  <c r="L236" i="1"/>
  <c r="M236" i="1"/>
  <c r="N236" i="1" s="1"/>
  <c r="V236" i="1"/>
  <c r="Y236" i="1"/>
  <c r="Z236" i="1"/>
  <c r="AA236" i="1" s="1"/>
  <c r="AB236" i="1"/>
  <c r="AC236" i="1"/>
  <c r="AD236" i="1"/>
  <c r="AG236" i="1" s="1"/>
  <c r="AE236" i="1"/>
  <c r="AF236" i="1"/>
  <c r="AH181" i="1"/>
  <c r="AM181" i="1"/>
  <c r="AN181" i="1"/>
  <c r="K237" i="1"/>
  <c r="L237" i="1"/>
  <c r="M237" i="1"/>
  <c r="N237" i="1" s="1"/>
  <c r="V237" i="1"/>
  <c r="S67" i="3" s="1"/>
  <c r="Y237" i="1"/>
  <c r="Z237" i="1"/>
  <c r="AB237" i="1"/>
  <c r="AC237" i="1"/>
  <c r="AD237" i="1"/>
  <c r="AG237" i="1" s="1"/>
  <c r="AE237" i="1"/>
  <c r="AF237" i="1"/>
  <c r="AH182" i="1"/>
  <c r="AM182" i="1"/>
  <c r="AN182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G238" i="1"/>
  <c r="AH183" i="1"/>
  <c r="AM183" i="1"/>
  <c r="AN183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84" i="1"/>
  <c r="AM184" i="1"/>
  <c r="AN184" i="1"/>
  <c r="K240" i="1"/>
  <c r="L240" i="1"/>
  <c r="M240" i="1"/>
  <c r="N240" i="1" s="1"/>
  <c r="V240" i="1"/>
  <c r="Y240" i="1"/>
  <c r="Z240" i="1"/>
  <c r="AB240" i="1"/>
  <c r="AC240" i="1"/>
  <c r="AD240" i="1"/>
  <c r="X240" i="1" s="1"/>
  <c r="AE240" i="1"/>
  <c r="AF240" i="1"/>
  <c r="AH185" i="1"/>
  <c r="AM185" i="1"/>
  <c r="AN185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AF241" i="1"/>
  <c r="AH186" i="1"/>
  <c r="AM186" i="1"/>
  <c r="AN186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G242" i="1"/>
  <c r="AH187" i="1"/>
  <c r="AM187" i="1"/>
  <c r="AN187" i="1"/>
  <c r="K243" i="1"/>
  <c r="L243" i="1"/>
  <c r="M243" i="1"/>
  <c r="N243" i="1" s="1"/>
  <c r="V243" i="1"/>
  <c r="X243" i="1"/>
  <c r="Y243" i="1"/>
  <c r="Z243" i="1"/>
  <c r="AB243" i="1"/>
  <c r="AC243" i="1"/>
  <c r="AD243" i="1"/>
  <c r="AG243" i="1" s="1"/>
  <c r="AE243" i="1"/>
  <c r="AF243" i="1"/>
  <c r="AH188" i="1"/>
  <c r="AM188" i="1"/>
  <c r="AN188" i="1"/>
  <c r="K244" i="1"/>
  <c r="L244" i="1"/>
  <c r="M244" i="1"/>
  <c r="N244" i="1" s="1"/>
  <c r="V244" i="1"/>
  <c r="Y244" i="1"/>
  <c r="Z244" i="1"/>
  <c r="AB244" i="1"/>
  <c r="AC244" i="1"/>
  <c r="AD244" i="1"/>
  <c r="AE244" i="1"/>
  <c r="AF244" i="1"/>
  <c r="AH189" i="1"/>
  <c r="AM189" i="1"/>
  <c r="AN189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90" i="1"/>
  <c r="AM190" i="1"/>
  <c r="AN190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1" i="1"/>
  <c r="AM191" i="1"/>
  <c r="AN191" i="1"/>
  <c r="K247" i="1"/>
  <c r="L247" i="1"/>
  <c r="M247" i="1"/>
  <c r="N247" i="1" s="1"/>
  <c r="T247" i="1"/>
  <c r="V247" i="1"/>
  <c r="Y247" i="1"/>
  <c r="Z247" i="1"/>
  <c r="AB247" i="1"/>
  <c r="AC247" i="1"/>
  <c r="AD247" i="1"/>
  <c r="AG247" i="1" s="1"/>
  <c r="AE247" i="1"/>
  <c r="AF247" i="1"/>
  <c r="AH192" i="1"/>
  <c r="AM192" i="1"/>
  <c r="AN192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3" i="1"/>
  <c r="AM193" i="1"/>
  <c r="AN1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A160" i="1" s="1"/>
  <c r="AB160" i="1"/>
  <c r="AC160" i="1"/>
  <c r="AD160" i="1"/>
  <c r="T160" i="1" s="1"/>
  <c r="AE160" i="1"/>
  <c r="AF160" i="1"/>
  <c r="AH195" i="1"/>
  <c r="AM195" i="1"/>
  <c r="AN1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6" i="1"/>
  <c r="AM196" i="1"/>
  <c r="AN196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7" i="1"/>
  <c r="AM197" i="1"/>
  <c r="AN1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98" i="1"/>
  <c r="AM198" i="1"/>
  <c r="AN1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R58" i="3" s="1"/>
  <c r="AF164" i="1"/>
  <c r="AG164" i="1"/>
  <c r="AH199" i="1"/>
  <c r="AM199" i="1"/>
  <c r="AN199" i="1"/>
  <c r="K165" i="1"/>
  <c r="L165" i="1"/>
  <c r="M165" i="1"/>
  <c r="N165" i="1" s="1"/>
  <c r="V165" i="1"/>
  <c r="X165" i="1"/>
  <c r="Y165" i="1"/>
  <c r="Z165" i="1"/>
  <c r="AB165" i="1"/>
  <c r="AC165" i="1"/>
  <c r="AD165" i="1"/>
  <c r="AG165" i="1" s="1"/>
  <c r="AE165" i="1"/>
  <c r="R50" i="3" s="1"/>
  <c r="AF165" i="1"/>
  <c r="AH200" i="1"/>
  <c r="AM200" i="1"/>
  <c r="AN200" i="1"/>
  <c r="K166" i="1"/>
  <c r="L166" i="1"/>
  <c r="M166" i="1"/>
  <c r="N166" i="1" s="1"/>
  <c r="V166" i="1"/>
  <c r="Y166" i="1"/>
  <c r="AA166" i="1" s="1"/>
  <c r="Z166" i="1"/>
  <c r="AB166" i="1"/>
  <c r="AC166" i="1"/>
  <c r="AD166" i="1"/>
  <c r="T166" i="1" s="1"/>
  <c r="AE166" i="1"/>
  <c r="AF166" i="1"/>
  <c r="AH201" i="1"/>
  <c r="AM201" i="1"/>
  <c r="AN201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202" i="1"/>
  <c r="AM202" i="1"/>
  <c r="AN202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203" i="1"/>
  <c r="AM203" i="1"/>
  <c r="AN203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04" i="1"/>
  <c r="AM204" i="1"/>
  <c r="AN204" i="1"/>
  <c r="K170" i="1"/>
  <c r="L170" i="1"/>
  <c r="M170" i="1"/>
  <c r="N170" i="1" s="1"/>
  <c r="T170" i="1"/>
  <c r="V170" i="1"/>
  <c r="Y170" i="1"/>
  <c r="Z170" i="1"/>
  <c r="AB170" i="1"/>
  <c r="AC170" i="1"/>
  <c r="AD170" i="1"/>
  <c r="AG170" i="1" s="1"/>
  <c r="AE170" i="1"/>
  <c r="AF170" i="1"/>
  <c r="AH205" i="1"/>
  <c r="AM205" i="1"/>
  <c r="AN2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6" i="1"/>
  <c r="AM206" i="1"/>
  <c r="AN206" i="1"/>
  <c r="K172" i="1"/>
  <c r="L172" i="1"/>
  <c r="M172" i="1"/>
  <c r="N172" i="1" s="1"/>
  <c r="V172" i="1"/>
  <c r="Y172" i="1"/>
  <c r="Z172" i="1"/>
  <c r="AA172" i="1"/>
  <c r="AB172" i="1"/>
  <c r="AC172" i="1"/>
  <c r="AD172" i="1"/>
  <c r="T172" i="1" s="1"/>
  <c r="AE172" i="1"/>
  <c r="AF172" i="1"/>
  <c r="AH207" i="1"/>
  <c r="AM207" i="1"/>
  <c r="AN207" i="1"/>
  <c r="K173" i="1"/>
  <c r="L173" i="1"/>
  <c r="M173" i="1"/>
  <c r="N173" i="1" s="1"/>
  <c r="T173" i="1"/>
  <c r="V173" i="1"/>
  <c r="Y173" i="1"/>
  <c r="Z173" i="1"/>
  <c r="AB173" i="1"/>
  <c r="AC173" i="1"/>
  <c r="AD173" i="1"/>
  <c r="AG173" i="1" s="1"/>
  <c r="AE173" i="1"/>
  <c r="AF173" i="1"/>
  <c r="AH208" i="1"/>
  <c r="AM208" i="1"/>
  <c r="AN208" i="1"/>
  <c r="K174" i="1"/>
  <c r="L174" i="1"/>
  <c r="M174" i="1"/>
  <c r="N174" i="1" s="1"/>
  <c r="V174" i="1"/>
  <c r="Y174" i="1"/>
  <c r="AA174" i="1" s="1"/>
  <c r="Z174" i="1"/>
  <c r="AB174" i="1"/>
  <c r="AC174" i="1"/>
  <c r="AD174" i="1"/>
  <c r="T174" i="1" s="1"/>
  <c r="AE174" i="1"/>
  <c r="AF174" i="1"/>
  <c r="AH209" i="1"/>
  <c r="AM209" i="1"/>
  <c r="AN209" i="1"/>
  <c r="AH210" i="1"/>
  <c r="AM210" i="1"/>
  <c r="AN210" i="1"/>
  <c r="K175" i="1"/>
  <c r="L175" i="1"/>
  <c r="M175" i="1"/>
  <c r="N175" i="1" s="1"/>
  <c r="V175" i="1"/>
  <c r="S53" i="3" s="1"/>
  <c r="Y175" i="1"/>
  <c r="Z175" i="1"/>
  <c r="AA175" i="1" s="1"/>
  <c r="AB175" i="1"/>
  <c r="AC175" i="1"/>
  <c r="AD175" i="1"/>
  <c r="T175" i="1" s="1"/>
  <c r="AE175" i="1"/>
  <c r="AF175" i="1"/>
  <c r="AH211" i="1"/>
  <c r="AM211" i="1"/>
  <c r="AN211" i="1"/>
  <c r="K176" i="1"/>
  <c r="L176" i="1"/>
  <c r="M176" i="1"/>
  <c r="N176" i="1"/>
  <c r="V176" i="1"/>
  <c r="Y176" i="1"/>
  <c r="Z176" i="1"/>
  <c r="AA176" i="1" s="1"/>
  <c r="AB176" i="1"/>
  <c r="AC176" i="1"/>
  <c r="AD176" i="1"/>
  <c r="AG176" i="1" s="1"/>
  <c r="AE176" i="1"/>
  <c r="AF176" i="1"/>
  <c r="AH212" i="1"/>
  <c r="AM212" i="1"/>
  <c r="AN212" i="1"/>
  <c r="K177" i="1"/>
  <c r="L177" i="1"/>
  <c r="M177" i="1"/>
  <c r="N177" i="1" s="1"/>
  <c r="V177" i="1"/>
  <c r="Y177" i="1"/>
  <c r="Z177" i="1"/>
  <c r="AB177" i="1"/>
  <c r="AC177" i="1"/>
  <c r="AD177" i="1"/>
  <c r="AG177" i="1" s="1"/>
  <c r="AI177" i="1" s="1"/>
  <c r="AE177" i="1"/>
  <c r="AF177" i="1"/>
  <c r="AH213" i="1"/>
  <c r="AM213" i="1"/>
  <c r="AN213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4" i="1"/>
  <c r="AM214" i="1"/>
  <c r="AN214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15" i="1"/>
  <c r="AM215" i="1"/>
  <c r="AN215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16" i="1"/>
  <c r="AM216" i="1"/>
  <c r="AN216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7" i="1"/>
  <c r="AI217" i="1"/>
  <c r="AM217" i="1"/>
  <c r="AN21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8" i="1"/>
  <c r="AM218" i="1"/>
  <c r="AN218" i="1"/>
  <c r="K183" i="1"/>
  <c r="L183" i="1"/>
  <c r="M183" i="1"/>
  <c r="N183" i="1" s="1"/>
  <c r="V183" i="1"/>
  <c r="S55" i="3" s="1"/>
  <c r="Y183" i="1"/>
  <c r="Z183" i="1"/>
  <c r="AB183" i="1"/>
  <c r="AC183" i="1"/>
  <c r="AD183" i="1"/>
  <c r="T183" i="1" s="1"/>
  <c r="AE183" i="1"/>
  <c r="AF183" i="1"/>
  <c r="AH219" i="1"/>
  <c r="AM219" i="1"/>
  <c r="AN219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20" i="1"/>
  <c r="AM220" i="1"/>
  <c r="AN2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1" i="1"/>
  <c r="AM221" i="1"/>
  <c r="AN221" i="1"/>
  <c r="K186" i="1"/>
  <c r="L186" i="1"/>
  <c r="M186" i="1"/>
  <c r="N186" i="1" s="1"/>
  <c r="V186" i="1"/>
  <c r="Y186" i="1"/>
  <c r="Z186" i="1"/>
  <c r="AA186" i="1" s="1"/>
  <c r="AB186" i="1"/>
  <c r="AC186" i="1"/>
  <c r="AD186" i="1"/>
  <c r="AE186" i="1"/>
  <c r="AF186" i="1"/>
  <c r="AH222" i="1"/>
  <c r="AM222" i="1"/>
  <c r="AN222" i="1"/>
  <c r="K187" i="1"/>
  <c r="L187" i="1"/>
  <c r="M187" i="1"/>
  <c r="N187" i="1" s="1"/>
  <c r="T187" i="1"/>
  <c r="V187" i="1"/>
  <c r="Y187" i="1"/>
  <c r="AA187" i="1" s="1"/>
  <c r="Z187" i="1"/>
  <c r="AB187" i="1"/>
  <c r="AC187" i="1"/>
  <c r="AD187" i="1"/>
  <c r="AG187" i="1" s="1"/>
  <c r="AE187" i="1"/>
  <c r="AF187" i="1"/>
  <c r="AH223" i="1"/>
  <c r="AM223" i="1"/>
  <c r="AN223" i="1"/>
  <c r="K188" i="1"/>
  <c r="L188" i="1"/>
  <c r="M188" i="1"/>
  <c r="N188" i="1"/>
  <c r="V188" i="1"/>
  <c r="Y188" i="1"/>
  <c r="Z188" i="1"/>
  <c r="AB188" i="1"/>
  <c r="AC188" i="1"/>
  <c r="AD188" i="1"/>
  <c r="AG188" i="1" s="1"/>
  <c r="AE188" i="1"/>
  <c r="AF188" i="1"/>
  <c r="AH224" i="1"/>
  <c r="AM224" i="1"/>
  <c r="AN2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25" i="1"/>
  <c r="AM225" i="1"/>
  <c r="AN22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6" i="1"/>
  <c r="AM226" i="1"/>
  <c r="AN226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27" i="1"/>
  <c r="AM227" i="1"/>
  <c r="AN227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28" i="1"/>
  <c r="AM228" i="1"/>
  <c r="AN228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29" i="1"/>
  <c r="AM229" i="1"/>
  <c r="AN229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30" i="1"/>
  <c r="AM230" i="1"/>
  <c r="AN230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31" i="1"/>
  <c r="AM231" i="1"/>
  <c r="AN23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32" i="1"/>
  <c r="AM232" i="1"/>
  <c r="AN232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33" i="1"/>
  <c r="AM233" i="1"/>
  <c r="AN233" i="1"/>
  <c r="K198" i="1"/>
  <c r="L198" i="1"/>
  <c r="M198" i="1"/>
  <c r="N198" i="1" s="1"/>
  <c r="V198" i="1"/>
  <c r="S47" i="3" s="1"/>
  <c r="Y198" i="1"/>
  <c r="Z198" i="1"/>
  <c r="AB198" i="1"/>
  <c r="AC198" i="1"/>
  <c r="AD198" i="1"/>
  <c r="AE198" i="1"/>
  <c r="AF198" i="1"/>
  <c r="AH234" i="1"/>
  <c r="AM234" i="1"/>
  <c r="AN234" i="1"/>
  <c r="K199" i="1"/>
  <c r="L199" i="1"/>
  <c r="M199" i="1"/>
  <c r="N199" i="1" s="1"/>
  <c r="T199" i="1"/>
  <c r="V199" i="1"/>
  <c r="Y199" i="1"/>
  <c r="Z199" i="1"/>
  <c r="AB199" i="1"/>
  <c r="AC199" i="1"/>
  <c r="AD199" i="1"/>
  <c r="AG199" i="1" s="1"/>
  <c r="AE199" i="1"/>
  <c r="AF199" i="1"/>
  <c r="AH235" i="1"/>
  <c r="AM235" i="1"/>
  <c r="AN235" i="1"/>
  <c r="K200" i="1"/>
  <c r="L200" i="1"/>
  <c r="M200" i="1"/>
  <c r="N200" i="1"/>
  <c r="V200" i="1"/>
  <c r="Y200" i="1"/>
  <c r="Z200" i="1"/>
  <c r="AB200" i="1"/>
  <c r="AC200" i="1"/>
  <c r="AD200" i="1"/>
  <c r="AE200" i="1"/>
  <c r="AF200" i="1"/>
  <c r="AH236" i="1"/>
  <c r="AM236" i="1"/>
  <c r="AN236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7" i="1"/>
  <c r="AI237" i="1"/>
  <c r="AM237" i="1"/>
  <c r="AN237" i="1"/>
  <c r="K202" i="1"/>
  <c r="L202" i="1"/>
  <c r="M202" i="1"/>
  <c r="N202" i="1" s="1"/>
  <c r="V202" i="1"/>
  <c r="Y202" i="1"/>
  <c r="Z202" i="1"/>
  <c r="AA202" i="1" s="1"/>
  <c r="AB202" i="1"/>
  <c r="AC202" i="1"/>
  <c r="AD202" i="1"/>
  <c r="AE202" i="1"/>
  <c r="AF202" i="1"/>
  <c r="AH238" i="1"/>
  <c r="AM238" i="1"/>
  <c r="AN238" i="1"/>
  <c r="K203" i="1"/>
  <c r="L203" i="1"/>
  <c r="M203" i="1"/>
  <c r="N203" i="1" s="1"/>
  <c r="T203" i="1"/>
  <c r="V203" i="1"/>
  <c r="Y203" i="1"/>
  <c r="Z203" i="1"/>
  <c r="AA203" i="1"/>
  <c r="W203" i="1" s="1"/>
  <c r="AB203" i="1"/>
  <c r="AC203" i="1"/>
  <c r="AD203" i="1"/>
  <c r="AG203" i="1" s="1"/>
  <c r="AE203" i="1"/>
  <c r="AF203" i="1"/>
  <c r="AH239" i="1"/>
  <c r="AI239" i="1"/>
  <c r="AM239" i="1"/>
  <c r="AN239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40" i="1"/>
  <c r="AM240" i="1"/>
  <c r="AN240" i="1"/>
  <c r="K205" i="1"/>
  <c r="L205" i="1"/>
  <c r="M205" i="1"/>
  <c r="N205" i="1" s="1"/>
  <c r="V205" i="1"/>
  <c r="Y205" i="1"/>
  <c r="AA205" i="1" s="1"/>
  <c r="Z205" i="1"/>
  <c r="AB205" i="1"/>
  <c r="AC205" i="1"/>
  <c r="AD205" i="1"/>
  <c r="AE205" i="1"/>
  <c r="AF205" i="1"/>
  <c r="AH241" i="1"/>
  <c r="AM241" i="1"/>
  <c r="AN241" i="1"/>
  <c r="K219" i="1"/>
  <c r="L219" i="1"/>
  <c r="M219" i="1"/>
  <c r="N219" i="1" s="1"/>
  <c r="V219" i="1"/>
  <c r="S64" i="3" s="1"/>
  <c r="Y219" i="1"/>
  <c r="Z219" i="1"/>
  <c r="AA219" i="1" s="1"/>
  <c r="AB219" i="1"/>
  <c r="AC219" i="1"/>
  <c r="AD219" i="1"/>
  <c r="AE219" i="1"/>
  <c r="AF219" i="1"/>
  <c r="AH242" i="1"/>
  <c r="AM242" i="1"/>
  <c r="AN242" i="1"/>
  <c r="K220" i="1"/>
  <c r="L220" i="1"/>
  <c r="M220" i="1"/>
  <c r="N220" i="1" s="1"/>
  <c r="V220" i="1"/>
  <c r="Y220" i="1"/>
  <c r="Z220" i="1"/>
  <c r="AA220" i="1" s="1"/>
  <c r="AB220" i="1"/>
  <c r="AC220" i="1"/>
  <c r="AD220" i="1"/>
  <c r="T220" i="1" s="1"/>
  <c r="AE220" i="1"/>
  <c r="AF220" i="1"/>
  <c r="AH243" i="1"/>
  <c r="AI243" i="1"/>
  <c r="AM243" i="1"/>
  <c r="AN243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44" i="1"/>
  <c r="AM244" i="1"/>
  <c r="AN244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45" i="1"/>
  <c r="AM245" i="1"/>
  <c r="AN245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6" i="1"/>
  <c r="AM246" i="1"/>
  <c r="AN246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47" i="1"/>
  <c r="AM247" i="1"/>
  <c r="AN247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48" i="1"/>
  <c r="AM248" i="1"/>
  <c r="AN248" i="1"/>
  <c r="M64" i="3"/>
  <c r="R64" i="3"/>
  <c r="U64" i="3"/>
  <c r="T64" i="3" s="1"/>
  <c r="V64" i="3"/>
  <c r="W64" i="3"/>
  <c r="X64" i="3"/>
  <c r="M57" i="3"/>
  <c r="R57" i="3"/>
  <c r="S57" i="3"/>
  <c r="U57" i="3"/>
  <c r="T57" i="3" s="1"/>
  <c r="V57" i="3"/>
  <c r="W57" i="3"/>
  <c r="Y57" i="3" s="1"/>
  <c r="X57" i="3"/>
  <c r="AC57" i="3"/>
  <c r="M30" i="3"/>
  <c r="R30" i="3"/>
  <c r="S30" i="3"/>
  <c r="U30" i="3"/>
  <c r="AC30" i="3" s="1"/>
  <c r="V30" i="3"/>
  <c r="W30" i="3"/>
  <c r="Y30" i="3" s="1"/>
  <c r="X30" i="3"/>
  <c r="M48" i="3"/>
  <c r="R48" i="3"/>
  <c r="S48" i="3"/>
  <c r="U48" i="3"/>
  <c r="AC48" i="3" s="1"/>
  <c r="V48" i="3"/>
  <c r="W48" i="3"/>
  <c r="Y48" i="3" s="1"/>
  <c r="X48" i="3"/>
  <c r="M49" i="3"/>
  <c r="R49" i="3"/>
  <c r="S49" i="3"/>
  <c r="U49" i="3"/>
  <c r="AC49" i="3" s="1"/>
  <c r="V49" i="3"/>
  <c r="W49" i="3"/>
  <c r="X49" i="3"/>
  <c r="M7" i="3"/>
  <c r="S7" i="3"/>
  <c r="U7" i="3"/>
  <c r="T7" i="3" s="1"/>
  <c r="V7" i="3"/>
  <c r="W7" i="3"/>
  <c r="X7" i="3"/>
  <c r="AC7" i="3"/>
  <c r="M58" i="3"/>
  <c r="S58" i="3"/>
  <c r="U58" i="3"/>
  <c r="AC58" i="3" s="1"/>
  <c r="V58" i="3"/>
  <c r="W58" i="3"/>
  <c r="X58" i="3"/>
  <c r="Y58" i="3"/>
  <c r="M59" i="3"/>
  <c r="S59" i="3"/>
  <c r="U59" i="3"/>
  <c r="AC59" i="3" s="1"/>
  <c r="V59" i="3"/>
  <c r="W59" i="3"/>
  <c r="X59" i="3"/>
  <c r="M50" i="3"/>
  <c r="S50" i="3"/>
  <c r="U50" i="3"/>
  <c r="AC50" i="3" s="1"/>
  <c r="V50" i="3"/>
  <c r="W50" i="3"/>
  <c r="X50" i="3"/>
  <c r="M51" i="3"/>
  <c r="S51" i="3"/>
  <c r="U51" i="3"/>
  <c r="T51" i="3" s="1"/>
  <c r="V51" i="3"/>
  <c r="W51" i="3"/>
  <c r="X51" i="3"/>
  <c r="AC51" i="3"/>
  <c r="M60" i="3"/>
  <c r="R60" i="3"/>
  <c r="S60" i="3"/>
  <c r="U60" i="3"/>
  <c r="AC60" i="3" s="1"/>
  <c r="V60" i="3"/>
  <c r="W60" i="3"/>
  <c r="Y60" i="3" s="1"/>
  <c r="X60" i="3"/>
  <c r="M52" i="3"/>
  <c r="R52" i="3"/>
  <c r="S52" i="3"/>
  <c r="U52" i="3"/>
  <c r="AC52" i="3" s="1"/>
  <c r="V52" i="3"/>
  <c r="W52" i="3"/>
  <c r="X52" i="3"/>
  <c r="M32" i="3"/>
  <c r="S32" i="3"/>
  <c r="U32" i="3"/>
  <c r="AC32" i="3" s="1"/>
  <c r="V32" i="3"/>
  <c r="W32" i="3"/>
  <c r="X32" i="3"/>
  <c r="M21" i="3"/>
  <c r="R21" i="3"/>
  <c r="S21" i="3"/>
  <c r="U21" i="3"/>
  <c r="T21" i="3" s="1"/>
  <c r="V21" i="3"/>
  <c r="W21" i="3"/>
  <c r="X21" i="3"/>
  <c r="AC21" i="3"/>
  <c r="M62" i="3"/>
  <c r="R62" i="3"/>
  <c r="S62" i="3"/>
  <c r="U62" i="3"/>
  <c r="AC62" i="3" s="1"/>
  <c r="V62" i="3"/>
  <c r="W62" i="3"/>
  <c r="X62" i="3"/>
  <c r="M53" i="3"/>
  <c r="R53" i="3"/>
  <c r="U53" i="3"/>
  <c r="AC53" i="3" s="1"/>
  <c r="V53" i="3"/>
  <c r="W53" i="3"/>
  <c r="Y53" i="3" s="1"/>
  <c r="X53" i="3"/>
  <c r="M18" i="3"/>
  <c r="R18" i="3"/>
  <c r="U18" i="3"/>
  <c r="AC18" i="3" s="1"/>
  <c r="V18" i="3"/>
  <c r="W18" i="3"/>
  <c r="X18" i="3"/>
  <c r="M36" i="3"/>
  <c r="R36" i="3"/>
  <c r="U36" i="3"/>
  <c r="T36" i="3" s="1"/>
  <c r="V36" i="3"/>
  <c r="W36" i="3"/>
  <c r="X36" i="3"/>
  <c r="AC36" i="3"/>
  <c r="M37" i="3"/>
  <c r="R37" i="3"/>
  <c r="U37" i="3"/>
  <c r="V37" i="3"/>
  <c r="W37" i="3"/>
  <c r="Y37" i="3" s="1"/>
  <c r="X37" i="3"/>
  <c r="AC37" i="3"/>
  <c r="M22" i="3"/>
  <c r="S22" i="3"/>
  <c r="U22" i="3"/>
  <c r="AC22" i="3" s="1"/>
  <c r="V22" i="3"/>
  <c r="W22" i="3"/>
  <c r="Y22" i="3" s="1"/>
  <c r="X22" i="3"/>
  <c r="M8" i="3"/>
  <c r="S8" i="3"/>
  <c r="U8" i="3"/>
  <c r="AC8" i="3" s="1"/>
  <c r="V8" i="3"/>
  <c r="W8" i="3"/>
  <c r="X8" i="3"/>
  <c r="M38" i="3"/>
  <c r="R38" i="3"/>
  <c r="S38" i="3"/>
  <c r="U38" i="3"/>
  <c r="T38" i="3" s="1"/>
  <c r="V38" i="3"/>
  <c r="W38" i="3"/>
  <c r="X38" i="3"/>
  <c r="AC38" i="3"/>
  <c r="M39" i="3"/>
  <c r="S39" i="3"/>
  <c r="U39" i="3"/>
  <c r="AD30" i="3" s="1"/>
  <c r="V39" i="3"/>
  <c r="W39" i="3"/>
  <c r="Y39" i="3" s="1"/>
  <c r="X39" i="3"/>
  <c r="AC39" i="3"/>
  <c r="M24" i="3"/>
  <c r="S24" i="3"/>
  <c r="U24" i="3"/>
  <c r="AC24" i="3" s="1"/>
  <c r="V24" i="3"/>
  <c r="W24" i="3"/>
  <c r="X24" i="3"/>
  <c r="M40" i="3"/>
  <c r="R40" i="3"/>
  <c r="S40" i="3"/>
  <c r="T40" i="3"/>
  <c r="U40" i="3"/>
  <c r="AC40" i="3" s="1"/>
  <c r="V40" i="3"/>
  <c r="W40" i="3"/>
  <c r="X40" i="3"/>
  <c r="AE32" i="3"/>
  <c r="M31" i="3"/>
  <c r="S31" i="3"/>
  <c r="U31" i="3"/>
  <c r="T31" i="3" s="1"/>
  <c r="V31" i="3"/>
  <c r="W31" i="3"/>
  <c r="X31" i="3"/>
  <c r="AC31" i="3"/>
  <c r="M41" i="3"/>
  <c r="R41" i="3"/>
  <c r="S41" i="3"/>
  <c r="U41" i="3"/>
  <c r="AC41" i="3" s="1"/>
  <c r="V41" i="3"/>
  <c r="W41" i="3"/>
  <c r="X41" i="3"/>
  <c r="Y41" i="3"/>
  <c r="M13" i="3"/>
  <c r="S13" i="3"/>
  <c r="U13" i="3"/>
  <c r="V13" i="3"/>
  <c r="W13" i="3"/>
  <c r="X13" i="3"/>
  <c r="M28" i="3"/>
  <c r="S28" i="3"/>
  <c r="U28" i="3"/>
  <c r="AC28" i="3" s="1"/>
  <c r="V28" i="3"/>
  <c r="W28" i="3"/>
  <c r="X28" i="3"/>
  <c r="AD36" i="3"/>
  <c r="AE36" i="3"/>
  <c r="M15" i="3"/>
  <c r="S15" i="3"/>
  <c r="U15" i="3"/>
  <c r="T15" i="3" s="1"/>
  <c r="V15" i="3"/>
  <c r="W15" i="3"/>
  <c r="X15" i="3"/>
  <c r="AC15" i="3"/>
  <c r="AD37" i="3"/>
  <c r="M17" i="3"/>
  <c r="S17" i="3"/>
  <c r="U17" i="3"/>
  <c r="AD38" i="3" s="1"/>
  <c r="V17" i="3"/>
  <c r="W17" i="3"/>
  <c r="X17" i="3"/>
  <c r="Y17" i="3"/>
  <c r="M54" i="3"/>
  <c r="R54" i="3"/>
  <c r="S54" i="3"/>
  <c r="U54" i="3"/>
  <c r="V54" i="3"/>
  <c r="W54" i="3"/>
  <c r="X54" i="3"/>
  <c r="M42" i="3"/>
  <c r="S42" i="3"/>
  <c r="U42" i="3"/>
  <c r="AC42" i="3" s="1"/>
  <c r="V42" i="3"/>
  <c r="W42" i="3"/>
  <c r="X42" i="3"/>
  <c r="M14" i="3"/>
  <c r="R14" i="3"/>
  <c r="S14" i="3"/>
  <c r="U14" i="3"/>
  <c r="T14" i="3" s="1"/>
  <c r="V14" i="3"/>
  <c r="W14" i="3"/>
  <c r="Y14" i="3" s="1"/>
  <c r="X14" i="3"/>
  <c r="AC14" i="3"/>
  <c r="AD41" i="3"/>
  <c r="M11" i="3"/>
  <c r="R11" i="3"/>
  <c r="S11" i="3"/>
  <c r="U11" i="3"/>
  <c r="AD42" i="3" s="1"/>
  <c r="V11" i="3"/>
  <c r="W11" i="3"/>
  <c r="X11" i="3"/>
  <c r="Y11" i="3"/>
  <c r="M9" i="3"/>
  <c r="R9" i="3"/>
  <c r="S9" i="3"/>
  <c r="U9" i="3"/>
  <c r="AD9" i="3" s="1"/>
  <c r="V9" i="3"/>
  <c r="W9" i="3"/>
  <c r="X9" i="3"/>
  <c r="M25" i="3"/>
  <c r="R25" i="3"/>
  <c r="S25" i="3"/>
  <c r="U25" i="3"/>
  <c r="AC25" i="3" s="1"/>
  <c r="V25" i="3"/>
  <c r="W25" i="3"/>
  <c r="X25" i="3"/>
  <c r="M33" i="3"/>
  <c r="R33" i="3"/>
  <c r="S33" i="3"/>
  <c r="U33" i="3"/>
  <c r="T33" i="3" s="1"/>
  <c r="V33" i="3"/>
  <c r="W33" i="3"/>
  <c r="Y33" i="3" s="1"/>
  <c r="X33" i="3"/>
  <c r="AC33" i="3"/>
  <c r="M16" i="3"/>
  <c r="R16" i="3"/>
  <c r="S16" i="3"/>
  <c r="U16" i="3"/>
  <c r="AD16" i="3" s="1"/>
  <c r="V16" i="3"/>
  <c r="W16" i="3"/>
  <c r="Y16" i="3" s="1"/>
  <c r="X16" i="3"/>
  <c r="M55" i="3"/>
  <c r="R55" i="3"/>
  <c r="U55" i="3"/>
  <c r="V55" i="3"/>
  <c r="W55" i="3"/>
  <c r="Y55" i="3" s="1"/>
  <c r="X55" i="3"/>
  <c r="M61" i="3"/>
  <c r="R61" i="3"/>
  <c r="S61" i="3"/>
  <c r="U61" i="3"/>
  <c r="AC61" i="3" s="1"/>
  <c r="V61" i="3"/>
  <c r="W61" i="3"/>
  <c r="X61" i="3"/>
  <c r="M10" i="3"/>
  <c r="R10" i="3"/>
  <c r="S10" i="3"/>
  <c r="U10" i="3"/>
  <c r="T10" i="3" s="1"/>
  <c r="V10" i="3"/>
  <c r="W10" i="3"/>
  <c r="X10" i="3"/>
  <c r="AC10" i="3"/>
  <c r="AD49" i="3"/>
  <c r="M29" i="3"/>
  <c r="R29" i="3"/>
  <c r="U29" i="3"/>
  <c r="V29" i="3"/>
  <c r="W29" i="3"/>
  <c r="Y29" i="3" s="1"/>
  <c r="X29" i="3"/>
  <c r="M27" i="3"/>
  <c r="R27" i="3"/>
  <c r="S27" i="3"/>
  <c r="U27" i="3"/>
  <c r="V27" i="3"/>
  <c r="W27" i="3"/>
  <c r="Y27" i="3" s="1"/>
  <c r="X27" i="3"/>
  <c r="M34" i="3"/>
  <c r="R34" i="3"/>
  <c r="S34" i="3"/>
  <c r="U34" i="3"/>
  <c r="AC34" i="3" s="1"/>
  <c r="V34" i="3"/>
  <c r="W34" i="3"/>
  <c r="X34" i="3"/>
  <c r="M43" i="3"/>
  <c r="S43" i="3"/>
  <c r="U43" i="3"/>
  <c r="T43" i="3" s="1"/>
  <c r="V43" i="3"/>
  <c r="W43" i="3"/>
  <c r="X43" i="3"/>
  <c r="AC43" i="3"/>
  <c r="AD53" i="3"/>
  <c r="M19" i="3"/>
  <c r="R19" i="3"/>
  <c r="S19" i="3"/>
  <c r="U19" i="3"/>
  <c r="AD54" i="3" s="1"/>
  <c r="V19" i="3"/>
  <c r="W19" i="3"/>
  <c r="Y19" i="3" s="1"/>
  <c r="X19" i="3"/>
  <c r="M44" i="3"/>
  <c r="R44" i="3"/>
  <c r="S44" i="3"/>
  <c r="U44" i="3"/>
  <c r="AD44" i="3" s="1"/>
  <c r="V44" i="3"/>
  <c r="W44" i="3"/>
  <c r="Y44" i="3" s="1"/>
  <c r="X44" i="3"/>
  <c r="M35" i="3"/>
  <c r="R35" i="3"/>
  <c r="S35" i="3"/>
  <c r="U35" i="3"/>
  <c r="AC35" i="3" s="1"/>
  <c r="V35" i="3"/>
  <c r="W35" i="3"/>
  <c r="X35" i="3"/>
  <c r="M63" i="3"/>
  <c r="R63" i="3"/>
  <c r="S63" i="3"/>
  <c r="U63" i="3"/>
  <c r="T63" i="3" s="1"/>
  <c r="V63" i="3"/>
  <c r="W63" i="3"/>
  <c r="X63" i="3"/>
  <c r="AC63" i="3"/>
  <c r="AD57" i="3"/>
  <c r="M20" i="3"/>
  <c r="R20" i="3"/>
  <c r="S20" i="3"/>
  <c r="U20" i="3"/>
  <c r="AD58" i="3" s="1"/>
  <c r="V20" i="3"/>
  <c r="W20" i="3"/>
  <c r="X20" i="3"/>
  <c r="Y20" i="3"/>
  <c r="M45" i="3"/>
  <c r="R45" i="3"/>
  <c r="S45" i="3"/>
  <c r="U45" i="3"/>
  <c r="AD45" i="3" s="1"/>
  <c r="V45" i="3"/>
  <c r="W45" i="3"/>
  <c r="X45" i="3"/>
  <c r="M47" i="3"/>
  <c r="R47" i="3"/>
  <c r="U47" i="3"/>
  <c r="AC47" i="3" s="1"/>
  <c r="V47" i="3"/>
  <c r="W47" i="3"/>
  <c r="X47" i="3"/>
  <c r="AD60" i="3"/>
  <c r="M56" i="3"/>
  <c r="R56" i="3"/>
  <c r="S56" i="3"/>
  <c r="U56" i="3"/>
  <c r="T56" i="3" s="1"/>
  <c r="V56" i="3"/>
  <c r="W56" i="3"/>
  <c r="Y56" i="3" s="1"/>
  <c r="X56" i="3"/>
  <c r="AC56" i="3"/>
  <c r="AD61" i="3"/>
  <c r="M23" i="3"/>
  <c r="R23" i="3"/>
  <c r="S23" i="3"/>
  <c r="U23" i="3"/>
  <c r="AD62" i="3" s="1"/>
  <c r="V23" i="3"/>
  <c r="W23" i="3"/>
  <c r="X23" i="3"/>
  <c r="Y23" i="3"/>
  <c r="M46" i="3"/>
  <c r="S46" i="3"/>
  <c r="U46" i="3"/>
  <c r="V46" i="3"/>
  <c r="W46" i="3"/>
  <c r="X46" i="3"/>
  <c r="M65" i="3"/>
  <c r="R65" i="3"/>
  <c r="U65" i="3"/>
  <c r="AC65" i="3" s="1"/>
  <c r="V65" i="3"/>
  <c r="W65" i="3"/>
  <c r="X65" i="3"/>
  <c r="AE64" i="3"/>
  <c r="M66" i="3"/>
  <c r="R66" i="3"/>
  <c r="U66" i="3"/>
  <c r="T66" i="3" s="1"/>
  <c r="V66" i="3"/>
  <c r="W66" i="3"/>
  <c r="X66" i="3"/>
  <c r="AC66" i="3"/>
  <c r="M67" i="3"/>
  <c r="R67" i="3"/>
  <c r="U67" i="3"/>
  <c r="V67" i="3"/>
  <c r="W67" i="3"/>
  <c r="X67" i="3"/>
  <c r="AC67" i="3"/>
  <c r="M12" i="3"/>
  <c r="S12" i="3"/>
  <c r="U12" i="3"/>
  <c r="AD12" i="3" s="1"/>
  <c r="V12" i="3"/>
  <c r="W12" i="3"/>
  <c r="X12" i="3"/>
  <c r="Y12" i="3"/>
  <c r="S65" i="3" l="1"/>
  <c r="Y63" i="3"/>
  <c r="R42" i="3"/>
  <c r="Y13" i="3"/>
  <c r="Y31" i="3"/>
  <c r="R31" i="3"/>
  <c r="Y18" i="3"/>
  <c r="Y64" i="3"/>
  <c r="AD52" i="3"/>
  <c r="AD48" i="3"/>
  <c r="R51" i="3"/>
  <c r="U224" i="1"/>
  <c r="AA224" i="1"/>
  <c r="AI221" i="1"/>
  <c r="AA198" i="1"/>
  <c r="AA196" i="1"/>
  <c r="W196" i="1" s="1"/>
  <c r="AA195" i="1"/>
  <c r="AA188" i="1"/>
  <c r="W188" i="1" s="1"/>
  <c r="AI181" i="1"/>
  <c r="AA168" i="1"/>
  <c r="AG166" i="1"/>
  <c r="X166" i="1"/>
  <c r="AG162" i="1"/>
  <c r="X162" i="1"/>
  <c r="AG248" i="1"/>
  <c r="X248" i="1"/>
  <c r="AA240" i="1"/>
  <c r="AA227" i="1"/>
  <c r="W227" i="1" s="1"/>
  <c r="AA152" i="1"/>
  <c r="AA146" i="1"/>
  <c r="T146" i="1"/>
  <c r="AG145" i="1"/>
  <c r="AI145" i="1" s="1"/>
  <c r="AA134" i="1"/>
  <c r="T134" i="1"/>
  <c r="AA133" i="1"/>
  <c r="AA116" i="1"/>
  <c r="AA114" i="1"/>
  <c r="AA112" i="1"/>
  <c r="AA100" i="1"/>
  <c r="W100" i="1" s="1"/>
  <c r="AA99" i="1"/>
  <c r="AG90" i="1"/>
  <c r="AA61" i="1"/>
  <c r="T29" i="1"/>
  <c r="X25" i="1"/>
  <c r="AD64" i="3"/>
  <c r="Y45" i="3"/>
  <c r="Y43" i="3"/>
  <c r="Y10" i="3"/>
  <c r="Y54" i="3"/>
  <c r="R17" i="3"/>
  <c r="AD32" i="3"/>
  <c r="T8" i="3"/>
  <c r="T18" i="3"/>
  <c r="Y32" i="3"/>
  <c r="Y59" i="3"/>
  <c r="R59" i="3"/>
  <c r="T224" i="1"/>
  <c r="AA223" i="1"/>
  <c r="AA199" i="1"/>
  <c r="AA183" i="1"/>
  <c r="T182" i="1"/>
  <c r="AG179" i="1"/>
  <c r="T176" i="1"/>
  <c r="AA173" i="1"/>
  <c r="X161" i="1"/>
  <c r="AG160" i="1"/>
  <c r="U160" i="1" s="1"/>
  <c r="S160" i="1" s="1"/>
  <c r="AA247" i="1"/>
  <c r="W247" i="1" s="1"/>
  <c r="AG240" i="1"/>
  <c r="U240" i="1" s="1"/>
  <c r="S240" i="1" s="1"/>
  <c r="T217" i="1"/>
  <c r="AA216" i="1"/>
  <c r="AA153" i="1"/>
  <c r="AG146" i="1"/>
  <c r="U146" i="1" s="1"/>
  <c r="X137" i="1"/>
  <c r="AG134" i="1"/>
  <c r="AA132" i="1"/>
  <c r="AA124" i="1"/>
  <c r="W124" i="1" s="1"/>
  <c r="AA120" i="1"/>
  <c r="W120" i="1" s="1"/>
  <c r="X117" i="1"/>
  <c r="AG114" i="1"/>
  <c r="U114" i="1" s="1"/>
  <c r="X112" i="1"/>
  <c r="X105" i="1"/>
  <c r="AA105" i="1"/>
  <c r="X100" i="1"/>
  <c r="AA90" i="1"/>
  <c r="W90" i="1" s="1"/>
  <c r="AA88" i="1"/>
  <c r="AA84" i="1"/>
  <c r="W84" i="1" s="1"/>
  <c r="AG81" i="1"/>
  <c r="AA80" i="1"/>
  <c r="W80" i="1" s="1"/>
  <c r="AG69" i="1"/>
  <c r="AA64" i="1"/>
  <c r="X54" i="1"/>
  <c r="X45" i="1"/>
  <c r="AA43" i="1"/>
  <c r="X33" i="1"/>
  <c r="AG29" i="1"/>
  <c r="AI29" i="1" s="1"/>
  <c r="AA15" i="1"/>
  <c r="Y46" i="3"/>
  <c r="AD50" i="3"/>
  <c r="Y9" i="3"/>
  <c r="Y15" i="3"/>
  <c r="Y8" i="3"/>
  <c r="S37" i="3"/>
  <c r="T196" i="1"/>
  <c r="T177" i="1"/>
  <c r="U177" i="1" s="1"/>
  <c r="S177" i="1" s="1"/>
  <c r="U218" i="1"/>
  <c r="X158" i="1"/>
  <c r="W151" i="1"/>
  <c r="X130" i="1"/>
  <c r="U93" i="1"/>
  <c r="X66" i="1"/>
  <c r="AI59" i="1"/>
  <c r="U47" i="1"/>
  <c r="S47" i="1" s="1"/>
  <c r="W39" i="1"/>
  <c r="W31" i="1"/>
  <c r="AA204" i="1"/>
  <c r="T195" i="1"/>
  <c r="U195" i="1" s="1"/>
  <c r="S195" i="1" s="1"/>
  <c r="AA194" i="1"/>
  <c r="T191" i="1"/>
  <c r="U191" i="1" s="1"/>
  <c r="S191" i="1" s="1"/>
  <c r="AA190" i="1"/>
  <c r="AA189" i="1"/>
  <c r="T188" i="1"/>
  <c r="AI179" i="1"/>
  <c r="AA178" i="1"/>
  <c r="AA163" i="1"/>
  <c r="T244" i="1"/>
  <c r="X244" i="1"/>
  <c r="AG244" i="1"/>
  <c r="U244" i="1" s="1"/>
  <c r="S244" i="1" s="1"/>
  <c r="T232" i="1"/>
  <c r="AG232" i="1"/>
  <c r="X232" i="1"/>
  <c r="AA197" i="1"/>
  <c r="AA191" i="1"/>
  <c r="W191" i="1" s="1"/>
  <c r="AG174" i="1"/>
  <c r="AI174" i="1" s="1"/>
  <c r="T168" i="1"/>
  <c r="AG168" i="1"/>
  <c r="W168" i="1" s="1"/>
  <c r="AG245" i="1"/>
  <c r="AI245" i="1" s="1"/>
  <c r="X245" i="1"/>
  <c r="AG233" i="1"/>
  <c r="AI233" i="1" s="1"/>
  <c r="X233" i="1"/>
  <c r="T204" i="1"/>
  <c r="W199" i="1"/>
  <c r="AG183" i="1"/>
  <c r="AI183" i="1" s="1"/>
  <c r="AA182" i="1"/>
  <c r="W182" i="1" s="1"/>
  <c r="AA179" i="1"/>
  <c r="W179" i="1" s="1"/>
  <c r="AI173" i="1"/>
  <c r="AI169" i="1"/>
  <c r="AG161" i="1"/>
  <c r="AI161" i="1" s="1"/>
  <c r="T161" i="1"/>
  <c r="W238" i="1"/>
  <c r="W232" i="1"/>
  <c r="AG231" i="1"/>
  <c r="AI231" i="1" s="1"/>
  <c r="X231" i="1"/>
  <c r="AA57" i="1"/>
  <c r="X53" i="1"/>
  <c r="AA51" i="1"/>
  <c r="AI41" i="1"/>
  <c r="X24" i="1"/>
  <c r="AA16" i="1"/>
  <c r="AA246" i="1"/>
  <c r="AI241" i="1"/>
  <c r="AA231" i="1"/>
  <c r="AA228" i="1"/>
  <c r="AA217" i="1"/>
  <c r="W217" i="1" s="1"/>
  <c r="AG213" i="1"/>
  <c r="X213" i="1"/>
  <c r="T208" i="1"/>
  <c r="AA207" i="1"/>
  <c r="AA206" i="1"/>
  <c r="AG157" i="1"/>
  <c r="AA142" i="1"/>
  <c r="T142" i="1"/>
  <c r="U142" i="1" s="1"/>
  <c r="S142" i="1" s="1"/>
  <c r="AA135" i="1"/>
  <c r="W135" i="1" s="1"/>
  <c r="AA129" i="1"/>
  <c r="X122" i="1"/>
  <c r="AG121" i="1"/>
  <c r="U121" i="1" s="1"/>
  <c r="S121" i="1" s="1"/>
  <c r="X121" i="1"/>
  <c r="AI120" i="1"/>
  <c r="T117" i="1"/>
  <c r="AA115" i="1"/>
  <c r="T109" i="1"/>
  <c r="AG106" i="1"/>
  <c r="AG101" i="1"/>
  <c r="X101" i="1"/>
  <c r="AG98" i="1"/>
  <c r="U98" i="1" s="1"/>
  <c r="X96" i="1"/>
  <c r="AA92" i="1"/>
  <c r="W92" i="1" s="1"/>
  <c r="AA89" i="1"/>
  <c r="W89" i="1" s="1"/>
  <c r="X84" i="1"/>
  <c r="AA81" i="1"/>
  <c r="W81" i="1" s="1"/>
  <c r="AA79" i="1"/>
  <c r="AA75" i="1"/>
  <c r="W75" i="1" s="1"/>
  <c r="AG70" i="1"/>
  <c r="X70" i="1"/>
  <c r="AA69" i="1"/>
  <c r="W69" i="1" s="1"/>
  <c r="AG67" i="1"/>
  <c r="AI67" i="1" s="1"/>
  <c r="X65" i="1"/>
  <c r="AG62" i="1"/>
  <c r="U62" i="1" s="1"/>
  <c r="X62" i="1"/>
  <c r="W43" i="1"/>
  <c r="AA23" i="1"/>
  <c r="AG21" i="1"/>
  <c r="AI21" i="1" s="1"/>
  <c r="X21" i="1"/>
  <c r="X20" i="1"/>
  <c r="T158" i="1"/>
  <c r="U134" i="1"/>
  <c r="X120" i="1"/>
  <c r="W116" i="1"/>
  <c r="W108" i="1"/>
  <c r="AA52" i="1"/>
  <c r="AA167" i="1"/>
  <c r="AI165" i="1"/>
  <c r="AA164" i="1"/>
  <c r="W164" i="1" s="1"/>
  <c r="AA161" i="1"/>
  <c r="AA244" i="1"/>
  <c r="AA242" i="1"/>
  <c r="W242" i="1" s="1"/>
  <c r="T235" i="1"/>
  <c r="AA234" i="1"/>
  <c r="AG228" i="1"/>
  <c r="U228" i="1" s="1"/>
  <c r="S228" i="1" s="1"/>
  <c r="U212" i="1"/>
  <c r="S212" i="1" s="1"/>
  <c r="X209" i="1"/>
  <c r="AG206" i="1"/>
  <c r="AA158" i="1"/>
  <c r="AA157" i="1"/>
  <c r="W157" i="1" s="1"/>
  <c r="AA149" i="1"/>
  <c r="W149" i="1" s="1"/>
  <c r="AG142" i="1"/>
  <c r="X141" i="1"/>
  <c r="AA141" i="1"/>
  <c r="W141" i="1" s="1"/>
  <c r="AA139" i="1"/>
  <c r="AA137" i="1"/>
  <c r="X126" i="1"/>
  <c r="AA126" i="1"/>
  <c r="AG117" i="1"/>
  <c r="U117" i="1" s="1"/>
  <c r="X116" i="1"/>
  <c r="AA113" i="1"/>
  <c r="AG109" i="1"/>
  <c r="U109" i="1" s="1"/>
  <c r="S109" i="1" s="1"/>
  <c r="AA106" i="1"/>
  <c r="W106" i="1" s="1"/>
  <c r="AA104" i="1"/>
  <c r="AA98" i="1"/>
  <c r="AA96" i="1"/>
  <c r="AA91" i="1"/>
  <c r="AA83" i="1"/>
  <c r="X77" i="1"/>
  <c r="AA77" i="1"/>
  <c r="AA70" i="1"/>
  <c r="W70" i="1" s="1"/>
  <c r="AA67" i="1"/>
  <c r="AA65" i="1"/>
  <c r="AA62" i="1"/>
  <c r="W62" i="1" s="1"/>
  <c r="AG61" i="1"/>
  <c r="AI61" i="1" s="1"/>
  <c r="T49" i="1"/>
  <c r="W47" i="1"/>
  <c r="AG45" i="1"/>
  <c r="AI45" i="1" s="1"/>
  <c r="X44" i="1"/>
  <c r="AG43" i="1"/>
  <c r="AI43" i="1" s="1"/>
  <c r="AA42" i="1"/>
  <c r="U31" i="1"/>
  <c r="S31" i="1" s="1"/>
  <c r="AA28" i="1"/>
  <c r="W28" i="1" s="1"/>
  <c r="AG25" i="1"/>
  <c r="AI25" i="1" s="1"/>
  <c r="AA22" i="1"/>
  <c r="AA20" i="1"/>
  <c r="W20" i="1" s="1"/>
  <c r="AA17" i="1"/>
  <c r="AI195" i="1"/>
  <c r="AI227" i="1"/>
  <c r="W216" i="1"/>
  <c r="U203" i="1"/>
  <c r="S203" i="1" s="1"/>
  <c r="AI203" i="1"/>
  <c r="T197" i="1"/>
  <c r="U197" i="1" s="1"/>
  <c r="S197" i="1" s="1"/>
  <c r="AG197" i="1"/>
  <c r="AI197" i="1" s="1"/>
  <c r="U187" i="1"/>
  <c r="S187" i="1" s="1"/>
  <c r="AI187" i="1"/>
  <c r="T205" i="1"/>
  <c r="U205" i="1" s="1"/>
  <c r="S205" i="1" s="1"/>
  <c r="AG205" i="1"/>
  <c r="AI205" i="1" s="1"/>
  <c r="W205" i="1"/>
  <c r="AG200" i="1"/>
  <c r="X200" i="1"/>
  <c r="T200" i="1"/>
  <c r="W236" i="1"/>
  <c r="AI153" i="1"/>
  <c r="U199" i="1"/>
  <c r="S199" i="1" s="1"/>
  <c r="AI199" i="1"/>
  <c r="X203" i="1"/>
  <c r="X192" i="1"/>
  <c r="X184" i="1"/>
  <c r="W224" i="1"/>
  <c r="X223" i="1"/>
  <c r="AA221" i="1"/>
  <c r="X220" i="1"/>
  <c r="X204" i="1"/>
  <c r="AG201" i="1"/>
  <c r="AI201" i="1" s="1"/>
  <c r="AA200" i="1"/>
  <c r="X199" i="1"/>
  <c r="X196" i="1"/>
  <c r="AG193" i="1"/>
  <c r="AI193" i="1" s="1"/>
  <c r="AA192" i="1"/>
  <c r="W192" i="1" s="1"/>
  <c r="T192" i="1"/>
  <c r="U192" i="1" s="1"/>
  <c r="S192" i="1" s="1"/>
  <c r="X191" i="1"/>
  <c r="X188" i="1"/>
  <c r="AG185" i="1"/>
  <c r="AI185" i="1" s="1"/>
  <c r="AA184" i="1"/>
  <c r="W184" i="1" s="1"/>
  <c r="T184" i="1"/>
  <c r="X182" i="1"/>
  <c r="T181" i="1"/>
  <c r="AA180" i="1"/>
  <c r="W180" i="1" s="1"/>
  <c r="T180" i="1"/>
  <c r="AG172" i="1"/>
  <c r="U172" i="1" s="1"/>
  <c r="S172" i="1" s="1"/>
  <c r="AA165" i="1"/>
  <c r="W165" i="1" s="1"/>
  <c r="T165" i="1"/>
  <c r="AA162" i="1"/>
  <c r="W162" i="1" s="1"/>
  <c r="X247" i="1"/>
  <c r="AA245" i="1"/>
  <c r="T245" i="1"/>
  <c r="U245" i="1" s="1"/>
  <c r="S245" i="1" s="1"/>
  <c r="AA243" i="1"/>
  <c r="W243" i="1" s="1"/>
  <c r="T243" i="1"/>
  <c r="X236" i="1"/>
  <c r="X235" i="1"/>
  <c r="AA233" i="1"/>
  <c r="W233" i="1" s="1"/>
  <c r="T233" i="1"/>
  <c r="U232" i="1"/>
  <c r="S232" i="1" s="1"/>
  <c r="T231" i="1"/>
  <c r="AA229" i="1"/>
  <c r="T229" i="1"/>
  <c r="X228" i="1"/>
  <c r="X227" i="1"/>
  <c r="U217" i="1"/>
  <c r="X217" i="1"/>
  <c r="T216" i="1"/>
  <c r="U216" i="1" s="1"/>
  <c r="S216" i="1" s="1"/>
  <c r="AA215" i="1"/>
  <c r="AA214" i="1"/>
  <c r="AA209" i="1"/>
  <c r="T209" i="1"/>
  <c r="U208" i="1"/>
  <c r="S208" i="1" s="1"/>
  <c r="AA156" i="1"/>
  <c r="AA155" i="1"/>
  <c r="X153" i="1"/>
  <c r="AA148" i="1"/>
  <c r="AA147" i="1"/>
  <c r="X145" i="1"/>
  <c r="AG143" i="1"/>
  <c r="AI143" i="1" s="1"/>
  <c r="T141" i="1"/>
  <c r="AA140" i="1"/>
  <c r="AG138" i="1"/>
  <c r="U138" i="1" s="1"/>
  <c r="X138" i="1"/>
  <c r="W134" i="1"/>
  <c r="AG133" i="1"/>
  <c r="W133" i="1" s="1"/>
  <c r="W174" i="1"/>
  <c r="AA171" i="1"/>
  <c r="AA169" i="1"/>
  <c r="W169" i="1" s="1"/>
  <c r="T169" i="1"/>
  <c r="W166" i="1"/>
  <c r="AA159" i="1"/>
  <c r="AI191" i="1"/>
  <c r="AA241" i="1"/>
  <c r="T241" i="1"/>
  <c r="U241" i="1" s="1"/>
  <c r="S241" i="1" s="1"/>
  <c r="T240" i="1"/>
  <c r="AA239" i="1"/>
  <c r="T239" i="1"/>
  <c r="X237" i="1"/>
  <c r="X216" i="1"/>
  <c r="U213" i="1"/>
  <c r="W212" i="1"/>
  <c r="U157" i="1"/>
  <c r="S157" i="1" s="1"/>
  <c r="U154" i="1"/>
  <c r="W153" i="1"/>
  <c r="U149" i="1"/>
  <c r="S149" i="1" s="1"/>
  <c r="U141" i="1"/>
  <c r="S141" i="1" s="1"/>
  <c r="T137" i="1"/>
  <c r="W187" i="1"/>
  <c r="AG189" i="1"/>
  <c r="AI189" i="1" s="1"/>
  <c r="X187" i="1"/>
  <c r="T236" i="1"/>
  <c r="U236" i="1" s="1"/>
  <c r="S236" i="1" s="1"/>
  <c r="X229" i="1"/>
  <c r="T227" i="1"/>
  <c r="U227" i="1" s="1"/>
  <c r="S227" i="1" s="1"/>
  <c r="AG214" i="1"/>
  <c r="X212" i="1"/>
  <c r="AG209" i="1"/>
  <c r="X157" i="1"/>
  <c r="AG155" i="1"/>
  <c r="T153" i="1"/>
  <c r="U153" i="1" s="1"/>
  <c r="S153" i="1" s="1"/>
  <c r="X149" i="1"/>
  <c r="AG147" i="1"/>
  <c r="AA144" i="1"/>
  <c r="AA143" i="1"/>
  <c r="AA138" i="1"/>
  <c r="AG137" i="1"/>
  <c r="T133" i="1"/>
  <c r="X129" i="1"/>
  <c r="AG129" i="1"/>
  <c r="W195" i="1"/>
  <c r="X195" i="1"/>
  <c r="AA181" i="1"/>
  <c r="W181" i="1" s="1"/>
  <c r="AG175" i="1"/>
  <c r="W175" i="1" s="1"/>
  <c r="W172" i="1"/>
  <c r="AG222" i="1"/>
  <c r="W222" i="1" s="1"/>
  <c r="AG220" i="1"/>
  <c r="U220" i="1" s="1"/>
  <c r="S220" i="1" s="1"/>
  <c r="AA201" i="1"/>
  <c r="W201" i="1" s="1"/>
  <c r="AI235" i="1"/>
  <c r="AA193" i="1"/>
  <c r="W193" i="1" s="1"/>
  <c r="AA185" i="1"/>
  <c r="W185" i="1" s="1"/>
  <c r="AA177" i="1"/>
  <c r="W177" i="1" s="1"/>
  <c r="AA170" i="1"/>
  <c r="W170" i="1" s="1"/>
  <c r="X169" i="1"/>
  <c r="AA248" i="1"/>
  <c r="W248" i="1" s="1"/>
  <c r="AG246" i="1"/>
  <c r="X241" i="1"/>
  <c r="X239" i="1"/>
  <c r="AA237" i="1"/>
  <c r="T237" i="1"/>
  <c r="AG234" i="1"/>
  <c r="W234" i="1" s="1"/>
  <c r="AA226" i="1"/>
  <c r="AA218" i="1"/>
  <c r="W218" i="1" s="1"/>
  <c r="AA213" i="1"/>
  <c r="W213" i="1" s="1"/>
  <c r="AG210" i="1"/>
  <c r="U210" i="1" s="1"/>
  <c r="S210" i="1" s="1"/>
  <c r="X208" i="1"/>
  <c r="AG158" i="1"/>
  <c r="U158" i="1" s="1"/>
  <c r="AI157" i="1"/>
  <c r="AA154" i="1"/>
  <c r="W154" i="1" s="1"/>
  <c r="AG150" i="1"/>
  <c r="U150" i="1" s="1"/>
  <c r="AI149" i="1"/>
  <c r="U145" i="1"/>
  <c r="S145" i="1" s="1"/>
  <c r="AI141" i="1"/>
  <c r="AA131" i="1"/>
  <c r="W131" i="1" s="1"/>
  <c r="AA130" i="1"/>
  <c r="T130" i="1"/>
  <c r="T128" i="1"/>
  <c r="AA127" i="1"/>
  <c r="W127" i="1" s="1"/>
  <c r="T126" i="1"/>
  <c r="AG125" i="1"/>
  <c r="W125" i="1" s="1"/>
  <c r="T124" i="1"/>
  <c r="AA123" i="1"/>
  <c r="AA121" i="1"/>
  <c r="W121" i="1" s="1"/>
  <c r="AG118" i="1"/>
  <c r="AG113" i="1"/>
  <c r="U113" i="1" s="1"/>
  <c r="X113" i="1"/>
  <c r="AA111" i="1"/>
  <c r="AA110" i="1"/>
  <c r="AA109" i="1"/>
  <c r="T108" i="1"/>
  <c r="T105" i="1"/>
  <c r="AG102" i="1"/>
  <c r="AG97" i="1"/>
  <c r="U97" i="1" s="1"/>
  <c r="X97" i="1"/>
  <c r="AA95" i="1"/>
  <c r="AA94" i="1"/>
  <c r="AA93" i="1"/>
  <c r="W93" i="1" s="1"/>
  <c r="T92" i="1"/>
  <c r="T89" i="1"/>
  <c r="AG86" i="1"/>
  <c r="AG82" i="1"/>
  <c r="X82" i="1"/>
  <c r="T81" i="1"/>
  <c r="U81" i="1" s="1"/>
  <c r="S81" i="1" s="1"/>
  <c r="AA78" i="1"/>
  <c r="T77" i="1"/>
  <c r="AA76" i="1"/>
  <c r="T76" i="1"/>
  <c r="U76" i="1" s="1"/>
  <c r="S76" i="1" s="1"/>
  <c r="X74" i="1"/>
  <c r="AG71" i="1"/>
  <c r="AI71" i="1" s="1"/>
  <c r="AA68" i="1"/>
  <c r="AA66" i="1"/>
  <c r="T66" i="1"/>
  <c r="AG65" i="1"/>
  <c r="AA63" i="1"/>
  <c r="X61" i="1"/>
  <c r="AG58" i="1"/>
  <c r="U58" i="1" s="1"/>
  <c r="X58" i="1"/>
  <c r="AA54" i="1"/>
  <c r="T54" i="1"/>
  <c r="AG53" i="1"/>
  <c r="W53" i="1" s="1"/>
  <c r="AI47" i="1"/>
  <c r="AA44" i="1"/>
  <c r="W44" i="1" s="1"/>
  <c r="T44" i="1"/>
  <c r="AA41" i="1"/>
  <c r="W41" i="1" s="1"/>
  <c r="AA34" i="1"/>
  <c r="AI31" i="1"/>
  <c r="AG17" i="1"/>
  <c r="AI17" i="1" s="1"/>
  <c r="X17" i="1"/>
  <c r="X125" i="1"/>
  <c r="U120" i="1"/>
  <c r="T120" i="1"/>
  <c r="T104" i="1"/>
  <c r="T88" i="1"/>
  <c r="T73" i="1"/>
  <c r="U69" i="1"/>
  <c r="S69" i="1" s="1"/>
  <c r="T57" i="1"/>
  <c r="AA48" i="1"/>
  <c r="T48" i="1"/>
  <c r="AA45" i="1"/>
  <c r="AA38" i="1"/>
  <c r="AA32" i="1"/>
  <c r="T32" i="1"/>
  <c r="AA29" i="1"/>
  <c r="W29" i="1" s="1"/>
  <c r="T28" i="1"/>
  <c r="AA26" i="1"/>
  <c r="T16" i="1"/>
  <c r="AA14" i="1"/>
  <c r="AG130" i="1"/>
  <c r="AI130" i="1" s="1"/>
  <c r="X128" i="1"/>
  <c r="AG126" i="1"/>
  <c r="X124" i="1"/>
  <c r="AA119" i="1"/>
  <c r="AA118" i="1"/>
  <c r="AA117" i="1"/>
  <c r="W117" i="1" s="1"/>
  <c r="T116" i="1"/>
  <c r="AG110" i="1"/>
  <c r="AI110" i="1" s="1"/>
  <c r="X108" i="1"/>
  <c r="AG105" i="1"/>
  <c r="AA103" i="1"/>
  <c r="AA102" i="1"/>
  <c r="AA101" i="1"/>
  <c r="W101" i="1" s="1"/>
  <c r="T100" i="1"/>
  <c r="AG94" i="1"/>
  <c r="X92" i="1"/>
  <c r="AG89" i="1"/>
  <c r="AA87" i="1"/>
  <c r="AA86" i="1"/>
  <c r="W86" i="1" s="1"/>
  <c r="AA85" i="1"/>
  <c r="W85" i="1" s="1"/>
  <c r="T84" i="1"/>
  <c r="AA82" i="1"/>
  <c r="W82" i="1" s="1"/>
  <c r="AI80" i="1"/>
  <c r="AG79" i="1"/>
  <c r="AG77" i="1"/>
  <c r="X76" i="1"/>
  <c r="AA74" i="1"/>
  <c r="T74" i="1"/>
  <c r="AG73" i="1"/>
  <c r="W73" i="1" s="1"/>
  <c r="AA71" i="1"/>
  <c r="W71" i="1" s="1"/>
  <c r="X69" i="1"/>
  <c r="AG66" i="1"/>
  <c r="AI66" i="1" s="1"/>
  <c r="AG63" i="1"/>
  <c r="AI63" i="1" s="1"/>
  <c r="AA60" i="1"/>
  <c r="AA58" i="1"/>
  <c r="W58" i="1" s="1"/>
  <c r="AG57" i="1"/>
  <c r="AG54" i="1"/>
  <c r="AA49" i="1"/>
  <c r="AA33" i="1"/>
  <c r="AA18" i="1"/>
  <c r="AG16" i="1"/>
  <c r="W16" i="1" s="1"/>
  <c r="W114" i="1"/>
  <c r="T112" i="1"/>
  <c r="U112" i="1" s="1"/>
  <c r="S112" i="1" s="1"/>
  <c r="U106" i="1"/>
  <c r="X104" i="1"/>
  <c r="U101" i="1"/>
  <c r="W98" i="1"/>
  <c r="T96" i="1"/>
  <c r="U90" i="1"/>
  <c r="X88" i="1"/>
  <c r="U85" i="1"/>
  <c r="U82" i="1"/>
  <c r="AI81" i="1"/>
  <c r="X80" i="1"/>
  <c r="U70" i="1"/>
  <c r="AI69" i="1"/>
  <c r="U61" i="1"/>
  <c r="S61" i="1" s="1"/>
  <c r="W59" i="1"/>
  <c r="AG49" i="1"/>
  <c r="U49" i="1" s="1"/>
  <c r="X48" i="1"/>
  <c r="AA46" i="1"/>
  <c r="AA40" i="1"/>
  <c r="W40" i="1" s="1"/>
  <c r="T40" i="1"/>
  <c r="AA37" i="1"/>
  <c r="W37" i="1" s="1"/>
  <c r="AG35" i="1"/>
  <c r="AI35" i="1" s="1"/>
  <c r="AG33" i="1"/>
  <c r="AI33" i="1" s="1"/>
  <c r="X32" i="1"/>
  <c r="AA30" i="1"/>
  <c r="X28" i="1"/>
  <c r="AA25" i="1"/>
  <c r="W25" i="1" s="1"/>
  <c r="T24" i="1"/>
  <c r="AA21" i="1"/>
  <c r="W21" i="1" s="1"/>
  <c r="T20" i="1"/>
  <c r="U20" i="1" s="1"/>
  <c r="S20" i="1" s="1"/>
  <c r="X221" i="1"/>
  <c r="U204" i="1"/>
  <c r="S204" i="1" s="1"/>
  <c r="U196" i="1"/>
  <c r="S196" i="1" s="1"/>
  <c r="AI232" i="1"/>
  <c r="U188" i="1"/>
  <c r="S188" i="1" s="1"/>
  <c r="AI224" i="1"/>
  <c r="AI218" i="1"/>
  <c r="U182" i="1"/>
  <c r="S182" i="1" s="1"/>
  <c r="W173" i="1"/>
  <c r="U247" i="1"/>
  <c r="S247" i="1" s="1"/>
  <c r="AI192" i="1"/>
  <c r="U246" i="1"/>
  <c r="S246" i="1" s="1"/>
  <c r="W237" i="1"/>
  <c r="U235" i="1"/>
  <c r="S235" i="1" s="1"/>
  <c r="AI180" i="1"/>
  <c r="U234" i="1"/>
  <c r="S234" i="1" s="1"/>
  <c r="AG225" i="1"/>
  <c r="AI225" i="1" s="1"/>
  <c r="X225" i="1"/>
  <c r="S224" i="1"/>
  <c r="W200" i="1"/>
  <c r="U173" i="1"/>
  <c r="S173" i="1" s="1"/>
  <c r="AI208" i="1"/>
  <c r="U161" i="1"/>
  <c r="S161" i="1" s="1"/>
  <c r="AI196" i="1"/>
  <c r="W245" i="1"/>
  <c r="AI182" i="1"/>
  <c r="U237" i="1"/>
  <c r="S237" i="1" s="1"/>
  <c r="AI176" i="1"/>
  <c r="W229" i="1"/>
  <c r="AI247" i="1"/>
  <c r="X224" i="1"/>
  <c r="AG223" i="1"/>
  <c r="AI223" i="1" s="1"/>
  <c r="W221" i="1"/>
  <c r="T221" i="1"/>
  <c r="U221" i="1" s="1"/>
  <c r="S221" i="1" s="1"/>
  <c r="U200" i="1"/>
  <c r="S200" i="1" s="1"/>
  <c r="AI236" i="1"/>
  <c r="AI228" i="1"/>
  <c r="U184" i="1"/>
  <c r="S184" i="1" s="1"/>
  <c r="AI220" i="1"/>
  <c r="U183" i="1"/>
  <c r="S183" i="1" s="1"/>
  <c r="U180" i="1"/>
  <c r="S180" i="1" s="1"/>
  <c r="AI216" i="1"/>
  <c r="U179" i="1"/>
  <c r="S179" i="1" s="1"/>
  <c r="W176" i="1"/>
  <c r="U165" i="1"/>
  <c r="S165" i="1" s="1"/>
  <c r="AI200" i="1"/>
  <c r="U164" i="1"/>
  <c r="S164" i="1" s="1"/>
  <c r="U243" i="1"/>
  <c r="S243" i="1" s="1"/>
  <c r="AI188" i="1"/>
  <c r="U242" i="1"/>
  <c r="S242" i="1" s="1"/>
  <c r="W241" i="1"/>
  <c r="W239" i="1"/>
  <c r="U233" i="1"/>
  <c r="S233" i="1" s="1"/>
  <c r="U229" i="1"/>
  <c r="S229" i="1" s="1"/>
  <c r="AA225" i="1"/>
  <c r="AI244" i="1"/>
  <c r="W204" i="1"/>
  <c r="U176" i="1"/>
  <c r="S176" i="1" s="1"/>
  <c r="AI212" i="1"/>
  <c r="U175" i="1"/>
  <c r="S175" i="1" s="1"/>
  <c r="S174" i="1"/>
  <c r="U169" i="1"/>
  <c r="S169" i="1" s="1"/>
  <c r="AI204" i="1"/>
  <c r="U239" i="1"/>
  <c r="S239" i="1" s="1"/>
  <c r="AI184" i="1"/>
  <c r="U238" i="1"/>
  <c r="U201" i="1"/>
  <c r="S201" i="1" s="1"/>
  <c r="U193" i="1"/>
  <c r="S193" i="1" s="1"/>
  <c r="U185" i="1"/>
  <c r="S185" i="1" s="1"/>
  <c r="U181" i="1"/>
  <c r="S181" i="1" s="1"/>
  <c r="U174" i="1"/>
  <c r="U170" i="1"/>
  <c r="S170" i="1" s="1"/>
  <c r="U166" i="1"/>
  <c r="S166" i="1" s="1"/>
  <c r="U162" i="1"/>
  <c r="S162" i="1" s="1"/>
  <c r="U248" i="1"/>
  <c r="S248" i="1" s="1"/>
  <c r="S238" i="1"/>
  <c r="W139" i="1"/>
  <c r="AI128" i="1"/>
  <c r="U128" i="1"/>
  <c r="S128" i="1" s="1"/>
  <c r="AI124" i="1"/>
  <c r="U124" i="1"/>
  <c r="S124" i="1" s="1"/>
  <c r="X222" i="1"/>
  <c r="AG219" i="1"/>
  <c r="AI219" i="1" s="1"/>
  <c r="X205" i="1"/>
  <c r="AG202" i="1"/>
  <c r="W202" i="1" s="1"/>
  <c r="X201" i="1"/>
  <c r="AG198" i="1"/>
  <c r="X197" i="1"/>
  <c r="AG194" i="1"/>
  <c r="W194" i="1" s="1"/>
  <c r="X193" i="1"/>
  <c r="AG190" i="1"/>
  <c r="AI190" i="1" s="1"/>
  <c r="X189" i="1"/>
  <c r="AG186" i="1"/>
  <c r="W186" i="1" s="1"/>
  <c r="X185" i="1"/>
  <c r="AG178" i="1"/>
  <c r="AI178" i="1" s="1"/>
  <c r="AG171" i="1"/>
  <c r="AI171" i="1" s="1"/>
  <c r="X170" i="1"/>
  <c r="AG167" i="1"/>
  <c r="AG163" i="1"/>
  <c r="AG159" i="1"/>
  <c r="W159" i="1" s="1"/>
  <c r="T226" i="1"/>
  <c r="X226" i="1"/>
  <c r="AG226" i="1"/>
  <c r="U206" i="1"/>
  <c r="S206" i="1" s="1"/>
  <c r="U151" i="1"/>
  <c r="AI139" i="1"/>
  <c r="AI131" i="1"/>
  <c r="AI127" i="1"/>
  <c r="X219" i="1"/>
  <c r="T219" i="1"/>
  <c r="X202" i="1"/>
  <c r="T202" i="1"/>
  <c r="X198" i="1"/>
  <c r="T198" i="1"/>
  <c r="X194" i="1"/>
  <c r="T194" i="1"/>
  <c r="X190" i="1"/>
  <c r="T190" i="1"/>
  <c r="X186" i="1"/>
  <c r="T186" i="1"/>
  <c r="AI213" i="1"/>
  <c r="X171" i="1"/>
  <c r="X167" i="1"/>
  <c r="X163" i="1"/>
  <c r="X159" i="1"/>
  <c r="AG230" i="1"/>
  <c r="X183" i="1"/>
  <c r="X172" i="1"/>
  <c r="X168" i="1"/>
  <c r="X164" i="1"/>
  <c r="X160" i="1"/>
  <c r="X246" i="1"/>
  <c r="X242" i="1"/>
  <c r="X238" i="1"/>
  <c r="X234" i="1"/>
  <c r="X230" i="1"/>
  <c r="U214" i="1"/>
  <c r="U155" i="1"/>
  <c r="U147" i="1"/>
  <c r="AI135" i="1"/>
  <c r="W128" i="1"/>
  <c r="X218" i="1"/>
  <c r="AI170" i="1"/>
  <c r="S217" i="1"/>
  <c r="AG215" i="1"/>
  <c r="AI215" i="1" s="1"/>
  <c r="X214" i="1"/>
  <c r="AI166" i="1"/>
  <c r="S213" i="1"/>
  <c r="AG211" i="1"/>
  <c r="AI211" i="1" s="1"/>
  <c r="X210" i="1"/>
  <c r="AI162" i="1"/>
  <c r="AG207" i="1"/>
  <c r="AI207" i="1" s="1"/>
  <c r="X206" i="1"/>
  <c r="AI158" i="1"/>
  <c r="S158" i="1"/>
  <c r="AG156" i="1"/>
  <c r="W156" i="1" s="1"/>
  <c r="X155" i="1"/>
  <c r="AI154" i="1"/>
  <c r="S154" i="1"/>
  <c r="AG152" i="1"/>
  <c r="W152" i="1" s="1"/>
  <c r="X151" i="1"/>
  <c r="AI150" i="1"/>
  <c r="S150" i="1"/>
  <c r="AG148" i="1"/>
  <c r="X147" i="1"/>
  <c r="S146" i="1"/>
  <c r="AG144" i="1"/>
  <c r="W144" i="1" s="1"/>
  <c r="X143" i="1"/>
  <c r="AI142" i="1"/>
  <c r="AG140" i="1"/>
  <c r="W140" i="1" s="1"/>
  <c r="X139" i="1"/>
  <c r="T139" i="1"/>
  <c r="U139" i="1" s="1"/>
  <c r="S139" i="1" s="1"/>
  <c r="AI138" i="1"/>
  <c r="S138" i="1"/>
  <c r="AG136" i="1"/>
  <c r="X135" i="1"/>
  <c r="T135" i="1"/>
  <c r="U135" i="1" s="1"/>
  <c r="S135" i="1" s="1"/>
  <c r="AI134" i="1"/>
  <c r="S134" i="1"/>
  <c r="AG132" i="1"/>
  <c r="X131" i="1"/>
  <c r="T131" i="1"/>
  <c r="U131" i="1" s="1"/>
  <c r="S131" i="1" s="1"/>
  <c r="X127" i="1"/>
  <c r="T127" i="1"/>
  <c r="U127" i="1" s="1"/>
  <c r="S127" i="1" s="1"/>
  <c r="AI126" i="1"/>
  <c r="U118" i="1"/>
  <c r="S118" i="1" s="1"/>
  <c r="S108" i="1"/>
  <c r="AI108" i="1"/>
  <c r="U108" i="1"/>
  <c r="W104" i="1"/>
  <c r="U102" i="1"/>
  <c r="S102" i="1" s="1"/>
  <c r="AI92" i="1"/>
  <c r="U92" i="1"/>
  <c r="S92" i="1" s="1"/>
  <c r="W88" i="1"/>
  <c r="U86" i="1"/>
  <c r="S86" i="1" s="1"/>
  <c r="S218" i="1"/>
  <c r="X215" i="1"/>
  <c r="T215" i="1"/>
  <c r="AI167" i="1"/>
  <c r="S214" i="1"/>
  <c r="X211" i="1"/>
  <c r="T211" i="1"/>
  <c r="AI163" i="1"/>
  <c r="X207" i="1"/>
  <c r="T207" i="1"/>
  <c r="X156" i="1"/>
  <c r="AI155" i="1"/>
  <c r="S155" i="1"/>
  <c r="X152" i="1"/>
  <c r="AI151" i="1"/>
  <c r="S151" i="1"/>
  <c r="X148" i="1"/>
  <c r="AI147" i="1"/>
  <c r="S147" i="1"/>
  <c r="X144" i="1"/>
  <c r="X140" i="1"/>
  <c r="X136" i="1"/>
  <c r="X132" i="1"/>
  <c r="AA122" i="1"/>
  <c r="S120" i="1"/>
  <c r="AI104" i="1"/>
  <c r="U104" i="1"/>
  <c r="S104" i="1" s="1"/>
  <c r="AI88" i="1"/>
  <c r="U88" i="1"/>
  <c r="S88" i="1" s="1"/>
  <c r="T123" i="1"/>
  <c r="X123" i="1"/>
  <c r="T122" i="1"/>
  <c r="AI116" i="1"/>
  <c r="U116" i="1"/>
  <c r="S116" i="1" s="1"/>
  <c r="W112" i="1"/>
  <c r="AI100" i="1"/>
  <c r="U100" i="1"/>
  <c r="S100" i="1" s="1"/>
  <c r="W96" i="1"/>
  <c r="U94" i="1"/>
  <c r="S94" i="1" s="1"/>
  <c r="AI84" i="1"/>
  <c r="U84" i="1"/>
  <c r="S84" i="1" s="1"/>
  <c r="AG123" i="1"/>
  <c r="AG122" i="1"/>
  <c r="AI112" i="1"/>
  <c r="AI96" i="1"/>
  <c r="U96" i="1"/>
  <c r="S96" i="1" s="1"/>
  <c r="AG119" i="1"/>
  <c r="X118" i="1"/>
  <c r="AI117" i="1"/>
  <c r="S117" i="1"/>
  <c r="AG115" i="1"/>
  <c r="X114" i="1"/>
  <c r="AI113" i="1"/>
  <c r="S113" i="1"/>
  <c r="AG111" i="1"/>
  <c r="X110" i="1"/>
  <c r="AI109" i="1"/>
  <c r="AG107" i="1"/>
  <c r="X106" i="1"/>
  <c r="AI105" i="1"/>
  <c r="AG103" i="1"/>
  <c r="W103" i="1" s="1"/>
  <c r="X102" i="1"/>
  <c r="AI101" i="1"/>
  <c r="S101" i="1"/>
  <c r="AG99" i="1"/>
  <c r="X98" i="1"/>
  <c r="AI97" i="1"/>
  <c r="S97" i="1"/>
  <c r="AG95" i="1"/>
  <c r="X94" i="1"/>
  <c r="AI93" i="1"/>
  <c r="S93" i="1"/>
  <c r="AG91" i="1"/>
  <c r="X90" i="1"/>
  <c r="AI89" i="1"/>
  <c r="AG87" i="1"/>
  <c r="W87" i="1" s="1"/>
  <c r="X86" i="1"/>
  <c r="AI85" i="1"/>
  <c r="S85" i="1"/>
  <c r="AG83" i="1"/>
  <c r="W83" i="1" s="1"/>
  <c r="W76" i="1"/>
  <c r="X119" i="1"/>
  <c r="AI118" i="1"/>
  <c r="X115" i="1"/>
  <c r="AI114" i="1"/>
  <c r="S114" i="1"/>
  <c r="X111" i="1"/>
  <c r="X107" i="1"/>
  <c r="AI106" i="1"/>
  <c r="S106" i="1"/>
  <c r="X103" i="1"/>
  <c r="AI102" i="1"/>
  <c r="X99" i="1"/>
  <c r="AI98" i="1"/>
  <c r="S98" i="1"/>
  <c r="X95" i="1"/>
  <c r="AI94" i="1"/>
  <c r="X91" i="1"/>
  <c r="AI90" i="1"/>
  <c r="S90" i="1"/>
  <c r="X87" i="1"/>
  <c r="AI86" i="1"/>
  <c r="X83" i="1"/>
  <c r="S82" i="1"/>
  <c r="AI82" i="1"/>
  <c r="U80" i="1"/>
  <c r="S80" i="1" s="1"/>
  <c r="AG78" i="1"/>
  <c r="T78" i="1"/>
  <c r="X78" i="1"/>
  <c r="AI76" i="1"/>
  <c r="U75" i="1"/>
  <c r="S75" i="1" s="1"/>
  <c r="W74" i="1"/>
  <c r="U74" i="1"/>
  <c r="S74" i="1" s="1"/>
  <c r="AI74" i="1"/>
  <c r="AI77" i="1"/>
  <c r="U71" i="1"/>
  <c r="S71" i="1" s="1"/>
  <c r="U67" i="1"/>
  <c r="S67" i="1" s="1"/>
  <c r="U63" i="1"/>
  <c r="S63" i="1" s="1"/>
  <c r="U59" i="1"/>
  <c r="S59" i="1" s="1"/>
  <c r="AG55" i="1"/>
  <c r="AG51" i="1"/>
  <c r="AI49" i="1"/>
  <c r="U40" i="1"/>
  <c r="S40" i="1" s="1"/>
  <c r="AI40" i="1"/>
  <c r="U39" i="1"/>
  <c r="S39" i="1" s="1"/>
  <c r="X79" i="1"/>
  <c r="X75" i="1"/>
  <c r="AG72" i="1"/>
  <c r="W72" i="1" s="1"/>
  <c r="X71" i="1"/>
  <c r="AI70" i="1"/>
  <c r="S70" i="1"/>
  <c r="AG68" i="1"/>
  <c r="W68" i="1" s="1"/>
  <c r="X67" i="1"/>
  <c r="AG64" i="1"/>
  <c r="X63" i="1"/>
  <c r="AI62" i="1"/>
  <c r="S62" i="1"/>
  <c r="AG60" i="1"/>
  <c r="X59" i="1"/>
  <c r="AI58" i="1"/>
  <c r="S58" i="1"/>
  <c r="AG56" i="1"/>
  <c r="X55" i="1"/>
  <c r="AI54" i="1"/>
  <c r="AG52" i="1"/>
  <c r="W52" i="1" s="1"/>
  <c r="X51" i="1"/>
  <c r="W50" i="1"/>
  <c r="T50" i="1"/>
  <c r="W49" i="1"/>
  <c r="W48" i="1"/>
  <c r="U44" i="1"/>
  <c r="S44" i="1" s="1"/>
  <c r="AI44" i="1"/>
  <c r="U43" i="1"/>
  <c r="S43" i="1" s="1"/>
  <c r="W32" i="1"/>
  <c r="U28" i="1"/>
  <c r="S28" i="1" s="1"/>
  <c r="AI28" i="1"/>
  <c r="X72" i="1"/>
  <c r="X68" i="1"/>
  <c r="X64" i="1"/>
  <c r="X60" i="1"/>
  <c r="X56" i="1"/>
  <c r="X52" i="1"/>
  <c r="AI50" i="1"/>
  <c r="U50" i="1"/>
  <c r="S50" i="1" s="1"/>
  <c r="S49" i="1"/>
  <c r="U48" i="1"/>
  <c r="S48" i="1" s="1"/>
  <c r="AI48" i="1"/>
  <c r="U32" i="1"/>
  <c r="S32" i="1" s="1"/>
  <c r="AI32" i="1"/>
  <c r="X50" i="1"/>
  <c r="U36" i="1"/>
  <c r="S36" i="1" s="1"/>
  <c r="AI36" i="1"/>
  <c r="U24" i="1"/>
  <c r="S24" i="1" s="1"/>
  <c r="AI24" i="1"/>
  <c r="AI20" i="1"/>
  <c r="U41" i="1"/>
  <c r="S41" i="1" s="1"/>
  <c r="U37" i="1"/>
  <c r="S37" i="1" s="1"/>
  <c r="U33" i="1"/>
  <c r="S33" i="1" s="1"/>
  <c r="U29" i="1"/>
  <c r="S29" i="1" s="1"/>
  <c r="U25" i="1"/>
  <c r="S25" i="1" s="1"/>
  <c r="U21" i="1"/>
  <c r="S21" i="1" s="1"/>
  <c r="AG46" i="1"/>
  <c r="AG42" i="1"/>
  <c r="AG38" i="1"/>
  <c r="AG34" i="1"/>
  <c r="AG30" i="1"/>
  <c r="W30" i="1" s="1"/>
  <c r="AG26" i="1"/>
  <c r="AG22" i="1"/>
  <c r="AG18" i="1"/>
  <c r="AG14" i="1"/>
  <c r="W14" i="1" s="1"/>
  <c r="X46" i="1"/>
  <c r="X42" i="1"/>
  <c r="X38" i="1"/>
  <c r="X34" i="1"/>
  <c r="X30" i="1"/>
  <c r="AG27" i="1"/>
  <c r="X26" i="1"/>
  <c r="AG23" i="1"/>
  <c r="W23" i="1" s="1"/>
  <c r="X22" i="1"/>
  <c r="AG19" i="1"/>
  <c r="W19" i="1" s="1"/>
  <c r="X18" i="1"/>
  <c r="AG15" i="1"/>
  <c r="X47" i="1"/>
  <c r="X43" i="1"/>
  <c r="X39" i="1"/>
  <c r="X35" i="1"/>
  <c r="X31" i="1"/>
  <c r="X27" i="1"/>
  <c r="X23" i="1"/>
  <c r="X19" i="1"/>
  <c r="X15" i="1"/>
  <c r="AD65" i="3"/>
  <c r="T28" i="3"/>
  <c r="AE28" i="3"/>
  <c r="AE24" i="3"/>
  <c r="Y52" i="3"/>
  <c r="Y51" i="3"/>
  <c r="T65" i="3"/>
  <c r="Y67" i="3"/>
  <c r="Y65" i="3"/>
  <c r="AE63" i="3"/>
  <c r="AD56" i="3"/>
  <c r="AD40" i="3"/>
  <c r="Y24" i="3"/>
  <c r="Y38" i="3"/>
  <c r="AD28" i="3"/>
  <c r="Y36" i="3"/>
  <c r="AD24" i="3"/>
  <c r="Y62" i="3"/>
  <c r="AD20" i="3"/>
  <c r="AD17" i="3"/>
  <c r="T50" i="3"/>
  <c r="Y7" i="3"/>
  <c r="AE11" i="3"/>
  <c r="AD46" i="3"/>
  <c r="AC17" i="3"/>
  <c r="AD34" i="3"/>
  <c r="AD29" i="3"/>
  <c r="AD25" i="3"/>
  <c r="AE19" i="3"/>
  <c r="AD33" i="3"/>
  <c r="T52" i="3"/>
  <c r="AE16" i="3"/>
  <c r="T48" i="3"/>
  <c r="AD8" i="3"/>
  <c r="T53" i="3"/>
  <c r="AE20" i="3"/>
  <c r="Y50" i="3"/>
  <c r="AE15" i="3"/>
  <c r="AD13" i="3"/>
  <c r="T49" i="3"/>
  <c r="T47" i="3"/>
  <c r="T35" i="3"/>
  <c r="T34" i="3"/>
  <c r="T61" i="3"/>
  <c r="T25" i="3"/>
  <c r="T42" i="3"/>
  <c r="Y21" i="3"/>
  <c r="Y49" i="3"/>
  <c r="Y47" i="3"/>
  <c r="Y35" i="3"/>
  <c r="Y34" i="3"/>
  <c r="Y61" i="3"/>
  <c r="Y25" i="3"/>
  <c r="Y42" i="3"/>
  <c r="Y28" i="3"/>
  <c r="Y40" i="3"/>
  <c r="AE23" i="3"/>
  <c r="AD21" i="3"/>
  <c r="T32" i="3"/>
  <c r="T59" i="3"/>
  <c r="AE12" i="3"/>
  <c r="Y66" i="3"/>
  <c r="AC23" i="3"/>
  <c r="AE60" i="3"/>
  <c r="AC20" i="3"/>
  <c r="AE56" i="3"/>
  <c r="AC19" i="3"/>
  <c r="AE52" i="3"/>
  <c r="AC29" i="3"/>
  <c r="AE48" i="3"/>
  <c r="AC16" i="3"/>
  <c r="AE44" i="3"/>
  <c r="AC11" i="3"/>
  <c r="AE40" i="3"/>
  <c r="AC46" i="3"/>
  <c r="AD63" i="3"/>
  <c r="T46" i="3"/>
  <c r="AC45" i="3"/>
  <c r="AD59" i="3"/>
  <c r="T45" i="3"/>
  <c r="AE59" i="3"/>
  <c r="AC27" i="3"/>
  <c r="AD51" i="3"/>
  <c r="T27" i="3"/>
  <c r="AE51" i="3"/>
  <c r="AC55" i="3"/>
  <c r="AD47" i="3"/>
  <c r="T55" i="3"/>
  <c r="AE47" i="3"/>
  <c r="AC9" i="3"/>
  <c r="AD43" i="3"/>
  <c r="T9" i="3"/>
  <c r="AE43" i="3"/>
  <c r="AC54" i="3"/>
  <c r="AD39" i="3"/>
  <c r="T54" i="3"/>
  <c r="AE39" i="3"/>
  <c r="AC13" i="3"/>
  <c r="AD35" i="3"/>
  <c r="T13" i="3"/>
  <c r="AE35" i="3"/>
  <c r="AC12" i="3"/>
  <c r="AD67" i="3"/>
  <c r="T12" i="3"/>
  <c r="AC44" i="3"/>
  <c r="AD55" i="3"/>
  <c r="T44" i="3"/>
  <c r="AE55" i="3"/>
  <c r="AE67" i="3"/>
  <c r="AD66" i="3"/>
  <c r="T67" i="3"/>
  <c r="AE66" i="3"/>
  <c r="AE31" i="3"/>
  <c r="T24" i="3"/>
  <c r="AE27" i="3"/>
  <c r="T22" i="3"/>
  <c r="AE62" i="3"/>
  <c r="T23" i="3"/>
  <c r="AE58" i="3"/>
  <c r="T20" i="3"/>
  <c r="AE54" i="3"/>
  <c r="T19" i="3"/>
  <c r="AE50" i="3"/>
  <c r="T29" i="3"/>
  <c r="AE46" i="3"/>
  <c r="T16" i="3"/>
  <c r="AE42" i="3"/>
  <c r="T11" i="3"/>
  <c r="AE38" i="3"/>
  <c r="T17" i="3"/>
  <c r="AE34" i="3"/>
  <c r="T41" i="3"/>
  <c r="AD31" i="3"/>
  <c r="AE30" i="3"/>
  <c r="T39" i="3"/>
  <c r="AD27" i="3"/>
  <c r="T37" i="3"/>
  <c r="AD23" i="3"/>
  <c r="AE22" i="3"/>
  <c r="T62" i="3"/>
  <c r="AD19" i="3"/>
  <c r="AE18" i="3"/>
  <c r="T60" i="3"/>
  <c r="AD15" i="3"/>
  <c r="AE14" i="3"/>
  <c r="T58" i="3"/>
  <c r="AD11" i="3"/>
  <c r="AE10" i="3"/>
  <c r="T30" i="3"/>
  <c r="AC64" i="3"/>
  <c r="AE65" i="3"/>
  <c r="AE61" i="3"/>
  <c r="AE57" i="3"/>
  <c r="AE53" i="3"/>
  <c r="AE49" i="3"/>
  <c r="AE45" i="3"/>
  <c r="AE41" i="3"/>
  <c r="AE37" i="3"/>
  <c r="AE33" i="3"/>
  <c r="AE29" i="3"/>
  <c r="AE25" i="3"/>
  <c r="AD22" i="3"/>
  <c r="AE21" i="3"/>
  <c r="AD18" i="3"/>
  <c r="AE17" i="3"/>
  <c r="AD14" i="3"/>
  <c r="AE13" i="3"/>
  <c r="AD10" i="3"/>
  <c r="AE9" i="3"/>
  <c r="AE8" i="3"/>
  <c r="U17" i="1" l="1"/>
  <c r="S17" i="1" s="1"/>
  <c r="U35" i="1"/>
  <c r="S35" i="1" s="1"/>
  <c r="W95" i="1"/>
  <c r="W99" i="1"/>
  <c r="W115" i="1"/>
  <c r="W119" i="1"/>
  <c r="U143" i="1"/>
  <c r="S143" i="1" s="1"/>
  <c r="U105" i="1"/>
  <c r="S105" i="1" s="1"/>
  <c r="U126" i="1"/>
  <c r="S126" i="1" s="1"/>
  <c r="W109" i="1"/>
  <c r="U222" i="1"/>
  <c r="S222" i="1" s="1"/>
  <c r="U110" i="1"/>
  <c r="S110" i="1" s="1"/>
  <c r="AI121" i="1"/>
  <c r="AI159" i="1"/>
  <c r="U168" i="1"/>
  <c r="S168" i="1" s="1"/>
  <c r="U231" i="1"/>
  <c r="S231" i="1" s="1"/>
  <c r="W231" i="1"/>
  <c r="W161" i="1"/>
  <c r="AI240" i="1"/>
  <c r="W17" i="1"/>
  <c r="W97" i="1"/>
  <c r="U54" i="1"/>
  <c r="S54" i="1" s="1"/>
  <c r="U89" i="1"/>
  <c r="S89" i="1" s="1"/>
  <c r="W206" i="1"/>
  <c r="W145" i="1"/>
  <c r="W46" i="1"/>
  <c r="U45" i="1"/>
  <c r="S45" i="1" s="1"/>
  <c r="AI146" i="1"/>
  <c r="U189" i="1"/>
  <c r="S189" i="1" s="1"/>
  <c r="W113" i="1"/>
  <c r="W45" i="1"/>
  <c r="W146" i="1"/>
  <c r="W246" i="1"/>
  <c r="W143" i="1"/>
  <c r="W244" i="1"/>
  <c r="W240" i="1"/>
  <c r="W160" i="1"/>
  <c r="W110" i="1"/>
  <c r="W147" i="1"/>
  <c r="W214" i="1"/>
  <c r="W61" i="1"/>
  <c r="W183" i="1"/>
  <c r="W225" i="1"/>
  <c r="W138" i="1"/>
  <c r="W197" i="1"/>
  <c r="W67" i="1"/>
  <c r="W142" i="1"/>
  <c r="W228" i="1"/>
  <c r="W33" i="1"/>
  <c r="W150" i="1"/>
  <c r="W207" i="1"/>
  <c r="AI186" i="1"/>
  <c r="U57" i="1"/>
  <c r="S57" i="1" s="1"/>
  <c r="AI57" i="1"/>
  <c r="U66" i="1"/>
  <c r="S66" i="1" s="1"/>
  <c r="U79" i="1"/>
  <c r="S79" i="1" s="1"/>
  <c r="AI79" i="1"/>
  <c r="W102" i="1"/>
  <c r="U130" i="1"/>
  <c r="S130" i="1" s="1"/>
  <c r="W105" i="1"/>
  <c r="W54" i="1"/>
  <c r="W63" i="1"/>
  <c r="W35" i="1"/>
  <c r="W189" i="1"/>
  <c r="W220" i="1"/>
  <c r="W126" i="1"/>
  <c r="U65" i="1"/>
  <c r="S65" i="1" s="1"/>
  <c r="AI65" i="1"/>
  <c r="W65" i="1"/>
  <c r="U137" i="1"/>
  <c r="S137" i="1" s="1"/>
  <c r="AI137" i="1"/>
  <c r="W79" i="1"/>
  <c r="W155" i="1"/>
  <c r="W209" i="1"/>
  <c r="U53" i="1"/>
  <c r="S53" i="1" s="1"/>
  <c r="AI53" i="1"/>
  <c r="W94" i="1"/>
  <c r="U125" i="1"/>
  <c r="S125" i="1" s="1"/>
  <c r="AI125" i="1"/>
  <c r="U129" i="1"/>
  <c r="S129" i="1" s="1"/>
  <c r="AI129" i="1"/>
  <c r="U209" i="1"/>
  <c r="S209" i="1" s="1"/>
  <c r="AI209" i="1"/>
  <c r="W129" i="1"/>
  <c r="W158" i="1"/>
  <c r="U133" i="1"/>
  <c r="S133" i="1" s="1"/>
  <c r="AI133" i="1"/>
  <c r="W122" i="1"/>
  <c r="U16" i="1"/>
  <c r="S16" i="1" s="1"/>
  <c r="AI16" i="1"/>
  <c r="U73" i="1"/>
  <c r="S73" i="1" s="1"/>
  <c r="AI73" i="1"/>
  <c r="U77" i="1"/>
  <c r="S77" i="1" s="1"/>
  <c r="W118" i="1"/>
  <c r="W77" i="1"/>
  <c r="W66" i="1"/>
  <c r="W130" i="1"/>
  <c r="W210" i="1"/>
  <c r="W57" i="1"/>
  <c r="W137" i="1"/>
  <c r="AI51" i="1"/>
  <c r="U51" i="1"/>
  <c r="S51" i="1" s="1"/>
  <c r="W51" i="1"/>
  <c r="AI26" i="1"/>
  <c r="U26" i="1"/>
  <c r="S26" i="1" s="1"/>
  <c r="AI42" i="1"/>
  <c r="U42" i="1"/>
  <c r="S42" i="1" s="1"/>
  <c r="AI18" i="1"/>
  <c r="U18" i="1"/>
  <c r="S18" i="1" s="1"/>
  <c r="AI34" i="1"/>
  <c r="U34" i="1"/>
  <c r="S34" i="1" s="1"/>
  <c r="W18" i="1"/>
  <c r="W26" i="1"/>
  <c r="AI52" i="1"/>
  <c r="U52" i="1"/>
  <c r="S52" i="1" s="1"/>
  <c r="AI56" i="1"/>
  <c r="U56" i="1"/>
  <c r="S56" i="1" s="1"/>
  <c r="AI60" i="1"/>
  <c r="U60" i="1"/>
  <c r="S60" i="1" s="1"/>
  <c r="AI64" i="1"/>
  <c r="U64" i="1"/>
  <c r="S64" i="1" s="1"/>
  <c r="AI68" i="1"/>
  <c r="U68" i="1"/>
  <c r="S68" i="1" s="1"/>
  <c r="AI72" i="1"/>
  <c r="U72" i="1"/>
  <c r="S72" i="1" s="1"/>
  <c r="W60" i="1"/>
  <c r="W56" i="1"/>
  <c r="U230" i="1"/>
  <c r="S230" i="1" s="1"/>
  <c r="AI175" i="1"/>
  <c r="AI172" i="1"/>
  <c r="U226" i="1"/>
  <c r="S226" i="1" s="1"/>
  <c r="AI198" i="1"/>
  <c r="U163" i="1"/>
  <c r="S163" i="1" s="1"/>
  <c r="AI226" i="1"/>
  <c r="U190" i="1"/>
  <c r="S190" i="1" s="1"/>
  <c r="AI234" i="1"/>
  <c r="U198" i="1"/>
  <c r="S198" i="1" s="1"/>
  <c r="AI242" i="1"/>
  <c r="U219" i="1"/>
  <c r="S219" i="1" s="1"/>
  <c r="W163" i="1"/>
  <c r="W230" i="1"/>
  <c r="AI246" i="1"/>
  <c r="U223" i="1"/>
  <c r="S223" i="1" s="1"/>
  <c r="W223" i="1"/>
  <c r="U19" i="1"/>
  <c r="AI19" i="1"/>
  <c r="AI38" i="1"/>
  <c r="U38" i="1"/>
  <c r="S38" i="1" s="1"/>
  <c r="U78" i="1"/>
  <c r="S78" i="1" s="1"/>
  <c r="AI78" i="1"/>
  <c r="W78" i="1"/>
  <c r="AI122" i="1"/>
  <c r="U122" i="1"/>
  <c r="S122" i="1" s="1"/>
  <c r="S132" i="1"/>
  <c r="AI132" i="1"/>
  <c r="U132" i="1"/>
  <c r="AI202" i="1"/>
  <c r="U167" i="1"/>
  <c r="S167" i="1" s="1"/>
  <c r="AI210" i="1"/>
  <c r="W132" i="1"/>
  <c r="W190" i="1"/>
  <c r="W198" i="1"/>
  <c r="W219" i="1"/>
  <c r="U27" i="1"/>
  <c r="S27" i="1" s="1"/>
  <c r="AI27" i="1"/>
  <c r="AI22" i="1"/>
  <c r="U22" i="1"/>
  <c r="S22" i="1" s="1"/>
  <c r="W38" i="1"/>
  <c r="W27" i="1"/>
  <c r="W34" i="1"/>
  <c r="AI55" i="1"/>
  <c r="U55" i="1"/>
  <c r="S55" i="1" s="1"/>
  <c r="U123" i="1"/>
  <c r="S123" i="1" s="1"/>
  <c r="AI123" i="1"/>
  <c r="AI136" i="1"/>
  <c r="U136" i="1"/>
  <c r="S136" i="1" s="1"/>
  <c r="W136" i="1"/>
  <c r="AI222" i="1"/>
  <c r="U186" i="1"/>
  <c r="S186" i="1" s="1"/>
  <c r="AI230" i="1"/>
  <c r="U194" i="1"/>
  <c r="S194" i="1" s="1"/>
  <c r="AI238" i="1"/>
  <c r="U202" i="1"/>
  <c r="S202" i="1" s="1"/>
  <c r="W123" i="1"/>
  <c r="W22" i="1"/>
  <c r="U15" i="1"/>
  <c r="S15" i="1" s="1"/>
  <c r="AI15" i="1"/>
  <c r="U23" i="1"/>
  <c r="S23" i="1" s="1"/>
  <c r="AI23" i="1"/>
  <c r="AI14" i="1"/>
  <c r="U14" i="1"/>
  <c r="AI30" i="1"/>
  <c r="U30" i="1"/>
  <c r="S30" i="1" s="1"/>
  <c r="AI46" i="1"/>
  <c r="U46" i="1"/>
  <c r="S46" i="1" s="1"/>
  <c r="W42" i="1"/>
  <c r="W15" i="1"/>
  <c r="W64" i="1"/>
  <c r="W55" i="1"/>
  <c r="AI83" i="1"/>
  <c r="U83" i="1"/>
  <c r="S83" i="1" s="1"/>
  <c r="AI87" i="1"/>
  <c r="U87" i="1"/>
  <c r="S87" i="1" s="1"/>
  <c r="AI91" i="1"/>
  <c r="U91" i="1"/>
  <c r="S91" i="1" s="1"/>
  <c r="S95" i="1"/>
  <c r="AI95" i="1"/>
  <c r="U95" i="1"/>
  <c r="AI99" i="1"/>
  <c r="U99" i="1"/>
  <c r="S99" i="1" s="1"/>
  <c r="AI103" i="1"/>
  <c r="U103" i="1"/>
  <c r="S103" i="1" s="1"/>
  <c r="AI107" i="1"/>
  <c r="U107" i="1"/>
  <c r="S107" i="1" s="1"/>
  <c r="AI111" i="1"/>
  <c r="U111" i="1"/>
  <c r="S111" i="1" s="1"/>
  <c r="AI115" i="1"/>
  <c r="U115" i="1"/>
  <c r="S115" i="1" s="1"/>
  <c r="AI119" i="1"/>
  <c r="U119" i="1"/>
  <c r="S119" i="1" s="1"/>
  <c r="W91" i="1"/>
  <c r="W107" i="1"/>
  <c r="W111" i="1"/>
  <c r="AI140" i="1"/>
  <c r="U140" i="1"/>
  <c r="S140" i="1" s="1"/>
  <c r="AI144" i="1"/>
  <c r="U144" i="1"/>
  <c r="S144" i="1" s="1"/>
  <c r="AI148" i="1"/>
  <c r="U148" i="1"/>
  <c r="S148" i="1" s="1"/>
  <c r="AI152" i="1"/>
  <c r="U152" i="1"/>
  <c r="S152" i="1" s="1"/>
  <c r="AI156" i="1"/>
  <c r="U156" i="1"/>
  <c r="S156" i="1" s="1"/>
  <c r="AI160" i="1"/>
  <c r="U207" i="1"/>
  <c r="S207" i="1" s="1"/>
  <c r="AI164" i="1"/>
  <c r="U211" i="1"/>
  <c r="S211" i="1" s="1"/>
  <c r="AI168" i="1"/>
  <c r="U215" i="1"/>
  <c r="S215" i="1" s="1"/>
  <c r="W211" i="1"/>
  <c r="W148" i="1"/>
  <c r="W215" i="1"/>
  <c r="AI194" i="1"/>
  <c r="U159" i="1"/>
  <c r="S159" i="1" s="1"/>
  <c r="AI206" i="1"/>
  <c r="U171" i="1"/>
  <c r="S171" i="1" s="1"/>
  <c r="AI214" i="1"/>
  <c r="U178" i="1"/>
  <c r="S178" i="1" s="1"/>
  <c r="W226" i="1"/>
  <c r="W178" i="1"/>
  <c r="W171" i="1"/>
  <c r="U225" i="1"/>
  <c r="S225" i="1" s="1"/>
  <c r="AI248" i="1"/>
  <c r="W167" i="1"/>
  <c r="S26" i="3"/>
  <c r="M26" i="3"/>
  <c r="R26" i="3"/>
  <c r="U26" i="3"/>
  <c r="V26" i="3"/>
  <c r="W26" i="3"/>
  <c r="X26" i="3"/>
  <c r="AC26" i="3" l="1"/>
  <c r="AE26" i="3"/>
  <c r="AD26" i="3"/>
  <c r="Y26" i="3"/>
  <c r="T26" i="3"/>
  <c r="B6" i="6" l="1"/>
  <c r="J6" i="6" s="1"/>
  <c r="B7" i="6" l="1"/>
  <c r="F6" i="6"/>
  <c r="I6" i="6"/>
  <c r="G6" i="6"/>
  <c r="G7" i="6" l="1"/>
  <c r="I7" i="6"/>
  <c r="J7" i="6"/>
  <c r="F7" i="6"/>
  <c r="B8" i="6"/>
  <c r="F8" i="6" l="1"/>
  <c r="G8" i="6"/>
  <c r="I8" i="6"/>
  <c r="J8" i="6"/>
  <c r="B9" i="6"/>
  <c r="O2" i="3"/>
  <c r="G9" i="6" l="1"/>
  <c r="I9" i="6"/>
  <c r="J9" i="6"/>
  <c r="F9" i="6"/>
  <c r="B10" i="6"/>
  <c r="M28" i="5"/>
  <c r="B11" i="6" l="1"/>
  <c r="F10" i="6"/>
  <c r="I10" i="6"/>
  <c r="G10" i="6"/>
  <c r="J10" i="6"/>
  <c r="M23" i="5"/>
  <c r="B12" i="6" l="1"/>
  <c r="G11" i="6"/>
  <c r="I11" i="6"/>
  <c r="J11" i="6"/>
  <c r="F11" i="6"/>
  <c r="AD7" i="3"/>
  <c r="AN13" i="1"/>
  <c r="F12" i="6" l="1"/>
  <c r="I12" i="6"/>
  <c r="G12" i="6"/>
  <c r="J12" i="6"/>
  <c r="B13" i="6"/>
  <c r="AE7" i="3"/>
  <c r="G13" i="6" l="1"/>
  <c r="I13" i="6"/>
  <c r="F13" i="6"/>
  <c r="J13" i="6"/>
  <c r="B14" i="6"/>
  <c r="K13" i="1"/>
  <c r="M13" i="1"/>
  <c r="P13" i="1" s="1"/>
  <c r="Y13" i="1"/>
  <c r="Z13" i="1"/>
  <c r="AB13" i="1"/>
  <c r="AC13" i="1"/>
  <c r="AD13" i="1"/>
  <c r="X14" i="1" s="1"/>
  <c r="AE13" i="1"/>
  <c r="AM13" i="1"/>
  <c r="F14" i="6" l="1"/>
  <c r="I14" i="6"/>
  <c r="G14" i="6"/>
  <c r="J14" i="6"/>
  <c r="B15" i="6"/>
  <c r="AG13" i="1"/>
  <c r="AI13" i="1" s="1"/>
  <c r="X13" i="1"/>
  <c r="AA13" i="1"/>
  <c r="T13" i="1"/>
  <c r="G15" i="6" l="1"/>
  <c r="I15" i="6"/>
  <c r="J15" i="6"/>
  <c r="F15" i="6"/>
  <c r="B16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7" i="6" l="1"/>
  <c r="F16" i="6"/>
  <c r="G16" i="6"/>
  <c r="I16" i="6"/>
  <c r="J16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7" i="6" l="1"/>
  <c r="I17" i="6"/>
  <c r="J17" i="6"/>
  <c r="F17" i="6"/>
  <c r="B18" i="6"/>
  <c r="B87" i="9"/>
  <c r="B88" i="9"/>
  <c r="B89" i="9"/>
  <c r="B90" i="9"/>
  <c r="B91" i="9"/>
  <c r="B92" i="9"/>
  <c r="B19" i="6" l="1"/>
  <c r="F18" i="6"/>
  <c r="G18" i="6"/>
  <c r="I18" i="6"/>
  <c r="J18" i="6"/>
  <c r="C88" i="9"/>
  <c r="C92" i="9"/>
  <c r="C93" i="9"/>
  <c r="C90" i="9"/>
  <c r="C89" i="9"/>
  <c r="C91" i="9"/>
  <c r="B20" i="6" l="1"/>
  <c r="G19" i="6"/>
  <c r="I19" i="6"/>
  <c r="J19" i="6"/>
  <c r="F19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20" i="6" l="1"/>
  <c r="G20" i="6"/>
  <c r="I20" i="6"/>
  <c r="J20" i="6"/>
  <c r="B21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21" i="6" l="1"/>
  <c r="F21" i="6"/>
  <c r="G21" i="6"/>
  <c r="J21" i="6"/>
  <c r="B22" i="6"/>
  <c r="B55" i="9"/>
  <c r="B56" i="9"/>
  <c r="B57" i="9"/>
  <c r="B58" i="9"/>
  <c r="B59" i="9"/>
  <c r="B60" i="9"/>
  <c r="B61" i="9"/>
  <c r="B62" i="9"/>
  <c r="C63" i="9" s="1"/>
  <c r="F22" i="6" l="1"/>
  <c r="I22" i="6"/>
  <c r="G22" i="6"/>
  <c r="J22" i="6"/>
  <c r="B23" i="6"/>
  <c r="C61" i="9"/>
  <c r="C57" i="9"/>
  <c r="C59" i="9"/>
  <c r="C62" i="9"/>
  <c r="C60" i="9"/>
  <c r="C58" i="9"/>
  <c r="C56" i="9"/>
  <c r="G23" i="6" l="1"/>
  <c r="I23" i="6"/>
  <c r="J23" i="6"/>
  <c r="F23" i="6"/>
  <c r="B24" i="6"/>
  <c r="B50" i="9"/>
  <c r="B51" i="9"/>
  <c r="B52" i="9"/>
  <c r="B53" i="9"/>
  <c r="B54" i="9"/>
  <c r="F24" i="6" l="1"/>
  <c r="G24" i="6"/>
  <c r="I24" i="6"/>
  <c r="J24" i="6"/>
  <c r="B25" i="6"/>
  <c r="C52" i="9"/>
  <c r="C54" i="9"/>
  <c r="C55" i="9"/>
  <c r="C53" i="9"/>
  <c r="C51" i="9"/>
  <c r="G25" i="6" l="1"/>
  <c r="I25" i="6"/>
  <c r="J25" i="6"/>
  <c r="F25" i="6"/>
  <c r="B26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7" i="6" l="1"/>
  <c r="F26" i="6"/>
  <c r="G26" i="6"/>
  <c r="I26" i="6"/>
  <c r="J26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7" i="6" l="1"/>
  <c r="I27" i="6"/>
  <c r="J27" i="6"/>
  <c r="F27" i="6"/>
  <c r="B28" i="6"/>
  <c r="V13" i="1"/>
  <c r="B31" i="9"/>
  <c r="B32" i="9"/>
  <c r="C33" i="9" s="1"/>
  <c r="F28" i="6" l="1"/>
  <c r="G28" i="6"/>
  <c r="I28" i="6"/>
  <c r="J28" i="6"/>
  <c r="B29" i="6"/>
  <c r="C32" i="9"/>
  <c r="G29" i="6" l="1"/>
  <c r="I29" i="6"/>
  <c r="F29" i="6"/>
  <c r="H29" i="6"/>
  <c r="J29" i="6"/>
  <c r="B30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64" i="3" s="1"/>
  <c r="G29" i="4"/>
  <c r="G30" i="4"/>
  <c r="G31" i="4"/>
  <c r="G32" i="4"/>
  <c r="G33" i="4"/>
  <c r="G34" i="4"/>
  <c r="G35" i="4"/>
  <c r="G36" i="4"/>
  <c r="G37" i="4"/>
  <c r="N57" i="3" s="1"/>
  <c r="G38" i="4"/>
  <c r="G39" i="4"/>
  <c r="N30" i="3" s="1"/>
  <c r="G40" i="4"/>
  <c r="G41" i="4"/>
  <c r="G42" i="4"/>
  <c r="G43" i="4"/>
  <c r="G44" i="4"/>
  <c r="G45" i="4"/>
  <c r="G46" i="4"/>
  <c r="G47" i="4"/>
  <c r="N7" i="3" s="1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60" i="3" s="1"/>
  <c r="G65" i="4"/>
  <c r="G66" i="4"/>
  <c r="G67" i="4"/>
  <c r="N52" i="3" s="1"/>
  <c r="G68" i="4"/>
  <c r="G69" i="4"/>
  <c r="G70" i="4"/>
  <c r="G71" i="4"/>
  <c r="G72" i="4"/>
  <c r="G73" i="4"/>
  <c r="G74" i="4"/>
  <c r="G75" i="4"/>
  <c r="G76" i="4"/>
  <c r="N32" i="3" s="1"/>
  <c r="G77" i="4"/>
  <c r="G78" i="4"/>
  <c r="G79" i="4"/>
  <c r="G80" i="4"/>
  <c r="G81" i="4"/>
  <c r="G82" i="4"/>
  <c r="G83" i="4"/>
  <c r="G84" i="4"/>
  <c r="G85" i="4"/>
  <c r="G86" i="4"/>
  <c r="H7" i="6" s="1"/>
  <c r="G87" i="4"/>
  <c r="G88" i="4"/>
  <c r="G89" i="4"/>
  <c r="G90" i="4"/>
  <c r="G91" i="4"/>
  <c r="G92" i="4"/>
  <c r="G93" i="4"/>
  <c r="G94" i="4"/>
  <c r="N62" i="3" s="1"/>
  <c r="G95" i="4"/>
  <c r="N53" i="3" s="1"/>
  <c r="G96" i="4"/>
  <c r="G97" i="4"/>
  <c r="N18" i="3" s="1"/>
  <c r="G98" i="4"/>
  <c r="G99" i="4"/>
  <c r="G100" i="4"/>
  <c r="G101" i="4"/>
  <c r="G102" i="4"/>
  <c r="G103" i="4"/>
  <c r="G104" i="4"/>
  <c r="G105" i="4"/>
  <c r="G106" i="4"/>
  <c r="G107" i="4"/>
  <c r="G108" i="4"/>
  <c r="G109" i="4"/>
  <c r="N38" i="3" s="1"/>
  <c r="G110" i="4"/>
  <c r="H10" i="6" s="1"/>
  <c r="G111" i="4"/>
  <c r="N22" i="3" s="1"/>
  <c r="G112" i="4"/>
  <c r="G113" i="4"/>
  <c r="N39" i="3" s="1"/>
  <c r="G114" i="4"/>
  <c r="H11" i="6" s="1"/>
  <c r="G115" i="4"/>
  <c r="G116" i="4"/>
  <c r="H12" i="6" s="1"/>
  <c r="G117" i="4"/>
  <c r="G118" i="4"/>
  <c r="H14" i="6" s="1"/>
  <c r="G119" i="4"/>
  <c r="G120" i="4"/>
  <c r="G121" i="4"/>
  <c r="G122" i="4"/>
  <c r="G123" i="4"/>
  <c r="N13" i="3" s="1"/>
  <c r="G124" i="4"/>
  <c r="G125" i="4"/>
  <c r="G126" i="4"/>
  <c r="G127" i="4"/>
  <c r="G128" i="4"/>
  <c r="H20" i="6" s="1"/>
  <c r="G129" i="4"/>
  <c r="G130" i="4"/>
  <c r="G131" i="4"/>
  <c r="N54" i="3" s="1"/>
  <c r="G132" i="4"/>
  <c r="G133" i="4"/>
  <c r="N33" i="3" s="1"/>
  <c r="G134" i="4"/>
  <c r="N11" i="3" s="1"/>
  <c r="G135" i="4"/>
  <c r="G136" i="4"/>
  <c r="N16" i="3" s="1"/>
  <c r="G137" i="4"/>
  <c r="G138" i="4"/>
  <c r="G139" i="4"/>
  <c r="H21" i="6" s="1"/>
  <c r="G140" i="4"/>
  <c r="G141" i="4"/>
  <c r="N55" i="3" s="1"/>
  <c r="G142" i="4"/>
  <c r="H26" i="6" s="1"/>
  <c r="G143" i="4"/>
  <c r="H23" i="6" s="1"/>
  <c r="G144" i="4"/>
  <c r="G145" i="4"/>
  <c r="N61" i="3" s="1"/>
  <c r="G146" i="4"/>
  <c r="G147" i="4"/>
  <c r="G148" i="4"/>
  <c r="H28" i="6" s="1"/>
  <c r="G149" i="4"/>
  <c r="G150" i="4"/>
  <c r="G151" i="4"/>
  <c r="G152" i="4"/>
  <c r="H27" i="6" s="1"/>
  <c r="G153" i="4"/>
  <c r="G154" i="4"/>
  <c r="G155" i="4"/>
  <c r="G156" i="4"/>
  <c r="G157" i="4"/>
  <c r="G158" i="4"/>
  <c r="N29" i="3" s="1"/>
  <c r="G159" i="4"/>
  <c r="N10" i="3" s="1"/>
  <c r="G160" i="4"/>
  <c r="G161" i="4"/>
  <c r="G162" i="4"/>
  <c r="N34" i="3" s="1"/>
  <c r="G163" i="4"/>
  <c r="G164" i="4"/>
  <c r="G165" i="4"/>
  <c r="G166" i="4"/>
  <c r="N43" i="3" s="1"/>
  <c r="G167" i="4"/>
  <c r="G168" i="4"/>
  <c r="G169" i="4"/>
  <c r="G170" i="4"/>
  <c r="G171" i="4"/>
  <c r="N27" i="3" s="1"/>
  <c r="G172" i="4"/>
  <c r="G173" i="4"/>
  <c r="N19" i="3" s="1"/>
  <c r="G174" i="4"/>
  <c r="G175" i="4"/>
  <c r="N44" i="3" s="1"/>
  <c r="G176" i="4"/>
  <c r="N35" i="3" s="1"/>
  <c r="G177" i="4"/>
  <c r="G178" i="4"/>
  <c r="G179" i="4"/>
  <c r="G180" i="4"/>
  <c r="G181" i="4"/>
  <c r="G182" i="4"/>
  <c r="G183" i="4"/>
  <c r="G184" i="4"/>
  <c r="G185" i="4"/>
  <c r="G186" i="4"/>
  <c r="G187" i="4"/>
  <c r="G188" i="4"/>
  <c r="N20" i="3" s="1"/>
  <c r="G189" i="4"/>
  <c r="N63" i="3" s="1"/>
  <c r="G190" i="4"/>
  <c r="G191" i="4"/>
  <c r="G192" i="4"/>
  <c r="G193" i="4"/>
  <c r="G194" i="4"/>
  <c r="G195" i="4"/>
  <c r="G196" i="4"/>
  <c r="G197" i="4"/>
  <c r="N45" i="3" s="1"/>
  <c r="G198" i="4"/>
  <c r="G199" i="4"/>
  <c r="G200" i="4"/>
  <c r="N47" i="3" s="1"/>
  <c r="G201" i="4"/>
  <c r="G202" i="4"/>
  <c r="G203" i="4"/>
  <c r="G204" i="4"/>
  <c r="G205" i="4"/>
  <c r="G206" i="4"/>
  <c r="G207" i="4"/>
  <c r="G208" i="4"/>
  <c r="G209" i="4"/>
  <c r="G210" i="4"/>
  <c r="N23" i="3" s="1"/>
  <c r="G211" i="4"/>
  <c r="G212" i="4"/>
  <c r="N56" i="3" s="1"/>
  <c r="G213" i="4"/>
  <c r="G214" i="4"/>
  <c r="G215" i="4"/>
  <c r="G216" i="4"/>
  <c r="N46" i="3" s="1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N67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N12" i="3" s="1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4" i="3" l="1"/>
  <c r="N40" i="3"/>
  <c r="H8" i="6"/>
  <c r="N36" i="3"/>
  <c r="N37" i="3"/>
  <c r="N50" i="3"/>
  <c r="N51" i="3"/>
  <c r="N58" i="3"/>
  <c r="N59" i="3"/>
  <c r="N66" i="3"/>
  <c r="N65" i="3"/>
  <c r="N17" i="3"/>
  <c r="N42" i="3"/>
  <c r="N15" i="3"/>
  <c r="H18" i="6"/>
  <c r="N41" i="3"/>
  <c r="H13" i="6"/>
  <c r="N8" i="3"/>
  <c r="H6" i="6"/>
  <c r="N21" i="3"/>
  <c r="N48" i="3"/>
  <c r="N49" i="3"/>
  <c r="H17" i="6"/>
  <c r="N9" i="3"/>
  <c r="N25" i="3"/>
  <c r="N14" i="3"/>
  <c r="N28" i="3"/>
  <c r="N31" i="3"/>
  <c r="H19" i="6"/>
  <c r="N26" i="3"/>
  <c r="H9" i="6"/>
  <c r="H16" i="6"/>
  <c r="H24" i="6"/>
  <c r="H25" i="6"/>
  <c r="H22" i="6"/>
  <c r="H15" i="6"/>
  <c r="F30" i="6"/>
  <c r="I30" i="6"/>
  <c r="G30" i="6"/>
  <c r="H30" i="6"/>
  <c r="J30" i="6"/>
  <c r="B31" i="6"/>
  <c r="L13" i="1"/>
  <c r="G31" i="6" l="1"/>
  <c r="I31" i="6"/>
  <c r="J31" i="6"/>
  <c r="F31" i="6"/>
  <c r="H31" i="6"/>
  <c r="B32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32" i="6" l="1"/>
  <c r="G32" i="6"/>
  <c r="I32" i="6"/>
  <c r="J32" i="6"/>
  <c r="H32" i="6"/>
  <c r="B33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33" i="6" l="1"/>
  <c r="H33" i="6"/>
  <c r="J33" i="6"/>
  <c r="I33" i="6"/>
  <c r="F33" i="6"/>
  <c r="B34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35" i="6" l="1"/>
  <c r="F34" i="6"/>
  <c r="G34" i="6"/>
  <c r="I34" i="6"/>
  <c r="H34" i="6"/>
  <c r="J34" i="6"/>
  <c r="M30" i="5"/>
  <c r="M29" i="5"/>
  <c r="M27" i="5"/>
  <c r="G35" i="6" l="1"/>
  <c r="I35" i="6"/>
  <c r="J35" i="6"/>
  <c r="H35" i="6"/>
  <c r="F35" i="6"/>
  <c r="B36" i="6"/>
  <c r="M26" i="5"/>
  <c r="B37" i="6" l="1"/>
  <c r="F36" i="6"/>
  <c r="G36" i="6"/>
  <c r="H36" i="6"/>
  <c r="J36" i="6"/>
  <c r="I36" i="6"/>
  <c r="AH13" i="1"/>
  <c r="J7" i="1"/>
  <c r="G37" i="6" l="1"/>
  <c r="F37" i="6"/>
  <c r="H37" i="6"/>
  <c r="J37" i="6"/>
  <c r="I37" i="6"/>
  <c r="B38" i="6"/>
  <c r="X6" i="1"/>
  <c r="W6" i="1"/>
  <c r="V6" i="1"/>
  <c r="S6" i="1"/>
  <c r="R2" i="1"/>
  <c r="I2" i="1"/>
  <c r="O6" i="1"/>
  <c r="N6" i="1"/>
  <c r="M6" i="1"/>
  <c r="J6" i="1"/>
  <c r="B39" i="6" l="1"/>
  <c r="I38" i="6"/>
  <c r="G38" i="6"/>
  <c r="H38" i="6"/>
  <c r="J38" i="6"/>
  <c r="F38" i="6"/>
  <c r="P3" i="5"/>
  <c r="G39" i="6" l="1"/>
  <c r="I39" i="6"/>
  <c r="J39" i="6"/>
  <c r="F39" i="6"/>
  <c r="H39" i="6"/>
  <c r="B40" i="6"/>
  <c r="M18" i="5"/>
  <c r="B41" i="6" l="1"/>
  <c r="F40" i="6"/>
  <c r="G40" i="6"/>
  <c r="I40" i="6"/>
  <c r="J40" i="6"/>
  <c r="H40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41" i="6" l="1"/>
  <c r="I41" i="6"/>
  <c r="J41" i="6"/>
  <c r="F41" i="6"/>
  <c r="H41" i="6"/>
  <c r="B42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43" i="6" l="1"/>
  <c r="F42" i="6"/>
  <c r="G42" i="6"/>
  <c r="I42" i="6"/>
  <c r="H42" i="6"/>
  <c r="J42" i="6"/>
  <c r="G259" i="4"/>
  <c r="G260" i="4"/>
  <c r="G261" i="4"/>
  <c r="G262" i="4"/>
  <c r="G263" i="4"/>
  <c r="G264" i="4"/>
  <c r="G265" i="4"/>
  <c r="B44" i="6" l="1"/>
  <c r="G43" i="6"/>
  <c r="I43" i="6"/>
  <c r="H43" i="6"/>
  <c r="J43" i="6"/>
  <c r="F43" i="6"/>
  <c r="M14" i="5"/>
  <c r="M13" i="5"/>
  <c r="M12" i="5"/>
  <c r="M11" i="5"/>
  <c r="M10" i="5"/>
  <c r="M9" i="5"/>
  <c r="M8" i="5"/>
  <c r="M7" i="5"/>
  <c r="M6" i="5"/>
  <c r="M5" i="5"/>
  <c r="M4" i="5"/>
  <c r="M3" i="5"/>
  <c r="F44" i="6" l="1"/>
  <c r="G44" i="6"/>
  <c r="I44" i="6"/>
  <c r="J44" i="6"/>
  <c r="H44" i="6"/>
  <c r="B45" i="6"/>
  <c r="U13" i="1"/>
  <c r="S13" i="1" s="1"/>
  <c r="O3" i="3"/>
  <c r="H45" i="6" l="1"/>
  <c r="I45" i="6"/>
  <c r="F45" i="6"/>
  <c r="G45" i="6"/>
  <c r="J45" i="6"/>
  <c r="B46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7" i="6" l="1"/>
  <c r="F47" i="6" s="1"/>
  <c r="F46" i="6"/>
  <c r="G46" i="6"/>
  <c r="I46" i="6"/>
  <c r="H46" i="6"/>
  <c r="J46" i="6"/>
  <c r="J8" i="1"/>
  <c r="J4" i="1"/>
  <c r="S8" i="1"/>
  <c r="S4" i="1"/>
  <c r="J47" i="6" l="1"/>
  <c r="I47" i="6"/>
  <c r="G47" i="6"/>
  <c r="H47" i="6"/>
  <c r="B48" i="6"/>
  <c r="S9" i="1"/>
  <c r="J9" i="1"/>
  <c r="B49" i="6" l="1"/>
  <c r="H48" i="6"/>
  <c r="J48" i="6"/>
  <c r="F48" i="6"/>
  <c r="G48" i="6"/>
  <c r="I48" i="6"/>
  <c r="S11" i="1"/>
  <c r="A11" i="1"/>
  <c r="B50" i="6" l="1"/>
  <c r="F49" i="6"/>
  <c r="I49" i="6"/>
  <c r="J49" i="6"/>
  <c r="G49" i="6"/>
  <c r="H49" i="6"/>
  <c r="B1" i="6"/>
  <c r="A5" i="3"/>
  <c r="B51" i="6" l="1"/>
  <c r="G50" i="6"/>
  <c r="H50" i="6"/>
  <c r="F50" i="6"/>
  <c r="I50" i="6"/>
  <c r="J50" i="6"/>
  <c r="G51" i="6" l="1"/>
  <c r="H51" i="6"/>
  <c r="I51" i="6"/>
  <c r="J51" i="6"/>
  <c r="F51" i="6"/>
  <c r="B52" i="6"/>
  <c r="H52" i="6" l="1"/>
  <c r="F52" i="6"/>
  <c r="G52" i="6"/>
  <c r="I52" i="6"/>
  <c r="J52" i="6"/>
  <c r="B53" i="6"/>
  <c r="B54" i="6" l="1"/>
  <c r="G53" i="6"/>
  <c r="H53" i="6"/>
  <c r="I53" i="6"/>
  <c r="J53" i="6"/>
  <c r="F53" i="6"/>
  <c r="B55" i="6" l="1"/>
  <c r="I54" i="6"/>
  <c r="G54" i="6"/>
  <c r="F54" i="6"/>
  <c r="H54" i="6"/>
  <c r="J54" i="6"/>
  <c r="B3" i="6"/>
  <c r="G55" i="6" l="1"/>
  <c r="F55" i="6"/>
  <c r="H55" i="6"/>
  <c r="I55" i="6"/>
  <c r="J55" i="6"/>
  <c r="B56" i="6"/>
  <c r="I3" i="6"/>
  <c r="F3" i="6"/>
  <c r="J3" i="6"/>
  <c r="G3" i="6"/>
  <c r="H3" i="6"/>
  <c r="B4" i="6"/>
  <c r="H56" i="6" l="1"/>
  <c r="J56" i="6"/>
  <c r="F56" i="6"/>
  <c r="G56" i="6"/>
  <c r="I56" i="6"/>
  <c r="B57" i="6"/>
  <c r="I4" i="6"/>
  <c r="F4" i="6"/>
  <c r="B5" i="6"/>
  <c r="G4" i="6"/>
  <c r="J4" i="6"/>
  <c r="H4" i="6"/>
  <c r="B58" i="6" l="1"/>
  <c r="F57" i="6"/>
  <c r="G57" i="6"/>
  <c r="I57" i="6"/>
  <c r="H57" i="6"/>
  <c r="J57" i="6"/>
  <c r="I5" i="6"/>
  <c r="F5" i="6"/>
  <c r="G5" i="6"/>
  <c r="J5" i="6"/>
  <c r="H5" i="6"/>
  <c r="F58" i="6" l="1"/>
  <c r="G58" i="6"/>
  <c r="J58" i="6"/>
  <c r="H58" i="6"/>
  <c r="I58" i="6"/>
  <c r="B59" i="6"/>
  <c r="G59" i="6" l="1"/>
  <c r="J59" i="6"/>
  <c r="F59" i="6"/>
  <c r="H59" i="6"/>
  <c r="I59" i="6"/>
  <c r="B60" i="6"/>
  <c r="B61" i="6" l="1"/>
  <c r="F60" i="6"/>
  <c r="G60" i="6"/>
  <c r="H60" i="6"/>
  <c r="I60" i="6"/>
  <c r="J60" i="6"/>
  <c r="B62" i="6" l="1"/>
  <c r="J61" i="6"/>
  <c r="F61" i="6"/>
  <c r="I61" i="6"/>
  <c r="G61" i="6"/>
  <c r="H61" i="6"/>
  <c r="B63" i="6" l="1"/>
  <c r="G62" i="6"/>
  <c r="H62" i="6"/>
  <c r="F62" i="6"/>
  <c r="I62" i="6"/>
  <c r="J62" i="6"/>
  <c r="G63" i="6" l="1"/>
  <c r="I63" i="6"/>
  <c r="J63" i="6"/>
  <c r="F63" i="6"/>
  <c r="H63" i="6"/>
  <c r="B64" i="6"/>
  <c r="B65" i="6" l="1"/>
  <c r="J64" i="6"/>
  <c r="F64" i="6"/>
  <c r="H64" i="6"/>
  <c r="G64" i="6"/>
  <c r="I64" i="6"/>
  <c r="B66" i="6" l="1"/>
  <c r="H65" i="6"/>
  <c r="F65" i="6"/>
  <c r="I65" i="6"/>
  <c r="J65" i="6"/>
  <c r="G65" i="6"/>
  <c r="B68" i="6" l="1"/>
  <c r="B67" i="6"/>
  <c r="G66" i="6"/>
  <c r="H66" i="6"/>
  <c r="F66" i="6"/>
  <c r="I66" i="6"/>
  <c r="J66" i="6"/>
  <c r="G67" i="6" l="1"/>
  <c r="H67" i="6"/>
  <c r="I67" i="6"/>
  <c r="J67" i="6"/>
  <c r="F67" i="6"/>
  <c r="H68" i="6"/>
  <c r="J68" i="6"/>
  <c r="G68" i="6"/>
  <c r="I68" i="6"/>
  <c r="F6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<sst xmlns="http://schemas.openxmlformats.org/spreadsheetml/2006/main" count="3085" uniqueCount="1053">
  <si>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</si>
  <si>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</si>
  <si>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</si>
  <si>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</si>
  <si>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</si>
  <si>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</si>
  <si>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</si>
  <si>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</si>
  <si>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</si>
  <si>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</si>
  <si>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</si>
  <si>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</si>
  <si>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</si>
  <si>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</si>
  <si>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</si>
  <si>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</si>
  <si>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</si>
  <si>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</si>
  <si>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</si>
  <si>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</si>
  <si>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</si>
  <si>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</si>
  <si>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</si>
  <si>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</si>
  <si>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</si>
  <si>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</si>
  <si>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</si>
  <si>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</si>
  <si>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</si>
  <si>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</si>
  <si>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</si>
  <si>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</si>
  <si>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</si>
  <si>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</si>
  <si>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</si>
  <si>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</si>
  <si>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</si>
  <si>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</si>
  <si>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</si>
  <si>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</si>
  <si>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</si>
  <si>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</si>
  <si>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</si>
  <si>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</si>
  <si>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</si>
  <si>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</si>
  <si>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</si>
  <si>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</si>
  <si>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</si>
  <si>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</si>
  <si>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</si>
  <si>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</si>
  <si>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</si>
  <si>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</si>
  <si>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</si>
  <si>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</si>
  <si>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</si>
  <si>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</si>
  <si>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</si>
  <si>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</si>
  <si>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</si>
  <si>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</si>
  <si>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</si>
  <si>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</si>
  <si>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</si>
  <si>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</si>
  <si>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</si>
  <si>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</si>
  <si>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</si>
  <si>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</si>
  <si>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</si>
  <si>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</si>
  <si>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</si>
  <si>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</si>
  <si>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</si>
  <si>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</si>
  <si>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</si>
  <si>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</si>
  <si>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</si>
  <si>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</si>
  <si>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</si>
  <si>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</si>
  <si>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</si>
  <si>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</si>
  <si>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</si>
  <si>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</si>
  <si>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</si>
  <si>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</si>
  <si>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</si>
  <si>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</si>
  <si>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</si>
  <si>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</si>
  <si>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</si>
  <si>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</si>
  <si>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</si>
  <si>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</si>
  <si>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</si>
  <si>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</si>
  <si>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</si>
  <si>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</si>
  <si>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</si>
  <si>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</si>
  <si>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</si>
  <si>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</si>
  <si>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</si>
  <si>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</si>
  <si>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</si>
  <si>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</si>
  <si>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</si>
  <si>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</si>
  <si>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</si>
  <si>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</si>
  <si>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</si>
  <si>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</si>
  <si>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</si>
  <si>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</si>
  <si>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</si>
  <si>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</si>
  <si>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</si>
  <si>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</si>
  <si>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</si>
  <si>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</si>
  <si>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</si>
  <si>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</si>
  <si>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</si>
  <si>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</si>
  <si>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</si>
  <si>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</si>
  <si>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</si>
  <si>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</si>
  <si>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</si>
  <si>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</si>
  <si>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</si>
  <si>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</si>
  <si>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</si>
  <si>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</si>
  <si>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</si>
  <si>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</si>
  <si>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</si>
  <si>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</si>
  <si>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</si>
  <si>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</si>
  <si>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</si>
  <si>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</si>
  <si>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</si>
  <si>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</si>
  <si>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</si>
  <si>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</si>
  <si>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</si>
  <si>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</si>
  <si>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</si>
  <si>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</si>
  <si>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</si>
  <si>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</si>
  <si>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</si>
  <si>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</si>
  <si>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</si>
  <si>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</si>
  <si>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</si>
  <si>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</si>
  <si>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</si>
  <si>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</si>
  <si>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</si>
  <si>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</si>
  <si>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</si>
  <si>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</si>
  <si>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</si>
  <si>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</si>
  <si>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</si>
  <si>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</si>
  <si>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</si>
  <si>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</si>
  <si>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</si>
  <si>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</si>
  <si>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</si>
  <si>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</si>
  <si>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</si>
  <si>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</si>
  <si>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</si>
  <si>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</si>
  <si>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</si>
  <si>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</si>
  <si>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</si>
  <si>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</si>
  <si>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</si>
  <si>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</si>
  <si>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</si>
  <si>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</si>
  <si>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</si>
  <si>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</si>
  <si>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</si>
  <si>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</si>
  <si>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</si>
  <si>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</si>
  <si>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</si>
  <si>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</si>
  <si>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</si>
  <si>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</si>
  <si>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</si>
  <si>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</si>
  <si>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</si>
  <si>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</si>
  <si>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</si>
  <si>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</si>
  <si>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</si>
  <si>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</si>
  <si>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</si>
  <si>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</si>
  <si>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</si>
  <si>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</si>
  <si>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</si>
  <si>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</si>
  <si>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</si>
  <si>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</si>
  <si>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</si>
  <si>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</si>
  <si>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</si>
  <si>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</si>
  <si>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</si>
  <si>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</si>
  <si>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</si>
  <si>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</si>
  <si>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</si>
  <si>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</si>
  <si>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</si>
  <si>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</si>
  <si>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</si>
  <si>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</si>
  <si>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</si>
  <si>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</si>
  <si>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</si>
  <si>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</si>
  <si>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</si>
  <si>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</si>
  <si>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</si>
  <si>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</si>
  <si>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</si>
  <si>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</si>
  <si>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</si>
  <si>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</si>
  <si>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</si>
  <si>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</si>
  <si>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</si>
  <si>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</si>
  <si>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</si>
  <si>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</si>
  <si>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</si>
  <si>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</si>
  <si>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</si>
  <si>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</si>
  <si>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</si>
  <si>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</si>
  <si>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</si>
  <si>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</si>
  <si>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</si>
  <si>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</si>
  <si>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</si>
  <si>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</si>
  <si>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</si>
  <si>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</si>
  <si>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</si>
  <si>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</si>
  <si>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</si>
  <si>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</si>
  <si>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</si>
  <si>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</si>
  <si>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</si>
  <si>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</si>
  <si>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</si>
  <si>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</si>
  <si>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</si>
  <si>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</si>
  <si>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</si>
  <si>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</si>
  <si>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</si>
  <si>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</si>
  <si>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</si>
  <si>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</si>
  <si>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</si>
  <si>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</si>
  <si>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</si>
  <si>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</si>
  <si>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</si>
  <si>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</si>
  <si>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</si>
  <si>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</si>
  <si>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</si>
  <si>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</si>
  <si>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</si>
  <si>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</si>
  <si>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</si>
  <si>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</si>
  <si>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</si>
  <si>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</si>
  <si>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</si>
  <si>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</si>
  <si>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</si>
  <si>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</si>
  <si>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</si>
  <si>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</si>
  <si>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</si>
  <si>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</si>
  <si>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</si>
  <si>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</si>
  <si>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</si>
  <si>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</si>
  <si>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</si>
  <si>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</si>
  <si>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</si>
  <si>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</si>
  <si>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</si>
  <si>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</si>
  <si>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</si>
  <si>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</si>
  <si>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</si>
  <si>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</si>
  <si>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</si>
  <si>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</si>
  <si>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</si>
  <si>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</si>
  <si>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</si>
  <si>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</si>
  <si>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</si>
  <si>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</si>
  <si>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</si>
  <si>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</si>
  <si>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</si>
  <si>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</si>
  <si>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</si>
  <si>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</si>
  <si>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</si>
  <si>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</si>
  <si>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</si>
  <si>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</si>
  <si>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</si>
  <si>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</si>
  <si>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</si>
  <si>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</si>
  <si>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</si>
  <si>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</si>
  <si>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</si>
  <si>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</si>
  <si>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</si>
  <si>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</si>
  <si>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</si>
  <si>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</si>
  <si>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</si>
  <si>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</si>
  <si>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204:138</t>
  </si>
  <si>
    <t>WCR Redmine cURL</t>
  </si>
  <si>
    <t>27f4683f8c668ceb395ce0223286e38dfe180cf8</t>
  </si>
  <si>
    <t>https://ptcsupport.wabtec.com/issues.json</t>
  </si>
  <si>
    <t>204:446</t>
  </si>
  <si>
    <t>204:145</t>
  </si>
  <si>
    <t>204:160</t>
  </si>
  <si>
    <t>204:458</t>
  </si>
  <si>
    <t>rtdc.l.rtdc.4004:itc</t>
  </si>
  <si>
    <t>rtdc.l.rtdc.4003:itc</t>
  </si>
  <si>
    <t>204:150</t>
  </si>
  <si>
    <t>204:149</t>
  </si>
  <si>
    <t>204:143</t>
  </si>
  <si>
    <t>204:466</t>
  </si>
  <si>
    <t>204:451</t>
  </si>
  <si>
    <t>300:23346</t>
  </si>
  <si>
    <t>204:464</t>
  </si>
  <si>
    <t>204:156</t>
  </si>
  <si>
    <t>204:453</t>
  </si>
  <si>
    <t>204:444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</si>
  <si>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</si>
  <si>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</si>
  <si>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</si>
  <si>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</si>
  <si>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</si>
  <si>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</si>
  <si>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</si>
  <si>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</si>
  <si>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rtdc.l.rtdc.4051:itc</t>
  </si>
  <si>
    <t>Y</t>
  </si>
  <si>
    <t>rtdc.l.rtdc.4052:itc</t>
  </si>
  <si>
    <t>rtdc.l.rtdc.4041:itc</t>
  </si>
  <si>
    <t>204:455</t>
  </si>
  <si>
    <t>rtdc.l.rtdc.4033:itc</t>
  </si>
  <si>
    <t>rtdc.l.rtdc.4034:itc</t>
  </si>
  <si>
    <t>partly-cloudy-day</t>
  </si>
  <si>
    <t>204:136</t>
  </si>
  <si>
    <t>204:232998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</si>
  <si>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</si>
  <si>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</si>
  <si>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</si>
  <si>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</si>
  <si>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</si>
  <si>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</si>
  <si>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</si>
  <si>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</si>
  <si>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</si>
  <si>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</si>
  <si>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243-08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</si>
  <si>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</si>
  <si>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</si>
  <si>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</si>
  <si>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</si>
  <si>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</si>
  <si>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</si>
  <si>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</si>
  <si>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</si>
  <si>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</si>
  <si>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</si>
  <si>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</si>
  <si>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</si>
  <si>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</si>
  <si>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236-08</t>
  </si>
  <si>
    <t>238-08</t>
  </si>
  <si>
    <t>240-08</t>
  </si>
  <si>
    <t>315-08</t>
  </si>
  <si>
    <t>242-08</t>
  </si>
  <si>
    <t>309-08</t>
  </si>
  <si>
    <t>311-08</t>
  </si>
  <si>
    <t>313-08</t>
  </si>
  <si>
    <t>204:462</t>
  </si>
  <si>
    <t>204:232994</t>
  </si>
  <si>
    <t>204:433</t>
  </si>
  <si>
    <t>204:233293</t>
  </si>
  <si>
    <t>204:233280</t>
  </si>
  <si>
    <t>204:477</t>
  </si>
  <si>
    <t>300:58617</t>
  </si>
  <si>
    <t>300:58926</t>
  </si>
  <si>
    <t>rtdc.l.rtdc.4006:itc</t>
  </si>
  <si>
    <t>rtdc.l.rtdc.4032:itc</t>
  </si>
  <si>
    <t>SWANSON</t>
  </si>
  <si>
    <t>BRYCE</t>
  </si>
  <si>
    <t>FORTUNATO</t>
  </si>
  <si>
    <t>FRANK</t>
  </si>
  <si>
    <t>204:232973</t>
  </si>
  <si>
    <t>204:680</t>
  </si>
  <si>
    <t>rtdc.l.rtdc.4025:itc</t>
  </si>
  <si>
    <t>rtdc.l.rtdc.4026:itc</t>
  </si>
  <si>
    <t>rtdc.l.rtdc.4015:itc</t>
  </si>
  <si>
    <t>rtdc.l.rtdc.4001:itc</t>
  </si>
  <si>
    <t>YORK</t>
  </si>
  <si>
    <t>EDGAR</t>
  </si>
  <si>
    <t>rtdc.l.rtdc.4016:itc</t>
  </si>
  <si>
    <t>STORY</t>
  </si>
  <si>
    <t>SAMANTHA</t>
  </si>
  <si>
    <t>BROWN</t>
  </si>
  <si>
    <t>JACOB</t>
  </si>
  <si>
    <t>SULLIVAN</t>
  </si>
  <si>
    <t>BRANDON</t>
  </si>
  <si>
    <t>204:424</t>
  </si>
  <si>
    <t>204:134</t>
  </si>
  <si>
    <t>204:427</t>
  </si>
  <si>
    <t>204:130</t>
  </si>
  <si>
    <t>204:233317</t>
  </si>
  <si>
    <t>300:23304</t>
  </si>
  <si>
    <t>300:58929</t>
  </si>
  <si>
    <t>300:58609</t>
  </si>
  <si>
    <t>SWITCH UNKNOWN</t>
  </si>
  <si>
    <t>Track device (7)</t>
  </si>
  <si>
    <t>844-11</t>
  </si>
  <si>
    <t>MACDONALD</t>
  </si>
  <si>
    <t>BRANDNER</t>
  </si>
  <si>
    <t>MELINDA</t>
  </si>
  <si>
    <t>rtdc.l.rtdc.4002:itc</t>
  </si>
  <si>
    <t>PERKINS</t>
  </si>
  <si>
    <t>DARREN</t>
  </si>
  <si>
    <t>230-11</t>
  </si>
  <si>
    <t>233-11</t>
  </si>
  <si>
    <t>847-11</t>
  </si>
  <si>
    <t>232-11</t>
  </si>
  <si>
    <t>235-11</t>
  </si>
  <si>
    <t>908-11</t>
  </si>
  <si>
    <t>234-11</t>
  </si>
  <si>
    <t>237-11</t>
  </si>
  <si>
    <t>236-11</t>
  </si>
  <si>
    <t>239-11</t>
  </si>
  <si>
    <t>238-11</t>
  </si>
  <si>
    <t>241-11</t>
  </si>
  <si>
    <t>243-11</t>
  </si>
  <si>
    <t>240-11</t>
  </si>
  <si>
    <t>315-11</t>
  </si>
  <si>
    <t>242-11</t>
  </si>
  <si>
    <t>244-11</t>
  </si>
  <si>
    <t>309-11</t>
  </si>
  <si>
    <t>311-11</t>
  </si>
  <si>
    <t>313-11</t>
  </si>
  <si>
    <t>Partly Cloudy</t>
  </si>
  <si>
    <t>Clear</t>
  </si>
  <si>
    <t>clear-night</t>
  </si>
  <si>
    <t>204:761</t>
  </si>
  <si>
    <t>204:232976</t>
  </si>
  <si>
    <t>204:154</t>
  </si>
  <si>
    <t>204:233284</t>
  </si>
  <si>
    <t>204:174</t>
  </si>
  <si>
    <t>204:161</t>
  </si>
  <si>
    <t>204:1488</t>
  </si>
  <si>
    <t>300:58931</t>
  </si>
  <si>
    <t>300:58935</t>
  </si>
  <si>
    <t>300:58615</t>
  </si>
  <si>
    <t>Wi-MAX data drop</t>
  </si>
  <si>
    <t>Early arrival</t>
  </si>
  <si>
    <t>rtdc.l.rtdc.4009:itc</t>
  </si>
  <si>
    <t>rtdc.l.rtdc.4031:itc</t>
  </si>
  <si>
    <t>rtdc.l.rtdc.4010:itc</t>
  </si>
  <si>
    <t>rtdc.l.rtdc.4046:itc</t>
  </si>
  <si>
    <t>SANTIZO</t>
  </si>
  <si>
    <t>D. EDY</t>
  </si>
  <si>
    <t>MAELZER</t>
  </si>
  <si>
    <t>KURT</t>
  </si>
  <si>
    <t>DAVIS</t>
  </si>
  <si>
    <t>WENDY</t>
  </si>
  <si>
    <t>rtdc.l.rtdc.4045:itc</t>
  </si>
  <si>
    <t>ROMERO</t>
  </si>
  <si>
    <t>CHAD</t>
  </si>
  <si>
    <t>LEVIN</t>
  </si>
  <si>
    <t>SCOTT</t>
  </si>
  <si>
    <t>LALONDE</t>
  </si>
  <si>
    <t>GREGORY</t>
  </si>
  <si>
    <t>DAVIDSON</t>
  </si>
  <si>
    <t>DAVID</t>
  </si>
  <si>
    <t>STAMBAUGH</t>
  </si>
  <si>
    <t>242-14</t>
  </si>
  <si>
    <t>309-14</t>
  </si>
  <si>
    <t>244-14</t>
  </si>
  <si>
    <t>311-14</t>
  </si>
  <si>
    <t>313-14</t>
  </si>
  <si>
    <t>fog</t>
  </si>
  <si>
    <t>Foggy</t>
  </si>
  <si>
    <t>Mostly Cloudy</t>
  </si>
  <si>
    <t>partly-cloudy-night</t>
  </si>
  <si>
    <t>204:233385</t>
  </si>
  <si>
    <t>204:757</t>
  </si>
  <si>
    <t>204:233319</t>
  </si>
  <si>
    <t>204:233297</t>
  </si>
  <si>
    <t>204:232985</t>
  </si>
  <si>
    <t>204:467</t>
  </si>
  <si>
    <t>204:233272</t>
  </si>
  <si>
    <t>204:233295</t>
  </si>
  <si>
    <t>204:233323</t>
  </si>
  <si>
    <t>204:233305</t>
  </si>
  <si>
    <t>204:232980</t>
  </si>
  <si>
    <t>204:233302</t>
  </si>
  <si>
    <t>204:232991</t>
  </si>
  <si>
    <t>204:165</t>
  </si>
  <si>
    <t>204:233288</t>
  </si>
  <si>
    <t>204:232975</t>
  </si>
  <si>
    <t>204:233276</t>
  </si>
  <si>
    <t>204:232970</t>
  </si>
  <si>
    <t>204:232974</t>
  </si>
  <si>
    <t>204:232982</t>
  </si>
  <si>
    <t>204:233005</t>
  </si>
  <si>
    <t>204:233011</t>
  </si>
  <si>
    <t>204:232957</t>
  </si>
  <si>
    <t>204:233282</t>
  </si>
  <si>
    <t>204:233306</t>
  </si>
  <si>
    <t>204:232967</t>
  </si>
  <si>
    <t>204:233318</t>
  </si>
  <si>
    <t>204:473</t>
  </si>
  <si>
    <t>204:132</t>
  </si>
  <si>
    <t>204:706</t>
  </si>
  <si>
    <t>300:58621</t>
  </si>
  <si>
    <t>300:58606</t>
  </si>
  <si>
    <t>300:58611</t>
  </si>
  <si>
    <t>300:58937</t>
  </si>
  <si>
    <t>300:58928</t>
  </si>
  <si>
    <t>204:776</t>
  </si>
  <si>
    <t>204:233332</t>
  </si>
  <si>
    <t>204:233053</t>
  </si>
  <si>
    <t>204:233049</t>
  </si>
  <si>
    <t>204:233370</t>
  </si>
  <si>
    <t>204:233397</t>
  </si>
  <si>
    <t>204:233072</t>
  </si>
  <si>
    <t>204:233442</t>
  </si>
  <si>
    <t>204:232971</t>
  </si>
  <si>
    <t>204:440</t>
  </si>
  <si>
    <t>204:68</t>
  </si>
  <si>
    <t>300:23312</t>
  </si>
  <si>
    <t>Cancelled due to phase break incident with 188-14</t>
  </si>
  <si>
    <t>109-15</t>
  </si>
  <si>
    <t>901-15</t>
  </si>
  <si>
    <t>801-15</t>
  </si>
  <si>
    <t>114-15</t>
  </si>
  <si>
    <t>802-15</t>
  </si>
  <si>
    <t>123-15</t>
  </si>
  <si>
    <t>805-15</t>
  </si>
  <si>
    <t>806-15</t>
  </si>
  <si>
    <t>809-15</t>
  </si>
  <si>
    <t>810-15</t>
  </si>
  <si>
    <t>136-15</t>
  </si>
  <si>
    <t>142-15</t>
  </si>
  <si>
    <t>rtdc.l.rtdc.4049:itc</t>
  </si>
  <si>
    <t>52-15</t>
  </si>
  <si>
    <t>816-15</t>
  </si>
  <si>
    <t>157-15</t>
  </si>
  <si>
    <t>159-15</t>
  </si>
  <si>
    <t>158-15</t>
  </si>
  <si>
    <t>156-15</t>
  </si>
  <si>
    <t>163-15</t>
  </si>
  <si>
    <t>165-15</t>
  </si>
  <si>
    <t>171-15</t>
  </si>
  <si>
    <t>170-15</t>
  </si>
  <si>
    <t>173-15</t>
  </si>
  <si>
    <t>168-15</t>
  </si>
  <si>
    <t>179-15</t>
  </si>
  <si>
    <t>822-15</t>
  </si>
  <si>
    <t>174-15</t>
  </si>
  <si>
    <t>183-15</t>
  </si>
  <si>
    <t>176-15</t>
  </si>
  <si>
    <t>180-15</t>
  </si>
  <si>
    <t>824-15</t>
  </si>
  <si>
    <t>rtdc.l.rtdc.4030:itc</t>
  </si>
  <si>
    <t>65-15</t>
  </si>
  <si>
    <t>197-15</t>
  </si>
  <si>
    <t>190-15</t>
  </si>
  <si>
    <t>198-15</t>
  </si>
  <si>
    <t>194-15</t>
  </si>
  <si>
    <t>201-15</t>
  </si>
  <si>
    <t>205-15</t>
  </si>
  <si>
    <t>207-15</t>
  </si>
  <si>
    <t>202-15</t>
  </si>
  <si>
    <t>56-15</t>
  </si>
  <si>
    <t>208-15</t>
  </si>
  <si>
    <t>217-15</t>
  </si>
  <si>
    <t>839-15</t>
  </si>
  <si>
    <t>840-15</t>
  </si>
  <si>
    <t>220-15</t>
  </si>
  <si>
    <t>225-15</t>
  </si>
  <si>
    <t>rtdc.l.rtdc.4050:itc</t>
  </si>
  <si>
    <t>59-15</t>
  </si>
  <si>
    <t>60-15</t>
  </si>
  <si>
    <t>236-15</t>
  </si>
  <si>
    <t>302-15</t>
  </si>
  <si>
    <t>101-15</t>
  </si>
  <si>
    <t>304-15</t>
  </si>
  <si>
    <t>103-15</t>
  </si>
  <si>
    <t>306-15</t>
  </si>
  <si>
    <t>YOUNG</t>
  </si>
  <si>
    <t>ELIZABETH</t>
  </si>
  <si>
    <t>102-15</t>
  </si>
  <si>
    <t>308-15</t>
  </si>
  <si>
    <t>BONDS</t>
  </si>
  <si>
    <t>REYNALDO</t>
  </si>
  <si>
    <t>105-15</t>
  </si>
  <si>
    <t>310-15</t>
  </si>
  <si>
    <t>107-15</t>
  </si>
  <si>
    <t>104-15</t>
  </si>
  <si>
    <t>113-15</t>
  </si>
  <si>
    <t>111-15</t>
  </si>
  <si>
    <t>106-15</t>
  </si>
  <si>
    <t>800-15</t>
  </si>
  <si>
    <t>108-15</t>
  </si>
  <si>
    <t>115-15</t>
  </si>
  <si>
    <t>ROBINSON</t>
  </si>
  <si>
    <t>KADDIBA</t>
  </si>
  <si>
    <t>112-15</t>
  </si>
  <si>
    <t>110-15</t>
  </si>
  <si>
    <t>117-15</t>
  </si>
  <si>
    <t>902-15</t>
  </si>
  <si>
    <t>YANAI</t>
  </si>
  <si>
    <t>IAN</t>
  </si>
  <si>
    <t>50-15</t>
  </si>
  <si>
    <t>SPECTOR</t>
  </si>
  <si>
    <t>119-15</t>
  </si>
  <si>
    <t>803-15</t>
  </si>
  <si>
    <t>121-15</t>
  </si>
  <si>
    <t>116-15</t>
  </si>
  <si>
    <t>118-15</t>
  </si>
  <si>
    <t>804-15</t>
  </si>
  <si>
    <t>125-15</t>
  </si>
  <si>
    <t>rtdc.l.rtdc.4029:itc</t>
  </si>
  <si>
    <t>120-15</t>
  </si>
  <si>
    <t>127-15</t>
  </si>
  <si>
    <t>807-15</t>
  </si>
  <si>
    <t>122-15</t>
  </si>
  <si>
    <t>129-15</t>
  </si>
  <si>
    <t>124-15</t>
  </si>
  <si>
    <t>131-15</t>
  </si>
  <si>
    <t>126-15</t>
  </si>
  <si>
    <t>808-15</t>
  </si>
  <si>
    <t>128-15</t>
  </si>
  <si>
    <t>133-15</t>
  </si>
  <si>
    <t>135-15</t>
  </si>
  <si>
    <t>811-15</t>
  </si>
  <si>
    <t>130-15</t>
  </si>
  <si>
    <t>137-15</t>
  </si>
  <si>
    <t>132-15</t>
  </si>
  <si>
    <t>139-15</t>
  </si>
  <si>
    <t>134-15</t>
  </si>
  <si>
    <t>903-15</t>
  </si>
  <si>
    <t>812-15</t>
  </si>
  <si>
    <t>141-15</t>
  </si>
  <si>
    <t>143-15</t>
  </si>
  <si>
    <t>813-15</t>
  </si>
  <si>
    <t>138-15</t>
  </si>
  <si>
    <t>140-15</t>
  </si>
  <si>
    <t>145-15</t>
  </si>
  <si>
    <t>147-15</t>
  </si>
  <si>
    <t>MAYBERRY</t>
  </si>
  <si>
    <t>BILL</t>
  </si>
  <si>
    <t>814-15</t>
  </si>
  <si>
    <t>149-15</t>
  </si>
  <si>
    <t>144-15</t>
  </si>
  <si>
    <t>151-15</t>
  </si>
  <si>
    <t>815-15</t>
  </si>
  <si>
    <t>146-15</t>
  </si>
  <si>
    <t>153-15</t>
  </si>
  <si>
    <t>148-15</t>
  </si>
  <si>
    <t>155-15</t>
  </si>
  <si>
    <t>150-15</t>
  </si>
  <si>
    <t>152-15</t>
  </si>
  <si>
    <t>154-15</t>
  </si>
  <si>
    <t>817-15</t>
  </si>
  <si>
    <t>51-15</t>
  </si>
  <si>
    <t>53-15</t>
  </si>
  <si>
    <t>161-15</t>
  </si>
  <si>
    <t>ACKERMAN</t>
  </si>
  <si>
    <t>JARED</t>
  </si>
  <si>
    <t>CLARK</t>
  </si>
  <si>
    <t>KATHLEEN</t>
  </si>
  <si>
    <t>818-15</t>
  </si>
  <si>
    <t>160-15</t>
  </si>
  <si>
    <t>167-15</t>
  </si>
  <si>
    <t>819-15</t>
  </si>
  <si>
    <t>162-15</t>
  </si>
  <si>
    <t>169-15</t>
  </si>
  <si>
    <t>THOMPSON</t>
  </si>
  <si>
    <t>LESTER</t>
  </si>
  <si>
    <t>164-15</t>
  </si>
  <si>
    <t>166-15</t>
  </si>
  <si>
    <t>820-15</t>
  </si>
  <si>
    <t>175-15</t>
  </si>
  <si>
    <t>177-15</t>
  </si>
  <si>
    <t>821-15</t>
  </si>
  <si>
    <t>172-15</t>
  </si>
  <si>
    <t>181-15</t>
  </si>
  <si>
    <t>178-15</t>
  </si>
  <si>
    <t>185-15</t>
  </si>
  <si>
    <t>823-15</t>
  </si>
  <si>
    <t>182-15</t>
  </si>
  <si>
    <t>187-15</t>
  </si>
  <si>
    <t>189-15</t>
  </si>
  <si>
    <t>184-15</t>
  </si>
  <si>
    <t>55-15</t>
  </si>
  <si>
    <t>MAGEE</t>
  </si>
  <si>
    <t>KENYA</t>
  </si>
  <si>
    <t>191-15</t>
  </si>
  <si>
    <t>186-15</t>
  </si>
  <si>
    <t>193-15</t>
  </si>
  <si>
    <t>904-15</t>
  </si>
  <si>
    <t>188-15</t>
  </si>
  <si>
    <t>825-15</t>
  </si>
  <si>
    <t>195-15</t>
  </si>
  <si>
    <t>827-15</t>
  </si>
  <si>
    <t>826-15</t>
  </si>
  <si>
    <t>192-15</t>
  </si>
  <si>
    <t>199-15</t>
  </si>
  <si>
    <t>828-15</t>
  </si>
  <si>
    <t>196-15</t>
  </si>
  <si>
    <t>829-15</t>
  </si>
  <si>
    <t>203-15</t>
  </si>
  <si>
    <t>831-15</t>
  </si>
  <si>
    <t>830-15</t>
  </si>
  <si>
    <t>200-15</t>
  </si>
  <si>
    <t>832-15</t>
  </si>
  <si>
    <t>213-15</t>
  </si>
  <si>
    <t>54-15</t>
  </si>
  <si>
    <t>833-15</t>
  </si>
  <si>
    <t>209-15</t>
  </si>
  <si>
    <t>204-15</t>
  </si>
  <si>
    <t>67-15</t>
  </si>
  <si>
    <t>211-15</t>
  </si>
  <si>
    <t>835-15</t>
  </si>
  <si>
    <t>206-15</t>
  </si>
  <si>
    <t>834-15</t>
  </si>
  <si>
    <t>MENGES</t>
  </si>
  <si>
    <t>BRAD</t>
  </si>
  <si>
    <t>215-15</t>
  </si>
  <si>
    <t>57-15</t>
  </si>
  <si>
    <t>836-15</t>
  </si>
  <si>
    <t>210-15</t>
  </si>
  <si>
    <t>212-15</t>
  </si>
  <si>
    <t>837-15</t>
  </si>
  <si>
    <t>219-15</t>
  </si>
  <si>
    <t>214-15</t>
  </si>
  <si>
    <t>838-15</t>
  </si>
  <si>
    <t>303-15</t>
  </si>
  <si>
    <t>216-15</t>
  </si>
  <si>
    <t>221-15</t>
  </si>
  <si>
    <t>906-15</t>
  </si>
  <si>
    <t>218-15</t>
  </si>
  <si>
    <t>305-15</t>
  </si>
  <si>
    <t>841-15</t>
  </si>
  <si>
    <t>223-15</t>
  </si>
  <si>
    <t>58-15</t>
  </si>
  <si>
    <t>307-15</t>
  </si>
  <si>
    <t>222-15</t>
  </si>
  <si>
    <t>224-15</t>
  </si>
  <si>
    <t>843-15</t>
  </si>
  <si>
    <t>227-15</t>
  </si>
  <si>
    <t>842-15</t>
  </si>
  <si>
    <t>226-15</t>
  </si>
  <si>
    <t>229-15</t>
  </si>
  <si>
    <t>845-15</t>
  </si>
  <si>
    <t>231-15</t>
  </si>
  <si>
    <t>228-15</t>
  </si>
  <si>
    <t>844-15</t>
  </si>
  <si>
    <t>233-15</t>
  </si>
  <si>
    <t>230-15</t>
  </si>
  <si>
    <t>847-15</t>
  </si>
  <si>
    <t>232-15</t>
  </si>
  <si>
    <t>235-15</t>
  </si>
  <si>
    <t>908-15</t>
  </si>
  <si>
    <t>234-15</t>
  </si>
  <si>
    <t>237-15</t>
  </si>
  <si>
    <t>239-15</t>
  </si>
  <si>
    <t>238-15</t>
  </si>
  <si>
    <t>241-15</t>
  </si>
  <si>
    <t>240-15</t>
  </si>
  <si>
    <t>243-15</t>
  </si>
  <si>
    <t>315-15</t>
  </si>
  <si>
    <t>242-15</t>
  </si>
  <si>
    <t>309-15</t>
  </si>
  <si>
    <t>244-15</t>
  </si>
  <si>
    <t>311-15</t>
  </si>
  <si>
    <t>313-15</t>
  </si>
  <si>
    <t>204:19198</t>
  </si>
  <si>
    <t>204:1450</t>
  </si>
  <si>
    <t>204:232664</t>
  </si>
  <si>
    <t>204:172</t>
  </si>
  <si>
    <t>204:744</t>
  </si>
  <si>
    <t>204:233328</t>
  </si>
  <si>
    <t>204:232679</t>
  </si>
  <si>
    <t>204:19195</t>
  </si>
  <si>
    <t>204:857</t>
  </si>
  <si>
    <t>204:830</t>
  </si>
  <si>
    <t>204:232683</t>
  </si>
  <si>
    <t>204:176</t>
  </si>
  <si>
    <t>204:233281</t>
  </si>
  <si>
    <t>204:232968</t>
  </si>
  <si>
    <t>204:233286</t>
  </si>
  <si>
    <t>204:233315</t>
  </si>
  <si>
    <t>204:232987</t>
  </si>
  <si>
    <t>204:775</t>
  </si>
  <si>
    <t>204:232963</t>
  </si>
  <si>
    <t>204:233004</t>
  </si>
  <si>
    <t>204:788</t>
  </si>
  <si>
    <t>204:232977</t>
  </si>
  <si>
    <t>204:180</t>
  </si>
  <si>
    <t>204:233298</t>
  </si>
  <si>
    <t>204:233263</t>
  </si>
  <si>
    <t>204:232950</t>
  </si>
  <si>
    <t>204:469</t>
  </si>
  <si>
    <t>204:233304</t>
  </si>
  <si>
    <t>204:493</t>
  </si>
  <si>
    <t>204:233303</t>
  </si>
  <si>
    <t>204:233287</t>
  </si>
  <si>
    <t>204:500</t>
  </si>
  <si>
    <t>204:233320</t>
  </si>
  <si>
    <t>204:232986</t>
  </si>
  <si>
    <t>204:232993</t>
  </si>
  <si>
    <t>204:232978</t>
  </si>
  <si>
    <t>204:233331</t>
  </si>
  <si>
    <t>204:205</t>
  </si>
  <si>
    <t>204:232981</t>
  </si>
  <si>
    <t>204:233316</t>
  </si>
  <si>
    <t>204:435</t>
  </si>
  <si>
    <t>204:129</t>
  </si>
  <si>
    <t>204:181</t>
  </si>
  <si>
    <t>204:233387</t>
  </si>
  <si>
    <t>204:233374</t>
  </si>
  <si>
    <t>204:233063</t>
  </si>
  <si>
    <t>204:233195</t>
  </si>
  <si>
    <t>204:232877</t>
  </si>
  <si>
    <t>204:232960</t>
  </si>
  <si>
    <t>204:233412</t>
  </si>
  <si>
    <t>204:233071</t>
  </si>
  <si>
    <t>204:121</t>
  </si>
  <si>
    <t>204:233076</t>
  </si>
  <si>
    <t>204:232969</t>
  </si>
  <si>
    <t>204:233429</t>
  </si>
  <si>
    <t>204:233128</t>
  </si>
  <si>
    <t>204:1175</t>
  </si>
  <si>
    <t>204:233008</t>
  </si>
  <si>
    <t>204:484</t>
  </si>
  <si>
    <t>204:232965</t>
  </si>
  <si>
    <t>204:233400</t>
  </si>
  <si>
    <t>204:233077</t>
  </si>
  <si>
    <t>204:233015</t>
  </si>
  <si>
    <t>204:233418</t>
  </si>
  <si>
    <t>204:233117</t>
  </si>
  <si>
    <t>204:125</t>
  </si>
  <si>
    <t>204:233174</t>
  </si>
  <si>
    <t>204:232849</t>
  </si>
  <si>
    <t>204:233330</t>
  </si>
  <si>
    <t>204:506</t>
  </si>
  <si>
    <t>204:233278</t>
  </si>
  <si>
    <t>204:232964</t>
  </si>
  <si>
    <t>204:163</t>
  </si>
  <si>
    <t>204:233044</t>
  </si>
  <si>
    <t>204:233285</t>
  </si>
  <si>
    <t>204:233378</t>
  </si>
  <si>
    <t>204:233113</t>
  </si>
  <si>
    <t>204:486</t>
  </si>
  <si>
    <t>204:482</t>
  </si>
  <si>
    <t>204:233322</t>
  </si>
  <si>
    <t>204:232955</t>
  </si>
  <si>
    <t>204:232961</t>
  </si>
  <si>
    <t>204:233448</t>
  </si>
  <si>
    <t>204:233138</t>
  </si>
  <si>
    <t>204:232996</t>
  </si>
  <si>
    <t>204:233372</t>
  </si>
  <si>
    <t>204:289</t>
  </si>
  <si>
    <t>300:19586</t>
  </si>
  <si>
    <t>300:22121</t>
  </si>
  <si>
    <t>300:23025</t>
  </si>
  <si>
    <t>300:23257</t>
  </si>
  <si>
    <t>300:23012</t>
  </si>
  <si>
    <t>204:209</t>
  </si>
  <si>
    <t>300:23011</t>
  </si>
  <si>
    <t>300:23483</t>
  </si>
  <si>
    <t>204:429</t>
  </si>
  <si>
    <t>300:23631</t>
  </si>
  <si>
    <t>300:23314</t>
  </si>
  <si>
    <t>204:573</t>
  </si>
  <si>
    <t>300:23301</t>
  </si>
  <si>
    <t>204:3233</t>
  </si>
  <si>
    <t>204:1164</t>
  </si>
  <si>
    <t>204:3529</t>
  </si>
  <si>
    <t>204:513</t>
  </si>
  <si>
    <t>204:3824</t>
  </si>
  <si>
    <t>300:23451</t>
  </si>
  <si>
    <t>204:943</t>
  </si>
  <si>
    <t>204:1259</t>
  </si>
  <si>
    <t>300:24241</t>
  </si>
  <si>
    <t>300:23385</t>
  </si>
  <si>
    <t>204:310</t>
  </si>
  <si>
    <t>300:23650</t>
  </si>
  <si>
    <t>204:975</t>
  </si>
  <si>
    <t>204:428</t>
  </si>
  <si>
    <t>300:24235</t>
  </si>
  <si>
    <t>300:23538</t>
  </si>
  <si>
    <t>204:154403</t>
  </si>
  <si>
    <t>204:233401</t>
  </si>
  <si>
    <t>204:363</t>
  </si>
  <si>
    <t>204:232756</t>
  </si>
  <si>
    <t>204:1193</t>
  </si>
  <si>
    <t>204:154136</t>
  </si>
  <si>
    <t>204:154015</t>
  </si>
  <si>
    <t>204:233105</t>
  </si>
  <si>
    <t>204:154626</t>
  </si>
  <si>
    <t>204:154250</t>
  </si>
  <si>
    <t>204:1497</t>
  </si>
  <si>
    <t>204:1890</t>
  </si>
  <si>
    <t>204:154280</t>
  </si>
  <si>
    <t>204:154516</t>
  </si>
  <si>
    <t>204:155022</t>
  </si>
  <si>
    <t>204:233086</t>
  </si>
  <si>
    <t>204:3169</t>
  </si>
  <si>
    <t>204:1494</t>
  </si>
  <si>
    <t>204:1797</t>
  </si>
  <si>
    <t>204:1479</t>
  </si>
  <si>
    <t>300:23310</t>
  </si>
  <si>
    <t>300:58711</t>
  </si>
  <si>
    <t>204:638</t>
  </si>
  <si>
    <t>204:909</t>
  </si>
  <si>
    <t>300:58975</t>
  </si>
  <si>
    <t>300:58704</t>
  </si>
  <si>
    <t>204:936</t>
  </si>
  <si>
    <t>300:58922</t>
  </si>
  <si>
    <t>300:58600</t>
  </si>
  <si>
    <t>204:657</t>
  </si>
  <si>
    <t>204:1006</t>
  </si>
  <si>
    <t>300:58867</t>
  </si>
  <si>
    <t>300:58702</t>
  </si>
  <si>
    <t>204:652</t>
  </si>
  <si>
    <t>204:985</t>
  </si>
  <si>
    <t>300:59016</t>
  </si>
  <si>
    <t>300:58707</t>
  </si>
  <si>
    <t>204:944</t>
  </si>
  <si>
    <t>204:649</t>
  </si>
  <si>
    <t>204:953</t>
  </si>
  <si>
    <t>300:58920</t>
  </si>
  <si>
    <t>204:656</t>
  </si>
  <si>
    <t>300:58912</t>
  </si>
  <si>
    <t>300:58602</t>
  </si>
  <si>
    <t>204:663</t>
  </si>
  <si>
    <t>204:948</t>
  </si>
  <si>
    <t>204:661</t>
  </si>
  <si>
    <t>204:958</t>
  </si>
  <si>
    <t>300:58954</t>
  </si>
  <si>
    <t>300:58630</t>
  </si>
  <si>
    <t>204:682</t>
  </si>
  <si>
    <t>204:972</t>
  </si>
  <si>
    <t>300:58963</t>
  </si>
  <si>
    <t>300:58641</t>
  </si>
  <si>
    <t>204:692</t>
  </si>
  <si>
    <t>204:992</t>
  </si>
  <si>
    <t>300:58634</t>
  </si>
  <si>
    <t>204:629</t>
  </si>
  <si>
    <t>204:957</t>
  </si>
  <si>
    <t>204:703</t>
  </si>
  <si>
    <t>204:941</t>
  </si>
  <si>
    <t>300:58628</t>
  </si>
  <si>
    <t>204:685</t>
  </si>
  <si>
    <t>204:1002</t>
  </si>
  <si>
    <t>204:691</t>
  </si>
  <si>
    <t>300:59008</t>
  </si>
  <si>
    <t>300:58698</t>
  </si>
  <si>
    <t>204:668</t>
  </si>
  <si>
    <t>204:990</t>
  </si>
  <si>
    <t>204:967</t>
  </si>
  <si>
    <t>300:58645</t>
  </si>
  <si>
    <t>204:677</t>
  </si>
  <si>
    <t>204:962</t>
  </si>
  <si>
    <t>300:58961</t>
  </si>
  <si>
    <t>300:58608</t>
  </si>
  <si>
    <t>204:699</t>
  </si>
  <si>
    <t>204:955</t>
  </si>
  <si>
    <t>300:30099</t>
  </si>
  <si>
    <t>300:23599</t>
  </si>
  <si>
    <t>204:1062</t>
  </si>
  <si>
    <t>300:25448</t>
  </si>
  <si>
    <t>300:23580</t>
  </si>
  <si>
    <t>204:671</t>
  </si>
  <si>
    <t>300:25118</t>
  </si>
  <si>
    <t>300:25128</t>
  </si>
  <si>
    <t>300:28786</t>
  </si>
  <si>
    <t>300:21842</t>
  </si>
  <si>
    <t>start /low /b %USERPROFILE%\Documents\GitHub\eaglep3\Utilities\DownloadLogsFromS3.py --loco 4052 --day 2017-05-15</t>
  </si>
  <si>
    <t>start /low /b %USERPROFILE%\Documents\GitHub\eaglep3\Utilities\DownloadLogsFromS3.py --loco 4030 --day 2017-05-15</t>
  </si>
  <si>
    <t>start /low /b %USERPROFILE%\Documents\GitHub\eaglep3\Utilities\DownloadLogsFromS3.py --loco 4026 --day 2017-05-15</t>
  </si>
  <si>
    <t>start /low /b %USERPROFILE%\Documents\GitHub\eaglep3\Utilities\DownloadLogsFromS3.py --loco 4027 --day 2017-05-15</t>
  </si>
  <si>
    <t>start /low /b %USERPROFILE%\Documents\GitHub\eaglep3\Utilities\DownloadLogsFromS3.py --loco 4041 --day 2017-05-15</t>
  </si>
  <si>
    <t>start /low /b %USERPROFILE%\Documents\GitHub\eaglep3\Utilities\DownloadLogsFromS3.py --loco 4028 --day 2017-05-15</t>
  </si>
  <si>
    <t>start /low /b %USERPROFILE%\Documents\GitHub\eaglep3\Utilities\DownloadLogsFromS3.py --loco 4015 --day 2017-05-16</t>
  </si>
  <si>
    <t>start /low /b %USERPROFILE%\Documents\GitHub\eaglep3\Utilities\DownloadLogsFromS3.py --loco 4051 --day 2017-05-15</t>
  </si>
  <si>
    <t>start /low /b %USERPROFILE%\Documents\GitHub\eaglep3\Utilities\DownloadLogsFromS3.py --loco 4025 --day 2017-05-15</t>
  </si>
  <si>
    <t>start /low /b %USERPROFILE%\Documents\GitHub\eaglep3\Utilities\DownloadLogsFromS3.py --loco 4010 --day 2017-05-15</t>
  </si>
  <si>
    <t>start /low /b %USERPROFILE%\Documents\GitHub\eaglep3\Utilities\DownloadLogsFromS3.py --loco 4016 --day 2017-05-15</t>
  </si>
  <si>
    <t>start /low /b %USERPROFILE%\Documents\GitHub\eaglep3\Utilities\DownloadLogsFromS3.py --loco 4025 --day 2017-05-16</t>
  </si>
  <si>
    <t>start /low /b %USERPROFILE%\Documents\GitHub\eaglep3\Utilities\DownloadLogsFromS3.py --loco 4009 --day 2017-05-15</t>
  </si>
  <si>
    <t>start /low /b %USERPROFILE%\Documents\GitHub\eaglep3\Utilities\DownloadLogsFromS3.py --loco 4021 --day 2017-05-15</t>
  </si>
  <si>
    <t>start /low /b %USERPROFILE%\Documents\GitHub\eaglep3\Utilities\DownloadLogsFromS3.py --loco 4015 --day 2017-05-15</t>
  </si>
  <si>
    <t>start /low /b %USERPROFILE%\Documents\GitHub\eaglep3\Utilities\DownloadLogsFromS3.py --loco 4042 --day 2017-05-15</t>
  </si>
  <si>
    <t>start /low /b %USERPROFILE%\Documents\GitHub\eaglep3\Utilities\DownloadLogsFromS3.py --loco 4022 --day 2017-05-16</t>
  </si>
  <si>
    <t>start /low /b %USERPROFILE%\Documents\GitHub\eaglep3\Utilities\DownloadLogsFromS3.py --loco 4014 --day 2017-05-16</t>
  </si>
  <si>
    <t>start /low /b %USERPROFILE%\Documents\GitHub\eaglep3\Utilities\DownloadLogsFromS3.py --loco 4013 --day 2017-05-15</t>
  </si>
  <si>
    <t>start /low /b %USERPROFILE%\Documents\GitHub\eaglep3\Utilities\DownloadLogsFromS3.py --loco 4031 --day 2017-05-15</t>
  </si>
  <si>
    <t>start /low /b %USERPROFILE%\Documents\GitHub\eaglep3\Utilities\DownloadLogsFromS3.py --loco 4031 --day 2017-05-16</t>
  </si>
  <si>
    <t>start /low /b %USERPROFILE%\Documents\GitHub\eaglep3\Utilities\DownloadLogsFromS3.py --loco 4014 --day 2017-05-15</t>
  </si>
  <si>
    <t>Selected wrong track (code lines indicate train was on Track 2)</t>
  </si>
  <si>
    <t>Poor GPS signal at DUS</t>
  </si>
  <si>
    <t>Minor onboard in-route failure</t>
  </si>
  <si>
    <t>Delayed by CCROC/crew/equipment mismatch</t>
  </si>
  <si>
    <t>Selected wrong track, corrected and proceeded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</si>
</sst>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opLeftCell="A10" zoomScaleNormal="100" workbookViewId="0">
      <selection activeCell="R16" sqref="R16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42870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42870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COUNTIFS($N$13:$N$9318,"&gt;0",$AG$13:$AG$9318,I1)</f>
        <v>142</v>
      </c>
      <c r="K5" s="39"/>
      <c r="L5" s="39"/>
      <c r="M5" s="40">
        <f>AVERAGEIFS($N$13:$N$9318,$AG$13:$AG$9318,I1)</f>
        <v>38.314084507472501</v>
      </c>
      <c r="N5" s="38">
        <f t="array" ref="N5">MIN(IF($AG$13:$AG$9318=I1,IF(ISNUMBER($N$13:$N$9318),IF($N$13:$N$9318&gt;0,$N$13:$N$9318))))</f>
        <v>32.600000003585592</v>
      </c>
      <c r="O5" s="3">
        <f t="array" ref="O5">MAX(IF($AG$13:$AG$9318=I1,IF(ISNUMBER($N$13:$N$9318),IF($N$13:$N$9318&gt;0,$N$13:$N$9318))))</f>
        <v>50.800000004237518</v>
      </c>
      <c r="P5" s="2"/>
      <c r="R5" s="177" t="s">
        <v>17</v>
      </c>
      <c r="S5" s="199">
        <f>COUNTIFS($N$13:$N$9318,"&gt;0",$AG$13:$AG$9318,R1)</f>
        <v>47</v>
      </c>
      <c r="T5" s="179"/>
      <c r="U5" s="179"/>
      <c r="V5" s="176">
        <f>AVERAGEIFS($N$13:$N$9318,$AG$13:$AG$9318,R1)</f>
        <v>15.003546099079417</v>
      </c>
      <c r="W5" s="177">
        <f t="array" ref="W5">MIN(IF($AG$13:$AG$9318=R1,IF(ISNUMBER($N$13:$N$9318),IF($N$13:$N$9318&gt;0,$N$13:$N$9318))))</f>
        <v>12.316666664555669</v>
      </c>
      <c r="X5" s="178">
        <f t="array" ref="X5">MAX(IF($AG$13:$AG$9318=R1,IF(ISNUMBER($N$13:$N$9318),IF($N$13:$N$9318&gt;0,$N$13:$N$9318))))</f>
        <v>21.250000001164153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COUNT($O$13:$O$114)</f>
        <v>0</v>
      </c>
      <c r="K6" s="39"/>
      <c r="L6" s="39"/>
      <c r="M6" s="40">
        <f>IFERROR(AVERAGE($O$13:$O$114),0)</f>
        <v>0</v>
      </c>
      <c r="N6" s="38">
        <f>MIN($O$13:$O$114)</f>
        <v>0</v>
      </c>
      <c r="O6" s="3">
        <f>MAX($O$13:$O$114)</f>
        <v>0</v>
      </c>
      <c r="P6" s="2"/>
      <c r="R6" s="180" t="s">
        <v>43</v>
      </c>
      <c r="S6" s="199">
        <f>COUNT($O$13:$O$114)</f>
        <v>0</v>
      </c>
      <c r="T6" s="179"/>
      <c r="U6" s="179"/>
      <c r="V6" s="176">
        <f>IFERROR(AVERAGE($O$13:$O$114),0)</f>
        <v>0</v>
      </c>
      <c r="W6" s="177">
        <f>MIN($O$13:$O$114)</f>
        <v>0</v>
      </c>
      <c r="X6" s="178">
        <f>MAX($O$13:$O$114)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COUNTIFS($P$13:$P$9318,"&gt;0",$AG$13:$AG$9318,I1)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COUNTIFS($P$13:$P$9318,"&gt;0",$AG$13:$AG$9318,R1)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38.314084507472501</v>
      </c>
      <c r="N8" s="38">
        <f>N5</f>
        <v>32.600000003585592</v>
      </c>
      <c r="O8" s="3">
        <f>O5</f>
        <v>50.800000004237518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15.003546099079417</v>
      </c>
      <c r="W8" s="177">
        <f>W5</f>
        <v>12.316666664555669</v>
      </c>
      <c r="X8" s="178">
        <f>X5</f>
        <v>21.250000001164153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- 2017-05-15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199</v>
      </c>
      <c r="AN12" s="46" t="s">
        <v>349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630</v>
      </c>
      <c r="B13" s="7">
        <v>4052</v>
      </c>
      <c r="C13" s="21" t="s">
        <v>206</v>
      </c>
      <c r="D13" s="21" t="s">
        <v>823</v>
      </c>
      <c r="E13" s="13">
        <v>42870.139062499999</v>
      </c>
      <c r="F13" s="13">
        <v>42870.139965277776</v>
      </c>
      <c r="G13" s="7">
        <v>1</v>
      </c>
      <c r="H13" s="21" t="s">
        <v>552</v>
      </c>
      <c r="I13" s="13">
        <v>42870.161840277775</v>
      </c>
      <c r="J13" s="7">
        <v>0</v>
      </c>
      <c r="K13" s="92" t="str">
        <f t="shared" ref="K13:K76" si="0">IF(ISEVEN(B13),(B13-1)&amp;"/"&amp;B13,B13&amp;"/"&amp;(B13+1))</f>
        <v>4051/4052</v>
      </c>
      <c r="L13" s="21" t="str">
        <f>VLOOKUP(A13,'Trips&amp;Operators'!$C$1:$G$99999,5,FALSE)</f>
        <v>SANTIZO D. EDY</v>
      </c>
      <c r="M13" s="6">
        <f t="shared" ref="M13:M76" si="1">I13-F13</f>
        <v>2.1874999998544808E-2</v>
      </c>
      <c r="N13" s="7"/>
      <c r="O13" s="7"/>
      <c r="P13" s="7">
        <f>24*60*SUM($M13:$M13)</f>
        <v>31.499999997904524</v>
      </c>
      <c r="Q13" s="22"/>
      <c r="R13" s="190" t="s">
        <v>1048</v>
      </c>
      <c r="S13" s="196">
        <f>SUM(U13:U13)/IF(AG13="EC",12,1)</f>
        <v>1</v>
      </c>
      <c r="T13" s="190" t="str">
        <f t="shared" ref="T13:T76" si="2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-15T02:20:15-0600',mode:absolute,to:'2017-05-15T04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192" t="str">
        <f t="shared" ref="W13:W76" si="4">IF(AA13&lt;IF(AG13="EC",23,5.65),"Y","N")</f>
        <v>Y</v>
      </c>
      <c r="X13" s="192" t="e">
        <f t="shared" ref="X13:X44" si="5">VALUE(LEFT(AD13,4))-VALUE(LEFT(AD12,4))</f>
        <v>#VALUE!</v>
      </c>
      <c r="Y13" s="192">
        <f t="shared" ref="Y13:Y76" si="6">RIGHT(D13,LEN(D13)-4)/10000</f>
        <v>1.9198</v>
      </c>
      <c r="Z13" s="192">
        <f t="shared" ref="Z13:Z76" si="7">RIGHT(H13,LEN(H13)-4)/10000</f>
        <v>23.3306</v>
      </c>
      <c r="AA13" s="192">
        <f t="shared" ref="AA13:AA76" si="8">ABS(Z13-Y13)</f>
        <v>21.410800000000002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9">IF(LEN(A13)=6,"0"&amp;A13,A13)</f>
        <v>0101-15</v>
      </c>
      <c r="AE13" s="80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3" s="77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/stypes="app*4052*20170515*"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1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4052 --swversion DE.1.0.9.0 --startMP 204:19198 --initTime 2017-05-15T03:20:15 --startdatetime 2017-05-15T03:21:33 --delay 1 --endMP 204:233306 --enddatetime 2017-05-15T03:53:03 --enforcementcount 0 &gt;&gt;C:\Users\stu\Documents\GitHub\eaglep3-reporting\EC\2017-05-15-refined-times.txt</v>
      </c>
      <c r="AI13" s="9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{"issue":{"subject":"Selected wrong track (code lines indicate train was on Track 2)","project_id":79,"tracker_id":40,"status_id":1,"priority_id":2,"assigned_to_id":23,"start_date":"2017-05-15","description":"","custom_fields":[{"id":1,"name":"Subdivision","value":"EC"},{"id":4,"name":"Milepost","value":"23.3306"},{"id":17,"name":"Train ID","value":"101-15"},{"id":16,"name":"Locomotive ID","value":"4052"},{"id":130,"name":"Impact","value":""},{"id":150,"name":"Time of Event (Mountain Time)","value":"03:53:03"},{"id":151,"name":"Denver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5">"start /low /b "&amp;dls3logs&amp;" --loco "&amp;B13&amp;" --day "&amp;TEXT(F13,"YYYY-MM-DD")</f>
        <v>start /low /b %USERPROFILE%\Documents\GitHub\eaglep3\Utilities\DownloadLogsFromS3.py --loco 4052 --day 2017-05-15</v>
      </c>
      <c r="AN13" s="154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{"issue":{"subject":"Selected wrong track (code lines indicate train was on Track 2)","project_id":30,"tracker_id":4,"status_id":1,"priority_id":1,"assigned_to_id":10,"start_date":"2017-05-15","description":"","custom_fields":[{"id":30,"name":"Category","value":"Issue"},{"id":3,"name":"Functional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09:53:03"},{"id":29,"name":"Sharepoint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630</v>
      </c>
      <c r="B14" s="7">
        <v>4052</v>
      </c>
      <c r="C14" s="21" t="s">
        <v>206</v>
      </c>
      <c r="D14" s="21" t="s">
        <v>487</v>
      </c>
      <c r="E14" s="13">
        <v>42870.126481481479</v>
      </c>
      <c r="F14" s="13">
        <v>42870.139965277776</v>
      </c>
      <c r="G14" s="7">
        <v>10</v>
      </c>
      <c r="H14" s="21" t="s">
        <v>824</v>
      </c>
      <c r="I14" s="13">
        <v>42870.161840277775</v>
      </c>
      <c r="J14" s="7">
        <v>0</v>
      </c>
      <c r="K14" s="92" t="str">
        <f t="shared" si="0"/>
        <v>4051/4052</v>
      </c>
      <c r="L14" s="21" t="str">
        <f>VLOOKUP(A14,'Trips&amp;Operators'!$C$1:$G$99999,5,FALSE)</f>
        <v>SANTIZO D. EDY</v>
      </c>
      <c r="M14" s="6">
        <f t="shared" si="1"/>
        <v>2.1874999998544808E-2</v>
      </c>
      <c r="N14" s="7"/>
      <c r="O14" s="7"/>
      <c r="P14" s="7"/>
      <c r="Q14" s="22"/>
      <c r="R14" s="190"/>
      <c r="S14" s="196"/>
      <c r="T14" s="190" t="str">
        <f t="shared" si="2"/>
        <v>NorthBound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91" t="str">
        <f t="shared" si="3"/>
        <v>https://d0f6bd738d7f1b3e5a7ca70fe4ff75f0.us-east-1.aws.found.io/app/kibana#/discover/Steve-Slow-Train-Analysis-(2080s-and-2083s)?_g=(refreshInterval:(display:Off,pause:!f,section:0,value:0),time:(from:'2017-05-15T02:02:08-0600',mode:absolute,to:'2017-05-15T04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" s="192" t="str">
        <f t="shared" si="4"/>
        <v>Y</v>
      </c>
      <c r="X14" s="192">
        <f t="shared" si="5"/>
        <v>0</v>
      </c>
      <c r="Y14" s="192">
        <f t="shared" si="6"/>
        <v>7.6100000000000001E-2</v>
      </c>
      <c r="Z14" s="192">
        <f t="shared" si="7"/>
        <v>0.14499999999999999</v>
      </c>
      <c r="AA14" s="192">
        <f t="shared" si="8"/>
        <v>6.8899999999999989E-2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9"/>
        <v>0101-15</v>
      </c>
      <c r="AE14" s="80" t="str">
        <f t="shared" si="10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4" s="77" t="str">
        <f t="shared" si="11"/>
        <v>"C:\Program Files (x86)\AstroGrep\AstroGrep.exe" /e /r /s /spath="%USERPROFILE%\AppData\Local\Temp\OnboardLogs" /stypes="app*4052*20170515*" /stext=" 09:.+((SYSTEM_STATE.+slice.+state.+changed )|(ment ac)|(multiple cpu faults)|(system.+state.+changed )|(\[timeout)|(PRM\|1\|D)|(kpr)|(kdp)|(train st.+moving)|(\|lc)|(penalty))"</v>
      </c>
      <c r="AG14" s="1" t="str">
        <f t="shared" si="12"/>
        <v>EC</v>
      </c>
      <c r="AH14" s="81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101-15 --locoid 4052 --swversion DE.1.0.9.0 --startMP 204:761 --initTime 2017-05-15T03:02:08 --startdatetime 2017-05-15T03:21:33 --delay 10 --endMP 204:1450 --enddatetime 2017-05-15T03:53:03 --enforcementcount 0 &gt;&gt;C:\Users\stu\Documents\GitHub\eaglep3-reporting\EC\2017-05-15-refined-times.txt</v>
      </c>
      <c r="AI14" s="9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{"issue":{"subject":"","project_id":79,"tracker_id":40,"status_id":1,"priority_id":2,"assigned_to_id":23,"start_date":"2017-05-15","description":"","custom_fields":[{"id":1,"name":"Subdivision","value":"EC"},{"id":4,"name":"Milepost","value":"0.145"},{"id":17,"name":"Train ID","value":"101-15"},{"id":16,"name":"Locomotive ID","value":"4052"},{"id":130,"name":"Impact","value":""},{"id":150,"name":"Time of Event (Mountain Time)","value":"03:53:03"},{"id":151,"name":"Denver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19">"start /low /b "&amp;dls3logs&amp;" --loco "&amp;B14&amp;" --day "&amp;TEXT(F14,"YYYY-MM-DD")</f>
        <v>start /low /b %USERPROFILE%\Documents\GitHub\eaglep3\Utilities\DownloadLogsFromS3.py --loco 4052 --day 2017-05-15</v>
      </c>
      <c r="AN14" s="154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09:53:03"},{"id":29,"name":"Sharepoint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636</v>
      </c>
      <c r="B15" s="7">
        <v>4027</v>
      </c>
      <c r="C15" s="21" t="s">
        <v>206</v>
      </c>
      <c r="D15" s="21" t="s">
        <v>825</v>
      </c>
      <c r="E15" s="13">
        <v>42870.165763888886</v>
      </c>
      <c r="F15" s="13">
        <v>42870.174641203703</v>
      </c>
      <c r="G15" s="7">
        <v>1</v>
      </c>
      <c r="H15" s="21" t="s">
        <v>826</v>
      </c>
      <c r="I15" s="13">
        <v>42870.20040509259</v>
      </c>
      <c r="J15" s="7">
        <v>0</v>
      </c>
      <c r="K15" s="92" t="str">
        <f t="shared" si="0"/>
        <v>4027/4028</v>
      </c>
      <c r="L15" s="21" t="str">
        <f>VLOOKUP(A15,'Trips&amp;Operators'!$C$1:$G$99999,5,FALSE)</f>
        <v>SANTIZO D. EDY</v>
      </c>
      <c r="M15" s="6">
        <f t="shared" si="1"/>
        <v>2.5763888887013309E-2</v>
      </c>
      <c r="N15" s="7">
        <f>24*60*SUM($M15:$M15)</f>
        <v>37.099999997299165</v>
      </c>
      <c r="O15" s="7"/>
      <c r="P15" s="7"/>
      <c r="Q15" s="22"/>
      <c r="R15" s="190"/>
      <c r="S15" s="196">
        <f>SUM(U15:U15)/IF(AG15="EC",12,1)</f>
        <v>1</v>
      </c>
      <c r="T15" s="190" t="str">
        <f t="shared" si="2"/>
        <v>Southbound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3"/>
        <v>https://d0f6bd738d7f1b3e5a7ca70fe4ff75f0.us-east-1.aws.found.io/app/kibana#/discover/Steve-Slow-Train-Analysis-(2080s-and-2083s)?_g=(refreshInterval:(display:Off,pause:!f,section:0,value:0),time:(from:'2017-05-15T02:58:42-0600',mode:absolute,to:'2017-05-15T05:48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" s="192" t="str">
        <f t="shared" si="4"/>
        <v>N</v>
      </c>
      <c r="X15" s="192">
        <f t="shared" si="5"/>
        <v>1</v>
      </c>
      <c r="Y15" s="192">
        <f t="shared" si="6"/>
        <v>23.266400000000001</v>
      </c>
      <c r="Z15" s="192">
        <f t="shared" si="7"/>
        <v>1.72E-2</v>
      </c>
      <c r="AA15" s="192">
        <f t="shared" si="8"/>
        <v>23.249200000000002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9"/>
        <v>0102-15</v>
      </c>
      <c r="AE15" s="80" t="str">
        <f t="shared" si="10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15" s="77" t="str">
        <f t="shared" si="11"/>
        <v>"C:\Program Files (x86)\AstroGrep\AstroGrep.exe" /e /r /s /spath="%USERPROFILE%\AppData\Local\Temp\OnboardLogs" /stypes="app*4027*20170515*" /stext=" 10:.+((SYSTEM_STATE.+slice.+state.+changed )|(ment ac)|(multiple cpu faults)|(system.+state.+changed )|(\[timeout)|(PRM\|1\|D)|(kpr)|(kdp)|(train st.+moving)|(\|lc)|(penalty))"</v>
      </c>
      <c r="AG15" s="1" t="str">
        <f t="shared" si="12"/>
        <v>EC</v>
      </c>
      <c r="AH15" s="81" t="str">
        <f t="shared" si="17"/>
        <v>"%USERPROFILE%\Documents\GitHub\eaglep3\Utilities\RefineRTDCRunTimes.py" --tripid 102-15 --locoid 4027 --swversion DE.1.0.9.0 --startMP 204:232664 --initTime 2017-05-15T03:58:42 --startdatetime 2017-05-15T04:11:29 --delay 1 --endMP 204:172 --enddatetime 2017-05-15T04:48:35 --enforcementcount 0 &gt;&gt;C:\Users\stu\Documents\GitHub\eaglep3-reporting\EC\2017-05-15-refined-times.txt</v>
      </c>
      <c r="AI1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{"issue":{"subject":"","project_id":79,"tracker_id":40,"status_id":1,"priority_id":2,"assigned_to_id":23,"start_date":"2017-05-15","description":"","custom_fields":[{"id":1,"name":"Subdivision","value":"EC"},{"id":4,"name":"Milepost","value":"0.0172"},{"id":17,"name":"Train ID","value":"102-15"},{"id":16,"name":"Locomotive ID","value":"4027"},{"id":130,"name":"Impact","value":""},{"id":150,"name":"Time of Event (Mountain Time)","value":"04:48:35"},{"id":151,"name":"Denver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19"/>
        <v>start /low /b %USERPROFILE%\Documents\GitHub\eaglep3\Utilities\DownloadLogsFromS3.py --loco 4027 --day 2017-05-15</v>
      </c>
      <c r="AN1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632</v>
      </c>
      <c r="B16" s="7">
        <v>4010</v>
      </c>
      <c r="C16" s="21" t="s">
        <v>206</v>
      </c>
      <c r="D16" s="21" t="s">
        <v>827</v>
      </c>
      <c r="E16" s="13">
        <v>42870.149513888886</v>
      </c>
      <c r="F16" s="13">
        <v>42870.156481481485</v>
      </c>
      <c r="G16" s="7">
        <v>1</v>
      </c>
      <c r="H16" s="21" t="s">
        <v>828</v>
      </c>
      <c r="I16" s="13">
        <v>42870.181157407409</v>
      </c>
      <c r="J16" s="7">
        <v>0</v>
      </c>
      <c r="K16" s="92" t="str">
        <f t="shared" si="0"/>
        <v>4009/4010</v>
      </c>
      <c r="L16" s="21" t="str">
        <f>VLOOKUP(A16,'Trips&amp;Operators'!$C$1:$G$99999,5,FALSE)</f>
        <v>MAELZER KURT</v>
      </c>
      <c r="M16" s="6">
        <f t="shared" si="1"/>
        <v>2.4675925924384501E-2</v>
      </c>
      <c r="N16" s="7">
        <f>24*60*SUM($M16:$M16)</f>
        <v>35.533333331113681</v>
      </c>
      <c r="O16" s="7"/>
      <c r="P16" s="7"/>
      <c r="Q16" s="22"/>
      <c r="R16" s="190"/>
      <c r="S16" s="196">
        <f>SUM(U16:U16)/IF(AG16="EC",12,1)</f>
        <v>1</v>
      </c>
      <c r="T16" s="190" t="str">
        <f t="shared" si="2"/>
        <v>NorthBound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3"/>
        <v>https://d0f6bd738d7f1b3e5a7ca70fe4ff75f0.us-east-1.aws.found.io/app/kibana#/discover/Steve-Slow-Train-Analysis-(2080s-and-2083s)?_g=(refreshInterval:(display:Off,pause:!f,section:0,value:0),time:(from:'2017-05-15T02:35:18-0600',mode:absolute,to:'2017-05-15T05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" s="192" t="str">
        <f t="shared" si="4"/>
        <v>N</v>
      </c>
      <c r="X16" s="192">
        <f t="shared" si="5"/>
        <v>1</v>
      </c>
      <c r="Y16" s="192">
        <f t="shared" si="6"/>
        <v>7.4399999999999994E-2</v>
      </c>
      <c r="Z16" s="192">
        <f t="shared" si="7"/>
        <v>23.332799999999999</v>
      </c>
      <c r="AA16" s="192">
        <f t="shared" si="8"/>
        <v>23.258399999999998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9"/>
        <v>0103-15</v>
      </c>
      <c r="AE16" s="80" t="str">
        <f t="shared" si="10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16" s="77" t="str">
        <f t="shared" si="11"/>
        <v>"C:\Program Files (x86)\AstroGrep\AstroGrep.exe" /e /r /s /spath="%USERPROFILE%\AppData\Local\Temp\OnboardLogs" /stypes="app*4010*20170515*" /stext=" 10:.+((SYSTEM_STATE.+slice.+state.+changed )|(ment ac)|(multiple cpu faults)|(system.+state.+changed )|(\[timeout)|(PRM\|1\|D)|(kpr)|(kdp)|(train st.+moving)|(\|lc)|(penalty))"</v>
      </c>
      <c r="AG16" s="1" t="str">
        <f t="shared" si="12"/>
        <v>EC</v>
      </c>
      <c r="AH16" s="81" t="str">
        <f t="shared" si="17"/>
        <v>"%USERPROFILE%\Documents\GitHub\eaglep3\Utilities\RefineRTDCRunTimes.py" --tripid 103-15 --locoid 4010 --swversion DE.1.0.9.0 --startMP 204:744 --initTime 2017-05-15T03:35:18 --startdatetime 2017-05-15T03:45:20 --delay 1 --endMP 204:233328 --enddatetime 2017-05-15T04:20:52 --enforcementcount 0 &gt;&gt;C:\Users\stu\Documents\GitHub\eaglep3-reporting\EC\2017-05-15-refined-times.txt</v>
      </c>
      <c r="AI1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{"issue":{"subject":"","project_id":79,"tracker_id":40,"status_id":1,"priority_id":2,"assigned_to_id":23,"start_date":"2017-05-15","description":"","custom_fields":[{"id":1,"name":"Subdivision","value":"EC"},{"id":4,"name":"Milepost","value":"23.3328"},{"id":17,"name":"Train ID","value":"103-15"},{"id":16,"name":"Locomotive ID","value":"4010"},{"id":130,"name":"Impact","value":""},{"id":150,"name":"Time of Event (Mountain Time)","value":"04:20:52"},{"id":151,"name":"Denver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19"/>
        <v>start /low /b %USERPROFILE%\Documents\GitHub\eaglep3\Utilities\DownloadLogsFromS3.py --loco 4010 --day 2017-05-15</v>
      </c>
      <c r="AN1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643</v>
      </c>
      <c r="B17" s="7">
        <v>4041</v>
      </c>
      <c r="C17" s="21" t="s">
        <v>206</v>
      </c>
      <c r="D17" s="21" t="s">
        <v>829</v>
      </c>
      <c r="E17" s="13">
        <v>42870.188692129632</v>
      </c>
      <c r="F17" s="13">
        <v>42870.195405092592</v>
      </c>
      <c r="G17" s="7">
        <v>1</v>
      </c>
      <c r="H17" s="21" t="s">
        <v>371</v>
      </c>
      <c r="I17" s="13">
        <v>42870.224814814814</v>
      </c>
      <c r="J17" s="7">
        <v>0</v>
      </c>
      <c r="K17" s="92" t="str">
        <f t="shared" si="0"/>
        <v>4041/4042</v>
      </c>
      <c r="L17" s="21" t="str">
        <f>VLOOKUP(A17,'Trips&amp;Operators'!$C$1:$G$99999,5,FALSE)</f>
        <v>MAELZER KURT</v>
      </c>
      <c r="M17" s="6">
        <f t="shared" si="1"/>
        <v>2.940972222131677E-2</v>
      </c>
      <c r="N17" s="7">
        <f>24*60*SUM($M17:$M17)</f>
        <v>42.349999998696148</v>
      </c>
      <c r="O17" s="7"/>
      <c r="P17" s="7"/>
      <c r="Q17" s="22"/>
      <c r="R17" s="190"/>
      <c r="S17" s="196">
        <f>SUM(U17:U17)/IF(AG17="EC",12,1)</f>
        <v>1</v>
      </c>
      <c r="T17" s="190" t="str">
        <f t="shared" si="2"/>
        <v>Southbound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3"/>
        <v>https://d0f6bd738d7f1b3e5a7ca70fe4ff75f0.us-east-1.aws.found.io/app/kibana#/discover/Steve-Slow-Train-Analysis-(2080s-and-2083s)?_g=(refreshInterval:(display:Off,pause:!f,section:0,value:0),time:(from:'2017-05-15T03:31:43-0600',mode:absolute,to:'2017-05-15T06:23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7" s="192" t="str">
        <f t="shared" si="4"/>
        <v>N</v>
      </c>
      <c r="X17" s="192">
        <f t="shared" si="5"/>
        <v>1</v>
      </c>
      <c r="Y17" s="192">
        <f t="shared" si="6"/>
        <v>23.267900000000001</v>
      </c>
      <c r="Z17" s="192">
        <f t="shared" si="7"/>
        <v>1.41E-2</v>
      </c>
      <c r="AA17" s="192">
        <f t="shared" si="8"/>
        <v>23.253800000000002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9"/>
        <v>0104-15</v>
      </c>
      <c r="AE17" s="80" t="str">
        <f t="shared" si="10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17" s="77" t="str">
        <f t="shared" si="11"/>
        <v>"C:\Program Files (x86)\AstroGrep\AstroGrep.exe" /e /r /s /spath="%USERPROFILE%\AppData\Local\Temp\OnboardLogs" /stypes="app*4041*20170515*" /stext=" 11:.+((SYSTEM_STATE.+slice.+state.+changed )|(ment ac)|(multiple cpu faults)|(system.+state.+changed )|(\[timeout)|(PRM\|1\|D)|(kpr)|(kdp)|(train st.+moving)|(\|lc)|(penalty))"</v>
      </c>
      <c r="AG17" s="1" t="str">
        <f t="shared" si="12"/>
        <v>EC</v>
      </c>
      <c r="AH17" s="81" t="str">
        <f t="shared" si="17"/>
        <v>"%USERPROFILE%\Documents\GitHub\eaglep3\Utilities\RefineRTDCRunTimes.py" --tripid 104-15 --locoid 4041 --swversion DE.1.0.9.0 --startMP 204:232679 --initTime 2017-05-15T04:31:43 --startdatetime 2017-05-15T04:41:23 --delay 1 --endMP 204:141 --enddatetime 2017-05-15T05:23:44 --enforcementcount 0 &gt;&gt;C:\Users\stu\Documents\GitHub\eaglep3-reporting\EC\2017-05-15-refined-times.txt</v>
      </c>
      <c r="AI1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{"issue":{"subject":"","project_id":79,"tracker_id":40,"status_id":1,"priority_id":2,"assigned_to_id":23,"start_date":"2017-05-15","description":"","custom_fields":[{"id":1,"name":"Subdivision","value":"EC"},{"id":4,"name":"Milepost","value":"0.0141"},{"id":17,"name":"Train ID","value":"104-15"},{"id":16,"name":"Locomotive ID","value":"4041"},{"id":130,"name":"Impact","value":""},{"id":150,"name":"Time of Event (Mountain Time)","value":"05:23:44"},{"id":151,"name":"Denver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19"/>
        <v>start /low /b %USERPROFILE%\Documents\GitHub\eaglep3\Utilities\DownloadLogsFromS3.py --loco 4041 --day 2017-05-15</v>
      </c>
      <c r="AN1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640</v>
      </c>
      <c r="B18" s="7">
        <v>4030</v>
      </c>
      <c r="C18" s="21" t="s">
        <v>206</v>
      </c>
      <c r="D18" s="21" t="s">
        <v>830</v>
      </c>
      <c r="E18" s="13">
        <v>42870.176979166667</v>
      </c>
      <c r="F18" s="13">
        <v>42870.181550925925</v>
      </c>
      <c r="G18" s="7">
        <v>6</v>
      </c>
      <c r="H18" s="21" t="s">
        <v>451</v>
      </c>
      <c r="I18" s="13">
        <v>42870.206076388888</v>
      </c>
      <c r="J18" s="7">
        <v>0</v>
      </c>
      <c r="K18" s="92" t="str">
        <f t="shared" si="0"/>
        <v>4029/4030</v>
      </c>
      <c r="L18" s="21" t="str">
        <f>VLOOKUP(A18,'Trips&amp;Operators'!$C$1:$G$99999,5,FALSE)</f>
        <v>YOUNG ELIZABETH</v>
      </c>
      <c r="M18" s="6">
        <f t="shared" si="1"/>
        <v>2.4525462962628808E-2</v>
      </c>
      <c r="N18" s="7"/>
      <c r="O18" s="7"/>
      <c r="P18" s="7">
        <f>24*60*SUM($M18:$M18)</f>
        <v>35.316666666185483</v>
      </c>
      <c r="Q18" s="22"/>
      <c r="R18" s="190" t="s">
        <v>1049</v>
      </c>
      <c r="S18" s="196">
        <f>SUM(U18:U18)/IF(AG18="EC",12,1)</f>
        <v>1</v>
      </c>
      <c r="T18" s="190" t="str">
        <f t="shared" si="2"/>
        <v>NorthBound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3"/>
        <v>https://d0f6bd738d7f1b3e5a7ca70fe4ff75f0.us-east-1.aws.found.io/app/kibana#/discover/Steve-Slow-Train-Analysis-(2080s-and-2083s)?_g=(refreshInterval:(display:Off,pause:!f,section:0,value:0),time:(from:'2017-05-15T03:14:51-0600',mode:absolute,to:'2017-05-15T05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8" s="192" t="str">
        <f t="shared" si="4"/>
        <v>Y</v>
      </c>
      <c r="X18" s="192">
        <f t="shared" si="5"/>
        <v>1</v>
      </c>
      <c r="Y18" s="192">
        <f t="shared" si="6"/>
        <v>1.9195</v>
      </c>
      <c r="Z18" s="192">
        <f t="shared" si="7"/>
        <v>23.331700000000001</v>
      </c>
      <c r="AA18" s="192">
        <f t="shared" si="8"/>
        <v>21.412200000000002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9"/>
        <v>0105-15</v>
      </c>
      <c r="AE18" s="80" t="str">
        <f t="shared" si="10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8" s="77" t="str">
        <f t="shared" si="11"/>
        <v>"C:\Program Files (x86)\AstroGrep\AstroGrep.exe" /e /r /s /spath="%USERPROFILE%\AppData\Local\Temp\OnboardLogs" /stypes="app*4030*20170515*" /stext=" 10:.+((SYSTEM_STATE.+slice.+state.+changed )|(ment ac)|(multiple cpu faults)|(system.+state.+changed )|(\[timeout)|(PRM\|1\|D)|(kpr)|(kdp)|(train st.+moving)|(\|lc)|(penalty))"</v>
      </c>
      <c r="AG18" s="1" t="str">
        <f t="shared" si="12"/>
        <v>EC</v>
      </c>
      <c r="AH18" s="81" t="str">
        <f t="shared" si="17"/>
        <v>"%USERPROFILE%\Documents\GitHub\eaglep3\Utilities\RefineRTDCRunTimes.py" --tripid 105-15 --locoid 4030 --swversion DE.1.0.9.0 --startMP 204:19195 --initTime 2017-05-15T04:14:51 --startdatetime 2017-05-15T04:21:26 --delay 6 --endMP 204:233317 --enddatetime 2017-05-15T04:56:45 --enforcementcount 0 &gt;&gt;C:\Users\stu\Documents\GitHub\eaglep3-reporting\EC\2017-05-15-refined-times.txt</v>
      </c>
      <c r="AI18" s="99" t="str">
        <f t="shared" si="18"/>
        <v>echo {"issue":{"subject":"Poor GPS signal at DUS","project_id":79,"tracker_id":40,"status_id":1,"priority_id":2,"assigned_to_id":23,"start_date":"2017-05-15","description":"","custom_fields":[{"id":1,"name":"Subdivision","value":"EC"},{"id":4,"name":"Milepost","value":"23.3317"},{"id":17,"name":"Train ID","value":"105-15"},{"id":16,"name":"Locomotive ID","value":"4030"},{"id":130,"name":"Impact","value":""},{"id":150,"name":"Time of Event (Mountain Time)","value":"04:56:45"},{"id":151,"name":"Denver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19"/>
        <v>start /low /b %USERPROFILE%\Documents\GitHub\eaglep3\Utilities\DownloadLogsFromS3.py --loco 4030 --day 2017-05-15</v>
      </c>
      <c r="AN18" s="154" t="str">
        <f t="shared" si="20"/>
        <v>echo {"issue":{"subject":"Poor GPS signal at DUS","project_id":30,"tracker_id":4,"status_id":1,"priority_id":1,"assigned_to_id":10,"start_date":"2017-05-15","description":"","custom_fields":[{"id":30,"name":"Category","value":"Issue"},{"id":3,"name":"Functional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640</v>
      </c>
      <c r="B19" s="7">
        <v>4030</v>
      </c>
      <c r="C19" s="21" t="s">
        <v>206</v>
      </c>
      <c r="D19" s="21" t="s">
        <v>831</v>
      </c>
      <c r="E19" s="13">
        <v>42870.173206018517</v>
      </c>
      <c r="F19" s="13">
        <v>42870.181550925925</v>
      </c>
      <c r="G19" s="7">
        <v>1</v>
      </c>
      <c r="H19" s="21" t="s">
        <v>832</v>
      </c>
      <c r="I19" s="13">
        <v>42870.206076388888</v>
      </c>
      <c r="J19" s="7">
        <v>0</v>
      </c>
      <c r="K19" s="92" t="str">
        <f t="shared" si="0"/>
        <v>4029/4030</v>
      </c>
      <c r="L19" s="21" t="str">
        <f>VLOOKUP(A19,'Trips&amp;Operators'!$C$1:$G$99999,5,FALSE)</f>
        <v>YOUNG ELIZABETH</v>
      </c>
      <c r="M19" s="6">
        <f t="shared" si="1"/>
        <v>2.4525462962628808E-2</v>
      </c>
      <c r="N19" s="7"/>
      <c r="O19" s="7"/>
      <c r="P19" s="7"/>
      <c r="Q19" s="22"/>
      <c r="R19" s="190"/>
      <c r="S19" s="196"/>
      <c r="T19" s="190" t="str">
        <f t="shared" si="2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0</v>
      </c>
      <c r="V19" s="191" t="str">
        <f t="shared" si="3"/>
        <v>https://d0f6bd738d7f1b3e5a7ca70fe4ff75f0.us-east-1.aws.found.io/app/kibana#/discover/Steve-Slow-Train-Analysis-(2080s-and-2083s)?_g=(refreshInterval:(display:Off,pause:!f,section:0,value:0),time:(from:'2017-05-15T03:09:25-0600',mode:absolute,to:'2017-05-15T05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9" s="192" t="str">
        <f t="shared" si="4"/>
        <v>Y</v>
      </c>
      <c r="X19" s="192">
        <f t="shared" si="5"/>
        <v>0</v>
      </c>
      <c r="Y19" s="192">
        <f t="shared" si="6"/>
        <v>8.5699999999999998E-2</v>
      </c>
      <c r="Z19" s="192">
        <f t="shared" si="7"/>
        <v>8.3000000000000004E-2</v>
      </c>
      <c r="AA19" s="192">
        <f t="shared" si="8"/>
        <v>2.6999999999999941E-3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9"/>
        <v>0105-15</v>
      </c>
      <c r="AE19" s="80" t="str">
        <f t="shared" si="10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9" s="77" t="str">
        <f t="shared" si="11"/>
        <v>"C:\Program Files (x86)\AstroGrep\AstroGrep.exe" /e /r /s /spath="%USERPROFILE%\AppData\Local\Temp\OnboardLogs" /stypes="app*4030*20170515*" /stext=" 10:.+((SYSTEM_STATE.+slice.+state.+changed )|(ment ac)|(multiple cpu faults)|(system.+state.+changed )|(\[timeout)|(PRM\|1\|D)|(kpr)|(kdp)|(train st.+moving)|(\|lc)|(penalty))"</v>
      </c>
      <c r="AG19" s="1" t="str">
        <f t="shared" si="12"/>
        <v>EC</v>
      </c>
      <c r="AH19" s="81" t="str">
        <f t="shared" si="17"/>
        <v>"%USERPROFILE%\Documents\GitHub\eaglep3\Utilities\RefineRTDCRunTimes.py" --tripid 105-15 --locoid 4030 --swversion DE.1.0.9.0 --startMP 204:857 --initTime 2017-05-15T04:09:25 --startdatetime 2017-05-15T04:21:26 --delay 1 --endMP 204:830 --enddatetime 2017-05-15T04:56:45 --enforcementcount 0 &gt;&gt;C:\Users\stu\Documents\GitHub\eaglep3-reporting\EC\2017-05-15-refined-times.txt</v>
      </c>
      <c r="AI19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{"issue":{"subject":"","project_id":79,"tracker_id":40,"status_id":1,"priority_id":2,"assigned_to_id":23,"start_date":"2017-05-15","description":"","custom_fields":[{"id":1,"name":"Subdivision","value":"EC"},{"id":4,"name":"Milepost","value":"0.083"},{"id":17,"name":"Train ID","value":"105-15"},{"id":16,"name":"Locomotive ID","value":"4030"},{"id":130,"name":"Impact","value":""},{"id":150,"name":"Time of Event (Mountain Time)","value":"04:56:45"},{"id":151,"name":"Denver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19"/>
        <v>start /low /b %USERPROFILE%\Documents\GitHub\eaglep3\Utilities\DownloadLogsFromS3.py --loco 4030 --day 2017-05-15</v>
      </c>
      <c r="AN19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646</v>
      </c>
      <c r="B20" s="7">
        <v>4021</v>
      </c>
      <c r="C20" s="21" t="s">
        <v>206</v>
      </c>
      <c r="D20" s="21" t="s">
        <v>833</v>
      </c>
      <c r="E20" s="13">
        <v>42870.207824074074</v>
      </c>
      <c r="F20" s="13">
        <v>42870.216319444444</v>
      </c>
      <c r="G20" s="7">
        <v>1</v>
      </c>
      <c r="H20" s="21" t="s">
        <v>834</v>
      </c>
      <c r="I20" s="13">
        <v>42870.245555555557</v>
      </c>
      <c r="J20" s="7">
        <v>0</v>
      </c>
      <c r="K20" s="92" t="str">
        <f t="shared" si="0"/>
        <v>4021/4022</v>
      </c>
      <c r="L20" s="21" t="str">
        <f>VLOOKUP(A20,'Trips&amp;Operators'!$C$1:$G$99999,5,FALSE)</f>
        <v>YOUNG ELIZABETH</v>
      </c>
      <c r="M20" s="6">
        <f t="shared" si="1"/>
        <v>2.923611111327773E-2</v>
      </c>
      <c r="N20" s="7">
        <f t="shared" ref="N20:N83" si="21">24*60*SUM($M20:$M20)</f>
        <v>42.100000003119931</v>
      </c>
      <c r="O20" s="7"/>
      <c r="P20" s="7"/>
      <c r="Q20" s="22"/>
      <c r="R20" s="190"/>
      <c r="S20" s="196">
        <f t="shared" ref="S20:S83" si="22">SUM(U20:U20)/IF(AG20="EC",12,1)</f>
        <v>1</v>
      </c>
      <c r="T20" s="190" t="str">
        <f t="shared" si="2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3"/>
        <v>https://d0f6bd738d7f1b3e5a7ca70fe4ff75f0.us-east-1.aws.found.io/app/kibana#/discover/Steve-Slow-Train-Analysis-(2080s-and-2083s)?_g=(refreshInterval:(display:Off,pause:!f,section:0,value:0),time:(from:'2017-05-15T03:59:16-0600',mode:absolute,to:'2017-05-15T06:53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92" t="str">
        <f t="shared" si="4"/>
        <v>N</v>
      </c>
      <c r="X20" s="192">
        <f t="shared" si="5"/>
        <v>1</v>
      </c>
      <c r="Y20" s="192">
        <f t="shared" si="6"/>
        <v>23.2683</v>
      </c>
      <c r="Z20" s="192">
        <f t="shared" si="7"/>
        <v>1.7600000000000001E-2</v>
      </c>
      <c r="AA20" s="192">
        <f t="shared" si="8"/>
        <v>23.250699999999998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9"/>
        <v>0106-15</v>
      </c>
      <c r="AE20" s="80" t="str">
        <f t="shared" si="10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20" s="77" t="str">
        <f t="shared" si="11"/>
        <v>"C:\Program Files (x86)\AstroGrep\AstroGrep.exe" /e /r /s /spath="%USERPROFILE%\AppData\Local\Temp\OnboardLogs" /stypes="app*4021*20170515*" /stext=" 11:.+((SYSTEM_STATE.+slice.+state.+changed )|(ment ac)|(multiple cpu faults)|(system.+state.+changed )|(\[timeout)|(PRM\|1\|D)|(kpr)|(kdp)|(train st.+moving)|(\|lc)|(penalty))"</v>
      </c>
      <c r="AG20" s="1" t="str">
        <f t="shared" si="12"/>
        <v>EC</v>
      </c>
      <c r="AH20" s="81" t="str">
        <f t="shared" si="17"/>
        <v>"%USERPROFILE%\Documents\GitHub\eaglep3\Utilities\RefineRTDCRunTimes.py" --tripid 106-15 --locoid 4021 --swversion DE.1.0.9.0 --startMP 204:232683 --initTime 2017-05-15T04:59:16 --startdatetime 2017-05-15T05:11:30 --delay 1 --endMP 204:176 --enddatetime 2017-05-15T05:53:36 --enforcementcount 0 &gt;&gt;C:\Users\stu\Documents\GitHub\eaglep3-reporting\EC\2017-05-15-refined-times.txt</v>
      </c>
      <c r="AI20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{"issue":{"subject":"","project_id":79,"tracker_id":40,"status_id":1,"priority_id":2,"assigned_to_id":23,"start_date":"2017-05-15","description":"","custom_fields":[{"id":1,"name":"Subdivision","value":"EC"},{"id":4,"name":"Milepost","value":"0.0176"},{"id":17,"name":"Train ID","value":"106-15"},{"id":16,"name":"Locomotive ID","value":"4021"},{"id":130,"name":"Impact","value":""},{"id":150,"name":"Time of Event (Mountain Time)","value":"05:53:36"},{"id":151,"name":"Denver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19"/>
        <v>start /low /b %USERPROFILE%\Documents\GitHub\eaglep3\Utilities\DownloadLogsFromS3.py --loco 4021 --day 2017-05-15</v>
      </c>
      <c r="AN20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11:53:36"},{"id":29,"name":"Sharepoint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642</v>
      </c>
      <c r="B21" s="7">
        <v>4016</v>
      </c>
      <c r="C21" s="21" t="s">
        <v>206</v>
      </c>
      <c r="D21" s="21" t="s">
        <v>362</v>
      </c>
      <c r="E21" s="13">
        <v>42870.180659722224</v>
      </c>
      <c r="F21" s="13">
        <v>42870.187673611108</v>
      </c>
      <c r="G21" s="7">
        <v>1</v>
      </c>
      <c r="H21" s="21" t="s">
        <v>534</v>
      </c>
      <c r="I21" s="13">
        <v>42870.213564814818</v>
      </c>
      <c r="J21" s="7">
        <v>0</v>
      </c>
      <c r="K21" s="92" t="str">
        <f t="shared" si="0"/>
        <v>4015/4016</v>
      </c>
      <c r="L21" s="21" t="str">
        <f>VLOOKUP(A21,'Trips&amp;Operators'!$C$1:$G$99999,5,FALSE)</f>
        <v>BONDS REYNALDO</v>
      </c>
      <c r="M21" s="6">
        <f t="shared" si="1"/>
        <v>2.5891203709761612E-2</v>
      </c>
      <c r="N21" s="7">
        <f t="shared" si="21"/>
        <v>37.283333342056721</v>
      </c>
      <c r="O21" s="7"/>
      <c r="P21" s="7"/>
      <c r="Q21" s="22"/>
      <c r="R21" s="190"/>
      <c r="S21" s="196">
        <f t="shared" si="22"/>
        <v>1</v>
      </c>
      <c r="T21" s="190" t="str">
        <f t="shared" si="2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3"/>
        <v>https://d0f6bd738d7f1b3e5a7ca70fe4ff75f0.us-east-1.aws.found.io/app/kibana#/discover/Steve-Slow-Train-Analysis-(2080s-and-2083s)?_g=(refreshInterval:(display:Off,pause:!f,section:0,value:0),time:(from:'2017-05-15T03:20:09-0600',mode:absolute,to:'2017-05-15T06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" s="192" t="str">
        <f t="shared" si="4"/>
        <v>N</v>
      </c>
      <c r="X21" s="192">
        <f t="shared" si="5"/>
        <v>1</v>
      </c>
      <c r="Y21" s="192">
        <f t="shared" si="6"/>
        <v>4.5100000000000001E-2</v>
      </c>
      <c r="Z21" s="192">
        <f t="shared" si="7"/>
        <v>23.327200000000001</v>
      </c>
      <c r="AA21" s="192">
        <f t="shared" si="8"/>
        <v>23.2821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9"/>
        <v>0107-15</v>
      </c>
      <c r="AE21" s="80" t="str">
        <f t="shared" si="10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21" s="77" t="str">
        <f t="shared" si="11"/>
        <v>"C:\Program Files (x86)\AstroGrep\AstroGrep.exe" /e /r /s /spath="%USERPROFILE%\AppData\Local\Temp\OnboardLogs" /stypes="app*4016*20170515*" /stext=" 11:.+((SYSTEM_STATE.+slice.+state.+changed )|(ment ac)|(multiple cpu faults)|(system.+state.+changed )|(\[timeout)|(PRM\|1\|D)|(kpr)|(kdp)|(train st.+moving)|(\|lc)|(penalty))"</v>
      </c>
      <c r="AG21" s="1" t="str">
        <f t="shared" si="12"/>
        <v>EC</v>
      </c>
      <c r="AH21" s="81" t="str">
        <f t="shared" si="17"/>
        <v>"%USERPROFILE%\Documents\GitHub\eaglep3\Utilities\RefineRTDCRunTimes.py" --tripid 107-15 --locoid 4016 --swversion DE.1.0.9.0 --startMP 204:451 --initTime 2017-05-15T04:20:09 --startdatetime 2017-05-15T04:30:15 --delay 1 --endMP 204:233272 --enddatetime 2017-05-15T05:07:32 --enforcementcount 0 &gt;&gt;C:\Users\stu\Documents\GitHub\eaglep3-reporting\EC\2017-05-15-refined-times.txt</v>
      </c>
      <c r="AI21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{"issue":{"subject":"","project_id":79,"tracker_id":40,"status_id":1,"priority_id":2,"assigned_to_id":23,"start_date":"2017-05-15","description":"","custom_fields":[{"id":1,"name":"Subdivision","value":"EC"},{"id":4,"name":"Milepost","value":"23.3272"},{"id":17,"name":"Train ID","value":"107-15"},{"id":16,"name":"Locomotive ID","value":"4016"},{"id":130,"name":"Impact","value":""},{"id":150,"name":"Time of Event (Mountain Time)","value":"05:07:32"},{"id":151,"name":"Denver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19"/>
        <v>start /low /b %USERPROFILE%\Documents\GitHub\eaglep3\Utilities\DownloadLogsFromS3.py --loco 4016 --day 2017-05-15</v>
      </c>
      <c r="AN21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648</v>
      </c>
      <c r="B22" s="7">
        <v>4015</v>
      </c>
      <c r="C22" s="21" t="s">
        <v>206</v>
      </c>
      <c r="D22" s="21" t="s">
        <v>432</v>
      </c>
      <c r="E22" s="13">
        <v>42870.218206018515</v>
      </c>
      <c r="F22" s="13">
        <v>42870.2265625</v>
      </c>
      <c r="G22" s="7">
        <v>1</v>
      </c>
      <c r="H22" s="21" t="s">
        <v>372</v>
      </c>
      <c r="I22" s="13">
        <v>42870.254537037035</v>
      </c>
      <c r="J22" s="7">
        <v>0</v>
      </c>
      <c r="K22" s="92" t="str">
        <f t="shared" si="0"/>
        <v>4015/4016</v>
      </c>
      <c r="L22" s="21" t="str">
        <f>VLOOKUP(A22,'Trips&amp;Operators'!$C$1:$G$99999,5,FALSE)</f>
        <v>BONDS REYNALDO</v>
      </c>
      <c r="M22" s="6">
        <f t="shared" si="1"/>
        <v>2.7974537035333924E-2</v>
      </c>
      <c r="N22" s="7">
        <f t="shared" si="21"/>
        <v>40.283333330880851</v>
      </c>
      <c r="O22" s="7"/>
      <c r="P22" s="7"/>
      <c r="Q22" s="22"/>
      <c r="R22" s="190"/>
      <c r="S22" s="196">
        <f t="shared" si="22"/>
        <v>1</v>
      </c>
      <c r="T22" s="190" t="str">
        <f t="shared" si="2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3"/>
        <v>https://d0f6bd738d7f1b3e5a7ca70fe4ff75f0.us-east-1.aws.found.io/app/kibana#/discover/Steve-Slow-Train-Analysis-(2080s-and-2083s)?_g=(refreshInterval:(display:Off,pause:!f,section:0,value:0),time:(from:'2017-05-15T04:14:13-0600',mode:absolute,to:'2017-05-15T07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" s="192" t="str">
        <f t="shared" si="4"/>
        <v>N</v>
      </c>
      <c r="X22" s="192">
        <f t="shared" si="5"/>
        <v>1</v>
      </c>
      <c r="Y22" s="192">
        <f t="shared" si="6"/>
        <v>23.2973</v>
      </c>
      <c r="Z22" s="192">
        <f t="shared" si="7"/>
        <v>1.47E-2</v>
      </c>
      <c r="AA22" s="192">
        <f t="shared" si="8"/>
        <v>23.282599999999999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9"/>
        <v>0108-15</v>
      </c>
      <c r="AE22" s="80" t="str">
        <f t="shared" si="10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22" s="77" t="str">
        <f t="shared" si="11"/>
        <v>"C:\Program Files (x86)\AstroGrep\AstroGrep.exe" /e /r /s /spath="%USERPROFILE%\AppData\Local\Temp\OnboardLogs" /stypes="app*4015*20170515*" /stext=" 12:.+((SYSTEM_STATE.+slice.+state.+changed )|(ment ac)|(multiple cpu faults)|(system.+state.+changed )|(\[timeout)|(PRM\|1\|D)|(kpr)|(kdp)|(train st.+moving)|(\|lc)|(penalty))"</v>
      </c>
      <c r="AG22" s="1" t="str">
        <f t="shared" si="12"/>
        <v>EC</v>
      </c>
      <c r="AH22" s="81" t="str">
        <f t="shared" si="17"/>
        <v>"%USERPROFILE%\Documents\GitHub\eaglep3\Utilities\RefineRTDCRunTimes.py" --tripid 108-15 --locoid 4015 --swversion DE.1.0.9.0 --startMP 204:232973 --initTime 2017-05-15T05:14:13 --startdatetime 2017-05-15T05:26:15 --delay 1 --endMP 204:147 --enddatetime 2017-05-15T06:06:32 --enforcementcount 0 &gt;&gt;C:\Users\stu\Documents\GitHub\eaglep3-reporting\EC\2017-05-15-refined-times.txt</v>
      </c>
      <c r="AI22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{"issue":{"subject":"","project_id":79,"tracker_id":40,"status_id":1,"priority_id":2,"assigned_to_id":23,"start_date":"2017-05-15","description":"","custom_fields":[{"id":1,"name":"Subdivision","value":"EC"},{"id":4,"name":"Milepost","value":"0.0147"},{"id":17,"name":"Train ID","value":"108-15"},{"id":16,"name":"Locomotive ID","value":"4015"},{"id":130,"name":"Impact","value":""},{"id":150,"name":"Time of Event (Mountain Time)","value":"06:06:32"},{"id":151,"name":"Denver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19"/>
        <v>start /low /b %USERPROFILE%\Documents\GitHub\eaglep3\Utilities\DownloadLogsFromS3.py --loco 4015 --day 2017-05-15</v>
      </c>
      <c r="AN22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576</v>
      </c>
      <c r="B23" s="7">
        <v>4026</v>
      </c>
      <c r="C23" s="21" t="s">
        <v>206</v>
      </c>
      <c r="D23" s="21" t="s">
        <v>362</v>
      </c>
      <c r="E23" s="13">
        <v>42870.192094907405</v>
      </c>
      <c r="F23" s="13">
        <v>42870.198078703703</v>
      </c>
      <c r="G23" s="7">
        <v>1</v>
      </c>
      <c r="H23" s="21" t="s">
        <v>835</v>
      </c>
      <c r="I23" s="13">
        <v>42870.223761574074</v>
      </c>
      <c r="J23" s="7">
        <v>0</v>
      </c>
      <c r="K23" s="92" t="str">
        <f t="shared" si="0"/>
        <v>4025/4026</v>
      </c>
      <c r="L23" s="21" t="str">
        <f>VLOOKUP(A23,'Trips&amp;Operators'!$C$1:$G$99999,5,FALSE)</f>
        <v>MACDONALD THOMAS</v>
      </c>
      <c r="M23" s="6">
        <f t="shared" si="1"/>
        <v>2.5682870371383615E-2</v>
      </c>
      <c r="N23" s="7">
        <f t="shared" si="21"/>
        <v>36.983333334792405</v>
      </c>
      <c r="O23" s="7"/>
      <c r="P23" s="7"/>
      <c r="Q23" s="22"/>
      <c r="R23" s="190"/>
      <c r="S23" s="196">
        <f t="shared" si="22"/>
        <v>1</v>
      </c>
      <c r="T23" s="190" t="str">
        <f t="shared" si="2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3"/>
        <v>https://d0f6bd738d7f1b3e5a7ca70fe4ff75f0.us-east-1.aws.found.io/app/kibana#/discover/Steve-Slow-Train-Analysis-(2080s-and-2083s)?_g=(refreshInterval:(display:Off,pause:!f,section:0,value:0),time:(from:'2017-05-15T03:36:37-0600',mode:absolute,to:'2017-05-15T06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" s="192" t="str">
        <f t="shared" si="4"/>
        <v>N</v>
      </c>
      <c r="X23" s="192">
        <f t="shared" si="5"/>
        <v>1</v>
      </c>
      <c r="Y23" s="192">
        <f t="shared" si="6"/>
        <v>4.5100000000000001E-2</v>
      </c>
      <c r="Z23" s="192">
        <f t="shared" si="7"/>
        <v>23.328099999999999</v>
      </c>
      <c r="AA23" s="192">
        <f t="shared" si="8"/>
        <v>23.282999999999998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9"/>
        <v>0109-15</v>
      </c>
      <c r="AE23" s="80" t="str">
        <f t="shared" si="10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23" s="77" t="str">
        <f t="shared" si="11"/>
        <v>"C:\Program Files (x86)\AstroGrep\AstroGrep.exe" /e /r /s /spath="%USERPROFILE%\AppData\Local\Temp\OnboardLogs" /stypes="app*4026*20170515*" /stext=" 11:.+((SYSTEM_STATE.+slice.+state.+changed )|(ment ac)|(multiple cpu faults)|(system.+state.+changed )|(\[timeout)|(PRM\|1\|D)|(kpr)|(kdp)|(train st.+moving)|(\|lc)|(penalty))"</v>
      </c>
      <c r="AG23" s="1" t="str">
        <f t="shared" si="12"/>
        <v>EC</v>
      </c>
      <c r="AH23" s="81" t="str">
        <f t="shared" si="17"/>
        <v>"%USERPROFILE%\Documents\GitHub\eaglep3\Utilities\RefineRTDCRunTimes.py" --tripid 109-15 --locoid 4026 --swversion DE.1.0.9.0 --startMP 204:451 --initTime 2017-05-15T04:36:37 --startdatetime 2017-05-15T04:45:14 --delay 1 --endMP 204:233281 --enddatetime 2017-05-15T05:22:13 --enforcementcount 0 &gt;&gt;C:\Users\stu\Documents\GitHub\eaglep3-reporting\EC\2017-05-15-refined-times.txt</v>
      </c>
      <c r="AI23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{"issue":{"subject":"","project_id":79,"tracker_id":40,"status_id":1,"priority_id":2,"assigned_to_id":23,"start_date":"2017-05-15","description":"","custom_fields":[{"id":1,"name":"Subdivision","value":"EC"},{"id":4,"name":"Milepost","value":"23.3281"},{"id":17,"name":"Train ID","value":"109-15"},{"id":16,"name":"Locomotive ID","value":"4026"},{"id":130,"name":"Impact","value":""},{"id":150,"name":"Time of Event (Mountain Time)","value":"05:22:13"},{"id":151,"name":"Denver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19"/>
        <v>start /low /b %USERPROFILE%\Documents\GitHub\eaglep3\Utilities\DownloadLogsFromS3.py --loco 4026 --day 2017-05-15</v>
      </c>
      <c r="AN23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653</v>
      </c>
      <c r="B24" s="7">
        <v>4025</v>
      </c>
      <c r="C24" s="21" t="s">
        <v>206</v>
      </c>
      <c r="D24" s="21" t="s">
        <v>836</v>
      </c>
      <c r="E24" s="13">
        <v>42870.2346412037</v>
      </c>
      <c r="F24" s="13">
        <v>42870.236944444441</v>
      </c>
      <c r="G24" s="7">
        <v>1</v>
      </c>
      <c r="H24" s="21" t="s">
        <v>197</v>
      </c>
      <c r="I24" s="13">
        <v>42870.262638888889</v>
      </c>
      <c r="J24" s="7">
        <v>0</v>
      </c>
      <c r="K24" s="92" t="str">
        <f t="shared" si="0"/>
        <v>4025/4026</v>
      </c>
      <c r="L24" s="21" t="str">
        <f>VLOOKUP(A24,'Trips&amp;Operators'!$C$1:$G$99999,5,FALSE)</f>
        <v>MACDONALD THOMAS</v>
      </c>
      <c r="M24" s="6">
        <f t="shared" si="1"/>
        <v>2.5694444448163267E-2</v>
      </c>
      <c r="N24" s="7">
        <f t="shared" si="21"/>
        <v>37.000000005355105</v>
      </c>
      <c r="O24" s="7"/>
      <c r="P24" s="7"/>
      <c r="Q24" s="22"/>
      <c r="R24" s="190"/>
      <c r="S24" s="196">
        <f t="shared" si="22"/>
        <v>1</v>
      </c>
      <c r="T24" s="190" t="str">
        <f t="shared" si="2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3"/>
        <v>https://d0f6bd738d7f1b3e5a7ca70fe4ff75f0.us-east-1.aws.found.io/app/kibana#/discover/Steve-Slow-Train-Analysis-(2080s-and-2083s)?_g=(refreshInterval:(display:Off,pause:!f,section:0,value:0),time:(from:'2017-05-15T04:37:53-0600',mode:absolute,to:'2017-05-15T07:18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" s="192" t="str">
        <f t="shared" si="4"/>
        <v>N</v>
      </c>
      <c r="X24" s="192">
        <f t="shared" si="5"/>
        <v>1</v>
      </c>
      <c r="Y24" s="192">
        <f t="shared" si="6"/>
        <v>23.296800000000001</v>
      </c>
      <c r="Z24" s="192">
        <f t="shared" si="7"/>
        <v>1.52E-2</v>
      </c>
      <c r="AA24" s="192">
        <f t="shared" si="8"/>
        <v>23.281600000000001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9"/>
        <v>0110-15</v>
      </c>
      <c r="AE24" s="80" t="str">
        <f t="shared" si="10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24" s="77" t="str">
        <f t="shared" si="11"/>
        <v>"C:\Program Files (x86)\AstroGrep\AstroGrep.exe" /e /r /s /spath="%USERPROFILE%\AppData\Local\Temp\OnboardLogs" /stypes="app*4025*20170515*" /stext=" 12:.+((SYSTEM_STATE.+slice.+state.+changed )|(ment ac)|(multiple cpu faults)|(system.+state.+changed )|(\[timeout)|(PRM\|1\|D)|(kpr)|(kdp)|(train st.+moving)|(\|lc)|(penalty))"</v>
      </c>
      <c r="AG24" s="1" t="str">
        <f t="shared" si="12"/>
        <v>EC</v>
      </c>
      <c r="AH24" s="81" t="str">
        <f t="shared" si="17"/>
        <v>"%USERPROFILE%\Documents\GitHub\eaglep3\Utilities\RefineRTDCRunTimes.py" --tripid 110-15 --locoid 4025 --swversion DE.1.0.9.0 --startMP 204:232968 --initTime 2017-05-15T05:37:53 --startdatetime 2017-05-15T05:41:12 --delay 1 --endMP 204:152 --enddatetime 2017-05-15T06:18:12 --enforcementcount 0 &gt;&gt;C:\Users\stu\Documents\GitHub\eaglep3-reporting\EC\2017-05-15-refined-times.txt</v>
      </c>
      <c r="AI24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{"issue":{"subject":"","project_id":79,"tracker_id":40,"status_id":1,"priority_id":2,"assigned_to_id":23,"start_date":"2017-05-15","description":"","custom_fields":[{"id":1,"name":"Subdivision","value":"EC"},{"id":4,"name":"Milepost","value":"0.0152"},{"id":17,"name":"Train ID","value":"110-15"},{"id":16,"name":"Locomotive ID","value":"4025"},{"id":130,"name":"Impact","value":""},{"id":150,"name":"Time of Event (Mountain Time)","value":"06:18:12"},{"id":151,"name":"Denver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19"/>
        <v>start /low /b %USERPROFILE%\Documents\GitHub\eaglep3\Utilities\DownloadLogsFromS3.py --loco 4025 --day 2017-05-15</v>
      </c>
      <c r="AN24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12:18:12"},{"id":29,"name":"Sharepoint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645</v>
      </c>
      <c r="B25" s="7">
        <v>4052</v>
      </c>
      <c r="C25" s="21" t="s">
        <v>206</v>
      </c>
      <c r="D25" s="21" t="s">
        <v>529</v>
      </c>
      <c r="E25" s="13">
        <v>42870.203310185185</v>
      </c>
      <c r="F25" s="13">
        <v>42870.208553240744</v>
      </c>
      <c r="G25" s="7">
        <v>1</v>
      </c>
      <c r="H25" s="21" t="s">
        <v>837</v>
      </c>
      <c r="I25" s="13">
        <v>42870.232708333337</v>
      </c>
      <c r="J25" s="7">
        <v>0</v>
      </c>
      <c r="K25" s="92" t="str">
        <f t="shared" si="0"/>
        <v>4051/4052</v>
      </c>
      <c r="L25" s="21" t="str">
        <f>VLOOKUP(A25,'Trips&amp;Operators'!$C$1:$G$99999,5,FALSE)</f>
        <v>YORK EDGAR</v>
      </c>
      <c r="M25" s="6">
        <f t="shared" si="1"/>
        <v>2.4155092592991423E-2</v>
      </c>
      <c r="N25" s="7">
        <f t="shared" si="21"/>
        <v>34.783333333907649</v>
      </c>
      <c r="O25" s="7"/>
      <c r="P25" s="7"/>
      <c r="Q25" s="22"/>
      <c r="R25" s="190"/>
      <c r="S25" s="196">
        <f t="shared" si="22"/>
        <v>1</v>
      </c>
      <c r="T25" s="190" t="str">
        <f t="shared" si="2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3"/>
        <v>https://d0f6bd738d7f1b3e5a7ca70fe4ff75f0.us-east-1.aws.found.io/app/kibana#/discover/Steve-Slow-Train-Analysis-(2080s-and-2083s)?_g=(refreshInterval:(display:Off,pause:!f,section:0,value:0),time:(from:'2017-05-15T03:52:46-0600',mode:absolute,to:'2017-05-15T06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5" s="192" t="str">
        <f t="shared" si="4"/>
        <v>N</v>
      </c>
      <c r="X25" s="192">
        <f t="shared" si="5"/>
        <v>1</v>
      </c>
      <c r="Y25" s="192">
        <f t="shared" si="6"/>
        <v>7.5700000000000003E-2</v>
      </c>
      <c r="Z25" s="192">
        <f t="shared" si="7"/>
        <v>23.328600000000002</v>
      </c>
      <c r="AA25" s="192">
        <f t="shared" si="8"/>
        <v>23.2529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9"/>
        <v>0111-15</v>
      </c>
      <c r="AE25" s="80" t="str">
        <f t="shared" si="10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25" s="77" t="str">
        <f t="shared" si="11"/>
        <v>"C:\Program Files (x86)\AstroGrep\AstroGrep.exe" /e /r /s /spath="%USERPROFILE%\AppData\Local\Temp\OnboardLogs" /stypes="app*4052*20170515*" /stext=" 11:.+((SYSTEM_STATE.+slice.+state.+changed )|(ment ac)|(multiple cpu faults)|(system.+state.+changed )|(\[timeout)|(PRM\|1\|D)|(kpr)|(kdp)|(train st.+moving)|(\|lc)|(penalty))"</v>
      </c>
      <c r="AG25" s="1" t="str">
        <f t="shared" si="12"/>
        <v>EC</v>
      </c>
      <c r="AH25" s="81" t="str">
        <f t="shared" si="17"/>
        <v>"%USERPROFILE%\Documents\GitHub\eaglep3\Utilities\RefineRTDCRunTimes.py" --tripid 111-15 --locoid 4052 --swversion DE.1.0.9.0 --startMP 204:757 --initTime 2017-05-15T04:52:46 --startdatetime 2017-05-15T05:00:19 --delay 1 --endMP 204:233286 --enddatetime 2017-05-15T05:35:06 --enforcementcount 0 &gt;&gt;C:\Users\stu\Documents\GitHub\eaglep3-reporting\EC\2017-05-15-refined-times.txt</v>
      </c>
      <c r="AI2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{"issue":{"subject":"","project_id":79,"tracker_id":40,"status_id":1,"priority_id":2,"assigned_to_id":23,"start_date":"2017-05-15","description":"","custom_fields":[{"id":1,"name":"Subdivision","value":"EC"},{"id":4,"name":"Milepost","value":"23.3286"},{"id":17,"name":"Train ID","value":"111-15"},{"id":16,"name":"Locomotive ID","value":"4052"},{"id":130,"name":"Impact","value":""},{"id":150,"name":"Time of Event (Mountain Time)","value":"05:35:06"},{"id":151,"name":"Denver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19"/>
        <v>start /low /b %USERPROFILE%\Documents\GitHub\eaglep3\Utilities\DownloadLogsFromS3.py --loco 4052 --day 2017-05-15</v>
      </c>
      <c r="AN2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652</v>
      </c>
      <c r="B26" s="7">
        <v>4051</v>
      </c>
      <c r="C26" s="21" t="s">
        <v>206</v>
      </c>
      <c r="D26" s="21" t="s">
        <v>432</v>
      </c>
      <c r="E26" s="13">
        <v>42870.233634259261</v>
      </c>
      <c r="F26" s="13">
        <v>42870.247488425928</v>
      </c>
      <c r="G26" s="7">
        <v>1</v>
      </c>
      <c r="H26" s="21" t="s">
        <v>358</v>
      </c>
      <c r="I26" s="13">
        <v>42870.273564814815</v>
      </c>
      <c r="J26" s="7">
        <v>0</v>
      </c>
      <c r="K26" s="92" t="str">
        <f t="shared" si="0"/>
        <v>4051/4052</v>
      </c>
      <c r="L26" s="21" t="str">
        <f>VLOOKUP(A26,'Trips&amp;Operators'!$C$1:$G$99999,5,FALSE)</f>
        <v>YORK EDGAR</v>
      </c>
      <c r="M26" s="6">
        <f t="shared" si="1"/>
        <v>2.6076388887304347E-2</v>
      </c>
      <c r="N26" s="7">
        <f t="shared" si="21"/>
        <v>37.54999999771826</v>
      </c>
      <c r="O26" s="7"/>
      <c r="P26" s="7"/>
      <c r="Q26" s="22"/>
      <c r="R26" s="190"/>
      <c r="S26" s="196">
        <f t="shared" si="22"/>
        <v>1</v>
      </c>
      <c r="T26" s="190" t="str">
        <f t="shared" si="2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3"/>
        <v>https://d0f6bd738d7f1b3e5a7ca70fe4ff75f0.us-east-1.aws.found.io/app/kibana#/discover/Steve-Slow-Train-Analysis-(2080s-and-2083s)?_g=(refreshInterval:(display:Off,pause:!f,section:0,value:0),time:(from:'2017-05-15T04:36:26-0600',mode:absolute,to:'2017-05-15T07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6" s="192" t="str">
        <f t="shared" si="4"/>
        <v>N</v>
      </c>
      <c r="X26" s="192">
        <f t="shared" si="5"/>
        <v>1</v>
      </c>
      <c r="Y26" s="192">
        <f t="shared" si="6"/>
        <v>23.2973</v>
      </c>
      <c r="Z26" s="192">
        <f t="shared" si="7"/>
        <v>1.4999999999999999E-2</v>
      </c>
      <c r="AA26" s="192">
        <f t="shared" si="8"/>
        <v>23.282299999999999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9"/>
        <v>0112-15</v>
      </c>
      <c r="AE26" s="80" t="str">
        <f t="shared" si="10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26" s="77" t="str">
        <f t="shared" si="11"/>
        <v>"C:\Program Files (x86)\AstroGrep\AstroGrep.exe" /e /r /s /spath="%USERPROFILE%\AppData\Local\Temp\OnboardLogs" /stypes="app*4051*20170515*" /stext=" 12:.+((SYSTEM_STATE.+slice.+state.+changed )|(ment ac)|(multiple cpu faults)|(system.+state.+changed )|(\[timeout)|(PRM\|1\|D)|(kpr)|(kdp)|(train st.+moving)|(\|lc)|(penalty))"</v>
      </c>
      <c r="AG26" s="1" t="str">
        <f t="shared" si="12"/>
        <v>EC</v>
      </c>
      <c r="AH26" s="81" t="str">
        <f t="shared" si="17"/>
        <v>"%USERPROFILE%\Documents\GitHub\eaglep3\Utilities\RefineRTDCRunTimes.py" --tripid 112-15 --locoid 4051 --swversion DE.1.0.9.0 --startMP 204:232973 --initTime 2017-05-15T05:36:26 --startdatetime 2017-05-15T05:56:23 --delay 1 --endMP 204:150 --enddatetime 2017-05-15T06:33:56 --enforcementcount 0 &gt;&gt;C:\Users\stu\Documents\GitHub\eaglep3-reporting\EC\2017-05-15-refined-times.txt</v>
      </c>
      <c r="AI2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{"issue":{"subject":"","project_id":79,"tracker_id":40,"status_id":1,"priority_id":2,"assigned_to_id":23,"start_date":"2017-05-15","description":"","custom_fields":[{"id":1,"name":"Subdivision","value":"EC"},{"id":4,"name":"Milepost","value":"0.015"},{"id":17,"name":"Train ID","value":"112-15"},{"id":16,"name":"Locomotive ID","value":"4051"},{"id":130,"name":"Impact","value":""},{"id":150,"name":"Time of Event (Mountain Time)","value":"06:33:56"},{"id":151,"name":"Denver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19"/>
        <v>start /low /b %USERPROFILE%\Documents\GitHub\eaglep3\Utilities\DownloadLogsFromS3.py --loco 4051 --day 2017-05-15</v>
      </c>
      <c r="AN2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644</v>
      </c>
      <c r="B27" s="7">
        <v>4028</v>
      </c>
      <c r="C27" s="21" t="s">
        <v>206</v>
      </c>
      <c r="D27" s="21" t="s">
        <v>355</v>
      </c>
      <c r="E27" s="13">
        <v>42870.203043981484</v>
      </c>
      <c r="F27" s="13">
        <v>42870.219131944446</v>
      </c>
      <c r="G27" s="7">
        <v>1</v>
      </c>
      <c r="H27" s="21" t="s">
        <v>838</v>
      </c>
      <c r="I27" s="13">
        <v>42870.243923611109</v>
      </c>
      <c r="J27" s="7">
        <v>0</v>
      </c>
      <c r="K27" s="92" t="str">
        <f t="shared" si="0"/>
        <v>4027/4028</v>
      </c>
      <c r="L27" s="21" t="str">
        <f>VLOOKUP(A27,'Trips&amp;Operators'!$C$1:$G$99999,5,FALSE)</f>
        <v>SANTIZO D. EDY</v>
      </c>
      <c r="M27" s="6">
        <f t="shared" si="1"/>
        <v>2.4791666663077194E-2</v>
      </c>
      <c r="N27" s="7">
        <f t="shared" si="21"/>
        <v>35.69999999483116</v>
      </c>
      <c r="O27" s="7"/>
      <c r="P27" s="7"/>
      <c r="Q27" s="22"/>
      <c r="R27" s="190"/>
      <c r="S27" s="196">
        <f t="shared" si="22"/>
        <v>1</v>
      </c>
      <c r="T27" s="190" t="str">
        <f t="shared" si="2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3"/>
        <v>https://d0f6bd738d7f1b3e5a7ca70fe4ff75f0.us-east-1.aws.found.io/app/kibana#/discover/Steve-Slow-Train-Analysis-(2080s-and-2083s)?_g=(refreshInterval:(display:Off,pause:!f,section:0,value:0),time:(from:'2017-05-15T03:52:23-0600',mode:absolute,to:'2017-05-15T06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7" s="192" t="str">
        <f t="shared" si="4"/>
        <v>N</v>
      </c>
      <c r="X27" s="192">
        <f t="shared" si="5"/>
        <v>1</v>
      </c>
      <c r="Y27" s="192">
        <f t="shared" si="6"/>
        <v>4.58E-2</v>
      </c>
      <c r="Z27" s="192">
        <f t="shared" si="7"/>
        <v>23.331499999999998</v>
      </c>
      <c r="AA27" s="192">
        <f t="shared" si="8"/>
        <v>23.285699999999999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9"/>
        <v>0113-15</v>
      </c>
      <c r="AE27" s="80" t="str">
        <f t="shared" si="10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27" s="77" t="str">
        <f t="shared" si="11"/>
        <v>"C:\Program Files (x86)\AstroGrep\AstroGrep.exe" /e /r /s /spath="%USERPROFILE%\AppData\Local\Temp\OnboardLogs" /stypes="app*4028*20170515*" /stext=" 11:.+((SYSTEM_STATE.+slice.+state.+changed )|(ment ac)|(multiple cpu faults)|(system.+state.+changed )|(\[timeout)|(PRM\|1\|D)|(kpr)|(kdp)|(train st.+moving)|(\|lc)|(penalty))"</v>
      </c>
      <c r="AG27" s="1" t="str">
        <f t="shared" si="12"/>
        <v>EC</v>
      </c>
      <c r="AH27" s="81" t="str">
        <f t="shared" si="17"/>
        <v>"%USERPROFILE%\Documents\GitHub\eaglep3\Utilities\RefineRTDCRunTimes.py" --tripid 113-15 --locoid 4028 --swversion DE.1.0.9.0 --startMP 204:458 --initTime 2017-05-15T04:52:23 --startdatetime 2017-05-15T05:15:33 --delay 1 --endMP 204:233315 --enddatetime 2017-05-15T05:51:15 --enforcementcount 0 &gt;&gt;C:\Users\stu\Documents\GitHub\eaglep3-reporting\EC\2017-05-15-refined-times.txt</v>
      </c>
      <c r="AI2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{"issue":{"subject":"","project_id":79,"tracker_id":40,"status_id":1,"priority_id":2,"assigned_to_id":23,"start_date":"2017-05-15","description":"","custom_fields":[{"id":1,"name":"Subdivision","value":"EC"},{"id":4,"name":"Milepost","value":"23.3315"},{"id":17,"name":"Train ID","value":"113-15"},{"id":16,"name":"Locomotive ID","value":"4028"},{"id":130,"name":"Impact","value":""},{"id":150,"name":"Time of Event (Mountain Time)","value":"05:51:15"},{"id":151,"name":"Denver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19"/>
        <v>start /low /b %USERPROFILE%\Documents\GitHub\eaglep3\Utilities\DownloadLogsFromS3.py --loco 4028 --day 2017-05-15</v>
      </c>
      <c r="AN2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579</v>
      </c>
      <c r="B28" s="7">
        <v>4027</v>
      </c>
      <c r="C28" s="21" t="s">
        <v>206</v>
      </c>
      <c r="D28" s="21" t="s">
        <v>839</v>
      </c>
      <c r="E28" s="13">
        <v>42870.245509259257</v>
      </c>
      <c r="F28" s="13">
        <v>42870.2578125</v>
      </c>
      <c r="G28" s="7">
        <v>1</v>
      </c>
      <c r="H28" s="21" t="s">
        <v>365</v>
      </c>
      <c r="I28" s="13">
        <v>42870.286898148152</v>
      </c>
      <c r="J28" s="7">
        <v>0</v>
      </c>
      <c r="K28" s="92" t="str">
        <f t="shared" si="0"/>
        <v>4027/4028</v>
      </c>
      <c r="L28" s="21" t="str">
        <f>VLOOKUP(A28,'Trips&amp;Operators'!$C$1:$G$99999,5,FALSE)</f>
        <v>SANTIZO D. EDY</v>
      </c>
      <c r="M28" s="6">
        <f t="shared" si="1"/>
        <v>2.9085648151522037E-2</v>
      </c>
      <c r="N28" s="7">
        <f t="shared" si="21"/>
        <v>41.883333338191733</v>
      </c>
      <c r="O28" s="7"/>
      <c r="P28" s="7"/>
      <c r="Q28" s="22"/>
      <c r="R28" s="190"/>
      <c r="S28" s="196">
        <f t="shared" si="22"/>
        <v>1</v>
      </c>
      <c r="T28" s="190" t="str">
        <f t="shared" si="2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3"/>
        <v>https://d0f6bd738d7f1b3e5a7ca70fe4ff75f0.us-east-1.aws.found.io/app/kibana#/discover/Steve-Slow-Train-Analysis-(2080s-and-2083s)?_g=(refreshInterval:(display:Off,pause:!f,section:0,value:0),time:(from:'2017-05-15T04:53:32-0600',mode:absolute,to:'2017-05-15T07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8" s="192" t="str">
        <f t="shared" si="4"/>
        <v>N</v>
      </c>
      <c r="X28" s="192">
        <f t="shared" si="5"/>
        <v>1</v>
      </c>
      <c r="Y28" s="192">
        <f t="shared" si="6"/>
        <v>23.2987</v>
      </c>
      <c r="Z28" s="192">
        <f t="shared" si="7"/>
        <v>1.5599999999999999E-2</v>
      </c>
      <c r="AA28" s="192">
        <f t="shared" si="8"/>
        <v>23.283100000000001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9"/>
        <v>0114-15</v>
      </c>
      <c r="AE28" s="80" t="str">
        <f t="shared" si="10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28" s="77" t="str">
        <f t="shared" si="11"/>
        <v>"C:\Program Files (x86)\AstroGrep\AstroGrep.exe" /e /r /s /spath="%USERPROFILE%\AppData\Local\Temp\OnboardLogs" /stypes="app*4027*20170515*" /stext=" 12:.+((SYSTEM_STATE.+slice.+state.+changed )|(ment ac)|(multiple cpu faults)|(system.+state.+changed )|(\[timeout)|(PRM\|1\|D)|(kpr)|(kdp)|(train st.+moving)|(\|lc)|(penalty))"</v>
      </c>
      <c r="AG28" s="1" t="str">
        <f t="shared" si="12"/>
        <v>EC</v>
      </c>
      <c r="AH28" s="81" t="str">
        <f t="shared" si="17"/>
        <v>"%USERPROFILE%\Documents\GitHub\eaglep3\Utilities\RefineRTDCRunTimes.py" --tripid 114-15 --locoid 4027 --swversion DE.1.0.9.0 --startMP 204:232987 --initTime 2017-05-15T05:53:32 --startdatetime 2017-05-15T06:11:15 --delay 1 --endMP 204:156 --enddatetime 2017-05-15T06:53:08 --enforcementcount 0 &gt;&gt;C:\Users\stu\Documents\GitHub\eaglep3-reporting\EC\2017-05-15-refined-times.txt</v>
      </c>
      <c r="AI28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{"issue":{"subject":"","project_id":79,"tracker_id":40,"status_id":1,"priority_id":2,"assigned_to_id":23,"start_date":"2017-05-15","description":"","custom_fields":[{"id":1,"name":"Subdivision","value":"EC"},{"id":4,"name":"Milepost","value":"0.0156"},{"id":17,"name":"Train ID","value":"114-15"},{"id":16,"name":"Locomotive ID","value":"4027"},{"id":130,"name":"Impact","value":""},{"id":150,"name":"Time of Event (Mountain Time)","value":"06:53:08"},{"id":151,"name":"Denver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19"/>
        <v>start /low /b %USERPROFILE%\Documents\GitHub\eaglep3\Utilities\DownloadLogsFromS3.py --loco 4027 --day 2017-05-15</v>
      </c>
      <c r="AN28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12:53:08"},{"id":29,"name":"Sharepoint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649</v>
      </c>
      <c r="B29" s="7">
        <v>4010</v>
      </c>
      <c r="C29" s="21" t="s">
        <v>206</v>
      </c>
      <c r="D29" s="21" t="s">
        <v>840</v>
      </c>
      <c r="E29" s="13">
        <v>42870.226724537039</v>
      </c>
      <c r="F29" s="13">
        <v>42870.22934027778</v>
      </c>
      <c r="G29" s="7">
        <v>1</v>
      </c>
      <c r="H29" s="21" t="s">
        <v>421</v>
      </c>
      <c r="I29" s="13">
        <v>42870.253981481481</v>
      </c>
      <c r="J29" s="7">
        <v>0</v>
      </c>
      <c r="K29" s="92" t="str">
        <f t="shared" si="0"/>
        <v>4009/4010</v>
      </c>
      <c r="L29" s="21" t="str">
        <f>VLOOKUP(A29,'Trips&amp;Operators'!$C$1:$G$99999,5,FALSE)</f>
        <v>ROBINSON KADDIBA</v>
      </c>
      <c r="M29" s="6">
        <f t="shared" si="1"/>
        <v>2.4641203701321501E-2</v>
      </c>
      <c r="N29" s="7">
        <f t="shared" si="21"/>
        <v>35.483333329902962</v>
      </c>
      <c r="O29" s="7"/>
      <c r="P29" s="7"/>
      <c r="Q29" s="22"/>
      <c r="R29" s="190"/>
      <c r="S29" s="196">
        <f t="shared" si="22"/>
        <v>1</v>
      </c>
      <c r="T29" s="190" t="str">
        <f t="shared" si="2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3"/>
        <v>https://d0f6bd738d7f1b3e5a7ca70fe4ff75f0.us-east-1.aws.found.io/app/kibana#/discover/Steve-Slow-Train-Analysis-(2080s-and-2083s)?_g=(refreshInterval:(display:Off,pause:!f,section:0,value:0),time:(from:'2017-05-15T04:26:29-0600',mode:absolute,to:'2017-05-15T07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9" s="192" t="str">
        <f t="shared" si="4"/>
        <v>N</v>
      </c>
      <c r="X29" s="192">
        <f t="shared" si="5"/>
        <v>1</v>
      </c>
      <c r="Y29" s="192">
        <f t="shared" si="6"/>
        <v>7.7499999999999999E-2</v>
      </c>
      <c r="Z29" s="192">
        <f t="shared" si="7"/>
        <v>23.3293</v>
      </c>
      <c r="AA29" s="192">
        <f t="shared" si="8"/>
        <v>23.251799999999999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9"/>
        <v>0115-15</v>
      </c>
      <c r="AE29" s="80" t="str">
        <f t="shared" si="10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29" s="77" t="str">
        <f t="shared" si="11"/>
        <v>"C:\Program Files (x86)\AstroGrep\AstroGrep.exe" /e /r /s /spath="%USERPROFILE%\AppData\Local\Temp\OnboardLogs" /stypes="app*4010*20170515*" /stext=" 12:.+((SYSTEM_STATE.+slice.+state.+changed )|(ment ac)|(multiple cpu faults)|(system.+state.+changed )|(\[timeout)|(PRM\|1\|D)|(kpr)|(kdp)|(train st.+moving)|(\|lc)|(penalty))"</v>
      </c>
      <c r="AG29" s="1" t="str">
        <f t="shared" si="12"/>
        <v>EC</v>
      </c>
      <c r="AH29" s="81" t="str">
        <f t="shared" si="17"/>
        <v>"%USERPROFILE%\Documents\GitHub\eaglep3\Utilities\RefineRTDCRunTimes.py" --tripid 115-15 --locoid 4010 --swversion DE.1.0.9.0 --startMP 204:775 --initTime 2017-05-15T05:26:29 --startdatetime 2017-05-15T05:30:15 --delay 1 --endMP 204:233293 --enddatetime 2017-05-15T06:05:44 --enforcementcount 0 &gt;&gt;C:\Users\stu\Documents\GitHub\eaglep3-reporting\EC\2017-05-15-refined-times.txt</v>
      </c>
      <c r="AI29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{"issue":{"subject":"","project_id":79,"tracker_id":40,"status_id":1,"priority_id":2,"assigned_to_id":23,"start_date":"2017-05-15","description":"","custom_fields":[{"id":1,"name":"Subdivision","value":"EC"},{"id":4,"name":"Milepost","value":"23.3293"},{"id":17,"name":"Train ID","value":"115-15"},{"id":16,"name":"Locomotive ID","value":"4010"},{"id":130,"name":"Impact","value":""},{"id":150,"name":"Time of Event (Mountain Time)","value":"06:05:44"},{"id":151,"name":"Denver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19"/>
        <v>start /low /b %USERPROFILE%\Documents\GitHub\eaglep3\Utilities\DownloadLogsFromS3.py --loco 4010 --day 2017-05-15</v>
      </c>
      <c r="AN29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663</v>
      </c>
      <c r="B30" s="7">
        <v>4009</v>
      </c>
      <c r="C30" s="21" t="s">
        <v>206</v>
      </c>
      <c r="D30" s="21" t="s">
        <v>841</v>
      </c>
      <c r="E30" s="13">
        <v>42870.266099537039</v>
      </c>
      <c r="F30" s="13">
        <v>42870.268229166664</v>
      </c>
      <c r="G30" s="7">
        <v>1</v>
      </c>
      <c r="H30" s="21" t="s">
        <v>489</v>
      </c>
      <c r="I30" s="13">
        <v>42870.295844907407</v>
      </c>
      <c r="J30" s="7">
        <v>0</v>
      </c>
      <c r="K30" s="92" t="str">
        <f t="shared" si="0"/>
        <v>4009/4010</v>
      </c>
      <c r="L30" s="21" t="str">
        <f>VLOOKUP(A30,'Trips&amp;Operators'!$C$1:$G$99999,5,FALSE)</f>
        <v>ROBINSON KADDIBA</v>
      </c>
      <c r="M30" s="6">
        <f t="shared" si="1"/>
        <v>2.7615740742476191E-2</v>
      </c>
      <c r="N30" s="7">
        <f t="shared" si="21"/>
        <v>39.766666669165716</v>
      </c>
      <c r="O30" s="7"/>
      <c r="P30" s="7"/>
      <c r="Q30" s="22"/>
      <c r="R30" s="190"/>
      <c r="S30" s="196">
        <f t="shared" si="22"/>
        <v>1</v>
      </c>
      <c r="T30" s="190" t="str">
        <f t="shared" si="2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3"/>
        <v>https://d0f6bd738d7f1b3e5a7ca70fe4ff75f0.us-east-1.aws.found.io/app/kibana#/discover/Steve-Slow-Train-Analysis-(2080s-and-2083s)?_g=(refreshInterval:(display:Off,pause:!f,section:0,value:0),time:(from:'2017-05-15T05:23:11-0600',mode:absolute,to:'2017-05-15T08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0" s="192" t="str">
        <f t="shared" si="4"/>
        <v>N</v>
      </c>
      <c r="X30" s="192">
        <f t="shared" si="5"/>
        <v>1</v>
      </c>
      <c r="Y30" s="192">
        <f t="shared" si="6"/>
        <v>23.296299999999999</v>
      </c>
      <c r="Z30" s="192">
        <f t="shared" si="7"/>
        <v>1.54E-2</v>
      </c>
      <c r="AA30" s="192">
        <f t="shared" si="8"/>
        <v>23.280899999999999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9"/>
        <v>0116-15</v>
      </c>
      <c r="AE30" s="80" t="str">
        <f t="shared" si="10"/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AF30" s="77" t="str">
        <f t="shared" si="11"/>
        <v>"C:\Program Files (x86)\AstroGrep\AstroGrep.exe" /e /r /s /spath="%USERPROFILE%\AppData\Local\Temp\OnboardLogs" /stypes="app*4009*20170515*" /stext=" 13:.+((SYSTEM_STATE.+slice.+state.+changed )|(ment ac)|(multiple cpu faults)|(system.+state.+changed )|(\[timeout)|(PRM\|1\|D)|(kpr)|(kdp)|(train st.+moving)|(\|lc)|(penalty))"</v>
      </c>
      <c r="AG30" s="1" t="str">
        <f t="shared" si="12"/>
        <v>EC</v>
      </c>
      <c r="AH30" s="81" t="str">
        <f t="shared" si="17"/>
        <v>"%USERPROFILE%\Documents\GitHub\eaglep3\Utilities\RefineRTDCRunTimes.py" --tripid 116-15 --locoid 4009 --swversion DE.1.0.9.0 --startMP 204:232963 --initTime 2017-05-15T06:23:11 --startdatetime 2017-05-15T06:26:15 --delay 1 --endMP 204:154 --enddatetime 2017-05-15T07:06:01 --enforcementcount 0 &gt;&gt;C:\Users\stu\Documents\GitHub\eaglep3-reporting\EC\2017-05-15-refined-times.txt</v>
      </c>
      <c r="AI30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{"issue":{"subject":"","project_id":79,"tracker_id":40,"status_id":1,"priority_id":2,"assigned_to_id":23,"start_date":"2017-05-15","description":"","custom_fields":[{"id":1,"name":"Subdivision","value":"EC"},{"id":4,"name":"Milepost","value":"0.0154"},{"id":17,"name":"Train ID","value":"116-15"},{"id":16,"name":"Locomotive ID","value":"4009"},{"id":130,"name":"Impact","value":""},{"id":150,"name":"Time of Event (Mountain Time)","value":"07:06:01"},{"id":151,"name":"Denver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19"/>
        <v>start /low /b %USERPROFILE%\Documents\GitHub\eaglep3\Utilities\DownloadLogsFromS3.py --loco 4009 --day 2017-05-15</v>
      </c>
      <c r="AN30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654</v>
      </c>
      <c r="B31" s="7">
        <v>4042</v>
      </c>
      <c r="C31" s="21" t="s">
        <v>206</v>
      </c>
      <c r="D31" s="21" t="s">
        <v>352</v>
      </c>
      <c r="E31" s="13">
        <v>42870.235763888886</v>
      </c>
      <c r="F31" s="13">
        <v>42870.240185185183</v>
      </c>
      <c r="G31" s="7">
        <v>1</v>
      </c>
      <c r="H31" s="21" t="s">
        <v>530</v>
      </c>
      <c r="I31" s="13">
        <v>42870.264849537038</v>
      </c>
      <c r="J31" s="7">
        <v>0</v>
      </c>
      <c r="K31" s="92" t="str">
        <f t="shared" si="0"/>
        <v>4041/4042</v>
      </c>
      <c r="L31" s="21" t="str">
        <f>VLOOKUP(A31,'Trips&amp;Operators'!$C$1:$G$99999,5,FALSE)</f>
        <v>MAELZER KURT</v>
      </c>
      <c r="M31" s="6">
        <f t="shared" si="1"/>
        <v>2.4664351854880806E-2</v>
      </c>
      <c r="N31" s="7">
        <f t="shared" si="21"/>
        <v>35.516666671028361</v>
      </c>
      <c r="O31" s="7"/>
      <c r="P31" s="7"/>
      <c r="Q31" s="22"/>
      <c r="R31" s="190"/>
      <c r="S31" s="196">
        <f t="shared" si="22"/>
        <v>1</v>
      </c>
      <c r="T31" s="190" t="str">
        <f t="shared" si="2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3"/>
        <v>https://d0f6bd738d7f1b3e5a7ca70fe4ff75f0.us-east-1.aws.found.io/app/kibana#/discover/Steve-Slow-Train-Analysis-(2080s-and-2083s)?_g=(refreshInterval:(display:Off,pause:!f,section:0,value:0),time:(from:'2017-05-15T04:39:30-0600',mode:absolute,to:'2017-05-15T07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1" s="192" t="str">
        <f t="shared" si="4"/>
        <v>N</v>
      </c>
      <c r="X31" s="192">
        <f t="shared" si="5"/>
        <v>1</v>
      </c>
      <c r="Y31" s="192">
        <f t="shared" si="6"/>
        <v>4.4600000000000001E-2</v>
      </c>
      <c r="Z31" s="192">
        <f t="shared" si="7"/>
        <v>23.331900000000001</v>
      </c>
      <c r="AA31" s="192">
        <f t="shared" si="8"/>
        <v>23.287300000000002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9"/>
        <v>0117-15</v>
      </c>
      <c r="AE31" s="80" t="str">
        <f t="shared" si="10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31" s="77" t="str">
        <f t="shared" si="11"/>
        <v>"C:\Program Files (x86)\AstroGrep\AstroGrep.exe" /e /r /s /spath="%USERPROFILE%\AppData\Local\Temp\OnboardLogs" /stypes="app*4042*20170515*" /stext=" 12:.+((SYSTEM_STATE.+slice.+state.+changed )|(ment ac)|(multiple cpu faults)|(system.+state.+changed )|(\[timeout)|(PRM\|1\|D)|(kpr)|(kdp)|(train st.+moving)|(\|lc)|(penalty))"</v>
      </c>
      <c r="AG31" s="1" t="str">
        <f t="shared" si="12"/>
        <v>EC</v>
      </c>
      <c r="AH31" s="81" t="str">
        <f t="shared" si="17"/>
        <v>"%USERPROFILE%\Documents\GitHub\eaglep3\Utilities\RefineRTDCRunTimes.py" --tripid 117-15 --locoid 4042 --swversion DE.1.0.9.0 --startMP 204:446 --initTime 2017-05-15T05:39:30 --startdatetime 2017-05-15T05:45:52 --delay 1 --endMP 204:233319 --enddatetime 2017-05-15T06:21:23 --enforcementcount 0 &gt;&gt;C:\Users\stu\Documents\GitHub\eaglep3-reporting\EC\2017-05-15-refined-times.txt</v>
      </c>
      <c r="AI31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{"issue":{"subject":"","project_id":79,"tracker_id":40,"status_id":1,"priority_id":2,"assigned_to_id":23,"start_date":"2017-05-15","description":"","custom_fields":[{"id":1,"name":"Subdivision","value":"EC"},{"id":4,"name":"Milepost","value":"23.3319"},{"id":17,"name":"Train ID","value":"117-15"},{"id":16,"name":"Locomotive ID","value":"4042"},{"id":130,"name":"Impact","value":""},{"id":150,"name":"Time of Event (Mountain Time)","value":"06:21:23"},{"id":151,"name":"Denver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19"/>
        <v>start /low /b %USERPROFILE%\Documents\GitHub\eaglep3\Utilities\DownloadLogsFromS3.py --loco 4042 --day 2017-05-15</v>
      </c>
      <c r="AN31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664</v>
      </c>
      <c r="B32" s="7">
        <v>4041</v>
      </c>
      <c r="C32" s="21" t="s">
        <v>206</v>
      </c>
      <c r="D32" s="21" t="s">
        <v>842</v>
      </c>
      <c r="E32" s="13">
        <v>42870.272175925929</v>
      </c>
      <c r="F32" s="13">
        <v>42870.278703703705</v>
      </c>
      <c r="G32" s="7">
        <v>0</v>
      </c>
      <c r="H32" s="21" t="s">
        <v>360</v>
      </c>
      <c r="I32" s="13">
        <v>42870.305671296293</v>
      </c>
      <c r="J32" s="7">
        <v>0</v>
      </c>
      <c r="K32" s="92" t="str">
        <f t="shared" si="0"/>
        <v>4041/4042</v>
      </c>
      <c r="L32" s="21" t="str">
        <f>VLOOKUP(A32,'Trips&amp;Operators'!$C$1:$G$99999,5,FALSE)</f>
        <v>MAELZER KURT</v>
      </c>
      <c r="M32" s="6">
        <f t="shared" si="1"/>
        <v>2.696759258833481E-2</v>
      </c>
      <c r="N32" s="7">
        <f t="shared" si="21"/>
        <v>38.833333327202126</v>
      </c>
      <c r="O32" s="7"/>
      <c r="P32" s="7"/>
      <c r="Q32" s="22"/>
      <c r="R32" s="190"/>
      <c r="S32" s="196">
        <f t="shared" si="22"/>
        <v>1</v>
      </c>
      <c r="T32" s="190" t="str">
        <f t="shared" si="2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3"/>
        <v>https://d0f6bd738d7f1b3e5a7ca70fe4ff75f0.us-east-1.aws.found.io/app/kibana#/discover/Steve-Slow-Train-Analysis-(2080s-and-2083s)?_g=(refreshInterval:(display:Off,pause:!f,section:0,value:0),time:(from:'2017-05-15T05:31:56-0600',mode:absolute,to:'2017-05-15T08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2" s="192" t="str">
        <f t="shared" si="4"/>
        <v>N</v>
      </c>
      <c r="X32" s="192">
        <f t="shared" si="5"/>
        <v>1</v>
      </c>
      <c r="Y32" s="192">
        <f t="shared" si="6"/>
        <v>23.3004</v>
      </c>
      <c r="Z32" s="192">
        <f t="shared" si="7"/>
        <v>1.43E-2</v>
      </c>
      <c r="AA32" s="192">
        <f t="shared" si="8"/>
        <v>23.286100000000001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9"/>
        <v>0118-15</v>
      </c>
      <c r="AE32" s="80" t="str">
        <f t="shared" si="10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32" s="77" t="str">
        <f t="shared" si="11"/>
        <v>"C:\Program Files (x86)\AstroGrep\AstroGrep.exe" /e /r /s /spath="%USERPROFILE%\AppData\Local\Temp\OnboardLogs" /stypes="app*4041*20170515*" /stext=" 13:.+((SYSTEM_STATE.+slice.+state.+changed )|(ment ac)|(multiple cpu faults)|(system.+state.+changed )|(\[timeout)|(PRM\|1\|D)|(kpr)|(kdp)|(train st.+moving)|(\|lc)|(penalty))"</v>
      </c>
      <c r="AG32" s="1" t="str">
        <f t="shared" si="12"/>
        <v>EC</v>
      </c>
      <c r="AH32" s="81" t="str">
        <f t="shared" si="17"/>
        <v>"%USERPROFILE%\Documents\GitHub\eaglep3\Utilities\RefineRTDCRunTimes.py" --tripid 118-15 --locoid 4041 --swversion DE.1.0.9.0 --startMP 204:233004 --initTime 2017-05-15T06:31:56 --startdatetime 2017-05-15T06:41:20 --delay 0 --endMP 204:143 --enddatetime 2017-05-15T07:20:10 --enforcementcount 0 &gt;&gt;C:\Users\stu\Documents\GitHub\eaglep3-reporting\EC\2017-05-15-refined-times.txt</v>
      </c>
      <c r="AI32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{"issue":{"subject":"","project_id":79,"tracker_id":40,"status_id":1,"priority_id":2,"assigned_to_id":23,"start_date":"2017-05-15","description":"","custom_fields":[{"id":1,"name":"Subdivision","value":"EC"},{"id":4,"name":"Milepost","value":"0.0143"},{"id":17,"name":"Train ID","value":"118-15"},{"id":16,"name":"Locomotive ID","value":"4041"},{"id":130,"name":"Impact","value":""},{"id":150,"name":"Time of Event (Mountain Time)","value":"07:20:10"},{"id":151,"name":"Denver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19"/>
        <v>start /low /b %USERPROFILE%\Documents\GitHub\eaglep3\Utilities\DownloadLogsFromS3.py --loco 4041 --day 2017-05-15</v>
      </c>
      <c r="AN32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660</v>
      </c>
      <c r="B33" s="7">
        <v>4030</v>
      </c>
      <c r="C33" s="21" t="s">
        <v>206</v>
      </c>
      <c r="D33" s="21" t="s">
        <v>843</v>
      </c>
      <c r="E33" s="13">
        <v>42870.249803240738</v>
      </c>
      <c r="F33" s="13">
        <v>42870.25136574074</v>
      </c>
      <c r="G33" s="7">
        <v>1</v>
      </c>
      <c r="H33" s="21" t="s">
        <v>421</v>
      </c>
      <c r="I33" s="13">
        <v>42870.277291666665</v>
      </c>
      <c r="J33" s="7">
        <v>0</v>
      </c>
      <c r="K33" s="92" t="str">
        <f t="shared" si="0"/>
        <v>4029/4030</v>
      </c>
      <c r="L33" s="21" t="str">
        <f>VLOOKUP(A33,'Trips&amp;Operators'!$C$1:$G$99999,5,FALSE)</f>
        <v>YOUNG ELIZABETH</v>
      </c>
      <c r="M33" s="6">
        <f t="shared" si="1"/>
        <v>2.5925925925548654E-2</v>
      </c>
      <c r="N33" s="7">
        <f t="shared" si="21"/>
        <v>37.333333332790062</v>
      </c>
      <c r="O33" s="7"/>
      <c r="P33" s="7"/>
      <c r="Q33" s="22"/>
      <c r="R33" s="190"/>
      <c r="S33" s="196">
        <f t="shared" si="22"/>
        <v>1</v>
      </c>
      <c r="T33" s="190" t="str">
        <f t="shared" si="2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3"/>
        <v>https://d0f6bd738d7f1b3e5a7ca70fe4ff75f0.us-east-1.aws.found.io/app/kibana#/discover/Steve-Slow-Train-Analysis-(2080s-and-2083s)?_g=(refreshInterval:(display:Off,pause:!f,section:0,value:0),time:(from:'2017-05-15T04:59:43-0600',mode:absolute,to:'2017-05-15T07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3" s="192" t="str">
        <f t="shared" si="4"/>
        <v>N</v>
      </c>
      <c r="X33" s="192">
        <f t="shared" si="5"/>
        <v>1</v>
      </c>
      <c r="Y33" s="192">
        <f t="shared" si="6"/>
        <v>7.8799999999999995E-2</v>
      </c>
      <c r="Z33" s="192">
        <f t="shared" si="7"/>
        <v>23.3293</v>
      </c>
      <c r="AA33" s="192">
        <f t="shared" si="8"/>
        <v>23.250499999999999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9"/>
        <v>0119-15</v>
      </c>
      <c r="AE33" s="80" t="str">
        <f t="shared" si="10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33" s="77" t="str">
        <f t="shared" si="11"/>
        <v>"C:\Program Files (x86)\AstroGrep\AstroGrep.exe" /e /r /s /spath="%USERPROFILE%\AppData\Local\Temp\OnboardLogs" /stypes="app*4030*20170515*" /stext=" 12:.+((SYSTEM_STATE.+slice.+state.+changed )|(ment ac)|(multiple cpu faults)|(system.+state.+changed )|(\[timeout)|(PRM\|1\|D)|(kpr)|(kdp)|(train st.+moving)|(\|lc)|(penalty))"</v>
      </c>
      <c r="AG33" s="1" t="str">
        <f t="shared" si="12"/>
        <v>EC</v>
      </c>
      <c r="AH33" s="81" t="str">
        <f t="shared" si="17"/>
        <v>"%USERPROFILE%\Documents\GitHub\eaglep3\Utilities\RefineRTDCRunTimes.py" --tripid 119-15 --locoid 4030 --swversion DE.1.0.9.0 --startMP 204:788 --initTime 2017-05-15T05:59:43 --startdatetime 2017-05-15T06:01:58 --delay 1 --endMP 204:233293 --enddatetime 2017-05-15T06:39:18 --enforcementcount 0 &gt;&gt;C:\Users\stu\Documents\GitHub\eaglep3-reporting\EC\2017-05-15-refined-times.txt</v>
      </c>
      <c r="AI33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{"issue":{"subject":"","project_id":79,"tracker_id":40,"status_id":1,"priority_id":2,"assigned_to_id":23,"start_date":"2017-05-15","description":"","custom_fields":[{"id":1,"name":"Subdivision","value":"EC"},{"id":4,"name":"Milepost","value":"23.3293"},{"id":17,"name":"Train ID","value":"119-15"},{"id":16,"name":"Locomotive ID","value":"4030"},{"id":130,"name":"Impact","value":""},{"id":150,"name":"Time of Event (Mountain Time)","value":"06:39:18"},{"id":151,"name":"Denver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19"/>
        <v>start /low /b %USERPROFILE%\Documents\GitHub\eaglep3\Utilities\DownloadLogsFromS3.py --loco 4030 --day 2017-05-15</v>
      </c>
      <c r="AN33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668</v>
      </c>
      <c r="B34" s="7">
        <v>4029</v>
      </c>
      <c r="C34" s="21" t="s">
        <v>206</v>
      </c>
      <c r="D34" s="21" t="s">
        <v>844</v>
      </c>
      <c r="E34" s="13">
        <v>42870.27921296296</v>
      </c>
      <c r="F34" s="13">
        <v>42870.289212962962</v>
      </c>
      <c r="G34" s="7">
        <v>3</v>
      </c>
      <c r="H34" s="21" t="s">
        <v>845</v>
      </c>
      <c r="I34" s="13">
        <v>42870.317650462966</v>
      </c>
      <c r="J34" s="7">
        <v>0</v>
      </c>
      <c r="K34" s="92" t="str">
        <f t="shared" si="0"/>
        <v>4029/4030</v>
      </c>
      <c r="L34" s="21" t="str">
        <f>VLOOKUP(A34,'Trips&amp;Operators'!$C$1:$G$99999,5,FALSE)</f>
        <v>YOUNG ELIZABETH</v>
      </c>
      <c r="M34" s="6">
        <f t="shared" si="1"/>
        <v>2.8437500004656613E-2</v>
      </c>
      <c r="N34" s="7">
        <f t="shared" si="21"/>
        <v>40.950000006705523</v>
      </c>
      <c r="O34" s="7"/>
      <c r="P34" s="7"/>
      <c r="Q34" s="22"/>
      <c r="R34" s="190"/>
      <c r="S34" s="196">
        <f t="shared" si="22"/>
        <v>1</v>
      </c>
      <c r="T34" s="190" t="str">
        <f t="shared" si="2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3"/>
        <v>https://d0f6bd738d7f1b3e5a7ca70fe4ff75f0.us-east-1.aws.found.io/app/kibana#/discover/Steve-Slow-Train-Analysis-(2080s-and-2083s)?_g=(refreshInterval:(display:Off,pause:!f,section:0,value:0),time:(from:'2017-05-15T05:42:04-0600',mode:absolute,to:'2017-05-15T08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4" s="192" t="str">
        <f t="shared" si="4"/>
        <v>N</v>
      </c>
      <c r="X34" s="192">
        <f t="shared" si="5"/>
        <v>1</v>
      </c>
      <c r="Y34" s="192">
        <f t="shared" si="6"/>
        <v>23.297699999999999</v>
      </c>
      <c r="Z34" s="192">
        <f t="shared" si="7"/>
        <v>1.7999999999999999E-2</v>
      </c>
      <c r="AA34" s="192">
        <f t="shared" si="8"/>
        <v>23.279699999999998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9"/>
        <v>0120-15</v>
      </c>
      <c r="AE34" s="80" t="str">
        <f t="shared" si="10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34" s="77" t="str">
        <f t="shared" si="11"/>
        <v>"C:\Program Files (x86)\AstroGrep\AstroGrep.exe" /e /r /s /spath="%USERPROFILE%\AppData\Local\Temp\OnboardLogs" /stypes="app*4029*20170515*" /stext=" 13:.+((SYSTEM_STATE.+slice.+state.+changed )|(ment ac)|(multiple cpu faults)|(system.+state.+changed )|(\[timeout)|(PRM\|1\|D)|(kpr)|(kdp)|(train st.+moving)|(\|lc)|(penalty))"</v>
      </c>
      <c r="AG34" s="1" t="str">
        <f t="shared" si="12"/>
        <v>EC</v>
      </c>
      <c r="AH34" s="81" t="str">
        <f t="shared" si="17"/>
        <v>"%USERPROFILE%\Documents\GitHub\eaglep3\Utilities\RefineRTDCRunTimes.py" --tripid 120-15 --locoid 4029 --swversion DE.1.0.9.0 --startMP 204:232977 --initTime 2017-05-15T06:42:04 --startdatetime 2017-05-15T06:56:28 --delay 3 --endMP 204:180 --enddatetime 2017-05-15T07:37:25 --enforcementcount 0 &gt;&gt;C:\Users\stu\Documents\GitHub\eaglep3-reporting\EC\2017-05-15-refined-times.txt</v>
      </c>
      <c r="AI34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{"issue":{"subject":"","project_id":79,"tracker_id":40,"status_id":1,"priority_id":2,"assigned_to_id":23,"start_date":"2017-05-15","description":"","custom_fields":[{"id":1,"name":"Subdivision","value":"EC"},{"id":4,"name":"Milepost","value":"0.018"},{"id":17,"name":"Train ID","value":"120-15"},{"id":16,"name":"Locomotive ID","value":"4029"},{"id":130,"name":"Impact","value":""},{"id":150,"name":"Time of Event (Mountain Time)","value":"07:37:25"},{"id":151,"name":"Denver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19"/>
        <v>start /low /b %USERPROFILE%\Documents\GitHub\eaglep3\Utilities\DownloadLogsFromS3.py --loco 4029 --day 2017-05-15</v>
      </c>
      <c r="AN34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662</v>
      </c>
      <c r="B35" s="7">
        <v>4016</v>
      </c>
      <c r="C35" s="21" t="s">
        <v>206</v>
      </c>
      <c r="D35" s="21" t="s">
        <v>352</v>
      </c>
      <c r="E35" s="13">
        <v>42870.256261574075</v>
      </c>
      <c r="F35" s="13">
        <v>42870.260717592595</v>
      </c>
      <c r="G35" s="7">
        <v>1</v>
      </c>
      <c r="H35" s="21" t="s">
        <v>846</v>
      </c>
      <c r="I35" s="13">
        <v>42870.286319444444</v>
      </c>
      <c r="J35" s="7">
        <v>0</v>
      </c>
      <c r="K35" s="92" t="str">
        <f t="shared" si="0"/>
        <v>4015/4016</v>
      </c>
      <c r="L35" s="21" t="str">
        <f>VLOOKUP(A35,'Trips&amp;Operators'!$C$1:$G$99999,5,FALSE)</f>
        <v>BONDS REYNALDO</v>
      </c>
      <c r="M35" s="6">
        <f t="shared" si="1"/>
        <v>2.5601851848477963E-2</v>
      </c>
      <c r="N35" s="7">
        <f t="shared" si="21"/>
        <v>36.866666661808267</v>
      </c>
      <c r="O35" s="7"/>
      <c r="P35" s="7"/>
      <c r="Q35" s="22"/>
      <c r="R35" s="190"/>
      <c r="S35" s="196">
        <f t="shared" si="22"/>
        <v>1</v>
      </c>
      <c r="T35" s="190" t="str">
        <f t="shared" si="2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3"/>
        <v>https://d0f6bd738d7f1b3e5a7ca70fe4ff75f0.us-east-1.aws.found.io/app/kibana#/discover/Steve-Slow-Train-Analysis-(2080s-and-2083s)?_g=(refreshInterval:(display:Off,pause:!f,section:0,value:0),time:(from:'2017-05-15T05:09:01-0600',mode:absolute,to:'2017-05-15T07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5" s="192" t="str">
        <f t="shared" si="4"/>
        <v>N</v>
      </c>
      <c r="X35" s="192">
        <f t="shared" si="5"/>
        <v>1</v>
      </c>
      <c r="Y35" s="192">
        <f t="shared" si="6"/>
        <v>4.4600000000000001E-2</v>
      </c>
      <c r="Z35" s="192">
        <f t="shared" si="7"/>
        <v>23.329799999999999</v>
      </c>
      <c r="AA35" s="192">
        <f t="shared" si="8"/>
        <v>23.2852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9"/>
        <v>0121-15</v>
      </c>
      <c r="AE35" s="80" t="str">
        <f t="shared" si="10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35" s="77" t="str">
        <f t="shared" si="11"/>
        <v>"C:\Program Files (x86)\AstroGrep\AstroGrep.exe" /e /r /s /spath="%USERPROFILE%\AppData\Local\Temp\OnboardLogs" /stypes="app*4016*20170515*" /stext=" 12:.+((SYSTEM_STATE.+slice.+state.+changed )|(ment ac)|(multiple cpu faults)|(system.+state.+changed )|(\[timeout)|(PRM\|1\|D)|(kpr)|(kdp)|(train st.+moving)|(\|lc)|(penalty))"</v>
      </c>
      <c r="AG35" s="1" t="str">
        <f t="shared" si="12"/>
        <v>EC</v>
      </c>
      <c r="AH35" s="81" t="str">
        <f t="shared" si="17"/>
        <v>"%USERPROFILE%\Documents\GitHub\eaglep3\Utilities\RefineRTDCRunTimes.py" --tripid 121-15 --locoid 4016 --swversion DE.1.0.9.0 --startMP 204:446 --initTime 2017-05-15T06:09:01 --startdatetime 2017-05-15T06:15:26 --delay 1 --endMP 204:233298 --enddatetime 2017-05-15T06:52:18 --enforcementcount 0 &gt;&gt;C:\Users\stu\Documents\GitHub\eaglep3-reporting\EC\2017-05-15-refined-times.txt</v>
      </c>
      <c r="AI3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{"issue":{"subject":"","project_id":79,"tracker_id":40,"status_id":1,"priority_id":2,"assigned_to_id":23,"start_date":"2017-05-15","description":"","custom_fields":[{"id":1,"name":"Subdivision","value":"EC"},{"id":4,"name":"Milepost","value":"23.3298"},{"id":17,"name":"Train ID","value":"121-15"},{"id":16,"name":"Locomotive ID","value":"4016"},{"id":130,"name":"Impact","value":""},{"id":150,"name":"Time of Event (Mountain Time)","value":"06:52:18"},{"id":151,"name":"Denver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19"/>
        <v>start /low /b %USERPROFILE%\Documents\GitHub\eaglep3\Utilities\DownloadLogsFromS3.py --loco 4016 --day 2017-05-15</v>
      </c>
      <c r="AN3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671</v>
      </c>
      <c r="B36" s="7">
        <v>4015</v>
      </c>
      <c r="C36" s="21" t="s">
        <v>206</v>
      </c>
      <c r="D36" s="21" t="s">
        <v>419</v>
      </c>
      <c r="E36" s="13">
        <v>42870.290729166663</v>
      </c>
      <c r="F36" s="13">
        <v>42870.299525462964</v>
      </c>
      <c r="G36" s="7">
        <v>0</v>
      </c>
      <c r="H36" s="21" t="s">
        <v>353</v>
      </c>
      <c r="I36" s="13">
        <v>42870.326898148145</v>
      </c>
      <c r="J36" s="7">
        <v>0</v>
      </c>
      <c r="K36" s="92" t="str">
        <f t="shared" si="0"/>
        <v>4015/4016</v>
      </c>
      <c r="L36" s="21" t="str">
        <f>VLOOKUP(A36,'Trips&amp;Operators'!$C$1:$G$99999,5,FALSE)</f>
        <v>BONDS REYNALDO</v>
      </c>
      <c r="M36" s="6">
        <f t="shared" si="1"/>
        <v>2.7372685181035195E-2</v>
      </c>
      <c r="N36" s="7">
        <f t="shared" si="21"/>
        <v>39.41666666069068</v>
      </c>
      <c r="O36" s="7"/>
      <c r="P36" s="7"/>
      <c r="Q36" s="22"/>
      <c r="R36" s="190"/>
      <c r="S36" s="196">
        <f t="shared" si="22"/>
        <v>1</v>
      </c>
      <c r="T36" s="190" t="str">
        <f t="shared" si="2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3"/>
        <v>https://d0f6bd738d7f1b3e5a7ca70fe4ff75f0.us-east-1.aws.found.io/app/kibana#/discover/Steve-Slow-Train-Analysis-(2080s-and-2083s)?_g=(refreshInterval:(display:Off,pause:!f,section:0,value:0),time:(from:'2017-05-15T05:58:39-0600',mode:absolute,to:'2017-05-15T08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6" s="192" t="str">
        <f t="shared" si="4"/>
        <v>N</v>
      </c>
      <c r="X36" s="192">
        <f t="shared" si="5"/>
        <v>1</v>
      </c>
      <c r="Y36" s="192">
        <f t="shared" si="6"/>
        <v>23.299399999999999</v>
      </c>
      <c r="Z36" s="192">
        <f t="shared" si="7"/>
        <v>1.4500000000000001E-2</v>
      </c>
      <c r="AA36" s="192">
        <f t="shared" si="8"/>
        <v>23.284899999999997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9"/>
        <v>0122-15</v>
      </c>
      <c r="AE36" s="80" t="str">
        <f t="shared" si="10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36" s="77" t="str">
        <f t="shared" si="11"/>
        <v>"C:\Program Files (x86)\AstroGrep\AstroGrep.exe" /e /r /s /spath="%USERPROFILE%\AppData\Local\Temp\OnboardLogs" /stypes="app*4015*20170515*" /stext=" 13:.+((SYSTEM_STATE.+slice.+state.+changed )|(ment ac)|(multiple cpu faults)|(system.+state.+changed )|(\[timeout)|(PRM\|1\|D)|(kpr)|(kdp)|(train st.+moving)|(\|lc)|(penalty))"</v>
      </c>
      <c r="AG36" s="1" t="str">
        <f t="shared" si="12"/>
        <v>EC</v>
      </c>
      <c r="AH36" s="81" t="str">
        <f t="shared" si="17"/>
        <v>"%USERPROFILE%\Documents\GitHub\eaglep3\Utilities\RefineRTDCRunTimes.py" --tripid 122-15 --locoid 4015 --swversion DE.1.0.9.0 --startMP 204:232994 --initTime 2017-05-15T06:58:39 --startdatetime 2017-05-15T07:11:19 --delay 0 --endMP 204:145 --enddatetime 2017-05-15T07:50:44 --enforcementcount 0 &gt;&gt;C:\Users\stu\Documents\GitHub\eaglep3-reporting\EC\2017-05-15-refined-times.txt</v>
      </c>
      <c r="AI3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{"issue":{"subject":"","project_id":79,"tracker_id":40,"status_id":1,"priority_id":2,"assigned_to_id":23,"start_date":"2017-05-15","description":"","custom_fields":[{"id":1,"name":"Subdivision","value":"EC"},{"id":4,"name":"Milepost","value":"0.0145"},{"id":17,"name":"Train ID","value":"122-15"},{"id":16,"name":"Locomotive ID","value":"4015"},{"id":130,"name":"Impact","value":""},{"id":150,"name":"Time of Event (Mountain Time)","value":"07:50:44"},{"id":151,"name":"Denver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19"/>
        <v>start /low /b %USERPROFILE%\Documents\GitHub\eaglep3\Utilities\DownloadLogsFromS3.py --loco 4015 --day 2017-05-15</v>
      </c>
      <c r="AN3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581</v>
      </c>
      <c r="B37" s="7">
        <v>4026</v>
      </c>
      <c r="C37" s="21" t="s">
        <v>206</v>
      </c>
      <c r="D37" s="21" t="s">
        <v>366</v>
      </c>
      <c r="E37" s="13">
        <v>42870.268391203703</v>
      </c>
      <c r="F37" s="13">
        <v>42870.271284722221</v>
      </c>
      <c r="G37" s="7">
        <v>1</v>
      </c>
      <c r="H37" s="21" t="s">
        <v>847</v>
      </c>
      <c r="I37" s="13">
        <v>42870.29515046296</v>
      </c>
      <c r="J37" s="7">
        <v>0</v>
      </c>
      <c r="K37" s="92" t="str">
        <f t="shared" si="0"/>
        <v>4025/4026</v>
      </c>
      <c r="L37" s="21" t="str">
        <f>VLOOKUP(A37,'Trips&amp;Operators'!$C$1:$G$99999,5,FALSE)</f>
        <v>MACDONALD THOMAS</v>
      </c>
      <c r="M37" s="6">
        <f t="shared" si="1"/>
        <v>2.3865740738983732E-2</v>
      </c>
      <c r="N37" s="7">
        <f t="shared" si="21"/>
        <v>34.366666664136574</v>
      </c>
      <c r="O37" s="7"/>
      <c r="P37" s="7"/>
      <c r="Q37" s="22"/>
      <c r="R37" s="190"/>
      <c r="S37" s="196">
        <f t="shared" si="22"/>
        <v>1</v>
      </c>
      <c r="T37" s="190" t="str">
        <f t="shared" si="2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3"/>
        <v>https://d0f6bd738d7f1b3e5a7ca70fe4ff75f0.us-east-1.aws.found.io/app/kibana#/discover/Steve-Slow-Train-Analysis-(2080s-and-2083s)?_g=(refreshInterval:(display:Off,pause:!f,section:0,value:0),time:(from:'2017-05-15T05:26:29-0600',mode:absolute,to:'2017-05-15T08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7" s="192" t="str">
        <f t="shared" si="4"/>
        <v>N</v>
      </c>
      <c r="X37" s="192">
        <f t="shared" si="5"/>
        <v>1</v>
      </c>
      <c r="Y37" s="192">
        <f t="shared" si="6"/>
        <v>4.53E-2</v>
      </c>
      <c r="Z37" s="192">
        <f t="shared" si="7"/>
        <v>23.3263</v>
      </c>
      <c r="AA37" s="192">
        <f t="shared" si="8"/>
        <v>23.280999999999999</v>
      </c>
      <c r="AB37" s="57" t="str">
        <f>VLOOKUP(A37,Enforcements!$C$7:$K$13,8,0)</f>
        <v>Bulletin (2)</v>
      </c>
      <c r="AC37" s="53" t="str">
        <f>VLOOKUP(A37,Enforcements!$C$7:$E$13,3,0)</f>
        <v>GRADE CROSSING</v>
      </c>
      <c r="AD37" s="54" t="str">
        <f t="shared" si="9"/>
        <v>0123-15</v>
      </c>
      <c r="AE37" s="80" t="str">
        <f t="shared" si="10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37" s="77" t="str">
        <f t="shared" si="11"/>
        <v>"C:\Program Files (x86)\AstroGrep\AstroGrep.exe" /e /r /s /spath="%USERPROFILE%\AppData\Local\Temp\OnboardLogs" /stypes="app*4026*20170515*" /stext=" 13:.+((SYSTEM_STATE.+slice.+state.+changed )|(ment ac)|(multiple cpu faults)|(system.+state.+changed )|(\[timeout)|(PRM\|1\|D)|(kpr)|(kdp)|(train st.+moving)|(\|lc)|(penalty))"</v>
      </c>
      <c r="AG37" s="1" t="str">
        <f t="shared" si="12"/>
        <v>EC</v>
      </c>
      <c r="AH37" s="81" t="str">
        <f t="shared" si="17"/>
        <v>"%USERPROFILE%\Documents\GitHub\eaglep3\Utilities\RefineRTDCRunTimes.py" --tripid 123-15 --locoid 4026 --swversion DE.1.0.9.0 --startMP 204:453 --initTime 2017-05-15T06:26:29 --startdatetime 2017-05-15T06:30:39 --delay 1 --endMP 204:233263 --enddatetime 2017-05-15T07:05:01 --enforcementcount 0 &gt;&gt;C:\Users\stu\Documents\GitHub\eaglep3-reporting\EC\2017-05-15-refined-times.txt</v>
      </c>
      <c r="AI3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{"issue":{"subject":"","project_id":79,"tracker_id":40,"status_id":1,"priority_id":2,"assigned_to_id":23,"start_date":"2017-05-15","description":"","custom_fields":[{"id":1,"name":"Subdivision","value":"EC"},{"id":4,"name":"Milepost","value":"23.3263"},{"id":17,"name":"Train ID","value":"123-15"},{"id":16,"name":"Locomotive ID","value":"4026"},{"id":130,"name":"Impact","value":""},{"id":150,"name":"Time of Event (Mountain Time)","value":"07:05:01"},{"id":151,"name":"Denver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19"/>
        <v>start /low /b %USERPROFILE%\Documents\GitHub\eaglep3\Utilities\DownloadLogsFromS3.py --loco 4026 --day 2017-05-15</v>
      </c>
      <c r="AN3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673</v>
      </c>
      <c r="B38" s="7">
        <v>4025</v>
      </c>
      <c r="C38" s="21" t="s">
        <v>206</v>
      </c>
      <c r="D38" s="21" t="s">
        <v>848</v>
      </c>
      <c r="E38" s="13">
        <v>42870.306180555555</v>
      </c>
      <c r="F38" s="13">
        <v>42870.310034722221</v>
      </c>
      <c r="G38" s="7">
        <v>1</v>
      </c>
      <c r="H38" s="21" t="s">
        <v>197</v>
      </c>
      <c r="I38" s="13">
        <v>42870.336111111108</v>
      </c>
      <c r="J38" s="7">
        <v>0</v>
      </c>
      <c r="K38" s="92" t="str">
        <f t="shared" si="0"/>
        <v>4025/4026</v>
      </c>
      <c r="L38" s="21" t="str">
        <f>VLOOKUP(A38,'Trips&amp;Operators'!$C$1:$G$99999,5,FALSE)</f>
        <v>MACDONALD THOMAS</v>
      </c>
      <c r="M38" s="6">
        <f t="shared" si="1"/>
        <v>2.6076388887304347E-2</v>
      </c>
      <c r="N38" s="7">
        <f t="shared" si="21"/>
        <v>37.54999999771826</v>
      </c>
      <c r="O38" s="7"/>
      <c r="P38" s="7"/>
      <c r="Q38" s="22"/>
      <c r="R38" s="190"/>
      <c r="S38" s="196">
        <f t="shared" si="22"/>
        <v>1</v>
      </c>
      <c r="T38" s="190" t="str">
        <f t="shared" si="2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3"/>
        <v>https://d0f6bd738d7f1b3e5a7ca70fe4ff75f0.us-east-1.aws.found.io/app/kibana#/discover/Steve-Slow-Train-Analysis-(2080s-and-2083s)?_g=(refreshInterval:(display:Off,pause:!f,section:0,value:0),time:(from:'2017-05-15T06:20:54-0600',mode:absolute,to:'2017-05-15T09:04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8" s="192" t="str">
        <f t="shared" si="4"/>
        <v>N</v>
      </c>
      <c r="X38" s="192">
        <f t="shared" si="5"/>
        <v>1</v>
      </c>
      <c r="Y38" s="192">
        <f t="shared" si="6"/>
        <v>23.295000000000002</v>
      </c>
      <c r="Z38" s="192">
        <f t="shared" si="7"/>
        <v>1.52E-2</v>
      </c>
      <c r="AA38" s="192">
        <f t="shared" si="8"/>
        <v>23.279800000000002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9"/>
        <v>0124-15</v>
      </c>
      <c r="AE38" s="80" t="str">
        <f t="shared" si="10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38" s="77" t="str">
        <f t="shared" si="11"/>
        <v>"C:\Program Files (x86)\AstroGrep\AstroGrep.exe" /e /r /s /spath="%USERPROFILE%\AppData\Local\Temp\OnboardLogs" /stypes="app*4025*20170515*" /stext=" 14:.+((SYSTEM_STATE.+slice.+state.+changed )|(ment ac)|(multiple cpu faults)|(system.+state.+changed )|(\[timeout)|(PRM\|1\|D)|(kpr)|(kdp)|(train st.+moving)|(\|lc)|(penalty))"</v>
      </c>
      <c r="AG38" s="1" t="str">
        <f t="shared" si="12"/>
        <v>EC</v>
      </c>
      <c r="AH38" s="81" t="str">
        <f t="shared" si="17"/>
        <v>"%USERPROFILE%\Documents\GitHub\eaglep3\Utilities\RefineRTDCRunTimes.py" --tripid 124-15 --locoid 4025 --swversion DE.1.0.9.0 --startMP 204:232950 --initTime 2017-05-15T07:20:54 --startdatetime 2017-05-15T07:26:27 --delay 1 --endMP 204:152 --enddatetime 2017-05-15T08:04:00 --enforcementcount 0 &gt;&gt;C:\Users\stu\Documents\GitHub\eaglep3-reporting\EC\2017-05-15-refined-times.txt</v>
      </c>
      <c r="AI38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{"issue":{"subject":"","project_id":79,"tracker_id":40,"status_id":1,"priority_id":2,"assigned_to_id":23,"start_date":"2017-05-15","description":"","custom_fields":[{"id":1,"name":"Subdivision","value":"EC"},{"id":4,"name":"Milepost","value":"0.0152"},{"id":17,"name":"Train ID","value":"124-15"},{"id":16,"name":"Locomotive ID","value":"4025"},{"id":130,"name":"Impact","value":""},{"id":150,"name":"Time of Event (Mountain Time)","value":"08:04:00"},{"id":151,"name":"Denver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19"/>
        <v>start /low /b %USERPROFILE%\Documents\GitHub\eaglep3\Utilities\DownloadLogsFromS3.py --loco 4025 --day 2017-05-15</v>
      </c>
      <c r="AN38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14:04:00"},{"id":29,"name":"Sharepoint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666</v>
      </c>
      <c r="B39" s="7">
        <v>4052</v>
      </c>
      <c r="C39" s="21" t="s">
        <v>206</v>
      </c>
      <c r="D39" s="21" t="s">
        <v>849</v>
      </c>
      <c r="E39" s="13">
        <v>42870.274629629632</v>
      </c>
      <c r="F39" s="13">
        <v>42870.281608796293</v>
      </c>
      <c r="G39" s="7">
        <v>0</v>
      </c>
      <c r="H39" s="21" t="s">
        <v>850</v>
      </c>
      <c r="I39" s="13">
        <v>42870.305914351855</v>
      </c>
      <c r="J39" s="7">
        <v>0</v>
      </c>
      <c r="K39" s="92" t="str">
        <f t="shared" si="0"/>
        <v>4051/4052</v>
      </c>
      <c r="L39" s="21" t="str">
        <f>VLOOKUP(A39,'Trips&amp;Operators'!$C$1:$G$99999,5,FALSE)</f>
        <v>YORK EDGAR</v>
      </c>
      <c r="M39" s="6">
        <f t="shared" si="1"/>
        <v>2.4305555562023073E-2</v>
      </c>
      <c r="N39" s="7">
        <f t="shared" si="21"/>
        <v>35.000000009313226</v>
      </c>
      <c r="O39" s="7"/>
      <c r="P39" s="7"/>
      <c r="Q39" s="22"/>
      <c r="R39" s="190"/>
      <c r="S39" s="196">
        <f t="shared" si="22"/>
        <v>1</v>
      </c>
      <c r="T39" s="190" t="str">
        <f t="shared" si="2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3"/>
        <v>https://d0f6bd738d7f1b3e5a7ca70fe4ff75f0.us-east-1.aws.found.io/app/kibana#/discover/Steve-Slow-Train-Analysis-(2080s-and-2083s)?_g=(refreshInterval:(display:Off,pause:!f,section:0,value:0),time:(from:'2017-05-15T05:35:28-0600',mode:absolute,to:'2017-05-15T08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9" s="192" t="str">
        <f t="shared" si="4"/>
        <v>N</v>
      </c>
      <c r="X39" s="192">
        <f t="shared" si="5"/>
        <v>1</v>
      </c>
      <c r="Y39" s="192">
        <f t="shared" si="6"/>
        <v>4.6899999999999997E-2</v>
      </c>
      <c r="Z39" s="192">
        <f t="shared" si="7"/>
        <v>23.330400000000001</v>
      </c>
      <c r="AA39" s="192">
        <f t="shared" si="8"/>
        <v>23.2835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9"/>
        <v>0125-15</v>
      </c>
      <c r="AE39" s="80" t="str">
        <f t="shared" si="10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39" s="77" t="str">
        <f t="shared" si="11"/>
        <v>"C:\Program Files (x86)\AstroGrep\AstroGrep.exe" /e /r /s /spath="%USERPROFILE%\AppData\Local\Temp\OnboardLogs" /stypes="app*4052*20170515*" /stext=" 13:.+((SYSTEM_STATE.+slice.+state.+changed )|(ment ac)|(multiple cpu faults)|(system.+state.+changed )|(\[timeout)|(PRM\|1\|D)|(kpr)|(kdp)|(train st.+moving)|(\|lc)|(penalty))"</v>
      </c>
      <c r="AG39" s="1" t="str">
        <f t="shared" si="12"/>
        <v>EC</v>
      </c>
      <c r="AH39" s="81" t="str">
        <f t="shared" si="17"/>
        <v>"%USERPROFILE%\Documents\GitHub\eaglep3\Utilities\RefineRTDCRunTimes.py" --tripid 125-15 --locoid 4052 --swversion DE.1.0.9.0 --startMP 204:469 --initTime 2017-05-15T06:35:28 --startdatetime 2017-05-15T06:45:31 --delay 0 --endMP 204:233304 --enddatetime 2017-05-15T07:20:31 --enforcementcount 0 &gt;&gt;C:\Users\stu\Documents\GitHub\eaglep3-reporting\EC\2017-05-15-refined-times.txt</v>
      </c>
      <c r="AI39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{"issue":{"subject":"","project_id":79,"tracker_id":40,"status_id":1,"priority_id":2,"assigned_to_id":23,"start_date":"2017-05-15","description":"","custom_fields":[{"id":1,"name":"Subdivision","value":"EC"},{"id":4,"name":"Milepost","value":"23.3304"},{"id":17,"name":"Train ID","value":"125-15"},{"id":16,"name":"Locomotive ID","value":"4052"},{"id":130,"name":"Impact","value":""},{"id":150,"name":"Time of Event (Mountain Time)","value":"07:20:31"},{"id":151,"name":"Denver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19"/>
        <v>start /low /b %USERPROFILE%\Documents\GitHub\eaglep3\Utilities\DownloadLogsFromS3.py --loco 4052 --day 2017-05-15</v>
      </c>
      <c r="AN39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675</v>
      </c>
      <c r="B40" s="7">
        <v>4051</v>
      </c>
      <c r="C40" s="21" t="s">
        <v>206</v>
      </c>
      <c r="D40" s="21" t="s">
        <v>546</v>
      </c>
      <c r="E40" s="13">
        <v>42870.307893518519</v>
      </c>
      <c r="F40" s="13">
        <v>42870.320671296293</v>
      </c>
      <c r="G40" s="7">
        <v>1</v>
      </c>
      <c r="H40" s="21" t="s">
        <v>360</v>
      </c>
      <c r="I40" s="13">
        <v>42870.346435185187</v>
      </c>
      <c r="J40" s="7">
        <v>0</v>
      </c>
      <c r="K40" s="92" t="str">
        <f t="shared" si="0"/>
        <v>4051/4052</v>
      </c>
      <c r="L40" s="21" t="str">
        <f>VLOOKUP(A40,'Trips&amp;Operators'!$C$1:$G$99999,5,FALSE)</f>
        <v>YORK EDGAR</v>
      </c>
      <c r="M40" s="6">
        <f t="shared" si="1"/>
        <v>2.5763888894289266E-2</v>
      </c>
      <c r="N40" s="7">
        <f t="shared" si="21"/>
        <v>37.100000007776543</v>
      </c>
      <c r="O40" s="7"/>
      <c r="P40" s="7"/>
      <c r="Q40" s="22"/>
      <c r="R40" s="190"/>
      <c r="S40" s="196">
        <f t="shared" si="22"/>
        <v>1</v>
      </c>
      <c r="T40" s="190" t="str">
        <f t="shared" si="2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3"/>
        <v>https://d0f6bd738d7f1b3e5a7ca70fe4ff75f0.us-east-1.aws.found.io/app/kibana#/discover/Steve-Slow-Train-Analysis-(2080s-and-2083s)?_g=(refreshInterval:(display:Off,pause:!f,section:0,value:0),time:(from:'2017-05-15T06:23:22-0600',mode:absolute,to:'2017-05-15T09:18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0" s="192" t="str">
        <f t="shared" si="4"/>
        <v>N</v>
      </c>
      <c r="X40" s="192">
        <f t="shared" si="5"/>
        <v>1</v>
      </c>
      <c r="Y40" s="192">
        <f t="shared" si="6"/>
        <v>23.2974</v>
      </c>
      <c r="Z40" s="192">
        <f t="shared" si="7"/>
        <v>1.43E-2</v>
      </c>
      <c r="AA40" s="192">
        <f t="shared" si="8"/>
        <v>23.283100000000001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9"/>
        <v>0126-15</v>
      </c>
      <c r="AE40" s="80" t="str">
        <f t="shared" si="10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40" s="77" t="str">
        <f t="shared" si="11"/>
        <v>"C:\Program Files (x86)\AstroGrep\AstroGrep.exe" /e /r /s /spath="%USERPROFILE%\AppData\Local\Temp\OnboardLogs" /stypes="app*4051*20170515*" /stext=" 14:.+((SYSTEM_STATE.+slice.+state.+changed )|(ment ac)|(multiple cpu faults)|(system.+state.+changed )|(\[timeout)|(PRM\|1\|D)|(kpr)|(kdp)|(train st.+moving)|(\|lc)|(penalty))"</v>
      </c>
      <c r="AG40" s="1" t="str">
        <f t="shared" si="12"/>
        <v>EC</v>
      </c>
      <c r="AH40" s="81" t="str">
        <f t="shared" si="17"/>
        <v>"%USERPROFILE%\Documents\GitHub\eaglep3\Utilities\RefineRTDCRunTimes.py" --tripid 126-15 --locoid 4051 --swversion DE.1.0.9.0 --startMP 204:232974 --initTime 2017-05-15T07:23:22 --startdatetime 2017-05-15T07:41:46 --delay 1 --endMP 204:143 --enddatetime 2017-05-15T08:18:52 --enforcementcount 0 &gt;&gt;C:\Users\stu\Documents\GitHub\eaglep3-reporting\EC\2017-05-15-refined-times.txt</v>
      </c>
      <c r="AI40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{"issue":{"subject":"","project_id":79,"tracker_id":40,"status_id":1,"priority_id":2,"assigned_to_id":23,"start_date":"2017-05-15","description":"","custom_fields":[{"id":1,"name":"Subdivision","value":"EC"},{"id":4,"name":"Milepost","value":"0.0143"},{"id":17,"name":"Train ID","value":"126-15"},{"id":16,"name":"Locomotive ID","value":"4051"},{"id":130,"name":"Impact","value":""},{"id":150,"name":"Time of Event (Mountain Time)","value":"08:18:52"},{"id":151,"name":"Denver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19"/>
        <v>start /low /b %USERPROFILE%\Documents\GitHub\eaglep3\Utilities\DownloadLogsFromS3.py --loco 4051 --day 2017-05-15</v>
      </c>
      <c r="AN40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14:18:52"},{"id":29,"name":"Sharepoint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669</v>
      </c>
      <c r="B41" s="7">
        <v>4028</v>
      </c>
      <c r="C41" s="21" t="s">
        <v>206</v>
      </c>
      <c r="D41" s="21" t="s">
        <v>851</v>
      </c>
      <c r="E41" s="13">
        <v>42870.287754629629</v>
      </c>
      <c r="F41" s="13">
        <v>42870.29184027778</v>
      </c>
      <c r="G41" s="7">
        <v>1</v>
      </c>
      <c r="H41" s="21" t="s">
        <v>852</v>
      </c>
      <c r="I41" s="13">
        <v>42870.316307870373</v>
      </c>
      <c r="J41" s="7">
        <v>0</v>
      </c>
      <c r="K41" s="92" t="str">
        <f t="shared" si="0"/>
        <v>4027/4028</v>
      </c>
      <c r="L41" s="21" t="str">
        <f>VLOOKUP(A41,'Trips&amp;Operators'!$C$1:$G$99999,5,FALSE)</f>
        <v>SANTIZO D. EDY</v>
      </c>
      <c r="M41" s="6">
        <f t="shared" si="1"/>
        <v>2.4467592593282461E-2</v>
      </c>
      <c r="N41" s="7">
        <f t="shared" si="21"/>
        <v>35.233333334326744</v>
      </c>
      <c r="O41" s="7"/>
      <c r="P41" s="7"/>
      <c r="Q41" s="22"/>
      <c r="R41" s="190"/>
      <c r="S41" s="196">
        <f t="shared" si="22"/>
        <v>1</v>
      </c>
      <c r="T41" s="190" t="str">
        <f t="shared" si="2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3"/>
        <v>https://d0f6bd738d7f1b3e5a7ca70fe4ff75f0.us-east-1.aws.found.io/app/kibana#/discover/Steve-Slow-Train-Analysis-(2080s-and-2083s)?_g=(refreshInterval:(display:Off,pause:!f,section:0,value:0),time:(from:'2017-05-15T05:54:22-0600',mode:absolute,to:'2017-05-15T08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1" s="192" t="str">
        <f t="shared" si="4"/>
        <v>N</v>
      </c>
      <c r="X41" s="192">
        <f t="shared" si="5"/>
        <v>1</v>
      </c>
      <c r="Y41" s="192">
        <f t="shared" si="6"/>
        <v>4.9299999999999997E-2</v>
      </c>
      <c r="Z41" s="192">
        <f t="shared" si="7"/>
        <v>23.330300000000001</v>
      </c>
      <c r="AA41" s="192">
        <f t="shared" si="8"/>
        <v>23.281000000000002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9"/>
        <v>0127-15</v>
      </c>
      <c r="AE41" s="80" t="str">
        <f t="shared" si="10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41" s="77" t="str">
        <f t="shared" si="11"/>
        <v>"C:\Program Files (x86)\AstroGrep\AstroGrep.exe" /e /r /s /spath="%USERPROFILE%\AppData\Local\Temp\OnboardLogs" /stypes="app*4028*20170515*" /stext=" 13:.+((SYSTEM_STATE.+slice.+state.+changed )|(ment ac)|(multiple cpu faults)|(system.+state.+changed )|(\[timeout)|(PRM\|1\|D)|(kpr)|(kdp)|(train st.+moving)|(\|lc)|(penalty))"</v>
      </c>
      <c r="AG41" s="1" t="str">
        <f t="shared" si="12"/>
        <v>EC</v>
      </c>
      <c r="AH41" s="81" t="str">
        <f t="shared" si="17"/>
        <v>"%USERPROFILE%\Documents\GitHub\eaglep3\Utilities\RefineRTDCRunTimes.py" --tripid 127-15 --locoid 4028 --swversion DE.1.0.9.0 --startMP 204:493 --initTime 2017-05-15T06:54:22 --startdatetime 2017-05-15T07:00:15 --delay 1 --endMP 204:233303 --enddatetime 2017-05-15T07:35:29 --enforcementcount 0 &gt;&gt;C:\Users\stu\Documents\GitHub\eaglep3-reporting\EC\2017-05-15-refined-times.txt</v>
      </c>
      <c r="AI41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{"issue":{"subject":"","project_id":79,"tracker_id":40,"status_id":1,"priority_id":2,"assigned_to_id":23,"start_date":"2017-05-15","description":"","custom_fields":[{"id":1,"name":"Subdivision","value":"EC"},{"id":4,"name":"Milepost","value":"23.3303"},{"id":17,"name":"Train ID","value":"127-15"},{"id":16,"name":"Locomotive ID","value":"4028"},{"id":130,"name":"Impact","value":""},{"id":150,"name":"Time of Event (Mountain Time)","value":"07:35:29"},{"id":151,"name":"Denver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19"/>
        <v>start /low /b %USERPROFILE%\Documents\GitHub\eaglep3\Utilities\DownloadLogsFromS3.py --loco 4028 --day 2017-05-15</v>
      </c>
      <c r="AN41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677</v>
      </c>
      <c r="B42" s="7">
        <v>4027</v>
      </c>
      <c r="C42" s="21" t="s">
        <v>206</v>
      </c>
      <c r="D42" s="21" t="s">
        <v>553</v>
      </c>
      <c r="E42" s="13">
        <v>42870.317256944443</v>
      </c>
      <c r="F42" s="13">
        <v>42870.330752314818</v>
      </c>
      <c r="G42" s="7">
        <v>1</v>
      </c>
      <c r="H42" s="21" t="s">
        <v>369</v>
      </c>
      <c r="I42" s="13">
        <v>42870.357511574075</v>
      </c>
      <c r="J42" s="7">
        <v>0</v>
      </c>
      <c r="K42" s="92" t="str">
        <f t="shared" si="0"/>
        <v>4027/4028</v>
      </c>
      <c r="L42" s="21" t="str">
        <f>VLOOKUP(A42,'Trips&amp;Operators'!$C$1:$G$99999,5,FALSE)</f>
        <v>SANTIZO D. EDY</v>
      </c>
      <c r="M42" s="6">
        <f t="shared" si="1"/>
        <v>2.675925925723277E-2</v>
      </c>
      <c r="N42" s="7">
        <f t="shared" si="21"/>
        <v>38.533333330415189</v>
      </c>
      <c r="O42" s="7"/>
      <c r="P42" s="7"/>
      <c r="Q42" s="22"/>
      <c r="R42" s="190"/>
      <c r="S42" s="196">
        <f t="shared" si="22"/>
        <v>1</v>
      </c>
      <c r="T42" s="190" t="str">
        <f t="shared" si="2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3"/>
        <v>https://d0f6bd738d7f1b3e5a7ca70fe4ff75f0.us-east-1.aws.found.io/app/kibana#/discover/Steve-Slow-Train-Analysis-(2080s-and-2083s)?_g=(refreshInterval:(display:Off,pause:!f,section:0,value:0),time:(from:'2017-05-15T06:36:51-0600',mode:absolute,to:'2017-05-15T09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2" s="192" t="str">
        <f t="shared" si="4"/>
        <v>N</v>
      </c>
      <c r="X42" s="192">
        <f t="shared" si="5"/>
        <v>1</v>
      </c>
      <c r="Y42" s="192">
        <f t="shared" si="6"/>
        <v>23.296700000000001</v>
      </c>
      <c r="Z42" s="192">
        <f t="shared" si="7"/>
        <v>1.3899999999999999E-2</v>
      </c>
      <c r="AA42" s="192">
        <f t="shared" si="8"/>
        <v>23.282800000000002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9"/>
        <v>0128-15</v>
      </c>
      <c r="AE42" s="80" t="str">
        <f t="shared" si="10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42" s="77" t="str">
        <f t="shared" si="11"/>
        <v>"C:\Program Files (x86)\AstroGrep\AstroGrep.exe" /e /r /s /spath="%USERPROFILE%\AppData\Local\Temp\OnboardLogs" /stypes="app*4027*20170515*" /stext=" 14:.+((SYSTEM_STATE.+slice.+state.+changed )|(ment ac)|(multiple cpu faults)|(system.+state.+changed )|(\[timeout)|(PRM\|1\|D)|(kpr)|(kdp)|(train st.+moving)|(\|lc)|(penalty))"</v>
      </c>
      <c r="AG42" s="1" t="str">
        <f t="shared" si="12"/>
        <v>EC</v>
      </c>
      <c r="AH42" s="81" t="str">
        <f t="shared" si="17"/>
        <v>"%USERPROFILE%\Documents\GitHub\eaglep3\Utilities\RefineRTDCRunTimes.py" --tripid 128-15 --locoid 4027 --swversion DE.1.0.9.0 --startMP 204:232967 --initTime 2017-05-15T07:36:51 --startdatetime 2017-05-15T07:56:17 --delay 1 --endMP 204:139 --enddatetime 2017-05-15T08:34:49 --enforcementcount 0 &gt;&gt;C:\Users\stu\Documents\GitHub\eaglep3-reporting\EC\2017-05-15-refined-times.txt</v>
      </c>
      <c r="AI42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{"issue":{"subject":"","project_id":79,"tracker_id":40,"status_id":1,"priority_id":2,"assigned_to_id":23,"start_date":"2017-05-15","description":"","custom_fields":[{"id":1,"name":"Subdivision","value":"EC"},{"id":4,"name":"Milepost","value":"0.0139"},{"id":17,"name":"Train ID","value":"128-15"},{"id":16,"name":"Locomotive ID","value":"4027"},{"id":130,"name":"Impact","value":""},{"id":150,"name":"Time of Event (Mountain Time)","value":"08:34:49"},{"id":151,"name":"Denver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19"/>
        <v>start /low /b %USERPROFILE%\Documents\GitHub\eaglep3\Utilities\DownloadLogsFromS3.py --loco 4027 --day 2017-05-15</v>
      </c>
      <c r="AN42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672</v>
      </c>
      <c r="B43" s="7">
        <v>4010</v>
      </c>
      <c r="C43" s="21" t="s">
        <v>206</v>
      </c>
      <c r="D43" s="21" t="s">
        <v>347</v>
      </c>
      <c r="E43" s="13">
        <v>42870.29991898148</v>
      </c>
      <c r="F43" s="13">
        <v>42870.302268518521</v>
      </c>
      <c r="G43" s="7">
        <v>1</v>
      </c>
      <c r="H43" s="21" t="s">
        <v>853</v>
      </c>
      <c r="I43" s="13">
        <v>42870.327013888891</v>
      </c>
      <c r="J43" s="7">
        <v>0</v>
      </c>
      <c r="K43" s="92" t="str">
        <f t="shared" si="0"/>
        <v>4009/4010</v>
      </c>
      <c r="L43" s="21" t="str">
        <f>VLOOKUP(A43,'Trips&amp;Operators'!$C$1:$G$99999,5,FALSE)</f>
        <v>ROBINSON KADDIBA</v>
      </c>
      <c r="M43" s="6">
        <f t="shared" si="1"/>
        <v>2.47453703705105E-2</v>
      </c>
      <c r="N43" s="7">
        <f t="shared" si="21"/>
        <v>35.63333333353512</v>
      </c>
      <c r="O43" s="7"/>
      <c r="P43" s="7"/>
      <c r="Q43" s="22"/>
      <c r="R43" s="190"/>
      <c r="S43" s="196">
        <f t="shared" si="22"/>
        <v>1</v>
      </c>
      <c r="T43" s="190" t="str">
        <f t="shared" si="2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3"/>
        <v>https://d0f6bd738d7f1b3e5a7ca70fe4ff75f0.us-east-1.aws.found.io/app/kibana#/discover/Steve-Slow-Train-Analysis-(2080s-and-2083s)?_g=(refreshInterval:(display:Off,pause:!f,section:0,value:0),time:(from:'2017-05-15T06:11:53-0600',mode:absolute,to:'2017-05-15T08:50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3" s="192" t="str">
        <f t="shared" si="4"/>
        <v>N</v>
      </c>
      <c r="X43" s="192">
        <f t="shared" si="5"/>
        <v>1</v>
      </c>
      <c r="Y43" s="192">
        <f t="shared" si="6"/>
        <v>4.4900000000000002E-2</v>
      </c>
      <c r="Z43" s="192">
        <f t="shared" si="7"/>
        <v>23.328700000000001</v>
      </c>
      <c r="AA43" s="192">
        <f t="shared" si="8"/>
        <v>23.283800000000003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9"/>
        <v>0129-15</v>
      </c>
      <c r="AE43" s="80" t="str">
        <f t="shared" si="10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43" s="77" t="str">
        <f t="shared" si="11"/>
        <v>"C:\Program Files (x86)\AstroGrep\AstroGrep.exe" /e /r /s /spath="%USERPROFILE%\AppData\Local\Temp\OnboardLogs" /stypes="app*4010*20170515*" /stext=" 13:.+((SYSTEM_STATE.+slice.+state.+changed )|(ment ac)|(multiple cpu faults)|(system.+state.+changed )|(\[timeout)|(PRM\|1\|D)|(kpr)|(kdp)|(train st.+moving)|(\|lc)|(penalty))"</v>
      </c>
      <c r="AG43" s="1" t="str">
        <f t="shared" si="12"/>
        <v>EC</v>
      </c>
      <c r="AH43" s="81" t="str">
        <f t="shared" si="17"/>
        <v>"%USERPROFILE%\Documents\GitHub\eaglep3\Utilities\RefineRTDCRunTimes.py" --tripid 129-15 --locoid 4010 --swversion DE.1.0.9.0 --startMP 204:449 --initTime 2017-05-15T07:11:53 --startdatetime 2017-05-15T07:15:16 --delay 1 --endMP 204:233287 --enddatetime 2017-05-15T07:50:54 --enforcementcount 0 &gt;&gt;C:\Users\stu\Documents\GitHub\eaglep3-reporting\EC\2017-05-15-refined-times.txt</v>
      </c>
      <c r="AI43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{"issue":{"subject":"","project_id":79,"tracker_id":40,"status_id":1,"priority_id":2,"assigned_to_id":23,"start_date":"2017-05-15","description":"","custom_fields":[{"id":1,"name":"Subdivision","value":"EC"},{"id":4,"name":"Milepost","value":"23.3287"},{"id":17,"name":"Train ID","value":"129-15"},{"id":16,"name":"Locomotive ID","value":"4010"},{"id":130,"name":"Impact","value":""},{"id":150,"name":"Time of Event (Mountain Time)","value":"07:50:54"},{"id":151,"name":"Denver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19"/>
        <v>start /low /b %USERPROFILE%\Documents\GitHub\eaglep3\Utilities\DownloadLogsFromS3.py --loco 4010 --day 2017-05-15</v>
      </c>
      <c r="AN43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681</v>
      </c>
      <c r="B44" s="7">
        <v>4009</v>
      </c>
      <c r="C44" s="21" t="s">
        <v>206</v>
      </c>
      <c r="D44" s="21" t="s">
        <v>545</v>
      </c>
      <c r="E44" s="13">
        <v>42870.339004629626</v>
      </c>
      <c r="F44" s="13">
        <v>42870.341145833336</v>
      </c>
      <c r="G44" s="7">
        <v>1</v>
      </c>
      <c r="H44" s="21" t="s">
        <v>198</v>
      </c>
      <c r="I44" s="13">
        <v>42870.367928240739</v>
      </c>
      <c r="J44" s="7">
        <v>0</v>
      </c>
      <c r="K44" s="92" t="str">
        <f t="shared" si="0"/>
        <v>4009/4010</v>
      </c>
      <c r="L44" s="21" t="str">
        <f>VLOOKUP(A44,'Trips&amp;Operators'!$C$1:$G$99999,5,FALSE)</f>
        <v>ROBINSON KADDIBA</v>
      </c>
      <c r="M44" s="6">
        <f t="shared" si="1"/>
        <v>2.6782407403516117E-2</v>
      </c>
      <c r="N44" s="7">
        <f t="shared" si="21"/>
        <v>38.566666661063209</v>
      </c>
      <c r="O44" s="7"/>
      <c r="P44" s="7"/>
      <c r="Q44" s="22"/>
      <c r="R44" s="190"/>
      <c r="S44" s="196">
        <f t="shared" si="22"/>
        <v>1</v>
      </c>
      <c r="T44" s="190" t="str">
        <f t="shared" si="2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3"/>
        <v>https://d0f6bd738d7f1b3e5a7ca70fe4ff75f0.us-east-1.aws.found.io/app/kibana#/discover/Steve-Slow-Train-Analysis-(2080s-and-2083s)?_g=(refreshInterval:(display:Off,pause:!f,section:0,value:0),time:(from:'2017-05-15T07:08:10-0600',mode:absolute,to:'2017-05-15T09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4" s="192" t="str">
        <f t="shared" si="4"/>
        <v>N</v>
      </c>
      <c r="X44" s="192">
        <f t="shared" si="5"/>
        <v>1</v>
      </c>
      <c r="Y44" s="192">
        <f t="shared" si="6"/>
        <v>23.297000000000001</v>
      </c>
      <c r="Z44" s="192">
        <f t="shared" si="7"/>
        <v>1.5800000000000002E-2</v>
      </c>
      <c r="AA44" s="192">
        <f t="shared" si="8"/>
        <v>23.281200000000002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9"/>
        <v>0130-15</v>
      </c>
      <c r="AE44" s="80" t="str">
        <f t="shared" si="10"/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AF44" s="77" t="str">
        <f t="shared" si="11"/>
        <v>"C:\Program Files (x86)\AstroGrep\AstroGrep.exe" /e /r /s /spath="%USERPROFILE%\AppData\Local\Temp\OnboardLogs" /stypes="app*4009*20170515*" /stext=" 14:.+((SYSTEM_STATE.+slice.+state.+changed )|(ment ac)|(multiple cpu faults)|(system.+state.+changed )|(\[timeout)|(PRM\|1\|D)|(kpr)|(kdp)|(train st.+moving)|(\|lc)|(penalty))"</v>
      </c>
      <c r="AG44" s="1" t="str">
        <f t="shared" si="12"/>
        <v>EC</v>
      </c>
      <c r="AH44" s="81" t="str">
        <f t="shared" si="17"/>
        <v>"%USERPROFILE%\Documents\GitHub\eaglep3\Utilities\RefineRTDCRunTimes.py" --tripid 130-15 --locoid 4009 --swversion DE.1.0.9.0 --startMP 204:232970 --initTime 2017-05-15T08:08:10 --startdatetime 2017-05-15T08:11:15 --delay 1 --endMP 204:158 --enddatetime 2017-05-15T08:49:49 --enforcementcount 0 &gt;&gt;C:\Users\stu\Documents\GitHub\eaglep3-reporting\EC\2017-05-15-refined-times.txt</v>
      </c>
      <c r="AI44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{"issue":{"subject":"","project_id":79,"tracker_id":40,"status_id":1,"priority_id":2,"assigned_to_id":23,"start_date":"2017-05-15","description":"","custom_fields":[{"id":1,"name":"Subdivision","value":"EC"},{"id":4,"name":"Milepost","value":"0.0158"},{"id":17,"name":"Train ID","value":"130-15"},{"id":16,"name":"Locomotive ID","value":"4009"},{"id":130,"name":"Impact","value":""},{"id":150,"name":"Time of Event (Mountain Time)","value":"08:49:49"},{"id":151,"name":"Denver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19"/>
        <v>start /low /b %USERPROFILE%\Documents\GitHub\eaglep3\Utilities\DownloadLogsFromS3.py --loco 4009 --day 2017-05-15</v>
      </c>
      <c r="AN44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674</v>
      </c>
      <c r="B45" s="7">
        <v>4042</v>
      </c>
      <c r="C45" s="21" t="s">
        <v>206</v>
      </c>
      <c r="D45" s="21" t="s">
        <v>366</v>
      </c>
      <c r="E45" s="13">
        <v>42870.307928240742</v>
      </c>
      <c r="F45" s="13">
        <v>42870.3128125</v>
      </c>
      <c r="G45" s="7">
        <v>1</v>
      </c>
      <c r="H45" s="21" t="s">
        <v>554</v>
      </c>
      <c r="I45" s="13">
        <v>42870.337083333332</v>
      </c>
      <c r="J45" s="7">
        <v>0</v>
      </c>
      <c r="K45" s="92" t="str">
        <f t="shared" si="0"/>
        <v>4041/4042</v>
      </c>
      <c r="L45" s="21" t="str">
        <f>VLOOKUP(A45,'Trips&amp;Operators'!$C$1:$G$99999,5,FALSE)</f>
        <v>MAELZER KURT</v>
      </c>
      <c r="M45" s="6">
        <f t="shared" si="1"/>
        <v>2.4270833331684116E-2</v>
      </c>
      <c r="N45" s="7">
        <f t="shared" si="21"/>
        <v>34.949999997625127</v>
      </c>
      <c r="O45" s="7"/>
      <c r="P45" s="7"/>
      <c r="Q45" s="22"/>
      <c r="R45" s="190"/>
      <c r="S45" s="196">
        <f t="shared" si="22"/>
        <v>1</v>
      </c>
      <c r="T45" s="190" t="str">
        <f t="shared" si="2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3"/>
        <v>https://d0f6bd738d7f1b3e5a7ca70fe4ff75f0.us-east-1.aws.found.io/app/kibana#/discover/Steve-Slow-Train-Analysis-(2080s-and-2083s)?_g=(refreshInterval:(display:Off,pause:!f,section:0,value:0),time:(from:'2017-05-15T06:23:25-0600',mode:absolute,to:'2017-05-15T09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5" s="192" t="str">
        <f t="shared" si="4"/>
        <v>N</v>
      </c>
      <c r="X45" s="192">
        <f t="shared" ref="X45:X76" si="23">VALUE(LEFT(AD45,4))-VALUE(LEFT(AD44,4))</f>
        <v>1</v>
      </c>
      <c r="Y45" s="192">
        <f t="shared" si="6"/>
        <v>4.53E-2</v>
      </c>
      <c r="Z45" s="192">
        <f t="shared" si="7"/>
        <v>23.331800000000001</v>
      </c>
      <c r="AA45" s="192">
        <f t="shared" si="8"/>
        <v>23.2865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9"/>
        <v>0131-15</v>
      </c>
      <c r="AE45" s="80" t="str">
        <f t="shared" si="10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45" s="77" t="str">
        <f t="shared" si="11"/>
        <v>"C:\Program Files (x86)\AstroGrep\AstroGrep.exe" /e /r /s /spath="%USERPROFILE%\AppData\Local\Temp\OnboardLogs" /stypes="app*4042*20170515*" /stext=" 14:.+((SYSTEM_STATE.+slice.+state.+changed )|(ment ac)|(multiple cpu faults)|(system.+state.+changed )|(\[timeout)|(PRM\|1\|D)|(kpr)|(kdp)|(train st.+moving)|(\|lc)|(penalty))"</v>
      </c>
      <c r="AG45" s="1" t="str">
        <f t="shared" si="12"/>
        <v>EC</v>
      </c>
      <c r="AH45" s="81" t="str">
        <f t="shared" si="17"/>
        <v>"%USERPROFILE%\Documents\GitHub\eaglep3\Utilities\RefineRTDCRunTimes.py" --tripid 131-15 --locoid 4042 --swversion DE.1.0.9.0 --startMP 204:453 --initTime 2017-05-15T07:23:25 --startdatetime 2017-05-15T07:30:27 --delay 1 --endMP 204:233318 --enddatetime 2017-05-15T08:05:24 --enforcementcount 0 &gt;&gt;C:\Users\stu\Documents\GitHub\eaglep3-reporting\EC\2017-05-15-refined-times.txt</v>
      </c>
      <c r="AI4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{"issue":{"subject":"","project_id":79,"tracker_id":40,"status_id":1,"priority_id":2,"assigned_to_id":23,"start_date":"2017-05-15","description":"","custom_fields":[{"id":1,"name":"Subdivision","value":"EC"},{"id":4,"name":"Milepost","value":"23.3318"},{"id":17,"name":"Train ID","value":"131-15"},{"id":16,"name":"Locomotive ID","value":"4042"},{"id":130,"name":"Impact","value":""},{"id":150,"name":"Time of Event (Mountain Time)","value":"08:05:24"},{"id":151,"name":"Denver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19"/>
        <v>start /low /b %USERPROFILE%\Documents\GitHub\eaglep3\Utilities\DownloadLogsFromS3.py --loco 4042 --day 2017-05-15</v>
      </c>
      <c r="AN4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683</v>
      </c>
      <c r="B46" s="7">
        <v>4041</v>
      </c>
      <c r="C46" s="21" t="s">
        <v>206</v>
      </c>
      <c r="D46" s="21" t="s">
        <v>385</v>
      </c>
      <c r="E46" s="13">
        <v>42870.343935185185</v>
      </c>
      <c r="F46" s="13">
        <v>42870.351956018516</v>
      </c>
      <c r="G46" s="7">
        <v>1</v>
      </c>
      <c r="H46" s="21" t="s">
        <v>556</v>
      </c>
      <c r="I46" s="13">
        <v>42870.378344907411</v>
      </c>
      <c r="J46" s="7">
        <v>0</v>
      </c>
      <c r="K46" s="92" t="str">
        <f t="shared" si="0"/>
        <v>4041/4042</v>
      </c>
      <c r="L46" s="21" t="str">
        <f>VLOOKUP(A46,'Trips&amp;Operators'!$C$1:$G$99999,5,FALSE)</f>
        <v>MAELZER KURT</v>
      </c>
      <c r="M46" s="6">
        <f t="shared" si="1"/>
        <v>2.6388888894871343E-2</v>
      </c>
      <c r="N46" s="7">
        <f t="shared" si="21"/>
        <v>38.000000008614734</v>
      </c>
      <c r="O46" s="7"/>
      <c r="P46" s="7"/>
      <c r="Q46" s="22"/>
      <c r="R46" s="190"/>
      <c r="S46" s="196">
        <f t="shared" si="22"/>
        <v>1</v>
      </c>
      <c r="T46" s="190" t="str">
        <f t="shared" si="2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3"/>
        <v>https://d0f6bd738d7f1b3e5a7ca70fe4ff75f0.us-east-1.aws.found.io/app/kibana#/discover/Steve-Slow-Train-Analysis-(2080s-and-2083s)?_g=(refreshInterval:(display:Off,pause:!f,section:0,value:0),time:(from:'2017-05-15T07:15:16-0600',mode:absolute,to:'2017-05-15T10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6" s="192" t="str">
        <f t="shared" si="4"/>
        <v>N</v>
      </c>
      <c r="X46" s="192">
        <f t="shared" si="23"/>
        <v>1</v>
      </c>
      <c r="Y46" s="192">
        <f t="shared" si="6"/>
        <v>23.299800000000001</v>
      </c>
      <c r="Z46" s="192">
        <f t="shared" si="7"/>
        <v>1.32E-2</v>
      </c>
      <c r="AA46" s="192">
        <f t="shared" si="8"/>
        <v>23.2866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9"/>
        <v>0132-15</v>
      </c>
      <c r="AE46" s="80" t="str">
        <f t="shared" si="10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46" s="77" t="str">
        <f t="shared" si="11"/>
        <v>"C:\Program Files (x86)\AstroGrep\AstroGrep.exe" /e /r /s /spath="%USERPROFILE%\AppData\Local\Temp\OnboardLogs" /stypes="app*4041*20170515*" /stext=" 15:.+((SYSTEM_STATE.+slice.+state.+changed )|(ment ac)|(multiple cpu faults)|(system.+state.+changed )|(\[timeout)|(PRM\|1\|D)|(kpr)|(kdp)|(train st.+moving)|(\|lc)|(penalty))"</v>
      </c>
      <c r="AG46" s="1" t="str">
        <f t="shared" si="12"/>
        <v>EC</v>
      </c>
      <c r="AH46" s="81" t="str">
        <f t="shared" si="17"/>
        <v>"%USERPROFILE%\Documents\GitHub\eaglep3\Utilities\RefineRTDCRunTimes.py" --tripid 132-15 --locoid 4041 --swversion DE.1.0.9.0 --startMP 204:232998 --initTime 2017-05-15T08:15:16 --startdatetime 2017-05-15T08:26:49 --delay 1 --endMP 204:132 --enddatetime 2017-05-15T09:04:49 --enforcementcount 0 &gt;&gt;C:\Users\stu\Documents\GitHub\eaglep3-reporting\EC\2017-05-15-refined-times.txt</v>
      </c>
      <c r="AI4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{"issue":{"subject":"","project_id":79,"tracker_id":40,"status_id":1,"priority_id":2,"assigned_to_id":23,"start_date":"2017-05-15","description":"","custom_fields":[{"id":1,"name":"Subdivision","value":"EC"},{"id":4,"name":"Milepost","value":"0.0132"},{"id":17,"name":"Train ID","value":"132-15"},{"id":16,"name":"Locomotive ID","value":"4041"},{"id":130,"name":"Impact","value":""},{"id":150,"name":"Time of Event (Mountain Time)","value":"09:04:49"},{"id":151,"name":"Denver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19"/>
        <v>start /low /b %USERPROFILE%\Documents\GitHub\eaglep3\Utilities\DownloadLogsFromS3.py --loco 4041 --day 2017-05-15</v>
      </c>
      <c r="AN4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678</v>
      </c>
      <c r="B47" s="7">
        <v>4030</v>
      </c>
      <c r="C47" s="21" t="s">
        <v>206</v>
      </c>
      <c r="D47" s="21" t="s">
        <v>854</v>
      </c>
      <c r="E47" s="13">
        <v>42870.319155092591</v>
      </c>
      <c r="F47" s="13">
        <v>42870.323206018518</v>
      </c>
      <c r="G47" s="7">
        <v>1</v>
      </c>
      <c r="H47" s="21" t="s">
        <v>539</v>
      </c>
      <c r="I47" s="13">
        <v>42870.349340277775</v>
      </c>
      <c r="J47" s="7">
        <v>0</v>
      </c>
      <c r="K47" s="92" t="str">
        <f t="shared" si="0"/>
        <v>4029/4030</v>
      </c>
      <c r="L47" s="21" t="str">
        <f>VLOOKUP(A47,'Trips&amp;Operators'!$C$1:$G$99999,5,FALSE)</f>
        <v>YOUNG ELIZABETH</v>
      </c>
      <c r="M47" s="6">
        <f t="shared" si="1"/>
        <v>2.6134259256650694E-2</v>
      </c>
      <c r="N47" s="7">
        <f t="shared" si="21"/>
        <v>37.633333329576999</v>
      </c>
      <c r="O47" s="7"/>
      <c r="P47" s="7"/>
      <c r="Q47" s="22"/>
      <c r="R47" s="190"/>
      <c r="S47" s="196">
        <f t="shared" si="22"/>
        <v>1</v>
      </c>
      <c r="T47" s="190" t="str">
        <f t="shared" si="2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3"/>
        <v>https://d0f6bd738d7f1b3e5a7ca70fe4ff75f0.us-east-1.aws.found.io/app/kibana#/discover/Steve-Slow-Train-Analysis-(2080s-and-2083s)?_g=(refreshInterval:(display:Off,pause:!f,section:0,value:0),time:(from:'2017-05-15T06:39:35-0600',mode:absolute,to:'2017-05-15T09:23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7" s="192" t="str">
        <f t="shared" si="4"/>
        <v>N</v>
      </c>
      <c r="X47" s="192">
        <f t="shared" si="23"/>
        <v>1</v>
      </c>
      <c r="Y47" s="192">
        <f t="shared" si="6"/>
        <v>0.05</v>
      </c>
      <c r="Z47" s="192">
        <f t="shared" si="7"/>
        <v>23.330200000000001</v>
      </c>
      <c r="AA47" s="192">
        <f t="shared" si="8"/>
        <v>23.280200000000001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9"/>
        <v>0133-15</v>
      </c>
      <c r="AE47" s="80" t="str">
        <f t="shared" si="10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47" s="77" t="str">
        <f t="shared" si="11"/>
        <v>"C:\Program Files (x86)\AstroGrep\AstroGrep.exe" /e /r /s /spath="%USERPROFILE%\AppData\Local\Temp\OnboardLogs" /stypes="app*4030*20170515*" /stext=" 14:.+((SYSTEM_STATE.+slice.+state.+changed )|(ment ac)|(multiple cpu faults)|(system.+state.+changed )|(\[timeout)|(PRM\|1\|D)|(kpr)|(kdp)|(train st.+moving)|(\|lc)|(penalty))"</v>
      </c>
      <c r="AG47" s="1" t="str">
        <f t="shared" si="12"/>
        <v>EC</v>
      </c>
      <c r="AH47" s="81" t="str">
        <f t="shared" si="17"/>
        <v>"%USERPROFILE%\Documents\GitHub\eaglep3\Utilities\RefineRTDCRunTimes.py" --tripid 133-15 --locoid 4030 --swversion DE.1.0.9.0 --startMP 204:500 --initTime 2017-05-15T07:39:35 --startdatetime 2017-05-15T07:45:25 --delay 1 --endMP 204:233302 --enddatetime 2017-05-15T08:23:03 --enforcementcount 0 &gt;&gt;C:\Users\stu\Documents\GitHub\eaglep3-reporting\EC\2017-05-15-refined-times.txt</v>
      </c>
      <c r="AI4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{"issue":{"subject":"","project_id":79,"tracker_id":40,"status_id":1,"priority_id":2,"assigned_to_id":23,"start_date":"2017-05-15","description":"","custom_fields":[{"id":1,"name":"Subdivision","value":"EC"},{"id":4,"name":"Milepost","value":"23.3302"},{"id":17,"name":"Train ID","value":"133-15"},{"id":16,"name":"Locomotive ID","value":"4030"},{"id":130,"name":"Impact","value":""},{"id":150,"name":"Time of Event (Mountain Time)","value":"08:23:03"},{"id":151,"name":"Denver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19"/>
        <v>start /low /b %USERPROFILE%\Documents\GitHub\eaglep3\Utilities\DownloadLogsFromS3.py --loco 4030 --day 2017-05-15</v>
      </c>
      <c r="AN4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14:23:03"},{"id":29,"name":"Sharepoint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685</v>
      </c>
      <c r="B48" s="7">
        <v>4029</v>
      </c>
      <c r="C48" s="21" t="s">
        <v>206</v>
      </c>
      <c r="D48" s="21" t="s">
        <v>385</v>
      </c>
      <c r="E48" s="13">
        <v>42870.351076388892</v>
      </c>
      <c r="F48" s="13">
        <v>42870.362002314818</v>
      </c>
      <c r="G48" s="7">
        <v>1</v>
      </c>
      <c r="H48" s="21" t="s">
        <v>541</v>
      </c>
      <c r="I48" s="13">
        <v>42870.390023148146</v>
      </c>
      <c r="J48" s="7">
        <v>0</v>
      </c>
      <c r="K48" s="92" t="str">
        <f t="shared" si="0"/>
        <v>4029/4030</v>
      </c>
      <c r="L48" s="21" t="str">
        <f>VLOOKUP(A48,'Trips&amp;Operators'!$C$1:$G$99999,5,FALSE)</f>
        <v>YOUNG ELIZABETH</v>
      </c>
      <c r="M48" s="6">
        <f t="shared" si="1"/>
        <v>2.8020833327900618E-2</v>
      </c>
      <c r="N48" s="7">
        <f t="shared" si="21"/>
        <v>40.34999999217689</v>
      </c>
      <c r="O48" s="7"/>
      <c r="P48" s="7"/>
      <c r="Q48" s="22"/>
      <c r="R48" s="190"/>
      <c r="S48" s="196">
        <f t="shared" si="22"/>
        <v>1</v>
      </c>
      <c r="T48" s="190" t="str">
        <f t="shared" si="2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3"/>
        <v>https://d0f6bd738d7f1b3e5a7ca70fe4ff75f0.us-east-1.aws.found.io/app/kibana#/discover/Steve-Slow-Train-Analysis-(2080s-and-2083s)?_g=(refreshInterval:(display:Off,pause:!f,section:0,value:0),time:(from:'2017-05-15T07:25:33-0600',mode:absolute,to:'2017-05-15T10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192" t="str">
        <f t="shared" si="4"/>
        <v>N</v>
      </c>
      <c r="X48" s="192">
        <f t="shared" si="23"/>
        <v>1</v>
      </c>
      <c r="Y48" s="192">
        <f t="shared" si="6"/>
        <v>23.299800000000001</v>
      </c>
      <c r="Z48" s="192">
        <f t="shared" si="7"/>
        <v>1.6500000000000001E-2</v>
      </c>
      <c r="AA48" s="192">
        <f t="shared" si="8"/>
        <v>23.283300000000001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9"/>
        <v>0134-15</v>
      </c>
      <c r="AE48" s="80" t="str">
        <f t="shared" si="10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48" s="77" t="str">
        <f t="shared" si="11"/>
        <v>"C:\Program Files (x86)\AstroGrep\AstroGrep.exe" /e /r /s /spath="%USERPROFILE%\AppData\Local\Temp\OnboardLogs" /stypes="app*4029*20170515*" /stext=" 15:.+((SYSTEM_STATE.+slice.+state.+changed )|(ment ac)|(multiple cpu faults)|(system.+state.+changed )|(\[timeout)|(PRM\|1\|D)|(kpr)|(kdp)|(train st.+moving)|(\|lc)|(penalty))"</v>
      </c>
      <c r="AG48" s="1" t="str">
        <f t="shared" si="12"/>
        <v>EC</v>
      </c>
      <c r="AH48" s="81" t="str">
        <f t="shared" si="17"/>
        <v>"%USERPROFILE%\Documents\GitHub\eaglep3\Utilities\RefineRTDCRunTimes.py" --tripid 134-15 --locoid 4029 --swversion DE.1.0.9.0 --startMP 204:232998 --initTime 2017-05-15T08:25:33 --startdatetime 2017-05-15T08:41:17 --delay 1 --endMP 204:165 --enddatetime 2017-05-15T09:21:38 --enforcementcount 0 &gt;&gt;C:\Users\stu\Documents\GitHub\eaglep3-reporting\EC\2017-05-15-refined-times.txt</v>
      </c>
      <c r="AI48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{"issue":{"subject":"","project_id":79,"tracker_id":40,"status_id":1,"priority_id":2,"assigned_to_id":23,"start_date":"2017-05-15","description":"","custom_fields":[{"id":1,"name":"Subdivision","value":"EC"},{"id":4,"name":"Milepost","value":"0.0165"},{"id":17,"name":"Train ID","value":"134-15"},{"id":16,"name":"Locomotive ID","value":"4029"},{"id":130,"name":"Impact","value":""},{"id":150,"name":"Time of Event (Mountain Time)","value":"09:21:38"},{"id":151,"name":"Denver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19"/>
        <v>start /low /b %USERPROFILE%\Documents\GitHub\eaglep3\Utilities\DownloadLogsFromS3.py --loco 4029 --day 2017-05-15</v>
      </c>
      <c r="AN48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679</v>
      </c>
      <c r="B49" s="7">
        <v>4016</v>
      </c>
      <c r="C49" s="21" t="s">
        <v>206</v>
      </c>
      <c r="D49" s="21" t="s">
        <v>418</v>
      </c>
      <c r="E49" s="13">
        <v>42870.328460648147</v>
      </c>
      <c r="F49" s="13">
        <v>42870.333564814813</v>
      </c>
      <c r="G49" s="7">
        <v>1</v>
      </c>
      <c r="H49" s="21" t="s">
        <v>855</v>
      </c>
      <c r="I49" s="13">
        <v>42870.358726851853</v>
      </c>
      <c r="J49" s="7">
        <v>0</v>
      </c>
      <c r="K49" s="92" t="str">
        <f t="shared" si="0"/>
        <v>4015/4016</v>
      </c>
      <c r="L49" s="21" t="str">
        <f>VLOOKUP(A49,'Trips&amp;Operators'!$C$1:$G$99999,5,FALSE)</f>
        <v>BONDS REYNALDO</v>
      </c>
      <c r="M49" s="6">
        <f t="shared" si="1"/>
        <v>2.5162037039990537E-2</v>
      </c>
      <c r="N49" s="7">
        <f t="shared" si="21"/>
        <v>36.233333337586373</v>
      </c>
      <c r="O49" s="7"/>
      <c r="P49" s="7"/>
      <c r="Q49" s="22"/>
      <c r="R49" s="190"/>
      <c r="S49" s="196">
        <f t="shared" si="22"/>
        <v>1</v>
      </c>
      <c r="T49" s="190" t="str">
        <f t="shared" si="2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3"/>
        <v>https://d0f6bd738d7f1b3e5a7ca70fe4ff75f0.us-east-1.aws.found.io/app/kibana#/discover/Steve-Slow-Train-Analysis-(2080s-and-2083s)?_g=(refreshInterval:(display:Off,pause:!f,section:0,value:0),time:(from:'2017-05-15T06:52:59-0600',mode:absolute,to:'2017-05-15T09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9" s="192" t="str">
        <f t="shared" si="4"/>
        <v>N</v>
      </c>
      <c r="X49" s="192">
        <f t="shared" si="23"/>
        <v>1</v>
      </c>
      <c r="Y49" s="192">
        <f t="shared" si="6"/>
        <v>4.6199999999999998E-2</v>
      </c>
      <c r="Z49" s="192">
        <f t="shared" si="7"/>
        <v>23.332000000000001</v>
      </c>
      <c r="AA49" s="192">
        <f t="shared" si="8"/>
        <v>23.285800000000002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9"/>
        <v>0135-15</v>
      </c>
      <c r="AE49" s="80" t="str">
        <f t="shared" si="10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49" s="77" t="str">
        <f t="shared" si="11"/>
        <v>"C:\Program Files (x86)\AstroGrep\AstroGrep.exe" /e /r /s /spath="%USERPROFILE%\AppData\Local\Temp\OnboardLogs" /stypes="app*4016*20170515*" /stext=" 14:.+((SYSTEM_STATE.+slice.+state.+changed )|(ment ac)|(multiple cpu faults)|(system.+state.+changed )|(\[timeout)|(PRM\|1\|D)|(kpr)|(kdp)|(train st.+moving)|(\|lc)|(penalty))"</v>
      </c>
      <c r="AG49" s="1" t="str">
        <f t="shared" si="12"/>
        <v>EC</v>
      </c>
      <c r="AH49" s="81" t="str">
        <f t="shared" si="17"/>
        <v>"%USERPROFILE%\Documents\GitHub\eaglep3\Utilities\RefineRTDCRunTimes.py" --tripid 135-15 --locoid 4016 --swversion DE.1.0.9.0 --startMP 204:462 --initTime 2017-05-15T07:52:59 --startdatetime 2017-05-15T08:00:20 --delay 1 --endMP 204:233320 --enddatetime 2017-05-15T08:36:34 --enforcementcount 0 &gt;&gt;C:\Users\stu\Documents\GitHub\eaglep3-reporting\EC\2017-05-15-refined-times.txt</v>
      </c>
      <c r="AI49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{"issue":{"subject":"","project_id":79,"tracker_id":40,"status_id":1,"priority_id":2,"assigned_to_id":23,"start_date":"2017-05-15","description":"","custom_fields":[{"id":1,"name":"Subdivision","value":"EC"},{"id":4,"name":"Milepost","value":"23.332"},{"id":17,"name":"Train ID","value":"135-15"},{"id":16,"name":"Locomotive ID","value":"4016"},{"id":130,"name":"Impact","value":""},{"id":150,"name":"Time of Event (Mountain Time)","value":"08:36:34"},{"id":151,"name":"Denver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19"/>
        <v>start /low /b %USERPROFILE%\Documents\GitHub\eaglep3\Utilities\DownloadLogsFromS3.py --loco 4016 --day 2017-05-15</v>
      </c>
      <c r="AN49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586</v>
      </c>
      <c r="B50" s="7">
        <v>4015</v>
      </c>
      <c r="C50" s="21" t="s">
        <v>206</v>
      </c>
      <c r="D50" s="21" t="s">
        <v>856</v>
      </c>
      <c r="E50" s="13">
        <v>42870.36886574074</v>
      </c>
      <c r="F50" s="13">
        <v>42870.372407407405</v>
      </c>
      <c r="G50" s="7">
        <v>0</v>
      </c>
      <c r="H50" s="21" t="s">
        <v>489</v>
      </c>
      <c r="I50" s="13">
        <v>42870.399652777778</v>
      </c>
      <c r="J50" s="7">
        <v>0</v>
      </c>
      <c r="K50" s="92" t="str">
        <f t="shared" si="0"/>
        <v>4015/4016</v>
      </c>
      <c r="L50" s="21" t="str">
        <f>VLOOKUP(A50,'Trips&amp;Operators'!$C$1:$G$99999,5,FALSE)</f>
        <v>BONDS REYNALDO</v>
      </c>
      <c r="M50" s="6">
        <f t="shared" si="1"/>
        <v>2.7245370372838806E-2</v>
      </c>
      <c r="N50" s="7">
        <f t="shared" si="21"/>
        <v>39.233333336887881</v>
      </c>
      <c r="O50" s="7"/>
      <c r="P50" s="7"/>
      <c r="Q50" s="22"/>
      <c r="R50" s="190"/>
      <c r="S50" s="196">
        <f t="shared" si="22"/>
        <v>1</v>
      </c>
      <c r="T50" s="190" t="str">
        <f t="shared" si="2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3"/>
        <v>https://d0f6bd738d7f1b3e5a7ca70fe4ff75f0.us-east-1.aws.found.io/app/kibana#/discover/Steve-Slow-Train-Analysis-(2080s-and-2083s)?_g=(refreshInterval:(display:Off,pause:!f,section:0,value:0),time:(from:'2017-05-15T07:51:10-0600',mode:absolute,to:'2017-05-15T10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0" s="192" t="str">
        <f t="shared" si="4"/>
        <v>N</v>
      </c>
      <c r="X50" s="192">
        <f t="shared" si="23"/>
        <v>1</v>
      </c>
      <c r="Y50" s="192">
        <f t="shared" si="6"/>
        <v>23.2986</v>
      </c>
      <c r="Z50" s="192">
        <f t="shared" si="7"/>
        <v>1.54E-2</v>
      </c>
      <c r="AA50" s="192">
        <f t="shared" si="8"/>
        <v>23.283200000000001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9"/>
        <v>0136-15</v>
      </c>
      <c r="AE50" s="80" t="str">
        <f t="shared" si="10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50" s="77" t="str">
        <f t="shared" si="11"/>
        <v>"C:\Program Files (x86)\AstroGrep\AstroGrep.exe" /e /r /s /spath="%USERPROFILE%\AppData\Local\Temp\OnboardLogs" /stypes="app*4015*20170515*" /stext=" 15:.+((SYSTEM_STATE.+slice.+state.+changed )|(ment ac)|(multiple cpu faults)|(system.+state.+changed )|(\[timeout)|(PRM\|1\|D)|(kpr)|(kdp)|(train st.+moving)|(\|lc)|(penalty))"</v>
      </c>
      <c r="AG50" s="1" t="str">
        <f t="shared" si="12"/>
        <v>EC</v>
      </c>
      <c r="AH50" s="81" t="str">
        <f t="shared" si="17"/>
        <v>"%USERPROFILE%\Documents\GitHub\eaglep3\Utilities\RefineRTDCRunTimes.py" --tripid 136-15 --locoid 4015 --swversion DE.1.0.9.0 --startMP 204:232986 --initTime 2017-05-15T08:51:10 --startdatetime 2017-05-15T08:56:16 --delay 0 --endMP 204:154 --enddatetime 2017-05-15T09:35:30 --enforcementcount 0 &gt;&gt;C:\Users\stu\Documents\GitHub\eaglep3-reporting\EC\2017-05-15-refined-times.txt</v>
      </c>
      <c r="AI50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{"issue":{"subject":"","project_id":79,"tracker_id":40,"status_id":1,"priority_id":2,"assigned_to_id":23,"start_date":"2017-05-15","description":"","custom_fields":[{"id":1,"name":"Subdivision","value":"EC"},{"id":4,"name":"Milepost","value":"0.0154"},{"id":17,"name":"Train ID","value":"136-15"},{"id":16,"name":"Locomotive ID","value":"4015"},{"id":130,"name":"Impact","value":""},{"id":150,"name":"Time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19"/>
        <v>start /low /b %USERPROFILE%\Documents\GitHub\eaglep3\Utilities\DownloadLogsFromS3.py --loco 4015 --day 2017-05-15</v>
      </c>
      <c r="AN50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682</v>
      </c>
      <c r="B51" s="7">
        <v>4026</v>
      </c>
      <c r="C51" s="21" t="s">
        <v>206</v>
      </c>
      <c r="D51" s="21" t="s">
        <v>364</v>
      </c>
      <c r="E51" s="13">
        <v>42870.340300925927</v>
      </c>
      <c r="F51" s="13">
        <v>42870.343946759262</v>
      </c>
      <c r="G51" s="7">
        <v>2</v>
      </c>
      <c r="H51" s="21" t="s">
        <v>853</v>
      </c>
      <c r="I51" s="13">
        <v>42870.368495370371</v>
      </c>
      <c r="J51" s="7">
        <v>0</v>
      </c>
      <c r="K51" s="92" t="str">
        <f t="shared" si="0"/>
        <v>4025/4026</v>
      </c>
      <c r="L51" s="21" t="str">
        <f>VLOOKUP(A51,'Trips&amp;Operators'!$C$1:$G$99999,5,FALSE)</f>
        <v>MACDONALD THOMAS</v>
      </c>
      <c r="M51" s="6">
        <f t="shared" si="1"/>
        <v>2.4548611108912155E-2</v>
      </c>
      <c r="N51" s="7">
        <f t="shared" si="21"/>
        <v>35.349999996833503</v>
      </c>
      <c r="O51" s="7"/>
      <c r="P51" s="7"/>
      <c r="Q51" s="22"/>
      <c r="R51" s="190"/>
      <c r="S51" s="196">
        <f t="shared" si="22"/>
        <v>1</v>
      </c>
      <c r="T51" s="190" t="str">
        <f t="shared" si="2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3"/>
        <v>https://d0f6bd738d7f1b3e5a7ca70fe4ff75f0.us-east-1.aws.found.io/app/kibana#/discover/Steve-Slow-Train-Analysis-(2080s-and-2083s)?_g=(refreshInterval:(display:Off,pause:!f,section:0,value:0),time:(from:'2017-05-15T07:10:02-0600',mode:absolute,to:'2017-05-15T09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1" s="192" t="str">
        <f t="shared" si="4"/>
        <v>N</v>
      </c>
      <c r="X51" s="192">
        <f t="shared" si="23"/>
        <v>1</v>
      </c>
      <c r="Y51" s="192">
        <f t="shared" si="6"/>
        <v>4.6399999999999997E-2</v>
      </c>
      <c r="Z51" s="192">
        <f t="shared" si="7"/>
        <v>23.328700000000001</v>
      </c>
      <c r="AA51" s="192">
        <f t="shared" si="8"/>
        <v>23.282300000000003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9"/>
        <v>0137-15</v>
      </c>
      <c r="AE51" s="80" t="str">
        <f t="shared" si="10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51" s="77" t="str">
        <f t="shared" si="11"/>
        <v>"C:\Program Files (x86)\AstroGrep\AstroGrep.exe" /e /r /s /spath="%USERPROFILE%\AppData\Local\Temp\OnboardLogs" /stypes="app*4026*20170515*" /stext=" 14:.+((SYSTEM_STATE.+slice.+state.+changed )|(ment ac)|(multiple cpu faults)|(system.+state.+changed )|(\[timeout)|(PRM\|1\|D)|(kpr)|(kdp)|(train st.+moving)|(\|lc)|(penalty))"</v>
      </c>
      <c r="AG51" s="1" t="str">
        <f t="shared" si="12"/>
        <v>EC</v>
      </c>
      <c r="AH51" s="81" t="str">
        <f t="shared" si="17"/>
        <v>"%USERPROFILE%\Documents\GitHub\eaglep3\Utilities\RefineRTDCRunTimes.py" --tripid 137-15 --locoid 4026 --swversion DE.1.0.9.0 --startMP 204:464 --initTime 2017-05-15T08:10:02 --startdatetime 2017-05-15T08:15:17 --delay 2 --endMP 204:233287 --enddatetime 2017-05-15T08:50:38 --enforcementcount 0 &gt;&gt;C:\Users\stu\Documents\GitHub\eaglep3-reporting\EC\2017-05-15-refined-times.txt</v>
      </c>
      <c r="AI51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{"issue":{"subject":"","project_id":79,"tracker_id":40,"status_id":1,"priority_id":2,"assigned_to_id":23,"start_date":"2017-05-15","description":"","custom_fields":[{"id":1,"name":"Subdivision","value":"EC"},{"id":4,"name":"Milepost","value":"23.3287"},{"id":17,"name":"Train ID","value":"137-15"},{"id":16,"name":"Locomotive ID","value":"4026"},{"id":130,"name":"Impact","value":""},{"id":150,"name":"Time of Event (Mountain Time)","value":"08:50:38"},{"id":151,"name":"Denver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19"/>
        <v>start /low /b %USERPROFILE%\Documents\GitHub\eaglep3\Utilities\DownloadLogsFromS3.py --loco 4026 --day 2017-05-15</v>
      </c>
      <c r="AN51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691</v>
      </c>
      <c r="B52" s="7">
        <v>4025</v>
      </c>
      <c r="C52" s="21" t="s">
        <v>206</v>
      </c>
      <c r="D52" s="21" t="s">
        <v>857</v>
      </c>
      <c r="E52" s="13">
        <v>42870.378935185188</v>
      </c>
      <c r="F52" s="13">
        <v>42870.382916666669</v>
      </c>
      <c r="G52" s="7">
        <v>1</v>
      </c>
      <c r="H52" s="21" t="s">
        <v>845</v>
      </c>
      <c r="I52" s="13">
        <v>42870.408437500002</v>
      </c>
      <c r="J52" s="7">
        <v>0</v>
      </c>
      <c r="K52" s="92" t="str">
        <f t="shared" si="0"/>
        <v>4025/4026</v>
      </c>
      <c r="L52" s="21" t="str">
        <f>VLOOKUP(A52,'Trips&amp;Operators'!$C$1:$G$99999,5,FALSE)</f>
        <v>MACDONALD THOMAS</v>
      </c>
      <c r="M52" s="6">
        <f t="shared" si="1"/>
        <v>2.5520833332848269E-2</v>
      </c>
      <c r="N52" s="7">
        <f t="shared" si="21"/>
        <v>36.749999999301508</v>
      </c>
      <c r="O52" s="7"/>
      <c r="P52" s="7"/>
      <c r="Q52" s="22"/>
      <c r="R52" s="190"/>
      <c r="S52" s="196">
        <f t="shared" si="22"/>
        <v>1</v>
      </c>
      <c r="T52" s="190" t="str">
        <f t="shared" si="2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3"/>
        <v>https://d0f6bd738d7f1b3e5a7ca70fe4ff75f0.us-east-1.aws.found.io/app/kibana#/discover/Steve-Slow-Train-Analysis-(2080s-and-2083s)?_g=(refreshInterval:(display:Off,pause:!f,section:0,value:0),time:(from:'2017-05-15T08:05:40-0600',mode:absolute,to:'2017-05-15T10:48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2" s="192" t="str">
        <f t="shared" si="4"/>
        <v>N</v>
      </c>
      <c r="X52" s="192">
        <f t="shared" si="23"/>
        <v>1</v>
      </c>
      <c r="Y52" s="192">
        <f t="shared" si="6"/>
        <v>23.299299999999999</v>
      </c>
      <c r="Z52" s="192">
        <f t="shared" si="7"/>
        <v>1.7999999999999999E-2</v>
      </c>
      <c r="AA52" s="192">
        <f t="shared" si="8"/>
        <v>23.281299999999998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9"/>
        <v>0138-15</v>
      </c>
      <c r="AE52" s="80" t="str">
        <f t="shared" si="10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52" s="77" t="str">
        <f t="shared" si="11"/>
        <v>"C:\Program Files (x86)\AstroGrep\AstroGrep.exe" /e /r /s /spath="%USERPROFILE%\AppData\Local\Temp\OnboardLogs" /stypes="app*4025*20170515*" /stext=" 15:.+((SYSTEM_STATE.+slice.+state.+changed )|(ment ac)|(multiple cpu faults)|(system.+state.+changed )|(\[timeout)|(PRM\|1\|D)|(kpr)|(kdp)|(train st.+moving)|(\|lc)|(penalty))"</v>
      </c>
      <c r="AG52" s="1" t="str">
        <f t="shared" si="12"/>
        <v>EC</v>
      </c>
      <c r="AH52" s="81" t="str">
        <f t="shared" si="17"/>
        <v>"%USERPROFILE%\Documents\GitHub\eaglep3\Utilities\RefineRTDCRunTimes.py" --tripid 138-15 --locoid 4025 --swversion DE.1.0.9.0 --startMP 204:232993 --initTime 2017-05-15T09:05:40 --startdatetime 2017-05-15T09:11:24 --delay 1 --endMP 204:180 --enddatetime 2017-05-15T09:48:09 --enforcementcount 0 &gt;&gt;C:\Users\stu\Documents\GitHub\eaglep3-reporting\EC\2017-05-15-refined-times.txt</v>
      </c>
      <c r="AI52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{"issue":{"subject":"","project_id":79,"tracker_id":40,"status_id":1,"priority_id":2,"assigned_to_id":23,"start_date":"2017-05-15","description":"","custom_fields":[{"id":1,"name":"Subdivision","value":"EC"},{"id":4,"name":"Milepost","value":"0.018"},{"id":17,"name":"Train ID","value":"138-15"},{"id":16,"name":"Locomotive ID","value":"4025"},{"id":130,"name":"Impact","value":""},{"id":150,"name":"Time of Event (Mountain Time)","value":"09:48:09"},{"id":151,"name":"Denver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19"/>
        <v>start /low /b %USERPROFILE%\Documents\GitHub\eaglep3\Utilities\DownloadLogsFromS3.py --loco 4025 --day 2017-05-15</v>
      </c>
      <c r="AN52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15:48:09"},{"id":29,"name":"Sharepoint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684</v>
      </c>
      <c r="B53" s="7">
        <v>4052</v>
      </c>
      <c r="C53" s="21" t="s">
        <v>206</v>
      </c>
      <c r="D53" s="21" t="s">
        <v>849</v>
      </c>
      <c r="E53" s="13">
        <v>42870.347592592596</v>
      </c>
      <c r="F53" s="13">
        <v>42870.35434027778</v>
      </c>
      <c r="G53" s="7">
        <v>1</v>
      </c>
      <c r="H53" s="21" t="s">
        <v>421</v>
      </c>
      <c r="I53" s="13">
        <v>42870.378495370373</v>
      </c>
      <c r="J53" s="7">
        <v>0</v>
      </c>
      <c r="K53" s="92" t="str">
        <f t="shared" si="0"/>
        <v>4051/4052</v>
      </c>
      <c r="L53" s="21" t="str">
        <f>VLOOKUP(A53,'Trips&amp;Operators'!$C$1:$G$99999,5,FALSE)</f>
        <v>YORK EDGAR</v>
      </c>
      <c r="M53" s="6">
        <f t="shared" si="1"/>
        <v>2.4155092592991423E-2</v>
      </c>
      <c r="N53" s="7">
        <f t="shared" si="21"/>
        <v>34.783333333907649</v>
      </c>
      <c r="O53" s="7"/>
      <c r="P53" s="7"/>
      <c r="Q53" s="22"/>
      <c r="R53" s="190"/>
      <c r="S53" s="196">
        <f t="shared" si="22"/>
        <v>1</v>
      </c>
      <c r="T53" s="190" t="str">
        <f t="shared" si="2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3"/>
        <v>https://d0f6bd738d7f1b3e5a7ca70fe4ff75f0.us-east-1.aws.found.io/app/kibana#/discover/Steve-Slow-Train-Analysis-(2080s-and-2083s)?_g=(refreshInterval:(display:Off,pause:!f,section:0,value:0),time:(from:'2017-05-15T07:20:32-0600',mode:absolute,to:'2017-05-15T10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3" s="192" t="str">
        <f t="shared" si="4"/>
        <v>N</v>
      </c>
      <c r="X53" s="192">
        <f t="shared" si="23"/>
        <v>1</v>
      </c>
      <c r="Y53" s="192">
        <f t="shared" si="6"/>
        <v>4.6899999999999997E-2</v>
      </c>
      <c r="Z53" s="192">
        <f t="shared" si="7"/>
        <v>23.3293</v>
      </c>
      <c r="AA53" s="192">
        <f t="shared" si="8"/>
        <v>23.282399999999999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9"/>
        <v>0139-15</v>
      </c>
      <c r="AE53" s="80" t="str">
        <f t="shared" si="10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53" s="77" t="str">
        <f t="shared" si="11"/>
        <v>"C:\Program Files (x86)\AstroGrep\AstroGrep.exe" /e /r /s /spath="%USERPROFILE%\AppData\Local\Temp\OnboardLogs" /stypes="app*4052*20170515*" /stext=" 15:.+((SYSTEM_STATE.+slice.+state.+changed )|(ment ac)|(multiple cpu faults)|(system.+state.+changed )|(\[timeout)|(PRM\|1\|D)|(kpr)|(kdp)|(train st.+moving)|(\|lc)|(penalty))"</v>
      </c>
      <c r="AG53" s="1" t="str">
        <f t="shared" si="12"/>
        <v>EC</v>
      </c>
      <c r="AH53" s="81" t="str">
        <f t="shared" si="17"/>
        <v>"%USERPROFILE%\Documents\GitHub\eaglep3\Utilities\RefineRTDCRunTimes.py" --tripid 139-15 --locoid 4052 --swversion DE.1.0.9.0 --startMP 204:469 --initTime 2017-05-15T08:20:32 --startdatetime 2017-05-15T08:30:15 --delay 1 --endMP 204:233293 --enddatetime 2017-05-15T09:05:02 --enforcementcount 0 &gt;&gt;C:\Users\stu\Documents\GitHub\eaglep3-reporting\EC\2017-05-15-refined-times.txt</v>
      </c>
      <c r="AI53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{"issue":{"subject":"","project_id":79,"tracker_id":40,"status_id":1,"priority_id":2,"assigned_to_id":23,"start_date":"2017-05-15","description":"","custom_fields":[{"id":1,"name":"Subdivision","value":"EC"},{"id":4,"name":"Milepost","value":"23.3293"},{"id":17,"name":"Train ID","value":"139-15"},{"id":16,"name":"Locomotive ID","value":"4052"},{"id":130,"name":"Impact","value":""},{"id":150,"name":"Time of Event (Mountain Time)","value":"09:05:02"},{"id":151,"name":"Denver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19"/>
        <v>start /low /b %USERPROFILE%\Documents\GitHub\eaglep3\Utilities\DownloadLogsFromS3.py --loco 4052 --day 2017-05-15</v>
      </c>
      <c r="AN53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692</v>
      </c>
      <c r="B54" s="7">
        <v>4051</v>
      </c>
      <c r="C54" s="21" t="s">
        <v>206</v>
      </c>
      <c r="D54" s="21" t="s">
        <v>858</v>
      </c>
      <c r="E54" s="13">
        <v>42870.380185185182</v>
      </c>
      <c r="F54" s="13">
        <v>42870.393634259257</v>
      </c>
      <c r="G54" s="7">
        <v>2</v>
      </c>
      <c r="H54" s="21" t="s">
        <v>492</v>
      </c>
      <c r="I54" s="13">
        <v>42870.41946759259</v>
      </c>
      <c r="J54" s="7">
        <v>0</v>
      </c>
      <c r="K54" s="92" t="str">
        <f t="shared" si="0"/>
        <v>4051/4052</v>
      </c>
      <c r="L54" s="21" t="str">
        <f>VLOOKUP(A54,'Trips&amp;Operators'!$C$1:$G$99999,5,FALSE)</f>
        <v>YORK EDGAR</v>
      </c>
      <c r="M54" s="6">
        <f t="shared" si="1"/>
        <v>2.5833333333139308E-2</v>
      </c>
      <c r="N54" s="7">
        <f t="shared" si="21"/>
        <v>37.199999999720603</v>
      </c>
      <c r="O54" s="7"/>
      <c r="P54" s="7"/>
      <c r="Q54" s="22"/>
      <c r="R54" s="190"/>
      <c r="S54" s="196">
        <f t="shared" si="22"/>
        <v>1</v>
      </c>
      <c r="T54" s="190" t="str">
        <f t="shared" si="2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3"/>
        <v>https://d0f6bd738d7f1b3e5a7ca70fe4ff75f0.us-east-1.aws.found.io/app/kibana#/discover/Steve-Slow-Train-Analysis-(2080s-and-2083s)?_g=(refreshInterval:(display:Off,pause:!f,section:0,value:0),time:(from:'2017-05-15T08:07:28-0600',mode:absolute,to:'2017-05-15T11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4" s="192" t="str">
        <f t="shared" si="4"/>
        <v>N</v>
      </c>
      <c r="X54" s="192">
        <f t="shared" si="23"/>
        <v>1</v>
      </c>
      <c r="Y54" s="192">
        <f t="shared" si="6"/>
        <v>23.297799999999999</v>
      </c>
      <c r="Z54" s="192">
        <f t="shared" si="7"/>
        <v>1.61E-2</v>
      </c>
      <c r="AA54" s="192">
        <f t="shared" si="8"/>
        <v>23.281699999999997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9"/>
        <v>0140-15</v>
      </c>
      <c r="AE54" s="80" t="str">
        <f t="shared" si="10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54" s="77" t="str">
        <f t="shared" si="11"/>
        <v>"C:\Program Files (x86)\AstroGrep\AstroGrep.exe" /e /r /s /spath="%USERPROFILE%\AppData\Local\Temp\OnboardLogs" /stypes="app*4051*20170515*" /stext=" 16:.+((SYSTEM_STATE.+slice.+state.+changed )|(ment ac)|(multiple cpu faults)|(system.+state.+changed )|(\[timeout)|(PRM\|1\|D)|(kpr)|(kdp)|(train st.+moving)|(\|lc)|(penalty))"</v>
      </c>
      <c r="AG54" s="1" t="str">
        <f t="shared" si="12"/>
        <v>EC</v>
      </c>
      <c r="AH54" s="81" t="str">
        <f t="shared" si="17"/>
        <v>"%USERPROFILE%\Documents\GitHub\eaglep3\Utilities\RefineRTDCRunTimes.py" --tripid 140-15 --locoid 4051 --swversion DE.1.0.9.0 --startMP 204:232978 --initTime 2017-05-15T09:07:28 --startdatetime 2017-05-15T09:26:50 --delay 2 --endMP 204:161 --enddatetime 2017-05-15T10:04:02 --enforcementcount 0 &gt;&gt;C:\Users\stu\Documents\GitHub\eaglep3-reporting\EC\2017-05-15-refined-times.txt</v>
      </c>
      <c r="AI54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{"issue":{"subject":"","project_id":79,"tracker_id":40,"status_id":1,"priority_id":2,"assigned_to_id":23,"start_date":"2017-05-15","description":"","custom_fields":[{"id":1,"name":"Subdivision","value":"EC"},{"id":4,"name":"Milepost","value":"0.0161"},{"id":17,"name":"Train ID","value":"140-15"},{"id":16,"name":"Locomotive ID","value":"4051"},{"id":130,"name":"Impact","value":""},{"id":150,"name":"Time of Event (Mountain Time)","value":"10:04:02"},{"id":151,"name":"Denver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19"/>
        <v>start /low /b %USERPROFILE%\Documents\GitHub\eaglep3\Utilities\DownloadLogsFromS3.py --loco 4051 --day 2017-05-15</v>
      </c>
      <c r="AN54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688</v>
      </c>
      <c r="B55" s="7">
        <v>4028</v>
      </c>
      <c r="C55" s="21" t="s">
        <v>206</v>
      </c>
      <c r="D55" s="21" t="s">
        <v>364</v>
      </c>
      <c r="E55" s="13">
        <v>42870.359155092592</v>
      </c>
      <c r="F55" s="13">
        <v>42870.36478009259</v>
      </c>
      <c r="G55" s="7">
        <v>1</v>
      </c>
      <c r="H55" s="21" t="s">
        <v>850</v>
      </c>
      <c r="I55" s="13">
        <v>42870.38962962963</v>
      </c>
      <c r="J55" s="7">
        <v>0</v>
      </c>
      <c r="K55" s="92" t="str">
        <f t="shared" si="0"/>
        <v>4027/4028</v>
      </c>
      <c r="L55" s="21" t="str">
        <f>VLOOKUP(A55,'Trips&amp;Operators'!$C$1:$G$99999,5,FALSE)</f>
        <v>SANTIZO D. EDY</v>
      </c>
      <c r="M55" s="6">
        <f t="shared" si="1"/>
        <v>2.4849537039699499E-2</v>
      </c>
      <c r="N55" s="7">
        <f t="shared" si="21"/>
        <v>35.783333337167278</v>
      </c>
      <c r="O55" s="7"/>
      <c r="P55" s="7"/>
      <c r="Q55" s="22"/>
      <c r="R55" s="190"/>
      <c r="S55" s="196">
        <f t="shared" si="22"/>
        <v>1</v>
      </c>
      <c r="T55" s="190" t="str">
        <f t="shared" si="2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3"/>
        <v>https://d0f6bd738d7f1b3e5a7ca70fe4ff75f0.us-east-1.aws.found.io/app/kibana#/discover/Steve-Slow-Train-Analysis-(2080s-and-2083s)?_g=(refreshInterval:(display:Off,pause:!f,section:0,value:0),time:(from:'2017-05-15T07:37:11-0600',mode:absolute,to:'2017-05-15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5" s="192" t="str">
        <f t="shared" si="4"/>
        <v>N</v>
      </c>
      <c r="X55" s="192">
        <f t="shared" si="23"/>
        <v>1</v>
      </c>
      <c r="Y55" s="192">
        <f t="shared" si="6"/>
        <v>4.6399999999999997E-2</v>
      </c>
      <c r="Z55" s="192">
        <f t="shared" si="7"/>
        <v>23.330400000000001</v>
      </c>
      <c r="AA55" s="192">
        <f t="shared" si="8"/>
        <v>23.284000000000002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9"/>
        <v>0141-15</v>
      </c>
      <c r="AE55" s="80" t="str">
        <f t="shared" si="10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55" s="77" t="str">
        <f t="shared" si="11"/>
        <v>"C:\Program Files (x86)\AstroGrep\AstroGrep.exe" /e /r /s /spath="%USERPROFILE%\AppData\Local\Temp\OnboardLogs" /stypes="app*4028*20170515*" /stext=" 15:.+((SYSTEM_STATE.+slice.+state.+changed )|(ment ac)|(multiple cpu faults)|(system.+state.+changed )|(\[timeout)|(PRM\|1\|D)|(kpr)|(kdp)|(train st.+moving)|(\|lc)|(penalty))"</v>
      </c>
      <c r="AG55" s="1" t="str">
        <f t="shared" si="12"/>
        <v>EC</v>
      </c>
      <c r="AH55" s="81" t="str">
        <f t="shared" si="17"/>
        <v>"%USERPROFILE%\Documents\GitHub\eaglep3\Utilities\RefineRTDCRunTimes.py" --tripid 141-15 --locoid 4028 --swversion DE.1.0.9.0 --startMP 204:464 --initTime 2017-05-15T08:37:11 --startdatetime 2017-05-15T08:45:17 --delay 1 --endMP 204:233304 --enddatetime 2017-05-15T09:21:04 --enforcementcount 0 &gt;&gt;C:\Users\stu\Documents\GitHub\eaglep3-reporting\EC\2017-05-15-refined-times.txt</v>
      </c>
      <c r="AI5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{"issue":{"subject":"","project_id":79,"tracker_id":40,"status_id":1,"priority_id":2,"assigned_to_id":23,"start_date":"2017-05-15","description":"","custom_fields":[{"id":1,"name":"Subdivision","value":"EC"},{"id":4,"name":"Milepost","value":"23.3304"},{"id":17,"name":"Train ID","value":"141-15"},{"id":16,"name":"Locomotive ID","value":"4028"},{"id":130,"name":"Impact","value":""},{"id":150,"name":"Time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19"/>
        <v>start /low /b %USERPROFILE%\Documents\GitHub\eaglep3\Utilities\DownloadLogsFromS3.py --loco 4028 --day 2017-05-15</v>
      </c>
      <c r="AN5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587</v>
      </c>
      <c r="B56" s="7">
        <v>4027</v>
      </c>
      <c r="C56" s="21" t="s">
        <v>206</v>
      </c>
      <c r="D56" s="21" t="s">
        <v>385</v>
      </c>
      <c r="E56" s="13">
        <v>42870.394884259258</v>
      </c>
      <c r="F56" s="13">
        <v>42870.403749999998</v>
      </c>
      <c r="G56" s="7">
        <v>2</v>
      </c>
      <c r="H56" s="21" t="s">
        <v>372</v>
      </c>
      <c r="I56" s="13">
        <v>42870.432372685187</v>
      </c>
      <c r="J56" s="7">
        <v>0</v>
      </c>
      <c r="K56" s="92" t="str">
        <f t="shared" si="0"/>
        <v>4027/4028</v>
      </c>
      <c r="L56" s="21" t="str">
        <f>VLOOKUP(A56,'Trips&amp;Operators'!$C$1:$G$99999,5,FALSE)</f>
        <v>MAYBERRY BILL</v>
      </c>
      <c r="M56" s="6">
        <f t="shared" si="1"/>
        <v>2.8622685189475305E-2</v>
      </c>
      <c r="N56" s="7">
        <f t="shared" si="21"/>
        <v>41.21666667284444</v>
      </c>
      <c r="O56" s="7"/>
      <c r="P56" s="7"/>
      <c r="Q56" s="22"/>
      <c r="R56" s="190"/>
      <c r="S56" s="196">
        <f t="shared" si="22"/>
        <v>1</v>
      </c>
      <c r="T56" s="190" t="str">
        <f t="shared" si="2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3"/>
        <v>https://d0f6bd738d7f1b3e5a7ca70fe4ff75f0.us-east-1.aws.found.io/app/kibana#/discover/Steve-Slow-Train-Analysis-(2080s-and-2083s)?_g=(refreshInterval:(display:Off,pause:!f,section:0,value:0),time:(from:'2017-05-15T08:28:38-0600',mode:absolute,to:'2017-05-15T11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6" s="192" t="str">
        <f t="shared" si="4"/>
        <v>N</v>
      </c>
      <c r="X56" s="192">
        <f t="shared" si="23"/>
        <v>1</v>
      </c>
      <c r="Y56" s="192">
        <f t="shared" si="6"/>
        <v>23.299800000000001</v>
      </c>
      <c r="Z56" s="192">
        <f t="shared" si="7"/>
        <v>1.47E-2</v>
      </c>
      <c r="AA56" s="192">
        <f t="shared" si="8"/>
        <v>23.2851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9"/>
        <v>0142-15</v>
      </c>
      <c r="AE56" s="80" t="str">
        <f t="shared" si="10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56" s="77" t="str">
        <f t="shared" si="11"/>
        <v>"C:\Program Files (x86)\AstroGrep\AstroGrep.exe" /e /r /s /spath="%USERPROFILE%\AppData\Local\Temp\OnboardLogs" /stypes="app*4027*20170515*" /stext=" 16:.+((SYSTEM_STATE.+slice.+state.+changed )|(ment ac)|(multiple cpu faults)|(system.+state.+changed )|(\[timeout)|(PRM\|1\|D)|(kpr)|(kdp)|(train st.+moving)|(\|lc)|(penalty))"</v>
      </c>
      <c r="AG56" s="1" t="str">
        <f t="shared" si="12"/>
        <v>EC</v>
      </c>
      <c r="AH56" s="81" t="str">
        <f t="shared" si="17"/>
        <v>"%USERPROFILE%\Documents\GitHub\eaglep3\Utilities\RefineRTDCRunTimes.py" --tripid 142-15 --locoid 4027 --swversion DE.1.0.9.0 --startMP 204:232998 --initTime 2017-05-15T09:28:38 --startdatetime 2017-05-15T09:41:24 --delay 2 --endMP 204:147 --enddatetime 2017-05-15T10:22:37 --enforcementcount 0 &gt;&gt;C:\Users\stu\Documents\GitHub\eaglep3-reporting\EC\2017-05-15-refined-times.txt</v>
      </c>
      <c r="AI5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{"issue":{"subject":"","project_id":79,"tracker_id":40,"status_id":1,"priority_id":2,"assigned_to_id":23,"start_date":"2017-05-15","description":"","custom_fields":[{"id":1,"name":"Subdivision","value":"EC"},{"id":4,"name":"Milepost","value":"0.0147"},{"id":17,"name":"Train ID","value":"142-15"},{"id":16,"name":"Locomotive ID","value":"4027"},{"id":130,"name":"Impact","value":""},{"id":150,"name":"Time of Event (Mountain Time)","value":"10:22:37"},{"id":151,"name":"Denver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19"/>
        <v>start /low /b %USERPROFILE%\Documents\GitHub\eaglep3\Utilities\DownloadLogsFromS3.py --loco 4027 --day 2017-05-15</v>
      </c>
      <c r="AN5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4010</v>
      </c>
      <c r="C57" s="21" t="s">
        <v>206</v>
      </c>
      <c r="D57" s="21" t="s">
        <v>364</v>
      </c>
      <c r="E57" s="13">
        <v>42870.371238425927</v>
      </c>
      <c r="F57" s="13">
        <v>42870.375173611108</v>
      </c>
      <c r="G57" s="7">
        <v>1</v>
      </c>
      <c r="H57" s="21" t="s">
        <v>542</v>
      </c>
      <c r="I57" s="13">
        <v>42870.399594907409</v>
      </c>
      <c r="J57" s="7">
        <v>0</v>
      </c>
      <c r="K57" s="92" t="str">
        <f t="shared" si="0"/>
        <v>4009/4010</v>
      </c>
      <c r="L57" s="21" t="str">
        <f>VLOOKUP(A57,'Trips&amp;Operators'!$C$1:$G$99999,5,FALSE)</f>
        <v>ROBINSON KADDIBA</v>
      </c>
      <c r="M57" s="6">
        <f t="shared" si="1"/>
        <v>2.4421296300715767E-2</v>
      </c>
      <c r="N57" s="7">
        <f t="shared" si="21"/>
        <v>35.166666673030704</v>
      </c>
      <c r="O57" s="7"/>
      <c r="P57" s="7"/>
      <c r="Q57" s="22"/>
      <c r="R57" s="190"/>
      <c r="S57" s="196">
        <f t="shared" si="22"/>
        <v>1</v>
      </c>
      <c r="T57" s="190" t="str">
        <f t="shared" si="2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3"/>
        <v>https://d0f6bd738d7f1b3e5a7ca70fe4ff75f0.us-east-1.aws.found.io/app/kibana#/discover/Steve-Slow-Train-Analysis-(2080s-and-2083s)?_g=(refreshInterval:(display:Off,pause:!f,section:0,value:0),time:(from:'2017-05-15T07:54:35-0600',mode:absolute,to:'2017-05-15T10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7" s="192" t="str">
        <f t="shared" si="4"/>
        <v>N</v>
      </c>
      <c r="X57" s="192">
        <f t="shared" si="23"/>
        <v>1</v>
      </c>
      <c r="Y57" s="192">
        <f t="shared" si="6"/>
        <v>4.6399999999999997E-2</v>
      </c>
      <c r="Z57" s="192">
        <f t="shared" si="7"/>
        <v>23.328800000000001</v>
      </c>
      <c r="AA57" s="192">
        <f t="shared" si="8"/>
        <v>23.282400000000003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9"/>
        <v>0143-15</v>
      </c>
      <c r="AE57" s="80" t="str">
        <f t="shared" si="10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57" s="77" t="str">
        <f t="shared" si="11"/>
        <v>"C:\Program Files (x86)\AstroGrep\AstroGrep.exe" /e /r /s /spath="%USERPROFILE%\AppData\Local\Temp\OnboardLogs" /stypes="app*4010*20170515*" /stext=" 15:.+((SYSTEM_STATE.+slice.+state.+changed )|(ment ac)|(multiple cpu faults)|(system.+state.+changed )|(\[timeout)|(PRM\|1\|D)|(kpr)|(kdp)|(train st.+moving)|(\|lc)|(penalty))"</v>
      </c>
      <c r="AG57" s="1" t="str">
        <f t="shared" si="12"/>
        <v>EC</v>
      </c>
      <c r="AH57" s="81" t="str">
        <f t="shared" si="17"/>
        <v>"%USERPROFILE%\Documents\GitHub\eaglep3\Utilities\RefineRTDCRunTimes.py" --tripid 143-15 --locoid 4010 --swversion DE.1.0.9.0 --startMP 204:464 --initTime 2017-05-15T08:54:35 --startdatetime 2017-05-15T09:00:15 --delay 1 --endMP 204:233288 --enddatetime 2017-05-15T09:35:25 --enforcementcount 0 &gt;&gt;C:\Users\stu\Documents\GitHub\eaglep3-reporting\EC\2017-05-15-refined-times.txt</v>
      </c>
      <c r="AI5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{"issue":{"subject":"","project_id":79,"tracker_id":40,"status_id":1,"priority_id":2,"assigned_to_id":23,"start_date":"2017-05-15","description":"","custom_fields":[{"id":1,"name":"Subdivision","value":"EC"},{"id":4,"name":"Milepost","value":"23.3288"},{"id":17,"name":"Train ID","value":"143-15"},{"id":16,"name":"Locomotive ID","value":"4010"},{"id":130,"name":"Impact","value":""},{"id":150,"name":"Time of Event (Mountain Time)","value":"09:35:25"},{"id":151,"name":"Denver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19"/>
        <v>start /low /b %USERPROFILE%\Documents\GitHub\eaglep3\Utilities\DownloadLogsFromS3.py --loco 4010 --day 2017-05-15</v>
      </c>
      <c r="AN5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699</v>
      </c>
      <c r="B58" s="7">
        <v>4009</v>
      </c>
      <c r="C58" s="21" t="s">
        <v>206</v>
      </c>
      <c r="D58" s="21" t="s">
        <v>538</v>
      </c>
      <c r="E58" s="13">
        <v>42870.405474537038</v>
      </c>
      <c r="F58" s="13">
        <v>42870.4140625</v>
      </c>
      <c r="G58" s="7">
        <v>1</v>
      </c>
      <c r="H58" s="21" t="s">
        <v>384</v>
      </c>
      <c r="I58" s="13">
        <v>42870.443449074075</v>
      </c>
      <c r="J58" s="7">
        <v>0</v>
      </c>
      <c r="K58" s="92" t="str">
        <f t="shared" si="0"/>
        <v>4009/4010</v>
      </c>
      <c r="L58" s="21" t="str">
        <f>VLOOKUP(A58,'Trips&amp;Operators'!$C$1:$G$99999,5,FALSE)</f>
        <v>ROBINSON KADDIBA</v>
      </c>
      <c r="M58" s="6">
        <f t="shared" si="1"/>
        <v>2.9386574075033423E-2</v>
      </c>
      <c r="N58" s="7">
        <f t="shared" si="21"/>
        <v>42.316666668048128</v>
      </c>
      <c r="O58" s="7"/>
      <c r="P58" s="7"/>
      <c r="Q58" s="22"/>
      <c r="R58" s="190"/>
      <c r="S58" s="196">
        <f t="shared" si="22"/>
        <v>1</v>
      </c>
      <c r="T58" s="190" t="str">
        <f t="shared" si="2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 t="shared" si="3"/>
        <v>https://d0f6bd738d7f1b3e5a7ca70fe4ff75f0.us-east-1.aws.found.io/app/kibana#/discover/Steve-Slow-Train-Analysis-(2080s-and-2083s)?_g=(refreshInterval:(display:Off,pause:!f,section:0,value:0),time:(from:'2017-05-15T08:43:53-0600',mode:absolute,to:'2017-05-15T11:38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8" s="192" t="str">
        <f t="shared" si="4"/>
        <v>N</v>
      </c>
      <c r="X58" s="192">
        <f t="shared" si="23"/>
        <v>1</v>
      </c>
      <c r="Y58" s="192">
        <f t="shared" si="6"/>
        <v>23.297999999999998</v>
      </c>
      <c r="Z58" s="192">
        <f t="shared" si="7"/>
        <v>1.3599999999999999E-2</v>
      </c>
      <c r="AA58" s="192">
        <f t="shared" si="8"/>
        <v>23.284399999999998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9"/>
        <v>0144-15</v>
      </c>
      <c r="AE58" s="80" t="str">
        <f t="shared" si="10"/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AF58" s="77" t="str">
        <f t="shared" si="11"/>
        <v>"C:\Program Files (x86)\AstroGrep\AstroGrep.exe" /e /r /s /spath="%USERPROFILE%\AppData\Local\Temp\OnboardLogs" /stypes="app*4009*20170515*" /stext=" 16:.+((SYSTEM_STATE.+slice.+state.+changed )|(ment ac)|(multiple cpu faults)|(system.+state.+changed )|(\[timeout)|(PRM\|1\|D)|(kpr)|(kdp)|(train st.+moving)|(\|lc)|(penalty))"</v>
      </c>
      <c r="AG58" s="1" t="str">
        <f t="shared" si="12"/>
        <v>EC</v>
      </c>
      <c r="AH58" s="81" t="str">
        <f t="shared" si="17"/>
        <v>"%USERPROFILE%\Documents\GitHub\eaglep3\Utilities\RefineRTDCRunTimes.py" --tripid 144-15 --locoid 4009 --swversion DE.1.0.9.0 --startMP 204:232980 --initTime 2017-05-15T09:43:53 --startdatetime 2017-05-15T09:56:15 --delay 1 --endMP 204:136 --enddatetime 2017-05-15T10:38:34 --enforcementcount 0 &gt;&gt;C:\Users\stu\Documents\GitHub\eaglep3-reporting\EC\2017-05-15-refined-times.txt</v>
      </c>
      <c r="AI58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{"issue":{"subject":"","project_id":79,"tracker_id":40,"status_id":1,"priority_id":2,"assigned_to_id":23,"start_date":"2017-05-15","description":"","custom_fields":[{"id":1,"name":"Subdivision","value":"EC"},{"id":4,"name":"Milepost","value":"0.0136"},{"id":17,"name":"Train ID","value":"144-15"},{"id":16,"name":"Locomotive ID","value":"4009"},{"id":130,"name":"Impact","value":""},{"id":150,"name":"Time of Event (Mountain Time)","value":"10:38:34"},{"id":151,"name":"Denver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19"/>
        <v>start /low /b %USERPROFILE%\Documents\GitHub\eaglep3\Utilities\DownloadLogsFromS3.py --loco 4009 --day 2017-05-15</v>
      </c>
      <c r="AN58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16:38:34"},{"id":29,"name":"Sharepoint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693</v>
      </c>
      <c r="B59" s="7">
        <v>4042</v>
      </c>
      <c r="C59" s="21" t="s">
        <v>206</v>
      </c>
      <c r="D59" s="21" t="s">
        <v>368</v>
      </c>
      <c r="E59" s="13">
        <v>42870.38318287037</v>
      </c>
      <c r="F59" s="13">
        <v>42870.385636574072</v>
      </c>
      <c r="G59" s="7">
        <v>1</v>
      </c>
      <c r="H59" s="21" t="s">
        <v>859</v>
      </c>
      <c r="I59" s="13">
        <v>42870.410486111112</v>
      </c>
      <c r="J59" s="7">
        <v>0</v>
      </c>
      <c r="K59" s="92" t="str">
        <f t="shared" si="0"/>
        <v>4041/4042</v>
      </c>
      <c r="L59" s="21" t="str">
        <f>VLOOKUP(A59,'Trips&amp;Operators'!$C$1:$G$99999,5,FALSE)</f>
        <v>MAELZER KURT</v>
      </c>
      <c r="M59" s="6">
        <f t="shared" si="1"/>
        <v>2.4849537039699499E-2</v>
      </c>
      <c r="N59" s="7">
        <f t="shared" si="21"/>
        <v>35.783333337167278</v>
      </c>
      <c r="O59" s="7"/>
      <c r="P59" s="7"/>
      <c r="Q59" s="22"/>
      <c r="R59" s="190"/>
      <c r="S59" s="196">
        <f t="shared" si="22"/>
        <v>1</v>
      </c>
      <c r="T59" s="190" t="str">
        <f t="shared" si="2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3"/>
        <v>https://d0f6bd738d7f1b3e5a7ca70fe4ff75f0.us-east-1.aws.found.io/app/kibana#/discover/Steve-Slow-Train-Analysis-(2080s-and-2083s)?_g=(refreshInterval:(display:Off,pause:!f,section:0,value:0),time:(from:'2017-05-15T08:11:47-0600',mode:absolute,to:'2017-05-15T10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9" s="192" t="str">
        <f t="shared" si="4"/>
        <v>N</v>
      </c>
      <c r="X59" s="192">
        <f t="shared" si="23"/>
        <v>1</v>
      </c>
      <c r="Y59" s="192">
        <f t="shared" si="6"/>
        <v>4.4699999999999997E-2</v>
      </c>
      <c r="Z59" s="192">
        <f t="shared" si="7"/>
        <v>23.333100000000002</v>
      </c>
      <c r="AA59" s="192">
        <f t="shared" si="8"/>
        <v>23.288400000000003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9"/>
        <v>0145-15</v>
      </c>
      <c r="AE59" s="80" t="str">
        <f t="shared" si="10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59" s="77" t="str">
        <f t="shared" si="11"/>
        <v>"C:\Program Files (x86)\AstroGrep\AstroGrep.exe" /e /r /s /spath="%USERPROFILE%\AppData\Local\Temp\OnboardLogs" /stypes="app*4042*20170515*" /stext=" 15:.+((SYSTEM_STATE.+slice.+state.+changed )|(ment ac)|(multiple cpu faults)|(system.+state.+changed )|(\[timeout)|(PRM\|1\|D)|(kpr)|(kdp)|(train st.+moving)|(\|lc)|(penalty))"</v>
      </c>
      <c r="AG59" s="1" t="str">
        <f t="shared" si="12"/>
        <v>EC</v>
      </c>
      <c r="AH59" s="81" t="str">
        <f t="shared" si="17"/>
        <v>"%USERPROFILE%\Documents\GitHub\eaglep3\Utilities\RefineRTDCRunTimes.py" --tripid 145-15 --locoid 4042 --swversion DE.1.0.9.0 --startMP 204:447 --initTime 2017-05-15T09:11:47 --startdatetime 2017-05-15T09:15:19 --delay 1 --endMP 204:233331 --enddatetime 2017-05-15T09:51:06 --enforcementcount 0 &gt;&gt;C:\Users\stu\Documents\GitHub\eaglep3-reporting\EC\2017-05-15-refined-times.txt</v>
      </c>
      <c r="AI59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{"issue":{"subject":"","project_id":79,"tracker_id":40,"status_id":1,"priority_id":2,"assigned_to_id":23,"start_date":"2017-05-15","description":"","custom_fields":[{"id":1,"name":"Subdivision","value":"EC"},{"id":4,"name":"Milepost","value":"23.3331"},{"id":17,"name":"Train ID","value":"145-15"},{"id":16,"name":"Locomotive ID","value":"4042"},{"id":130,"name":"Impact","value":""},{"id":150,"name":"Time of Event (Mountain Time)","value":"09:51:06"},{"id":151,"name":"Denver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19"/>
        <v>start /low /b %USERPROFILE%\Documents\GitHub\eaglep3\Utilities\DownloadLogsFromS3.py --loco 4042 --day 2017-05-15</v>
      </c>
      <c r="AN59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702</v>
      </c>
      <c r="B60" s="7">
        <v>4041</v>
      </c>
      <c r="C60" s="21" t="s">
        <v>206</v>
      </c>
      <c r="D60" s="21" t="s">
        <v>549</v>
      </c>
      <c r="E60" s="13">
        <v>42870.414918981478</v>
      </c>
      <c r="F60" s="13">
        <v>42870.424560185187</v>
      </c>
      <c r="G60" s="7">
        <v>1</v>
      </c>
      <c r="H60" s="21" t="s">
        <v>448</v>
      </c>
      <c r="I60" s="13">
        <v>42870.45108796296</v>
      </c>
      <c r="J60" s="7">
        <v>0</v>
      </c>
      <c r="K60" s="92" t="str">
        <f t="shared" si="0"/>
        <v>4041/4042</v>
      </c>
      <c r="L60" s="21" t="str">
        <f>VLOOKUP(A60,'Trips&amp;Operators'!$C$1:$G$99999,5,FALSE)</f>
        <v>MAELZER KURT</v>
      </c>
      <c r="M60" s="6">
        <f t="shared" si="1"/>
        <v>2.6527777772571426E-2</v>
      </c>
      <c r="N60" s="7">
        <f t="shared" si="21"/>
        <v>38.199999992502853</v>
      </c>
      <c r="O60" s="7"/>
      <c r="P60" s="7"/>
      <c r="Q60" s="22"/>
      <c r="R60" s="190"/>
      <c r="S60" s="196">
        <f t="shared" si="22"/>
        <v>1</v>
      </c>
      <c r="T60" s="190" t="str">
        <f t="shared" si="2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3"/>
        <v>https://d0f6bd738d7f1b3e5a7ca70fe4ff75f0.us-east-1.aws.found.io/app/kibana#/discover/Steve-Slow-Train-Analysis-(2080s-and-2083s)?_g=(refreshInterval:(display:Off,pause:!f,section:0,value:0),time:(from:'2017-05-15T08:57:29-0600',mode:absolute,to:'2017-05-15T11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0" s="192" t="str">
        <f t="shared" si="4"/>
        <v>N</v>
      </c>
      <c r="X60" s="192">
        <f t="shared" si="23"/>
        <v>1</v>
      </c>
      <c r="Y60" s="192">
        <f t="shared" si="6"/>
        <v>23.301100000000002</v>
      </c>
      <c r="Z60" s="192">
        <f t="shared" si="7"/>
        <v>1.34E-2</v>
      </c>
      <c r="AA60" s="192">
        <f t="shared" si="8"/>
        <v>23.287700000000001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9"/>
        <v>0146-15</v>
      </c>
      <c r="AE60" s="80" t="str">
        <f t="shared" si="10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60" s="77" t="str">
        <f t="shared" si="11"/>
        <v>"C:\Program Files (x86)\AstroGrep\AstroGrep.exe" /e /r /s /spath="%USERPROFILE%\AppData\Local\Temp\OnboardLogs" /stypes="app*4041*20170515*" /stext=" 16:.+((SYSTEM_STATE.+slice.+state.+changed )|(ment ac)|(multiple cpu faults)|(system.+state.+changed )|(\[timeout)|(PRM\|1\|D)|(kpr)|(kdp)|(train st.+moving)|(\|lc)|(penalty))"</v>
      </c>
      <c r="AG60" s="1" t="str">
        <f t="shared" si="12"/>
        <v>EC</v>
      </c>
      <c r="AH60" s="81" t="str">
        <f t="shared" si="17"/>
        <v>"%USERPROFILE%\Documents\GitHub\eaglep3\Utilities\RefineRTDCRunTimes.py" --tripid 146-15 --locoid 4041 --swversion DE.1.0.9.0 --startMP 204:233011 --initTime 2017-05-15T09:57:29 --startdatetime 2017-05-15T10:11:22 --delay 1 --endMP 204:134 --enddatetime 2017-05-15T10:49:34 --enforcementcount 0 &gt;&gt;C:\Users\stu\Documents\GitHub\eaglep3-reporting\EC\2017-05-15-refined-times.txt</v>
      </c>
      <c r="AI60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{"issue":{"subject":"","project_id":79,"tracker_id":40,"status_id":1,"priority_id":2,"assigned_to_id":23,"start_date":"2017-05-15","description":"","custom_fields":[{"id":1,"name":"Subdivision","value":"EC"},{"id":4,"name":"Milepost","value":"0.0134"},{"id":17,"name":"Train ID","value":"146-15"},{"id":16,"name":"Locomotive ID","value":"4041"},{"id":130,"name":"Impact","value":""},{"id":150,"name":"Time of Event (Mountain Time)","value":"10:49:34"},{"id":151,"name":"Denver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19"/>
        <v>start /low /b %USERPROFILE%\Documents\GitHub\eaglep3\Utilities\DownloadLogsFromS3.py --loco 4041 --day 2017-05-15</v>
      </c>
      <c r="AN60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694</v>
      </c>
      <c r="B61" s="7">
        <v>4030</v>
      </c>
      <c r="C61" s="21" t="s">
        <v>206</v>
      </c>
      <c r="D61" s="21" t="s">
        <v>203</v>
      </c>
      <c r="E61" s="13">
        <v>42870.391539351855</v>
      </c>
      <c r="F61" s="13">
        <v>42870.39603009259</v>
      </c>
      <c r="G61" s="7">
        <v>1</v>
      </c>
      <c r="H61" s="21" t="s">
        <v>422</v>
      </c>
      <c r="I61" s="13">
        <v>42870.42355324074</v>
      </c>
      <c r="J61" s="7">
        <v>0</v>
      </c>
      <c r="K61" s="92" t="str">
        <f t="shared" si="0"/>
        <v>4029/4030</v>
      </c>
      <c r="L61" s="21" t="str">
        <f>VLOOKUP(A61,'Trips&amp;Operators'!$C$1:$G$99999,5,FALSE)</f>
        <v>YOUNG ELIZABETH</v>
      </c>
      <c r="M61" s="6">
        <f t="shared" si="1"/>
        <v>2.7523148150066845E-2</v>
      </c>
      <c r="N61" s="7">
        <f t="shared" si="21"/>
        <v>39.633333336096257</v>
      </c>
      <c r="O61" s="7"/>
      <c r="P61" s="7"/>
      <c r="Q61" s="22"/>
      <c r="R61" s="190"/>
      <c r="S61" s="196">
        <f t="shared" si="22"/>
        <v>1</v>
      </c>
      <c r="T61" s="190" t="str">
        <f t="shared" si="2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3"/>
        <v>https://d0f6bd738d7f1b3e5a7ca70fe4ff75f0.us-east-1.aws.found.io/app/kibana#/discover/Steve-Slow-Train-Analysis-(2080s-and-2083s)?_g=(refreshInterval:(display:Off,pause:!f,section:0,value:0),time:(from:'2017-05-15T08:23:49-0600',mode:absolute,to:'2017-05-15T11:09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192" t="str">
        <f t="shared" si="4"/>
        <v>N</v>
      </c>
      <c r="X61" s="192">
        <f t="shared" si="23"/>
        <v>1</v>
      </c>
      <c r="Y61" s="192">
        <f t="shared" si="6"/>
        <v>4.5999999999999999E-2</v>
      </c>
      <c r="Z61" s="192">
        <f t="shared" si="7"/>
        <v>23.327999999999999</v>
      </c>
      <c r="AA61" s="192">
        <f t="shared" si="8"/>
        <v>23.282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9"/>
        <v>0147-15</v>
      </c>
      <c r="AE61" s="80" t="str">
        <f t="shared" si="10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61" s="77" t="str">
        <f t="shared" si="11"/>
        <v>"C:\Program Files (x86)\AstroGrep\AstroGrep.exe" /e /r /s /spath="%USERPROFILE%\AppData\Local\Temp\OnboardLogs" /stypes="app*4030*20170515*" /stext=" 16:.+((SYSTEM_STATE.+slice.+state.+changed )|(ment ac)|(multiple cpu faults)|(system.+state.+changed )|(\[timeout)|(PRM\|1\|D)|(kpr)|(kdp)|(train st.+moving)|(\|lc)|(penalty))"</v>
      </c>
      <c r="AG61" s="1" t="str">
        <f t="shared" si="12"/>
        <v>EC</v>
      </c>
      <c r="AH61" s="81" t="str">
        <f t="shared" si="17"/>
        <v>"%USERPROFILE%\Documents\GitHub\eaglep3\Utilities\RefineRTDCRunTimes.py" --tripid 147-15 --locoid 4030 --swversion DE.1.0.9.0 --startMP 204:460 --initTime 2017-05-15T09:23:49 --startdatetime 2017-05-15T09:30:17 --delay 1 --endMP 204:233280 --enddatetime 2017-05-15T10:09:55 --enforcementcount 0 &gt;&gt;C:\Users\stu\Documents\GitHub\eaglep3-reporting\EC\2017-05-15-refined-times.txt</v>
      </c>
      <c r="AI61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{"issue":{"subject":"","project_id":79,"tracker_id":40,"status_id":1,"priority_id":2,"assigned_to_id":23,"start_date":"2017-05-15","description":"","custom_fields":[{"id":1,"name":"Subdivision","value":"EC"},{"id":4,"name":"Milepost","value":"23.328"},{"id":17,"name":"Train ID","value":"147-15"},{"id":16,"name":"Locomotive ID","value":"4030"},{"id":130,"name":"Impact","value":""},{"id":150,"name":"Time of Event (Mountain Time)","value":"10:09:55"},{"id":151,"name":"Denver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19"/>
        <v>start /low /b %USERPROFILE%\Documents\GitHub\eaglep3\Utilities\DownloadLogsFromS3.py --loco 4030 --day 2017-05-15</v>
      </c>
      <c r="AN61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16:09:55"},{"id":29,"name":"Sharepoint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704</v>
      </c>
      <c r="B62" s="7">
        <v>4029</v>
      </c>
      <c r="C62" s="21" t="s">
        <v>206</v>
      </c>
      <c r="D62" s="21" t="s">
        <v>571</v>
      </c>
      <c r="E62" s="13">
        <v>42870.42523148148</v>
      </c>
      <c r="F62" s="13">
        <v>42870.434907407405</v>
      </c>
      <c r="G62" s="7">
        <v>1</v>
      </c>
      <c r="H62" s="21" t="s">
        <v>860</v>
      </c>
      <c r="I62" s="13">
        <v>42870.470185185186</v>
      </c>
      <c r="J62" s="7">
        <v>0</v>
      </c>
      <c r="K62" s="92" t="str">
        <f t="shared" si="0"/>
        <v>4029/4030</v>
      </c>
      <c r="L62" s="21" t="str">
        <f>VLOOKUP(A62,'Trips&amp;Operators'!$C$1:$G$99999,5,FALSE)</f>
        <v>YOUNG ELIZABETH</v>
      </c>
      <c r="M62" s="6">
        <f t="shared" si="1"/>
        <v>3.5277777780720498E-2</v>
      </c>
      <c r="N62" s="7">
        <f t="shared" si="21"/>
        <v>50.800000004237518</v>
      </c>
      <c r="O62" s="7"/>
      <c r="P62" s="7"/>
      <c r="Q62" s="22"/>
      <c r="R62" s="190"/>
      <c r="S62" s="196">
        <f t="shared" si="22"/>
        <v>1</v>
      </c>
      <c r="T62" s="190" t="str">
        <f t="shared" si="2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3"/>
        <v>https://d0f6bd738d7f1b3e5a7ca70fe4ff75f0.us-east-1.aws.found.io/app/kibana#/discover/Steve-Slow-Train-Analysis-(2080s-and-2083s)?_g=(refreshInterval:(display:Off,pause:!f,section:0,value:0),time:(from:'2017-05-15T09:12:20-0600',mode:absolute,to:'2017-05-15T12:17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192" t="str">
        <f t="shared" si="4"/>
        <v>N</v>
      </c>
      <c r="X62" s="192">
        <f t="shared" si="23"/>
        <v>1</v>
      </c>
      <c r="Y62" s="192">
        <f t="shared" si="6"/>
        <v>23.2971</v>
      </c>
      <c r="Z62" s="192">
        <f t="shared" si="7"/>
        <v>2.0500000000000001E-2</v>
      </c>
      <c r="AA62" s="192">
        <f t="shared" si="8"/>
        <v>23.276600000000002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9"/>
        <v>0148-15</v>
      </c>
      <c r="AE62" s="80" t="str">
        <f t="shared" si="10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62" s="77" t="str">
        <f t="shared" si="11"/>
        <v>"C:\Program Files (x86)\AstroGrep\AstroGrep.exe" /e /r /s /spath="%USERPROFILE%\AppData\Local\Temp\OnboardLogs" /stypes="app*4029*20170515*" /stext=" 17:.+((SYSTEM_STATE.+slice.+state.+changed )|(ment ac)|(multiple cpu faults)|(system.+state.+changed )|(\[timeout)|(PRM\|1\|D)|(kpr)|(kdp)|(train st.+moving)|(\|lc)|(penalty))"</v>
      </c>
      <c r="AG62" s="1" t="str">
        <f t="shared" si="12"/>
        <v>EC</v>
      </c>
      <c r="AH62" s="81" t="str">
        <f t="shared" si="17"/>
        <v>"%USERPROFILE%\Documents\GitHub\eaglep3\Utilities\RefineRTDCRunTimes.py" --tripid 148-15 --locoid 4029 --swversion DE.1.0.9.0 --startMP 204:232971 --initTime 2017-05-15T10:12:20 --startdatetime 2017-05-15T10:26:16 --delay 1 --endMP 204:205 --enddatetime 2017-05-15T11:17:04 --enforcementcount 0 &gt;&gt;C:\Users\stu\Documents\GitHub\eaglep3-reporting\EC\2017-05-15-refined-times.txt</v>
      </c>
      <c r="AI62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{"issue":{"subject":"","project_id":79,"tracker_id":40,"status_id":1,"priority_id":2,"assigned_to_id":23,"start_date":"2017-05-15","description":"","custom_fields":[{"id":1,"name":"Subdivision","value":"EC"},{"id":4,"name":"Milepost","value":"0.0205"},{"id":17,"name":"Train ID","value":"148-15"},{"id":16,"name":"Locomotive ID","value":"4029"},{"id":130,"name":"Impact","value":""},{"id":150,"name":"Time of Event (Mountain Time)","value":"11:17:04"},{"id":151,"name":"Denver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19"/>
        <v>start /low /b %USERPROFILE%\Documents\GitHub\eaglep3\Utilities\DownloadLogsFromS3.py --loco 4029 --day 2017-05-15</v>
      </c>
      <c r="AN62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17:17:04"},{"id":29,"name":"Sharepoint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698</v>
      </c>
      <c r="B63" s="7">
        <v>4016</v>
      </c>
      <c r="C63" s="21" t="s">
        <v>206</v>
      </c>
      <c r="D63" s="21" t="s">
        <v>366</v>
      </c>
      <c r="E63" s="13">
        <v>42870.401655092595</v>
      </c>
      <c r="F63" s="13">
        <v>42870.406597222223</v>
      </c>
      <c r="G63" s="7">
        <v>1</v>
      </c>
      <c r="H63" s="21" t="s">
        <v>531</v>
      </c>
      <c r="I63" s="13">
        <v>42870.432025462964</v>
      </c>
      <c r="J63" s="7">
        <v>0</v>
      </c>
      <c r="K63" s="92" t="str">
        <f t="shared" si="0"/>
        <v>4015/4016</v>
      </c>
      <c r="L63" s="21" t="str">
        <f>VLOOKUP(A63,'Trips&amp;Operators'!$C$1:$G$99999,5,FALSE)</f>
        <v>BONDS REYNALDO</v>
      </c>
      <c r="M63" s="6">
        <f t="shared" si="1"/>
        <v>2.5428240740438923E-2</v>
      </c>
      <c r="N63" s="7">
        <f t="shared" si="21"/>
        <v>36.616666666232049</v>
      </c>
      <c r="O63" s="7"/>
      <c r="P63" s="7"/>
      <c r="Q63" s="22"/>
      <c r="R63" s="190"/>
      <c r="S63" s="196">
        <f t="shared" si="22"/>
        <v>1</v>
      </c>
      <c r="T63" s="190" t="str">
        <f t="shared" si="2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3"/>
        <v>https://d0f6bd738d7f1b3e5a7ca70fe4ff75f0.us-east-1.aws.found.io/app/kibana#/discover/Steve-Slow-Train-Analysis-(2080s-and-2083s)?_g=(refreshInterval:(display:Off,pause:!f,section:0,value:0),time:(from:'2017-05-15T08:38:23-0600',mode:absolute,to:'2017-05-15T11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3" s="192" t="str">
        <f t="shared" si="4"/>
        <v>N</v>
      </c>
      <c r="X63" s="192">
        <f t="shared" si="23"/>
        <v>1</v>
      </c>
      <c r="Y63" s="192">
        <f t="shared" si="6"/>
        <v>4.53E-2</v>
      </c>
      <c r="Z63" s="192">
        <f t="shared" si="7"/>
        <v>23.329699999999999</v>
      </c>
      <c r="AA63" s="192">
        <f t="shared" si="8"/>
        <v>23.284399999999998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9"/>
        <v>0149-15</v>
      </c>
      <c r="AE63" s="80" t="str">
        <f t="shared" si="10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63" s="77" t="str">
        <f t="shared" si="11"/>
        <v>"C:\Program Files (x86)\AstroGrep\AstroGrep.exe" /e /r /s /spath="%USERPROFILE%\AppData\Local\Temp\OnboardLogs" /stypes="app*4016*20170515*" /stext=" 16:.+((SYSTEM_STATE.+slice.+state.+changed )|(ment ac)|(multiple cpu faults)|(system.+state.+changed )|(\[timeout)|(PRM\|1\|D)|(kpr)|(kdp)|(train st.+moving)|(\|lc)|(penalty))"</v>
      </c>
      <c r="AG63" s="1" t="str">
        <f t="shared" si="12"/>
        <v>EC</v>
      </c>
      <c r="AH63" s="81" t="str">
        <f t="shared" si="17"/>
        <v>"%USERPROFILE%\Documents\GitHub\eaglep3\Utilities\RefineRTDCRunTimes.py" --tripid 149-15 --locoid 4016 --swversion DE.1.0.9.0 --startMP 204:453 --initTime 2017-05-15T09:38:23 --startdatetime 2017-05-15T09:45:30 --delay 1 --endMP 204:233297 --enddatetime 2017-05-15T10:22:07 --enforcementcount 0 &gt;&gt;C:\Users\stu\Documents\GitHub\eaglep3-reporting\EC\2017-05-15-refined-times.txt</v>
      </c>
      <c r="AI63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{"issue":{"subject":"","project_id":79,"tracker_id":40,"status_id":1,"priority_id":2,"assigned_to_id":23,"start_date":"2017-05-15","description":"","custom_fields":[{"id":1,"name":"Subdivision","value":"EC"},{"id":4,"name":"Milepost","value":"23.3297"},{"id":17,"name":"Train ID","value":"149-15"},{"id":16,"name":"Locomotive ID","value":"4016"},{"id":130,"name":"Impact","value":""},{"id":150,"name":"Time of Event (Mountain Time)","value":"10:22:07"},{"id":151,"name":"Denver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19"/>
        <v>start /low /b %USERPROFILE%\Documents\GitHub\eaglep3\Utilities\DownloadLogsFromS3.py --loco 4016 --day 2017-05-15</v>
      </c>
      <c r="AN63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706</v>
      </c>
      <c r="B64" s="7">
        <v>4015</v>
      </c>
      <c r="C64" s="21" t="s">
        <v>206</v>
      </c>
      <c r="D64" s="21" t="s">
        <v>532</v>
      </c>
      <c r="E64" s="13">
        <v>42870.443356481483</v>
      </c>
      <c r="F64" s="13">
        <v>42870.445324074077</v>
      </c>
      <c r="G64" s="7">
        <v>1</v>
      </c>
      <c r="H64" s="21" t="s">
        <v>197</v>
      </c>
      <c r="I64" s="13">
        <v>42870.476956018516</v>
      </c>
      <c r="J64" s="7">
        <v>0</v>
      </c>
      <c r="K64" s="92" t="str">
        <f t="shared" si="0"/>
        <v>4015/4016</v>
      </c>
      <c r="L64" s="21" t="str">
        <f>VLOOKUP(A64,'Trips&amp;Operators'!$C$1:$G$99999,5,FALSE)</f>
        <v>BONDS REYNALDO</v>
      </c>
      <c r="M64" s="6">
        <f t="shared" si="1"/>
        <v>3.163194443914108E-2</v>
      </c>
      <c r="N64" s="7">
        <f t="shared" si="21"/>
        <v>45.549999992363155</v>
      </c>
      <c r="O64" s="7"/>
      <c r="P64" s="7"/>
      <c r="Q64" s="22"/>
      <c r="R64" s="190"/>
      <c r="S64" s="196">
        <f t="shared" si="22"/>
        <v>1</v>
      </c>
      <c r="T64" s="190" t="str">
        <f t="shared" si="2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3"/>
        <v>https://d0f6bd738d7f1b3e5a7ca70fe4ff75f0.us-east-1.aws.found.io/app/kibana#/discover/Steve-Slow-Train-Analysis-(2080s-and-2083s)?_g=(refreshInterval:(display:Off,pause:!f,section:0,value:0),time:(from:'2017-05-15T09:38:26-0600',mode:absolute,to:'2017-05-15T12:26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4" s="192" t="str">
        <f t="shared" si="4"/>
        <v>N</v>
      </c>
      <c r="X64" s="192">
        <f t="shared" si="23"/>
        <v>1</v>
      </c>
      <c r="Y64" s="192">
        <f t="shared" si="6"/>
        <v>23.298500000000001</v>
      </c>
      <c r="Z64" s="192">
        <f t="shared" si="7"/>
        <v>1.52E-2</v>
      </c>
      <c r="AA64" s="192">
        <f t="shared" si="8"/>
        <v>23.283300000000001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9"/>
        <v>0150-15</v>
      </c>
      <c r="AE64" s="80" t="str">
        <f t="shared" si="10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64" s="77" t="str">
        <f t="shared" si="11"/>
        <v>"C:\Program Files (x86)\AstroGrep\AstroGrep.exe" /e /r /s /spath="%USERPROFILE%\AppData\Local\Temp\OnboardLogs" /stypes="app*4015*20170515*" /stext=" 17:.+((SYSTEM_STATE.+slice.+state.+changed )|(ment ac)|(multiple cpu faults)|(system.+state.+changed )|(\[timeout)|(PRM\|1\|D)|(kpr)|(kdp)|(train st.+moving)|(\|lc)|(penalty))"</v>
      </c>
      <c r="AG64" s="1" t="str">
        <f t="shared" si="12"/>
        <v>EC</v>
      </c>
      <c r="AH64" s="81" t="str">
        <f t="shared" si="17"/>
        <v>"%USERPROFILE%\Documents\GitHub\eaglep3\Utilities\RefineRTDCRunTimes.py" --tripid 150-15 --locoid 4015 --swversion DE.1.0.9.0 --startMP 204:232985 --initTime 2017-05-15T10:38:26 --startdatetime 2017-05-15T10:41:16 --delay 1 --endMP 204:152 --enddatetime 2017-05-15T11:26:49 --enforcementcount 0 &gt;&gt;C:\Users\stu\Documents\GitHub\eaglep3-reporting\EC\2017-05-15-refined-times.txt</v>
      </c>
      <c r="AI64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{"issue":{"subject":"","project_id":79,"tracker_id":40,"status_id":1,"priority_id":2,"assigned_to_id":23,"start_date":"2017-05-15","description":"","custom_fields":[{"id":1,"name":"Subdivision","value":"EC"},{"id":4,"name":"Milepost","value":"0.0152"},{"id":17,"name":"Train ID","value":"150-15"},{"id":16,"name":"Locomotive ID","value":"4015"},{"id":130,"name":"Impact","value":""},{"id":150,"name":"Time of Event (Mountain Time)","value":"11:26:49"},{"id":151,"name":"Denver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19"/>
        <v>start /low /b %USERPROFILE%\Documents\GitHub\eaglep3\Utilities\DownloadLogsFromS3.py --loco 4015 --day 2017-05-15</v>
      </c>
      <c r="AN64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17:26:49"},{"id":29,"name":"Sharepoint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700</v>
      </c>
      <c r="B65" s="7">
        <v>4026</v>
      </c>
      <c r="C65" s="21" t="s">
        <v>206</v>
      </c>
      <c r="D65" s="21" t="s">
        <v>423</v>
      </c>
      <c r="E65" s="13">
        <v>42870.412430555552</v>
      </c>
      <c r="F65" s="13">
        <v>42870.417002314818</v>
      </c>
      <c r="G65" s="7">
        <v>1</v>
      </c>
      <c r="H65" s="21" t="s">
        <v>537</v>
      </c>
      <c r="I65" s="13">
        <v>42870.441076388888</v>
      </c>
      <c r="J65" s="7">
        <v>0</v>
      </c>
      <c r="K65" s="92" t="str">
        <f t="shared" si="0"/>
        <v>4025/4026</v>
      </c>
      <c r="L65" s="21" t="str">
        <f>VLOOKUP(A65,'Trips&amp;Operators'!$C$1:$G$99999,5,FALSE)</f>
        <v>MACDONALD THOMAS</v>
      </c>
      <c r="M65" s="6">
        <f t="shared" si="1"/>
        <v>2.4074074070085771E-2</v>
      </c>
      <c r="N65" s="7">
        <f t="shared" si="21"/>
        <v>34.666666660923511</v>
      </c>
      <c r="O65" s="7"/>
      <c r="P65" s="7"/>
      <c r="Q65" s="22"/>
      <c r="R65" s="190"/>
      <c r="S65" s="196">
        <f t="shared" si="22"/>
        <v>1</v>
      </c>
      <c r="T65" s="190" t="str">
        <f t="shared" si="2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3"/>
        <v>https://d0f6bd738d7f1b3e5a7ca70fe4ff75f0.us-east-1.aws.found.io/app/kibana#/discover/Steve-Slow-Train-Analysis-(2080s-and-2083s)?_g=(refreshInterval:(display:Off,pause:!f,section:0,value:0),time:(from:'2017-05-15T08:53:54-0600',mode:absolute,to:'2017-05-15T11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5" s="192" t="str">
        <f t="shared" si="4"/>
        <v>N</v>
      </c>
      <c r="X65" s="192">
        <f t="shared" si="23"/>
        <v>1</v>
      </c>
      <c r="Y65" s="192">
        <f t="shared" si="6"/>
        <v>4.7699999999999999E-2</v>
      </c>
      <c r="Z65" s="192">
        <f t="shared" si="7"/>
        <v>23.330500000000001</v>
      </c>
      <c r="AA65" s="192">
        <f t="shared" si="8"/>
        <v>23.282800000000002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9"/>
        <v>0151-15</v>
      </c>
      <c r="AE65" s="80" t="str">
        <f t="shared" si="10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65" s="77" t="str">
        <f t="shared" si="11"/>
        <v>"C:\Program Files (x86)\AstroGrep\AstroGrep.exe" /e /r /s /spath="%USERPROFILE%\AppData\Local\Temp\OnboardLogs" /stypes="app*4026*20170515*" /stext=" 16:.+((SYSTEM_STATE.+slice.+state.+changed )|(ment ac)|(multiple cpu faults)|(system.+state.+changed )|(\[timeout)|(PRM\|1\|D)|(kpr)|(kdp)|(train st.+moving)|(\|lc)|(penalty))"</v>
      </c>
      <c r="AG65" s="1" t="str">
        <f t="shared" si="12"/>
        <v>EC</v>
      </c>
      <c r="AH65" s="81" t="str">
        <f t="shared" si="17"/>
        <v>"%USERPROFILE%\Documents\GitHub\eaglep3\Utilities\RefineRTDCRunTimes.py" --tripid 151-15 --locoid 4026 --swversion DE.1.0.9.0 --startMP 204:477 --initTime 2017-05-15T09:53:54 --startdatetime 2017-05-15T10:00:29 --delay 1 --endMP 204:233305 --enddatetime 2017-05-15T10:35:09 --enforcementcount 0 &gt;&gt;C:\Users\stu\Documents\GitHub\eaglep3-reporting\EC\2017-05-15-refined-times.txt</v>
      </c>
      <c r="AI6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{"issue":{"subject":"","project_id":79,"tracker_id":40,"status_id":1,"priority_id":2,"assigned_to_id":23,"start_date":"2017-05-15","description":"","custom_fields":[{"id":1,"name":"Subdivision","value":"EC"},{"id":4,"name":"Milepost","value":"23.3305"},{"id":17,"name":"Train ID","value":"151-15"},{"id":16,"name":"Locomotive ID","value":"4026"},{"id":130,"name":"Impact","value":""},{"id":150,"name":"Time of Event (Mountain Time)","value":"10:35:09"},{"id":151,"name":"Denver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19"/>
        <v>start /low /b %USERPROFILE%\Documents\GitHub\eaglep3\Utilities\DownloadLogsFromS3.py --loco 4026 --day 2017-05-15</v>
      </c>
      <c r="AN6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707</v>
      </c>
      <c r="B66" s="7">
        <v>4025</v>
      </c>
      <c r="C66" s="21" t="s">
        <v>206</v>
      </c>
      <c r="D66" s="21" t="s">
        <v>543</v>
      </c>
      <c r="E66" s="13">
        <v>42870.452372685184</v>
      </c>
      <c r="F66" s="13">
        <v>42870.455891203703</v>
      </c>
      <c r="G66" s="7">
        <v>1</v>
      </c>
      <c r="H66" s="21" t="s">
        <v>489</v>
      </c>
      <c r="I66" s="13">
        <v>42870.485833333332</v>
      </c>
      <c r="J66" s="7">
        <v>0</v>
      </c>
      <c r="K66" s="92" t="str">
        <f t="shared" si="0"/>
        <v>4025/4026</v>
      </c>
      <c r="L66" s="21" t="str">
        <f>VLOOKUP(A66,'Trips&amp;Operators'!$C$1:$G$99999,5,FALSE)</f>
        <v>MACDONALD THOMAS</v>
      </c>
      <c r="M66" s="6">
        <f t="shared" si="1"/>
        <v>2.99421296294895E-2</v>
      </c>
      <c r="N66" s="7">
        <f t="shared" si="21"/>
        <v>43.11666666646488</v>
      </c>
      <c r="O66" s="7"/>
      <c r="P66" s="7"/>
      <c r="Q66" s="22"/>
      <c r="R66" s="190"/>
      <c r="S66" s="196">
        <f t="shared" si="22"/>
        <v>1</v>
      </c>
      <c r="T66" s="190" t="str">
        <f t="shared" si="2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3"/>
        <v>https://d0f6bd738d7f1b3e5a7ca70fe4ff75f0.us-east-1.aws.found.io/app/kibana#/discover/Steve-Slow-Train-Analysis-(2080s-and-2083s)?_g=(refreshInterval:(display:Off,pause:!f,section:0,value:0),time:(from:'2017-05-15T09:51:25-0600',mode:absolute,to:'2017-05-15T12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6" s="192" t="str">
        <f t="shared" si="4"/>
        <v>N</v>
      </c>
      <c r="X66" s="192">
        <f t="shared" si="23"/>
        <v>1</v>
      </c>
      <c r="Y66" s="192">
        <f t="shared" si="6"/>
        <v>23.297499999999999</v>
      </c>
      <c r="Z66" s="192">
        <f t="shared" si="7"/>
        <v>1.54E-2</v>
      </c>
      <c r="AA66" s="192">
        <f t="shared" si="8"/>
        <v>23.2821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9"/>
        <v>0152-15</v>
      </c>
      <c r="AE66" s="80" t="str">
        <f t="shared" si="10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66" s="77" t="str">
        <f t="shared" si="11"/>
        <v>"C:\Program Files (x86)\AstroGrep\AstroGrep.exe" /e /r /s /spath="%USERPROFILE%\AppData\Local\Temp\OnboardLogs" /stypes="app*4025*20170515*" /stext=" 17:.+((SYSTEM_STATE.+slice.+state.+changed )|(ment ac)|(multiple cpu faults)|(system.+state.+changed )|(\[timeout)|(PRM\|1\|D)|(kpr)|(kdp)|(train st.+moving)|(\|lc)|(penalty))"</v>
      </c>
      <c r="AG66" s="1" t="str">
        <f t="shared" si="12"/>
        <v>EC</v>
      </c>
      <c r="AH66" s="81" t="str">
        <f t="shared" si="17"/>
        <v>"%USERPROFILE%\Documents\GitHub\eaglep3\Utilities\RefineRTDCRunTimes.py" --tripid 152-15 --locoid 4025 --swversion DE.1.0.9.0 --startMP 204:232975 --initTime 2017-05-15T10:51:25 --startdatetime 2017-05-15T10:56:29 --delay 1 --endMP 204:154 --enddatetime 2017-05-15T11:39:36 --enforcementcount 0 &gt;&gt;C:\Users\stu\Documents\GitHub\eaglep3-reporting\EC\2017-05-15-refined-times.txt</v>
      </c>
      <c r="AI6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{"issue":{"subject":"","project_id":79,"tracker_id":40,"status_id":1,"priority_id":2,"assigned_to_id":23,"start_date":"2017-05-15","description":"","custom_fields":[{"id":1,"name":"Subdivision","value":"EC"},{"id":4,"name":"Milepost","value":"0.0154"},{"id":17,"name":"Train ID","value":"152-15"},{"id":16,"name":"Locomotive ID","value":"4025"},{"id":130,"name":"Impact","value":""},{"id":150,"name":"Time of Event (Mountain Time)","value":"11:39:36"},{"id":151,"name":"Denver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19"/>
        <v>start /low /b %USERPROFILE%\Documents\GitHub\eaglep3\Utilities\DownloadLogsFromS3.py --loco 4025 --day 2017-05-15</v>
      </c>
      <c r="AN6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703</v>
      </c>
      <c r="B67" s="7">
        <v>4052</v>
      </c>
      <c r="C67" s="21" t="s">
        <v>206</v>
      </c>
      <c r="D67" s="21" t="s">
        <v>533</v>
      </c>
      <c r="E67" s="13">
        <v>42870.420428240737</v>
      </c>
      <c r="F67" s="13">
        <v>42870.427245370367</v>
      </c>
      <c r="G67" s="7">
        <v>1</v>
      </c>
      <c r="H67" s="21" t="s">
        <v>846</v>
      </c>
      <c r="I67" s="13">
        <v>42870.451747685183</v>
      </c>
      <c r="J67" s="7">
        <v>0</v>
      </c>
      <c r="K67" s="92" t="str">
        <f t="shared" si="0"/>
        <v>4051/4052</v>
      </c>
      <c r="L67" s="21" t="str">
        <f>VLOOKUP(A67,'Trips&amp;Operators'!$C$1:$G$99999,5,FALSE)</f>
        <v>YORK EDGAR</v>
      </c>
      <c r="M67" s="6">
        <f t="shared" si="1"/>
        <v>2.4502314816345461E-2</v>
      </c>
      <c r="N67" s="7">
        <f t="shared" si="21"/>
        <v>35.283333335537463</v>
      </c>
      <c r="O67" s="7"/>
      <c r="P67" s="7"/>
      <c r="Q67" s="22"/>
      <c r="R67" s="190"/>
      <c r="S67" s="196">
        <f t="shared" si="22"/>
        <v>1</v>
      </c>
      <c r="T67" s="190" t="str">
        <f t="shared" si="2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3"/>
        <v>https://d0f6bd738d7f1b3e5a7ca70fe4ff75f0.us-east-1.aws.found.io/app/kibana#/discover/Steve-Slow-Train-Analysis-(2080s-and-2083s)?_g=(refreshInterval:(display:Off,pause:!f,section:0,value:0),time:(from:'2017-05-15T09:05:25-0600',mode:absolute,to:'2017-05-15T11:50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7" s="192" t="str">
        <f t="shared" si="4"/>
        <v>N</v>
      </c>
      <c r="X67" s="192">
        <f t="shared" si="23"/>
        <v>1</v>
      </c>
      <c r="Y67" s="192">
        <f t="shared" si="6"/>
        <v>4.6699999999999998E-2</v>
      </c>
      <c r="Z67" s="192">
        <f t="shared" si="7"/>
        <v>23.329799999999999</v>
      </c>
      <c r="AA67" s="192">
        <f t="shared" si="8"/>
        <v>23.283099999999997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9"/>
        <v>0153-15</v>
      </c>
      <c r="AE67" s="80" t="str">
        <f t="shared" si="10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67" s="77" t="str">
        <f t="shared" si="11"/>
        <v>"C:\Program Files (x86)\AstroGrep\AstroGrep.exe" /e /r /s /spath="%USERPROFILE%\AppData\Local\Temp\OnboardLogs" /stypes="app*4052*20170515*" /stext=" 16:.+((SYSTEM_STATE.+slice.+state.+changed )|(ment ac)|(multiple cpu faults)|(system.+state.+changed )|(\[timeout)|(PRM\|1\|D)|(kpr)|(kdp)|(train st.+moving)|(\|lc)|(penalty))"</v>
      </c>
      <c r="AG67" s="1" t="str">
        <f t="shared" si="12"/>
        <v>EC</v>
      </c>
      <c r="AH67" s="81" t="str">
        <f t="shared" si="17"/>
        <v>"%USERPROFILE%\Documents\GitHub\eaglep3\Utilities\RefineRTDCRunTimes.py" --tripid 153-15 --locoid 4052 --swversion DE.1.0.9.0 --startMP 204:467 --initTime 2017-05-15T10:05:25 --startdatetime 2017-05-15T10:15:14 --delay 1 --endMP 204:233298 --enddatetime 2017-05-15T10:50:31 --enforcementcount 0 &gt;&gt;C:\Users\stu\Documents\GitHub\eaglep3-reporting\EC\2017-05-15-refined-times.txt</v>
      </c>
      <c r="AI6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{"issue":{"subject":"","project_id":79,"tracker_id":40,"status_id":1,"priority_id":2,"assigned_to_id":23,"start_date":"2017-05-15","description":"","custom_fields":[{"id":1,"name":"Subdivision","value":"EC"},{"id":4,"name":"Milepost","value":"23.3298"},{"id":17,"name":"Train ID","value":"153-15"},{"id":16,"name":"Locomotive ID","value":"4052"},{"id":130,"name":"Impact","value":""},{"id":150,"name":"Time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19"/>
        <v>start /low /b %USERPROFILE%\Documents\GitHub\eaglep3\Utilities\DownloadLogsFromS3.py --loco 4052 --day 2017-05-15</v>
      </c>
      <c r="AN6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708</v>
      </c>
      <c r="B68" s="7">
        <v>4051</v>
      </c>
      <c r="C68" s="21" t="s">
        <v>206</v>
      </c>
      <c r="D68" s="21" t="s">
        <v>861</v>
      </c>
      <c r="E68" s="13">
        <v>42870.452685185184</v>
      </c>
      <c r="F68" s="13">
        <v>42870.466284722221</v>
      </c>
      <c r="G68" s="7">
        <v>0</v>
      </c>
      <c r="H68" s="21" t="s">
        <v>197</v>
      </c>
      <c r="I68" s="13">
        <v>42870.492118055554</v>
      </c>
      <c r="J68" s="7">
        <v>0</v>
      </c>
      <c r="K68" s="92" t="str">
        <f t="shared" si="0"/>
        <v>4051/4052</v>
      </c>
      <c r="L68" s="21" t="str">
        <f>VLOOKUP(A68,'Trips&amp;Operators'!$C$1:$G$99999,5,FALSE)</f>
        <v>YORK EDGAR</v>
      </c>
      <c r="M68" s="6">
        <f t="shared" si="1"/>
        <v>2.5833333333139308E-2</v>
      </c>
      <c r="N68" s="7">
        <f t="shared" si="21"/>
        <v>37.199999999720603</v>
      </c>
      <c r="O68" s="7"/>
      <c r="P68" s="7"/>
      <c r="Q68" s="22"/>
      <c r="R68" s="190"/>
      <c r="S68" s="196">
        <f t="shared" si="22"/>
        <v>1</v>
      </c>
      <c r="T68" s="190" t="str">
        <f t="shared" si="2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3"/>
        <v>https://d0f6bd738d7f1b3e5a7ca70fe4ff75f0.us-east-1.aws.found.io/app/kibana#/discover/Steve-Slow-Train-Analysis-(2080s-and-2083s)?_g=(refreshInterval:(display:Off,pause:!f,section:0,value:0),time:(from:'2017-05-15T09:51:52-0600',mode:absolute,to:'2017-05-15T12:48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8" s="192" t="str">
        <f t="shared" si="4"/>
        <v>N</v>
      </c>
      <c r="X68" s="192">
        <f t="shared" si="23"/>
        <v>1</v>
      </c>
      <c r="Y68" s="192">
        <f t="shared" si="6"/>
        <v>23.298100000000002</v>
      </c>
      <c r="Z68" s="192">
        <f t="shared" si="7"/>
        <v>1.52E-2</v>
      </c>
      <c r="AA68" s="192">
        <f t="shared" si="8"/>
        <v>23.282900000000001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9"/>
        <v>0154-15</v>
      </c>
      <c r="AE68" s="80" t="str">
        <f t="shared" si="10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68" s="77" t="str">
        <f t="shared" si="11"/>
        <v>"C:\Program Files (x86)\AstroGrep\AstroGrep.exe" /e /r /s /spath="%USERPROFILE%\AppData\Local\Temp\OnboardLogs" /stypes="app*4051*20170515*" /stext=" 17:.+((SYSTEM_STATE.+slice.+state.+changed )|(ment ac)|(multiple cpu faults)|(system.+state.+changed )|(\[timeout)|(PRM\|1\|D)|(kpr)|(kdp)|(train st.+moving)|(\|lc)|(penalty))"</v>
      </c>
      <c r="AG68" s="1" t="str">
        <f t="shared" si="12"/>
        <v>EC</v>
      </c>
      <c r="AH68" s="81" t="str">
        <f t="shared" si="17"/>
        <v>"%USERPROFILE%\Documents\GitHub\eaglep3\Utilities\RefineRTDCRunTimes.py" --tripid 154-15 --locoid 4051 --swversion DE.1.0.9.0 --startMP 204:232981 --initTime 2017-05-15T10:51:52 --startdatetime 2017-05-15T11:11:27 --delay 0 --endMP 204:152 --enddatetime 2017-05-15T11:48:39 --enforcementcount 0 &gt;&gt;C:\Users\stu\Documents\GitHub\eaglep3-reporting\EC\2017-05-15-refined-times.txt</v>
      </c>
      <c r="AI68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{"issue":{"subject":"","project_id":79,"tracker_id":40,"status_id":1,"priority_id":2,"assigned_to_id":23,"start_date":"2017-05-15","description":"","custom_fields":[{"id":1,"name":"Subdivision","value":"EC"},{"id":4,"name":"Milepost","value":"0.0152"},{"id":17,"name":"Train ID","value":"154-15"},{"id":16,"name":"Locomotive ID","value":"4051"},{"id":130,"name":"Impact","value":""},{"id":150,"name":"Time of Event (Mountain Time)","value":"11:48:39"},{"id":151,"name":"Denver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19"/>
        <v>start /low /b %USERPROFILE%\Documents\GitHub\eaglep3\Utilities\DownloadLogsFromS3.py --loco 4051 --day 2017-05-15</v>
      </c>
      <c r="AN68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17:48:39"},{"id":29,"name":"Sharepoint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705</v>
      </c>
      <c r="B69" s="7">
        <v>4028</v>
      </c>
      <c r="C69" s="21" t="s">
        <v>206</v>
      </c>
      <c r="D69" s="21" t="s">
        <v>447</v>
      </c>
      <c r="E69" s="13">
        <v>42870.436030092591</v>
      </c>
      <c r="F69" s="13">
        <v>42870.436111111114</v>
      </c>
      <c r="G69" s="7">
        <v>2</v>
      </c>
      <c r="H69" s="21" t="s">
        <v>862</v>
      </c>
      <c r="I69" s="13">
        <v>42870.464004629626</v>
      </c>
      <c r="J69" s="7">
        <v>0</v>
      </c>
      <c r="K69" s="92" t="str">
        <f t="shared" si="0"/>
        <v>4027/4028</v>
      </c>
      <c r="L69" s="21" t="str">
        <f>VLOOKUP(A69,'Trips&amp;Operators'!$C$1:$G$99999,5,FALSE)</f>
        <v>DAVIS WENDY</v>
      </c>
      <c r="M69" s="6">
        <f t="shared" si="1"/>
        <v>2.7893518512428273E-2</v>
      </c>
      <c r="N69" s="7">
        <f t="shared" si="21"/>
        <v>40.166666657896712</v>
      </c>
      <c r="O69" s="7"/>
      <c r="P69" s="7"/>
      <c r="Q69" s="22"/>
      <c r="R69" s="190" t="s">
        <v>1051</v>
      </c>
      <c r="S69" s="196">
        <f t="shared" si="22"/>
        <v>1</v>
      </c>
      <c r="T69" s="190" t="str">
        <f t="shared" si="2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3"/>
        <v>https://d0f6bd738d7f1b3e5a7ca70fe4ff75f0.us-east-1.aws.found.io/app/kibana#/discover/Steve-Slow-Train-Analysis-(2080s-and-2083s)?_g=(refreshInterval:(display:Off,pause:!f,section:0,value:0),time:(from:'2017-05-15T09:27:53-0600',mode:absolute,to:'2017-05-15T12:08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9" s="192" t="str">
        <f t="shared" si="4"/>
        <v>N</v>
      </c>
      <c r="X69" s="192">
        <f t="shared" si="23"/>
        <v>1</v>
      </c>
      <c r="Y69" s="192">
        <f t="shared" si="6"/>
        <v>4.24E-2</v>
      </c>
      <c r="Z69" s="192">
        <f t="shared" si="7"/>
        <v>23.331600000000002</v>
      </c>
      <c r="AA69" s="192">
        <f t="shared" si="8"/>
        <v>23.289200000000001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9"/>
        <v>0155-15</v>
      </c>
      <c r="AE69" s="80" t="str">
        <f t="shared" si="10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69" s="77" t="str">
        <f t="shared" si="11"/>
        <v>"C:\Program Files (x86)\AstroGrep\AstroGrep.exe" /e /r /s /spath="%USERPROFILE%\AppData\Local\Temp\OnboardLogs" /stypes="app*4028*20170515*" /stext=" 17:.+((SYSTEM_STATE.+slice.+state.+changed )|(ment ac)|(multiple cpu faults)|(system.+state.+changed )|(\[timeout)|(PRM\|1\|D)|(kpr)|(kdp)|(train st.+moving)|(\|lc)|(penalty))"</v>
      </c>
      <c r="AG69" s="1" t="str">
        <f t="shared" si="12"/>
        <v>EC</v>
      </c>
      <c r="AH69" s="81" t="str">
        <f t="shared" si="17"/>
        <v>"%USERPROFILE%\Documents\GitHub\eaglep3\Utilities\RefineRTDCRunTimes.py" --tripid 155-15 --locoid 4028 --swversion DE.1.0.9.0 --startMP 204:424 --initTime 2017-05-15T10:27:53 --startdatetime 2017-05-15T10:28:00 --delay 2 --endMP 204:233316 --enddatetime 2017-05-15T11:08:10 --enforcementcount 0 &gt;&gt;C:\Users\stu\Documents\GitHub\eaglep3-reporting\EC\2017-05-15-refined-times.txt</v>
      </c>
      <c r="AI69" s="99" t="str">
        <f t="shared" si="18"/>
        <v>echo {"issue":{"subject":"Delayed by CCROC/crew/equipment mismatch","project_id":79,"tracker_id":40,"status_id":1,"priority_id":2,"assigned_to_id":23,"start_date":"2017-05-15","description":"","custom_fields":[{"id":1,"name":"Subdivision","value":"EC"},{"id":4,"name":"Milepost","value":"23.3316"},{"id":17,"name":"Train ID","value":"155-15"},{"id":16,"name":"Locomotive ID","value":"4028"},{"id":130,"name":"Impact","value":""},{"id":150,"name":"Time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19"/>
        <v>start /low /b %USERPROFILE%\Documents\GitHub\eaglep3\Utilities\DownloadLogsFromS3.py --loco 4028 --day 2017-05-15</v>
      </c>
      <c r="AN69" s="154" t="str">
        <f t="shared" si="20"/>
        <v>echo {"issue":{"subject":"Delayed by CCROC/crew/equipment mismatch","project_id":30,"tracker_id":4,"status_id":1,"priority_id":1,"assigned_to_id":10,"start_date":"2017-05-15","description":"","custom_fields":[{"id":30,"name":"Category","value":"Issue"},{"id":3,"name":"Functional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17:08:10"},{"id":29,"name":"Sharepoint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594</v>
      </c>
      <c r="B70" s="7">
        <v>4027</v>
      </c>
      <c r="C70" s="21" t="s">
        <v>206</v>
      </c>
      <c r="D70" s="21" t="s">
        <v>856</v>
      </c>
      <c r="E70" s="13">
        <v>42870.471805555557</v>
      </c>
      <c r="F70" s="13">
        <v>42870.476620370369</v>
      </c>
      <c r="G70" s="7">
        <v>1</v>
      </c>
      <c r="H70" s="21" t="s">
        <v>372</v>
      </c>
      <c r="I70" s="13">
        <v>42870.506666666668</v>
      </c>
      <c r="J70" s="7">
        <v>0</v>
      </c>
      <c r="K70" s="92" t="str">
        <f t="shared" si="0"/>
        <v>4027/4028</v>
      </c>
      <c r="L70" s="21" t="str">
        <f>VLOOKUP(A70,'Trips&amp;Operators'!$C$1:$G$99999,5,FALSE)</f>
        <v>DAVIS WENDY</v>
      </c>
      <c r="M70" s="6">
        <f t="shared" si="1"/>
        <v>3.0046296298678499E-2</v>
      </c>
      <c r="N70" s="7">
        <f t="shared" si="21"/>
        <v>43.266666670097038</v>
      </c>
      <c r="O70" s="7"/>
      <c r="P70" s="7"/>
      <c r="Q70" s="22"/>
      <c r="R70" s="190"/>
      <c r="S70" s="196">
        <f t="shared" si="22"/>
        <v>1</v>
      </c>
      <c r="T70" s="190" t="str">
        <f t="shared" si="2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3"/>
        <v>https://d0f6bd738d7f1b3e5a7ca70fe4ff75f0.us-east-1.aws.found.io/app/kibana#/discover/Steve-Slow-Train-Analysis-(2080s-and-2083s)?_g=(refreshInterval:(display:Off,pause:!f,section:0,value:0),time:(from:'2017-05-15T10:19:24-0600',mode:absolute,to:'2017-05-15T13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0" s="192" t="str">
        <f t="shared" si="4"/>
        <v>N</v>
      </c>
      <c r="X70" s="192">
        <f t="shared" si="23"/>
        <v>1</v>
      </c>
      <c r="Y70" s="192">
        <f t="shared" si="6"/>
        <v>23.2986</v>
      </c>
      <c r="Z70" s="192">
        <f t="shared" si="7"/>
        <v>1.47E-2</v>
      </c>
      <c r="AA70" s="192">
        <f t="shared" si="8"/>
        <v>23.283899999999999</v>
      </c>
      <c r="AB70" s="57" t="str">
        <f>VLOOKUP(A70,Enforcements!$C$7:$K$13,8,0)</f>
        <v>Bulletin (2)</v>
      </c>
      <c r="AC70" s="53" t="str">
        <f>VLOOKUP(A70,Enforcements!$C$7:$E$13,3,0)</f>
        <v>GRADE CROSSING</v>
      </c>
      <c r="AD70" s="54" t="str">
        <f t="shared" si="9"/>
        <v>0156-15</v>
      </c>
      <c r="AE70" s="80" t="str">
        <f t="shared" si="10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70" s="77" t="str">
        <f t="shared" si="11"/>
        <v>"C:\Program Files (x86)\AstroGrep\AstroGrep.exe" /e /r /s /spath="%USERPROFILE%\AppData\Local\Temp\OnboardLogs" /stypes="app*4027*20170515*" /stext=" 18:.+((SYSTEM_STATE.+slice.+state.+changed )|(ment ac)|(multiple cpu faults)|(system.+state.+changed )|(\[timeout)|(PRM\|1\|D)|(kpr)|(kdp)|(train st.+moving)|(\|lc)|(penalty))"</v>
      </c>
      <c r="AG70" s="1" t="str">
        <f t="shared" si="12"/>
        <v>EC</v>
      </c>
      <c r="AH70" s="81" t="str">
        <f t="shared" si="17"/>
        <v>"%USERPROFILE%\Documents\GitHub\eaglep3\Utilities\RefineRTDCRunTimes.py" --tripid 156-15 --locoid 4027 --swversion DE.1.0.9.0 --startMP 204:232986 --initTime 2017-05-15T11:19:24 --startdatetime 2017-05-15T11:26:20 --delay 1 --endMP 204:147 --enddatetime 2017-05-15T12:09:36 --enforcementcount 0 &gt;&gt;C:\Users\stu\Documents\GitHub\eaglep3-reporting\EC\2017-05-15-refined-times.txt</v>
      </c>
      <c r="AI70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{"issue":{"subject":"","project_id":79,"tracker_id":40,"status_id":1,"priority_id":2,"assigned_to_id":23,"start_date":"2017-05-15","description":"","custom_fields":[{"id":1,"name":"Subdivision","value":"EC"},{"id":4,"name":"Milepost","value":"0.0147"},{"id":17,"name":"Train ID","value":"156-15"},{"id":16,"name":"Locomotive ID","value":"4027"},{"id":130,"name":"Impact","value":""},{"id":150,"name":"Time of Event (Mountain Time)","value":"12:09:36"},{"id":151,"name":"Denver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19"/>
        <v>start /low /b %USERPROFILE%\Documents\GitHub\eaglep3\Utilities\DownloadLogsFromS3.py --loco 4027 --day 2017-05-15</v>
      </c>
      <c r="AN70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18:09:36"},{"id":29,"name":"Sharepoint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591</v>
      </c>
      <c r="B71" s="7">
        <v>4010</v>
      </c>
      <c r="C71" s="21" t="s">
        <v>206</v>
      </c>
      <c r="D71" s="21" t="s">
        <v>863</v>
      </c>
      <c r="E71" s="13">
        <v>42870.445173611108</v>
      </c>
      <c r="F71" s="13">
        <v>42870.448078703703</v>
      </c>
      <c r="G71" s="7">
        <v>3</v>
      </c>
      <c r="H71" s="21" t="s">
        <v>539</v>
      </c>
      <c r="I71" s="13">
        <v>42870.473912037036</v>
      </c>
      <c r="J71" s="7">
        <v>0</v>
      </c>
      <c r="K71" s="92" t="str">
        <f t="shared" si="0"/>
        <v>4009/4010</v>
      </c>
      <c r="L71" s="21" t="str">
        <f>VLOOKUP(A71,'Trips&amp;Operators'!$C$1:$G$99999,5,FALSE)</f>
        <v>ROBINSON KADDIBA</v>
      </c>
      <c r="M71" s="6">
        <f t="shared" si="1"/>
        <v>2.5833333333139308E-2</v>
      </c>
      <c r="N71" s="7">
        <f t="shared" si="21"/>
        <v>37.199999999720603</v>
      </c>
      <c r="O71" s="7"/>
      <c r="P71" s="7"/>
      <c r="Q71" s="22"/>
      <c r="R71" s="190"/>
      <c r="S71" s="196">
        <f t="shared" si="22"/>
        <v>1</v>
      </c>
      <c r="T71" s="190" t="str">
        <f t="shared" si="2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3"/>
        <v>https://d0f6bd738d7f1b3e5a7ca70fe4ff75f0.us-east-1.aws.found.io/app/kibana#/discover/Steve-Slow-Train-Analysis-(2080s-and-2083s)?_g=(refreshInterval:(display:Off,pause:!f,section:0,value:0),time:(from:'2017-05-15T09:41:03-0600',mode:absolute,to:'2017-05-15T12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1" s="192" t="str">
        <f t="shared" si="4"/>
        <v>N</v>
      </c>
      <c r="X71" s="192">
        <f t="shared" si="23"/>
        <v>1</v>
      </c>
      <c r="Y71" s="192">
        <f t="shared" si="6"/>
        <v>4.3499999999999997E-2</v>
      </c>
      <c r="Z71" s="192">
        <f t="shared" si="7"/>
        <v>23.330200000000001</v>
      </c>
      <c r="AA71" s="192">
        <f t="shared" si="8"/>
        <v>23.2867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9"/>
        <v>0157-15</v>
      </c>
      <c r="AE71" s="80" t="str">
        <f t="shared" si="10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71" s="77" t="str">
        <f t="shared" si="11"/>
        <v>"C:\Program Files (x86)\AstroGrep\AstroGrep.exe" /e /r /s /spath="%USERPROFILE%\AppData\Local\Temp\OnboardLogs" /stypes="app*4010*20170515*" /stext=" 17:.+((SYSTEM_STATE.+slice.+state.+changed )|(ment ac)|(multiple cpu faults)|(system.+state.+changed )|(\[timeout)|(PRM\|1\|D)|(kpr)|(kdp)|(train st.+moving)|(\|lc)|(penalty))"</v>
      </c>
      <c r="AG71" s="1" t="str">
        <f t="shared" si="12"/>
        <v>EC</v>
      </c>
      <c r="AH71" s="81" t="str">
        <f t="shared" si="17"/>
        <v>"%USERPROFILE%\Documents\GitHub\eaglep3\Utilities\RefineRTDCRunTimes.py" --tripid 157-15 --locoid 4010 --swversion DE.1.0.9.0 --startMP 204:435 --initTime 2017-05-15T10:41:03 --startdatetime 2017-05-15T10:45:14 --delay 3 --endMP 204:233302 --enddatetime 2017-05-15T11:22:26 --enforcementcount 0 &gt;&gt;C:\Users\stu\Documents\GitHub\eaglep3-reporting\EC\2017-05-15-refined-times.txt</v>
      </c>
      <c r="AI71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{"issue":{"subject":"","project_id":79,"tracker_id":40,"status_id":1,"priority_id":2,"assigned_to_id":23,"start_date":"2017-05-15","description":"","custom_fields":[{"id":1,"name":"Subdivision","value":"EC"},{"id":4,"name":"Milepost","value":"23.3302"},{"id":17,"name":"Train ID","value":"157-15"},{"id":16,"name":"Locomotive ID","value":"4010"},{"id":130,"name":"Impact","value":""},{"id":150,"name":"Time of Event (Mountain Time)","value":"11:22:26"},{"id":151,"name":"Denver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19"/>
        <v>start /low /b %USERPROFILE%\Documents\GitHub\eaglep3\Utilities\DownloadLogsFromS3.py --loco 4010 --day 2017-05-15</v>
      </c>
      <c r="AN71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593</v>
      </c>
      <c r="B72" s="7">
        <v>4009</v>
      </c>
      <c r="C72" s="21" t="s">
        <v>206</v>
      </c>
      <c r="D72" s="21" t="s">
        <v>545</v>
      </c>
      <c r="E72" s="13">
        <v>42870.485717592594</v>
      </c>
      <c r="F72" s="13">
        <v>42870.487002314818</v>
      </c>
      <c r="G72" s="7">
        <v>1</v>
      </c>
      <c r="H72" s="21" t="s">
        <v>365</v>
      </c>
      <c r="I72" s="13">
        <v>42870.516469907408</v>
      </c>
      <c r="J72" s="7">
        <v>0</v>
      </c>
      <c r="K72" s="92" t="str">
        <f t="shared" si="0"/>
        <v>4009/4010</v>
      </c>
      <c r="L72" s="21" t="str">
        <f>VLOOKUP(A72,'Trips&amp;Operators'!$C$1:$G$99999,5,FALSE)</f>
        <v>ROBINSON KADDIBA</v>
      </c>
      <c r="M72" s="6">
        <f t="shared" si="1"/>
        <v>2.9467592590663116E-2</v>
      </c>
      <c r="N72" s="7">
        <f t="shared" si="21"/>
        <v>42.433333330554888</v>
      </c>
      <c r="O72" s="7"/>
      <c r="P72" s="7"/>
      <c r="Q72" s="22"/>
      <c r="R72" s="190"/>
      <c r="S72" s="196">
        <f t="shared" si="22"/>
        <v>1</v>
      </c>
      <c r="T72" s="190" t="str">
        <f t="shared" si="2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 t="shared" si="3"/>
        <v>https://d0f6bd738d7f1b3e5a7ca70fe4ff75f0.us-east-1.aws.found.io/app/kibana#/discover/Steve-Slow-Train-Analysis-(2080s-and-2083s)?_g=(refreshInterval:(display:Off,pause:!f,section:0,value:0),time:(from:'2017-05-15T10:39:26-0600',mode:absolute,to:'2017-05-15T13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2" s="192" t="str">
        <f t="shared" si="4"/>
        <v>N</v>
      </c>
      <c r="X72" s="192">
        <f t="shared" si="23"/>
        <v>1</v>
      </c>
      <c r="Y72" s="192">
        <f t="shared" si="6"/>
        <v>23.297000000000001</v>
      </c>
      <c r="Z72" s="192">
        <f t="shared" si="7"/>
        <v>1.5599999999999999E-2</v>
      </c>
      <c r="AA72" s="192">
        <f t="shared" si="8"/>
        <v>23.281400000000001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9"/>
        <v>0158-15</v>
      </c>
      <c r="AE72" s="80" t="str">
        <f t="shared" si="10"/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AF72" s="77" t="str">
        <f t="shared" si="11"/>
        <v>"C:\Program Files (x86)\AstroGrep\AstroGrep.exe" /e /r /s /spath="%USERPROFILE%\AppData\Local\Temp\OnboardLogs" /stypes="app*4009*20170515*" /stext=" 18:.+((SYSTEM_STATE.+slice.+state.+changed )|(ment ac)|(multiple cpu faults)|(system.+state.+changed )|(\[timeout)|(PRM\|1\|D)|(kpr)|(kdp)|(train st.+moving)|(\|lc)|(penalty))"</v>
      </c>
      <c r="AG72" s="1" t="str">
        <f t="shared" si="12"/>
        <v>EC</v>
      </c>
      <c r="AH72" s="81" t="str">
        <f t="shared" si="17"/>
        <v>"%USERPROFILE%\Documents\GitHub\eaglep3\Utilities\RefineRTDCRunTimes.py" --tripid 158-15 --locoid 4009 --swversion DE.1.0.9.0 --startMP 204:232970 --initTime 2017-05-15T11:39:26 --startdatetime 2017-05-15T11:41:17 --delay 1 --endMP 204:156 --enddatetime 2017-05-15T12:23:43 --enforcementcount 0 &gt;&gt;C:\Users\stu\Documents\GitHub\eaglep3-reporting\EC\2017-05-15-refined-times.txt</v>
      </c>
      <c r="AI72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{"issue":{"subject":"","project_id":79,"tracker_id":40,"status_id":1,"priority_id":2,"assigned_to_id":23,"start_date":"2017-05-15","description":"","custom_fields":[{"id":1,"name":"Subdivision","value":"EC"},{"id":4,"name":"Milepost","value":"0.0156"},{"id":17,"name":"Train ID","value":"158-15"},{"id":16,"name":"Locomotive ID","value":"4009"},{"id":130,"name":"Impact","value":""},{"id":150,"name":"Time of Event (Mountain Time)","value":"12:23:43"},{"id":151,"name":"Denver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19"/>
        <v>start /low /b %USERPROFILE%\Documents\GitHub\eaglep3\Utilities\DownloadLogsFromS3.py --loco 4009 --day 2017-05-15</v>
      </c>
      <c r="AN72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592</v>
      </c>
      <c r="B73" s="7">
        <v>4042</v>
      </c>
      <c r="C73" s="21" t="s">
        <v>206</v>
      </c>
      <c r="D73" s="21" t="s">
        <v>362</v>
      </c>
      <c r="E73" s="13">
        <v>42870.453136574077</v>
      </c>
      <c r="F73" s="13">
        <v>42870.458553240744</v>
      </c>
      <c r="G73" s="7">
        <v>1</v>
      </c>
      <c r="H73" s="21" t="s">
        <v>535</v>
      </c>
      <c r="I73" s="13">
        <v>42870.482974537037</v>
      </c>
      <c r="J73" s="7">
        <v>0</v>
      </c>
      <c r="K73" s="92" t="str">
        <f t="shared" si="0"/>
        <v>4041/4042</v>
      </c>
      <c r="L73" s="21" t="str">
        <f>VLOOKUP(A73,'Trips&amp;Operators'!$C$1:$G$99999,5,FALSE)</f>
        <v>PERKINS DARREN</v>
      </c>
      <c r="M73" s="6">
        <f t="shared" si="1"/>
        <v>2.4421296293439809E-2</v>
      </c>
      <c r="N73" s="7">
        <f t="shared" si="21"/>
        <v>35.166666662553325</v>
      </c>
      <c r="O73" s="7"/>
      <c r="P73" s="7"/>
      <c r="Q73" s="22"/>
      <c r="R73" s="190"/>
      <c r="S73" s="196">
        <f t="shared" si="22"/>
        <v>1</v>
      </c>
      <c r="T73" s="190" t="str">
        <f t="shared" si="2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3"/>
        <v>https://d0f6bd738d7f1b3e5a7ca70fe4ff75f0.us-east-1.aws.found.io/app/kibana#/discover/Steve-Slow-Train-Analysis-(2080s-and-2083s)?_g=(refreshInterval:(display:Off,pause:!f,section:0,value:0),time:(from:'2017-05-15T09:52:31-0600',mode:absolute,to:'2017-05-15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3" s="192" t="str">
        <f t="shared" si="4"/>
        <v>N</v>
      </c>
      <c r="X73" s="192">
        <f t="shared" si="23"/>
        <v>1</v>
      </c>
      <c r="Y73" s="192">
        <f t="shared" si="6"/>
        <v>4.5100000000000001E-2</v>
      </c>
      <c r="Z73" s="192">
        <f t="shared" si="7"/>
        <v>23.329499999999999</v>
      </c>
      <c r="AA73" s="192">
        <f t="shared" si="8"/>
        <v>23.284399999999998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9"/>
        <v>0159-15</v>
      </c>
      <c r="AE73" s="80" t="str">
        <f t="shared" si="10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73" s="77" t="str">
        <f t="shared" si="11"/>
        <v>"C:\Program Files (x86)\AstroGrep\AstroGrep.exe" /e /r /s /spath="%USERPROFILE%\AppData\Local\Temp\OnboardLogs" /stypes="app*4042*20170515*" /stext=" 17:.+((SYSTEM_STATE.+slice.+state.+changed )|(ment ac)|(multiple cpu faults)|(system.+state.+changed )|(\[timeout)|(PRM\|1\|D)|(kpr)|(kdp)|(train st.+moving)|(\|lc)|(penalty))"</v>
      </c>
      <c r="AG73" s="1" t="str">
        <f t="shared" si="12"/>
        <v>EC</v>
      </c>
      <c r="AH73" s="81" t="str">
        <f t="shared" si="17"/>
        <v>"%USERPROFILE%\Documents\GitHub\eaglep3\Utilities\RefineRTDCRunTimes.py" --tripid 159-15 --locoid 4042 --swversion DE.1.0.9.0 --startMP 204:451 --initTime 2017-05-15T10:52:31 --startdatetime 2017-05-15T11:00:19 --delay 1 --endMP 204:233295 --enddatetime 2017-05-15T11:35:29 --enforcementcount 0 &gt;&gt;C:\Users\stu\Documents\GitHub\eaglep3-reporting\EC\2017-05-15-refined-times.txt</v>
      </c>
      <c r="AI73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{"issue":{"subject":"","project_id":79,"tracker_id":40,"status_id":1,"priority_id":2,"assigned_to_id":23,"start_date":"2017-05-15","description":"","custom_fields":[{"id":1,"name":"Subdivision","value":"EC"},{"id":4,"name":"Milepost","value":"23.3295"},{"id":17,"name":"Train ID","value":"159-15"},{"id":16,"name":"Locomotive ID","value":"4042"},{"id":130,"name":"Impact","value":""},{"id":150,"name":"Time of Event (Mountain Time)","value":"11:35:29"},{"id":151,"name":"Denver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19"/>
        <v>start /low /b %USERPROFILE%\Documents\GitHub\eaglep3\Utilities\DownloadLogsFromS3.py --loco 4042 --day 2017-05-15</v>
      </c>
      <c r="AN73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718</v>
      </c>
      <c r="B74" s="7">
        <v>4041</v>
      </c>
      <c r="C74" s="21" t="s">
        <v>206</v>
      </c>
      <c r="D74" s="21" t="s">
        <v>858</v>
      </c>
      <c r="E74" s="13">
        <v>42870.48574074074</v>
      </c>
      <c r="F74" s="13">
        <v>42870.497361111113</v>
      </c>
      <c r="G74" s="7">
        <v>2</v>
      </c>
      <c r="H74" s="21" t="s">
        <v>492</v>
      </c>
      <c r="I74" s="13">
        <v>42870.523611111108</v>
      </c>
      <c r="J74" s="7">
        <v>0</v>
      </c>
      <c r="K74" s="92" t="str">
        <f t="shared" si="0"/>
        <v>4041/4042</v>
      </c>
      <c r="L74" s="21" t="str">
        <f>VLOOKUP(A74,'Trips&amp;Operators'!$C$1:$G$99999,5,FALSE)</f>
        <v>PERKINS DARREN</v>
      </c>
      <c r="M74" s="6">
        <f t="shared" si="1"/>
        <v>2.6249999995343387E-2</v>
      </c>
      <c r="N74" s="7">
        <f t="shared" si="21"/>
        <v>37.799999993294477</v>
      </c>
      <c r="O74" s="7"/>
      <c r="P74" s="7"/>
      <c r="Q74" s="22"/>
      <c r="R74" s="190"/>
      <c r="S74" s="196">
        <f t="shared" si="22"/>
        <v>1</v>
      </c>
      <c r="T74" s="190" t="str">
        <f t="shared" si="2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3"/>
        <v>https://d0f6bd738d7f1b3e5a7ca70fe4ff75f0.us-east-1.aws.found.io/app/kibana#/discover/Steve-Slow-Train-Analysis-(2080s-and-2083s)?_g=(refreshInterval:(display:Off,pause:!f,section:0,value:0),time:(from:'2017-05-15T10:39:28-0600',mode:absolute,to:'2017-05-15T13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4" s="192" t="str">
        <f t="shared" si="4"/>
        <v>N</v>
      </c>
      <c r="X74" s="192">
        <f t="shared" si="23"/>
        <v>1</v>
      </c>
      <c r="Y74" s="192">
        <f t="shared" si="6"/>
        <v>23.297799999999999</v>
      </c>
      <c r="Z74" s="192">
        <f t="shared" si="7"/>
        <v>1.61E-2</v>
      </c>
      <c r="AA74" s="192">
        <f t="shared" si="8"/>
        <v>23.281699999999997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9"/>
        <v>0160-15</v>
      </c>
      <c r="AE74" s="80" t="str">
        <f t="shared" si="10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74" s="77" t="str">
        <f t="shared" si="11"/>
        <v>"C:\Program Files (x86)\AstroGrep\AstroGrep.exe" /e /r /s /spath="%USERPROFILE%\AppData\Local\Temp\OnboardLogs" /stypes="app*4041*20170515*" /stext=" 18:.+((SYSTEM_STATE.+slice.+state.+changed )|(ment ac)|(multiple cpu faults)|(system.+state.+changed )|(\[timeout)|(PRM\|1\|D)|(kpr)|(kdp)|(train st.+moving)|(\|lc)|(penalty))"</v>
      </c>
      <c r="AG74" s="1" t="str">
        <f t="shared" si="12"/>
        <v>EC</v>
      </c>
      <c r="AH74" s="81" t="str">
        <f t="shared" si="17"/>
        <v>"%USERPROFILE%\Documents\GitHub\eaglep3\Utilities\RefineRTDCRunTimes.py" --tripid 160-15 --locoid 4041 --swversion DE.1.0.9.0 --startMP 204:232978 --initTime 2017-05-15T11:39:28 --startdatetime 2017-05-15T11:56:12 --delay 2 --endMP 204:161 --enddatetime 2017-05-15T12:34:00 --enforcementcount 0 &gt;&gt;C:\Users\stu\Documents\GitHub\eaglep3-reporting\EC\2017-05-15-refined-times.txt</v>
      </c>
      <c r="AI74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{"issue":{"subject":"","project_id":79,"tracker_id":40,"status_id":1,"priority_id":2,"assigned_to_id":23,"start_date":"2017-05-15","description":"","custom_fields":[{"id":1,"name":"Subdivision","value":"EC"},{"id":4,"name":"Milepost","value":"0.0161"},{"id":17,"name":"Train ID","value":"160-15"},{"id":16,"name":"Locomotive ID","value":"4041"},{"id":130,"name":"Impact","value":""},{"id":150,"name":"Time of Event (Mountain Time)","value":"12:34:00"},{"id":151,"name":"Denver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19"/>
        <v>start /low /b %USERPROFILE%\Documents\GitHub\eaglep3\Utilities\DownloadLogsFromS3.py --loco 4041 --day 2017-05-15</v>
      </c>
      <c r="AN74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712</v>
      </c>
      <c r="B75" s="7">
        <v>4022</v>
      </c>
      <c r="C75" s="21" t="s">
        <v>206</v>
      </c>
      <c r="D75" s="21" t="s">
        <v>493</v>
      </c>
      <c r="E75" s="13">
        <v>42870.469837962963</v>
      </c>
      <c r="F75" s="13">
        <v>42870.472303240742</v>
      </c>
      <c r="G75" s="7">
        <v>2</v>
      </c>
      <c r="H75" s="21" t="s">
        <v>838</v>
      </c>
      <c r="I75" s="13">
        <v>42870.501400462963</v>
      </c>
      <c r="J75" s="7">
        <v>0</v>
      </c>
      <c r="K75" s="92" t="str">
        <f t="shared" si="0"/>
        <v>4021/4022</v>
      </c>
      <c r="L75" s="21" t="str">
        <f>VLOOKUP(A75,'Trips&amp;Operators'!$C$1:$G$99999,5,FALSE)</f>
        <v>DAVIS MICHAEL</v>
      </c>
      <c r="M75" s="6">
        <f t="shared" si="1"/>
        <v>2.9097222221025731E-2</v>
      </c>
      <c r="N75" s="7">
        <f t="shared" si="21"/>
        <v>41.899999998277053</v>
      </c>
      <c r="O75" s="7"/>
      <c r="P75" s="7"/>
      <c r="Q75" s="22"/>
      <c r="R75" s="190"/>
      <c r="S75" s="196">
        <f t="shared" si="22"/>
        <v>1</v>
      </c>
      <c r="T75" s="190" t="str">
        <f t="shared" si="2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3"/>
        <v>https://d0f6bd738d7f1b3e5a7ca70fe4ff75f0.us-east-1.aws.found.io/app/kibana#/discover/Steve-Slow-Train-Analysis-(2080s-and-2083s)?_g=(refreshInterval:(display:Off,pause:!f,section:0,value:0),time:(from:'2017-05-15T10:16:34-0600',mode:absolute,to:'2017-05-15T13:02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5" s="192" t="str">
        <f t="shared" si="4"/>
        <v>N</v>
      </c>
      <c r="X75" s="192">
        <f t="shared" si="23"/>
        <v>1</v>
      </c>
      <c r="Y75" s="192">
        <f t="shared" si="6"/>
        <v>0.14879999999999999</v>
      </c>
      <c r="Z75" s="192">
        <f t="shared" si="7"/>
        <v>23.331499999999998</v>
      </c>
      <c r="AA75" s="192">
        <f t="shared" si="8"/>
        <v>23.182699999999997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9"/>
        <v>0161-15</v>
      </c>
      <c r="AE75" s="80" t="str">
        <f t="shared" si="10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75" s="77" t="str">
        <f t="shared" si="11"/>
        <v>"C:\Program Files (x86)\AstroGrep\AstroGrep.exe" /e /r /s /spath="%USERPROFILE%\AppData\Local\Temp\OnboardLogs" /stypes="app*4022*20170515*" /stext=" 18:.+((SYSTEM_STATE.+slice.+state.+changed )|(ment ac)|(multiple cpu faults)|(system.+state.+changed )|(\[timeout)|(PRM\|1\|D)|(kpr)|(kdp)|(train st.+moving)|(\|lc)|(penalty))"</v>
      </c>
      <c r="AG75" s="1" t="str">
        <f t="shared" si="12"/>
        <v>EC</v>
      </c>
      <c r="AH75" s="81" t="str">
        <f t="shared" si="17"/>
        <v>"%USERPROFILE%\Documents\GitHub\eaglep3\Utilities\RefineRTDCRunTimes.py" --tripid 161-15 --locoid 4022 --swversion DE.1.0.9.0 --startMP 204:1488 --initTime 2017-05-15T11:16:34 --startdatetime 2017-05-15T11:20:07 --delay 2 --endMP 204:233315 --enddatetime 2017-05-15T12:02:01 --enforcementcount 0 &gt;&gt;C:\Users\stu\Documents\GitHub\eaglep3-reporting\EC\2017-05-15-refined-times.txt</v>
      </c>
      <c r="AI75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{"issue":{"subject":"","project_id":79,"tracker_id":40,"status_id":1,"priority_id":2,"assigned_to_id":23,"start_date":"2017-05-15","description":"","custom_fields":[{"id":1,"name":"Subdivision","value":"EC"},{"id":4,"name":"Milepost","value":"23.3315"},{"id":17,"name":"Train ID","value":"161-15"},{"id":16,"name":"Locomotive ID","value":"4022"},{"id":130,"name":"Impact","value":""},{"id":150,"name":"Time of Event (Mountain Time)","value":"12:02:01"},{"id":151,"name":"Denver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19"/>
        <v>start /low /b %USERPROFILE%\Documents\GitHub\eaglep3\Utilities\DownloadLogsFromS3.py --loco 4022 --day 2017-05-15</v>
      </c>
      <c r="AN75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18:02:01"},{"id":29,"name":"Sharepoint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4021</v>
      </c>
      <c r="C76" s="21" t="s">
        <v>206</v>
      </c>
      <c r="D76" s="21" t="s">
        <v>842</v>
      </c>
      <c r="E76" s="13">
        <v>42870.506099537037</v>
      </c>
      <c r="F76" s="13">
        <v>42870.508287037039</v>
      </c>
      <c r="G76" s="7">
        <v>1</v>
      </c>
      <c r="H76" s="21" t="s">
        <v>864</v>
      </c>
      <c r="I76" s="13">
        <v>42870.535462962966</v>
      </c>
      <c r="J76" s="7">
        <v>0</v>
      </c>
      <c r="K76" s="92" t="str">
        <f t="shared" si="0"/>
        <v>4021/4022</v>
      </c>
      <c r="L76" s="21" t="str">
        <f>VLOOKUP(A76,'Trips&amp;Operators'!$C$1:$G$99999,5,FALSE)</f>
        <v>DAVIS MICHAEL</v>
      </c>
      <c r="M76" s="6">
        <f t="shared" si="1"/>
        <v>2.7175925926712807E-2</v>
      </c>
      <c r="N76" s="7">
        <f t="shared" si="21"/>
        <v>39.133333334466442</v>
      </c>
      <c r="O76" s="7"/>
      <c r="P76" s="7"/>
      <c r="Q76" s="22"/>
      <c r="R76" s="190"/>
      <c r="S76" s="196">
        <f t="shared" si="22"/>
        <v>1</v>
      </c>
      <c r="T76" s="190" t="str">
        <f t="shared" si="2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3"/>
        <v>https://d0f6bd738d7f1b3e5a7ca70fe4ff75f0.us-east-1.aws.found.io/app/kibana#/discover/Steve-Slow-Train-Analysis-(2080s-and-2083s)?_g=(refreshInterval:(display:Off,pause:!f,section:0,value:0),time:(from:'2017-05-15T11:08:47-0600',mode:absolute,to:'2017-05-15T13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6" s="192" t="str">
        <f t="shared" si="4"/>
        <v>N</v>
      </c>
      <c r="X76" s="192">
        <f t="shared" si="23"/>
        <v>1</v>
      </c>
      <c r="Y76" s="192">
        <f t="shared" si="6"/>
        <v>23.3004</v>
      </c>
      <c r="Z76" s="192">
        <f t="shared" si="7"/>
        <v>1.29E-2</v>
      </c>
      <c r="AA76" s="192">
        <f t="shared" si="8"/>
        <v>23.287500000000001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9"/>
        <v>0162-15</v>
      </c>
      <c r="AE76" s="80" t="str">
        <f t="shared" si="10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76" s="77" t="str">
        <f t="shared" si="11"/>
        <v>"C:\Program Files (x86)\AstroGrep\AstroGrep.exe" /e /r /s /spath="%USERPROFILE%\AppData\Local\Temp\OnboardLogs" /stypes="app*4021*20170515*" /stext=" 18:.+((SYSTEM_STATE.+slice.+state.+changed )|(ment ac)|(multiple cpu faults)|(system.+state.+changed )|(\[timeout)|(PRM\|1\|D)|(kpr)|(kdp)|(train st.+moving)|(\|lc)|(penalty))"</v>
      </c>
      <c r="AG76" s="1" t="str">
        <f t="shared" si="12"/>
        <v>EC</v>
      </c>
      <c r="AH76" s="81" t="str">
        <f t="shared" si="17"/>
        <v>"%USERPROFILE%\Documents\GitHub\eaglep3\Utilities\RefineRTDCRunTimes.py" --tripid 162-15 --locoid 4021 --swversion DE.1.0.9.0 --startMP 204:233004 --initTime 2017-05-15T12:08:47 --startdatetime 2017-05-15T12:11:56 --delay 1 --endMP 204:129 --enddatetime 2017-05-15T12:51:04 --enforcementcount 0 &gt;&gt;C:\Users\stu\Documents\GitHub\eaglep3-reporting\EC\2017-05-15-refined-times.txt</v>
      </c>
      <c r="AI76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{"issue":{"subject":"","project_id":79,"tracker_id":40,"status_id":1,"priority_id":2,"assigned_to_id":23,"start_date":"2017-05-15","description":"","custom_fields":[{"id":1,"name":"Subdivision","value":"EC"},{"id":4,"name":"Milepost","value":"0.0129"},{"id":17,"name":"Train ID","value":"162-15"},{"id":16,"name":"Locomotive ID","value":"4021"},{"id":130,"name":"Impact","value":""},{"id":150,"name":"Time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19"/>
        <v>start /low /b %USERPROFILE%\Documents\GitHub\eaglep3\Utilities\DownloadLogsFromS3.py --loco 4021 --day 2017-05-15</v>
      </c>
      <c r="AN76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595</v>
      </c>
      <c r="B77" s="7">
        <v>4016</v>
      </c>
      <c r="C77" s="21" t="s">
        <v>206</v>
      </c>
      <c r="D77" s="21" t="s">
        <v>533</v>
      </c>
      <c r="E77" s="13">
        <v>42870.478634259256</v>
      </c>
      <c r="F77" s="13">
        <v>42870.482372685183</v>
      </c>
      <c r="G77" s="7">
        <v>1</v>
      </c>
      <c r="H77" s="21" t="s">
        <v>534</v>
      </c>
      <c r="I77" s="13">
        <v>42870.510740740741</v>
      </c>
      <c r="J77" s="7">
        <v>0</v>
      </c>
      <c r="K77" s="92" t="str">
        <f t="shared" ref="K77:K140" si="24">IF(ISEVEN(B77),(B77-1)&amp;"/"&amp;B77,B77&amp;"/"&amp;(B77+1))</f>
        <v>4015/4016</v>
      </c>
      <c r="L77" s="21" t="str">
        <f>VLOOKUP(A77,'Trips&amp;Operators'!$C$1:$G$99999,5,FALSE)</f>
        <v>CLARK KATHLEEN</v>
      </c>
      <c r="M77" s="6">
        <f t="shared" ref="M77:M140" si="25">I77-F77</f>
        <v>2.8368055558530614E-2</v>
      </c>
      <c r="N77" s="7">
        <f t="shared" si="21"/>
        <v>40.850000004284084</v>
      </c>
      <c r="O77" s="7"/>
      <c r="P77" s="7"/>
      <c r="Q77" s="22"/>
      <c r="R77" s="190"/>
      <c r="S77" s="196">
        <f t="shared" si="22"/>
        <v>1</v>
      </c>
      <c r="T77" s="190" t="str">
        <f t="shared" ref="T77:T140" si="26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-15T10:29:14-0600',mode:absolute,to:'2017-05-15T13:15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2" t="str">
        <f t="shared" ref="W77:W140" si="28">IF(AA77&lt;IF(AG77="EC",23,5.65),"Y","N")</f>
        <v>N</v>
      </c>
      <c r="X77" s="192">
        <f t="shared" ref="X77:X108" si="29">VALUE(LEFT(AD77,4))-VALUE(LEFT(AD76,4))</f>
        <v>1</v>
      </c>
      <c r="Y77" s="192">
        <f t="shared" ref="Y77:Y140" si="30">RIGHT(D77,LEN(D77)-4)/10000</f>
        <v>4.6699999999999998E-2</v>
      </c>
      <c r="Z77" s="192">
        <f t="shared" ref="Z77:Z140" si="31">RIGHT(H77,LEN(H77)-4)/10000</f>
        <v>23.327200000000001</v>
      </c>
      <c r="AA77" s="192">
        <f t="shared" ref="AA77:AA140" si="32">ABS(Z77-Y77)</f>
        <v>23.2805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33">IF(LEN(A77)=6,"0"&amp;A77,A77)</f>
        <v>0163-15</v>
      </c>
      <c r="AE77" s="80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77" s="77" t="str">
        <f t="shared" ref="AF77:AF140" si="3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/stypes="app*4016*20170515*"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36">IFERROR(IF(VALUE(LEFT(AD77,2))&lt;=2,"EC",IF(OR(VALUE(LEFT(AD77,2))=8,VALUE(LEFT(AD77,2))=18),"NW","Other")),"Other")</f>
        <v>EC</v>
      </c>
      <c r="AH77" s="81" t="str">
        <f t="shared" si="17"/>
        <v>"%USERPROFILE%\Documents\GitHub\eaglep3\Utilities\RefineRTDCRunTimes.py" --tripid 163-15 --locoid 4016 --swversion DE.1.0.9.0 --startMP 204:467 --initTime 2017-05-15T11:29:14 --startdatetime 2017-05-15T11:34:37 --delay 1 --endMP 204:233272 --enddatetime 2017-05-15T12:15:28 --enforcementcount 0 &gt;&gt;C:\Users\stu\Documents\GitHub\eaglep3-reporting\EC\2017-05-15-refined-times.txt</v>
      </c>
      <c r="AI77" s="99" t="str">
        <f t="shared" si="18"/>
        <v>echo {"issue":{"subject":"","project_id":79,"tracker_id":40,"status_id":1,"priority_id":2,"assigned_to_id":23,"start_date":"2017-05-15","description":"","custom_fields":[{"id":1,"name":"Subdivision","value":"EC"},{"id":4,"name":"Milepost","value":"23.3272"},{"id":17,"name":"Train ID","value":"163-15"},{"id":16,"name":"Locomotive ID","value":"4016"},{"id":130,"name":"Impact","value":""},{"id":150,"name":"Time of Event (Mountain Time)","value":"12:15:28"},{"id":151,"name":"Denver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19"/>
        <v>start /low /b %USERPROFILE%\Documents\GitHub\eaglep3\Utilities\DownloadLogsFromS3.py --loco 4016 --day 2017-05-15</v>
      </c>
      <c r="AN77" s="154" t="str">
        <f t="shared" si="2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18:15:28"},{"id":29,"name":"Sharepoint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725</v>
      </c>
      <c r="B78" s="7">
        <v>4015</v>
      </c>
      <c r="C78" s="21" t="s">
        <v>206</v>
      </c>
      <c r="D78" s="21" t="s">
        <v>550</v>
      </c>
      <c r="E78" s="13">
        <v>42870.516782407409</v>
      </c>
      <c r="F78" s="13">
        <v>42870.518240740741</v>
      </c>
      <c r="G78" s="7">
        <v>1</v>
      </c>
      <c r="H78" s="21" t="s">
        <v>865</v>
      </c>
      <c r="I78" s="13">
        <v>42870.547465277778</v>
      </c>
      <c r="J78" s="7">
        <v>0</v>
      </c>
      <c r="K78" s="92" t="str">
        <f t="shared" si="24"/>
        <v>4015/4016</v>
      </c>
      <c r="L78" s="21" t="str">
        <f>VLOOKUP(A78,'Trips&amp;Operators'!$C$1:$G$99999,5,FALSE)</f>
        <v>CLARK KATHLEEN</v>
      </c>
      <c r="M78" s="6">
        <f t="shared" si="25"/>
        <v>2.9224537036498077E-2</v>
      </c>
      <c r="N78" s="7">
        <f t="shared" si="21"/>
        <v>42.083333332557231</v>
      </c>
      <c r="O78" s="7"/>
      <c r="P78" s="7"/>
      <c r="Q78" s="22"/>
      <c r="R78" s="190"/>
      <c r="S78" s="196">
        <f t="shared" si="22"/>
        <v>1</v>
      </c>
      <c r="T78" s="190" t="str">
        <f t="shared" si="26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27"/>
        <v>https://d0f6bd738d7f1b3e5a7ca70fe4ff75f0.us-east-1.aws.found.io/app/kibana#/discover/Steve-Slow-Train-Analysis-(2080s-and-2083s)?_g=(refreshInterval:(display:Off,pause:!f,section:0,value:0),time:(from:'2017-05-15T11:24:10-0600',mode:absolute,to:'2017-05-15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2" t="str">
        <f t="shared" si="28"/>
        <v>N</v>
      </c>
      <c r="X78" s="192">
        <f t="shared" si="29"/>
        <v>1</v>
      </c>
      <c r="Y78" s="192">
        <f t="shared" si="30"/>
        <v>23.2957</v>
      </c>
      <c r="Z78" s="192">
        <f t="shared" si="31"/>
        <v>1.8100000000000002E-2</v>
      </c>
      <c r="AA78" s="192">
        <f t="shared" si="32"/>
        <v>23.2776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33"/>
        <v>0164-15</v>
      </c>
      <c r="AE78" s="80" t="str">
        <f t="shared" si="3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78" s="77" t="str">
        <f t="shared" si="35"/>
        <v>"C:\Program Files (x86)\AstroGrep\AstroGrep.exe" /e /r /s /spath="%USERPROFILE%\AppData\Local\Temp\OnboardLogs" /stypes="app*4015*20170515*" /stext=" 19:.+((SYSTEM_STATE.+slice.+state.+changed )|(ment ac)|(multiple cpu faults)|(system.+state.+changed )|(\[timeout)|(PRM\|1\|D)|(kpr)|(kdp)|(train st.+moving)|(\|lc)|(penalty))"</v>
      </c>
      <c r="AG78" s="1" t="str">
        <f t="shared" si="36"/>
        <v>EC</v>
      </c>
      <c r="AH78" s="81" t="str">
        <f t="shared" ref="AH78:AH141" si="3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164-15 --locoid 4015 --swversion DE.1.0.9.0 --startMP 204:232957 --initTime 2017-05-15T12:24:10 --startdatetime 2017-05-15T12:26:16 --delay 1 --endMP 204:181 --enddatetime 2017-05-15T13:08:21 --enforcementcount 0 &gt;&gt;C:\Users\stu\Documents\GitHub\eaglep3-reporting\EC\2017-05-15-refined-times.txt</v>
      </c>
      <c r="AI78" s="99" t="str">
        <f t="shared" ref="AI78:AI141" si="3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{"issue":{"subject":"","project_id":79,"tracker_id":40,"status_id":1,"priority_id":2,"assigned_to_id":23,"start_date":"2017-05-15","description":"","custom_fields":[{"id":1,"name":"Subdivision","value":"EC"},{"id":4,"name":"Milepost","value":"0.0181"},{"id":17,"name":"Train ID","value":"164-15"},{"id":16,"name":"Locomotive ID","value":"4015"},{"id":130,"name":"Impact","value":""},{"id":150,"name":"Time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39">"start /low /b "&amp;dls3logs&amp;" --loco "&amp;B78&amp;" --day "&amp;TEXT(F78,"YYYY-MM-DD")</f>
        <v>start /low /b %USERPROFILE%\Documents\GitHub\eaglep3\Utilities\DownloadLogsFromS3.py --loco 4015 --day 2017-05-15</v>
      </c>
      <c r="AN78" s="154" t="str">
        <f t="shared" ref="AN78:AN141" si="4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596</v>
      </c>
      <c r="B79" s="7">
        <v>4026</v>
      </c>
      <c r="C79" s="21" t="s">
        <v>206</v>
      </c>
      <c r="D79" s="21" t="s">
        <v>380</v>
      </c>
      <c r="E79" s="13">
        <v>42870.487905092596</v>
      </c>
      <c r="F79" s="13">
        <v>42870.490497685183</v>
      </c>
      <c r="G79" s="7">
        <v>3</v>
      </c>
      <c r="H79" s="21" t="s">
        <v>866</v>
      </c>
      <c r="I79" s="13">
        <v>42870.514976851853</v>
      </c>
      <c r="J79" s="7">
        <v>0</v>
      </c>
      <c r="K79" s="92" t="str">
        <f t="shared" si="24"/>
        <v>4025/4026</v>
      </c>
      <c r="L79" s="21" t="str">
        <f>VLOOKUP(A79,'Trips&amp;Operators'!$C$1:$G$99999,5,FALSE)</f>
        <v>ROMERO CHAD</v>
      </c>
      <c r="M79" s="6">
        <f t="shared" si="25"/>
        <v>2.4479166670062114E-2</v>
      </c>
      <c r="N79" s="7">
        <f t="shared" si="21"/>
        <v>35.250000004889444</v>
      </c>
      <c r="O79" s="7"/>
      <c r="P79" s="7"/>
      <c r="Q79" s="22"/>
      <c r="R79" s="190"/>
      <c r="S79" s="196">
        <f t="shared" si="22"/>
        <v>1</v>
      </c>
      <c r="T79" s="190" t="str">
        <f t="shared" si="26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27"/>
        <v>https://d0f6bd738d7f1b3e5a7ca70fe4ff75f0.us-east-1.aws.found.io/app/kibana#/discover/Steve-Slow-Train-Analysis-(2080s-and-2083s)?_g=(refreshInterval:(display:Off,pause:!f,section:0,value:0),time:(from:'2017-05-15T10:42:35-0600',mode:absolute,to:'2017-05-15T13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9" s="192" t="str">
        <f t="shared" si="28"/>
        <v>N</v>
      </c>
      <c r="X79" s="192">
        <f t="shared" si="29"/>
        <v>1</v>
      </c>
      <c r="Y79" s="192">
        <f t="shared" si="30"/>
        <v>4.5499999999999999E-2</v>
      </c>
      <c r="Z79" s="192">
        <f t="shared" si="31"/>
        <v>23.338699999999999</v>
      </c>
      <c r="AA79" s="192">
        <f t="shared" si="32"/>
        <v>23.293199999999999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33"/>
        <v>0165-15</v>
      </c>
      <c r="AE79" s="80" t="str">
        <f t="shared" si="34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79" s="77" t="str">
        <f t="shared" si="35"/>
        <v>"C:\Program Files (x86)\AstroGrep\AstroGrep.exe" /e /r /s /spath="%USERPROFILE%\AppData\Local\Temp\OnboardLogs" /stypes="app*4026*20170515*" /stext=" 18:.+((SYSTEM_STATE.+slice.+state.+changed )|(ment ac)|(multiple cpu faults)|(system.+state.+changed )|(\[timeout)|(PRM\|1\|D)|(kpr)|(kdp)|(train st.+moving)|(\|lc)|(penalty))"</v>
      </c>
      <c r="AG79" s="1" t="str">
        <f t="shared" si="36"/>
        <v>EC</v>
      </c>
      <c r="AH79" s="81" t="str">
        <f t="shared" si="37"/>
        <v>"%USERPROFILE%\Documents\GitHub\eaglep3\Utilities\RefineRTDCRunTimes.py" --tripid 165-15 --locoid 4026 --swversion DE.1.0.9.0 --startMP 204:455 --initTime 2017-05-15T11:42:35 --startdatetime 2017-05-15T11:46:19 --delay 3 --endMP 204:233387 --enddatetime 2017-05-15T12:21:34 --enforcementcount 0 &gt;&gt;C:\Users\stu\Documents\GitHub\eaglep3-reporting\EC\2017-05-15-refined-times.txt</v>
      </c>
      <c r="AI7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{"issue":{"subject":"","project_id":79,"tracker_id":40,"status_id":1,"priority_id":2,"assigned_to_id":23,"start_date":"2017-05-15","description":"","custom_fields":[{"id":1,"name":"Subdivision","value":"EC"},{"id":4,"name":"Milepost","value":"23.3387"},{"id":17,"name":"Train ID","value":"165-15"},{"id":16,"name":"Locomotive ID","value":"4026"},{"id":130,"name":"Impact","value":""},{"id":150,"name":"Time of Event (Mountain Time)","value":"12:21:34"},{"id":151,"name":"Denver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39"/>
        <v>start /low /b %USERPROFILE%\Documents\GitHub\eaglep3\Utilities\DownloadLogsFromS3.py --loco 4026 --day 2017-05-15</v>
      </c>
      <c r="AN79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726</v>
      </c>
      <c r="B80" s="7">
        <v>4025</v>
      </c>
      <c r="C80" s="21" t="s">
        <v>206</v>
      </c>
      <c r="D80" s="21" t="s">
        <v>569</v>
      </c>
      <c r="E80" s="13">
        <v>42870.519317129627</v>
      </c>
      <c r="F80" s="13">
        <v>42870.528900462959</v>
      </c>
      <c r="G80" s="7">
        <v>2</v>
      </c>
      <c r="H80" s="21" t="s">
        <v>371</v>
      </c>
      <c r="I80" s="13">
        <v>42870.556122685186</v>
      </c>
      <c r="J80" s="7">
        <v>0</v>
      </c>
      <c r="K80" s="92" t="str">
        <f t="shared" si="24"/>
        <v>4025/4026</v>
      </c>
      <c r="L80" s="21" t="str">
        <f>VLOOKUP(A80,'Trips&amp;Operators'!$C$1:$G$99999,5,FALSE)</f>
        <v>ROMERO CHAD</v>
      </c>
      <c r="M80" s="6">
        <f t="shared" si="25"/>
        <v>2.7222222226555459E-2</v>
      </c>
      <c r="N80" s="7">
        <f t="shared" si="21"/>
        <v>39.200000006239861</v>
      </c>
      <c r="O80" s="7"/>
      <c r="P80" s="7"/>
      <c r="Q80" s="22"/>
      <c r="R80" s="190"/>
      <c r="S80" s="196">
        <f t="shared" si="22"/>
        <v>1</v>
      </c>
      <c r="T80" s="190" t="str">
        <f t="shared" si="26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27"/>
        <v>https://d0f6bd738d7f1b3e5a7ca70fe4ff75f0.us-east-1.aws.found.io/app/kibana#/discover/Steve-Slow-Train-Analysis-(2080s-and-2083s)?_g=(refreshInterval:(display:Off,pause:!f,section:0,value:0),time:(from:'2017-05-15T11:27:49-0600',mode:absolute,to:'2017-05-15T14:20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0" s="192" t="str">
        <f t="shared" si="28"/>
        <v>N</v>
      </c>
      <c r="X80" s="192">
        <f t="shared" si="29"/>
        <v>1</v>
      </c>
      <c r="Y80" s="192">
        <f t="shared" si="30"/>
        <v>23.307200000000002</v>
      </c>
      <c r="Z80" s="192">
        <f t="shared" si="31"/>
        <v>1.41E-2</v>
      </c>
      <c r="AA80" s="192">
        <f t="shared" si="32"/>
        <v>23.293100000000003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33"/>
        <v>0166-15</v>
      </c>
      <c r="AE80" s="80" t="str">
        <f t="shared" si="34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80" s="77" t="str">
        <f t="shared" si="35"/>
        <v>"C:\Program Files (x86)\AstroGrep\AstroGrep.exe" /e /r /s /spath="%USERPROFILE%\AppData\Local\Temp\OnboardLogs" /stypes="app*4025*20170515*" /stext=" 19:.+((SYSTEM_STATE.+slice.+state.+changed )|(ment ac)|(multiple cpu faults)|(system.+state.+changed )|(\[timeout)|(PRM\|1\|D)|(kpr)|(kdp)|(train st.+moving)|(\|lc)|(penalty))"</v>
      </c>
      <c r="AG80" s="1" t="str">
        <f t="shared" si="36"/>
        <v>EC</v>
      </c>
      <c r="AH80" s="81" t="str">
        <f t="shared" si="37"/>
        <v>"%USERPROFILE%\Documents\GitHub\eaglep3\Utilities\RefineRTDCRunTimes.py" --tripid 166-15 --locoid 4025 --swversion DE.1.0.9.0 --startMP 204:233072 --initTime 2017-05-15T12:27:49 --startdatetime 2017-05-15T12:41:37 --delay 2 --endMP 204:141 --enddatetime 2017-05-15T13:20:49 --enforcementcount 0 &gt;&gt;C:\Users\stu\Documents\GitHub\eaglep3-reporting\EC\2017-05-15-refined-times.txt</v>
      </c>
      <c r="AI8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{"issue":{"subject":"","project_id":79,"tracker_id":40,"status_id":1,"priority_id":2,"assigned_to_id":23,"start_date":"2017-05-15","description":"","custom_fields":[{"id":1,"name":"Subdivision","value":"EC"},{"id":4,"name":"Milepost","value":"0.0141"},{"id":17,"name":"Train ID","value":"166-15"},{"id":16,"name":"Locomotive ID","value":"4025"},{"id":130,"name":"Impact","value":""},{"id":150,"name":"Time of Event (Mountain Time)","value":"13:20:49"},{"id":151,"name":"Denver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39"/>
        <v>start /low /b %USERPROFILE%\Documents\GitHub\eaglep3\Utilities\DownloadLogsFromS3.py --loco 4025 --day 2017-05-15</v>
      </c>
      <c r="AN80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719</v>
      </c>
      <c r="B81" s="7">
        <v>4052</v>
      </c>
      <c r="C81" s="21" t="s">
        <v>206</v>
      </c>
      <c r="D81" s="21" t="s">
        <v>361</v>
      </c>
      <c r="E81" s="13">
        <v>42870.495289351849</v>
      </c>
      <c r="F81" s="13">
        <v>42870.500138888892</v>
      </c>
      <c r="G81" s="7">
        <v>1</v>
      </c>
      <c r="H81" s="21" t="s">
        <v>528</v>
      </c>
      <c r="I81" s="13">
        <v>42870.524351851855</v>
      </c>
      <c r="J81" s="7">
        <v>0</v>
      </c>
      <c r="K81" s="92" t="str">
        <f t="shared" si="24"/>
        <v>4051/4052</v>
      </c>
      <c r="L81" s="21" t="str">
        <f>VLOOKUP(A81,'Trips&amp;Operators'!$C$1:$G$99999,5,FALSE)</f>
        <v>LALONDE GREGORY</v>
      </c>
      <c r="M81" s="6">
        <f t="shared" si="25"/>
        <v>2.421296296233777E-2</v>
      </c>
      <c r="N81" s="7">
        <f t="shared" si="21"/>
        <v>34.866666665766388</v>
      </c>
      <c r="O81" s="7"/>
      <c r="P81" s="7"/>
      <c r="Q81" s="22"/>
      <c r="R81" s="190"/>
      <c r="S81" s="196">
        <f t="shared" si="22"/>
        <v>1</v>
      </c>
      <c r="T81" s="190" t="str">
        <f t="shared" si="26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27"/>
        <v>https://d0f6bd738d7f1b3e5a7ca70fe4ff75f0.us-east-1.aws.found.io/app/kibana#/discover/Steve-Slow-Train-Analysis-(2080s-and-2083s)?_g=(refreshInterval:(display:Off,pause:!f,section:0,value:0),time:(from:'2017-05-15T10:53:13-0600',mode:absolute,to:'2017-05-15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1" s="192" t="str">
        <f t="shared" si="28"/>
        <v>N</v>
      </c>
      <c r="X81" s="192">
        <f t="shared" si="29"/>
        <v>1</v>
      </c>
      <c r="Y81" s="192">
        <f t="shared" si="30"/>
        <v>4.6600000000000003E-2</v>
      </c>
      <c r="Z81" s="192">
        <f t="shared" si="31"/>
        <v>23.3385</v>
      </c>
      <c r="AA81" s="192">
        <f t="shared" si="32"/>
        <v>23.291899999999998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33"/>
        <v>0167-15</v>
      </c>
      <c r="AE81" s="80" t="str">
        <f t="shared" si="3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81" s="77" t="str">
        <f t="shared" si="35"/>
        <v>"C:\Program Files (x86)\AstroGrep\AstroGrep.exe" /e /r /s /spath="%USERPROFILE%\AppData\Local\Temp\OnboardLogs" /stypes="app*4052*20170515*" /stext=" 18:.+((SYSTEM_STATE.+slice.+state.+changed )|(ment ac)|(multiple cpu faults)|(system.+state.+changed )|(\[timeout)|(PRM\|1\|D)|(kpr)|(kdp)|(train st.+moving)|(\|lc)|(penalty))"</v>
      </c>
      <c r="AG81" s="1" t="str">
        <f t="shared" si="36"/>
        <v>EC</v>
      </c>
      <c r="AH81" s="81" t="str">
        <f t="shared" si="37"/>
        <v>"%USERPROFILE%\Documents\GitHub\eaglep3\Utilities\RefineRTDCRunTimes.py" --tripid 167-15 --locoid 4052 --swversion DE.1.0.9.0 --startMP 204:466 --initTime 2017-05-15T11:53:13 --startdatetime 2017-05-15T12:00:12 --delay 1 --endMP 204:233385 --enddatetime 2017-05-15T12:35:04 --enforcementcount 0 &gt;&gt;C:\Users\stu\Documents\GitHub\eaglep3-reporting\EC\2017-05-15-refined-times.txt</v>
      </c>
      <c r="AI8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{"issue":{"subject":"","project_id":79,"tracker_id":40,"status_id":1,"priority_id":2,"assigned_to_id":23,"start_date":"2017-05-15","description":"","custom_fields":[{"id":1,"name":"Subdivision","value":"EC"},{"id":4,"name":"Milepost","value":"23.3385"},{"id":17,"name":"Train ID","value":"167-15"},{"id":16,"name":"Locomotive ID","value":"4052"},{"id":130,"name":"Impact","value":""},{"id":150,"name":"Time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39"/>
        <v>start /low /b %USERPROFILE%\Documents\GitHub\eaglep3\Utilities\DownloadLogsFromS3.py --loco 4052 --day 2017-05-15</v>
      </c>
      <c r="AN81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600</v>
      </c>
      <c r="B82" s="7">
        <v>4051</v>
      </c>
      <c r="C82" s="21" t="s">
        <v>206</v>
      </c>
      <c r="D82" s="21" t="s">
        <v>565</v>
      </c>
      <c r="E82" s="13">
        <v>42870.526666666665</v>
      </c>
      <c r="F82" s="13">
        <v>42870.5390625</v>
      </c>
      <c r="G82" s="7">
        <v>1</v>
      </c>
      <c r="H82" s="21" t="s">
        <v>197</v>
      </c>
      <c r="I82" s="13">
        <v>42870.566701388889</v>
      </c>
      <c r="J82" s="7">
        <v>0</v>
      </c>
      <c r="K82" s="92" t="str">
        <f t="shared" si="24"/>
        <v>4051/4052</v>
      </c>
      <c r="L82" s="21" t="str">
        <f>VLOOKUP(A82,'Trips&amp;Operators'!$C$1:$G$99999,5,FALSE)</f>
        <v>LALONDE GREGORY</v>
      </c>
      <c r="M82" s="6">
        <f t="shared" si="25"/>
        <v>2.7638888888759539E-2</v>
      </c>
      <c r="N82" s="7">
        <f t="shared" si="21"/>
        <v>39.799999999813735</v>
      </c>
      <c r="O82" s="7"/>
      <c r="P82" s="7"/>
      <c r="Q82" s="22"/>
      <c r="R82" s="190"/>
      <c r="S82" s="196">
        <f t="shared" si="22"/>
        <v>1</v>
      </c>
      <c r="T82" s="190" t="str">
        <f t="shared" si="26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27"/>
        <v>https://d0f6bd738d7f1b3e5a7ca70fe4ff75f0.us-east-1.aws.found.io/app/kibana#/discover/Steve-Slow-Train-Analysis-(2080s-and-2083s)?_g=(refreshInterval:(display:Off,pause:!f,section:0,value:0),time:(from:'2017-05-15T11:38:24-0600',mode:absolute,to:'2017-05-15T14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2" s="192" t="str">
        <f t="shared" si="28"/>
        <v>N</v>
      </c>
      <c r="X82" s="192">
        <f t="shared" si="29"/>
        <v>1</v>
      </c>
      <c r="Y82" s="192">
        <f t="shared" si="30"/>
        <v>23.305299999999999</v>
      </c>
      <c r="Z82" s="192">
        <f t="shared" si="31"/>
        <v>1.52E-2</v>
      </c>
      <c r="AA82" s="192">
        <f t="shared" si="32"/>
        <v>23.290099999999999</v>
      </c>
      <c r="AB82" s="57" t="str">
        <f>VLOOKUP(A82,Enforcements!$C$7:$K$13,8,0)</f>
        <v>Bulletin (2)</v>
      </c>
      <c r="AC82" s="53" t="str">
        <f>VLOOKUP(A82,Enforcements!$C$7:$E$13,3,0)</f>
        <v>GRADE CROSSING</v>
      </c>
      <c r="AD82" s="54" t="str">
        <f t="shared" si="33"/>
        <v>0168-15</v>
      </c>
      <c r="AE82" s="80" t="str">
        <f t="shared" si="3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82" s="77" t="str">
        <f t="shared" si="35"/>
        <v>"C:\Program Files (x86)\AstroGrep\AstroGrep.exe" /e /r /s /spath="%USERPROFILE%\AppData\Local\Temp\OnboardLogs" /stypes="app*4051*20170515*" /stext=" 19:.+((SYSTEM_STATE.+slice.+state.+changed )|(ment ac)|(multiple cpu faults)|(system.+state.+changed )|(\[timeout)|(PRM\|1\|D)|(kpr)|(kdp)|(train st.+moving)|(\|lc)|(penalty))"</v>
      </c>
      <c r="AG82" s="1" t="str">
        <f t="shared" si="36"/>
        <v>EC</v>
      </c>
      <c r="AH82" s="81" t="str">
        <f t="shared" si="37"/>
        <v>"%USERPROFILE%\Documents\GitHub\eaglep3\Utilities\RefineRTDCRunTimes.py" --tripid 168-15 --locoid 4051 --swversion DE.1.0.9.0 --startMP 204:233053 --initTime 2017-05-15T12:38:24 --startdatetime 2017-05-15T12:56:15 --delay 1 --endMP 204:152 --enddatetime 2017-05-15T13:36:03 --enforcementcount 0 &gt;&gt;C:\Users\stu\Documents\GitHub\eaglep3-reporting\EC\2017-05-15-refined-times.txt</v>
      </c>
      <c r="AI82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{"issue":{"subject":"","project_id":79,"tracker_id":40,"status_id":1,"priority_id":2,"assigned_to_id":23,"start_date":"2017-05-15","description":"","custom_fields":[{"id":1,"name":"Subdivision","value":"EC"},{"id":4,"name":"Milepost","value":"0.0152"},{"id":17,"name":"Train ID","value":"168-15"},{"id":16,"name":"Locomotive ID","value":"4051"},{"id":130,"name":"Impact","value":""},{"id":150,"name":"Time of Event (Mountain Time)","value":"13:36:03"},{"id":151,"name":"Denver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39"/>
        <v>start /low /b %USERPROFILE%\Documents\GitHub\eaglep3\Utilities\DownloadLogsFromS3.py --loco 4051 --day 2017-05-15</v>
      </c>
      <c r="AN82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4028</v>
      </c>
      <c r="C83" s="21" t="s">
        <v>206</v>
      </c>
      <c r="D83" s="21" t="s">
        <v>202</v>
      </c>
      <c r="E83" s="13">
        <v>42870.509189814817</v>
      </c>
      <c r="F83" s="13">
        <v>42870.51153935185</v>
      </c>
      <c r="G83" s="7">
        <v>2</v>
      </c>
      <c r="H83" s="21" t="s">
        <v>530</v>
      </c>
      <c r="I83" s="13">
        <v>42870.538819444446</v>
      </c>
      <c r="J83" s="7">
        <v>0</v>
      </c>
      <c r="K83" s="92" t="str">
        <f t="shared" si="24"/>
        <v>4027/4028</v>
      </c>
      <c r="L83" s="21" t="str">
        <f>VLOOKUP(A83,'Trips&amp;Operators'!$C$1:$G$99999,5,FALSE)</f>
        <v>THOMPSON LESTER</v>
      </c>
      <c r="M83" s="6">
        <f t="shared" si="25"/>
        <v>2.7280092595901806E-2</v>
      </c>
      <c r="N83" s="7">
        <f t="shared" si="21"/>
        <v>39.283333338098601</v>
      </c>
      <c r="O83" s="7"/>
      <c r="P83" s="7"/>
      <c r="Q83" s="22"/>
      <c r="R83" s="190" t="s">
        <v>1052</v>
      </c>
      <c r="S83" s="196">
        <f t="shared" si="22"/>
        <v>1</v>
      </c>
      <c r="T83" s="190" t="str">
        <f t="shared" si="26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27"/>
        <v>https://d0f6bd738d7f1b3e5a7ca70fe4ff75f0.us-east-1.aws.found.io/app/kibana#/discover/Steve-Slow-Train-Analysis-(2080s-and-2083s)?_g=(refreshInterval:(display:Off,pause:!f,section:0,value:0),time:(from:'2017-05-15T11:13:14-0600',mode:absolute,to:'2017-05-15T13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3" s="192" t="str">
        <f t="shared" si="28"/>
        <v>N</v>
      </c>
      <c r="X83" s="192">
        <f t="shared" si="29"/>
        <v>1</v>
      </c>
      <c r="Y83" s="192">
        <f t="shared" si="30"/>
        <v>4.5699999999999998E-2</v>
      </c>
      <c r="Z83" s="192">
        <f t="shared" si="31"/>
        <v>23.331900000000001</v>
      </c>
      <c r="AA83" s="192">
        <f t="shared" si="32"/>
        <v>23.286200000000001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33"/>
        <v>0169-15</v>
      </c>
      <c r="AE83" s="80" t="str">
        <f t="shared" si="34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83" s="77" t="str">
        <f t="shared" si="35"/>
        <v>"C:\Program Files (x86)\AstroGrep\AstroGrep.exe" /e /r /s /spath="%USERPROFILE%\AppData\Local\Temp\OnboardLogs" /stypes="app*4028*20170515*" /stext=" 18:.+((SYSTEM_STATE.+slice.+state.+changed )|(ment ac)|(multiple cpu faults)|(system.+state.+changed )|(\[timeout)|(PRM\|1\|D)|(kpr)|(kdp)|(train st.+moving)|(\|lc)|(penalty))"</v>
      </c>
      <c r="AG83" s="1" t="str">
        <f t="shared" si="36"/>
        <v>EC</v>
      </c>
      <c r="AH83" s="81" t="str">
        <f t="shared" si="37"/>
        <v>"%USERPROFILE%\Documents\GitHub\eaglep3\Utilities\RefineRTDCRunTimes.py" --tripid 169-15 --locoid 4028 --swversion DE.1.0.9.0 --startMP 204:457 --initTime 2017-05-15T12:13:14 --startdatetime 2017-05-15T12:16:37 --delay 2 --endMP 204:233319 --enddatetime 2017-05-15T12:55:54 --enforcementcount 0 &gt;&gt;C:\Users\stu\Documents\GitHub\eaglep3-reporting\EC\2017-05-15-refined-times.txt</v>
      </c>
      <c r="AI83" s="99" t="str">
        <f t="shared" si="38"/>
        <v>echo {"issue":{"subject":"Selected wrong track, corrected and proceeded","project_id":79,"tracker_id":40,"status_id":1,"priority_id":2,"assigned_to_id":23,"start_date":"2017-05-15","description":"","custom_fields":[{"id":1,"name":"Subdivision","value":"EC"},{"id":4,"name":"Milepost","value":"23.3319"},{"id":17,"name":"Train ID","value":"169-15"},{"id":16,"name":"Locomotive ID","value":"4028"},{"id":130,"name":"Impact","value":""},{"id":150,"name":"Time of Event (Mountain Time)","value":"12:55:54"},{"id":151,"name":"Denver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39"/>
        <v>start /low /b %USERPROFILE%\Documents\GitHub\eaglep3\Utilities\DownloadLogsFromS3.py --loco 4028 --day 2017-05-15</v>
      </c>
      <c r="AN83" s="154" t="str">
        <f t="shared" si="40"/>
        <v>echo {"issue":{"subject":"Selected wrong track, corrected and proceeded","project_id":30,"tracker_id":4,"status_id":1,"priority_id":1,"assigned_to_id":10,"start_date":"2017-05-15","description":"","custom_fields":[{"id":30,"name":"Category","value":"Issue"},{"id":3,"name":"Functional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598</v>
      </c>
      <c r="B84" s="7">
        <v>4027</v>
      </c>
      <c r="C84" s="21" t="s">
        <v>206</v>
      </c>
      <c r="D84" s="21" t="s">
        <v>839</v>
      </c>
      <c r="E84" s="13">
        <v>42870.544687499998</v>
      </c>
      <c r="F84" s="13">
        <v>42870.549490740741</v>
      </c>
      <c r="G84" s="7">
        <v>1</v>
      </c>
      <c r="H84" s="21" t="s">
        <v>358</v>
      </c>
      <c r="I84" s="13">
        <v>42870.579363425924</v>
      </c>
      <c r="J84" s="7">
        <v>0</v>
      </c>
      <c r="K84" s="92" t="str">
        <f t="shared" si="24"/>
        <v>4027/4028</v>
      </c>
      <c r="L84" s="21" t="str">
        <f>VLOOKUP(A84,'Trips&amp;Operators'!$C$1:$G$99999,5,FALSE)</f>
        <v>THOMPSON LESTER</v>
      </c>
      <c r="M84" s="6">
        <f t="shared" si="25"/>
        <v>2.9872685183363501E-2</v>
      </c>
      <c r="N84" s="7">
        <f t="shared" ref="N84:N147" si="41">24*60*SUM($M84:$M84)</f>
        <v>43.016666664043441</v>
      </c>
      <c r="O84" s="7"/>
      <c r="P84" s="7"/>
      <c r="Q84" s="22"/>
      <c r="R84" s="190"/>
      <c r="S84" s="196">
        <f t="shared" ref="S84:S147" si="42">SUM(U84:U84)/IF(AG84="EC",12,1)</f>
        <v>1</v>
      </c>
      <c r="T84" s="190" t="str">
        <f t="shared" si="26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27"/>
        <v>https://d0f6bd738d7f1b3e5a7ca70fe4ff75f0.us-east-1.aws.found.io/app/kibana#/discover/Steve-Slow-Train-Analysis-(2080s-and-2083s)?_g=(refreshInterval:(display:Off,pause:!f,section:0,value:0),time:(from:'2017-05-15T12:04:21-0600',mode:absolute,to:'2017-05-15T14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4" s="192" t="str">
        <f t="shared" si="28"/>
        <v>N</v>
      </c>
      <c r="X84" s="192">
        <f t="shared" si="29"/>
        <v>1</v>
      </c>
      <c r="Y84" s="192">
        <f t="shared" si="30"/>
        <v>23.2987</v>
      </c>
      <c r="Z84" s="192">
        <f t="shared" si="31"/>
        <v>1.4999999999999999E-2</v>
      </c>
      <c r="AA84" s="192">
        <f t="shared" si="32"/>
        <v>23.2837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33"/>
        <v>0170-15</v>
      </c>
      <c r="AE84" s="80" t="str">
        <f t="shared" si="34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84" s="77" t="str">
        <f t="shared" si="35"/>
        <v>"C:\Program Files (x86)\AstroGrep\AstroGrep.exe" /e /r /s /spath="%USERPROFILE%\AppData\Local\Temp\OnboardLogs" /stypes="app*4027*20170515*" /stext=" 19:.+((SYSTEM_STATE.+slice.+state.+changed )|(ment ac)|(multiple cpu faults)|(system.+state.+changed )|(\[timeout)|(PRM\|1\|D)|(kpr)|(kdp)|(train st.+moving)|(\|lc)|(penalty))"</v>
      </c>
      <c r="AG84" s="1" t="str">
        <f t="shared" si="36"/>
        <v>EC</v>
      </c>
      <c r="AH84" s="81" t="str">
        <f t="shared" si="37"/>
        <v>"%USERPROFILE%\Documents\GitHub\eaglep3\Utilities\RefineRTDCRunTimes.py" --tripid 170-15 --locoid 4027 --swversion DE.1.0.9.0 --startMP 204:232987 --initTime 2017-05-15T13:04:21 --startdatetime 2017-05-15T13:11:16 --delay 1 --endMP 204:150 --enddatetime 2017-05-15T13:54:17 --enforcementcount 0 &gt;&gt;C:\Users\stu\Documents\GitHub\eaglep3-reporting\EC\2017-05-15-refined-times.txt</v>
      </c>
      <c r="AI84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{"issue":{"subject":"","project_id":79,"tracker_id":40,"status_id":1,"priority_id":2,"assigned_to_id":23,"start_date":"2017-05-15","description":"","custom_fields":[{"id":1,"name":"Subdivision","value":"EC"},{"id":4,"name":"Milepost","value":"0.015"},{"id":17,"name":"Train ID","value":"170-15"},{"id":16,"name":"Locomotive ID","value":"4027"},{"id":130,"name":"Impact","value":""},{"id":150,"name":"Time of Event (Mountain Time)","value":"13:54:17"},{"id":151,"name":"Denver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39"/>
        <v>start /low /b %USERPROFILE%\Documents\GitHub\eaglep3\Utilities\DownloadLogsFromS3.py --loco 4027 --day 2017-05-15</v>
      </c>
      <c r="AN84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597</v>
      </c>
      <c r="B85" s="7">
        <v>4010</v>
      </c>
      <c r="C85" s="21" t="s">
        <v>206</v>
      </c>
      <c r="D85" s="21" t="s">
        <v>355</v>
      </c>
      <c r="E85" s="13">
        <v>42870.519490740742</v>
      </c>
      <c r="F85" s="13">
        <v>42870.521643518521</v>
      </c>
      <c r="G85" s="7">
        <v>2</v>
      </c>
      <c r="H85" s="21" t="s">
        <v>867</v>
      </c>
      <c r="I85" s="13">
        <v>42870.54886574074</v>
      </c>
      <c r="J85" s="7">
        <v>0</v>
      </c>
      <c r="K85" s="92" t="str">
        <f t="shared" si="24"/>
        <v>4009/4010</v>
      </c>
      <c r="L85" s="21" t="str">
        <f>VLOOKUP(A85,'Trips&amp;Operators'!$C$1:$G$99999,5,FALSE)</f>
        <v>BRANDNER MELINDA</v>
      </c>
      <c r="M85" s="6">
        <f t="shared" si="25"/>
        <v>2.7222222219279502E-2</v>
      </c>
      <c r="N85" s="7">
        <f t="shared" si="41"/>
        <v>39.199999995762482</v>
      </c>
      <c r="O85" s="7"/>
      <c r="P85" s="7"/>
      <c r="Q85" s="22"/>
      <c r="R85" s="190"/>
      <c r="S85" s="196">
        <f t="shared" si="42"/>
        <v>1</v>
      </c>
      <c r="T85" s="190" t="str">
        <f t="shared" si="26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27"/>
        <v>https://d0f6bd738d7f1b3e5a7ca70fe4ff75f0.us-east-1.aws.found.io/app/kibana#/discover/Steve-Slow-Train-Analysis-(2080s-and-2083s)?_g=(refreshInterval:(display:Off,pause:!f,section:0,value:0),time:(from:'2017-05-15T11:28:04-0600',mode:absolute,to:'2017-05-15T14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92" t="str">
        <f t="shared" si="28"/>
        <v>N</v>
      </c>
      <c r="X85" s="192">
        <f t="shared" si="29"/>
        <v>1</v>
      </c>
      <c r="Y85" s="192">
        <f t="shared" si="30"/>
        <v>4.58E-2</v>
      </c>
      <c r="Z85" s="192">
        <f t="shared" si="31"/>
        <v>23.337399999999999</v>
      </c>
      <c r="AA85" s="192">
        <f t="shared" si="32"/>
        <v>23.291599999999999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33"/>
        <v>0171-15</v>
      </c>
      <c r="AE85" s="80" t="str">
        <f t="shared" si="34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85" s="77" t="str">
        <f t="shared" si="35"/>
        <v>"C:\Program Files (x86)\AstroGrep\AstroGrep.exe" /e /r /s /spath="%USERPROFILE%\AppData\Local\Temp\OnboardLogs" /stypes="app*4010*20170515*" /stext=" 19:.+((SYSTEM_STATE.+slice.+state.+changed )|(ment ac)|(multiple cpu faults)|(system.+state.+changed )|(\[timeout)|(PRM\|1\|D)|(kpr)|(kdp)|(train st.+moving)|(\|lc)|(penalty))"</v>
      </c>
      <c r="AG85" s="1" t="str">
        <f t="shared" si="36"/>
        <v>EC</v>
      </c>
      <c r="AH85" s="81" t="str">
        <f t="shared" si="37"/>
        <v>"%USERPROFILE%\Documents\GitHub\eaglep3\Utilities\RefineRTDCRunTimes.py" --tripid 171-15 --locoid 4010 --swversion DE.1.0.9.0 --startMP 204:458 --initTime 2017-05-15T12:28:04 --startdatetime 2017-05-15T12:31:10 --delay 2 --endMP 204:233374 --enddatetime 2017-05-15T13:10:22 --enforcementcount 0 &gt;&gt;C:\Users\stu\Documents\GitHub\eaglep3-reporting\EC\2017-05-15-refined-times.txt</v>
      </c>
      <c r="AI85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{"issue":{"subject":"","project_id":79,"tracker_id":40,"status_id":1,"priority_id":2,"assigned_to_id":23,"start_date":"2017-05-15","description":"","custom_fields":[{"id":1,"name":"Subdivision","value":"EC"},{"id":4,"name":"Milepost","value":"23.3374"},{"id":17,"name":"Train ID","value":"171-15"},{"id":16,"name":"Locomotive ID","value":"4010"},{"id":130,"name":"Impact","value":""},{"id":150,"name":"Time of Event (Mountain Time)","value":"13:10:22"},{"id":151,"name":"Denver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39"/>
        <v>start /low /b %USERPROFILE%\Documents\GitHub\eaglep3\Utilities\DownloadLogsFromS3.py --loco 4010 --day 2017-05-15</v>
      </c>
      <c r="AN85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19:10:22"},{"id":29,"name":"Sharepoint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731</v>
      </c>
      <c r="B86" s="7">
        <v>4009</v>
      </c>
      <c r="C86" s="21" t="s">
        <v>206</v>
      </c>
      <c r="D86" s="21" t="s">
        <v>868</v>
      </c>
      <c r="E86" s="13">
        <v>42870.557152777779</v>
      </c>
      <c r="F86" s="13">
        <v>42870.559976851851</v>
      </c>
      <c r="G86" s="7">
        <v>1</v>
      </c>
      <c r="H86" s="21" t="s">
        <v>448</v>
      </c>
      <c r="I86" s="13">
        <v>42870.589201388888</v>
      </c>
      <c r="J86" s="7">
        <v>0</v>
      </c>
      <c r="K86" s="92" t="str">
        <f t="shared" si="24"/>
        <v>4009/4010</v>
      </c>
      <c r="L86" s="21" t="str">
        <f>VLOOKUP(A86,'Trips&amp;Operators'!$C$1:$G$99999,5,FALSE)</f>
        <v>BRANDNER MELINDA</v>
      </c>
      <c r="M86" s="6">
        <f t="shared" si="25"/>
        <v>2.9224537036498077E-2</v>
      </c>
      <c r="N86" s="7">
        <f t="shared" si="41"/>
        <v>42.083333332557231</v>
      </c>
      <c r="O86" s="7"/>
      <c r="P86" s="7"/>
      <c r="Q86" s="22"/>
      <c r="R86" s="190"/>
      <c r="S86" s="196">
        <f t="shared" si="42"/>
        <v>1</v>
      </c>
      <c r="T86" s="190" t="str">
        <f t="shared" si="26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27"/>
        <v>https://d0f6bd738d7f1b3e5a7ca70fe4ff75f0.us-east-1.aws.found.io/app/kibana#/discover/Steve-Slow-Train-Analysis-(2080s-and-2083s)?_g=(refreshInterval:(display:Off,pause:!f,section:0,value:0),time:(from:'2017-05-15T12:22:18-0600',mode:absolute,to:'2017-05-15T15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192" t="str">
        <f t="shared" si="28"/>
        <v>N</v>
      </c>
      <c r="X86" s="192">
        <f t="shared" si="29"/>
        <v>1</v>
      </c>
      <c r="Y86" s="192">
        <f t="shared" si="30"/>
        <v>23.3063</v>
      </c>
      <c r="Z86" s="192">
        <f t="shared" si="31"/>
        <v>1.34E-2</v>
      </c>
      <c r="AA86" s="192">
        <f t="shared" si="32"/>
        <v>23.292899999999999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33"/>
        <v>0172-15</v>
      </c>
      <c r="AE86" s="80" t="str">
        <f t="shared" si="34"/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AF86" s="77" t="str">
        <f t="shared" si="35"/>
        <v>"C:\Program Files (x86)\AstroGrep\AstroGrep.exe" /e /r /s /spath="%USERPROFILE%\AppData\Local\Temp\OnboardLogs" /stypes="app*4009*20170515*" /stext=" 20:.+((SYSTEM_STATE.+slice.+state.+changed )|(ment ac)|(multiple cpu faults)|(system.+state.+changed )|(\[timeout)|(PRM\|1\|D)|(kpr)|(kdp)|(train st.+moving)|(\|lc)|(penalty))"</v>
      </c>
      <c r="AG86" s="1" t="str">
        <f t="shared" si="36"/>
        <v>EC</v>
      </c>
      <c r="AH86" s="81" t="str">
        <f t="shared" si="37"/>
        <v>"%USERPROFILE%\Documents\GitHub\eaglep3\Utilities\RefineRTDCRunTimes.py" --tripid 172-15 --locoid 4009 --swversion DE.1.0.9.0 --startMP 204:233063 --initTime 2017-05-15T13:22:18 --startdatetime 2017-05-15T13:26:22 --delay 1 --endMP 204:134 --enddatetime 2017-05-15T14:08:27 --enforcementcount 0 &gt;&gt;C:\Users\stu\Documents\GitHub\eaglep3-reporting\EC\2017-05-15-refined-times.txt</v>
      </c>
      <c r="AI86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{"issue":{"subject":"","project_id":79,"tracker_id":40,"status_id":1,"priority_id":2,"assigned_to_id":23,"start_date":"2017-05-15","description":"","custom_fields":[{"id":1,"name":"Subdivision","value":"EC"},{"id":4,"name":"Milepost","value":"0.0134"},{"id":17,"name":"Train ID","value":"172-15"},{"id":16,"name":"Locomotive ID","value":"4009"},{"id":130,"name":"Impact","value":""},{"id":150,"name":"Time of Event (Mountain Time)","value":"14:08:27"},{"id":151,"name":"Denver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39"/>
        <v>start /low /b %USERPROFILE%\Documents\GitHub\eaglep3\Utilities\DownloadLogsFromS3.py --loco 4009 --day 2017-05-15</v>
      </c>
      <c r="AN86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599</v>
      </c>
      <c r="B87" s="7">
        <v>4042</v>
      </c>
      <c r="C87" s="21" t="s">
        <v>206</v>
      </c>
      <c r="D87" s="21" t="s">
        <v>366</v>
      </c>
      <c r="E87" s="13">
        <v>42870.525567129633</v>
      </c>
      <c r="F87" s="13">
        <v>42870.531446759262</v>
      </c>
      <c r="G87" s="7">
        <v>2</v>
      </c>
      <c r="H87" s="21" t="s">
        <v>869</v>
      </c>
      <c r="I87" s="13">
        <v>42870.556608796294</v>
      </c>
      <c r="J87" s="7">
        <v>0</v>
      </c>
      <c r="K87" s="92" t="str">
        <f t="shared" si="24"/>
        <v>4041/4042</v>
      </c>
      <c r="L87" s="21" t="str">
        <f>VLOOKUP(A87,'Trips&amp;Operators'!$C$1:$G$99999,5,FALSE)</f>
        <v>PERKINS DARREN</v>
      </c>
      <c r="M87" s="6">
        <f t="shared" si="25"/>
        <v>2.5162037032714579E-2</v>
      </c>
      <c r="N87" s="7">
        <f t="shared" si="41"/>
        <v>36.233333327108994</v>
      </c>
      <c r="O87" s="7"/>
      <c r="P87" s="7"/>
      <c r="Q87" s="22"/>
      <c r="R87" s="190"/>
      <c r="S87" s="196">
        <f t="shared" si="42"/>
        <v>1</v>
      </c>
      <c r="T87" s="190" t="str">
        <f t="shared" si="26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 t="shared" si="27"/>
        <v>https://d0f6bd738d7f1b3e5a7ca70fe4ff75f0.us-east-1.aws.found.io/app/kibana#/discover/Steve-Slow-Train-Analysis-(2080s-and-2083s)?_g=(refreshInterval:(display:Off,pause:!f,section:0,value:0),time:(from:'2017-05-15T11:36:49-0600',mode:absolute,to:'2017-05-15T14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192" t="str">
        <f t="shared" si="28"/>
        <v>N</v>
      </c>
      <c r="X87" s="192">
        <f t="shared" si="29"/>
        <v>1</v>
      </c>
      <c r="Y87" s="192">
        <f t="shared" si="30"/>
        <v>4.53E-2</v>
      </c>
      <c r="Z87" s="192">
        <f t="shared" si="31"/>
        <v>23.319500000000001</v>
      </c>
      <c r="AA87" s="192">
        <f t="shared" si="32"/>
        <v>23.2742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33"/>
        <v>0173-15</v>
      </c>
      <c r="AE87" s="80" t="str">
        <f t="shared" si="34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87" s="77" t="str">
        <f t="shared" si="35"/>
        <v>"C:\Program Files (x86)\AstroGrep\AstroGrep.exe" /e /r /s /spath="%USERPROFILE%\AppData\Local\Temp\OnboardLogs" /stypes="app*4042*20170515*" /stext=" 19:.+((SYSTEM_STATE.+slice.+state.+changed )|(ment ac)|(multiple cpu faults)|(system.+state.+changed )|(\[timeout)|(PRM\|1\|D)|(kpr)|(kdp)|(train st.+moving)|(\|lc)|(penalty))"</v>
      </c>
      <c r="AG87" s="1" t="str">
        <f t="shared" si="36"/>
        <v>EC</v>
      </c>
      <c r="AH87" s="81" t="str">
        <f t="shared" si="37"/>
        <v>"%USERPROFILE%\Documents\GitHub\eaglep3\Utilities\RefineRTDCRunTimes.py" --tripid 173-15 --locoid 4042 --swversion DE.1.0.9.0 --startMP 204:453 --initTime 2017-05-15T12:36:49 --startdatetime 2017-05-15T12:45:17 --delay 2 --endMP 204:233195 --enddatetime 2017-05-15T13:21:31 --enforcementcount 0 &gt;&gt;C:\Users\stu\Documents\GitHub\eaglep3-reporting\EC\2017-05-15-refined-times.txt</v>
      </c>
      <c r="AI87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{"issue":{"subject":"","project_id":79,"tracker_id":40,"status_id":1,"priority_id":2,"assigned_to_id":23,"start_date":"2017-05-15","description":"","custom_fields":[{"id":1,"name":"Subdivision","value":"EC"},{"id":4,"name":"Milepost","value":"23.3195"},{"id":17,"name":"Train ID","value":"173-15"},{"id":16,"name":"Locomotive ID","value":"4042"},{"id":130,"name":"Impact","value":""},{"id":150,"name":"Time of Event (Mountain Time)","value":"13:21:31"},{"id":151,"name":"Denver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39"/>
        <v>start /low /b %USERPROFILE%\Documents\GitHub\eaglep3\Utilities\DownloadLogsFromS3.py --loco 4042 --day 2017-05-15</v>
      </c>
      <c r="AN87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603</v>
      </c>
      <c r="B88" s="7">
        <v>4041</v>
      </c>
      <c r="C88" s="21" t="s">
        <v>206</v>
      </c>
      <c r="D88" s="21" t="s">
        <v>870</v>
      </c>
      <c r="E88" s="13">
        <v>42870.558368055557</v>
      </c>
      <c r="F88" s="13">
        <v>42870.570254629631</v>
      </c>
      <c r="G88" s="7">
        <v>1</v>
      </c>
      <c r="H88" s="21" t="s">
        <v>348</v>
      </c>
      <c r="I88" s="13">
        <v>42870.599305555559</v>
      </c>
      <c r="J88" s="7">
        <v>0</v>
      </c>
      <c r="K88" s="92" t="str">
        <f t="shared" si="24"/>
        <v>4041/4042</v>
      </c>
      <c r="L88" s="21" t="str">
        <f>VLOOKUP(A88,'Trips&amp;Operators'!$C$1:$G$99999,5,FALSE)</f>
        <v>PERKINS DARREN</v>
      </c>
      <c r="M88" s="6">
        <f t="shared" si="25"/>
        <v>2.9050925928459037E-2</v>
      </c>
      <c r="N88" s="7">
        <f t="shared" si="41"/>
        <v>41.833333336981013</v>
      </c>
      <c r="O88" s="7"/>
      <c r="P88" s="7"/>
      <c r="Q88" s="22"/>
      <c r="R88" s="190"/>
      <c r="S88" s="196">
        <f t="shared" si="42"/>
        <v>1</v>
      </c>
      <c r="T88" s="190" t="str">
        <f t="shared" si="26"/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 t="shared" si="27"/>
        <v>https://d0f6bd738d7f1b3e5a7ca70fe4ff75f0.us-east-1.aws.found.io/app/kibana#/discover/Steve-Slow-Train-Analysis-(2080s-and-2083s)?_g=(refreshInterval:(display:Off,pause:!f,section:0,value:0),time:(from:'2017-05-15T12:24:03-0600',mode:absolute,to:'2017-05-15T15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192" t="str">
        <f t="shared" si="28"/>
        <v>N</v>
      </c>
      <c r="X88" s="192">
        <f t="shared" si="29"/>
        <v>1</v>
      </c>
      <c r="Y88" s="192">
        <f t="shared" si="30"/>
        <v>23.287700000000001</v>
      </c>
      <c r="Z88" s="192">
        <f t="shared" si="31"/>
        <v>1.38E-2</v>
      </c>
      <c r="AA88" s="192">
        <f t="shared" si="32"/>
        <v>23.273900000000001</v>
      </c>
      <c r="AB88" s="57" t="str">
        <f>VLOOKUP(A88,Enforcements!$C$7:$K$13,8,0)</f>
        <v>Bulletin (2)</v>
      </c>
      <c r="AC88" s="53" t="str">
        <f>VLOOKUP(A88,Enforcements!$C$7:$E$13,3,0)</f>
        <v>GRADE CROSSING</v>
      </c>
      <c r="AD88" s="54" t="str">
        <f t="shared" si="33"/>
        <v>0174-15</v>
      </c>
      <c r="AE88" s="80" t="str">
        <f t="shared" si="34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88" s="77" t="str">
        <f t="shared" si="35"/>
        <v>"C:\Program Files (x86)\AstroGrep\AstroGrep.exe" /e /r /s /spath="%USERPROFILE%\AppData\Local\Temp\OnboardLogs" /stypes="app*4041*20170515*" /stext=" 20:.+((SYSTEM_STATE.+slice.+state.+changed )|(ment ac)|(multiple cpu faults)|(system.+state.+changed )|(\[timeout)|(PRM\|1\|D)|(kpr)|(kdp)|(train st.+moving)|(\|lc)|(penalty))"</v>
      </c>
      <c r="AG88" s="1" t="str">
        <f t="shared" si="36"/>
        <v>EC</v>
      </c>
      <c r="AH88" s="81" t="str">
        <f t="shared" si="37"/>
        <v>"%USERPROFILE%\Documents\GitHub\eaglep3\Utilities\RefineRTDCRunTimes.py" --tripid 174-15 --locoid 4041 --swversion DE.1.0.9.0 --startMP 204:232877 --initTime 2017-05-15T13:24:03 --startdatetime 2017-05-15T13:41:10 --delay 1 --endMP 204:138 --enddatetime 2017-05-15T14:23:00 --enforcementcount 0 &gt;&gt;C:\Users\stu\Documents\GitHub\eaglep3-reporting\EC\2017-05-15-refined-times.txt</v>
      </c>
      <c r="AI88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{"issue":{"subject":"","project_id":79,"tracker_id":40,"status_id":1,"priority_id":2,"assigned_to_id":23,"start_date":"2017-05-15","description":"","custom_fields":[{"id":1,"name":"Subdivision","value":"EC"},{"id":4,"name":"Milepost","value":"0.0138"},{"id":17,"name":"Train ID","value":"174-15"},{"id":16,"name":"Locomotive ID","value":"4041"},{"id":130,"name":"Impact","value":""},{"id":150,"name":"Time of Event (Mountain Time)","value":"14:23:00"},{"id":151,"name":"Denver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39"/>
        <v>start /low /b %USERPROFILE%\Documents\GitHub\eaglep3\Utilities\DownloadLogsFromS3.py --loco 4041 --day 2017-05-15</v>
      </c>
      <c r="AN88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728</v>
      </c>
      <c r="B89" s="7">
        <v>4022</v>
      </c>
      <c r="C89" s="21" t="s">
        <v>206</v>
      </c>
      <c r="D89" s="21" t="s">
        <v>572</v>
      </c>
      <c r="E89" s="13">
        <v>42870.538194444445</v>
      </c>
      <c r="F89" s="13">
        <v>42870.541944444441</v>
      </c>
      <c r="G89" s="7">
        <v>1</v>
      </c>
      <c r="H89" s="21" t="s">
        <v>554</v>
      </c>
      <c r="I89" s="13">
        <v>42870.567256944443</v>
      </c>
      <c r="J89" s="7">
        <v>0</v>
      </c>
      <c r="K89" s="92" t="str">
        <f t="shared" si="24"/>
        <v>4021/4022</v>
      </c>
      <c r="L89" s="21" t="str">
        <f>VLOOKUP(A89,'Trips&amp;Operators'!$C$1:$G$99999,5,FALSE)</f>
        <v>DAVIS MICHAEL</v>
      </c>
      <c r="M89" s="6">
        <f t="shared" si="25"/>
        <v>2.531250000174623E-2</v>
      </c>
      <c r="N89" s="7">
        <f t="shared" si="41"/>
        <v>36.450000002514571</v>
      </c>
      <c r="O89" s="7"/>
      <c r="P89" s="7"/>
      <c r="Q89" s="22"/>
      <c r="R89" s="190"/>
      <c r="S89" s="196">
        <f t="shared" si="42"/>
        <v>1</v>
      </c>
      <c r="T89" s="190" t="str">
        <f t="shared" si="26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 t="shared" si="27"/>
        <v>https://d0f6bd738d7f1b3e5a7ca70fe4ff75f0.us-east-1.aws.found.io/app/kibana#/discover/Steve-Slow-Train-Analysis-(2080s-and-2083s)?_g=(refreshInterval:(display:Off,pause:!f,section:0,value:0),time:(from:'2017-05-15T11:55:00-0600',mode:absolute,to:'2017-05-15T14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9" s="192" t="str">
        <f t="shared" si="28"/>
        <v>N</v>
      </c>
      <c r="X89" s="192">
        <f t="shared" si="29"/>
        <v>1</v>
      </c>
      <c r="Y89" s="192">
        <f t="shared" si="30"/>
        <v>4.3999999999999997E-2</v>
      </c>
      <c r="Z89" s="192">
        <f t="shared" si="31"/>
        <v>23.331800000000001</v>
      </c>
      <c r="AA89" s="192">
        <f t="shared" si="32"/>
        <v>23.287800000000001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33"/>
        <v>0175-15</v>
      </c>
      <c r="AE89" s="80" t="str">
        <f t="shared" si="3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89" s="77" t="str">
        <f t="shared" si="35"/>
        <v>"C:\Program Files (x86)\AstroGrep\AstroGrep.exe" /e /r /s /spath="%USERPROFILE%\AppData\Local\Temp\OnboardLogs" /stypes="app*4022*20170515*" /stext=" 19:.+((SYSTEM_STATE.+slice.+state.+changed )|(ment ac)|(multiple cpu faults)|(system.+state.+changed )|(\[timeout)|(PRM\|1\|D)|(kpr)|(kdp)|(train st.+moving)|(\|lc)|(penalty))"</v>
      </c>
      <c r="AG89" s="1" t="str">
        <f t="shared" si="36"/>
        <v>EC</v>
      </c>
      <c r="AH89" s="81" t="str">
        <f t="shared" si="37"/>
        <v>"%USERPROFILE%\Documents\GitHub\eaglep3\Utilities\RefineRTDCRunTimes.py" --tripid 175-15 --locoid 4022 --swversion DE.1.0.9.0 --startMP 204:440 --initTime 2017-05-15T12:55:00 --startdatetime 2017-05-15T13:00:24 --delay 1 --endMP 204:233318 --enddatetime 2017-05-15T13:36:51 --enforcementcount 0 &gt;&gt;C:\Users\stu\Documents\GitHub\eaglep3-reporting\EC\2017-05-15-refined-times.txt</v>
      </c>
      <c r="AI8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{"issue":{"subject":"","project_id":79,"tracker_id":40,"status_id":1,"priority_id":2,"assigned_to_id":23,"start_date":"2017-05-15","description":"","custom_fields":[{"id":1,"name":"Subdivision","value":"EC"},{"id":4,"name":"Milepost","value":"23.3318"},{"id":17,"name":"Train ID","value":"175-15"},{"id":16,"name":"Locomotive ID","value":"4022"},{"id":130,"name":"Impact","value":""},{"id":150,"name":"Time of Event (Mountain Time)","value":"13:36:51"},{"id":151,"name":"Denver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39"/>
        <v>start /low /b %USERPROFILE%\Documents\GitHub\eaglep3\Utilities\DownloadLogsFromS3.py --loco 4022 --day 2017-05-15</v>
      </c>
      <c r="AN89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605</v>
      </c>
      <c r="B90" s="7">
        <v>4021</v>
      </c>
      <c r="C90" s="21" t="s">
        <v>206</v>
      </c>
      <c r="D90" s="21" t="s">
        <v>548</v>
      </c>
      <c r="E90" s="13">
        <v>42870.578564814816</v>
      </c>
      <c r="F90" s="13">
        <v>42870.580960648149</v>
      </c>
      <c r="G90" s="7">
        <v>1</v>
      </c>
      <c r="H90" s="21" t="s">
        <v>450</v>
      </c>
      <c r="I90" s="13">
        <v>42870.609120370369</v>
      </c>
      <c r="J90" s="7">
        <v>0</v>
      </c>
      <c r="K90" s="92" t="str">
        <f t="shared" si="24"/>
        <v>4021/4022</v>
      </c>
      <c r="L90" s="21" t="str">
        <f>VLOOKUP(A90,'Trips&amp;Operators'!$C$1:$G$99999,5,FALSE)</f>
        <v>DAVIS MICHAEL</v>
      </c>
      <c r="M90" s="6">
        <f t="shared" si="25"/>
        <v>2.8159722220152617E-2</v>
      </c>
      <c r="N90" s="7">
        <f t="shared" si="41"/>
        <v>40.549999997019768</v>
      </c>
      <c r="O90" s="7"/>
      <c r="P90" s="7"/>
      <c r="Q90" s="22"/>
      <c r="R90" s="190"/>
      <c r="S90" s="196">
        <f t="shared" si="42"/>
        <v>1</v>
      </c>
      <c r="T90" s="190" t="str">
        <f t="shared" si="26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27"/>
        <v>https://d0f6bd738d7f1b3e5a7ca70fe4ff75f0.us-east-1.aws.found.io/app/kibana#/discover/Steve-Slow-Train-Analysis-(2080s-and-2083s)?_g=(refreshInterval:(display:Off,pause:!f,section:0,value:0),time:(from:'2017-05-15T12:53:08-0600',mode:absolute,to:'2017-05-15T15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0" s="192" t="str">
        <f t="shared" si="28"/>
        <v>N</v>
      </c>
      <c r="X90" s="192">
        <f t="shared" si="29"/>
        <v>1</v>
      </c>
      <c r="Y90" s="192">
        <f t="shared" si="30"/>
        <v>23.3005</v>
      </c>
      <c r="Z90" s="192">
        <f t="shared" si="31"/>
        <v>1.2999999999999999E-2</v>
      </c>
      <c r="AA90" s="192">
        <f t="shared" si="32"/>
        <v>23.287499999999998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33"/>
        <v>0176-15</v>
      </c>
      <c r="AE90" s="80" t="str">
        <f t="shared" si="3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90" s="77" t="str">
        <f t="shared" si="35"/>
        <v>"C:\Program Files (x86)\AstroGrep\AstroGrep.exe" /e /r /s /spath="%USERPROFILE%\AppData\Local\Temp\OnboardLogs" /stypes="app*4021*20170515*" /stext=" 20:.+((SYSTEM_STATE.+slice.+state.+changed )|(ment ac)|(multiple cpu faults)|(system.+state.+changed )|(\[timeout)|(PRM\|1\|D)|(kpr)|(kdp)|(train st.+moving)|(\|lc)|(penalty))"</v>
      </c>
      <c r="AG90" s="1" t="str">
        <f t="shared" si="36"/>
        <v>EC</v>
      </c>
      <c r="AH90" s="81" t="str">
        <f t="shared" si="37"/>
        <v>"%USERPROFILE%\Documents\GitHub\eaglep3\Utilities\RefineRTDCRunTimes.py" --tripid 176-15 --locoid 4021 --swversion DE.1.0.9.0 --startMP 204:233005 --initTime 2017-05-15T13:53:08 --startdatetime 2017-05-15T13:56:35 --delay 1 --endMP 204:130 --enddatetime 2017-05-15T14:37:08 --enforcementcount 0 &gt;&gt;C:\Users\stu\Documents\GitHub\eaglep3-reporting\EC\2017-05-15-refined-times.txt</v>
      </c>
      <c r="AI9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{"issue":{"subject":"","project_id":79,"tracker_id":40,"status_id":1,"priority_id":2,"assigned_to_id":23,"start_date":"2017-05-15","description":"","custom_fields":[{"id":1,"name":"Subdivision","value":"EC"},{"id":4,"name":"Milepost","value":"0.013"},{"id":17,"name":"Train ID","value":"176-15"},{"id":16,"name":"Locomotive ID","value":"4021"},{"id":130,"name":"Impact","value":""},{"id":150,"name":"Time of Event (Mountain Time)","value":"14:37:08"},{"id":151,"name":"Denver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39"/>
        <v>start /low /b %USERPROFILE%\Documents\GitHub\eaglep3\Utilities\DownloadLogsFromS3.py --loco 4021 --day 2017-05-15</v>
      </c>
      <c r="AN90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729</v>
      </c>
      <c r="B91" s="7">
        <v>4016</v>
      </c>
      <c r="C91" s="21" t="s">
        <v>206</v>
      </c>
      <c r="D91" s="21" t="s">
        <v>851</v>
      </c>
      <c r="E91" s="13">
        <v>42870.549456018518</v>
      </c>
      <c r="F91" s="13">
        <v>42870.552233796298</v>
      </c>
      <c r="G91" s="7">
        <v>1</v>
      </c>
      <c r="H91" s="21" t="s">
        <v>422</v>
      </c>
      <c r="I91" s="13">
        <v>42870.578599537039</v>
      </c>
      <c r="J91" s="7">
        <v>0</v>
      </c>
      <c r="K91" s="92" t="str">
        <f t="shared" si="24"/>
        <v>4015/4016</v>
      </c>
      <c r="L91" s="21" t="str">
        <f>VLOOKUP(A91,'Trips&amp;Operators'!$C$1:$G$99999,5,FALSE)</f>
        <v>CLARK KATHLEEN</v>
      </c>
      <c r="M91" s="6">
        <f t="shared" si="25"/>
        <v>2.6365740741312038E-2</v>
      </c>
      <c r="N91" s="7">
        <f t="shared" si="41"/>
        <v>37.966666667489335</v>
      </c>
      <c r="O91" s="7"/>
      <c r="P91" s="7"/>
      <c r="Q91" s="22"/>
      <c r="R91" s="190"/>
      <c r="S91" s="196">
        <f t="shared" si="42"/>
        <v>1</v>
      </c>
      <c r="T91" s="190" t="str">
        <f t="shared" si="26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27"/>
        <v>https://d0f6bd738d7f1b3e5a7ca70fe4ff75f0.us-east-1.aws.found.io/app/kibana#/discover/Steve-Slow-Train-Analysis-(2080s-and-2083s)?_g=(refreshInterval:(display:Off,pause:!f,section:0,value:0),time:(from:'2017-05-15T12:11:13-0600',mode:absolute,to:'2017-05-15T14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2" t="str">
        <f t="shared" si="28"/>
        <v>N</v>
      </c>
      <c r="X91" s="192">
        <f t="shared" si="29"/>
        <v>1</v>
      </c>
      <c r="Y91" s="192">
        <f t="shared" si="30"/>
        <v>4.9299999999999997E-2</v>
      </c>
      <c r="Z91" s="192">
        <f t="shared" si="31"/>
        <v>23.327999999999999</v>
      </c>
      <c r="AA91" s="192">
        <f t="shared" si="32"/>
        <v>23.278700000000001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33"/>
        <v>0177-15</v>
      </c>
      <c r="AE91" s="80" t="str">
        <f t="shared" si="34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91" s="77" t="str">
        <f t="shared" si="35"/>
        <v>"C:\Program Files (x86)\AstroGrep\AstroGrep.exe" /e /r /s /spath="%USERPROFILE%\AppData\Local\Temp\OnboardLogs" /stypes="app*4016*20170515*" /stext=" 19:.+((SYSTEM_STATE.+slice.+state.+changed )|(ment ac)|(multiple cpu faults)|(system.+state.+changed )|(\[timeout)|(PRM\|1\|D)|(kpr)|(kdp)|(train st.+moving)|(\|lc)|(penalty))"</v>
      </c>
      <c r="AG91" s="1" t="str">
        <f t="shared" si="36"/>
        <v>EC</v>
      </c>
      <c r="AH91" s="81" t="str">
        <f t="shared" si="37"/>
        <v>"%USERPROFILE%\Documents\GitHub\eaglep3\Utilities\RefineRTDCRunTimes.py" --tripid 177-15 --locoid 4016 --swversion DE.1.0.9.0 --startMP 204:493 --initTime 2017-05-15T13:11:13 --startdatetime 2017-05-15T13:15:13 --delay 1 --endMP 204:233280 --enddatetime 2017-05-15T13:53:11 --enforcementcount 0 &gt;&gt;C:\Users\stu\Documents\GitHub\eaglep3-reporting\EC\2017-05-15-refined-times.txt</v>
      </c>
      <c r="AI9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{"issue":{"subject":"","project_id":79,"tracker_id":40,"status_id":1,"priority_id":2,"assigned_to_id":23,"start_date":"2017-05-15","description":"","custom_fields":[{"id":1,"name":"Subdivision","value":"EC"},{"id":4,"name":"Milepost","value":"23.328"},{"id":17,"name":"Train ID","value":"177-15"},{"id":16,"name":"Locomotive ID","value":"4016"},{"id":130,"name":"Impact","value":""},{"id":150,"name":"Time of Event (Mountain Time)","value":"13:53:11"},{"id":151,"name":"Denver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39"/>
        <v>start /low /b %USERPROFILE%\Documents\GitHub\eaglep3\Utilities\DownloadLogsFromS3.py --loco 4016 --day 2017-05-15</v>
      </c>
      <c r="AN91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733</v>
      </c>
      <c r="B92" s="7">
        <v>4015</v>
      </c>
      <c r="C92" s="21" t="s">
        <v>206</v>
      </c>
      <c r="D92" s="21" t="s">
        <v>871</v>
      </c>
      <c r="E92" s="13">
        <v>42870.587754629632</v>
      </c>
      <c r="F92" s="13">
        <v>42870.591157407405</v>
      </c>
      <c r="G92" s="7">
        <v>1</v>
      </c>
      <c r="H92" s="21" t="s">
        <v>845</v>
      </c>
      <c r="I92" s="13">
        <v>42870.618657407409</v>
      </c>
      <c r="J92" s="7">
        <v>0</v>
      </c>
      <c r="K92" s="92" t="str">
        <f t="shared" si="24"/>
        <v>4015/4016</v>
      </c>
      <c r="L92" s="21" t="str">
        <f>VLOOKUP(A92,'Trips&amp;Operators'!$C$1:$G$99999,5,FALSE)</f>
        <v>CLARK KATHLEEN</v>
      </c>
      <c r="M92" s="6">
        <f t="shared" si="25"/>
        <v>2.7500000003783498E-2</v>
      </c>
      <c r="N92" s="7">
        <f t="shared" si="41"/>
        <v>39.600000005448237</v>
      </c>
      <c r="O92" s="7"/>
      <c r="P92" s="7"/>
      <c r="Q92" s="22"/>
      <c r="R92" s="190"/>
      <c r="S92" s="196">
        <f t="shared" si="42"/>
        <v>1</v>
      </c>
      <c r="T92" s="190" t="str">
        <f t="shared" si="26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27"/>
        <v>https://d0f6bd738d7f1b3e5a7ca70fe4ff75f0.us-east-1.aws.found.io/app/kibana#/discover/Steve-Slow-Train-Analysis-(2080s-and-2083s)?_g=(refreshInterval:(display:Off,pause:!f,section:0,value:0),time:(from:'2017-05-15T13:06:22-0600',mode:absolute,to:'2017-05-15T15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2" t="str">
        <f t="shared" si="28"/>
        <v>N</v>
      </c>
      <c r="X92" s="192">
        <f t="shared" si="29"/>
        <v>1</v>
      </c>
      <c r="Y92" s="192">
        <f t="shared" si="30"/>
        <v>23.295999999999999</v>
      </c>
      <c r="Z92" s="192">
        <f t="shared" si="31"/>
        <v>1.7999999999999999E-2</v>
      </c>
      <c r="AA92" s="192">
        <f t="shared" si="32"/>
        <v>23.277999999999999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33"/>
        <v>0178-15</v>
      </c>
      <c r="AE92" s="80" t="str">
        <f t="shared" si="3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92" s="77" t="str">
        <f t="shared" si="35"/>
        <v>"C:\Program Files (x86)\AstroGrep\AstroGrep.exe" /e /r /s /spath="%USERPROFILE%\AppData\Local\Temp\OnboardLogs" /stypes="app*4015*20170515*" /stext=" 20:.+((SYSTEM_STATE.+slice.+state.+changed )|(ment ac)|(multiple cpu faults)|(system.+state.+changed )|(\[timeout)|(PRM\|1\|D)|(kpr)|(kdp)|(train st.+moving)|(\|lc)|(penalty))"</v>
      </c>
      <c r="AG92" s="1" t="str">
        <f t="shared" si="36"/>
        <v>EC</v>
      </c>
      <c r="AH92" s="81" t="str">
        <f t="shared" si="37"/>
        <v>"%USERPROFILE%\Documents\GitHub\eaglep3\Utilities\RefineRTDCRunTimes.py" --tripid 178-15 --locoid 4015 --swversion DE.1.0.9.0 --startMP 204:232960 --initTime 2017-05-15T14:06:22 --startdatetime 2017-05-15T14:11:16 --delay 1 --endMP 204:180 --enddatetime 2017-05-15T14:50:52 --enforcementcount 0 &gt;&gt;C:\Users\stu\Documents\GitHub\eaglep3-reporting\EC\2017-05-15-refined-times.txt</v>
      </c>
      <c r="AI92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{"issue":{"subject":"","project_id":79,"tracker_id":40,"status_id":1,"priority_id":2,"assigned_to_id":23,"start_date":"2017-05-15","description":"","custom_fields":[{"id":1,"name":"Subdivision","value":"EC"},{"id":4,"name":"Milepost","value":"0.018"},{"id":17,"name":"Train ID","value":"178-15"},{"id":16,"name":"Locomotive ID","value":"4015"},{"id":130,"name":"Impact","value":""},{"id":150,"name":"Time of Event (Mountain Time)","value":"14:50:52"},{"id":151,"name":"Denver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39"/>
        <v>start /low /b %USERPROFILE%\Documents\GitHub\eaglep3\Utilities\DownloadLogsFromS3.py --loco 4015 --day 2017-05-15</v>
      </c>
      <c r="AN92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20" customFormat="1" x14ac:dyDescent="0.25">
      <c r="A93" s="32" t="s">
        <v>601</v>
      </c>
      <c r="B93" s="7">
        <v>4026</v>
      </c>
      <c r="C93" s="21" t="s">
        <v>206</v>
      </c>
      <c r="D93" s="21" t="s">
        <v>368</v>
      </c>
      <c r="E93" s="13">
        <v>42870.558425925927</v>
      </c>
      <c r="F93" s="13">
        <v>42870.562662037039</v>
      </c>
      <c r="G93" s="7">
        <v>1</v>
      </c>
      <c r="H93" s="21" t="s">
        <v>872</v>
      </c>
      <c r="I93" s="13">
        <v>42870.587673611109</v>
      </c>
      <c r="J93" s="7">
        <v>0</v>
      </c>
      <c r="K93" s="92" t="str">
        <f t="shared" si="24"/>
        <v>4025/4026</v>
      </c>
      <c r="L93" s="21" t="str">
        <f>VLOOKUP(A93,'Trips&amp;Operators'!$C$1:$G$99999,5,FALSE)</f>
        <v>ROMERO CHAD</v>
      </c>
      <c r="M93" s="6">
        <f t="shared" si="25"/>
        <v>2.5011574070958886E-2</v>
      </c>
      <c r="N93" s="7">
        <f t="shared" si="41"/>
        <v>36.016666662180796</v>
      </c>
      <c r="O93" s="7"/>
      <c r="P93" s="7"/>
      <c r="Q93" s="22"/>
      <c r="R93" s="190"/>
      <c r="S93" s="196">
        <f t="shared" si="42"/>
        <v>1</v>
      </c>
      <c r="T93" s="190" t="str">
        <f t="shared" si="26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27"/>
        <v>https://d0f6bd738d7f1b3e5a7ca70fe4ff75f0.us-east-1.aws.found.io/app/kibana#/discover/Steve-Slow-Train-Analysis-(2080s-and-2083s)?_g=(refreshInterval:(display:Off,pause:!f,section:0,value:0),time:(from:'2017-05-15T12:24:08-0600',mode:absolute,to:'2017-05-15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3" s="192" t="str">
        <f t="shared" si="28"/>
        <v>N</v>
      </c>
      <c r="X93" s="192">
        <f t="shared" si="29"/>
        <v>1</v>
      </c>
      <c r="Y93" s="192">
        <f t="shared" si="30"/>
        <v>4.4699999999999997E-2</v>
      </c>
      <c r="Z93" s="192">
        <f t="shared" si="31"/>
        <v>23.341200000000001</v>
      </c>
      <c r="AA93" s="192">
        <f t="shared" si="32"/>
        <v>23.296500000000002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33"/>
        <v>0179-15</v>
      </c>
      <c r="AE93" s="80" t="str">
        <f t="shared" si="34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93" s="77" t="str">
        <f t="shared" si="35"/>
        <v>"C:\Program Files (x86)\AstroGrep\AstroGrep.exe" /e /r /s /spath="%USERPROFILE%\AppData\Local\Temp\OnboardLogs" /stypes="app*4026*20170515*" /stext=" 20:.+((SYSTEM_STATE.+slice.+state.+changed )|(ment ac)|(multiple cpu faults)|(system.+state.+changed )|(\[timeout)|(PRM\|1\|D)|(kpr)|(kdp)|(train st.+moving)|(\|lc)|(penalty))"</v>
      </c>
      <c r="AG93" s="1" t="str">
        <f t="shared" si="36"/>
        <v>EC</v>
      </c>
      <c r="AH93" s="81" t="str">
        <f t="shared" si="37"/>
        <v>"%USERPROFILE%\Documents\GitHub\eaglep3\Utilities\RefineRTDCRunTimes.py" --tripid 179-15 --locoid 4026 --swversion DE.1.0.9.0 --startMP 204:447 --initTime 2017-05-15T13:24:08 --startdatetime 2017-05-15T13:30:14 --delay 1 --endMP 204:233412 --enddatetime 2017-05-15T14:06:15 --enforcementcount 0 &gt;&gt;C:\Users\stu\Documents\GitHub\eaglep3-reporting\EC\2017-05-15-refined-times.txt</v>
      </c>
      <c r="AI93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{"issue":{"subject":"","project_id":79,"tracker_id":40,"status_id":1,"priority_id":2,"assigned_to_id":23,"start_date":"2017-05-15","description":"","custom_fields":[{"id":1,"name":"Subdivision","value":"EC"},{"id":4,"name":"Milepost","value":"23.3412"},{"id":17,"name":"Train ID","value":"179-15"},{"id":16,"name":"Locomotive ID","value":"4026"},{"id":130,"name":"Impact","value":""},{"id":150,"name":"Time of Event (Mountain Time)","value":"14:06:15"},{"id":151,"name":"Denver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5" t="str">
        <f t="shared" si="39"/>
        <v>start /low /b %USERPROFILE%\Documents\GitHub\eaglep3\Utilities\DownloadLogsFromS3.py --loco 4026 --day 2017-05-15</v>
      </c>
      <c r="AN93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606</v>
      </c>
      <c r="B94" s="7">
        <v>4025</v>
      </c>
      <c r="C94" s="21" t="s">
        <v>206</v>
      </c>
      <c r="D94" s="21" t="s">
        <v>873</v>
      </c>
      <c r="E94" s="13">
        <v>42870.588807870372</v>
      </c>
      <c r="F94" s="13">
        <v>42870.6015625</v>
      </c>
      <c r="G94" s="7">
        <v>1</v>
      </c>
      <c r="H94" s="21" t="s">
        <v>874</v>
      </c>
      <c r="I94" s="13">
        <v>42870.628113425926</v>
      </c>
      <c r="J94" s="7">
        <v>0</v>
      </c>
      <c r="K94" s="92" t="str">
        <f t="shared" si="24"/>
        <v>4025/4026</v>
      </c>
      <c r="L94" s="21" t="str">
        <f>VLOOKUP(A94,'Trips&amp;Operators'!$C$1:$G$99999,5,FALSE)</f>
        <v>ROMERO CHAD</v>
      </c>
      <c r="M94" s="6">
        <f t="shared" si="25"/>
        <v>2.6550925926130731E-2</v>
      </c>
      <c r="N94" s="7">
        <f t="shared" si="41"/>
        <v>38.233333333628252</v>
      </c>
      <c r="O94" s="7"/>
      <c r="P94" s="7"/>
      <c r="Q94" s="22"/>
      <c r="R94" s="190"/>
      <c r="S94" s="196">
        <f t="shared" si="42"/>
        <v>1</v>
      </c>
      <c r="T94" s="190" t="str">
        <f t="shared" si="26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27"/>
        <v>https://d0f6bd738d7f1b3e5a7ca70fe4ff75f0.us-east-1.aws.found.io/app/kibana#/discover/Steve-Slow-Train-Analysis-(2080s-and-2083s)?_g=(refreshInterval:(display:Off,pause:!f,section:0,value:0),time:(from:'2017-05-15T13:07:53-0600',mode:absolute,to:'2017-05-15T16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4" s="192" t="str">
        <f t="shared" si="28"/>
        <v>N</v>
      </c>
      <c r="X94" s="192">
        <f t="shared" si="29"/>
        <v>1</v>
      </c>
      <c r="Y94" s="192">
        <f t="shared" si="30"/>
        <v>23.307099999999998</v>
      </c>
      <c r="Z94" s="192">
        <f t="shared" si="31"/>
        <v>1.21E-2</v>
      </c>
      <c r="AA94" s="192">
        <f t="shared" si="32"/>
        <v>23.294999999999998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33"/>
        <v>0180-15</v>
      </c>
      <c r="AE94" s="80" t="str">
        <f t="shared" si="34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94" s="77" t="str">
        <f t="shared" si="35"/>
        <v>"C:\Program Files (x86)\AstroGrep\AstroGrep.exe" /e /r /s /spath="%USERPROFILE%\AppData\Local\Temp\OnboardLogs" /stypes="app*4025*20170515*" /stext=" 21:.+((SYSTEM_STATE.+slice.+state.+changed )|(ment ac)|(multiple cpu faults)|(system.+state.+changed )|(\[timeout)|(PRM\|1\|D)|(kpr)|(kdp)|(train st.+moving)|(\|lc)|(penalty))"</v>
      </c>
      <c r="AG94" s="1" t="str">
        <f t="shared" si="36"/>
        <v>EC</v>
      </c>
      <c r="AH94" s="81" t="str">
        <f t="shared" si="37"/>
        <v>"%USERPROFILE%\Documents\GitHub\eaglep3\Utilities\RefineRTDCRunTimes.py" --tripid 180-15 --locoid 4025 --swversion DE.1.0.9.0 --startMP 204:233071 --initTime 2017-05-15T14:07:53 --startdatetime 2017-05-15T14:26:15 --delay 1 --endMP 204:121 --enddatetime 2017-05-15T15:04:29 --enforcementcount 0 &gt;&gt;C:\Users\stu\Documents\GitHub\eaglep3-reporting\EC\2017-05-15-refined-times.txt</v>
      </c>
      <c r="AI94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{"issue":{"subject":"","project_id":79,"tracker_id":40,"status_id":1,"priority_id":2,"assigned_to_id":23,"start_date":"2017-05-15","description":"","custom_fields":[{"id":1,"name":"Subdivision","value":"EC"},{"id":4,"name":"Milepost","value":"0.0121"},{"id":17,"name":"Train ID","value":"180-15"},{"id":16,"name":"Locomotive ID","value":"4025"},{"id":130,"name":"Impact","value":""},{"id":150,"name":"Time of Event (Mountain Time)","value":"15:04:29"},{"id":151,"name":"Denver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39"/>
        <v>start /low /b %USERPROFILE%\Documents\GitHub\eaglep3\Utilities\DownloadLogsFromS3.py --loco 4025 --day 2017-05-15</v>
      </c>
      <c r="AN94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732</v>
      </c>
      <c r="B95" s="7">
        <v>4052</v>
      </c>
      <c r="C95" s="21" t="s">
        <v>206</v>
      </c>
      <c r="D95" s="21" t="s">
        <v>355</v>
      </c>
      <c r="E95" s="13">
        <v>42870.569039351853</v>
      </c>
      <c r="F95" s="13">
        <v>42870.57309027778</v>
      </c>
      <c r="G95" s="7">
        <v>1</v>
      </c>
      <c r="H95" s="21" t="s">
        <v>568</v>
      </c>
      <c r="I95" s="13">
        <v>42870.597650462965</v>
      </c>
      <c r="J95" s="7">
        <v>0</v>
      </c>
      <c r="K95" s="92" t="str">
        <f t="shared" si="24"/>
        <v>4051/4052</v>
      </c>
      <c r="L95" s="21" t="str">
        <f>VLOOKUP(A95,'Trips&amp;Operators'!$C$1:$G$99999,5,FALSE)</f>
        <v>LALONDE GREGORY</v>
      </c>
      <c r="M95" s="6">
        <f t="shared" si="25"/>
        <v>2.4560185185691807E-2</v>
      </c>
      <c r="N95" s="7">
        <f t="shared" si="41"/>
        <v>35.366666667396203</v>
      </c>
      <c r="O95" s="7"/>
      <c r="P95" s="7"/>
      <c r="Q95" s="22"/>
      <c r="R95" s="190"/>
      <c r="S95" s="196">
        <f t="shared" si="42"/>
        <v>1</v>
      </c>
      <c r="T95" s="190" t="str">
        <f t="shared" si="26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27"/>
        <v>https://d0f6bd738d7f1b3e5a7ca70fe4ff75f0.us-east-1.aws.found.io/app/kibana#/discover/Steve-Slow-Train-Analysis-(2080s-and-2083s)?_g=(refreshInterval:(display:Off,pause:!f,section:0,value:0),time:(from:'2017-05-15T12:39:25-0600',mode:absolute,to:'2017-05-15T15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5" s="192" t="str">
        <f t="shared" si="28"/>
        <v>N</v>
      </c>
      <c r="X95" s="192">
        <f t="shared" si="29"/>
        <v>1</v>
      </c>
      <c r="Y95" s="192">
        <f t="shared" si="30"/>
        <v>4.58E-2</v>
      </c>
      <c r="Z95" s="192">
        <f t="shared" si="31"/>
        <v>23.339700000000001</v>
      </c>
      <c r="AA95" s="192">
        <f t="shared" si="32"/>
        <v>23.293900000000001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33"/>
        <v>0181-15</v>
      </c>
      <c r="AE95" s="80" t="str">
        <f t="shared" si="3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95" s="77" t="str">
        <f t="shared" si="35"/>
        <v>"C:\Program Files (x86)\AstroGrep\AstroGrep.exe" /e /r /s /spath="%USERPROFILE%\AppData\Local\Temp\OnboardLogs" /stypes="app*4052*20170515*" /stext=" 20:.+((SYSTEM_STATE.+slice.+state.+changed )|(ment ac)|(multiple cpu faults)|(system.+state.+changed )|(\[timeout)|(PRM\|1\|D)|(kpr)|(kdp)|(train st.+moving)|(\|lc)|(penalty))"</v>
      </c>
      <c r="AG95" s="1" t="str">
        <f t="shared" si="36"/>
        <v>EC</v>
      </c>
      <c r="AH95" s="81" t="str">
        <f t="shared" si="37"/>
        <v>"%USERPROFILE%\Documents\GitHub\eaglep3\Utilities\RefineRTDCRunTimes.py" --tripid 181-15 --locoid 4052 --swversion DE.1.0.9.0 --startMP 204:458 --initTime 2017-05-15T13:39:25 --startdatetime 2017-05-15T13:45:15 --delay 1 --endMP 204:233397 --enddatetime 2017-05-15T14:20:37 --enforcementcount 0 &gt;&gt;C:\Users\stu\Documents\GitHub\eaglep3-reporting\EC\2017-05-15-refined-times.txt</v>
      </c>
      <c r="AI95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{"issue":{"subject":"","project_id":79,"tracker_id":40,"status_id":1,"priority_id":2,"assigned_to_id":23,"start_date":"2017-05-15","description":"","custom_fields":[{"id":1,"name":"Subdivision","value":"EC"},{"id":4,"name":"Milepost","value":"23.3397"},{"id":17,"name":"Train ID","value":"181-15"},{"id":16,"name":"Locomotive ID","value":"4052"},{"id":130,"name":"Impact","value":""},{"id":150,"name":"Time of Event (Mountain Time)","value":"14:20:37"},{"id":151,"name":"Denver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39"/>
        <v>start /low /b %USERPROFILE%\Documents\GitHub\eaglep3\Utilities\DownloadLogsFromS3.py --loco 4052 --day 2017-05-15</v>
      </c>
      <c r="AN95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736</v>
      </c>
      <c r="B96" s="7">
        <v>4051</v>
      </c>
      <c r="C96" s="21" t="s">
        <v>206</v>
      </c>
      <c r="D96" s="21" t="s">
        <v>875</v>
      </c>
      <c r="E96" s="13">
        <v>42870.599166666667</v>
      </c>
      <c r="F96" s="13">
        <v>42870.612013888887</v>
      </c>
      <c r="G96" s="7">
        <v>1</v>
      </c>
      <c r="H96" s="21" t="s">
        <v>198</v>
      </c>
      <c r="I96" s="13">
        <v>42870.637465277781</v>
      </c>
      <c r="J96" s="7">
        <v>0</v>
      </c>
      <c r="K96" s="92" t="str">
        <f t="shared" si="24"/>
        <v>4051/4052</v>
      </c>
      <c r="L96" s="21" t="str">
        <f>VLOOKUP(A96,'Trips&amp;Operators'!$C$1:$G$99999,5,FALSE)</f>
        <v>LALONDE GREGORY</v>
      </c>
      <c r="M96" s="6">
        <f t="shared" si="25"/>
        <v>2.5451388893998228E-2</v>
      </c>
      <c r="N96" s="7">
        <f t="shared" si="41"/>
        <v>36.650000007357448</v>
      </c>
      <c r="O96" s="7"/>
      <c r="P96" s="7"/>
      <c r="Q96" s="22"/>
      <c r="R96" s="190"/>
      <c r="S96" s="196">
        <f t="shared" si="42"/>
        <v>1</v>
      </c>
      <c r="T96" s="190" t="str">
        <f t="shared" si="26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27"/>
        <v>https://d0f6bd738d7f1b3e5a7ca70fe4ff75f0.us-east-1.aws.found.io/app/kibana#/discover/Steve-Slow-Train-Analysis-(2080s-and-2083s)?_g=(refreshInterval:(display:Off,pause:!f,section:0,value:0),time:(from:'2017-05-15T13:22:48-0600',mode:absolute,to:'2017-05-15T16:17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6" s="192" t="str">
        <f t="shared" si="28"/>
        <v>N</v>
      </c>
      <c r="X96" s="192">
        <f t="shared" si="29"/>
        <v>1</v>
      </c>
      <c r="Y96" s="192">
        <f t="shared" si="30"/>
        <v>23.307600000000001</v>
      </c>
      <c r="Z96" s="192">
        <f t="shared" si="31"/>
        <v>1.5800000000000002E-2</v>
      </c>
      <c r="AA96" s="192">
        <f t="shared" si="32"/>
        <v>23.291800000000002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33"/>
        <v>0182-15</v>
      </c>
      <c r="AE96" s="80" t="str">
        <f t="shared" si="3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96" s="77" t="str">
        <f t="shared" si="35"/>
        <v>"C:\Program Files (x86)\AstroGrep\AstroGrep.exe" /e /r /s /spath="%USERPROFILE%\AppData\Local\Temp\OnboardLogs" /stypes="app*4051*20170515*" /stext=" 21:.+((SYSTEM_STATE.+slice.+state.+changed )|(ment ac)|(multiple cpu faults)|(system.+state.+changed )|(\[timeout)|(PRM\|1\|D)|(kpr)|(kdp)|(train st.+moving)|(\|lc)|(penalty))"</v>
      </c>
      <c r="AG96" s="1" t="str">
        <f t="shared" si="36"/>
        <v>EC</v>
      </c>
      <c r="AH96" s="81" t="str">
        <f t="shared" si="37"/>
        <v>"%USERPROFILE%\Documents\GitHub\eaglep3\Utilities\RefineRTDCRunTimes.py" --tripid 182-15 --locoid 4051 --swversion DE.1.0.9.0 --startMP 204:233076 --initTime 2017-05-15T14:22:48 --startdatetime 2017-05-15T14:41:18 --delay 1 --endMP 204:158 --enddatetime 2017-05-15T15:17:57 --enforcementcount 0 &gt;&gt;C:\Users\stu\Documents\GitHub\eaglep3-reporting\EC\2017-05-15-refined-times.txt</v>
      </c>
      <c r="AI96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{"issue":{"subject":"","project_id":79,"tracker_id":40,"status_id":1,"priority_id":2,"assigned_to_id":23,"start_date":"2017-05-15","description":"","custom_fields":[{"id":1,"name":"Subdivision","value":"EC"},{"id":4,"name":"Milepost","value":"0.0158"},{"id":17,"name":"Train ID","value":"182-15"},{"id":16,"name":"Locomotive ID","value":"4051"},{"id":130,"name":"Impact","value":""},{"id":150,"name":"Time of Event (Mountain Time)","value":"15:17:57"},{"id":151,"name":"Denver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39"/>
        <v>start /low /b %USERPROFILE%\Documents\GitHub\eaglep3\Utilities\DownloadLogsFromS3.py --loco 4051 --day 2017-05-15</v>
      </c>
      <c r="AN96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21:17:57"},{"id":29,"name":"Sharepoint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604</v>
      </c>
      <c r="B97" s="7">
        <v>4028</v>
      </c>
      <c r="C97" s="21" t="s">
        <v>206</v>
      </c>
      <c r="D97" s="21" t="s">
        <v>364</v>
      </c>
      <c r="E97" s="13">
        <v>42870.581087962964</v>
      </c>
      <c r="F97" s="13">
        <v>42870.583449074074</v>
      </c>
      <c r="G97" s="7">
        <v>1</v>
      </c>
      <c r="H97" s="21" t="s">
        <v>535</v>
      </c>
      <c r="I97" s="13">
        <v>42870.609907407408</v>
      </c>
      <c r="J97" s="7">
        <v>0</v>
      </c>
      <c r="K97" s="92" t="str">
        <f t="shared" si="24"/>
        <v>4027/4028</v>
      </c>
      <c r="L97" s="21" t="str">
        <f>VLOOKUP(A97,'Trips&amp;Operators'!$C$1:$G$99999,5,FALSE)</f>
        <v>THOMPSON LESTER</v>
      </c>
      <c r="M97" s="6">
        <f t="shared" si="25"/>
        <v>2.6458333333721384E-2</v>
      </c>
      <c r="N97" s="7">
        <f t="shared" si="41"/>
        <v>38.100000000558794</v>
      </c>
      <c r="O97" s="7"/>
      <c r="P97" s="7"/>
      <c r="Q97" s="22"/>
      <c r="R97" s="190"/>
      <c r="S97" s="196">
        <f t="shared" si="42"/>
        <v>1</v>
      </c>
      <c r="T97" s="190" t="str">
        <f t="shared" si="26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27"/>
        <v>https://d0f6bd738d7f1b3e5a7ca70fe4ff75f0.us-east-1.aws.found.io/app/kibana#/discover/Steve-Slow-Train-Analysis-(2080s-and-2083s)?_g=(refreshInterval:(display:Off,pause:!f,section:0,value:0),time:(from:'2017-05-15T12:56:46-0600',mode:absolute,to:'2017-05-15T15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7" s="192" t="str">
        <f t="shared" si="28"/>
        <v>N</v>
      </c>
      <c r="X97" s="192">
        <f t="shared" si="29"/>
        <v>1</v>
      </c>
      <c r="Y97" s="192">
        <f t="shared" si="30"/>
        <v>4.6399999999999997E-2</v>
      </c>
      <c r="Z97" s="192">
        <f t="shared" si="31"/>
        <v>23.329499999999999</v>
      </c>
      <c r="AA97" s="192">
        <f t="shared" si="32"/>
        <v>23.283100000000001</v>
      </c>
      <c r="AB97" s="57" t="str">
        <f>VLOOKUP(A97,Enforcements!$C$7:$K$13,8,0)</f>
        <v>Bulletin (2)</v>
      </c>
      <c r="AC97" s="53" t="str">
        <f>VLOOKUP(A97,Enforcements!$C$7:$E$13,3,0)</f>
        <v>GRADE CROSSING</v>
      </c>
      <c r="AD97" s="54" t="str">
        <f t="shared" si="33"/>
        <v>0183-15</v>
      </c>
      <c r="AE97" s="80" t="str">
        <f t="shared" si="34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97" s="77" t="str">
        <f t="shared" si="35"/>
        <v>"C:\Program Files (x86)\AstroGrep\AstroGrep.exe" /e /r /s /spath="%USERPROFILE%\AppData\Local\Temp\OnboardLogs" /stypes="app*4028*20170515*" /stext=" 20:.+((SYSTEM_STATE.+slice.+state.+changed )|(ment ac)|(multiple cpu faults)|(system.+state.+changed )|(\[timeout)|(PRM\|1\|D)|(kpr)|(kdp)|(train st.+moving)|(\|lc)|(penalty))"</v>
      </c>
      <c r="AG97" s="1" t="str">
        <f t="shared" si="36"/>
        <v>EC</v>
      </c>
      <c r="AH97" s="81" t="str">
        <f t="shared" si="37"/>
        <v>"%USERPROFILE%\Documents\GitHub\eaglep3\Utilities\RefineRTDCRunTimes.py" --tripid 183-15 --locoid 4028 --swversion DE.1.0.9.0 --startMP 204:464 --initTime 2017-05-15T13:56:46 --startdatetime 2017-05-15T14:00:10 --delay 1 --endMP 204:233295 --enddatetime 2017-05-15T14:38:16 --enforcementcount 0 &gt;&gt;C:\Users\stu\Documents\GitHub\eaglep3-reporting\EC\2017-05-15-refined-times.txt</v>
      </c>
      <c r="AI97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{"issue":{"subject":"","project_id":79,"tracker_id":40,"status_id":1,"priority_id":2,"assigned_to_id":23,"start_date":"2017-05-15","description":"","custom_fields":[{"id":1,"name":"Subdivision","value":"EC"},{"id":4,"name":"Milepost","value":"23.3295"},{"id":17,"name":"Train ID","value":"183-15"},{"id":16,"name":"Locomotive ID","value":"4028"},{"id":130,"name":"Impact","value":""},{"id":150,"name":"Time of Event (Mountain Time)","value":"14:38:16"},{"id":151,"name":"Denver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39"/>
        <v>start /low /b %USERPROFILE%\Documents\GitHub\eaglep3\Utilities\DownloadLogsFromS3.py --loco 4028 --day 2017-05-15</v>
      </c>
      <c r="AN97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739</v>
      </c>
      <c r="B98" s="7">
        <v>4027</v>
      </c>
      <c r="C98" s="21" t="s">
        <v>206</v>
      </c>
      <c r="D98" s="21" t="s">
        <v>876</v>
      </c>
      <c r="E98" s="13">
        <v>42870.617951388886</v>
      </c>
      <c r="F98" s="13">
        <v>42870.622418981482</v>
      </c>
      <c r="G98" s="7">
        <v>1</v>
      </c>
      <c r="H98" s="21" t="s">
        <v>359</v>
      </c>
      <c r="I98" s="13">
        <v>42870.650636574072</v>
      </c>
      <c r="J98" s="7">
        <v>0</v>
      </c>
      <c r="K98" s="92" t="str">
        <f t="shared" si="24"/>
        <v>4027/4028</v>
      </c>
      <c r="L98" s="21" t="str">
        <f>VLOOKUP(A98,'Trips&amp;Operators'!$C$1:$G$99999,5,FALSE)</f>
        <v>THOMPSON LESTER</v>
      </c>
      <c r="M98" s="6">
        <f t="shared" si="25"/>
        <v>2.8217592589498963E-2</v>
      </c>
      <c r="N98" s="7">
        <f t="shared" si="41"/>
        <v>40.633333328878507</v>
      </c>
      <c r="O98" s="7"/>
      <c r="P98" s="7"/>
      <c r="Q98" s="22"/>
      <c r="R98" s="190"/>
      <c r="S98" s="196">
        <f t="shared" si="42"/>
        <v>1</v>
      </c>
      <c r="T98" s="190" t="str">
        <f t="shared" si="26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27"/>
        <v>https://d0f6bd738d7f1b3e5a7ca70fe4ff75f0.us-east-1.aws.found.io/app/kibana#/discover/Steve-Slow-Train-Analysis-(2080s-and-2083s)?_g=(refreshInterval:(display:Off,pause:!f,section:0,value:0),time:(from:'2017-05-15T13:49:51-0600',mode:absolute,to:'2017-05-15T16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8" s="192" t="str">
        <f t="shared" si="28"/>
        <v>N</v>
      </c>
      <c r="X98" s="192">
        <f t="shared" si="29"/>
        <v>1</v>
      </c>
      <c r="Y98" s="192">
        <f t="shared" si="30"/>
        <v>23.296900000000001</v>
      </c>
      <c r="Z98" s="192">
        <f t="shared" si="31"/>
        <v>1.49E-2</v>
      </c>
      <c r="AA98" s="192">
        <f t="shared" si="32"/>
        <v>23.282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33"/>
        <v>0184-15</v>
      </c>
      <c r="AE98" s="80" t="str">
        <f t="shared" si="34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98" s="77" t="str">
        <f t="shared" si="35"/>
        <v>"C:\Program Files (x86)\AstroGrep\AstroGrep.exe" /e /r /s /spath="%USERPROFILE%\AppData\Local\Temp\OnboardLogs" /stypes="app*4027*20170515*" /stext=" 21:.+((SYSTEM_STATE.+slice.+state.+changed )|(ment ac)|(multiple cpu faults)|(system.+state.+changed )|(\[timeout)|(PRM\|1\|D)|(kpr)|(kdp)|(train st.+moving)|(\|lc)|(penalty))"</v>
      </c>
      <c r="AG98" s="1" t="str">
        <f t="shared" si="36"/>
        <v>EC</v>
      </c>
      <c r="AH98" s="81" t="str">
        <f t="shared" si="37"/>
        <v>"%USERPROFILE%\Documents\GitHub\eaglep3\Utilities\RefineRTDCRunTimes.py" --tripid 184-15 --locoid 4027 --swversion DE.1.0.9.0 --startMP 204:232969 --initTime 2017-05-15T14:49:51 --startdatetime 2017-05-15T14:56:17 --delay 1 --endMP 204:149 --enddatetime 2017-05-15T15:36:55 --enforcementcount 0 &gt;&gt;C:\Users\stu\Documents\GitHub\eaglep3-reporting\EC\2017-05-15-refined-times.txt</v>
      </c>
      <c r="AI98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{"issue":{"subject":"","project_id":79,"tracker_id":40,"status_id":1,"priority_id":2,"assigned_to_id":23,"start_date":"2017-05-15","description":"","custom_fields":[{"id":1,"name":"Subdivision","value":"EC"},{"id":4,"name":"Milepost","value":"0.0149"},{"id":17,"name":"Train ID","value":"184-15"},{"id":16,"name":"Locomotive ID","value":"4027"},{"id":130,"name":"Impact","value":""},{"id":150,"name":"Time of Event (Mountain Time)","value":"15:36:55"},{"id":151,"name":"Denver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39"/>
        <v>start /low /b %USERPROFILE%\Documents\GitHub\eaglep3\Utilities\DownloadLogsFromS3.py --loco 4027 --day 2017-05-15</v>
      </c>
      <c r="AN98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734</v>
      </c>
      <c r="B99" s="7">
        <v>4010</v>
      </c>
      <c r="C99" s="21" t="s">
        <v>206</v>
      </c>
      <c r="D99" s="21" t="s">
        <v>420</v>
      </c>
      <c r="E99" s="13">
        <v>42870.590671296297</v>
      </c>
      <c r="F99" s="13">
        <v>42870.593923611108</v>
      </c>
      <c r="G99" s="7">
        <v>2</v>
      </c>
      <c r="H99" s="21" t="s">
        <v>877</v>
      </c>
      <c r="I99" s="13">
        <v>42870.620370370372</v>
      </c>
      <c r="J99" s="7">
        <v>0</v>
      </c>
      <c r="K99" s="92" t="str">
        <f t="shared" si="24"/>
        <v>4009/4010</v>
      </c>
      <c r="L99" s="21" t="str">
        <f>VLOOKUP(A99,'Trips&amp;Operators'!$C$1:$G$99999,5,FALSE)</f>
        <v>BRANDNER MELINDA</v>
      </c>
      <c r="M99" s="6">
        <f t="shared" si="25"/>
        <v>2.644675926421769E-2</v>
      </c>
      <c r="N99" s="7">
        <f t="shared" si="41"/>
        <v>38.083333340473473</v>
      </c>
      <c r="O99" s="7"/>
      <c r="P99" s="7"/>
      <c r="Q99" s="22"/>
      <c r="R99" s="190"/>
      <c r="S99" s="196">
        <f t="shared" si="42"/>
        <v>1</v>
      </c>
      <c r="T99" s="190" t="str">
        <f t="shared" si="26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27"/>
        <v>https://d0f6bd738d7f1b3e5a7ca70fe4ff75f0.us-east-1.aws.found.io/app/kibana#/discover/Steve-Slow-Train-Analysis-(2080s-and-2083s)?_g=(refreshInterval:(display:Off,pause:!f,section:0,value:0),time:(from:'2017-05-15T13:10:34-0600',mode:absolute,to:'2017-05-15T15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9" s="192" t="str">
        <f t="shared" si="28"/>
        <v>N</v>
      </c>
      <c r="X99" s="192">
        <f t="shared" si="29"/>
        <v>1</v>
      </c>
      <c r="Y99" s="192">
        <f t="shared" si="30"/>
        <v>4.3299999999999998E-2</v>
      </c>
      <c r="Z99" s="192">
        <f t="shared" si="31"/>
        <v>23.3429</v>
      </c>
      <c r="AA99" s="192">
        <f t="shared" si="32"/>
        <v>23.299600000000002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33"/>
        <v>0185-15</v>
      </c>
      <c r="AE99" s="80" t="str">
        <f t="shared" si="34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99" s="77" t="str">
        <f t="shared" si="35"/>
        <v>"C:\Program Files (x86)\AstroGrep\AstroGrep.exe" /e /r /s /spath="%USERPROFILE%\AppData\Local\Temp\OnboardLogs" /stypes="app*4010*20170515*" /stext=" 20:.+((SYSTEM_STATE.+slice.+state.+changed )|(ment ac)|(multiple cpu faults)|(system.+state.+changed )|(\[timeout)|(PRM\|1\|D)|(kpr)|(kdp)|(train st.+moving)|(\|lc)|(penalty))"</v>
      </c>
      <c r="AG99" s="1" t="str">
        <f t="shared" si="36"/>
        <v>EC</v>
      </c>
      <c r="AH99" s="81" t="str">
        <f t="shared" si="37"/>
        <v>"%USERPROFILE%\Documents\GitHub\eaglep3\Utilities\RefineRTDCRunTimes.py" --tripid 185-15 --locoid 4010 --swversion DE.1.0.9.0 --startMP 204:433 --initTime 2017-05-15T14:10:34 --startdatetime 2017-05-15T14:15:15 --delay 2 --endMP 204:233429 --enddatetime 2017-05-15T14:53:20 --enforcementcount 0 &gt;&gt;C:\Users\stu\Documents\GitHub\eaglep3-reporting\EC\2017-05-15-refined-times.txt</v>
      </c>
      <c r="AI9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{"issue":{"subject":"","project_id":79,"tracker_id":40,"status_id":1,"priority_id":2,"assigned_to_id":23,"start_date":"2017-05-15","description":"","custom_fields":[{"id":1,"name":"Subdivision","value":"EC"},{"id":4,"name":"Milepost","value":"23.3429"},{"id":17,"name":"Train ID","value":"185-15"},{"id":16,"name":"Locomotive ID","value":"4010"},{"id":130,"name":"Impact","value":""},{"id":150,"name":"Time of Event (Mountain Time)","value":"14:53:20"},{"id":151,"name":"Denver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39"/>
        <v>start /low /b %USERPROFILE%\Documents\GitHub\eaglep3\Utilities\DownloadLogsFromS3.py --loco 4010 --day 2017-05-15</v>
      </c>
      <c r="AN99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744</v>
      </c>
      <c r="B100" s="7">
        <v>4009</v>
      </c>
      <c r="C100" s="21" t="s">
        <v>206</v>
      </c>
      <c r="D100" s="21" t="s">
        <v>878</v>
      </c>
      <c r="E100" s="13">
        <v>42870.627199074072</v>
      </c>
      <c r="F100" s="13">
        <v>42870.632835648146</v>
      </c>
      <c r="G100" s="7">
        <v>1</v>
      </c>
      <c r="H100" s="21" t="s">
        <v>879</v>
      </c>
      <c r="I100" s="13">
        <v>42870.661620370367</v>
      </c>
      <c r="J100" s="7">
        <v>0</v>
      </c>
      <c r="K100" s="92" t="str">
        <f t="shared" si="24"/>
        <v>4009/4010</v>
      </c>
      <c r="L100" s="21" t="str">
        <f>VLOOKUP(A100,'Trips&amp;Operators'!$C$1:$G$99999,5,FALSE)</f>
        <v>BRANDNER MELINDA</v>
      </c>
      <c r="M100" s="6">
        <f t="shared" si="25"/>
        <v>2.8784722220734693E-2</v>
      </c>
      <c r="N100" s="7">
        <f t="shared" si="41"/>
        <v>41.449999997857958</v>
      </c>
      <c r="O100" s="7"/>
      <c r="P100" s="7"/>
      <c r="Q100" s="22"/>
      <c r="R100" s="190"/>
      <c r="S100" s="196">
        <f t="shared" si="42"/>
        <v>1</v>
      </c>
      <c r="T100" s="190" t="str">
        <f t="shared" si="26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27"/>
        <v>https://d0f6bd738d7f1b3e5a7ca70fe4ff75f0.us-east-1.aws.found.io/app/kibana#/discover/Steve-Slow-Train-Analysis-(2080s-and-2083s)?_g=(refreshInterval:(display:Off,pause:!f,section:0,value:0),time:(from:'2017-05-15T14:03:10-0600',mode:absolute,to:'2017-05-15T16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0" s="192" t="str">
        <f t="shared" si="28"/>
        <v>N</v>
      </c>
      <c r="X100" s="192">
        <f t="shared" si="29"/>
        <v>1</v>
      </c>
      <c r="Y100" s="192">
        <f t="shared" si="30"/>
        <v>23.312799999999999</v>
      </c>
      <c r="Z100" s="192">
        <f t="shared" si="31"/>
        <v>0.11749999999999999</v>
      </c>
      <c r="AA100" s="192">
        <f t="shared" si="32"/>
        <v>23.1953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33"/>
        <v>0186-15</v>
      </c>
      <c r="AE100" s="80" t="str">
        <f t="shared" si="34"/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AF100" s="77" t="str">
        <f t="shared" si="35"/>
        <v>"C:\Program Files (x86)\AstroGrep\AstroGrep.exe" /e /r /s /spath="%USERPROFILE%\AppData\Local\Temp\OnboardLogs" /stypes="app*4009*20170515*" /stext=" 21:.+((SYSTEM_STATE.+slice.+state.+changed )|(ment ac)|(multiple cpu faults)|(system.+state.+changed )|(\[timeout)|(PRM\|1\|D)|(kpr)|(kdp)|(train st.+moving)|(\|lc)|(penalty))"</v>
      </c>
      <c r="AG100" s="1" t="str">
        <f t="shared" si="36"/>
        <v>EC</v>
      </c>
      <c r="AH100" s="81" t="str">
        <f t="shared" si="37"/>
        <v>"%USERPROFILE%\Documents\GitHub\eaglep3\Utilities\RefineRTDCRunTimes.py" --tripid 186-15 --locoid 4009 --swversion DE.1.0.9.0 --startMP 204:233128 --initTime 2017-05-15T15:03:10 --startdatetime 2017-05-15T15:11:17 --delay 1 --endMP 204:1175 --enddatetime 2017-05-15T15:52:44 --enforcementcount 0 &gt;&gt;C:\Users\stu\Documents\GitHub\eaglep3-reporting\EC\2017-05-15-refined-times.txt</v>
      </c>
      <c r="AI10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{"issue":{"subject":"","project_id":79,"tracker_id":40,"status_id":1,"priority_id":2,"assigned_to_id":23,"start_date":"2017-05-15","description":"","custom_fields":[{"id":1,"name":"Subdivision","value":"EC"},{"id":4,"name":"Milepost","value":"0.1175"},{"id":17,"name":"Train ID","value":"186-15"},{"id":16,"name":"Locomotive ID","value":"4009"},{"id":130,"name":"Impact","value":""},{"id":150,"name":"Time of Event (Mountain Time)","value":"15:52:44"},{"id":151,"name":"Denver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39"/>
        <v>start /low /b %USERPROFILE%\Documents\GitHub\eaglep3\Utilities\DownloadLogsFromS3.py --loco 4009 --day 2017-05-15</v>
      </c>
      <c r="AN100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737</v>
      </c>
      <c r="B101" s="7">
        <v>4042</v>
      </c>
      <c r="C101" s="21" t="s">
        <v>206</v>
      </c>
      <c r="D101" s="21" t="s">
        <v>202</v>
      </c>
      <c r="E101" s="13">
        <v>42870.602083333331</v>
      </c>
      <c r="F101" s="13">
        <v>42870.643506944441</v>
      </c>
      <c r="G101" s="7">
        <v>1</v>
      </c>
      <c r="H101" s="21" t="s">
        <v>490</v>
      </c>
      <c r="I101" s="13">
        <v>42870.670995370368</v>
      </c>
      <c r="J101" s="7">
        <v>0</v>
      </c>
      <c r="K101" s="92" t="str">
        <f t="shared" si="24"/>
        <v>4041/4042</v>
      </c>
      <c r="L101" s="21" t="str">
        <f>VLOOKUP(A101,'Trips&amp;Operators'!$C$1:$G$99999,5,FALSE)</f>
        <v>MAYBERRY BILL</v>
      </c>
      <c r="M101" s="6">
        <f t="shared" si="25"/>
        <v>2.7488425927003846E-2</v>
      </c>
      <c r="N101" s="7">
        <f t="shared" si="41"/>
        <v>39.583333334885538</v>
      </c>
      <c r="O101" s="7"/>
      <c r="P101" s="7"/>
      <c r="Q101" s="22"/>
      <c r="R101" s="190"/>
      <c r="S101" s="196">
        <f t="shared" si="42"/>
        <v>1</v>
      </c>
      <c r="T101" s="190" t="str">
        <f t="shared" si="26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27"/>
        <v>https://d0f6bd738d7f1b3e5a7ca70fe4ff75f0.us-east-1.aws.found.io/app/kibana#/discover/Steve-Slow-Train-Analysis-(2080s-and-2083s)?_g=(refreshInterval:(display:Off,pause:!f,section:0,value:0),time:(from:'2017-05-15T13:27:00-0600',mode:absolute,to:'2017-05-15T17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2" t="str">
        <f t="shared" si="28"/>
        <v>N</v>
      </c>
      <c r="X101" s="192">
        <f t="shared" si="29"/>
        <v>1</v>
      </c>
      <c r="Y101" s="192">
        <f t="shared" si="30"/>
        <v>4.5699999999999998E-2</v>
      </c>
      <c r="Z101" s="192">
        <f t="shared" si="31"/>
        <v>23.328399999999998</v>
      </c>
      <c r="AA101" s="192">
        <f t="shared" si="32"/>
        <v>23.282699999999998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33"/>
        <v>0187-15</v>
      </c>
      <c r="AE101" s="80" t="str">
        <f t="shared" si="34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101" s="77" t="str">
        <f t="shared" si="35"/>
        <v>"C:\Program Files (x86)\AstroGrep\AstroGrep.exe" /e /r /s /spath="%USERPROFILE%\AppData\Local\Temp\OnboardLogs" /stypes="app*4042*20170515*" /stext=" 22:.+((SYSTEM_STATE.+slice.+state.+changed )|(ment ac)|(multiple cpu faults)|(system.+state.+changed )|(\[timeout)|(PRM\|1\|D)|(kpr)|(kdp)|(train st.+moving)|(\|lc)|(penalty))"</v>
      </c>
      <c r="AG101" s="1" t="str">
        <f t="shared" si="36"/>
        <v>EC</v>
      </c>
      <c r="AH101" s="81" t="str">
        <f t="shared" si="37"/>
        <v>"%USERPROFILE%\Documents\GitHub\eaglep3\Utilities\RefineRTDCRunTimes.py" --tripid 187-15 --locoid 4042 --swversion DE.1.0.9.0 --startMP 204:457 --initTime 2017-05-15T14:27:00 --startdatetime 2017-05-15T15:26:39 --delay 1 --endMP 204:233284 --enddatetime 2017-05-15T16:06:14 --enforcementcount 0 &gt;&gt;C:\Users\stu\Documents\GitHub\eaglep3-reporting\EC\2017-05-15-refined-times.txt</v>
      </c>
      <c r="AI10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{"issue":{"subject":"","project_id":79,"tracker_id":40,"status_id":1,"priority_id":2,"assigned_to_id":23,"start_date":"2017-05-15","description":"","custom_fields":[{"id":1,"name":"Subdivision","value":"EC"},{"id":4,"name":"Milepost","value":"23.3284"},{"id":17,"name":"Train ID","value":"187-15"},{"id":16,"name":"Locomotive ID","value":"4042"},{"id":130,"name":"Impact","value":""},{"id":150,"name":"Time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39"/>
        <v>start /low /b %USERPROFILE%\Documents\GitHub\eaglep3\Utilities\DownloadLogsFromS3.py --loco 4042 --day 2017-05-15</v>
      </c>
      <c r="AN101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747</v>
      </c>
      <c r="B102" s="7">
        <v>4041</v>
      </c>
      <c r="C102" s="21" t="s">
        <v>206</v>
      </c>
      <c r="D102" s="21" t="s">
        <v>571</v>
      </c>
      <c r="E102" s="13">
        <v>42870.633310185185</v>
      </c>
      <c r="F102" s="13">
        <v>42870.643506944441</v>
      </c>
      <c r="G102" s="7">
        <v>1</v>
      </c>
      <c r="H102" s="21" t="s">
        <v>450</v>
      </c>
      <c r="I102" s="13">
        <v>42870.670995370368</v>
      </c>
      <c r="J102" s="7">
        <v>0</v>
      </c>
      <c r="K102" s="92" t="str">
        <f t="shared" si="24"/>
        <v>4041/4042</v>
      </c>
      <c r="L102" s="21" t="str">
        <f>VLOOKUP(A102,'Trips&amp;Operators'!$C$1:$G$99999,5,FALSE)</f>
        <v>MAYBERRY BILL</v>
      </c>
      <c r="M102" s="6">
        <f t="shared" si="25"/>
        <v>2.7488425927003846E-2</v>
      </c>
      <c r="N102" s="7">
        <f t="shared" si="41"/>
        <v>39.583333334885538</v>
      </c>
      <c r="O102" s="7"/>
      <c r="P102" s="7"/>
      <c r="Q102" s="22"/>
      <c r="R102" s="190"/>
      <c r="S102" s="196">
        <f t="shared" si="42"/>
        <v>1</v>
      </c>
      <c r="T102" s="190" t="str">
        <f t="shared" si="26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27"/>
        <v>https://d0f6bd738d7f1b3e5a7ca70fe4ff75f0.us-east-1.aws.found.io/app/kibana#/discover/Steve-Slow-Train-Analysis-(2080s-and-2083s)?_g=(refreshInterval:(display:Off,pause:!f,section:0,value:0),time:(from:'2017-05-15T14:11:58-0600',mode:absolute,to:'2017-05-15T17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2" t="str">
        <f t="shared" si="28"/>
        <v>N</v>
      </c>
      <c r="X102" s="192">
        <f t="shared" si="29"/>
        <v>1</v>
      </c>
      <c r="Y102" s="192">
        <f t="shared" si="30"/>
        <v>23.2971</v>
      </c>
      <c r="Z102" s="192">
        <f t="shared" si="31"/>
        <v>1.2999999999999999E-2</v>
      </c>
      <c r="AA102" s="192">
        <f t="shared" si="32"/>
        <v>23.284099999999999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33"/>
        <v>0188-15</v>
      </c>
      <c r="AE102" s="80" t="str">
        <f t="shared" si="34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102" s="77" t="str">
        <f t="shared" si="35"/>
        <v>"C:\Program Files (x86)\AstroGrep\AstroGrep.exe" /e /r /s /spath="%USERPROFILE%\AppData\Local\Temp\OnboardLogs" /stypes="app*4041*20170515*" /stext=" 22:.+((SYSTEM_STATE.+slice.+state.+changed )|(ment ac)|(multiple cpu faults)|(system.+state.+changed )|(\[timeout)|(PRM\|1\|D)|(kpr)|(kdp)|(train st.+moving)|(\|lc)|(penalty))"</v>
      </c>
      <c r="AG102" s="1" t="str">
        <f t="shared" si="36"/>
        <v>EC</v>
      </c>
      <c r="AH102" s="81" t="str">
        <f t="shared" si="37"/>
        <v>"%USERPROFILE%\Documents\GitHub\eaglep3\Utilities\RefineRTDCRunTimes.py" --tripid 188-15 --locoid 4041 --swversion DE.1.0.9.0 --startMP 204:232971 --initTime 2017-05-15T15:11:58 --startdatetime 2017-05-15T15:26:39 --delay 1 --endMP 204:130 --enddatetime 2017-05-15T16:06:14 --enforcementcount 0 &gt;&gt;C:\Users\stu\Documents\GitHub\eaglep3-reporting\EC\2017-05-15-refined-times.txt</v>
      </c>
      <c r="AI102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{"issue":{"subject":"","project_id":79,"tracker_id":40,"status_id":1,"priority_id":2,"assigned_to_id":23,"start_date":"2017-05-15","description":"","custom_fields":[{"id":1,"name":"Subdivision","value":"EC"},{"id":4,"name":"Milepost","value":"0.013"},{"id":17,"name":"Train ID","value":"188-15"},{"id":16,"name":"Locomotive ID","value":"4041"},{"id":130,"name":"Impact","value":""},{"id":150,"name":"Time of Event (Mountain Time)","value":"16:06:14"},{"id":151,"name":"Denver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39"/>
        <v>start /low /b %USERPROFILE%\Documents\GitHub\eaglep3\Utilities\DownloadLogsFromS3.py --loco 4041 --day 2017-05-15</v>
      </c>
      <c r="AN102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738</v>
      </c>
      <c r="B103" s="7">
        <v>4022</v>
      </c>
      <c r="C103" s="21" t="s">
        <v>206</v>
      </c>
      <c r="D103" s="21" t="s">
        <v>380</v>
      </c>
      <c r="E103" s="13">
        <v>42870.611377314817</v>
      </c>
      <c r="F103" s="13">
        <v>42870.614965277775</v>
      </c>
      <c r="G103" s="7">
        <v>1</v>
      </c>
      <c r="H103" s="21" t="s">
        <v>451</v>
      </c>
      <c r="I103" s="13">
        <v>42870.640787037039</v>
      </c>
      <c r="J103" s="7">
        <v>0</v>
      </c>
      <c r="K103" s="92" t="str">
        <f t="shared" si="24"/>
        <v>4021/4022</v>
      </c>
      <c r="L103" s="21" t="str">
        <f>VLOOKUP(A103,'Trips&amp;Operators'!$C$1:$G$99999,5,FALSE)</f>
        <v>DAVIS MICHAEL</v>
      </c>
      <c r="M103" s="6">
        <f t="shared" si="25"/>
        <v>2.5821759263635613E-2</v>
      </c>
      <c r="N103" s="7">
        <f t="shared" si="41"/>
        <v>37.183333339635283</v>
      </c>
      <c r="O103" s="7"/>
      <c r="P103" s="7"/>
      <c r="Q103" s="22"/>
      <c r="R103" s="190"/>
      <c r="S103" s="196">
        <f t="shared" si="42"/>
        <v>1</v>
      </c>
      <c r="T103" s="190" t="str">
        <f t="shared" si="26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27"/>
        <v>https://d0f6bd738d7f1b3e5a7ca70fe4ff75f0.us-east-1.aws.found.io/app/kibana#/discover/Steve-Slow-Train-Analysis-(2080s-and-2083s)?_g=(refreshInterval:(display:Off,pause:!f,section:0,value:0),time:(from:'2017-05-15T13:40:23-0600',mode:absolute,to:'2017-05-15T16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3" s="192" t="str">
        <f t="shared" si="28"/>
        <v>N</v>
      </c>
      <c r="X103" s="192">
        <f t="shared" si="29"/>
        <v>1</v>
      </c>
      <c r="Y103" s="192">
        <f t="shared" si="30"/>
        <v>4.5499999999999999E-2</v>
      </c>
      <c r="Z103" s="192">
        <f t="shared" si="31"/>
        <v>23.331700000000001</v>
      </c>
      <c r="AA103" s="192">
        <f t="shared" si="32"/>
        <v>23.286200000000001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33"/>
        <v>0189-15</v>
      </c>
      <c r="AE103" s="80" t="str">
        <f t="shared" si="3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103" s="77" t="str">
        <f t="shared" si="35"/>
        <v>"C:\Program Files (x86)\AstroGrep\AstroGrep.exe" /e /r /s /spath="%USERPROFILE%\AppData\Local\Temp\OnboardLogs" /stypes="app*4022*20170515*" /stext=" 21:.+((SYSTEM_STATE.+slice.+state.+changed )|(ment ac)|(multiple cpu faults)|(system.+state.+changed )|(\[timeout)|(PRM\|1\|D)|(kpr)|(kdp)|(train st.+moving)|(\|lc)|(penalty))"</v>
      </c>
      <c r="AG103" s="1" t="str">
        <f t="shared" si="36"/>
        <v>EC</v>
      </c>
      <c r="AH103" s="81" t="str">
        <f t="shared" si="37"/>
        <v>"%USERPROFILE%\Documents\GitHub\eaglep3\Utilities\RefineRTDCRunTimes.py" --tripid 189-15 --locoid 4022 --swversion DE.1.0.9.0 --startMP 204:455 --initTime 2017-05-15T14:40:23 --startdatetime 2017-05-15T14:45:33 --delay 1 --endMP 204:233317 --enddatetime 2017-05-15T15:22:44 --enforcementcount 0 &gt;&gt;C:\Users\stu\Documents\GitHub\eaglep3-reporting\EC\2017-05-15-refined-times.txt</v>
      </c>
      <c r="AI103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{"issue":{"subject":"","project_id":79,"tracker_id":40,"status_id":1,"priority_id":2,"assigned_to_id":23,"start_date":"2017-05-15","description":"","custom_fields":[{"id":1,"name":"Subdivision","value":"EC"},{"id":4,"name":"Milepost","value":"23.3317"},{"id":17,"name":"Train ID","value":"189-15"},{"id":16,"name":"Locomotive ID","value":"4022"},{"id":130,"name":"Impact","value":""},{"id":150,"name":"Time of Event (Mountain Time)","value":"15:22:44"},{"id":151,"name":"Denver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39"/>
        <v>start /low /b %USERPROFILE%\Documents\GitHub\eaglep3\Utilities\DownloadLogsFromS3.py --loco 4022 --day 2017-05-15</v>
      </c>
      <c r="AN103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611</v>
      </c>
      <c r="B104" s="7">
        <v>4021</v>
      </c>
      <c r="C104" s="21" t="s">
        <v>206</v>
      </c>
      <c r="D104" s="21" t="s">
        <v>880</v>
      </c>
      <c r="E104" s="13">
        <v>42870.651180555556</v>
      </c>
      <c r="F104" s="13">
        <v>42870.653981481482</v>
      </c>
      <c r="G104" s="7">
        <v>1</v>
      </c>
      <c r="H104" s="21" t="s">
        <v>198</v>
      </c>
      <c r="I104" s="13">
        <v>42870.682881944442</v>
      </c>
      <c r="J104" s="7">
        <v>0</v>
      </c>
      <c r="K104" s="92" t="str">
        <f t="shared" si="24"/>
        <v>4021/4022</v>
      </c>
      <c r="L104" s="21" t="str">
        <f>VLOOKUP(A104,'Trips&amp;Operators'!$C$1:$G$99999,5,FALSE)</f>
        <v>DAVIS MICHAEL</v>
      </c>
      <c r="M104" s="6">
        <f t="shared" si="25"/>
        <v>2.8900462959427387E-2</v>
      </c>
      <c r="N104" s="7">
        <f t="shared" si="41"/>
        <v>41.616666661575437</v>
      </c>
      <c r="O104" s="7"/>
      <c r="P104" s="7"/>
      <c r="Q104" s="22"/>
      <c r="R104" s="190"/>
      <c r="S104" s="196">
        <f t="shared" si="42"/>
        <v>1</v>
      </c>
      <c r="T104" s="190" t="str">
        <f t="shared" si="26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27"/>
        <v>https://d0f6bd738d7f1b3e5a7ca70fe4ff75f0.us-east-1.aws.found.io/app/kibana#/discover/Steve-Slow-Train-Analysis-(2080s-and-2083s)?_g=(refreshInterval:(display:Off,pause:!f,section:0,value:0),time:(from:'2017-05-15T14:37:42-0600',mode:absolute,to:'2017-05-15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4" s="192" t="str">
        <f t="shared" si="28"/>
        <v>N</v>
      </c>
      <c r="X104" s="192">
        <f t="shared" si="29"/>
        <v>1</v>
      </c>
      <c r="Y104" s="192">
        <f t="shared" si="30"/>
        <v>23.300799999999999</v>
      </c>
      <c r="Z104" s="192">
        <f t="shared" si="31"/>
        <v>1.5800000000000002E-2</v>
      </c>
      <c r="AA104" s="192">
        <f t="shared" si="32"/>
        <v>23.285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33"/>
        <v>0190-15</v>
      </c>
      <c r="AE104" s="80" t="str">
        <f t="shared" si="3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104" s="77" t="str">
        <f t="shared" si="35"/>
        <v>"C:\Program Files (x86)\AstroGrep\AstroGrep.exe" /e /r /s /spath="%USERPROFILE%\AppData\Local\Temp\OnboardLogs" /stypes="app*4021*20170515*" /stext=" 22:.+((SYSTEM_STATE.+slice.+state.+changed )|(ment ac)|(multiple cpu faults)|(system.+state.+changed )|(\[timeout)|(PRM\|1\|D)|(kpr)|(kdp)|(train st.+moving)|(\|lc)|(penalty))"</v>
      </c>
      <c r="AG104" s="1" t="str">
        <f t="shared" si="36"/>
        <v>EC</v>
      </c>
      <c r="AH104" s="81" t="str">
        <f t="shared" si="37"/>
        <v>"%USERPROFILE%\Documents\GitHub\eaglep3\Utilities\RefineRTDCRunTimes.py" --tripid 190-15 --locoid 4021 --swversion DE.1.0.9.0 --startMP 204:233008 --initTime 2017-05-15T15:37:42 --startdatetime 2017-05-15T15:41:44 --delay 1 --endMP 204:158 --enddatetime 2017-05-15T16:23:21 --enforcementcount 0 &gt;&gt;C:\Users\stu\Documents\GitHub\eaglep3-reporting\EC\2017-05-15-refined-times.txt</v>
      </c>
      <c r="AI104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{"issue":{"subject":"","project_id":79,"tracker_id":40,"status_id":1,"priority_id":2,"assigned_to_id":23,"start_date":"2017-05-15","description":"","custom_fields":[{"id":1,"name":"Subdivision","value":"EC"},{"id":4,"name":"Milepost","value":"0.0158"},{"id":17,"name":"Train ID","value":"190-15"},{"id":16,"name":"Locomotive ID","value":"4021"},{"id":130,"name":"Impact","value":""},{"id":150,"name":"Time of Event (Mountain Time)","value":"16:23:21"},{"id":151,"name":"Denver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39"/>
        <v>start /low /b %USERPROFILE%\Documents\GitHub\eaglep3\Utilities\DownloadLogsFromS3.py --loco 4021 --day 2017-05-15</v>
      </c>
      <c r="AN104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743</v>
      </c>
      <c r="B105" s="7">
        <v>4016</v>
      </c>
      <c r="C105" s="21" t="s">
        <v>206</v>
      </c>
      <c r="D105" s="21" t="s">
        <v>881</v>
      </c>
      <c r="E105" s="13">
        <v>42870.623055555552</v>
      </c>
      <c r="F105" s="13">
        <v>42870.625162037039</v>
      </c>
      <c r="G105" s="7">
        <v>1</v>
      </c>
      <c r="H105" s="21" t="s">
        <v>490</v>
      </c>
      <c r="I105" s="13">
        <v>42870.651550925926</v>
      </c>
      <c r="J105" s="7">
        <v>0</v>
      </c>
      <c r="K105" s="92" t="str">
        <f t="shared" si="24"/>
        <v>4015/4016</v>
      </c>
      <c r="L105" s="21" t="str">
        <f>VLOOKUP(A105,'Trips&amp;Operators'!$C$1:$G$99999,5,FALSE)</f>
        <v>CLARK KATHLEEN</v>
      </c>
      <c r="M105" s="6">
        <f t="shared" si="25"/>
        <v>2.6388888887595385E-2</v>
      </c>
      <c r="N105" s="7">
        <f t="shared" si="41"/>
        <v>37.999999998137355</v>
      </c>
      <c r="O105" s="7"/>
      <c r="P105" s="7"/>
      <c r="Q105" s="22"/>
      <c r="R105" s="190"/>
      <c r="S105" s="196">
        <f t="shared" si="42"/>
        <v>1</v>
      </c>
      <c r="T105" s="190" t="str">
        <f t="shared" si="26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27"/>
        <v>https://d0f6bd738d7f1b3e5a7ca70fe4ff75f0.us-east-1.aws.found.io/app/kibana#/discover/Steve-Slow-Train-Analysis-(2080s-and-2083s)?_g=(refreshInterval:(display:Off,pause:!f,section:0,value:0),time:(from:'2017-05-15T13:57:12-0600',mode:absolute,to:'2017-05-15T16:38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192" t="str">
        <f t="shared" si="28"/>
        <v>N</v>
      </c>
      <c r="X105" s="192">
        <f t="shared" si="29"/>
        <v>1</v>
      </c>
      <c r="Y105" s="192">
        <f t="shared" si="30"/>
        <v>4.8399999999999999E-2</v>
      </c>
      <c r="Z105" s="192">
        <f t="shared" si="31"/>
        <v>23.328399999999998</v>
      </c>
      <c r="AA105" s="192">
        <f t="shared" si="32"/>
        <v>23.279999999999998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33"/>
        <v>0191-15</v>
      </c>
      <c r="AE105" s="80" t="str">
        <f t="shared" si="34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105" s="77" t="str">
        <f t="shared" si="35"/>
        <v>"C:\Program Files (x86)\AstroGrep\AstroGrep.exe" /e /r /s /spath="%USERPROFILE%\AppData\Local\Temp\OnboardLogs" /stypes="app*4016*20170515*" /stext=" 21:.+((SYSTEM_STATE.+slice.+state.+changed )|(ment ac)|(multiple cpu faults)|(system.+state.+changed )|(\[timeout)|(PRM\|1\|D)|(kpr)|(kdp)|(train st.+moving)|(\|lc)|(penalty))"</v>
      </c>
      <c r="AG105" s="1" t="str">
        <f t="shared" si="36"/>
        <v>EC</v>
      </c>
      <c r="AH105" s="81" t="str">
        <f t="shared" si="37"/>
        <v>"%USERPROFILE%\Documents\GitHub\eaglep3\Utilities\RefineRTDCRunTimes.py" --tripid 191-15 --locoid 4016 --swversion DE.1.0.9.0 --startMP 204:484 --initTime 2017-05-15T14:57:12 --startdatetime 2017-05-15T15:00:14 --delay 1 --endMP 204:233284 --enddatetime 2017-05-15T15:38:14 --enforcementcount 0 &gt;&gt;C:\Users\stu\Documents\GitHub\eaglep3-reporting\EC\2017-05-15-refined-times.txt</v>
      </c>
      <c r="AI105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{"issue":{"subject":"","project_id":79,"tracker_id":40,"status_id":1,"priority_id":2,"assigned_to_id":23,"start_date":"2017-05-15","description":"","custom_fields":[{"id":1,"name":"Subdivision","value":"EC"},{"id":4,"name":"Milepost","value":"23.3284"},{"id":17,"name":"Train ID","value":"191-15"},{"id":16,"name":"Locomotive ID","value":"4016"},{"id":130,"name":"Impact","value":""},{"id":150,"name":"Time of Event (Mountain Time)","value":"15:38:14"},{"id":151,"name":"Denver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39"/>
        <v>start /low /b %USERPROFILE%\Documents\GitHub\eaglep3\Utilities\DownloadLogsFromS3.py --loco 4016 --day 2017-05-15</v>
      </c>
      <c r="AN105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21:38:14"},{"id":29,"name":"Sharepoint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752</v>
      </c>
      <c r="B106" s="7">
        <v>4015</v>
      </c>
      <c r="C106" s="21" t="s">
        <v>206</v>
      </c>
      <c r="D106" s="21" t="s">
        <v>882</v>
      </c>
      <c r="E106" s="13">
        <v>42870.661469907405</v>
      </c>
      <c r="F106" s="13">
        <v>42870.664085648146</v>
      </c>
      <c r="G106" s="7">
        <v>1</v>
      </c>
      <c r="H106" s="21" t="s">
        <v>860</v>
      </c>
      <c r="I106" s="13">
        <v>42870.692511574074</v>
      </c>
      <c r="J106" s="7">
        <v>0</v>
      </c>
      <c r="K106" s="92" t="str">
        <f t="shared" si="24"/>
        <v>4015/4016</v>
      </c>
      <c r="L106" s="21" t="str">
        <f>VLOOKUP(A106,'Trips&amp;Operators'!$C$1:$G$99999,5,FALSE)</f>
        <v>CLARK KATHLEEN</v>
      </c>
      <c r="M106" s="6">
        <f t="shared" si="25"/>
        <v>2.842592592787696E-2</v>
      </c>
      <c r="N106" s="7">
        <f t="shared" si="41"/>
        <v>40.933333336142823</v>
      </c>
      <c r="O106" s="7"/>
      <c r="P106" s="7"/>
      <c r="Q106" s="22"/>
      <c r="R106" s="190"/>
      <c r="S106" s="196">
        <f t="shared" si="42"/>
        <v>1</v>
      </c>
      <c r="T106" s="190" t="str">
        <f t="shared" si="26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27"/>
        <v>https://d0f6bd738d7f1b3e5a7ca70fe4ff75f0.us-east-1.aws.found.io/app/kibana#/discover/Steve-Slow-Train-Analysis-(2080s-and-2083s)?_g=(refreshInterval:(display:Off,pause:!f,section:0,value:0),time:(from:'2017-05-15T14:52:31-0600',mode:absolute,to:'2017-05-15T17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192" t="str">
        <f t="shared" si="28"/>
        <v>N</v>
      </c>
      <c r="X106" s="192">
        <f t="shared" si="29"/>
        <v>1</v>
      </c>
      <c r="Y106" s="192">
        <f t="shared" si="30"/>
        <v>23.296500000000002</v>
      </c>
      <c r="Z106" s="192">
        <f t="shared" si="31"/>
        <v>2.0500000000000001E-2</v>
      </c>
      <c r="AA106" s="192">
        <f t="shared" si="32"/>
        <v>23.276000000000003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33"/>
        <v>0192-15</v>
      </c>
      <c r="AE106" s="80" t="str">
        <f t="shared" si="3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106" s="77" t="str">
        <f t="shared" si="35"/>
        <v>"C:\Program Files (x86)\AstroGrep\AstroGrep.exe" /e /r /s /spath="%USERPROFILE%\AppData\Local\Temp\OnboardLogs" /stypes="app*4015*20170515*" /stext=" 22:.+((SYSTEM_STATE.+slice.+state.+changed )|(ment ac)|(multiple cpu faults)|(system.+state.+changed )|(\[timeout)|(PRM\|1\|D)|(kpr)|(kdp)|(train st.+moving)|(\|lc)|(penalty))"</v>
      </c>
      <c r="AG106" s="1" t="str">
        <f t="shared" si="36"/>
        <v>EC</v>
      </c>
      <c r="AH106" s="81" t="str">
        <f t="shared" si="37"/>
        <v>"%USERPROFILE%\Documents\GitHub\eaglep3\Utilities\RefineRTDCRunTimes.py" --tripid 192-15 --locoid 4015 --swversion DE.1.0.9.0 --startMP 204:232965 --initTime 2017-05-15T15:52:31 --startdatetime 2017-05-15T15:56:17 --delay 1 --endMP 204:205 --enddatetime 2017-05-15T16:37:13 --enforcementcount 0 &gt;&gt;C:\Users\stu\Documents\GitHub\eaglep3-reporting\EC\2017-05-15-refined-times.txt</v>
      </c>
      <c r="AI106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{"issue":{"subject":"","project_id":79,"tracker_id":40,"status_id":1,"priority_id":2,"assigned_to_id":23,"start_date":"2017-05-15","description":"","custom_fields":[{"id":1,"name":"Subdivision","value":"EC"},{"id":4,"name":"Milepost","value":"0.0205"},{"id":17,"name":"Train ID","value":"192-15"},{"id":16,"name":"Locomotive ID","value":"4015"},{"id":130,"name":"Impact","value":""},{"id":150,"name":"Time of Event (Mountain Time)","value":"16:37:13"},{"id":151,"name":"Denver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39"/>
        <v>start /low /b %USERPROFILE%\Documents\GitHub\eaglep3\Utilities\DownloadLogsFromS3.py --loco 4015 --day 2017-05-15</v>
      </c>
      <c r="AN106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745</v>
      </c>
      <c r="B107" s="7">
        <v>4026</v>
      </c>
      <c r="C107" s="21" t="s">
        <v>206</v>
      </c>
      <c r="D107" s="21" t="s">
        <v>367</v>
      </c>
      <c r="E107" s="13">
        <v>42870.630150462966</v>
      </c>
      <c r="F107" s="13">
        <v>42870.635578703703</v>
      </c>
      <c r="G107" s="7">
        <v>2</v>
      </c>
      <c r="H107" s="21" t="s">
        <v>883</v>
      </c>
      <c r="I107" s="13">
        <v>42870.660127314812</v>
      </c>
      <c r="J107" s="7">
        <v>0</v>
      </c>
      <c r="K107" s="92" t="str">
        <f t="shared" si="24"/>
        <v>4025/4026</v>
      </c>
      <c r="L107" s="21" t="str">
        <f>VLOOKUP(A107,'Trips&amp;Operators'!$C$1:$G$99999,5,FALSE)</f>
        <v>ROMERO CHAD</v>
      </c>
      <c r="M107" s="6">
        <f t="shared" si="25"/>
        <v>2.4548611108912155E-2</v>
      </c>
      <c r="N107" s="7">
        <f t="shared" si="41"/>
        <v>35.349999996833503</v>
      </c>
      <c r="O107" s="7"/>
      <c r="P107" s="7"/>
      <c r="Q107" s="22"/>
      <c r="R107" s="190"/>
      <c r="S107" s="196">
        <f t="shared" si="42"/>
        <v>1</v>
      </c>
      <c r="T107" s="190" t="str">
        <f t="shared" si="26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27"/>
        <v>https://d0f6bd738d7f1b3e5a7ca70fe4ff75f0.us-east-1.aws.found.io/app/kibana#/discover/Steve-Slow-Train-Analysis-(2080s-and-2083s)?_g=(refreshInterval:(display:Off,pause:!f,section:0,value:0),time:(from:'2017-05-15T14:07:25-0600',mode:absolute,to:'2017-05-15T16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7" s="192" t="str">
        <f t="shared" si="28"/>
        <v>N</v>
      </c>
      <c r="X107" s="192">
        <f t="shared" si="29"/>
        <v>1</v>
      </c>
      <c r="Y107" s="192">
        <f t="shared" si="30"/>
        <v>4.4400000000000002E-2</v>
      </c>
      <c r="Z107" s="192">
        <f t="shared" si="31"/>
        <v>23.34</v>
      </c>
      <c r="AA107" s="192">
        <f t="shared" si="32"/>
        <v>23.2956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33"/>
        <v>0193-15</v>
      </c>
      <c r="AE107" s="80" t="str">
        <f t="shared" si="34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107" s="77" t="str">
        <f t="shared" si="35"/>
        <v>"C:\Program Files (x86)\AstroGrep\AstroGrep.exe" /e /r /s /spath="%USERPROFILE%\AppData\Local\Temp\OnboardLogs" /stypes="app*4026*20170515*" /stext=" 21:.+((SYSTEM_STATE.+slice.+state.+changed )|(ment ac)|(multiple cpu faults)|(system.+state.+changed )|(\[timeout)|(PRM\|1\|D)|(kpr)|(kdp)|(train st.+moving)|(\|lc)|(penalty))"</v>
      </c>
      <c r="AG107" s="1" t="str">
        <f t="shared" si="36"/>
        <v>EC</v>
      </c>
      <c r="AH107" s="81" t="str">
        <f t="shared" si="37"/>
        <v>"%USERPROFILE%\Documents\GitHub\eaglep3\Utilities\RefineRTDCRunTimes.py" --tripid 193-15 --locoid 4026 --swversion DE.1.0.9.0 --startMP 204:444 --initTime 2017-05-15T15:07:25 --startdatetime 2017-05-15T15:15:14 --delay 2 --endMP 204:233400 --enddatetime 2017-05-15T15:50:35 --enforcementcount 0 &gt;&gt;C:\Users\stu\Documents\GitHub\eaglep3-reporting\EC\2017-05-15-refined-times.txt</v>
      </c>
      <c r="AI107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{"issue":{"subject":"","project_id":79,"tracker_id":40,"status_id":1,"priority_id":2,"assigned_to_id":23,"start_date":"2017-05-15","description":"","custom_fields":[{"id":1,"name":"Subdivision","value":"EC"},{"id":4,"name":"Milepost","value":"23.34"},{"id":17,"name":"Train ID","value":"193-15"},{"id":16,"name":"Locomotive ID","value":"4026"},{"id":130,"name":"Impact","value":""},{"id":150,"name":"Time of Event (Mountain Time)","value":"15:50:35"},{"id":151,"name":"Denver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39"/>
        <v>start /low /b %USERPROFILE%\Documents\GitHub\eaglep3\Utilities\DownloadLogsFromS3.py --loco 4026 --day 2017-05-15</v>
      </c>
      <c r="AN107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613</v>
      </c>
      <c r="B108" s="7">
        <v>4025</v>
      </c>
      <c r="C108" s="21" t="s">
        <v>206</v>
      </c>
      <c r="D108" s="21" t="s">
        <v>884</v>
      </c>
      <c r="E108" s="13">
        <v>42870.661516203705</v>
      </c>
      <c r="F108" s="13">
        <v>42870.674479166664</v>
      </c>
      <c r="G108" s="7">
        <v>1</v>
      </c>
      <c r="H108" s="21" t="s">
        <v>450</v>
      </c>
      <c r="I108" s="13">
        <v>42870.700624999998</v>
      </c>
      <c r="J108" s="7">
        <v>0</v>
      </c>
      <c r="K108" s="92" t="str">
        <f t="shared" si="24"/>
        <v>4025/4026</v>
      </c>
      <c r="L108" s="21" t="str">
        <f>VLOOKUP(A108,'Trips&amp;Operators'!$C$1:$G$99999,5,FALSE)</f>
        <v>ROMERO CHAD</v>
      </c>
      <c r="M108" s="6">
        <f t="shared" si="25"/>
        <v>2.6145833333430346E-2</v>
      </c>
      <c r="N108" s="7">
        <f t="shared" si="41"/>
        <v>37.650000000139698</v>
      </c>
      <c r="O108" s="7"/>
      <c r="P108" s="7"/>
      <c r="Q108" s="22"/>
      <c r="R108" s="190"/>
      <c r="S108" s="196">
        <f t="shared" si="42"/>
        <v>1</v>
      </c>
      <c r="T108" s="190" t="str">
        <f t="shared" si="26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27"/>
        <v>https://d0f6bd738d7f1b3e5a7ca70fe4ff75f0.us-east-1.aws.found.io/app/kibana#/discover/Steve-Slow-Train-Analysis-(2080s-and-2083s)?_g=(refreshInterval:(display:Off,pause:!f,section:0,value:0),time:(from:'2017-05-15T14:52:35-0600',mode:absolute,to:'2017-05-15T17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8" s="192" t="str">
        <f t="shared" si="28"/>
        <v>N</v>
      </c>
      <c r="X108" s="192">
        <f t="shared" si="29"/>
        <v>1</v>
      </c>
      <c r="Y108" s="192">
        <f t="shared" si="30"/>
        <v>23.307700000000001</v>
      </c>
      <c r="Z108" s="192">
        <f t="shared" si="31"/>
        <v>1.2999999999999999E-2</v>
      </c>
      <c r="AA108" s="192">
        <f t="shared" si="32"/>
        <v>23.294699999999999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33"/>
        <v>0194-15</v>
      </c>
      <c r="AE108" s="80" t="str">
        <f t="shared" si="34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108" s="77" t="str">
        <f t="shared" si="35"/>
        <v>"C:\Program Files (x86)\AstroGrep\AstroGrep.exe" /e /r /s /spath="%USERPROFILE%\AppData\Local\Temp\OnboardLogs" /stypes="app*4025*20170515*" /stext=" 22:.+((SYSTEM_STATE.+slice.+state.+changed )|(ment ac)|(multiple cpu faults)|(system.+state.+changed )|(\[timeout)|(PRM\|1\|D)|(kpr)|(kdp)|(train st.+moving)|(\|lc)|(penalty))"</v>
      </c>
      <c r="AG108" s="1" t="str">
        <f t="shared" si="36"/>
        <v>EC</v>
      </c>
      <c r="AH108" s="81" t="str">
        <f t="shared" si="37"/>
        <v>"%USERPROFILE%\Documents\GitHub\eaglep3\Utilities\RefineRTDCRunTimes.py" --tripid 194-15 --locoid 4025 --swversion DE.1.0.9.0 --startMP 204:233077 --initTime 2017-05-15T15:52:35 --startdatetime 2017-05-15T16:11:15 --delay 1 --endMP 204:130 --enddatetime 2017-05-15T16:48:54 --enforcementcount 0 &gt;&gt;C:\Users\stu\Documents\GitHub\eaglep3-reporting\EC\2017-05-15-refined-times.txt</v>
      </c>
      <c r="AI108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{"issue":{"subject":"","project_id":79,"tracker_id":40,"status_id":1,"priority_id":2,"assigned_to_id":23,"start_date":"2017-05-15","description":"","custom_fields":[{"id":1,"name":"Subdivision","value":"EC"},{"id":4,"name":"Milepost","value":"0.013"},{"id":17,"name":"Train ID","value":"194-15"},{"id":16,"name":"Locomotive ID","value":"4025"},{"id":130,"name":"Impact","value":""},{"id":150,"name":"Time of Event (Mountain Time)","value":"16:48:54"},{"id":151,"name":"Denver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39"/>
        <v>start /low /b %USERPROFILE%\Documents\GitHub\eaglep3\Utilities\DownloadLogsFromS3.py --loco 4025 --day 2017-05-15</v>
      </c>
      <c r="AN108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749</v>
      </c>
      <c r="B109" s="7">
        <v>4052</v>
      </c>
      <c r="C109" s="21" t="s">
        <v>206</v>
      </c>
      <c r="D109" s="21" t="s">
        <v>849</v>
      </c>
      <c r="E109" s="13">
        <v>42870.641770833332</v>
      </c>
      <c r="F109" s="13">
        <v>42870.645983796298</v>
      </c>
      <c r="G109" s="7">
        <v>1</v>
      </c>
      <c r="H109" s="21" t="s">
        <v>564</v>
      </c>
      <c r="I109" s="13">
        <v>42870.670185185183</v>
      </c>
      <c r="J109" s="7">
        <v>0</v>
      </c>
      <c r="K109" s="92" t="str">
        <f t="shared" si="24"/>
        <v>4051/4052</v>
      </c>
      <c r="L109" s="21" t="str">
        <f>VLOOKUP(A109,'Trips&amp;Operators'!$C$1:$G$99999,5,FALSE)</f>
        <v>LALONDE GREGORY</v>
      </c>
      <c r="M109" s="6">
        <f t="shared" si="25"/>
        <v>2.4201388885558117E-2</v>
      </c>
      <c r="N109" s="7">
        <f t="shared" si="41"/>
        <v>34.849999995203689</v>
      </c>
      <c r="O109" s="7"/>
      <c r="P109" s="7"/>
      <c r="Q109" s="22"/>
      <c r="R109" s="190"/>
      <c r="S109" s="196">
        <f t="shared" si="42"/>
        <v>1</v>
      </c>
      <c r="T109" s="190" t="str">
        <f t="shared" si="26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27"/>
        <v>https://d0f6bd738d7f1b3e5a7ca70fe4ff75f0.us-east-1.aws.found.io/app/kibana#/discover/Steve-Slow-Train-Analysis-(2080s-and-2083s)?_g=(refreshInterval:(display:Off,pause:!f,section:0,value:0),time:(from:'2017-05-15T14:24:09-0600',mode:absolute,to:'2017-05-15T17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9" s="192" t="str">
        <f t="shared" si="28"/>
        <v>N</v>
      </c>
      <c r="X109" s="192">
        <f t="shared" ref="X109:X140" si="43">VALUE(LEFT(AD109,4))-VALUE(LEFT(AD108,4))</f>
        <v>1</v>
      </c>
      <c r="Y109" s="192">
        <f t="shared" si="30"/>
        <v>4.6899999999999997E-2</v>
      </c>
      <c r="Z109" s="192">
        <f t="shared" si="31"/>
        <v>23.333200000000001</v>
      </c>
      <c r="AA109" s="192">
        <f t="shared" si="32"/>
        <v>23.286300000000001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33"/>
        <v>0195-15</v>
      </c>
      <c r="AE109" s="80" t="str">
        <f t="shared" si="3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09" s="77" t="str">
        <f t="shared" si="35"/>
        <v>"C:\Program Files (x86)\AstroGrep\AstroGrep.exe" /e /r /s /spath="%USERPROFILE%\AppData\Local\Temp\OnboardLogs" /stypes="app*4052*20170515*" /stext=" 22:.+((SYSTEM_STATE.+slice.+state.+changed )|(ment ac)|(multiple cpu faults)|(system.+state.+changed )|(\[timeout)|(PRM\|1\|D)|(kpr)|(kdp)|(train st.+moving)|(\|lc)|(penalty))"</v>
      </c>
      <c r="AG109" s="1" t="str">
        <f t="shared" si="36"/>
        <v>EC</v>
      </c>
      <c r="AH109" s="81" t="str">
        <f t="shared" si="37"/>
        <v>"%USERPROFILE%\Documents\GitHub\eaglep3\Utilities\RefineRTDCRunTimes.py" --tripid 195-15 --locoid 4052 --swversion DE.1.0.9.0 --startMP 204:469 --initTime 2017-05-15T15:24:09 --startdatetime 2017-05-15T15:30:13 --delay 1 --endMP 204:233332 --enddatetime 2017-05-15T16:05:04 --enforcementcount 0 &gt;&gt;C:\Users\stu\Documents\GitHub\eaglep3-reporting\EC\2017-05-15-refined-times.txt</v>
      </c>
      <c r="AI10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{"issue":{"subject":"","project_id":79,"tracker_id":40,"status_id":1,"priority_id":2,"assigned_to_id":23,"start_date":"2017-05-15","description":"","custom_fields":[{"id":1,"name":"Subdivision","value":"EC"},{"id":4,"name":"Milepost","value":"23.3332"},{"id":17,"name":"Train ID","value":"195-15"},{"id":16,"name":"Locomotive ID","value":"4052"},{"id":130,"name":"Impact","value":""},{"id":150,"name":"Time of Event (Mountain Time)","value":"16:05:04"},{"id":151,"name":"Denver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39"/>
        <v>start /low /b %USERPROFILE%\Documents\GitHub\eaglep3\Utilities\DownloadLogsFromS3.py --loco 4052 --day 2017-05-15</v>
      </c>
      <c r="AN109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755</v>
      </c>
      <c r="B110" s="7">
        <v>4051</v>
      </c>
      <c r="C110" s="21" t="s">
        <v>206</v>
      </c>
      <c r="D110" s="21" t="s">
        <v>885</v>
      </c>
      <c r="E110" s="13">
        <v>42870.671643518515</v>
      </c>
      <c r="F110" s="13">
        <v>42870.684861111113</v>
      </c>
      <c r="G110" s="7">
        <v>0</v>
      </c>
      <c r="H110" s="21" t="s">
        <v>365</v>
      </c>
      <c r="I110" s="13">
        <v>42870.711574074077</v>
      </c>
      <c r="J110" s="7">
        <v>0</v>
      </c>
      <c r="K110" s="92" t="str">
        <f t="shared" si="24"/>
        <v>4051/4052</v>
      </c>
      <c r="L110" s="21" t="str">
        <f>VLOOKUP(A110,'Trips&amp;Operators'!$C$1:$G$99999,5,FALSE)</f>
        <v>LALONDE GREGORY</v>
      </c>
      <c r="M110" s="6">
        <f t="shared" si="25"/>
        <v>2.6712962964666076E-2</v>
      </c>
      <c r="N110" s="7">
        <f t="shared" si="41"/>
        <v>38.466666669119149</v>
      </c>
      <c r="O110" s="7"/>
      <c r="P110" s="7"/>
      <c r="Q110" s="22"/>
      <c r="R110" s="190"/>
      <c r="S110" s="196">
        <f t="shared" si="42"/>
        <v>1</v>
      </c>
      <c r="T110" s="190" t="str">
        <f t="shared" si="26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 t="shared" si="27"/>
        <v>https://d0f6bd738d7f1b3e5a7ca70fe4ff75f0.us-east-1.aws.found.io/app/kibana#/discover/Steve-Slow-Train-Analysis-(2080s-and-2083s)?_g=(refreshInterval:(display:Off,pause:!f,section:0,value:0),time:(from:'2017-05-15T15:07:10-0600',mode:absolute,to:'2017-05-15T18:04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10" s="192" t="str">
        <f t="shared" si="28"/>
        <v>N</v>
      </c>
      <c r="X110" s="192">
        <f t="shared" si="43"/>
        <v>1</v>
      </c>
      <c r="Y110" s="192">
        <f t="shared" si="30"/>
        <v>23.301500000000001</v>
      </c>
      <c r="Z110" s="192">
        <f t="shared" si="31"/>
        <v>1.5599999999999999E-2</v>
      </c>
      <c r="AA110" s="192">
        <f t="shared" si="32"/>
        <v>23.285900000000002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33"/>
        <v>0196-15</v>
      </c>
      <c r="AE110" s="80" t="str">
        <f t="shared" si="3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110" s="77" t="str">
        <f t="shared" si="35"/>
        <v>"C:\Program Files (x86)\AstroGrep\AstroGrep.exe" /e /r /s /spath="%USERPROFILE%\AppData\Local\Temp\OnboardLogs" /stypes="app*4051*20170515*" /stext=" 23:.+((SYSTEM_STATE.+slice.+state.+changed )|(ment ac)|(multiple cpu faults)|(system.+state.+changed )|(\[timeout)|(PRM\|1\|D)|(kpr)|(kdp)|(train st.+moving)|(\|lc)|(penalty))"</v>
      </c>
      <c r="AG110" s="1" t="str">
        <f t="shared" si="36"/>
        <v>EC</v>
      </c>
      <c r="AH110" s="81" t="str">
        <f t="shared" si="37"/>
        <v>"%USERPROFILE%\Documents\GitHub\eaglep3\Utilities\RefineRTDCRunTimes.py" --tripid 196-15 --locoid 4051 --swversion DE.1.0.9.0 --startMP 204:233015 --initTime 2017-05-15T16:07:10 --startdatetime 2017-05-15T16:26:12 --delay 0 --endMP 204:156 --enddatetime 2017-05-15T17:04:40 --enforcementcount 0 &gt;&gt;C:\Users\stu\Documents\GitHub\eaglep3-reporting\EC\2017-05-15-refined-times.txt</v>
      </c>
      <c r="AI11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{"issue":{"subject":"","project_id":79,"tracker_id":40,"status_id":1,"priority_id":2,"assigned_to_id":23,"start_date":"2017-05-15","description":"","custom_fields":[{"id":1,"name":"Subdivision","value":"EC"},{"id":4,"name":"Milepost","value":"0.0156"},{"id":17,"name":"Train ID","value":"196-15"},{"id":16,"name":"Locomotive ID","value":"4051"},{"id":130,"name":"Impact","value":""},{"id":150,"name":"Time of Event (Mountain Time)","value":"17:04:40"},{"id":151,"name":"Denver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39"/>
        <v>start /low /b %USERPROFILE%\Documents\GitHub\eaglep3\Utilities\DownloadLogsFromS3.py --loco 4051 --day 2017-05-15</v>
      </c>
      <c r="AN110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23:04:40"},{"id":29,"name":"Sharepoint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610</v>
      </c>
      <c r="B111" s="7">
        <v>4028</v>
      </c>
      <c r="C111" s="21" t="s">
        <v>206</v>
      </c>
      <c r="D111" s="21" t="s">
        <v>347</v>
      </c>
      <c r="E111" s="13">
        <v>42870.653032407405</v>
      </c>
      <c r="F111" s="13">
        <v>42870.656493055554</v>
      </c>
      <c r="G111" s="7">
        <v>1</v>
      </c>
      <c r="H111" s="21" t="s">
        <v>531</v>
      </c>
      <c r="I111" s="13">
        <v>42870.682546296295</v>
      </c>
      <c r="J111" s="7">
        <v>0</v>
      </c>
      <c r="K111" s="92" t="str">
        <f t="shared" si="24"/>
        <v>4027/4028</v>
      </c>
      <c r="L111" s="21" t="str">
        <f>VLOOKUP(A111,'Trips&amp;Operators'!$C$1:$G$99999,5,FALSE)</f>
        <v>THOMPSON LESTER</v>
      </c>
      <c r="M111" s="6">
        <f t="shared" si="25"/>
        <v>2.6053240741021E-2</v>
      </c>
      <c r="N111" s="7">
        <f t="shared" si="41"/>
        <v>37.51666666707024</v>
      </c>
      <c r="O111" s="7"/>
      <c r="P111" s="7"/>
      <c r="Q111" s="22"/>
      <c r="R111" s="190"/>
      <c r="S111" s="196">
        <f t="shared" si="42"/>
        <v>1</v>
      </c>
      <c r="T111" s="190" t="str">
        <f t="shared" si="26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27"/>
        <v>https://d0f6bd738d7f1b3e5a7ca70fe4ff75f0.us-east-1.aws.found.io/app/kibana#/discover/Steve-Slow-Train-Analysis-(2080s-and-2083s)?_g=(refreshInterval:(display:Off,pause:!f,section:0,value:0),time:(from:'2017-05-15T14:40:22-0600',mode:absolute,to:'2017-05-15T17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1" s="192" t="str">
        <f t="shared" si="28"/>
        <v>N</v>
      </c>
      <c r="X111" s="192">
        <f t="shared" si="43"/>
        <v>1</v>
      </c>
      <c r="Y111" s="192">
        <f t="shared" si="30"/>
        <v>4.4900000000000002E-2</v>
      </c>
      <c r="Z111" s="192">
        <f t="shared" si="31"/>
        <v>23.329699999999999</v>
      </c>
      <c r="AA111" s="192">
        <f t="shared" si="32"/>
        <v>23.284800000000001</v>
      </c>
      <c r="AB111" s="57" t="str">
        <f>VLOOKUP(A111,Enforcements!$C$7:$K$13,8,0)</f>
        <v>Bulletin (2)</v>
      </c>
      <c r="AC111" s="53" t="str">
        <f>VLOOKUP(A111,Enforcements!$C$7:$E$13,3,0)</f>
        <v>GRADE CROSSING</v>
      </c>
      <c r="AD111" s="54" t="str">
        <f t="shared" si="33"/>
        <v>0197-15</v>
      </c>
      <c r="AE111" s="80" t="str">
        <f t="shared" si="34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111" s="77" t="str">
        <f t="shared" si="35"/>
        <v>"C:\Program Files (x86)\AstroGrep\AstroGrep.exe" /e /r /s /spath="%USERPROFILE%\AppData\Local\Temp\OnboardLogs" /stypes="app*4028*20170515*" /stext=" 22:.+((SYSTEM_STATE.+slice.+state.+changed )|(ment ac)|(multiple cpu faults)|(system.+state.+changed )|(\[timeout)|(PRM\|1\|D)|(kpr)|(kdp)|(train st.+moving)|(\|lc)|(penalty))"</v>
      </c>
      <c r="AG111" s="1" t="str">
        <f t="shared" si="36"/>
        <v>EC</v>
      </c>
      <c r="AH111" s="81" t="str">
        <f t="shared" si="37"/>
        <v>"%USERPROFILE%\Documents\GitHub\eaglep3\Utilities\RefineRTDCRunTimes.py" --tripid 197-15 --locoid 4028 --swversion DE.1.0.9.0 --startMP 204:449 --initTime 2017-05-15T15:40:22 --startdatetime 2017-05-15T15:45:21 --delay 1 --endMP 204:233297 --enddatetime 2017-05-15T16:22:52 --enforcementcount 0 &gt;&gt;C:\Users\stu\Documents\GitHub\eaglep3-reporting\EC\2017-05-15-refined-times.txt</v>
      </c>
      <c r="AI11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{"issue":{"subject":"","project_id":79,"tracker_id":40,"status_id":1,"priority_id":2,"assigned_to_id":23,"start_date":"2017-05-15","description":"","custom_fields":[{"id":1,"name":"Subdivision","value":"EC"},{"id":4,"name":"Milepost","value":"23.3297"},{"id":17,"name":"Train ID","value":"197-15"},{"id":16,"name":"Locomotive ID","value":"4028"},{"id":130,"name":"Impact","value":""},{"id":150,"name":"Time of Event (Mountain Time)","value":"16:22:52"},{"id":151,"name":"Denver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39"/>
        <v>start /low /b %USERPROFILE%\Documents\GitHub\eaglep3\Utilities\DownloadLogsFromS3.py --loco 4028 --day 2017-05-15</v>
      </c>
      <c r="AN111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612</v>
      </c>
      <c r="B112" s="7">
        <v>4027</v>
      </c>
      <c r="C112" s="21" t="s">
        <v>206</v>
      </c>
      <c r="D112" s="21" t="s">
        <v>488</v>
      </c>
      <c r="E112" s="13">
        <v>42870.689895833333</v>
      </c>
      <c r="F112" s="13">
        <v>42870.6953125</v>
      </c>
      <c r="G112" s="7">
        <v>1</v>
      </c>
      <c r="H112" s="21" t="s">
        <v>359</v>
      </c>
      <c r="I112" s="13">
        <v>42870.72388888889</v>
      </c>
      <c r="J112" s="7">
        <v>0</v>
      </c>
      <c r="K112" s="92" t="str">
        <f t="shared" si="24"/>
        <v>4027/4028</v>
      </c>
      <c r="L112" s="21" t="str">
        <f>VLOOKUP(A112,'Trips&amp;Operators'!$C$1:$G$99999,5,FALSE)</f>
        <v>THOMPSON LESTER</v>
      </c>
      <c r="M112" s="6">
        <f t="shared" si="25"/>
        <v>2.8576388889632653E-2</v>
      </c>
      <c r="N112" s="7">
        <f t="shared" si="41"/>
        <v>41.150000001071021</v>
      </c>
      <c r="O112" s="7"/>
      <c r="P112" s="7"/>
      <c r="Q112" s="22"/>
      <c r="R112" s="190"/>
      <c r="S112" s="196">
        <f t="shared" si="42"/>
        <v>1</v>
      </c>
      <c r="T112" s="190" t="str">
        <f t="shared" si="26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27"/>
        <v>https://d0f6bd738d7f1b3e5a7ca70fe4ff75f0.us-east-1.aws.found.io/app/kibana#/discover/Steve-Slow-Train-Analysis-(2080s-and-2083s)?_g=(refreshInterval:(display:Off,pause:!f,section:0,value:0),time:(from:'2017-05-15T15:33:27-0600',mode:absolute,to:'2017-05-15T18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2" s="192" t="str">
        <f t="shared" si="28"/>
        <v>N</v>
      </c>
      <c r="X112" s="192">
        <f t="shared" si="43"/>
        <v>1</v>
      </c>
      <c r="Y112" s="192">
        <f t="shared" si="30"/>
        <v>23.297599999999999</v>
      </c>
      <c r="Z112" s="192">
        <f t="shared" si="31"/>
        <v>1.49E-2</v>
      </c>
      <c r="AA112" s="192">
        <f t="shared" si="32"/>
        <v>23.282699999999998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33"/>
        <v>0198-15</v>
      </c>
      <c r="AE112" s="80" t="str">
        <f t="shared" si="34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112" s="77" t="str">
        <f t="shared" si="35"/>
        <v>"C:\Program Files (x86)\AstroGrep\AstroGrep.exe" /e /r /s /spath="%USERPROFILE%\AppData\Local\Temp\OnboardLogs" /stypes="app*4027*20170515*" /stext=" 23:.+((SYSTEM_STATE.+slice.+state.+changed )|(ment ac)|(multiple cpu faults)|(system.+state.+changed )|(\[timeout)|(PRM\|1\|D)|(kpr)|(kdp)|(train st.+moving)|(\|lc)|(penalty))"</v>
      </c>
      <c r="AG112" s="1" t="str">
        <f t="shared" si="36"/>
        <v>EC</v>
      </c>
      <c r="AH112" s="81" t="str">
        <f t="shared" si="37"/>
        <v>"%USERPROFILE%\Documents\GitHub\eaglep3\Utilities\RefineRTDCRunTimes.py" --tripid 198-15 --locoid 4027 --swversion DE.1.0.9.0 --startMP 204:232976 --initTime 2017-05-15T16:33:27 --startdatetime 2017-05-15T16:41:15 --delay 1 --endMP 204:149 --enddatetime 2017-05-15T17:22:24 --enforcementcount 0 &gt;&gt;C:\Users\stu\Documents\GitHub\eaglep3-reporting\EC\2017-05-15-refined-times.txt</v>
      </c>
      <c r="AI112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{"issue":{"subject":"","project_id":79,"tracker_id":40,"status_id":1,"priority_id":2,"assigned_to_id":23,"start_date":"2017-05-15","description":"","custom_fields":[{"id":1,"name":"Subdivision","value":"EC"},{"id":4,"name":"Milepost","value":"0.0149"},{"id":17,"name":"Train ID","value":"198-15"},{"id":16,"name":"Locomotive ID","value":"4027"},{"id":130,"name":"Impact","value":""},{"id":150,"name":"Time of Event (Mountain Time)","value":"17:22:24"},{"id":151,"name":"Denver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39"/>
        <v>start /low /b %USERPROFILE%\Documents\GitHub\eaglep3\Utilities\DownloadLogsFromS3.py --loco 4027 --day 2017-05-15</v>
      </c>
      <c r="AN112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753</v>
      </c>
      <c r="B113" s="7">
        <v>4030</v>
      </c>
      <c r="C113" s="21" t="s">
        <v>206</v>
      </c>
      <c r="D113" s="21" t="s">
        <v>364</v>
      </c>
      <c r="E113" s="13">
        <v>42870.658275462964</v>
      </c>
      <c r="F113" s="13">
        <v>42870.666967592595</v>
      </c>
      <c r="G113" s="7">
        <v>6</v>
      </c>
      <c r="H113" s="21" t="s">
        <v>886</v>
      </c>
      <c r="I113" s="13">
        <v>42870.694525462961</v>
      </c>
      <c r="J113" s="7">
        <v>0</v>
      </c>
      <c r="K113" s="92" t="str">
        <f t="shared" si="24"/>
        <v>4029/4030</v>
      </c>
      <c r="L113" s="21" t="str">
        <f>VLOOKUP(A113,'Trips&amp;Operators'!$C$1:$G$99999,5,FALSE)</f>
        <v>BRANDNER MELINDA</v>
      </c>
      <c r="M113" s="6">
        <f t="shared" si="25"/>
        <v>2.7557870365853887E-2</v>
      </c>
      <c r="N113" s="7">
        <f t="shared" si="41"/>
        <v>39.683333326829597</v>
      </c>
      <c r="O113" s="7"/>
      <c r="P113" s="7"/>
      <c r="Q113" s="22"/>
      <c r="R113" s="190"/>
      <c r="S113" s="196">
        <f t="shared" si="42"/>
        <v>1</v>
      </c>
      <c r="T113" s="190" t="str">
        <f t="shared" si="26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27"/>
        <v>https://d0f6bd738d7f1b3e5a7ca70fe4ff75f0.us-east-1.aws.found.io/app/kibana#/discover/Steve-Slow-Train-Analysis-(2080s-and-2083s)?_g=(refreshInterval:(display:Off,pause:!f,section:0,value:0),time:(from:'2017-05-15T14:47:55-0600',mode:absolute,to:'2017-05-15T17:40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92" t="str">
        <f t="shared" si="28"/>
        <v>N</v>
      </c>
      <c r="X113" s="192">
        <f t="shared" si="43"/>
        <v>1</v>
      </c>
      <c r="Y113" s="192">
        <f t="shared" si="30"/>
        <v>4.6399999999999997E-2</v>
      </c>
      <c r="Z113" s="192">
        <f t="shared" si="31"/>
        <v>23.341799999999999</v>
      </c>
      <c r="AA113" s="192">
        <f t="shared" si="32"/>
        <v>23.295400000000001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33"/>
        <v>0199-15</v>
      </c>
      <c r="AE113" s="80" t="str">
        <f t="shared" si="3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13" s="77" t="str">
        <f t="shared" si="35"/>
        <v>"C:\Program Files (x86)\AstroGrep\AstroGrep.exe" /e /r /s /spath="%USERPROFILE%\AppData\Local\Temp\OnboardLogs" /stypes="app*4030*20170515*" /stext=" 22:.+((SYSTEM_STATE.+slice.+state.+changed )|(ment ac)|(multiple cpu faults)|(system.+state.+changed )|(\[timeout)|(PRM\|1\|D)|(kpr)|(kdp)|(train st.+moving)|(\|lc)|(penalty))"</v>
      </c>
      <c r="AG113" s="1" t="str">
        <f t="shared" si="36"/>
        <v>EC</v>
      </c>
      <c r="AH113" s="81" t="str">
        <f t="shared" si="37"/>
        <v>"%USERPROFILE%\Documents\GitHub\eaglep3\Utilities\RefineRTDCRunTimes.py" --tripid 199-15 --locoid 4030 --swversion DE.1.0.9.0 --startMP 204:464 --initTime 2017-05-15T15:47:55 --startdatetime 2017-05-15T16:00:26 --delay 6 --endMP 204:233418 --enddatetime 2017-05-15T16:40:07 --enforcementcount 0 &gt;&gt;C:\Users\stu\Documents\GitHub\eaglep3-reporting\EC\2017-05-15-refined-times.txt</v>
      </c>
      <c r="AI113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{"issue":{"subject":"","project_id":79,"tracker_id":40,"status_id":1,"priority_id":2,"assigned_to_id":23,"start_date":"2017-05-15","description":"","custom_fields":[{"id":1,"name":"Subdivision","value":"EC"},{"id":4,"name":"Milepost","value":"23.3418"},{"id":17,"name":"Train ID","value":"199-15"},{"id":16,"name":"Locomotive ID","value":"4030"},{"id":130,"name":"Impact","value":""},{"id":150,"name":"Time of Event (Mountain Time)","value":"16:40:07"},{"id":151,"name":"Denver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39"/>
        <v>start /low /b %USERPROFILE%\Documents\GitHub\eaglep3\Utilities\DownloadLogsFromS3.py --loco 4030 --day 2017-05-15</v>
      </c>
      <c r="AN113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22:40:07"},{"id":29,"name":"Sharepoint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760</v>
      </c>
      <c r="B114" s="7">
        <v>4029</v>
      </c>
      <c r="C114" s="21" t="s">
        <v>206</v>
      </c>
      <c r="D114" s="21" t="s">
        <v>887</v>
      </c>
      <c r="E114" s="13">
        <v>42870.702037037037</v>
      </c>
      <c r="F114" s="13">
        <v>42870.705729166664</v>
      </c>
      <c r="G114" s="7">
        <v>1</v>
      </c>
      <c r="H114" s="21" t="s">
        <v>888</v>
      </c>
      <c r="I114" s="13">
        <v>42870.735752314817</v>
      </c>
      <c r="J114" s="7">
        <v>0</v>
      </c>
      <c r="K114" s="92" t="str">
        <f t="shared" si="24"/>
        <v>4029/4030</v>
      </c>
      <c r="L114" s="21" t="str">
        <f>VLOOKUP(A114,'Trips&amp;Operators'!$C$1:$G$99999,5,FALSE)</f>
        <v>BRANDNER MELINDA</v>
      </c>
      <c r="M114" s="6">
        <f t="shared" si="25"/>
        <v>3.0023148152395152E-2</v>
      </c>
      <c r="N114" s="7">
        <f t="shared" si="41"/>
        <v>43.233333339449018</v>
      </c>
      <c r="O114" s="7"/>
      <c r="P114" s="7"/>
      <c r="Q114" s="22"/>
      <c r="R114" s="190"/>
      <c r="S114" s="196">
        <f t="shared" si="42"/>
        <v>1</v>
      </c>
      <c r="T114" s="190" t="str">
        <f t="shared" si="26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27"/>
        <v>https://d0f6bd738d7f1b3e5a7ca70fe4ff75f0.us-east-1.aws.found.io/app/kibana#/discover/Steve-Slow-Train-Analysis-(2080s-and-2083s)?_g=(refreshInterval:(display:Off,pause:!f,section:0,value:0),time:(from:'2017-05-15T15:50:56-0600',mode:absolute,to:'2017-05-15T18:39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192" t="str">
        <f t="shared" si="28"/>
        <v>N</v>
      </c>
      <c r="X114" s="192">
        <f t="shared" si="43"/>
        <v>1</v>
      </c>
      <c r="Y114" s="192">
        <f t="shared" si="30"/>
        <v>23.311699999999998</v>
      </c>
      <c r="Z114" s="192">
        <f t="shared" si="31"/>
        <v>1.2500000000000001E-2</v>
      </c>
      <c r="AA114" s="192">
        <f t="shared" si="32"/>
        <v>23.299199999999999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33"/>
        <v>0200-15</v>
      </c>
      <c r="AE114" s="80" t="str">
        <f t="shared" si="34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114" s="77" t="str">
        <f t="shared" si="35"/>
        <v>"C:\Program Files (x86)\AstroGrep\AstroGrep.exe" /e /r /s /spath="%USERPROFILE%\AppData\Local\Temp\OnboardLogs" /stypes="app*4029*20170515*" /stext=" 23:.+((SYSTEM_STATE.+slice.+state.+changed )|(ment ac)|(multiple cpu faults)|(system.+state.+changed )|(\[timeout)|(PRM\|1\|D)|(kpr)|(kdp)|(train st.+moving)|(\|lc)|(penalty))"</v>
      </c>
      <c r="AG114" s="1" t="str">
        <f t="shared" si="36"/>
        <v>EC</v>
      </c>
      <c r="AH114" s="81" t="str">
        <f t="shared" si="37"/>
        <v>"%USERPROFILE%\Documents\GitHub\eaglep3\Utilities\RefineRTDCRunTimes.py" --tripid 200-15 --locoid 4029 --swversion DE.1.0.9.0 --startMP 204:233117 --initTime 2017-05-15T16:50:56 --startdatetime 2017-05-15T16:56:15 --delay 1 --endMP 204:125 --enddatetime 2017-05-15T17:39:29 --enforcementcount 0 &gt;&gt;C:\Users\stu\Documents\GitHub\eaglep3-reporting\EC\2017-05-15-refined-times.txt</v>
      </c>
      <c r="AI114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{"issue":{"subject":"","project_id":79,"tracker_id":40,"status_id":1,"priority_id":2,"assigned_to_id":23,"start_date":"2017-05-15","description":"","custom_fields":[{"id":1,"name":"Subdivision","value":"EC"},{"id":4,"name":"Milepost","value":"0.0125"},{"id":17,"name":"Train ID","value":"200-15"},{"id":16,"name":"Locomotive ID","value":"4029"},{"id":130,"name":"Impact","value":""},{"id":150,"name":"Time of Event (Mountain Time)","value":"17:39:29"},{"id":151,"name":"Denver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39"/>
        <v>start /low /b %USERPROFILE%\Documents\GitHub\eaglep3\Utilities\DownloadLogsFromS3.py --loco 4029 --day 2017-05-15</v>
      </c>
      <c r="AN114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23:39:29"},{"id":29,"name":"Sharepoint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614</v>
      </c>
      <c r="B115" s="7">
        <v>4042</v>
      </c>
      <c r="C115" s="21" t="s">
        <v>206</v>
      </c>
      <c r="D115" s="21" t="s">
        <v>368</v>
      </c>
      <c r="E115" s="13">
        <v>42870.672766203701</v>
      </c>
      <c r="F115" s="13">
        <v>42870.677268518521</v>
      </c>
      <c r="G115" s="7">
        <v>1</v>
      </c>
      <c r="H115" s="21" t="s">
        <v>889</v>
      </c>
      <c r="I115" s="13">
        <v>42870.702361111114</v>
      </c>
      <c r="J115" s="7">
        <v>0</v>
      </c>
      <c r="K115" s="92" t="str">
        <f t="shared" si="24"/>
        <v>4041/4042</v>
      </c>
      <c r="L115" s="21" t="str">
        <f>VLOOKUP(A115,'Trips&amp;Operators'!$C$1:$G$99999,5,FALSE)</f>
        <v>PERKINS DARREN</v>
      </c>
      <c r="M115" s="6">
        <f t="shared" si="25"/>
        <v>2.5092592593864538E-2</v>
      </c>
      <c r="N115" s="7">
        <f t="shared" si="41"/>
        <v>36.133333335164934</v>
      </c>
      <c r="O115" s="7"/>
      <c r="P115" s="7"/>
      <c r="Q115" s="22"/>
      <c r="R115" s="190"/>
      <c r="S115" s="196">
        <f t="shared" si="42"/>
        <v>1</v>
      </c>
      <c r="T115" s="190" t="str">
        <f t="shared" si="26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27"/>
        <v>https://d0f6bd738d7f1b3e5a7ca70fe4ff75f0.us-east-1.aws.found.io/app/kibana#/discover/Steve-Slow-Train-Analysis-(2080s-and-2083s)?_g=(refreshInterval:(display:Off,pause:!f,section:0,value:0),time:(from:'2017-05-15T15:08:47-0600',mode:absolute,to:'2017-05-15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2" t="str">
        <f t="shared" si="28"/>
        <v>N</v>
      </c>
      <c r="X115" s="192">
        <f t="shared" si="43"/>
        <v>1</v>
      </c>
      <c r="Y115" s="192">
        <f t="shared" si="30"/>
        <v>4.4699999999999997E-2</v>
      </c>
      <c r="Z115" s="192">
        <f t="shared" si="31"/>
        <v>23.317399999999999</v>
      </c>
      <c r="AA115" s="192">
        <f t="shared" si="32"/>
        <v>23.2727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33"/>
        <v>0201-15</v>
      </c>
      <c r="AE115" s="80" t="str">
        <f t="shared" si="34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115" s="77" t="str">
        <f t="shared" si="35"/>
        <v>"C:\Program Files (x86)\AstroGrep\AstroGrep.exe" /e /r /s /spath="%USERPROFILE%\AppData\Local\Temp\OnboardLogs" /stypes="app*4042*20170515*" /stext=" 22:.+((SYSTEM_STATE.+slice.+state.+changed )|(ment ac)|(multiple cpu faults)|(system.+state.+changed )|(\[timeout)|(PRM\|1\|D)|(kpr)|(kdp)|(train st.+moving)|(\|lc)|(penalty))"</v>
      </c>
      <c r="AG115" s="1" t="str">
        <f t="shared" si="36"/>
        <v>EC</v>
      </c>
      <c r="AH115" s="81" t="str">
        <f t="shared" si="37"/>
        <v>"%USERPROFILE%\Documents\GitHub\eaglep3\Utilities\RefineRTDCRunTimes.py" --tripid 201-15 --locoid 4042 --swversion DE.1.0.9.0 --startMP 204:447 --initTime 2017-05-15T16:08:47 --startdatetime 2017-05-15T16:15:16 --delay 1 --endMP 204:233174 --enddatetime 2017-05-15T16:51:24 --enforcementcount 0 &gt;&gt;C:\Users\stu\Documents\GitHub\eaglep3-reporting\EC\2017-05-15-refined-times.txt</v>
      </c>
      <c r="AI115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{"issue":{"subject":"","project_id":79,"tracker_id":40,"status_id":1,"priority_id":2,"assigned_to_id":23,"start_date":"2017-05-15","description":"","custom_fields":[{"id":1,"name":"Subdivision","value":"EC"},{"id":4,"name":"Milepost","value":"23.3174"},{"id":17,"name":"Train ID","value":"201-15"},{"id":16,"name":"Locomotive ID","value":"4042"},{"id":130,"name":"Impact","value":""},{"id":150,"name":"Time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39"/>
        <v>start /low /b %USERPROFILE%\Documents\GitHub\eaglep3\Utilities\DownloadLogsFromS3.py --loco 4042 --day 2017-05-15</v>
      </c>
      <c r="AN115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617</v>
      </c>
      <c r="B116" s="7">
        <v>4041</v>
      </c>
      <c r="C116" s="21" t="s">
        <v>206</v>
      </c>
      <c r="D116" s="21" t="s">
        <v>890</v>
      </c>
      <c r="E116" s="13">
        <v>42870.708819444444</v>
      </c>
      <c r="F116" s="13">
        <v>42870.717523148145</v>
      </c>
      <c r="G116" s="7">
        <v>1</v>
      </c>
      <c r="H116" s="21" t="s">
        <v>448</v>
      </c>
      <c r="I116" s="13">
        <v>42870.746458333335</v>
      </c>
      <c r="J116" s="7">
        <v>0</v>
      </c>
      <c r="K116" s="92" t="str">
        <f t="shared" si="24"/>
        <v>4041/4042</v>
      </c>
      <c r="L116" s="21" t="str">
        <f>VLOOKUP(A116,'Trips&amp;Operators'!$C$1:$G$99999,5,FALSE)</f>
        <v>PERKINS DARREN</v>
      </c>
      <c r="M116" s="6">
        <f t="shared" si="25"/>
        <v>2.8935185189766344E-2</v>
      </c>
      <c r="N116" s="7">
        <f t="shared" si="41"/>
        <v>41.666666673263535</v>
      </c>
      <c r="O116" s="7"/>
      <c r="P116" s="7"/>
      <c r="Q116" s="22"/>
      <c r="R116" s="190"/>
      <c r="S116" s="196">
        <f t="shared" si="42"/>
        <v>1</v>
      </c>
      <c r="T116" s="190" t="str">
        <f t="shared" si="26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27"/>
        <v>https://d0f6bd738d7f1b3e5a7ca70fe4ff75f0.us-east-1.aws.found.io/app/kibana#/discover/Steve-Slow-Train-Analysis-(2080s-and-2083s)?_g=(refreshInterval:(display:Off,pause:!f,section:0,value:0),time:(from:'2017-05-15T16:00:42-0600',mode:absolute,to:'2017-05-15T18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2" t="str">
        <f t="shared" si="28"/>
        <v>N</v>
      </c>
      <c r="X116" s="192">
        <f t="shared" si="43"/>
        <v>1</v>
      </c>
      <c r="Y116" s="192">
        <f t="shared" si="30"/>
        <v>23.2849</v>
      </c>
      <c r="Z116" s="192">
        <f t="shared" si="31"/>
        <v>1.34E-2</v>
      </c>
      <c r="AA116" s="192">
        <f t="shared" si="32"/>
        <v>23.2715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33"/>
        <v>0202-15</v>
      </c>
      <c r="AE116" s="80" t="str">
        <f t="shared" si="34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116" s="77" t="str">
        <f t="shared" si="35"/>
        <v>"C:\Program Files (x86)\AstroGrep\AstroGrep.exe" /e /r /s /spath="%USERPROFILE%\AppData\Local\Temp\OnboardLogs" /stypes="app*4041*20170515*" /stext=" 23:.+((SYSTEM_STATE.+slice.+state.+changed )|(ment ac)|(multiple cpu faults)|(system.+state.+changed )|(\[timeout)|(PRM\|1\|D)|(kpr)|(kdp)|(train st.+moving)|(\|lc)|(penalty))"</v>
      </c>
      <c r="AG116" s="1" t="str">
        <f t="shared" si="36"/>
        <v>EC</v>
      </c>
      <c r="AH116" s="81" t="str">
        <f t="shared" si="37"/>
        <v>"%USERPROFILE%\Documents\GitHub\eaglep3\Utilities\RefineRTDCRunTimes.py" --tripid 202-15 --locoid 4041 --swversion DE.1.0.9.0 --startMP 204:232849 --initTime 2017-05-15T17:00:42 --startdatetime 2017-05-15T17:13:14 --delay 1 --endMP 204:134 --enddatetime 2017-05-15T17:54:54 --enforcementcount 0 &gt;&gt;C:\Users\stu\Documents\GitHub\eaglep3-reporting\EC\2017-05-15-refined-times.txt</v>
      </c>
      <c r="AI116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{"issue":{"subject":"","project_id":79,"tracker_id":40,"status_id":1,"priority_id":2,"assigned_to_id":23,"start_date":"2017-05-15","description":"","custom_fields":[{"id":1,"name":"Subdivision","value":"EC"},{"id":4,"name":"Milepost","value":"0.0134"},{"id":17,"name":"Train ID","value":"202-15"},{"id":16,"name":"Locomotive ID","value":"4041"},{"id":130,"name":"Impact","value":""},{"id":150,"name":"Time of Event (Mountain Time)","value":"17:54:54"},{"id":151,"name":"Denver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39"/>
        <v>start /low /b %USERPROFILE%\Documents\GitHub\eaglep3\Utilities\DownloadLogsFromS3.py --loco 4041 --day 2017-05-15</v>
      </c>
      <c r="AN116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757</v>
      </c>
      <c r="B117" s="7">
        <v>4022</v>
      </c>
      <c r="C117" s="21" t="s">
        <v>206</v>
      </c>
      <c r="D117" s="21" t="s">
        <v>533</v>
      </c>
      <c r="E117" s="13">
        <v>42870.684953703705</v>
      </c>
      <c r="F117" s="13">
        <v>42870.687777777777</v>
      </c>
      <c r="G117" s="7">
        <v>1</v>
      </c>
      <c r="H117" s="21" t="s">
        <v>891</v>
      </c>
      <c r="I117" s="13">
        <v>42870.713796296295</v>
      </c>
      <c r="J117" s="7">
        <v>0</v>
      </c>
      <c r="K117" s="92" t="str">
        <f t="shared" si="24"/>
        <v>4021/4022</v>
      </c>
      <c r="L117" s="21" t="str">
        <f>VLOOKUP(A117,'Trips&amp;Operators'!$C$1:$G$99999,5,FALSE)</f>
        <v>DAVIS MICHAEL</v>
      </c>
      <c r="M117" s="6">
        <f t="shared" si="25"/>
        <v>2.6018518517958E-2</v>
      </c>
      <c r="N117" s="7">
        <f t="shared" si="41"/>
        <v>37.46666666585952</v>
      </c>
      <c r="O117" s="7"/>
      <c r="P117" s="7"/>
      <c r="Q117" s="22"/>
      <c r="R117" s="190"/>
      <c r="S117" s="196">
        <f t="shared" si="42"/>
        <v>1</v>
      </c>
      <c r="T117" s="190" t="str">
        <f t="shared" si="26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27"/>
        <v>https://d0f6bd738d7f1b3e5a7ca70fe4ff75f0.us-east-1.aws.found.io/app/kibana#/discover/Steve-Slow-Train-Analysis-(2080s-and-2083s)?_g=(refreshInterval:(display:Off,pause:!f,section:0,value:0),time:(from:'2017-05-15T15:26:20-0600',mode:absolute,to:'2017-05-15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7" s="192" t="str">
        <f t="shared" si="28"/>
        <v>N</v>
      </c>
      <c r="X117" s="192">
        <f t="shared" si="43"/>
        <v>1</v>
      </c>
      <c r="Y117" s="192">
        <f t="shared" si="30"/>
        <v>4.6699999999999998E-2</v>
      </c>
      <c r="Z117" s="192">
        <f t="shared" si="31"/>
        <v>23.332999999999998</v>
      </c>
      <c r="AA117" s="192">
        <f t="shared" si="32"/>
        <v>23.286299999999997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33"/>
        <v>0203-15</v>
      </c>
      <c r="AE117" s="80" t="str">
        <f t="shared" si="3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117" s="77" t="str">
        <f t="shared" si="35"/>
        <v>"C:\Program Files (x86)\AstroGrep\AstroGrep.exe" /e /r /s /spath="%USERPROFILE%\AppData\Local\Temp\OnboardLogs" /stypes="app*4022*20170515*" /stext=" 23:.+((SYSTEM_STATE.+slice.+state.+changed )|(ment ac)|(multiple cpu faults)|(system.+state.+changed )|(\[timeout)|(PRM\|1\|D)|(kpr)|(kdp)|(train st.+moving)|(\|lc)|(penalty))"</v>
      </c>
      <c r="AG117" s="1" t="str">
        <f t="shared" si="36"/>
        <v>EC</v>
      </c>
      <c r="AH117" s="81" t="str">
        <f t="shared" si="37"/>
        <v>"%USERPROFILE%\Documents\GitHub\eaglep3\Utilities\RefineRTDCRunTimes.py" --tripid 203-15 --locoid 4022 --swversion DE.1.0.9.0 --startMP 204:467 --initTime 2017-05-15T16:26:20 --startdatetime 2017-05-15T16:30:24 --delay 1 --endMP 204:233330 --enddatetime 2017-05-15T17:07:52 --enforcementcount 0 &gt;&gt;C:\Users\stu\Documents\GitHub\eaglep3-reporting\EC\2017-05-15-refined-times.txt</v>
      </c>
      <c r="AI117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{"issue":{"subject":"","project_id":79,"tracker_id":40,"status_id":1,"priority_id":2,"assigned_to_id":23,"start_date":"2017-05-15","description":"","custom_fields":[{"id":1,"name":"Subdivision","value":"EC"},{"id":4,"name":"Milepost","value":"23.333"},{"id":17,"name":"Train ID","value":"203-15"},{"id":16,"name":"Locomotive ID","value":"4022"},{"id":130,"name":"Impact","value":""},{"id":150,"name":"Time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39"/>
        <v>start /low /b %USERPROFILE%\Documents\GitHub\eaglep3\Utilities\DownloadLogsFromS3.py --loco 4022 --day 2017-05-15</v>
      </c>
      <c r="AN117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766</v>
      </c>
      <c r="B118" s="7">
        <v>4021</v>
      </c>
      <c r="C118" s="21" t="s">
        <v>206</v>
      </c>
      <c r="D118" s="21" t="s">
        <v>549</v>
      </c>
      <c r="E118" s="13">
        <v>42870.723715277774</v>
      </c>
      <c r="F118" s="13">
        <v>42870.727002314816</v>
      </c>
      <c r="G118" s="7">
        <v>1</v>
      </c>
      <c r="H118" s="21" t="s">
        <v>365</v>
      </c>
      <c r="I118" s="13">
        <v>42870.75545138889</v>
      </c>
      <c r="J118" s="7">
        <v>0</v>
      </c>
      <c r="K118" s="92" t="str">
        <f t="shared" si="24"/>
        <v>4021/4022</v>
      </c>
      <c r="L118" s="21" t="str">
        <f>VLOOKUP(A118,'Trips&amp;Operators'!$C$1:$G$99999,5,FALSE)</f>
        <v>DAVIS MICHAEL</v>
      </c>
      <c r="M118" s="6">
        <f t="shared" si="25"/>
        <v>2.8449074074160308E-2</v>
      </c>
      <c r="N118" s="7">
        <f t="shared" si="41"/>
        <v>40.966666666790843</v>
      </c>
      <c r="O118" s="7"/>
      <c r="P118" s="7"/>
      <c r="Q118" s="22"/>
      <c r="R118" s="190"/>
      <c r="S118" s="196">
        <f t="shared" si="42"/>
        <v>1</v>
      </c>
      <c r="T118" s="190" t="str">
        <f t="shared" si="26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27"/>
        <v>https://d0f6bd738d7f1b3e5a7ca70fe4ff75f0.us-east-1.aws.found.io/app/kibana#/discover/Steve-Slow-Train-Analysis-(2080s-and-2083s)?_g=(refreshInterval:(display:Off,pause:!f,section:0,value:0),time:(from:'2017-05-15T16:22:09-0600',mode:absolute,to:'2017-05-15T19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8" s="192" t="str">
        <f t="shared" si="28"/>
        <v>N</v>
      </c>
      <c r="X118" s="192">
        <f t="shared" si="43"/>
        <v>1</v>
      </c>
      <c r="Y118" s="192">
        <f t="shared" si="30"/>
        <v>23.301100000000002</v>
      </c>
      <c r="Z118" s="192">
        <f t="shared" si="31"/>
        <v>1.5599999999999999E-2</v>
      </c>
      <c r="AA118" s="192">
        <f t="shared" si="32"/>
        <v>23.285500000000003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33"/>
        <v>0204-15</v>
      </c>
      <c r="AE118" s="80" t="str">
        <f t="shared" si="3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118" s="77" t="str">
        <f t="shared" si="35"/>
        <v>"C:\Program Files (x86)\AstroGrep\AstroGrep.exe" /e /r /s /spath="%USERPROFILE%\AppData\Local\Temp\OnboardLogs" /stypes="app*4021*20170516*" /stext=" 00:.+((SYSTEM_STATE.+slice.+state.+changed )|(ment ac)|(multiple cpu faults)|(system.+state.+changed )|(\[timeout)|(PRM\|1\|D)|(kpr)|(kdp)|(train st.+moving)|(\|lc)|(penalty))"</v>
      </c>
      <c r="AG118" s="1" t="str">
        <f t="shared" si="36"/>
        <v>EC</v>
      </c>
      <c r="AH118" s="81" t="str">
        <f t="shared" si="37"/>
        <v>"%USERPROFILE%\Documents\GitHub\eaglep3\Utilities\RefineRTDCRunTimes.py" --tripid 204-15 --locoid 4021 --swversion DE.1.0.9.0 --startMP 204:233011 --initTime 2017-05-15T17:22:09 --startdatetime 2017-05-15T17:26:53 --delay 1 --endMP 204:156 --enddatetime 2017-05-15T18:07:51 --enforcementcount 0 &gt;&gt;C:\Users\stu\Documents\GitHub\eaglep3-reporting\EC\2017-05-15-refined-times.txt</v>
      </c>
      <c r="AI118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{"issue":{"subject":"","project_id":79,"tracker_id":40,"status_id":1,"priority_id":2,"assigned_to_id":23,"start_date":"2017-05-15","description":"","custom_fields":[{"id":1,"name":"Subdivision","value":"EC"},{"id":4,"name":"Milepost","value":"0.0156"},{"id":17,"name":"Train ID","value":"204-15"},{"id":16,"name":"Locomotive ID","value":"4021"},{"id":130,"name":"Impact","value":""},{"id":150,"name":"Time of Event (Mountain Time)","value":"18:07:51"},{"id":151,"name":"Denver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39"/>
        <v>start /low /b %USERPROFILE%\Documents\GitHub\eaglep3\Utilities\DownloadLogsFromS3.py --loco 4021 --day 2017-05-15</v>
      </c>
      <c r="AN118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615</v>
      </c>
      <c r="B119" s="7">
        <v>4016</v>
      </c>
      <c r="C119" s="21" t="s">
        <v>206</v>
      </c>
      <c r="D119" s="21" t="s">
        <v>892</v>
      </c>
      <c r="E119" s="13">
        <v>42870.695856481485</v>
      </c>
      <c r="F119" s="13">
        <v>42870.700960648152</v>
      </c>
      <c r="G119" s="7">
        <v>1</v>
      </c>
      <c r="H119" s="21" t="s">
        <v>893</v>
      </c>
      <c r="I119" s="13">
        <v>42870.727372685185</v>
      </c>
      <c r="J119" s="7">
        <v>0</v>
      </c>
      <c r="K119" s="92" t="str">
        <f t="shared" si="24"/>
        <v>4015/4016</v>
      </c>
      <c r="L119" s="21" t="str">
        <f>VLOOKUP(A119,'Trips&amp;Operators'!$C$1:$G$99999,5,FALSE)</f>
        <v>CLARK KATHLEEN</v>
      </c>
      <c r="M119" s="6">
        <f t="shared" si="25"/>
        <v>2.6412037033878732E-2</v>
      </c>
      <c r="N119" s="7">
        <f t="shared" si="41"/>
        <v>38.033333328785375</v>
      </c>
      <c r="O119" s="7"/>
      <c r="P119" s="7"/>
      <c r="Q119" s="22"/>
      <c r="R119" s="190"/>
      <c r="S119" s="196">
        <f t="shared" si="42"/>
        <v>1</v>
      </c>
      <c r="T119" s="190" t="str">
        <f t="shared" si="26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27"/>
        <v>https://d0f6bd738d7f1b3e5a7ca70fe4ff75f0.us-east-1.aws.found.io/app/kibana#/discover/Steve-Slow-Train-Analysis-(2080s-and-2083s)?_g=(refreshInterval:(display:Off,pause:!f,section:0,value:0),time:(from:'2017-05-15T15:42:02-0600',mode:absolute,to:'2017-05-15T18:27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192" t="str">
        <f t="shared" si="28"/>
        <v>N</v>
      </c>
      <c r="X119" s="192">
        <f t="shared" si="43"/>
        <v>1</v>
      </c>
      <c r="Y119" s="192">
        <f t="shared" si="30"/>
        <v>5.0599999999999999E-2</v>
      </c>
      <c r="Z119" s="192">
        <f t="shared" si="31"/>
        <v>23.3278</v>
      </c>
      <c r="AA119" s="192">
        <f t="shared" si="32"/>
        <v>23.277200000000001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33"/>
        <v>0205-15</v>
      </c>
      <c r="AE119" s="80" t="str">
        <f t="shared" si="34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119" s="77" t="str">
        <f t="shared" si="35"/>
        <v>"C:\Program Files (x86)\AstroGrep\AstroGrep.exe" /e /r /s /spath="%USERPROFILE%\AppData\Local\Temp\OnboardLogs" /stypes="app*4016*20170515*" /stext=" 23:.+((SYSTEM_STATE.+slice.+state.+changed )|(ment ac)|(multiple cpu faults)|(system.+state.+changed )|(\[timeout)|(PRM\|1\|D)|(kpr)|(kdp)|(train st.+moving)|(\|lc)|(penalty))"</v>
      </c>
      <c r="AG119" s="1" t="str">
        <f t="shared" si="36"/>
        <v>EC</v>
      </c>
      <c r="AH119" s="81" t="str">
        <f t="shared" si="37"/>
        <v>"%USERPROFILE%\Documents\GitHub\eaglep3\Utilities\RefineRTDCRunTimes.py" --tripid 205-15 --locoid 4016 --swversion DE.1.0.9.0 --startMP 204:506 --initTime 2017-05-15T16:42:02 --startdatetime 2017-05-15T16:49:23 --delay 1 --endMP 204:233278 --enddatetime 2017-05-15T17:27:25 --enforcementcount 0 &gt;&gt;C:\Users\stu\Documents\GitHub\eaglep3-reporting\EC\2017-05-15-refined-times.txt</v>
      </c>
      <c r="AI11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{"issue":{"subject":"","project_id":79,"tracker_id":40,"status_id":1,"priority_id":2,"assigned_to_id":23,"start_date":"2017-05-15","description":"","custom_fields":[{"id":1,"name":"Subdivision","value":"EC"},{"id":4,"name":"Milepost","value":"23.3278"},{"id":17,"name":"Train ID","value":"205-15"},{"id":16,"name":"Locomotive ID","value":"4016"},{"id":130,"name":"Impact","value":""},{"id":150,"name":"Time of Event (Mountain Time)","value":"17:27:25"},{"id":151,"name":"Denver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39"/>
        <v>start /low /b %USERPROFILE%\Documents\GitHub\eaglep3\Utilities\DownloadLogsFromS3.py --loco 4016 --day 2017-05-15</v>
      </c>
      <c r="AN119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23:27:25"},{"id":29,"name":"Sharepoint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770</v>
      </c>
      <c r="B120" s="7">
        <v>4015</v>
      </c>
      <c r="C120" s="21" t="s">
        <v>206</v>
      </c>
      <c r="D120" s="21" t="s">
        <v>894</v>
      </c>
      <c r="E120" s="13">
        <v>42870.733391203707</v>
      </c>
      <c r="F120" s="13">
        <v>42870.736979166664</v>
      </c>
      <c r="G120" s="7">
        <v>1</v>
      </c>
      <c r="H120" s="21" t="s">
        <v>895</v>
      </c>
      <c r="I120" s="13">
        <v>42870.766759259262</v>
      </c>
      <c r="J120" s="7">
        <v>0</v>
      </c>
      <c r="K120" s="92" t="str">
        <f t="shared" si="24"/>
        <v>4015/4016</v>
      </c>
      <c r="L120" s="21" t="str">
        <f>VLOOKUP(A120,'Trips&amp;Operators'!$C$1:$G$99999,5,FALSE)</f>
        <v>CLARK KATHLEEN</v>
      </c>
      <c r="M120" s="6">
        <f t="shared" si="25"/>
        <v>2.9780092598230112E-2</v>
      </c>
      <c r="N120" s="7">
        <f t="shared" si="41"/>
        <v>42.883333341451362</v>
      </c>
      <c r="O120" s="7"/>
      <c r="P120" s="7"/>
      <c r="Q120" s="22"/>
      <c r="R120" s="190"/>
      <c r="S120" s="196">
        <f t="shared" si="42"/>
        <v>1</v>
      </c>
      <c r="T120" s="190" t="str">
        <f t="shared" si="26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27"/>
        <v>https://d0f6bd738d7f1b3e5a7ca70fe4ff75f0.us-east-1.aws.found.io/app/kibana#/discover/Steve-Slow-Train-Analysis-(2080s-and-2083s)?_g=(refreshInterval:(display:Off,pause:!f,section:0,value:0),time:(from:'2017-05-15T16:36:05-0600',mode:absolute,to:'2017-05-15T19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192" t="str">
        <f t="shared" si="28"/>
        <v>N</v>
      </c>
      <c r="X120" s="192">
        <f t="shared" si="43"/>
        <v>1</v>
      </c>
      <c r="Y120" s="192">
        <f t="shared" si="30"/>
        <v>23.296399999999998</v>
      </c>
      <c r="Z120" s="192">
        <f t="shared" si="31"/>
        <v>1.6299999999999999E-2</v>
      </c>
      <c r="AA120" s="192">
        <f t="shared" si="32"/>
        <v>23.280099999999997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33"/>
        <v>0206-15</v>
      </c>
      <c r="AE120" s="80" t="str">
        <f t="shared" si="3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120" s="77" t="str">
        <f t="shared" si="35"/>
        <v>"C:\Program Files (x86)\AstroGrep\AstroGrep.exe" /e /r /s /spath="%USERPROFILE%\AppData\Local\Temp\OnboardLogs" /stypes="app*4015*20170516*" /stext=" 00:.+((SYSTEM_STATE.+slice.+state.+changed )|(ment ac)|(multiple cpu faults)|(system.+state.+changed )|(\[timeout)|(PRM\|1\|D)|(kpr)|(kdp)|(train st.+moving)|(\|lc)|(penalty))"</v>
      </c>
      <c r="AG120" s="1" t="str">
        <f t="shared" si="36"/>
        <v>EC</v>
      </c>
      <c r="AH120" s="81" t="str">
        <f t="shared" si="37"/>
        <v>"%USERPROFILE%\Documents\GitHub\eaglep3\Utilities\RefineRTDCRunTimes.py" --tripid 206-15 --locoid 4015 --swversion DE.1.0.9.0 --startMP 204:232964 --initTime 2017-05-15T17:36:05 --startdatetime 2017-05-15T17:41:15 --delay 1 --endMP 204:163 --enddatetime 2017-05-15T18:24:08 --enforcementcount 0 &gt;&gt;C:\Users\stu\Documents\GitHub\eaglep3-reporting\EC\2017-05-15-refined-times.txt</v>
      </c>
      <c r="AI12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{"issue":{"subject":"","project_id":79,"tracker_id":40,"status_id":1,"priority_id":2,"assigned_to_id":23,"start_date":"2017-05-15","description":"","custom_fields":[{"id":1,"name":"Subdivision","value":"EC"},{"id":4,"name":"Milepost","value":"0.0163"},{"id":17,"name":"Train ID","value":"206-15"},{"id":16,"name":"Locomotive ID","value":"4015"},{"id":130,"name":"Impact","value":""},{"id":150,"name":"Time of Event (Mountain Time)","value":"18:24:08"},{"id":151,"name":"Denver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39"/>
        <v>start /low /b %USERPROFILE%\Documents\GitHub\eaglep3\Utilities\DownloadLogsFromS3.py --loco 4015 --day 2017-05-15</v>
      </c>
      <c r="AN120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616</v>
      </c>
      <c r="B121" s="7">
        <v>4026</v>
      </c>
      <c r="C121" s="21" t="s">
        <v>206</v>
      </c>
      <c r="D121" s="21" t="s">
        <v>449</v>
      </c>
      <c r="E121" s="13">
        <v>42870.702581018515</v>
      </c>
      <c r="F121" s="13">
        <v>42870.708645833336</v>
      </c>
      <c r="G121" s="7">
        <v>1</v>
      </c>
      <c r="H121" s="21" t="s">
        <v>567</v>
      </c>
      <c r="I121" s="13">
        <v>42870.734016203707</v>
      </c>
      <c r="J121" s="7">
        <v>0</v>
      </c>
      <c r="K121" s="92" t="str">
        <f t="shared" si="24"/>
        <v>4025/4026</v>
      </c>
      <c r="L121" s="21" t="str">
        <f>VLOOKUP(A121,'Trips&amp;Operators'!$C$1:$G$99999,5,FALSE)</f>
        <v>ROMERO CHAD</v>
      </c>
      <c r="M121" s="6">
        <f t="shared" si="25"/>
        <v>2.5370370371092577E-2</v>
      </c>
      <c r="N121" s="7">
        <f t="shared" si="41"/>
        <v>36.53333333437331</v>
      </c>
      <c r="O121" s="7"/>
      <c r="P121" s="7"/>
      <c r="Q121" s="22"/>
      <c r="R121" s="190"/>
      <c r="S121" s="196">
        <f t="shared" si="42"/>
        <v>1</v>
      </c>
      <c r="T121" s="190" t="str">
        <f t="shared" si="26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27"/>
        <v>https://d0f6bd738d7f1b3e5a7ca70fe4ff75f0.us-east-1.aws.found.io/app/kibana#/discover/Steve-Slow-Train-Analysis-(2080s-and-2083s)?_g=(refreshInterval:(display:Off,pause:!f,section:0,value:0),time:(from:'2017-05-15T15:51:43-0600',mode:absolute,to:'2017-05-15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1" s="192" t="str">
        <f t="shared" si="28"/>
        <v>N</v>
      </c>
      <c r="X121" s="192">
        <f t="shared" si="43"/>
        <v>1</v>
      </c>
      <c r="Y121" s="192">
        <f t="shared" si="30"/>
        <v>4.2700000000000002E-2</v>
      </c>
      <c r="Z121" s="192">
        <f t="shared" si="31"/>
        <v>23.337</v>
      </c>
      <c r="AA121" s="192">
        <f t="shared" si="32"/>
        <v>23.2943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33"/>
        <v>0207-15</v>
      </c>
      <c r="AE121" s="80" t="str">
        <f t="shared" si="34"/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AF121" s="77" t="str">
        <f t="shared" si="35"/>
        <v>"C:\Program Files (x86)\AstroGrep\AstroGrep.exe" /e /r /s /spath="%USERPROFILE%\AppData\Local\Temp\OnboardLogs" /stypes="app*4026*20170515*" /stext=" 23:.+((SYSTEM_STATE.+slice.+state.+changed )|(ment ac)|(multiple cpu faults)|(system.+state.+changed )|(\[timeout)|(PRM\|1\|D)|(kpr)|(kdp)|(train st.+moving)|(\|lc)|(penalty))"</v>
      </c>
      <c r="AG121" s="1" t="str">
        <f t="shared" si="36"/>
        <v>EC</v>
      </c>
      <c r="AH121" s="81" t="str">
        <f t="shared" si="37"/>
        <v>"%USERPROFILE%\Documents\GitHub\eaglep3\Utilities\RefineRTDCRunTimes.py" --tripid 207-15 --locoid 4026 --swversion DE.1.0.9.0 --startMP 204:427 --initTime 2017-05-15T16:51:43 --startdatetime 2017-05-15T17:00:27 --delay 1 --endMP 204:233370 --enddatetime 2017-05-15T17:36:59 --enforcementcount 0 &gt;&gt;C:\Users\stu\Documents\GitHub\eaglep3-reporting\EC\2017-05-15-refined-times.txt</v>
      </c>
      <c r="AI12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{"issue":{"subject":"","project_id":79,"tracker_id":40,"status_id":1,"priority_id":2,"assigned_to_id":23,"start_date":"2017-05-15","description":"","custom_fields":[{"id":1,"name":"Subdivision","value":"EC"},{"id":4,"name":"Milepost","value":"23.337"},{"id":17,"name":"Train ID","value":"207-15"},{"id":16,"name":"Locomotive ID","value":"4026"},{"id":130,"name":"Impact","value":""},{"id":150,"name":"Time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39"/>
        <v>start /low /b %USERPROFILE%\Documents\GitHub\eaglep3\Utilities\DownloadLogsFromS3.py --loco 4026 --day 2017-05-15</v>
      </c>
      <c r="AN121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619</v>
      </c>
      <c r="B122" s="7">
        <v>4025</v>
      </c>
      <c r="C122" s="21" t="s">
        <v>206</v>
      </c>
      <c r="D122" s="21" t="s">
        <v>896</v>
      </c>
      <c r="E122" s="13">
        <v>42870.735046296293</v>
      </c>
      <c r="F122" s="13">
        <v>42870.747418981482</v>
      </c>
      <c r="G122" s="7">
        <v>1</v>
      </c>
      <c r="H122" s="21" t="s">
        <v>888</v>
      </c>
      <c r="I122" s="13">
        <v>42870.773819444446</v>
      </c>
      <c r="J122" s="7">
        <v>0</v>
      </c>
      <c r="K122" s="92" t="str">
        <f t="shared" si="24"/>
        <v>4025/4026</v>
      </c>
      <c r="L122" s="21" t="str">
        <f>VLOOKUP(A122,'Trips&amp;Operators'!$C$1:$G$99999,5,FALSE)</f>
        <v>ROMERO CHAD</v>
      </c>
      <c r="M122" s="6">
        <f t="shared" si="25"/>
        <v>2.6400462964375038E-2</v>
      </c>
      <c r="N122" s="7">
        <f t="shared" si="41"/>
        <v>38.016666668700054</v>
      </c>
      <c r="O122" s="7"/>
      <c r="P122" s="7"/>
      <c r="Q122" s="22"/>
      <c r="R122" s="190"/>
      <c r="S122" s="196">
        <f t="shared" si="42"/>
        <v>1</v>
      </c>
      <c r="T122" s="190" t="str">
        <f t="shared" si="26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27"/>
        <v>https://d0f6bd738d7f1b3e5a7ca70fe4ff75f0.us-east-1.aws.found.io/app/kibana#/discover/Steve-Slow-Train-Analysis-(2080s-and-2083s)?_g=(refreshInterval:(display:Off,pause:!f,section:0,value:0),time:(from:'2017-05-15T16:38:28-0600',mode:absolute,to:'2017-05-15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2" s="192" t="str">
        <f t="shared" si="28"/>
        <v>N</v>
      </c>
      <c r="X122" s="192">
        <f t="shared" si="43"/>
        <v>1</v>
      </c>
      <c r="Y122" s="192">
        <f t="shared" si="30"/>
        <v>23.304400000000001</v>
      </c>
      <c r="Z122" s="192">
        <f t="shared" si="31"/>
        <v>1.2500000000000001E-2</v>
      </c>
      <c r="AA122" s="192">
        <f t="shared" si="32"/>
        <v>23.291900000000002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 t="shared" si="33"/>
        <v>0208-15</v>
      </c>
      <c r="AE122" s="80" t="str">
        <f t="shared" si="34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122" s="77" t="str">
        <f t="shared" si="35"/>
        <v>"C:\Program Files (x86)\AstroGrep\AstroGrep.exe" /e /r /s /spath="%USERPROFILE%\AppData\Local\Temp\OnboardLogs" /stypes="app*4025*20170516*" /stext=" 00:.+((SYSTEM_STATE.+slice.+state.+changed )|(ment ac)|(multiple cpu faults)|(system.+state.+changed )|(\[timeout)|(PRM\|1\|D)|(kpr)|(kdp)|(train st.+moving)|(\|lc)|(penalty))"</v>
      </c>
      <c r="AG122" s="1" t="str">
        <f t="shared" si="36"/>
        <v>EC</v>
      </c>
      <c r="AH122" s="81" t="str">
        <f t="shared" si="37"/>
        <v>"%USERPROFILE%\Documents\GitHub\eaglep3\Utilities\RefineRTDCRunTimes.py" --tripid 208-15 --locoid 4025 --swversion DE.1.0.9.0 --startMP 204:233044 --initTime 2017-05-15T17:38:28 --startdatetime 2017-05-15T17:56:17 --delay 1 --endMP 204:125 --enddatetime 2017-05-15T18:34:18 --enforcementcount 0 &gt;&gt;C:\Users\stu\Documents\GitHub\eaglep3-reporting\EC\2017-05-15-refined-times.txt</v>
      </c>
      <c r="AI122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{"issue":{"subject":"","project_id":79,"tracker_id":40,"status_id":1,"priority_id":2,"assigned_to_id":23,"start_date":"2017-05-15","description":"","custom_fields":[{"id":1,"name":"Subdivision","value":"EC"},{"id":4,"name":"Milepost","value":"0.0125"},{"id":17,"name":"Train ID","value":"208-15"},{"id":16,"name":"Locomotive ID","value":"4025"},{"id":130,"name":"Impact","value":""},{"id":150,"name":"Time of Event (Mountain Time)","value":"18:34:18"},{"id":151,"name":"Denver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39"/>
        <v>start /low /b %USERPROFILE%\Documents\GitHub\eaglep3\Utilities\DownloadLogsFromS3.py --loco 4025 --day 2017-05-15</v>
      </c>
      <c r="AN122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765</v>
      </c>
      <c r="B123" s="7">
        <v>4052</v>
      </c>
      <c r="C123" s="21" t="s">
        <v>206</v>
      </c>
      <c r="D123" s="21" t="s">
        <v>366</v>
      </c>
      <c r="E123" s="13">
        <v>42870.716192129628</v>
      </c>
      <c r="F123" s="13">
        <v>42870.719074074077</v>
      </c>
      <c r="G123" s="7">
        <v>2</v>
      </c>
      <c r="H123" s="21" t="s">
        <v>897</v>
      </c>
      <c r="I123" s="13">
        <v>42870.746516203704</v>
      </c>
      <c r="J123" s="7">
        <v>0</v>
      </c>
      <c r="K123" s="92" t="str">
        <f t="shared" si="24"/>
        <v>4051/4052</v>
      </c>
      <c r="L123" s="21" t="str">
        <f>VLOOKUP(A123,'Trips&amp;Operators'!$C$1:$G$99999,5,FALSE)</f>
        <v>CHANDLER KELVIN</v>
      </c>
      <c r="M123" s="6">
        <f t="shared" si="25"/>
        <v>2.7442129627161194E-2</v>
      </c>
      <c r="N123" s="7">
        <f t="shared" si="41"/>
        <v>39.516666663112119</v>
      </c>
      <c r="O123" s="7"/>
      <c r="P123" s="7"/>
      <c r="Q123" s="22"/>
      <c r="R123" s="190"/>
      <c r="S123" s="196">
        <f t="shared" si="42"/>
        <v>1</v>
      </c>
      <c r="T123" s="190" t="str">
        <f t="shared" si="26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27"/>
        <v>https://d0f6bd738d7f1b3e5a7ca70fe4ff75f0.us-east-1.aws.found.io/app/kibana#/discover/Steve-Slow-Train-Analysis-(2080s-and-2083s)?_g=(refreshInterval:(display:Off,pause:!f,section:0,value:0),time:(from:'2017-05-15T16:11:19-0600',mode:absolute,to:'2017-05-15T18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3" s="192" t="str">
        <f t="shared" si="28"/>
        <v>N</v>
      </c>
      <c r="X123" s="192">
        <f t="shared" si="43"/>
        <v>1</v>
      </c>
      <c r="Y123" s="192">
        <f t="shared" si="30"/>
        <v>4.53E-2</v>
      </c>
      <c r="Z123" s="192">
        <f t="shared" si="31"/>
        <v>23.328499999999998</v>
      </c>
      <c r="AA123" s="192">
        <f t="shared" si="32"/>
        <v>23.283199999999997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33"/>
        <v>0209-15</v>
      </c>
      <c r="AE123" s="80" t="str">
        <f t="shared" si="3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23" s="77" t="str">
        <f t="shared" si="35"/>
        <v>"C:\Program Files (x86)\AstroGrep\AstroGrep.exe" /e /r /s /spath="%USERPROFILE%\AppData\Local\Temp\OnboardLogs" /stypes="app*4052*20170515*" /stext=" 23:.+((SYSTEM_STATE.+slice.+state.+changed )|(ment ac)|(multiple cpu faults)|(system.+state.+changed )|(\[timeout)|(PRM\|1\|D)|(kpr)|(kdp)|(train st.+moving)|(\|lc)|(penalty))"</v>
      </c>
      <c r="AG123" s="1" t="str">
        <f t="shared" si="36"/>
        <v>EC</v>
      </c>
      <c r="AH123" s="81" t="str">
        <f t="shared" si="37"/>
        <v>"%USERPROFILE%\Documents\GitHub\eaglep3\Utilities\RefineRTDCRunTimes.py" --tripid 209-15 --locoid 4052 --swversion DE.1.0.9.0 --startMP 204:453 --initTime 2017-05-15T17:11:19 --startdatetime 2017-05-15T17:15:28 --delay 2 --endMP 204:233285 --enddatetime 2017-05-15T17:54:59 --enforcementcount 0 &gt;&gt;C:\Users\stu\Documents\GitHub\eaglep3-reporting\EC\2017-05-15-refined-times.txt</v>
      </c>
      <c r="AI123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{"issue":{"subject":"","project_id":79,"tracker_id":40,"status_id":1,"priority_id":2,"assigned_to_id":23,"start_date":"2017-05-15","description":"","custom_fields":[{"id":1,"name":"Subdivision","value":"EC"},{"id":4,"name":"Milepost","value":"23.3285"},{"id":17,"name":"Train ID","value":"209-15"},{"id":16,"name":"Locomotive ID","value":"4052"},{"id":130,"name":"Impact","value":""},{"id":150,"name":"Time of Event (Mountain Time)","value":"17:54:59"},{"id":151,"name":"Denver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39"/>
        <v>start /low /b %USERPROFILE%\Documents\GitHub\eaglep3\Utilities\DownloadLogsFromS3.py --loco 4052 --day 2017-05-15</v>
      </c>
      <c r="AN123" s="154" t="str">
        <f t="shared" si="4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777</v>
      </c>
      <c r="B124" s="7">
        <v>4051</v>
      </c>
      <c r="C124" s="21" t="s">
        <v>206</v>
      </c>
      <c r="D124" s="21" t="s">
        <v>844</v>
      </c>
      <c r="E124" s="13">
        <v>42870.75509259259</v>
      </c>
      <c r="F124" s="13">
        <v>42870.757893518516</v>
      </c>
      <c r="G124" s="7">
        <v>1</v>
      </c>
      <c r="H124" s="21" t="s">
        <v>491</v>
      </c>
      <c r="I124" s="13">
        <v>42870.78570601852</v>
      </c>
      <c r="J124" s="7">
        <v>0</v>
      </c>
      <c r="K124" s="92" t="str">
        <f t="shared" si="24"/>
        <v>4051/4052</v>
      </c>
      <c r="L124" s="21" t="str">
        <f>VLOOKUP(A124,'Trips&amp;Operators'!$C$1:$G$99999,5,FALSE)</f>
        <v>CHANDLER KELVIN</v>
      </c>
      <c r="M124" s="6">
        <f t="shared" si="25"/>
        <v>2.7812500004074536E-2</v>
      </c>
      <c r="N124" s="7">
        <f t="shared" si="41"/>
        <v>40.050000005867332</v>
      </c>
      <c r="O124" s="7"/>
      <c r="P124" s="7"/>
      <c r="Q124" s="22"/>
      <c r="R124" s="190"/>
      <c r="S124" s="196">
        <f t="shared" si="42"/>
        <v>1</v>
      </c>
      <c r="T124" s="190" t="str">
        <f t="shared" si="26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27"/>
        <v>https://d0f6bd738d7f1b3e5a7ca70fe4ff75f0.us-east-1.aws.found.io/app/kibana#/discover/Steve-Slow-Train-Analysis-(2080s-and-2083s)?_g=(refreshInterval:(display:Off,pause:!f,section:0,value:0),time:(from:'2017-05-15T17:07:20-0600',mode:absolute,to:'2017-05-15T19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4" s="192" t="str">
        <f t="shared" si="28"/>
        <v>N</v>
      </c>
      <c r="X124" s="192">
        <f t="shared" si="43"/>
        <v>1</v>
      </c>
      <c r="Y124" s="192">
        <f t="shared" si="30"/>
        <v>23.297699999999999</v>
      </c>
      <c r="Z124" s="192">
        <f t="shared" si="31"/>
        <v>1.7399999999999999E-2</v>
      </c>
      <c r="AA124" s="192">
        <f t="shared" si="32"/>
        <v>23.2803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33"/>
        <v>0210-15</v>
      </c>
      <c r="AE124" s="80" t="str">
        <f t="shared" si="3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124" s="77" t="str">
        <f t="shared" si="35"/>
        <v>"C:\Program Files (x86)\AstroGrep\AstroGrep.exe" /e /r /s /spath="%USERPROFILE%\AppData\Local\Temp\OnboardLogs" /stypes="app*4051*20170516*" /stext=" 00:.+((SYSTEM_STATE.+slice.+state.+changed )|(ment ac)|(multiple cpu faults)|(system.+state.+changed )|(\[timeout)|(PRM\|1\|D)|(kpr)|(kdp)|(train st.+moving)|(\|lc)|(penalty))"</v>
      </c>
      <c r="AG124" s="1" t="str">
        <f t="shared" si="36"/>
        <v>EC</v>
      </c>
      <c r="AH124" s="81" t="str">
        <f t="shared" si="37"/>
        <v>"%USERPROFILE%\Documents\GitHub\eaglep3\Utilities\RefineRTDCRunTimes.py" --tripid 210-15 --locoid 4051 --swversion DE.1.0.9.0 --startMP 204:232977 --initTime 2017-05-15T18:07:20 --startdatetime 2017-05-15T18:11:22 --delay 1 --endMP 204:174 --enddatetime 2017-05-15T18:51:25 --enforcementcount 0 &gt;&gt;C:\Users\stu\Documents\GitHub\eaglep3-reporting\EC\2017-05-15-refined-times.txt</v>
      </c>
      <c r="AI124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{"issue":{"subject":"","project_id":79,"tracker_id":40,"status_id":1,"priority_id":2,"assigned_to_id":23,"start_date":"2017-05-15","description":"","custom_fields":[{"id":1,"name":"Subdivision","value":"EC"},{"id":4,"name":"Milepost","value":"0.0174"},{"id":17,"name":"Train ID","value":"210-15"},{"id":16,"name":"Locomotive ID","value":"4051"},{"id":130,"name":"Impact","value":""},{"id":150,"name":"Time of Event (Mountain Time)","value":"18:51:25"},{"id":151,"name":"Denver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39"/>
        <v>start /low /b %USERPROFILE%\Documents\GitHub\eaglep3\Utilities\DownloadLogsFromS3.py --loco 4051 --day 2017-05-15</v>
      </c>
      <c r="AN124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768</v>
      </c>
      <c r="B125" s="7">
        <v>4028</v>
      </c>
      <c r="C125" s="21" t="s">
        <v>206</v>
      </c>
      <c r="D125" s="21" t="s">
        <v>368</v>
      </c>
      <c r="E125" s="13">
        <v>42870.725868055553</v>
      </c>
      <c r="F125" s="13">
        <v>42870.729305555556</v>
      </c>
      <c r="G125" s="7">
        <v>1</v>
      </c>
      <c r="H125" s="21" t="s">
        <v>898</v>
      </c>
      <c r="I125" s="13">
        <v>42870.754062499997</v>
      </c>
      <c r="J125" s="7">
        <v>0</v>
      </c>
      <c r="K125" s="92" t="str">
        <f t="shared" si="24"/>
        <v>4027/4028</v>
      </c>
      <c r="L125" s="21" t="str">
        <f>VLOOKUP(A125,'Trips&amp;Operators'!$C$1:$G$99999,5,FALSE)</f>
        <v>LALONDE GREGORY</v>
      </c>
      <c r="M125" s="6">
        <f t="shared" si="25"/>
        <v>2.4756944440014195E-2</v>
      </c>
      <c r="N125" s="7">
        <f t="shared" si="41"/>
        <v>35.64999999362044</v>
      </c>
      <c r="O125" s="7"/>
      <c r="P125" s="7"/>
      <c r="Q125" s="22"/>
      <c r="R125" s="190"/>
      <c r="S125" s="196">
        <f t="shared" si="42"/>
        <v>1</v>
      </c>
      <c r="T125" s="190" t="str">
        <f t="shared" si="26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27"/>
        <v>https://d0f6bd738d7f1b3e5a7ca70fe4ff75f0.us-east-1.aws.found.io/app/kibana#/discover/Steve-Slow-Train-Analysis-(2080s-and-2083s)?_g=(refreshInterval:(display:Off,pause:!f,section:0,value:0),time:(from:'2017-05-15T16:25:15-0600',mode:absolute,to:'2017-05-15T19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5" s="192" t="str">
        <f t="shared" si="28"/>
        <v>N</v>
      </c>
      <c r="X125" s="192">
        <f t="shared" si="43"/>
        <v>1</v>
      </c>
      <c r="Y125" s="192">
        <f t="shared" si="30"/>
        <v>4.4699999999999997E-2</v>
      </c>
      <c r="Z125" s="192">
        <f t="shared" si="31"/>
        <v>23.337800000000001</v>
      </c>
      <c r="AA125" s="192">
        <f t="shared" si="32"/>
        <v>23.293100000000003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33"/>
        <v>0211-15</v>
      </c>
      <c r="AE125" s="80" t="str">
        <f t="shared" si="34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125" s="77" t="str">
        <f t="shared" si="35"/>
        <v>"C:\Program Files (x86)\AstroGrep\AstroGrep.exe" /e /r /s /spath="%USERPROFILE%\AppData\Local\Temp\OnboardLogs" /stypes="app*4028*20170516*" /stext=" 00:.+((SYSTEM_STATE.+slice.+state.+changed )|(ment ac)|(multiple cpu faults)|(system.+state.+changed )|(\[timeout)|(PRM\|1\|D)|(kpr)|(kdp)|(train st.+moving)|(\|lc)|(penalty))"</v>
      </c>
      <c r="AG125" s="1" t="str">
        <f t="shared" si="36"/>
        <v>EC</v>
      </c>
      <c r="AH125" s="81" t="str">
        <f t="shared" si="37"/>
        <v>"%USERPROFILE%\Documents\GitHub\eaglep3\Utilities\RefineRTDCRunTimes.py" --tripid 211-15 --locoid 4028 --swversion DE.1.0.9.0 --startMP 204:447 --initTime 2017-05-15T17:25:15 --startdatetime 2017-05-15T17:30:12 --delay 1 --endMP 204:233378 --enddatetime 2017-05-15T18:05:51 --enforcementcount 0 &gt;&gt;C:\Users\stu\Documents\GitHub\eaglep3-reporting\EC\2017-05-15-refined-times.txt</v>
      </c>
      <c r="AI125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{"issue":{"subject":"","project_id":79,"tracker_id":40,"status_id":1,"priority_id":2,"assigned_to_id":23,"start_date":"2017-05-15","description":"","custom_fields":[{"id":1,"name":"Subdivision","value":"EC"},{"id":4,"name":"Milepost","value":"23.3378"},{"id":17,"name":"Train ID","value":"211-15"},{"id":16,"name":"Locomotive ID","value":"4028"},{"id":130,"name":"Impact","value":""},{"id":150,"name":"Time of Event (Mountain Time)","value":"18:05:51"},{"id":151,"name":"Denver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39"/>
        <v>start /low /b %USERPROFILE%\Documents\GitHub\eaglep3\Utilities\DownloadLogsFromS3.py --loco 4028 --day 2017-05-15</v>
      </c>
      <c r="AN125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778</v>
      </c>
      <c r="B126" s="7">
        <v>4027</v>
      </c>
      <c r="C126" s="21" t="s">
        <v>206</v>
      </c>
      <c r="D126" s="21" t="s">
        <v>896</v>
      </c>
      <c r="E126" s="13">
        <v>42870.755312499998</v>
      </c>
      <c r="F126" s="13">
        <v>42870.768206018518</v>
      </c>
      <c r="G126" s="7">
        <v>0</v>
      </c>
      <c r="H126" s="21" t="s">
        <v>372</v>
      </c>
      <c r="I126" s="13">
        <v>42870.79451388889</v>
      </c>
      <c r="J126" s="7">
        <v>0</v>
      </c>
      <c r="K126" s="92" t="str">
        <f t="shared" si="24"/>
        <v>4027/4028</v>
      </c>
      <c r="L126" s="21" t="str">
        <f>VLOOKUP(A126,'Trips&amp;Operators'!$C$1:$G$99999,5,FALSE)</f>
        <v>LALONDE GREGORY</v>
      </c>
      <c r="M126" s="6">
        <f t="shared" si="25"/>
        <v>2.6307870371965691E-2</v>
      </c>
      <c r="N126" s="7">
        <f t="shared" si="41"/>
        <v>37.883333335630596</v>
      </c>
      <c r="O126" s="7"/>
      <c r="P126" s="7"/>
      <c r="Q126" s="22"/>
      <c r="R126" s="190"/>
      <c r="S126" s="196">
        <f t="shared" si="42"/>
        <v>1</v>
      </c>
      <c r="T126" s="190" t="str">
        <f t="shared" si="26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27"/>
        <v>https://d0f6bd738d7f1b3e5a7ca70fe4ff75f0.us-east-1.aws.found.io/app/kibana#/discover/Steve-Slow-Train-Analysis-(2080s-and-2083s)?_g=(refreshInterval:(display:Off,pause:!f,section:0,value:0),time:(from:'2017-05-15T17:07:39-0600',mode:absolute,to:'2017-05-15T20:04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6" s="192" t="str">
        <f t="shared" si="28"/>
        <v>N</v>
      </c>
      <c r="X126" s="192">
        <f t="shared" si="43"/>
        <v>1</v>
      </c>
      <c r="Y126" s="192">
        <f t="shared" si="30"/>
        <v>23.304400000000001</v>
      </c>
      <c r="Z126" s="192">
        <f t="shared" si="31"/>
        <v>1.47E-2</v>
      </c>
      <c r="AA126" s="192">
        <f t="shared" si="32"/>
        <v>23.2897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33"/>
        <v>0212-15</v>
      </c>
      <c r="AE126" s="80" t="str">
        <f t="shared" si="34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126" s="77" t="str">
        <f t="shared" si="35"/>
        <v>"C:\Program Files (x86)\AstroGrep\AstroGrep.exe" /e /r /s /spath="%USERPROFILE%\AppData\Local\Temp\OnboardLogs" /stypes="app*4027*20170516*" /stext=" 01:.+((SYSTEM_STATE.+slice.+state.+changed )|(ment ac)|(multiple cpu faults)|(system.+state.+changed )|(\[timeout)|(PRM\|1\|D)|(kpr)|(kdp)|(train st.+moving)|(\|lc)|(penalty))"</v>
      </c>
      <c r="AG126" s="1" t="str">
        <f t="shared" si="36"/>
        <v>EC</v>
      </c>
      <c r="AH126" s="81" t="str">
        <f t="shared" si="37"/>
        <v>"%USERPROFILE%\Documents\GitHub\eaglep3\Utilities\RefineRTDCRunTimes.py" --tripid 212-15 --locoid 4027 --swversion DE.1.0.9.0 --startMP 204:233044 --initTime 2017-05-15T18:07:39 --startdatetime 2017-05-15T18:26:13 --delay 0 --endMP 204:147 --enddatetime 2017-05-15T19:04:06 --enforcementcount 0 &gt;&gt;C:\Users\stu\Documents\GitHub\eaglep3-reporting\EC\2017-05-15-refined-times.txt</v>
      </c>
      <c r="AI126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{"issue":{"subject":"","project_id":79,"tracker_id":40,"status_id":1,"priority_id":2,"assigned_to_id":23,"start_date":"2017-05-15","description":"","custom_fields":[{"id":1,"name":"Subdivision","value":"EC"},{"id":4,"name":"Milepost","value":"0.0147"},{"id":17,"name":"Train ID","value":"212-15"},{"id":16,"name":"Locomotive ID","value":"4027"},{"id":130,"name":"Impact","value":""},{"id":150,"name":"Time of Event (Mountain Time)","value":"19:04:06"},{"id":151,"name":"Denver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39"/>
        <v>start /low /b %USERPROFILE%\Documents\GitHub\eaglep3\Utilities\DownloadLogsFromS3.py --loco 4027 --day 2017-05-15</v>
      </c>
      <c r="AN126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01:04:06"},{"id":29,"name":"Sharepoint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762</v>
      </c>
      <c r="B127" s="7">
        <v>4030</v>
      </c>
      <c r="C127" s="21" t="s">
        <v>206</v>
      </c>
      <c r="D127" s="21" t="s">
        <v>352</v>
      </c>
      <c r="E127" s="13">
        <v>42870.738159722219</v>
      </c>
      <c r="F127" s="13">
        <v>42870.740046296298</v>
      </c>
      <c r="G127" s="7">
        <v>1</v>
      </c>
      <c r="H127" s="21" t="s">
        <v>544</v>
      </c>
      <c r="I127" s="13">
        <v>42870.764861111114</v>
      </c>
      <c r="J127" s="7">
        <v>0</v>
      </c>
      <c r="K127" s="92" t="str">
        <f t="shared" si="24"/>
        <v>4029/4030</v>
      </c>
      <c r="L127" s="21" t="str">
        <f>VLOOKUP(A127,'Trips&amp;Operators'!$C$1:$G$99999,5,FALSE)</f>
        <v>ZEWDU DEREJE</v>
      </c>
      <c r="M127" s="6">
        <f t="shared" si="25"/>
        <v>2.4814814816636499E-2</v>
      </c>
      <c r="N127" s="7">
        <f t="shared" si="41"/>
        <v>35.733333335956559</v>
      </c>
      <c r="O127" s="7"/>
      <c r="P127" s="7"/>
      <c r="Q127" s="22"/>
      <c r="R127" s="190"/>
      <c r="S127" s="196">
        <f t="shared" si="42"/>
        <v>1</v>
      </c>
      <c r="T127" s="190" t="str">
        <f t="shared" si="26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27"/>
        <v>https://d0f6bd738d7f1b3e5a7ca70fe4ff75f0.us-east-1.aws.found.io/app/kibana#/discover/Steve-Slow-Train-Analysis-(2080s-and-2083s)?_g=(refreshInterval:(display:Off,pause:!f,section:0,value:0),time:(from:'2017-05-15T16:42:57-0600',mode:absolute,to:'2017-05-15T19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92" t="str">
        <f t="shared" si="28"/>
        <v>N</v>
      </c>
      <c r="X127" s="192">
        <f t="shared" si="43"/>
        <v>1</v>
      </c>
      <c r="Y127" s="192">
        <f t="shared" si="30"/>
        <v>4.4600000000000001E-2</v>
      </c>
      <c r="Z127" s="192">
        <f t="shared" si="31"/>
        <v>23.3276</v>
      </c>
      <c r="AA127" s="192">
        <f t="shared" si="32"/>
        <v>23.283000000000001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33"/>
        <v>0213-15</v>
      </c>
      <c r="AE127" s="80" t="str">
        <f t="shared" si="3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27" s="77" t="str">
        <f t="shared" si="35"/>
        <v>"C:\Program Files (x86)\AstroGrep\AstroGrep.exe" /e /r /s /spath="%USERPROFILE%\AppData\Local\Temp\OnboardLogs" /stypes="app*4030*20170516*" /stext=" 00:.+((SYSTEM_STATE.+slice.+state.+changed )|(ment ac)|(multiple cpu faults)|(system.+state.+changed )|(\[timeout)|(PRM\|1\|D)|(kpr)|(kdp)|(train st.+moving)|(\|lc)|(penalty))"</v>
      </c>
      <c r="AG127" s="1" t="str">
        <f t="shared" si="36"/>
        <v>EC</v>
      </c>
      <c r="AH127" s="81" t="str">
        <f t="shared" si="37"/>
        <v>"%USERPROFILE%\Documents\GitHub\eaglep3\Utilities\RefineRTDCRunTimes.py" --tripid 213-15 --locoid 4030 --swversion DE.1.0.9.0 --startMP 204:446 --initTime 2017-05-15T17:42:57 --startdatetime 2017-05-15T17:45:40 --delay 1 --endMP 204:233276 --enddatetime 2017-05-15T18:21:24 --enforcementcount 0 &gt;&gt;C:\Users\stu\Documents\GitHub\eaglep3-reporting\EC\2017-05-15-refined-times.txt</v>
      </c>
      <c r="AI127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{"issue":{"subject":"","project_id":79,"tracker_id":40,"status_id":1,"priority_id":2,"assigned_to_id":23,"start_date":"2017-05-15","description":"","custom_fields":[{"id":1,"name":"Subdivision","value":"EC"},{"id":4,"name":"Milepost","value":"23.3276"},{"id":17,"name":"Train ID","value":"213-15"},{"id":16,"name":"Locomotive ID","value":"4030"},{"id":130,"name":"Impact","value":""},{"id":150,"name":"Time of Event (Mountain Time)","value":"18:21:24"},{"id":151,"name":"Denver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39"/>
        <v>start /low /b %USERPROFILE%\Documents\GitHub\eaglep3\Utilities\DownloadLogsFromS3.py --loco 4030 --day 2017-05-15</v>
      </c>
      <c r="AN127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781</v>
      </c>
      <c r="B128" s="7">
        <v>4029</v>
      </c>
      <c r="C128" s="21" t="s">
        <v>206</v>
      </c>
      <c r="D128" s="21" t="s">
        <v>861</v>
      </c>
      <c r="E128" s="13">
        <v>42870.770682870374</v>
      </c>
      <c r="F128" s="13">
        <v>42870.778645833336</v>
      </c>
      <c r="G128" s="7">
        <v>1</v>
      </c>
      <c r="H128" s="21" t="s">
        <v>354</v>
      </c>
      <c r="I128" s="13">
        <v>42870.805254629631</v>
      </c>
      <c r="J128" s="7">
        <v>0</v>
      </c>
      <c r="K128" s="92" t="str">
        <f t="shared" si="24"/>
        <v>4029/4030</v>
      </c>
      <c r="L128" s="21" t="str">
        <f>VLOOKUP(A128,'Trips&amp;Operators'!$C$1:$G$99999,5,FALSE)</f>
        <v>ZEWDU DEREJE</v>
      </c>
      <c r="M128" s="6">
        <f t="shared" si="25"/>
        <v>2.6608796295477077E-2</v>
      </c>
      <c r="N128" s="7">
        <f t="shared" si="41"/>
        <v>38.316666665486991</v>
      </c>
      <c r="O128" s="7"/>
      <c r="P128" s="7"/>
      <c r="Q128" s="22"/>
      <c r="R128" s="190"/>
      <c r="S128" s="196">
        <f t="shared" si="42"/>
        <v>1</v>
      </c>
      <c r="T128" s="190" t="str">
        <f t="shared" si="26"/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27"/>
        <v>https://d0f6bd738d7f1b3e5a7ca70fe4ff75f0.us-east-1.aws.found.io/app/kibana#/discover/Steve-Slow-Train-Analysis-(2080s-and-2083s)?_g=(refreshInterval:(display:Off,pause:!f,section:0,value:0),time:(from:'2017-05-15T17:29:47-0600',mode:absolute,to:'2017-05-15T20:19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192" t="str">
        <f t="shared" si="28"/>
        <v>N</v>
      </c>
      <c r="X128" s="192">
        <f t="shared" si="43"/>
        <v>1</v>
      </c>
      <c r="Y128" s="192">
        <f t="shared" si="30"/>
        <v>23.298100000000002</v>
      </c>
      <c r="Z128" s="192">
        <f t="shared" si="31"/>
        <v>1.6E-2</v>
      </c>
      <c r="AA128" s="192">
        <f t="shared" si="32"/>
        <v>23.282100000000003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33"/>
        <v>0214-15</v>
      </c>
      <c r="AE128" s="80" t="str">
        <f t="shared" si="34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128" s="77" t="str">
        <f t="shared" si="35"/>
        <v>"C:\Program Files (x86)\AstroGrep\AstroGrep.exe" /e /r /s /spath="%USERPROFILE%\AppData\Local\Temp\OnboardLogs" /stypes="app*4029*20170516*" /stext=" 01:.+((SYSTEM_STATE.+slice.+state.+changed )|(ment ac)|(multiple cpu faults)|(system.+state.+changed )|(\[timeout)|(PRM\|1\|D)|(kpr)|(kdp)|(train st.+moving)|(\|lc)|(penalty))"</v>
      </c>
      <c r="AG128" s="1" t="str">
        <f t="shared" si="36"/>
        <v>EC</v>
      </c>
      <c r="AH128" s="81" t="str">
        <f t="shared" si="37"/>
        <v>"%USERPROFILE%\Documents\GitHub\eaglep3\Utilities\RefineRTDCRunTimes.py" --tripid 214-15 --locoid 4029 --swversion DE.1.0.9.0 --startMP 204:232981 --initTime 2017-05-15T18:29:47 --startdatetime 2017-05-15T18:41:15 --delay 1 --endMP 204:160 --enddatetime 2017-05-15T19:19:34 --enforcementcount 0 &gt;&gt;C:\Users\stu\Documents\GitHub\eaglep3-reporting\EC\2017-05-15-refined-times.txt</v>
      </c>
      <c r="AI128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{"issue":{"subject":"","project_id":79,"tracker_id":40,"status_id":1,"priority_id":2,"assigned_to_id":23,"start_date":"2017-05-15","description":"","custom_fields":[{"id":1,"name":"Subdivision","value":"EC"},{"id":4,"name":"Milepost","value":"0.016"},{"id":17,"name":"Train ID","value":"214-15"},{"id":16,"name":"Locomotive ID","value":"4029"},{"id":130,"name":"Impact","value":""},{"id":150,"name":"Time of Event (Mountain Time)","value":"19:19:34"},{"id":151,"name":"Denver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39"/>
        <v>start /low /b %USERPROFILE%\Documents\GitHub\eaglep3\Utilities\DownloadLogsFromS3.py --loco 4029 --day 2017-05-15</v>
      </c>
      <c r="AN128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01:19:34"},{"id":29,"name":"Sharepoint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774</v>
      </c>
      <c r="B129" s="7">
        <v>4042</v>
      </c>
      <c r="C129" s="21" t="s">
        <v>206</v>
      </c>
      <c r="D129" s="21" t="s">
        <v>572</v>
      </c>
      <c r="E129" s="13">
        <v>42870.748877314814</v>
      </c>
      <c r="F129" s="13">
        <v>42870.750879629632</v>
      </c>
      <c r="G129" s="7">
        <v>1</v>
      </c>
      <c r="H129" s="21" t="s">
        <v>852</v>
      </c>
      <c r="I129" s="13">
        <v>42870.777349537035</v>
      </c>
      <c r="J129" s="7">
        <v>0</v>
      </c>
      <c r="K129" s="92" t="str">
        <f t="shared" si="24"/>
        <v>4041/4042</v>
      </c>
      <c r="L129" s="21" t="str">
        <f>VLOOKUP(A129,'Trips&amp;Operators'!$C$1:$G$99999,5,FALSE)</f>
        <v>BRANDNER MELINDA</v>
      </c>
      <c r="M129" s="6">
        <f t="shared" si="25"/>
        <v>2.6469907403225079E-2</v>
      </c>
      <c r="N129" s="7">
        <f t="shared" si="41"/>
        <v>38.116666660644114</v>
      </c>
      <c r="O129" s="7"/>
      <c r="P129" s="7"/>
      <c r="Q129" s="22"/>
      <c r="R129" s="190"/>
      <c r="S129" s="196">
        <f t="shared" si="42"/>
        <v>1</v>
      </c>
      <c r="T129" s="190" t="str">
        <f t="shared" si="26"/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27"/>
        <v>https://d0f6bd738d7f1b3e5a7ca70fe4ff75f0.us-east-1.aws.found.io/app/kibana#/discover/Steve-Slow-Train-Analysis-(2080s-and-2083s)?_g=(refreshInterval:(display:Off,pause:!f,section:0,value:0),time:(from:'2017-05-15T16:58:23-0600',mode:absolute,to:'2017-05-15T19:39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2" t="str">
        <f t="shared" si="28"/>
        <v>N</v>
      </c>
      <c r="X129" s="192">
        <f t="shared" si="43"/>
        <v>1</v>
      </c>
      <c r="Y129" s="192">
        <f t="shared" si="30"/>
        <v>4.3999999999999997E-2</v>
      </c>
      <c r="Z129" s="192">
        <f t="shared" si="31"/>
        <v>23.330300000000001</v>
      </c>
      <c r="AA129" s="192">
        <f t="shared" si="32"/>
        <v>23.286300000000001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33"/>
        <v>0215-15</v>
      </c>
      <c r="AE129" s="80" t="str">
        <f t="shared" si="34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129" s="77" t="str">
        <f t="shared" si="35"/>
        <v>"C:\Program Files (x86)\AstroGrep\AstroGrep.exe" /e /r /s /spath="%USERPROFILE%\AppData\Local\Temp\OnboardLogs" /stypes="app*4042*20170516*" /stext=" 00:.+((SYSTEM_STATE.+slice.+state.+changed )|(ment ac)|(multiple cpu faults)|(system.+state.+changed )|(\[timeout)|(PRM\|1\|D)|(kpr)|(kdp)|(train st.+moving)|(\|lc)|(penalty))"</v>
      </c>
      <c r="AG129" s="1" t="str">
        <f t="shared" si="36"/>
        <v>EC</v>
      </c>
      <c r="AH129" s="81" t="str">
        <f t="shared" si="37"/>
        <v>"%USERPROFILE%\Documents\GitHub\eaglep3\Utilities\RefineRTDCRunTimes.py" --tripid 215-15 --locoid 4042 --swversion DE.1.0.9.0 --startMP 204:440 --initTime 2017-05-15T17:58:23 --startdatetime 2017-05-15T18:01:16 --delay 1 --endMP 204:233303 --enddatetime 2017-05-15T18:39:23 --enforcementcount 0 &gt;&gt;C:\Users\stu\Documents\GitHub\eaglep3-reporting\EC\2017-05-15-refined-times.txt</v>
      </c>
      <c r="AI12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{"issue":{"subject":"","project_id":79,"tracker_id":40,"status_id":1,"priority_id":2,"assigned_to_id":23,"start_date":"2017-05-15","description":"","custom_fields":[{"id":1,"name":"Subdivision","value":"EC"},{"id":4,"name":"Milepost","value":"23.3303"},{"id":17,"name":"Train ID","value":"215-15"},{"id":16,"name":"Locomotive ID","value":"4042"},{"id":130,"name":"Impact","value":""},{"id":150,"name":"Time of Event (Mountain Time)","value":"18:39:23"},{"id":151,"name":"Denver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39"/>
        <v>start /low /b %USERPROFILE%\Documents\GitHub\eaglep3\Utilities\DownloadLogsFromS3.py --loco 4042 --day 2017-05-15</v>
      </c>
      <c r="AN129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00:39:23"},{"id":29,"name":"Sharepoint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784</v>
      </c>
      <c r="B130" s="7">
        <v>4041</v>
      </c>
      <c r="C130" s="21" t="s">
        <v>206</v>
      </c>
      <c r="D130" s="21" t="s">
        <v>543</v>
      </c>
      <c r="E130" s="13">
        <v>42870.784826388888</v>
      </c>
      <c r="F130" s="13">
        <v>42870.789236111108</v>
      </c>
      <c r="G130" s="7">
        <v>1</v>
      </c>
      <c r="H130" s="21" t="s">
        <v>489</v>
      </c>
      <c r="I130" s="13">
        <v>42870.816192129627</v>
      </c>
      <c r="J130" s="7">
        <v>0</v>
      </c>
      <c r="K130" s="92" t="str">
        <f t="shared" si="24"/>
        <v>4041/4042</v>
      </c>
      <c r="L130" s="21" t="str">
        <f>VLOOKUP(A130,'Trips&amp;Operators'!$C$1:$G$99999,5,FALSE)</f>
        <v>BRANDNER MELINDA</v>
      </c>
      <c r="M130" s="6">
        <f t="shared" si="25"/>
        <v>2.6956018518831115E-2</v>
      </c>
      <c r="N130" s="7">
        <f t="shared" si="41"/>
        <v>38.816666667116806</v>
      </c>
      <c r="O130" s="7"/>
      <c r="P130" s="7"/>
      <c r="Q130" s="22"/>
      <c r="R130" s="190"/>
      <c r="S130" s="196">
        <f t="shared" si="42"/>
        <v>1</v>
      </c>
      <c r="T130" s="190" t="str">
        <f t="shared" si="26"/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27"/>
        <v>https://d0f6bd738d7f1b3e5a7ca70fe4ff75f0.us-east-1.aws.found.io/app/kibana#/discover/Steve-Slow-Train-Analysis-(2080s-and-2083s)?_g=(refreshInterval:(display:Off,pause:!f,section:0,value:0),time:(from:'2017-05-15T17:50:09-0600',mode:absolute,to:'2017-05-15T20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2" t="str">
        <f t="shared" si="28"/>
        <v>N</v>
      </c>
      <c r="X130" s="192">
        <f t="shared" si="43"/>
        <v>1</v>
      </c>
      <c r="Y130" s="192">
        <f t="shared" si="30"/>
        <v>23.297499999999999</v>
      </c>
      <c r="Z130" s="192">
        <f t="shared" si="31"/>
        <v>1.54E-2</v>
      </c>
      <c r="AA130" s="192">
        <f t="shared" si="32"/>
        <v>23.2821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33"/>
        <v>0216-15</v>
      </c>
      <c r="AE130" s="80" t="str">
        <f t="shared" si="34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130" s="77" t="str">
        <f t="shared" si="35"/>
        <v>"C:\Program Files (x86)\AstroGrep\AstroGrep.exe" /e /r /s /spath="%USERPROFILE%\AppData\Local\Temp\OnboardLogs" /stypes="app*4041*20170516*" /stext=" 01:.+((SYSTEM_STATE.+slice.+state.+changed )|(ment ac)|(multiple cpu faults)|(system.+state.+changed )|(\[timeout)|(PRM\|1\|D)|(kpr)|(kdp)|(train st.+moving)|(\|lc)|(penalty))"</v>
      </c>
      <c r="AG130" s="1" t="str">
        <f t="shared" si="36"/>
        <v>EC</v>
      </c>
      <c r="AH130" s="81" t="str">
        <f t="shared" si="37"/>
        <v>"%USERPROFILE%\Documents\GitHub\eaglep3\Utilities\RefineRTDCRunTimes.py" --tripid 216-15 --locoid 4041 --swversion DE.1.0.9.0 --startMP 204:232975 --initTime 2017-05-15T18:50:09 --startdatetime 2017-05-15T18:56:30 --delay 1 --endMP 204:154 --enddatetime 2017-05-15T19:35:19 --enforcementcount 0 &gt;&gt;C:\Users\stu\Documents\GitHub\eaglep3-reporting\EC\2017-05-15-refined-times.txt</v>
      </c>
      <c r="AI13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{"issue":{"subject":"","project_id":79,"tracker_id":40,"status_id":1,"priority_id":2,"assigned_to_id":23,"start_date":"2017-05-15","description":"","custom_fields":[{"id":1,"name":"Subdivision","value":"EC"},{"id":4,"name":"Milepost","value":"0.0154"},{"id":17,"name":"Train ID","value":"216-15"},{"id":16,"name":"Locomotive ID","value":"4041"},{"id":130,"name":"Impact","value":""},{"id":150,"name":"Time of Event (Mountain Time)","value":"19:35:19"},{"id":151,"name":"Denver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39"/>
        <v>start /low /b %USERPROFILE%\Documents\GitHub\eaglep3\Utilities\DownloadLogsFromS3.py --loco 4041 --day 2017-05-15</v>
      </c>
      <c r="AN130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620</v>
      </c>
      <c r="B131" s="7">
        <v>4022</v>
      </c>
      <c r="C131" s="21" t="s">
        <v>206</v>
      </c>
      <c r="D131" s="21" t="s">
        <v>555</v>
      </c>
      <c r="E131" s="13">
        <v>42870.758067129631</v>
      </c>
      <c r="F131" s="13">
        <v>42870.760972222219</v>
      </c>
      <c r="G131" s="7">
        <v>1</v>
      </c>
      <c r="H131" s="21" t="s">
        <v>570</v>
      </c>
      <c r="I131" s="13">
        <v>42870.785277777781</v>
      </c>
      <c r="J131" s="7">
        <v>0</v>
      </c>
      <c r="K131" s="92" t="str">
        <f t="shared" si="24"/>
        <v>4021/4022</v>
      </c>
      <c r="L131" s="21" t="str">
        <f>VLOOKUP(A131,'Trips&amp;Operators'!$C$1:$G$99999,5,FALSE)</f>
        <v>LAMAR NEKESHA</v>
      </c>
      <c r="M131" s="6">
        <f t="shared" si="25"/>
        <v>2.4305555562023073E-2</v>
      </c>
      <c r="N131" s="7">
        <f t="shared" si="41"/>
        <v>35.000000009313226</v>
      </c>
      <c r="O131" s="7"/>
      <c r="P131" s="7"/>
      <c r="Q131" s="22"/>
      <c r="R131" s="190"/>
      <c r="S131" s="196">
        <f t="shared" si="42"/>
        <v>1</v>
      </c>
      <c r="T131" s="190" t="str">
        <f t="shared" si="26"/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27"/>
        <v>https://d0f6bd738d7f1b3e5a7ca70fe4ff75f0.us-east-1.aws.found.io/app/kibana#/discover/Steve-Slow-Train-Analysis-(2080s-and-2083s)?_g=(refreshInterval:(display:Off,pause:!f,section:0,value:0),time:(from:'2017-05-15T17:11:37-0600',mode:absolute,to:'2017-05-15T19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1" s="192" t="str">
        <f t="shared" si="28"/>
        <v>N</v>
      </c>
      <c r="X131" s="192">
        <f t="shared" si="43"/>
        <v>1</v>
      </c>
      <c r="Y131" s="192">
        <f t="shared" si="30"/>
        <v>4.7300000000000002E-2</v>
      </c>
      <c r="Z131" s="192">
        <f t="shared" si="31"/>
        <v>23.344200000000001</v>
      </c>
      <c r="AA131" s="192">
        <f t="shared" si="32"/>
        <v>23.296900000000001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33"/>
        <v>0217-15</v>
      </c>
      <c r="AE131" s="80" t="str">
        <f t="shared" si="3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131" s="77" t="str">
        <f t="shared" si="35"/>
        <v>"C:\Program Files (x86)\AstroGrep\AstroGrep.exe" /e /r /s /spath="%USERPROFILE%\AppData\Local\Temp\OnboardLogs" /stypes="app*4022*20170516*" /stext=" 00:.+((SYSTEM_STATE.+slice.+state.+changed )|(ment ac)|(multiple cpu faults)|(system.+state.+changed )|(\[timeout)|(PRM\|1\|D)|(kpr)|(kdp)|(train st.+moving)|(\|lc)|(penalty))"</v>
      </c>
      <c r="AG131" s="1" t="str">
        <f t="shared" si="36"/>
        <v>EC</v>
      </c>
      <c r="AH131" s="81" t="str">
        <f t="shared" si="37"/>
        <v>"%USERPROFILE%\Documents\GitHub\eaglep3\Utilities\RefineRTDCRunTimes.py" --tripid 217-15 --locoid 4022 --swversion DE.1.0.9.0 --startMP 204:473 --initTime 2017-05-15T18:11:37 --startdatetime 2017-05-15T18:15:48 --delay 1 --endMP 204:233442 --enddatetime 2017-05-15T18:50:48 --enforcementcount 0 &gt;&gt;C:\Users\stu\Documents\GitHub\eaglep3-reporting\EC\2017-05-15-refined-times.txt</v>
      </c>
      <c r="AI13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{"issue":{"subject":"","project_id":79,"tracker_id":40,"status_id":1,"priority_id":2,"assigned_to_id":23,"start_date":"2017-05-15","description":"","custom_fields":[{"id":1,"name":"Subdivision","value":"EC"},{"id":4,"name":"Milepost","value":"23.3442"},{"id":17,"name":"Train ID","value":"217-15"},{"id":16,"name":"Locomotive ID","value":"4022"},{"id":130,"name":"Impact","value":""},{"id":150,"name":"Time of Event (Mountain Time)","value":"18:50:48"},{"id":151,"name":"Denver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39"/>
        <v>start /low /b %USERPROFILE%\Documents\GitHub\eaglep3\Utilities\DownloadLogsFromS3.py --loco 4022 --day 2017-05-15</v>
      </c>
      <c r="AN131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00:50:48"},{"id":29,"name":"Sharepoint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787</v>
      </c>
      <c r="B132" s="7">
        <v>4021</v>
      </c>
      <c r="C132" s="21" t="s">
        <v>206</v>
      </c>
      <c r="D132" s="21" t="s">
        <v>899</v>
      </c>
      <c r="E132" s="13">
        <v>42870.795624999999</v>
      </c>
      <c r="F132" s="13">
        <v>42870.799722222226</v>
      </c>
      <c r="G132" s="7">
        <v>1</v>
      </c>
      <c r="H132" s="21" t="s">
        <v>353</v>
      </c>
      <c r="I132" s="13">
        <v>42870.825671296298</v>
      </c>
      <c r="J132" s="7">
        <v>0</v>
      </c>
      <c r="K132" s="92" t="str">
        <f t="shared" si="24"/>
        <v>4021/4022</v>
      </c>
      <c r="L132" s="21" t="str">
        <f>VLOOKUP(A132,'Trips&amp;Operators'!$C$1:$G$99999,5,FALSE)</f>
        <v>LAMAR NEKESHA</v>
      </c>
      <c r="M132" s="6">
        <f t="shared" si="25"/>
        <v>2.5949074071832001E-2</v>
      </c>
      <c r="N132" s="7">
        <f t="shared" si="41"/>
        <v>37.366666663438082</v>
      </c>
      <c r="O132" s="7"/>
      <c r="P132" s="7"/>
      <c r="Q132" s="22"/>
      <c r="R132" s="190"/>
      <c r="S132" s="196">
        <f t="shared" si="42"/>
        <v>1</v>
      </c>
      <c r="T132" s="190" t="str">
        <f t="shared" si="26"/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27"/>
        <v>https://d0f6bd738d7f1b3e5a7ca70fe4ff75f0.us-east-1.aws.found.io/app/kibana#/discover/Steve-Slow-Train-Analysis-(2080s-and-2083s)?_g=(refreshInterval:(display:Off,pause:!f,section:0,value:0),time:(from:'2017-05-15T18:05:42-0600',mode:absolute,to:'2017-05-15T20:48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2" s="192" t="str">
        <f t="shared" si="28"/>
        <v>N</v>
      </c>
      <c r="X132" s="192">
        <f t="shared" si="43"/>
        <v>1</v>
      </c>
      <c r="Y132" s="192">
        <f t="shared" si="30"/>
        <v>23.311299999999999</v>
      </c>
      <c r="Z132" s="192">
        <f t="shared" si="31"/>
        <v>1.4500000000000001E-2</v>
      </c>
      <c r="AA132" s="192">
        <f t="shared" si="32"/>
        <v>23.296799999999998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33"/>
        <v>0218-15</v>
      </c>
      <c r="AE132" s="80" t="str">
        <f t="shared" si="3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132" s="77" t="str">
        <f t="shared" si="35"/>
        <v>"C:\Program Files (x86)\AstroGrep\AstroGrep.exe" /e /r /s /spath="%USERPROFILE%\AppData\Local\Temp\OnboardLogs" /stypes="app*4021*20170516*" /stext=" 01:.+((SYSTEM_STATE.+slice.+state.+changed )|(ment ac)|(multiple cpu faults)|(system.+state.+changed )|(\[timeout)|(PRM\|1\|D)|(kpr)|(kdp)|(train st.+moving)|(\|lc)|(penalty))"</v>
      </c>
      <c r="AG132" s="1" t="str">
        <f t="shared" si="36"/>
        <v>EC</v>
      </c>
      <c r="AH132" s="81" t="str">
        <f t="shared" si="37"/>
        <v>"%USERPROFILE%\Documents\GitHub\eaglep3\Utilities\RefineRTDCRunTimes.py" --tripid 218-15 --locoid 4021 --swversion DE.1.0.9.0 --startMP 204:233113 --initTime 2017-05-15T19:05:42 --startdatetime 2017-05-15T19:11:36 --delay 1 --endMP 204:145 --enddatetime 2017-05-15T19:48:58 --enforcementcount 0 &gt;&gt;C:\Users\stu\Documents\GitHub\eaglep3-reporting\EC\2017-05-15-refined-times.txt</v>
      </c>
      <c r="AI132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{"issue":{"subject":"","project_id":79,"tracker_id":40,"status_id":1,"priority_id":2,"assigned_to_id":23,"start_date":"2017-05-15","description":"","custom_fields":[{"id":1,"name":"Subdivision","value":"EC"},{"id":4,"name":"Milepost","value":"0.0145"},{"id":17,"name":"Train ID","value":"218-15"},{"id":16,"name":"Locomotive ID","value":"4021"},{"id":130,"name":"Impact","value":""},{"id":150,"name":"Time of Event (Mountain Time)","value":"19:48:58"},{"id":151,"name":"Denver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39"/>
        <v>start /low /b %USERPROFILE%\Documents\GitHub\eaglep3\Utilities\DownloadLogsFromS3.py --loco 4021 --day 2017-05-15</v>
      </c>
      <c r="AN132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01:48:58"},{"id":29,"name":"Sharepoint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780</v>
      </c>
      <c r="B133" s="7">
        <v>4016</v>
      </c>
      <c r="C133" s="21" t="s">
        <v>206</v>
      </c>
      <c r="D133" s="21" t="s">
        <v>900</v>
      </c>
      <c r="E133" s="13">
        <v>42870.768472222226</v>
      </c>
      <c r="F133" s="13">
        <v>42870.771041666667</v>
      </c>
      <c r="G133" s="7">
        <v>1</v>
      </c>
      <c r="H133" s="21" t="s">
        <v>542</v>
      </c>
      <c r="I133" s="13">
        <v>42870.795648148145</v>
      </c>
      <c r="J133" s="7">
        <v>0</v>
      </c>
      <c r="K133" s="92" t="str">
        <f t="shared" si="24"/>
        <v>4015/4016</v>
      </c>
      <c r="L133" s="21" t="str">
        <f>VLOOKUP(A133,'Trips&amp;Operators'!$C$1:$G$99999,5,FALSE)</f>
        <v>BIRENBAUM THOMAS</v>
      </c>
      <c r="M133" s="6">
        <f t="shared" si="25"/>
        <v>2.4606481478258502E-2</v>
      </c>
      <c r="N133" s="7">
        <f t="shared" si="41"/>
        <v>35.433333328692243</v>
      </c>
      <c r="O133" s="7"/>
      <c r="P133" s="7"/>
      <c r="Q133" s="22"/>
      <c r="R133" s="190"/>
      <c r="S133" s="196">
        <f t="shared" si="42"/>
        <v>1</v>
      </c>
      <c r="T133" s="190" t="str">
        <f t="shared" si="26"/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27"/>
        <v>https://d0f6bd738d7f1b3e5a7ca70fe4ff75f0.us-east-1.aws.found.io/app/kibana#/discover/Steve-Slow-Train-Analysis-(2080s-and-2083s)?_g=(refreshInterval:(display:Off,pause:!f,section:0,value:0),time:(from:'2017-05-15T17:26:36-0600',mode:absolute,to:'2017-05-15T20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2" t="str">
        <f t="shared" si="28"/>
        <v>N</v>
      </c>
      <c r="X133" s="192">
        <f t="shared" si="43"/>
        <v>1</v>
      </c>
      <c r="Y133" s="192">
        <f t="shared" si="30"/>
        <v>4.8599999999999997E-2</v>
      </c>
      <c r="Z133" s="192">
        <f t="shared" si="31"/>
        <v>23.328800000000001</v>
      </c>
      <c r="AA133" s="192">
        <f t="shared" si="32"/>
        <v>23.280200000000001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33"/>
        <v>0219-15</v>
      </c>
      <c r="AE133" s="80" t="str">
        <f t="shared" si="34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133" s="77" t="str">
        <f t="shared" si="35"/>
        <v>"C:\Program Files (x86)\AstroGrep\AstroGrep.exe" /e /r /s /spath="%USERPROFILE%\AppData\Local\Temp\OnboardLogs" /stypes="app*4016*20170516*" /stext=" 01:.+((SYSTEM_STATE.+slice.+state.+changed )|(ment ac)|(multiple cpu faults)|(system.+state.+changed )|(\[timeout)|(PRM\|1\|D)|(kpr)|(kdp)|(train st.+moving)|(\|lc)|(penalty))"</v>
      </c>
      <c r="AG133" s="1" t="str">
        <f t="shared" si="36"/>
        <v>EC</v>
      </c>
      <c r="AH133" s="81" t="str">
        <f t="shared" si="37"/>
        <v>"%USERPROFILE%\Documents\GitHub\eaglep3\Utilities\RefineRTDCRunTimes.py" --tripid 219-15 --locoid 4016 --swversion DE.1.0.9.0 --startMP 204:486 --initTime 2017-05-15T18:26:36 --startdatetime 2017-05-15T18:30:18 --delay 1 --endMP 204:233288 --enddatetime 2017-05-15T19:05:44 --enforcementcount 0 &gt;&gt;C:\Users\stu\Documents\GitHub\eaglep3-reporting\EC\2017-05-15-refined-times.txt</v>
      </c>
      <c r="AI133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{"issue":{"subject":"","project_id":79,"tracker_id":40,"status_id":1,"priority_id":2,"assigned_to_id":23,"start_date":"2017-05-15","description":"","custom_fields":[{"id":1,"name":"Subdivision","value":"EC"},{"id":4,"name":"Milepost","value":"23.3288"},{"id":17,"name":"Train ID","value":"219-15"},{"id":16,"name":"Locomotive ID","value":"4016"},{"id":130,"name":"Impact","value":""},{"id":150,"name":"Time of Event (Mountain Time)","value":"19:05:44"},{"id":151,"name":"Denver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39"/>
        <v>start /low /b %USERPROFILE%\Documents\GitHub\eaglep3\Utilities\DownloadLogsFromS3.py --loco 4016 --day 2017-05-15</v>
      </c>
      <c r="AN133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623</v>
      </c>
      <c r="B134" s="7">
        <v>4015</v>
      </c>
      <c r="C134" s="21" t="s">
        <v>206</v>
      </c>
      <c r="D134" s="21" t="s">
        <v>547</v>
      </c>
      <c r="E134" s="13">
        <v>42870.806712962964</v>
      </c>
      <c r="F134" s="13">
        <v>42870.809884259259</v>
      </c>
      <c r="G134" s="7">
        <v>1</v>
      </c>
      <c r="H134" s="21" t="s">
        <v>360</v>
      </c>
      <c r="I134" s="13">
        <v>42870.836041666669</v>
      </c>
      <c r="J134" s="7">
        <v>0</v>
      </c>
      <c r="K134" s="92" t="str">
        <f t="shared" si="24"/>
        <v>4015/4016</v>
      </c>
      <c r="L134" s="21" t="str">
        <f>VLOOKUP(A134,'Trips&amp;Operators'!$C$1:$G$99999,5,FALSE)</f>
        <v>BIRENBAUM THOMAS</v>
      </c>
      <c r="M134" s="6">
        <f t="shared" si="25"/>
        <v>2.6157407410209998E-2</v>
      </c>
      <c r="N134" s="7">
        <f t="shared" si="41"/>
        <v>37.666666670702398</v>
      </c>
      <c r="O134" s="7"/>
      <c r="P134" s="7"/>
      <c r="Q134" s="22"/>
      <c r="R134" s="190"/>
      <c r="S134" s="196">
        <f t="shared" si="42"/>
        <v>1</v>
      </c>
      <c r="T134" s="190" t="str">
        <f t="shared" si="26"/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27"/>
        <v>https://d0f6bd738d7f1b3e5a7ca70fe4ff75f0.us-east-1.aws.found.io/app/kibana#/discover/Steve-Slow-Train-Analysis-(2080s-and-2083s)?_g=(refreshInterval:(display:Off,pause:!f,section:0,value:0),time:(from:'2017-05-15T18:21:40-0600',mode:absolute,to:'2017-05-15T21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2" t="str">
        <f t="shared" si="28"/>
        <v>N</v>
      </c>
      <c r="X134" s="192">
        <f t="shared" si="43"/>
        <v>1</v>
      </c>
      <c r="Y134" s="192">
        <f t="shared" si="30"/>
        <v>23.298200000000001</v>
      </c>
      <c r="Z134" s="192">
        <f t="shared" si="31"/>
        <v>1.43E-2</v>
      </c>
      <c r="AA134" s="192">
        <f t="shared" si="32"/>
        <v>23.283900000000003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33"/>
        <v>0220-15</v>
      </c>
      <c r="AE134" s="80" t="str">
        <f t="shared" si="3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134" s="77" t="str">
        <f t="shared" si="35"/>
        <v>"C:\Program Files (x86)\AstroGrep\AstroGrep.exe" /e /r /s /spath="%USERPROFILE%\AppData\Local\Temp\OnboardLogs" /stypes="app*4015*20170516*" /stext=" 02:.+((SYSTEM_STATE.+slice.+state.+changed )|(ment ac)|(multiple cpu faults)|(system.+state.+changed )|(\[timeout)|(PRM\|1\|D)|(kpr)|(kdp)|(train st.+moving)|(\|lc)|(penalty))"</v>
      </c>
      <c r="AG134" s="1" t="str">
        <f t="shared" si="36"/>
        <v>EC</v>
      </c>
      <c r="AH134" s="81" t="str">
        <f t="shared" si="37"/>
        <v>"%USERPROFILE%\Documents\GitHub\eaglep3\Utilities\RefineRTDCRunTimes.py" --tripid 220-15 --locoid 4015 --swversion DE.1.0.9.0 --startMP 204:232982 --initTime 2017-05-15T19:21:40 --startdatetime 2017-05-15T19:26:14 --delay 1 --endMP 204:143 --enddatetime 2017-05-15T20:03:54 --enforcementcount 0 &gt;&gt;C:\Users\stu\Documents\GitHub\eaglep3-reporting\EC\2017-05-15-refined-times.txt</v>
      </c>
      <c r="AI134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{"issue":{"subject":"","project_id":79,"tracker_id":40,"status_id":1,"priority_id":2,"assigned_to_id":23,"start_date":"2017-05-15","description":"","custom_fields":[{"id":1,"name":"Subdivision","value":"EC"},{"id":4,"name":"Milepost","value":"0.0143"},{"id":17,"name":"Train ID","value":"220-15"},{"id":16,"name":"Locomotive ID","value":"4015"},{"id":130,"name":"Impact","value":""},{"id":150,"name":"Time of Event (Mountain Time)","value":"20:03:54"},{"id":151,"name":"Denver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39"/>
        <v>start /low /b %USERPROFILE%\Documents\GitHub\eaglep3\Utilities\DownloadLogsFromS3.py --loco 4015 --day 2017-05-15</v>
      </c>
      <c r="AN134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785</v>
      </c>
      <c r="B135" s="7">
        <v>4052</v>
      </c>
      <c r="C135" s="21" t="s">
        <v>206</v>
      </c>
      <c r="D135" s="21" t="s">
        <v>901</v>
      </c>
      <c r="E135" s="13">
        <v>42870.790092592593</v>
      </c>
      <c r="F135" s="13">
        <v>42870.791944444441</v>
      </c>
      <c r="G135" s="7">
        <v>1</v>
      </c>
      <c r="H135" s="21" t="s">
        <v>421</v>
      </c>
      <c r="I135" s="13">
        <v>42870.817627314813</v>
      </c>
      <c r="J135" s="7">
        <v>0</v>
      </c>
      <c r="K135" s="92" t="str">
        <f t="shared" si="24"/>
        <v>4051/4052</v>
      </c>
      <c r="L135" s="21" t="str">
        <f>VLOOKUP(A135,'Trips&amp;Operators'!$C$1:$G$99999,5,FALSE)</f>
        <v>CHANDLER KELVIN</v>
      </c>
      <c r="M135" s="6">
        <f t="shared" si="25"/>
        <v>2.5682870371383615E-2</v>
      </c>
      <c r="N135" s="7">
        <f t="shared" si="41"/>
        <v>36.983333334792405</v>
      </c>
      <c r="O135" s="7"/>
      <c r="P135" s="7"/>
      <c r="Q135" s="22"/>
      <c r="R135" s="190"/>
      <c r="S135" s="196">
        <f t="shared" si="42"/>
        <v>1</v>
      </c>
      <c r="T135" s="190" t="str">
        <f t="shared" si="26"/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27"/>
        <v>https://d0f6bd738d7f1b3e5a7ca70fe4ff75f0.us-east-1.aws.found.io/app/kibana#/discover/Steve-Slow-Train-Analysis-(2080s-and-2083s)?_g=(refreshInterval:(display:Off,pause:!f,section:0,value:0),time:(from:'2017-05-15T17:57:44-0600',mode:absolute,to:'2017-05-15T20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5" s="192" t="str">
        <f t="shared" si="28"/>
        <v>N</v>
      </c>
      <c r="X135" s="192">
        <f t="shared" si="43"/>
        <v>1</v>
      </c>
      <c r="Y135" s="192">
        <f t="shared" si="30"/>
        <v>4.82E-2</v>
      </c>
      <c r="Z135" s="192">
        <f t="shared" si="31"/>
        <v>23.3293</v>
      </c>
      <c r="AA135" s="192">
        <f t="shared" si="32"/>
        <v>23.281099999999999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33"/>
        <v>0221-15</v>
      </c>
      <c r="AE135" s="80" t="str">
        <f t="shared" si="3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35" s="77" t="str">
        <f t="shared" si="35"/>
        <v>"C:\Program Files (x86)\AstroGrep\AstroGrep.exe" /e /r /s /spath="%USERPROFILE%\AppData\Local\Temp\OnboardLogs" /stypes="app*4052*20170516*" /stext=" 01:.+((SYSTEM_STATE.+slice.+state.+changed )|(ment ac)|(multiple cpu faults)|(system.+state.+changed )|(\[timeout)|(PRM\|1\|D)|(kpr)|(kdp)|(train st.+moving)|(\|lc)|(penalty))"</v>
      </c>
      <c r="AG135" s="1" t="str">
        <f t="shared" si="36"/>
        <v>EC</v>
      </c>
      <c r="AH135" s="81" t="str">
        <f t="shared" si="37"/>
        <v>"%USERPROFILE%\Documents\GitHub\eaglep3\Utilities\RefineRTDCRunTimes.py" --tripid 221-15 --locoid 4052 --swversion DE.1.0.9.0 --startMP 204:482 --initTime 2017-05-15T18:57:44 --startdatetime 2017-05-15T19:00:24 --delay 1 --endMP 204:233293 --enddatetime 2017-05-15T19:37:23 --enforcementcount 0 &gt;&gt;C:\Users\stu\Documents\GitHub\eaglep3-reporting\EC\2017-05-15-refined-times.txt</v>
      </c>
      <c r="AI135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{"issue":{"subject":"","project_id":79,"tracker_id":40,"status_id":1,"priority_id":2,"assigned_to_id":23,"start_date":"2017-05-15","description":"","custom_fields":[{"id":1,"name":"Subdivision","value":"EC"},{"id":4,"name":"Milepost","value":"23.3293"},{"id":17,"name":"Train ID","value":"221-15"},{"id":16,"name":"Locomotive ID","value":"4052"},{"id":130,"name":"Impact","value":""},{"id":150,"name":"Time of Event (Mountain Time)","value":"19:37:23"},{"id":151,"name":"Denver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39"/>
        <v>start /low /b %USERPROFILE%\Documents\GitHub\eaglep3\Utilities\DownloadLogsFromS3.py --loco 4052 --day 2017-05-15</v>
      </c>
      <c r="AN135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793</v>
      </c>
      <c r="B136" s="7">
        <v>4051</v>
      </c>
      <c r="C136" s="21" t="s">
        <v>206</v>
      </c>
      <c r="D136" s="21" t="s">
        <v>571</v>
      </c>
      <c r="E136" s="13">
        <v>42870.827881944446</v>
      </c>
      <c r="F136" s="13">
        <v>42870.831076388888</v>
      </c>
      <c r="G136" s="7">
        <v>1</v>
      </c>
      <c r="H136" s="21" t="s">
        <v>358</v>
      </c>
      <c r="I136" s="13">
        <v>42870.858553240738</v>
      </c>
      <c r="J136" s="7">
        <v>0</v>
      </c>
      <c r="K136" s="92" t="str">
        <f t="shared" si="24"/>
        <v>4051/4052</v>
      </c>
      <c r="L136" s="21" t="str">
        <f>VLOOKUP(A136,'Trips&amp;Operators'!$C$1:$G$99999,5,FALSE)</f>
        <v>CHANDLER KELVIN</v>
      </c>
      <c r="M136" s="6">
        <f t="shared" si="25"/>
        <v>2.7476851850224193E-2</v>
      </c>
      <c r="N136" s="7">
        <f t="shared" si="41"/>
        <v>39.566666664322838</v>
      </c>
      <c r="O136" s="7"/>
      <c r="P136" s="7"/>
      <c r="Q136" s="22"/>
      <c r="R136" s="190"/>
      <c r="S136" s="196">
        <f t="shared" si="42"/>
        <v>1</v>
      </c>
      <c r="T136" s="190" t="str">
        <f t="shared" si="26"/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27"/>
        <v>https://d0f6bd738d7f1b3e5a7ca70fe4ff75f0.us-east-1.aws.found.io/app/kibana#/discover/Steve-Slow-Train-Analysis-(2080s-and-2083s)?_g=(refreshInterval:(display:Off,pause:!f,section:0,value:0),time:(from:'2017-05-15T18:52:09-0600',mode:absolute,to:'2017-05-15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6" s="192" t="str">
        <f t="shared" si="28"/>
        <v>N</v>
      </c>
      <c r="X136" s="192">
        <f t="shared" si="43"/>
        <v>1</v>
      </c>
      <c r="Y136" s="192">
        <f t="shared" si="30"/>
        <v>23.2971</v>
      </c>
      <c r="Z136" s="192">
        <f t="shared" si="31"/>
        <v>1.4999999999999999E-2</v>
      </c>
      <c r="AA136" s="192">
        <f t="shared" si="32"/>
        <v>23.2821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33"/>
        <v>0222-15</v>
      </c>
      <c r="AE136" s="80" t="str">
        <f t="shared" si="3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136" s="77" t="str">
        <f t="shared" si="35"/>
        <v>"C:\Program Files (x86)\AstroGrep\AstroGrep.exe" /e /r /s /spath="%USERPROFILE%\AppData\Local\Temp\OnboardLogs" /stypes="app*4051*20170516*" /stext=" 02:.+((SYSTEM_STATE.+slice.+state.+changed )|(ment ac)|(multiple cpu faults)|(system.+state.+changed )|(\[timeout)|(PRM\|1\|D)|(kpr)|(kdp)|(train st.+moving)|(\|lc)|(penalty))"</v>
      </c>
      <c r="AG136" s="1" t="str">
        <f t="shared" si="36"/>
        <v>EC</v>
      </c>
      <c r="AH136" s="81" t="str">
        <f t="shared" si="37"/>
        <v>"%USERPROFILE%\Documents\GitHub\eaglep3\Utilities\RefineRTDCRunTimes.py" --tripid 222-15 --locoid 4051 --swversion DE.1.0.9.0 --startMP 204:232971 --initTime 2017-05-15T19:52:09 --startdatetime 2017-05-15T19:56:45 --delay 1 --endMP 204:150 --enddatetime 2017-05-15T20:36:19 --enforcementcount 0 &gt;&gt;C:\Users\stu\Documents\GitHub\eaglep3-reporting\EC\2017-05-15-refined-times.txt</v>
      </c>
      <c r="AI136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{"issue":{"subject":"","project_id":79,"tracker_id":40,"status_id":1,"priority_id":2,"assigned_to_id":23,"start_date":"2017-05-15","description":"","custom_fields":[{"id":1,"name":"Subdivision","value":"EC"},{"id":4,"name":"Milepost","value":"0.015"},{"id":17,"name":"Train ID","value":"222-15"},{"id":16,"name":"Locomotive ID","value":"4051"},{"id":130,"name":"Impact","value":""},{"id":150,"name":"Time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39"/>
        <v>start /low /b %USERPROFILE%\Documents\GitHub\eaglep3\Utilities\DownloadLogsFromS3.py --loco 4051 --day 2017-05-15</v>
      </c>
      <c r="AN136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4030</v>
      </c>
      <c r="C137" s="21" t="s">
        <v>206</v>
      </c>
      <c r="D137" s="21" t="s">
        <v>364</v>
      </c>
      <c r="E137" s="13">
        <v>42870.807337962964</v>
      </c>
      <c r="F137" s="13">
        <v>42870.812743055554</v>
      </c>
      <c r="G137" s="7">
        <v>1</v>
      </c>
      <c r="H137" s="21" t="s">
        <v>902</v>
      </c>
      <c r="I137" s="13">
        <v>42870.838900462964</v>
      </c>
      <c r="J137" s="7">
        <v>0</v>
      </c>
      <c r="K137" s="92" t="str">
        <f t="shared" si="24"/>
        <v>4029/4030</v>
      </c>
      <c r="L137" s="21" t="str">
        <f>VLOOKUP(A137,'Trips&amp;Operators'!$C$1:$G$99999,5,FALSE)</f>
        <v>ZEWDU DEREJE</v>
      </c>
      <c r="M137" s="6">
        <f t="shared" si="25"/>
        <v>2.6157407410209998E-2</v>
      </c>
      <c r="N137" s="7">
        <f t="shared" si="41"/>
        <v>37.666666670702398</v>
      </c>
      <c r="O137" s="7"/>
      <c r="P137" s="7"/>
      <c r="Q137" s="22"/>
      <c r="R137" s="190"/>
      <c r="S137" s="196">
        <f t="shared" si="42"/>
        <v>1</v>
      </c>
      <c r="T137" s="190" t="str">
        <f t="shared" si="26"/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27"/>
        <v>https://d0f6bd738d7f1b3e5a7ca70fe4ff75f0.us-east-1.aws.found.io/app/kibana#/discover/Steve-Slow-Train-Analysis-(2080s-and-2083s)?_g=(refreshInterval:(display:Off,pause:!f,section:0,value:0),time:(from:'2017-05-15T18:22:34-0600',mode:absolute,to:'2017-05-15T21:08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92" t="str">
        <f t="shared" si="28"/>
        <v>N</v>
      </c>
      <c r="X137" s="192">
        <f t="shared" si="43"/>
        <v>1</v>
      </c>
      <c r="Y137" s="192">
        <f t="shared" si="30"/>
        <v>4.6399999999999997E-2</v>
      </c>
      <c r="Z137" s="192">
        <f t="shared" si="31"/>
        <v>23.3322</v>
      </c>
      <c r="AA137" s="192">
        <f t="shared" si="32"/>
        <v>23.285800000000002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33"/>
        <v>0223-15</v>
      </c>
      <c r="AE137" s="80" t="str">
        <f t="shared" si="3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37" s="77" t="str">
        <f t="shared" si="35"/>
        <v>"C:\Program Files (x86)\AstroGrep\AstroGrep.exe" /e /r /s /spath="%USERPROFILE%\AppData\Local\Temp\OnboardLogs" /stypes="app*4030*20170516*" /stext=" 02:.+((SYSTEM_STATE.+slice.+state.+changed )|(ment ac)|(multiple cpu faults)|(system.+state.+changed )|(\[timeout)|(PRM\|1\|D)|(kpr)|(kdp)|(train st.+moving)|(\|lc)|(penalty))"</v>
      </c>
      <c r="AG137" s="1" t="str">
        <f t="shared" si="36"/>
        <v>EC</v>
      </c>
      <c r="AH137" s="81" t="str">
        <f t="shared" si="37"/>
        <v>"%USERPROFILE%\Documents\GitHub\eaglep3\Utilities\RefineRTDCRunTimes.py" --tripid 223-15 --locoid 4030 --swversion DE.1.0.9.0 --startMP 204:464 --initTime 2017-05-15T19:22:34 --startdatetime 2017-05-15T19:30:21 --delay 1 --endMP 204:233322 --enddatetime 2017-05-15T20:08:01 --enforcementcount 0 &gt;&gt;C:\Users\stu\Documents\GitHub\eaglep3-reporting\EC\2017-05-15-refined-times.txt</v>
      </c>
      <c r="AI137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{"issue":{"subject":"","project_id":79,"tracker_id":40,"status_id":1,"priority_id":2,"assigned_to_id":23,"start_date":"2017-05-15","description":"","custom_fields":[{"id":1,"name":"Subdivision","value":"EC"},{"id":4,"name":"Milepost","value":"23.3322"},{"id":17,"name":"Train ID","value":"223-15"},{"id":16,"name":"Locomotive ID","value":"4030"},{"id":130,"name":"Impact","value":""},{"id":150,"name":"Time of Event (Mountain Time)","value":"20:08:01"},{"id":151,"name":"Denver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39"/>
        <v>start /low /b %USERPROFILE%\Documents\GitHub\eaglep3\Utilities\DownloadLogsFromS3.py --loco 4030 --day 2017-05-15</v>
      </c>
      <c r="AN137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02:08:01"},{"id":29,"name":"Sharepoint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794</v>
      </c>
      <c r="B138" s="7">
        <v>4029</v>
      </c>
      <c r="C138" s="21" t="s">
        <v>206</v>
      </c>
      <c r="D138" s="21" t="s">
        <v>432</v>
      </c>
      <c r="E138" s="13">
        <v>42870.84103009259</v>
      </c>
      <c r="F138" s="13">
        <v>42870.851550925923</v>
      </c>
      <c r="G138" s="7">
        <v>1</v>
      </c>
      <c r="H138" s="21" t="s">
        <v>372</v>
      </c>
      <c r="I138" s="13">
        <v>42870.879259259258</v>
      </c>
      <c r="J138" s="7">
        <v>0</v>
      </c>
      <c r="K138" s="92" t="str">
        <f t="shared" si="24"/>
        <v>4029/4030</v>
      </c>
      <c r="L138" s="21" t="str">
        <f>VLOOKUP(A138,'Trips&amp;Operators'!$C$1:$G$99999,5,FALSE)</f>
        <v>ZEWDU DEREJE</v>
      </c>
      <c r="M138" s="6">
        <f t="shared" si="25"/>
        <v>2.7708333334885538E-2</v>
      </c>
      <c r="N138" s="7">
        <f t="shared" si="41"/>
        <v>39.900000002235174</v>
      </c>
      <c r="O138" s="7"/>
      <c r="P138" s="7"/>
      <c r="Q138" s="22"/>
      <c r="R138" s="190"/>
      <c r="S138" s="196">
        <f t="shared" si="42"/>
        <v>1</v>
      </c>
      <c r="T138" s="190" t="str">
        <f t="shared" si="26"/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27"/>
        <v>https://d0f6bd738d7f1b3e5a7ca70fe4ff75f0.us-east-1.aws.found.io/app/kibana#/discover/Steve-Slow-Train-Analysis-(2080s-and-2083s)?_g=(refreshInterval:(display:Off,pause:!f,section:0,value:0),time:(from:'2017-05-15T19:11:05-0600',mode:absolute,to:'2017-05-15T22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192" t="str">
        <f t="shared" si="28"/>
        <v>N</v>
      </c>
      <c r="X138" s="192">
        <f t="shared" si="43"/>
        <v>1</v>
      </c>
      <c r="Y138" s="192">
        <f t="shared" si="30"/>
        <v>23.2973</v>
      </c>
      <c r="Z138" s="192">
        <f t="shared" si="31"/>
        <v>1.47E-2</v>
      </c>
      <c r="AA138" s="192">
        <f t="shared" si="32"/>
        <v>23.282599999999999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33"/>
        <v>0224-15</v>
      </c>
      <c r="AE138" s="80" t="str">
        <f t="shared" si="34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138" s="77" t="str">
        <f t="shared" si="35"/>
        <v>"C:\Program Files (x86)\AstroGrep\AstroGrep.exe" /e /r /s /spath="%USERPROFILE%\AppData\Local\Temp\OnboardLogs" /stypes="app*4029*20170516*" /stext=" 03:.+((SYSTEM_STATE.+slice.+state.+changed )|(ment ac)|(multiple cpu faults)|(system.+state.+changed )|(\[timeout)|(PRM\|1\|D)|(kpr)|(kdp)|(train st.+moving)|(\|lc)|(penalty))"</v>
      </c>
      <c r="AG138" s="1" t="str">
        <f t="shared" si="36"/>
        <v>EC</v>
      </c>
      <c r="AH138" s="81" t="str">
        <f t="shared" si="37"/>
        <v>"%USERPROFILE%\Documents\GitHub\eaglep3\Utilities\RefineRTDCRunTimes.py" --tripid 224-15 --locoid 4029 --swversion DE.1.0.9.0 --startMP 204:232973 --initTime 2017-05-15T20:11:05 --startdatetime 2017-05-15T20:26:14 --delay 1 --endMP 204:147 --enddatetime 2017-05-15T21:06:08 --enforcementcount 0 &gt;&gt;C:\Users\stu\Documents\GitHub\eaglep3-reporting\EC\2017-05-15-refined-times.txt</v>
      </c>
      <c r="AI138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{"issue":{"subject":"","project_id":79,"tracker_id":40,"status_id":1,"priority_id":2,"assigned_to_id":23,"start_date":"2017-05-15","description":"","custom_fields":[{"id":1,"name":"Subdivision","value":"EC"},{"id":4,"name":"Milepost","value":"0.0147"},{"id":17,"name":"Train ID","value":"224-15"},{"id":16,"name":"Locomotive ID","value":"4029"},{"id":130,"name":"Impact","value":""},{"id":150,"name":"Time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39"/>
        <v>start /low /b %USERPROFILE%\Documents\GitHub\eaglep3\Utilities\DownloadLogsFromS3.py --loco 4029 --day 2017-05-15</v>
      </c>
      <c r="AN138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2" t="s">
        <v>624</v>
      </c>
      <c r="B139" s="7">
        <v>4022</v>
      </c>
      <c r="C139" s="21" t="s">
        <v>206</v>
      </c>
      <c r="D139" s="21" t="s">
        <v>420</v>
      </c>
      <c r="E139" s="13">
        <v>42870.828900462962</v>
      </c>
      <c r="F139" s="13">
        <v>42870.83357638889</v>
      </c>
      <c r="G139" s="7">
        <v>1</v>
      </c>
      <c r="H139" s="21" t="s">
        <v>544</v>
      </c>
      <c r="I139" s="13">
        <v>42870.859085648146</v>
      </c>
      <c r="J139" s="7">
        <v>0</v>
      </c>
      <c r="K139" s="92" t="str">
        <f t="shared" si="24"/>
        <v>4021/4022</v>
      </c>
      <c r="L139" s="21" t="str">
        <f>VLOOKUP(A139,'Trips&amp;Operators'!$C$1:$G$99999,5,FALSE)</f>
        <v>LAMAR NEKESHA</v>
      </c>
      <c r="M139" s="6">
        <f t="shared" si="25"/>
        <v>2.5509259256068617E-2</v>
      </c>
      <c r="N139" s="7">
        <f t="shared" si="41"/>
        <v>36.733333328738809</v>
      </c>
      <c r="O139" s="7"/>
      <c r="P139" s="7"/>
      <c r="Q139" s="22"/>
      <c r="R139" s="190"/>
      <c r="S139" s="196">
        <f t="shared" si="42"/>
        <v>1</v>
      </c>
      <c r="T139" s="190" t="str">
        <f t="shared" si="26"/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27"/>
        <v>https://d0f6bd738d7f1b3e5a7ca70fe4ff75f0.us-east-1.aws.found.io/app/kibana#/discover/Steve-Slow-Train-Analysis-(2080s-and-2083s)?_g=(refreshInterval:(display:Off,pause:!f,section:0,value:0),time:(from:'2017-05-15T18:53:37-0600',mode:absolute,to:'2017-05-15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9" s="192" t="str">
        <f t="shared" si="28"/>
        <v>N</v>
      </c>
      <c r="X139" s="192">
        <f t="shared" si="43"/>
        <v>1</v>
      </c>
      <c r="Y139" s="192">
        <f t="shared" si="30"/>
        <v>4.3299999999999998E-2</v>
      </c>
      <c r="Z139" s="192">
        <f t="shared" si="31"/>
        <v>23.3276</v>
      </c>
      <c r="AA139" s="192">
        <f t="shared" si="32"/>
        <v>23.284300000000002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33"/>
        <v>0225-15</v>
      </c>
      <c r="AE139" s="80" t="str">
        <f t="shared" si="3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139" s="77" t="str">
        <f t="shared" si="35"/>
        <v>"C:\Program Files (x86)\AstroGrep\AstroGrep.exe" /e /r /s /spath="%USERPROFILE%\AppData\Local\Temp\OnboardLogs" /stypes="app*4022*20170516*" /stext=" 02:.+((SYSTEM_STATE.+slice.+state.+changed )|(ment ac)|(multiple cpu faults)|(system.+state.+changed )|(\[timeout)|(PRM\|1\|D)|(kpr)|(kdp)|(train st.+moving)|(\|lc)|(penalty))"</v>
      </c>
      <c r="AG139" s="1" t="str">
        <f t="shared" si="36"/>
        <v>EC</v>
      </c>
      <c r="AH139" s="81" t="str">
        <f t="shared" si="37"/>
        <v>"%USERPROFILE%\Documents\GitHub\eaglep3\Utilities\RefineRTDCRunTimes.py" --tripid 225-15 --locoid 4022 --swversion DE.1.0.9.0 --startMP 204:433 --initTime 2017-05-15T19:53:37 --startdatetime 2017-05-15T20:00:21 --delay 1 --endMP 204:233276 --enddatetime 2017-05-15T20:37:05 --enforcementcount 0 &gt;&gt;C:\Users\stu\Documents\GitHub\eaglep3-reporting\EC\2017-05-15-refined-times.txt</v>
      </c>
      <c r="AI139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{"issue":{"subject":"","project_id":79,"tracker_id":40,"status_id":1,"priority_id":2,"assigned_to_id":23,"start_date":"2017-05-15","description":"","custom_fields":[{"id":1,"name":"Subdivision","value":"EC"},{"id":4,"name":"Milepost","value":"23.3276"},{"id":17,"name":"Train ID","value":"225-15"},{"id":16,"name":"Locomotive ID","value":"4022"},{"id":130,"name":"Impact","value":""},{"id":150,"name":"Time of Event (Mountain Time)","value":"20:37:05"},{"id":151,"name":"Denver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20"/>
      <c r="AK139" s="47"/>
      <c r="AL139" s="47"/>
      <c r="AM139" s="145" t="str">
        <f t="shared" si="39"/>
        <v>start /low /b %USERPROFILE%\Documents\GitHub\eaglep3\Utilities\DownloadLogsFromS3.py --loco 4022 --day 2017-05-15</v>
      </c>
      <c r="AN139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0" spans="1:91" s="20" customFormat="1" x14ac:dyDescent="0.25">
      <c r="A140" s="32" t="s">
        <v>798</v>
      </c>
      <c r="B140" s="7">
        <v>4021</v>
      </c>
      <c r="C140" s="21" t="s">
        <v>206</v>
      </c>
      <c r="D140" s="21" t="s">
        <v>543</v>
      </c>
      <c r="E140" s="13">
        <v>42870.868275462963</v>
      </c>
      <c r="F140" s="13">
        <v>42870.872557870367</v>
      </c>
      <c r="G140" s="7">
        <v>1</v>
      </c>
      <c r="H140" s="21" t="s">
        <v>353</v>
      </c>
      <c r="I140" s="13">
        <v>42870.899699074071</v>
      </c>
      <c r="J140" s="7">
        <v>0</v>
      </c>
      <c r="K140" s="92" t="str">
        <f t="shared" si="24"/>
        <v>4021/4022</v>
      </c>
      <c r="L140" s="21" t="str">
        <f>VLOOKUP(A140,'Trips&amp;Operators'!$C$1:$G$99999,5,FALSE)</f>
        <v>LAMAR NEKESHA</v>
      </c>
      <c r="M140" s="6">
        <f t="shared" si="25"/>
        <v>2.7141203703649808E-2</v>
      </c>
      <c r="N140" s="7">
        <f t="shared" si="41"/>
        <v>39.083333333255723</v>
      </c>
      <c r="O140" s="7"/>
      <c r="P140" s="7"/>
      <c r="Q140" s="22"/>
      <c r="R140" s="190"/>
      <c r="S140" s="196">
        <f t="shared" si="42"/>
        <v>1</v>
      </c>
      <c r="T140" s="190" t="str">
        <f t="shared" si="26"/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27"/>
        <v>https://d0f6bd738d7f1b3e5a7ca70fe4ff75f0.us-east-1.aws.found.io/app/kibana#/discover/Steve-Slow-Train-Analysis-(2080s-and-2083s)?_g=(refreshInterval:(display:Off,pause:!f,section:0,value:0),time:(from:'2017-05-15T19:50:19-0600',mode:absolute,to:'2017-05-15T22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0" s="192" t="str">
        <f t="shared" si="28"/>
        <v>N</v>
      </c>
      <c r="X140" s="192">
        <f t="shared" si="43"/>
        <v>1</v>
      </c>
      <c r="Y140" s="192">
        <f t="shared" si="30"/>
        <v>23.297499999999999</v>
      </c>
      <c r="Z140" s="192">
        <f t="shared" si="31"/>
        <v>1.4500000000000001E-2</v>
      </c>
      <c r="AA140" s="192">
        <f t="shared" si="32"/>
        <v>23.282999999999998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33"/>
        <v>0226-15</v>
      </c>
      <c r="AE140" s="80" t="str">
        <f t="shared" si="3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140" s="77" t="str">
        <f t="shared" si="35"/>
        <v>"C:\Program Files (x86)\AstroGrep\AstroGrep.exe" /e /r /s /spath="%USERPROFILE%\AppData\Local\Temp\OnboardLogs" /stypes="app*4021*20170516*" /stext=" 03:.+((SYSTEM_STATE.+slice.+state.+changed )|(ment ac)|(multiple cpu faults)|(system.+state.+changed )|(\[timeout)|(PRM\|1\|D)|(kpr)|(kdp)|(train st.+moving)|(\|lc)|(penalty))"</v>
      </c>
      <c r="AG140" s="1" t="str">
        <f t="shared" si="36"/>
        <v>EC</v>
      </c>
      <c r="AH140" s="81" t="str">
        <f t="shared" si="37"/>
        <v>"%USERPROFILE%\Documents\GitHub\eaglep3\Utilities\RefineRTDCRunTimes.py" --tripid 226-15 --locoid 4021 --swversion DE.1.0.9.0 --startMP 204:232975 --initTime 2017-05-15T20:50:19 --startdatetime 2017-05-15T20:56:29 --delay 1 --endMP 204:145 --enddatetime 2017-05-15T21:35:34 --enforcementcount 0 &gt;&gt;C:\Users\stu\Documents\GitHub\eaglep3-reporting\EC\2017-05-15-refined-times.txt</v>
      </c>
      <c r="AI140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{"issue":{"subject":"","project_id":79,"tracker_id":40,"status_id":1,"priority_id":2,"assigned_to_id":23,"start_date":"2017-05-15","description":"","custom_fields":[{"id":1,"name":"Subdivision","value":"EC"},{"id":4,"name":"Milepost","value":"0.0145"},{"id":17,"name":"Train ID","value":"226-15"},{"id":16,"name":"Locomotive ID","value":"4021"},{"id":130,"name":"Impact","value":""},{"id":150,"name":"Time of Event (Mountain Time)","value":"21:35:34"},{"id":151,"name":"Denver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39"/>
        <v>start /low /b %USERPROFILE%\Documents\GitHub\eaglep3\Utilities\DownloadLogsFromS3.py --loco 4021 --day 2017-05-15</v>
      </c>
      <c r="AN140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796</v>
      </c>
      <c r="B141" s="7">
        <v>4016</v>
      </c>
      <c r="C141" s="21" t="s">
        <v>206</v>
      </c>
      <c r="D141" s="21" t="s">
        <v>418</v>
      </c>
      <c r="E141" s="13">
        <v>42870.850300925929</v>
      </c>
      <c r="F141" s="13">
        <v>42870.854317129626</v>
      </c>
      <c r="G141" s="7">
        <v>1</v>
      </c>
      <c r="H141" s="21" t="s">
        <v>551</v>
      </c>
      <c r="I141" s="13">
        <v>42870.879976851851</v>
      </c>
      <c r="J141" s="7">
        <v>0</v>
      </c>
      <c r="K141" s="92" t="str">
        <f t="shared" ref="K141:K204" si="44">IF(ISEVEN(B141),(B141-1)&amp;"/"&amp;B141,B141&amp;"/"&amp;(B141+1))</f>
        <v>4015/4016</v>
      </c>
      <c r="L141" s="21" t="str">
        <f>VLOOKUP(A141,'Trips&amp;Operators'!$C$1:$G$99999,5,FALSE)</f>
        <v>BIRENBAUM THOMAS</v>
      </c>
      <c r="M141" s="6">
        <f t="shared" ref="M141:M204" si="45">I141-F141</f>
        <v>2.5659722225100268E-2</v>
      </c>
      <c r="N141" s="7">
        <f t="shared" si="41"/>
        <v>36.950000004144385</v>
      </c>
      <c r="O141" s="7"/>
      <c r="P141" s="7"/>
      <c r="Q141" s="22"/>
      <c r="R141" s="190"/>
      <c r="S141" s="196">
        <f t="shared" si="42"/>
        <v>1</v>
      </c>
      <c r="T141" s="190" t="str">
        <f t="shared" ref="T141:T204" si="46"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4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-15T19:24:26-0600',mode:absolute,to:'2017-05-15T22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2" t="str">
        <f t="shared" ref="W141:W204" si="48">IF(AA141&lt;IF(AG141="EC",23,5.65),"Y","N")</f>
        <v>N</v>
      </c>
      <c r="X141" s="192">
        <f t="shared" ref="X141:X172" si="49">VALUE(LEFT(AD141,4))-VALUE(LEFT(AD140,4))</f>
        <v>1</v>
      </c>
      <c r="Y141" s="192">
        <f t="shared" ref="Y141:Y204" si="50">RIGHT(D141,LEN(D141)-4)/10000</f>
        <v>4.6199999999999998E-2</v>
      </c>
      <c r="Z141" s="192">
        <f t="shared" ref="Z141:Z204" si="51">RIGHT(H141,LEN(H141)-4)/10000</f>
        <v>23.328199999999999</v>
      </c>
      <c r="AA141" s="192">
        <f t="shared" ref="AA141:AA204" si="52">ABS(Z141-Y141)</f>
        <v>23.282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53">IF(LEN(A141)=6,"0"&amp;A141,A141)</f>
        <v>0227-15</v>
      </c>
      <c r="AE141" s="80" t="str">
        <f t="shared" ref="AE141:AE204" si="5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141" s="77" t="str">
        <f t="shared" ref="AF141:AF204" si="5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/stypes="app*4016*20170516*"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56">IFERROR(IF(VALUE(LEFT(AD141,2))&lt;=2,"EC",IF(OR(VALUE(LEFT(AD141,2))=8,VALUE(LEFT(AD141,2))=18),"NW","Other")),"Other")</f>
        <v>EC</v>
      </c>
      <c r="AH141" s="81" t="str">
        <f t="shared" si="37"/>
        <v>"%USERPROFILE%\Documents\GitHub\eaglep3\Utilities\RefineRTDCRunTimes.py" --tripid 227-15 --locoid 4016 --swversion DE.1.0.9.0 --startMP 204:462 --initTime 2017-05-15T20:24:26 --startdatetime 2017-05-15T20:30:13 --delay 1 --endMP 204:233282 --enddatetime 2017-05-15T21:07:10 --enforcementcount 0 &gt;&gt;C:\Users\stu\Documents\GitHub\eaglep3-reporting\EC\2017-05-15-refined-times.txt</v>
      </c>
      <c r="AI141" s="99" t="str">
        <f t="shared" si="38"/>
        <v>echo {"issue":{"subject":"","project_id":79,"tracker_id":40,"status_id":1,"priority_id":2,"assigned_to_id":23,"start_date":"2017-05-15","description":"","custom_fields":[{"id":1,"name":"Subdivision","value":"EC"},{"id":4,"name":"Milepost","value":"23.3282"},{"id":17,"name":"Train ID","value":"227-15"},{"id":16,"name":"Locomotive ID","value":"4016"},{"id":130,"name":"Impact","value":""},{"id":150,"name":"Time of Event (Mountain Time)","value":"21:07:10"},{"id":151,"name":"Denver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39"/>
        <v>start /low /b %USERPROFILE%\Documents\GitHub\eaglep3\Utilities\DownloadLogsFromS3.py --loco 4016 --day 2017-05-15</v>
      </c>
      <c r="AN141" s="154" t="str">
        <f t="shared" si="4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802</v>
      </c>
      <c r="B142" s="7">
        <v>4015</v>
      </c>
      <c r="C142" s="21" t="s">
        <v>206</v>
      </c>
      <c r="D142" s="21" t="s">
        <v>903</v>
      </c>
      <c r="E142" s="13">
        <v>42870.890752314815</v>
      </c>
      <c r="F142" s="13">
        <v>42870.893217592595</v>
      </c>
      <c r="G142" s="7">
        <v>2</v>
      </c>
      <c r="H142" s="21" t="s">
        <v>371</v>
      </c>
      <c r="I142" s="13">
        <v>42870.919976851852</v>
      </c>
      <c r="J142" s="7">
        <v>0</v>
      </c>
      <c r="K142" s="92" t="str">
        <f t="shared" si="44"/>
        <v>4015/4016</v>
      </c>
      <c r="L142" s="21" t="str">
        <f>VLOOKUP(A142,'Trips&amp;Operators'!$C$1:$G$99999,5,FALSE)</f>
        <v>BIRENBAUM THOMAS</v>
      </c>
      <c r="M142" s="6">
        <f t="shared" si="45"/>
        <v>2.675925925723277E-2</v>
      </c>
      <c r="N142" s="7">
        <f t="shared" si="41"/>
        <v>38.533333330415189</v>
      </c>
      <c r="O142" s="7"/>
      <c r="P142" s="7"/>
      <c r="Q142" s="22"/>
      <c r="R142" s="190"/>
      <c r="S142" s="196">
        <f t="shared" si="42"/>
        <v>1</v>
      </c>
      <c r="T142" s="190" t="str">
        <f t="shared" si="46"/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47"/>
        <v>https://d0f6bd738d7f1b3e5a7ca70fe4ff75f0.us-east-1.aws.found.io/app/kibana#/discover/Steve-Slow-Train-Analysis-(2080s-and-2083s)?_g=(refreshInterval:(display:Off,pause:!f,section:0,value:0),time:(from:'2017-05-15T20:22:41-0600',mode:absolute,to:'2017-05-15T23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2" t="str">
        <f t="shared" si="48"/>
        <v>N</v>
      </c>
      <c r="X142" s="192">
        <f t="shared" si="49"/>
        <v>1</v>
      </c>
      <c r="Y142" s="192">
        <f t="shared" si="50"/>
        <v>23.295500000000001</v>
      </c>
      <c r="Z142" s="192">
        <f t="shared" si="51"/>
        <v>1.41E-2</v>
      </c>
      <c r="AA142" s="192">
        <f t="shared" si="52"/>
        <v>23.281400000000001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53"/>
        <v>0228-15</v>
      </c>
      <c r="AE142" s="80" t="str">
        <f t="shared" si="5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142" s="77" t="str">
        <f t="shared" si="55"/>
        <v>"C:\Program Files (x86)\AstroGrep\AstroGrep.exe" /e /r /s /spath="%USERPROFILE%\AppData\Local\Temp\OnboardLogs" /stypes="app*4015*20170516*" /stext=" 04:.+((SYSTEM_STATE.+slice.+state.+changed )|(ment ac)|(multiple cpu faults)|(system.+state.+changed )|(\[timeout)|(PRM\|1\|D)|(kpr)|(kdp)|(train st.+moving)|(\|lc)|(penalty))"</v>
      </c>
      <c r="AG142" s="1" t="str">
        <f t="shared" si="56"/>
        <v>EC</v>
      </c>
      <c r="AH142" s="81" t="str">
        <f t="shared" ref="AH142:AH204" si="57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228-15 --locoid 4015 --swversion DE.1.0.9.0 --startMP 204:232955 --initTime 2017-05-15T21:22:41 --startdatetime 2017-05-15T21:26:14 --delay 2 --endMP 204:141 --enddatetime 2017-05-15T22:04:46 --enforcementcount 0 &gt;&gt;C:\Users\stu\Documents\GitHub\eaglep3-reporting\EC\2017-05-15-refined-times.txt</v>
      </c>
      <c r="AI142" s="99" t="str">
        <f t="shared" ref="AI142:AI204" si="58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{"issue":{"subject":"","project_id":79,"tracker_id":40,"status_id":1,"priority_id":2,"assigned_to_id":23,"start_date":"2017-05-15","description":"","custom_fields":[{"id":1,"name":"Subdivision","value":"EC"},{"id":4,"name":"Milepost","value":"0.0141"},{"id":17,"name":"Train ID","value":"228-15"},{"id":16,"name":"Locomotive ID","value":"4015"},{"id":130,"name":"Impact","value":""},{"id":150,"name":"Time of Event (Mountain Time)","value":"22:04:46"},{"id":151,"name":"Denver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4" si="59">"start /low /b "&amp;dls3logs&amp;" --loco "&amp;B142&amp;" --day "&amp;TEXT(F142,"YYYY-MM-DD")</f>
        <v>start /low /b %USERPROFILE%\Documents\GitHub\eaglep3\Utilities\DownloadLogsFromS3.py --loco 4015 --day 2017-05-15</v>
      </c>
      <c r="AN142" s="154" t="str">
        <f t="shared" ref="AN142:AN204" si="60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799</v>
      </c>
      <c r="B143" s="7">
        <v>4052</v>
      </c>
      <c r="C143" s="21" t="s">
        <v>206</v>
      </c>
      <c r="D143" s="21" t="s">
        <v>361</v>
      </c>
      <c r="E143" s="13">
        <v>42870.873449074075</v>
      </c>
      <c r="F143" s="13">
        <v>42870.879328703704</v>
      </c>
      <c r="G143" s="7">
        <v>1</v>
      </c>
      <c r="H143" s="21" t="s">
        <v>852</v>
      </c>
      <c r="I143" s="13">
        <v>42870.901967592596</v>
      </c>
      <c r="J143" s="7">
        <v>0</v>
      </c>
      <c r="K143" s="92" t="str">
        <f t="shared" si="44"/>
        <v>4051/4052</v>
      </c>
      <c r="L143" s="21" t="str">
        <f>VLOOKUP(A143,'Trips&amp;Operators'!$C$1:$G$99999,5,FALSE)</f>
        <v>CHANDLER KELVIN</v>
      </c>
      <c r="M143" s="6">
        <f t="shared" si="45"/>
        <v>2.2638888891378883E-2</v>
      </c>
      <c r="N143" s="7">
        <f t="shared" si="41"/>
        <v>32.600000003585592</v>
      </c>
      <c r="O143" s="7"/>
      <c r="P143" s="7"/>
      <c r="Q143" s="22"/>
      <c r="R143" s="190"/>
      <c r="S143" s="196">
        <f t="shared" si="42"/>
        <v>1</v>
      </c>
      <c r="T143" s="190" t="str">
        <f t="shared" si="46"/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47"/>
        <v>https://d0f6bd738d7f1b3e5a7ca70fe4ff75f0.us-east-1.aws.found.io/app/kibana#/discover/Steve-Slow-Train-Analysis-(2080s-and-2083s)?_g=(refreshInterval:(display:Off,pause:!f,section:0,value:0),time:(from:'2017-05-15T19:57:46-0600',mode:absolute,to:'2017-05-15T22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3" s="192" t="str">
        <f t="shared" si="48"/>
        <v>N</v>
      </c>
      <c r="X143" s="192">
        <f t="shared" si="49"/>
        <v>1</v>
      </c>
      <c r="Y143" s="192">
        <f t="shared" si="50"/>
        <v>4.6600000000000003E-2</v>
      </c>
      <c r="Z143" s="192">
        <f t="shared" si="51"/>
        <v>23.330300000000001</v>
      </c>
      <c r="AA143" s="192">
        <f t="shared" si="52"/>
        <v>23.2837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53"/>
        <v>0229-15</v>
      </c>
      <c r="AE143" s="80" t="str">
        <f t="shared" si="5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43" s="77" t="str">
        <f t="shared" si="55"/>
        <v>"C:\Program Files (x86)\AstroGrep\AstroGrep.exe" /e /r /s /spath="%USERPROFILE%\AppData\Local\Temp\OnboardLogs" /stypes="app*4052*20170516*" /stext=" 03:.+((SYSTEM_STATE.+slice.+state.+changed )|(ment ac)|(multiple cpu faults)|(system.+state.+changed )|(\[timeout)|(PRM\|1\|D)|(kpr)|(kdp)|(train st.+moving)|(\|lc)|(penalty))"</v>
      </c>
      <c r="AG143" s="1" t="str">
        <f t="shared" si="56"/>
        <v>EC</v>
      </c>
      <c r="AH143" s="81" t="str">
        <f t="shared" si="57"/>
        <v>"%USERPROFILE%\Documents\GitHub\eaglep3\Utilities\RefineRTDCRunTimes.py" --tripid 229-15 --locoid 4052 --swversion DE.1.0.9.0 --startMP 204:466 --initTime 2017-05-15T20:57:46 --startdatetime 2017-05-15T21:06:14 --delay 1 --endMP 204:233303 --enddatetime 2017-05-15T21:38:50 --enforcementcount 0 &gt;&gt;C:\Users\stu\Documents\GitHub\eaglep3-reporting\EC\2017-05-15-refined-times.txt</v>
      </c>
      <c r="AI143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{"issue":{"subject":"","project_id":79,"tracker_id":40,"status_id":1,"priority_id":2,"assigned_to_id":23,"start_date":"2017-05-15","description":"","custom_fields":[{"id":1,"name":"Subdivision","value":"EC"},{"id":4,"name":"Milepost","value":"23.3303"},{"id":17,"name":"Train ID","value":"229-15"},{"id":16,"name":"Locomotive ID","value":"4052"},{"id":130,"name":"Impact","value":""},{"id":150,"name":"Time of Event (Mountain Time)","value":"21:38:50"},{"id":151,"name":"Denver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59"/>
        <v>start /low /b %USERPROFILE%\Documents\GitHub\eaglep3\Utilities\DownloadLogsFromS3.py --loco 4052 --day 2017-05-15</v>
      </c>
      <c r="AN143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805</v>
      </c>
      <c r="B144" s="7">
        <v>4051</v>
      </c>
      <c r="C144" s="21" t="s">
        <v>206</v>
      </c>
      <c r="D144" s="21" t="s">
        <v>904</v>
      </c>
      <c r="E144" s="13">
        <v>42870.911319444444</v>
      </c>
      <c r="F144" s="13">
        <v>42870.914166666669</v>
      </c>
      <c r="G144" s="7">
        <v>1</v>
      </c>
      <c r="H144" s="21" t="s">
        <v>895</v>
      </c>
      <c r="I144" s="13">
        <v>42870.942673611113</v>
      </c>
      <c r="J144" s="7">
        <v>0</v>
      </c>
      <c r="K144" s="92" t="str">
        <f t="shared" si="44"/>
        <v>4051/4052</v>
      </c>
      <c r="L144" s="21" t="str">
        <f>VLOOKUP(A144,'Trips&amp;Operators'!$C$1:$G$99999,5,FALSE)</f>
        <v>CHANDLER KELVIN</v>
      </c>
      <c r="M144" s="6">
        <f t="shared" si="45"/>
        <v>2.8506944443506654E-2</v>
      </c>
      <c r="N144" s="7">
        <f t="shared" si="41"/>
        <v>41.049999998649582</v>
      </c>
      <c r="O144" s="7"/>
      <c r="P144" s="7"/>
      <c r="Q144" s="22"/>
      <c r="R144" s="190"/>
      <c r="S144" s="196">
        <f t="shared" si="42"/>
        <v>1</v>
      </c>
      <c r="T144" s="190" t="str">
        <f t="shared" si="46"/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47"/>
        <v>https://d0f6bd738d7f1b3e5a7ca70fe4ff75f0.us-east-1.aws.found.io/app/kibana#/discover/Steve-Slow-Train-Analysis-(2080s-and-2083s)?_g=(refreshInterval:(display:Off,pause:!f,section:0,value:0),time:(from:'2017-05-15T20:52:18-0600',mode:absolute,to:'2017-05-15T23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4" s="192" t="str">
        <f t="shared" si="48"/>
        <v>N</v>
      </c>
      <c r="X144" s="192">
        <f t="shared" si="49"/>
        <v>1</v>
      </c>
      <c r="Y144" s="192">
        <f t="shared" si="50"/>
        <v>23.296099999999999</v>
      </c>
      <c r="Z144" s="192">
        <f t="shared" si="51"/>
        <v>1.6299999999999999E-2</v>
      </c>
      <c r="AA144" s="192">
        <f t="shared" si="52"/>
        <v>23.279799999999998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53"/>
        <v>0230-15</v>
      </c>
      <c r="AE144" s="80" t="str">
        <f t="shared" si="5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144" s="77" t="str">
        <f t="shared" si="55"/>
        <v>"C:\Program Files (x86)\AstroGrep\AstroGrep.exe" /e /r /s /spath="%USERPROFILE%\AppData\Local\Temp\OnboardLogs" /stypes="app*4051*20170516*" /stext=" 04:.+((SYSTEM_STATE.+slice.+state.+changed )|(ment ac)|(multiple cpu faults)|(system.+state.+changed )|(\[timeout)|(PRM\|1\|D)|(kpr)|(kdp)|(train st.+moving)|(\|lc)|(penalty))"</v>
      </c>
      <c r="AG144" s="1" t="str">
        <f t="shared" si="56"/>
        <v>EC</v>
      </c>
      <c r="AH144" s="81" t="str">
        <f t="shared" si="57"/>
        <v>"%USERPROFILE%\Documents\GitHub\eaglep3\Utilities\RefineRTDCRunTimes.py" --tripid 230-15 --locoid 4051 --swversion DE.1.0.9.0 --startMP 204:232961 --initTime 2017-05-15T21:52:18 --startdatetime 2017-05-15T21:56:24 --delay 1 --endMP 204:163 --enddatetime 2017-05-15T22:37:27 --enforcementcount 0 &gt;&gt;C:\Users\stu\Documents\GitHub\eaglep3-reporting\EC\2017-05-15-refined-times.txt</v>
      </c>
      <c r="AI144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{"issue":{"subject":"","project_id":79,"tracker_id":40,"status_id":1,"priority_id":2,"assigned_to_id":23,"start_date":"2017-05-15","description":"","custom_fields":[{"id":1,"name":"Subdivision","value":"EC"},{"id":4,"name":"Milepost","value":"0.0163"},{"id":17,"name":"Train ID","value":"230-15"},{"id":16,"name":"Locomotive ID","value":"4051"},{"id":130,"name":"Impact","value":""},{"id":150,"name":"Time of Event (Mountain Time)","value":"22:37:27"},{"id":151,"name":"Denver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59"/>
        <v>start /low /b %USERPROFILE%\Documents\GitHub\eaglep3\Utilities\DownloadLogsFromS3.py --loco 4051 --day 2017-05-15</v>
      </c>
      <c r="AN144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801</v>
      </c>
      <c r="B145" s="7">
        <v>4030</v>
      </c>
      <c r="C145" s="21" t="s">
        <v>206</v>
      </c>
      <c r="D145" s="21" t="s">
        <v>533</v>
      </c>
      <c r="E145" s="13">
        <v>42870.887199074074</v>
      </c>
      <c r="F145" s="13">
        <v>42870.895995370367</v>
      </c>
      <c r="G145" s="7">
        <v>1</v>
      </c>
      <c r="H145" s="21" t="s">
        <v>846</v>
      </c>
      <c r="I145" s="13">
        <v>42870.922615740739</v>
      </c>
      <c r="J145" s="7">
        <v>0</v>
      </c>
      <c r="K145" s="92" t="str">
        <f t="shared" si="44"/>
        <v>4029/4030</v>
      </c>
      <c r="L145" s="21" t="str">
        <f>VLOOKUP(A145,'Trips&amp;Operators'!$C$1:$G$99999,5,FALSE)</f>
        <v>ZEWDU DEREJE</v>
      </c>
      <c r="M145" s="6">
        <f t="shared" si="45"/>
        <v>2.662037037225673E-2</v>
      </c>
      <c r="N145" s="7">
        <f t="shared" si="41"/>
        <v>38.333333336049691</v>
      </c>
      <c r="O145" s="7"/>
      <c r="P145" s="7"/>
      <c r="Q145" s="22"/>
      <c r="R145" s="190"/>
      <c r="S145" s="196">
        <f t="shared" si="42"/>
        <v>1</v>
      </c>
      <c r="T145" s="190" t="str">
        <f t="shared" si="46"/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47"/>
        <v>https://d0f6bd738d7f1b3e5a7ca70fe4ff75f0.us-east-1.aws.found.io/app/kibana#/discover/Steve-Slow-Train-Analysis-(2080s-and-2083s)?_g=(refreshInterval:(display:Off,pause:!f,section:0,value:0),time:(from:'2017-05-15T20:17:34-0600',mode:absolute,to:'2017-05-15T23:08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92" t="str">
        <f t="shared" si="48"/>
        <v>N</v>
      </c>
      <c r="X145" s="192">
        <f t="shared" si="49"/>
        <v>1</v>
      </c>
      <c r="Y145" s="192">
        <f t="shared" si="50"/>
        <v>4.6699999999999998E-2</v>
      </c>
      <c r="Z145" s="192">
        <f t="shared" si="51"/>
        <v>23.329799999999999</v>
      </c>
      <c r="AA145" s="192">
        <f t="shared" si="52"/>
        <v>23.283099999999997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53"/>
        <v>0231-15</v>
      </c>
      <c r="AE145" s="80" t="str">
        <f t="shared" si="5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45" s="77" t="str">
        <f t="shared" si="55"/>
        <v>"C:\Program Files (x86)\AstroGrep\AstroGrep.exe" /e /r /s /spath="%USERPROFILE%\AppData\Local\Temp\OnboardLogs" /stypes="app*4030*20170516*" /stext=" 04:.+((SYSTEM_STATE.+slice.+state.+changed )|(ment ac)|(multiple cpu faults)|(system.+state.+changed )|(\[timeout)|(PRM\|1\|D)|(kpr)|(kdp)|(train st.+moving)|(\|lc)|(penalty))"</v>
      </c>
      <c r="AG145" s="1" t="str">
        <f t="shared" si="56"/>
        <v>EC</v>
      </c>
      <c r="AH145" s="81" t="str">
        <f t="shared" si="57"/>
        <v>"%USERPROFILE%\Documents\GitHub\eaglep3\Utilities\RefineRTDCRunTimes.py" --tripid 231-15 --locoid 4030 --swversion DE.1.0.9.0 --startMP 204:467 --initTime 2017-05-15T21:17:34 --startdatetime 2017-05-15T21:30:14 --delay 1 --endMP 204:233298 --enddatetime 2017-05-15T22:08:34 --enforcementcount 0 &gt;&gt;C:\Users\stu\Documents\GitHub\eaglep3-reporting\EC\2017-05-15-refined-times.txt</v>
      </c>
      <c r="AI145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{"issue":{"subject":"","project_id":79,"tracker_id":40,"status_id":1,"priority_id":2,"assigned_to_id":23,"start_date":"2017-05-15","description":"","custom_fields":[{"id":1,"name":"Subdivision","value":"EC"},{"id":4,"name":"Milepost","value":"23.3298"},{"id":17,"name":"Train ID","value":"231-15"},{"id":16,"name":"Locomotive ID","value":"4030"},{"id":130,"name":"Impact","value":""},{"id":150,"name":"Time of Event (Mountain Time)","value":"22:08:34"},{"id":151,"name":"Denver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59"/>
        <v>start /low /b %USERPROFILE%\Documents\GitHub\eaglep3\Utilities\DownloadLogsFromS3.py --loco 4030 --day 2017-05-15</v>
      </c>
      <c r="AN145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04:08:34"},{"id":29,"name":"Sharepoint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x14ac:dyDescent="0.25">
      <c r="A146" s="32" t="s">
        <v>807</v>
      </c>
      <c r="B146" s="7">
        <v>4029</v>
      </c>
      <c r="C146" s="21" t="s">
        <v>206</v>
      </c>
      <c r="D146" s="21" t="s">
        <v>540</v>
      </c>
      <c r="E146" s="13">
        <v>42870.930486111109</v>
      </c>
      <c r="F146" s="13">
        <v>42870.934895833336</v>
      </c>
      <c r="G146" s="7">
        <v>1</v>
      </c>
      <c r="H146" s="21" t="s">
        <v>372</v>
      </c>
      <c r="I146" s="13">
        <v>42870.964375000003</v>
      </c>
      <c r="J146" s="7">
        <v>0</v>
      </c>
      <c r="K146" s="92" t="str">
        <f t="shared" si="44"/>
        <v>4029/4030</v>
      </c>
      <c r="L146" s="21" t="str">
        <f>VLOOKUP(A146,'Trips&amp;Operators'!$C$1:$G$99999,5,FALSE)</f>
        <v>ZEWDU DEREJE</v>
      </c>
      <c r="M146" s="6">
        <f t="shared" si="45"/>
        <v>2.9479166667442769E-2</v>
      </c>
      <c r="N146" s="7">
        <f t="shared" si="41"/>
        <v>42.450000001117587</v>
      </c>
      <c r="O146" s="7"/>
      <c r="P146" s="7"/>
      <c r="Q146" s="22"/>
      <c r="R146" s="190"/>
      <c r="S146" s="196">
        <f t="shared" si="42"/>
        <v>1</v>
      </c>
      <c r="T146" s="190" t="str">
        <f t="shared" si="46"/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47"/>
        <v>https://d0f6bd738d7f1b3e5a7ca70fe4ff75f0.us-east-1.aws.found.io/app/kibana#/discover/Steve-Slow-Train-Analysis-(2080s-and-2083s)?_g=(refreshInterval:(display:Off,pause:!f,section:0,value:0),time:(from:'2017-05-15T21:19:54-0600',mode:absolute,to:'2017-05-16T00:08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92" t="str">
        <f t="shared" si="48"/>
        <v>N</v>
      </c>
      <c r="X146" s="192">
        <f t="shared" si="49"/>
        <v>1</v>
      </c>
      <c r="Y146" s="192">
        <f t="shared" si="50"/>
        <v>23.299099999999999</v>
      </c>
      <c r="Z146" s="192">
        <f t="shared" si="51"/>
        <v>1.47E-2</v>
      </c>
      <c r="AA146" s="192">
        <f t="shared" si="52"/>
        <v>23.284399999999998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53"/>
        <v>0232-15</v>
      </c>
      <c r="AE146" s="80" t="str">
        <f t="shared" si="54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146" s="77" t="str">
        <f t="shared" si="55"/>
        <v>"C:\Program Files (x86)\AstroGrep\AstroGrep.exe" /e /r /s /spath="%USERPROFILE%\AppData\Local\Temp\OnboardLogs" /stypes="app*4029*20170516*" /stext=" 05:.+((SYSTEM_STATE.+slice.+state.+changed )|(ment ac)|(multiple cpu faults)|(system.+state.+changed )|(\[timeout)|(PRM\|1\|D)|(kpr)|(kdp)|(train st.+moving)|(\|lc)|(penalty))"</v>
      </c>
      <c r="AG146" s="1" t="str">
        <f t="shared" si="56"/>
        <v>EC</v>
      </c>
      <c r="AH146" s="81" t="str">
        <f t="shared" si="57"/>
        <v>"%USERPROFILE%\Documents\GitHub\eaglep3\Utilities\RefineRTDCRunTimes.py" --tripid 232-15 --locoid 4029 --swversion DE.1.0.9.0 --startMP 204:232991 --initTime 2017-05-15T22:19:54 --startdatetime 2017-05-15T22:26:15 --delay 1 --endMP 204:147 --enddatetime 2017-05-15T23:08:42 --enforcementcount 0 &gt;&gt;C:\Users\stu\Documents\GitHub\eaglep3-reporting\EC\2017-05-15-refined-times.txt</v>
      </c>
      <c r="AI146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{"issue":{"subject":"","project_id":79,"tracker_id":40,"status_id":1,"priority_id":2,"assigned_to_id":23,"start_date":"2017-05-15","description":"","custom_fields":[{"id":1,"name":"Subdivision","value":"EC"},{"id":4,"name":"Milepost","value":"0.0147"},{"id":17,"name":"Train ID","value":"232-15"},{"id":16,"name":"Locomotive ID","value":"4029"},{"id":130,"name":"Impact","value":""},{"id":150,"name":"Time of Event (Mountain Time)","value":"23:08:42"},{"id":151,"name":"Denver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20"/>
      <c r="AK146" s="47"/>
      <c r="AL146" s="47"/>
      <c r="AM146" s="145" t="str">
        <f t="shared" si="59"/>
        <v>start /low /b %USERPROFILE%\Documents\GitHub\eaglep3\Utilities\DownloadLogsFromS3.py --loco 4029 --day 2017-05-15</v>
      </c>
      <c r="AN146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05:08:42"},{"id":29,"name":"Sharepoint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7" spans="1:91" x14ac:dyDescent="0.25">
      <c r="A147" s="32" t="s">
        <v>804</v>
      </c>
      <c r="B147" s="7">
        <v>4022</v>
      </c>
      <c r="C147" s="21" t="s">
        <v>206</v>
      </c>
      <c r="D147" s="21" t="s">
        <v>366</v>
      </c>
      <c r="E147" s="13">
        <v>42870.900833333333</v>
      </c>
      <c r="F147" s="13">
        <v>42870.91715277778</v>
      </c>
      <c r="G147" s="7">
        <v>1</v>
      </c>
      <c r="H147" s="21" t="s">
        <v>905</v>
      </c>
      <c r="I147" s="13">
        <v>42870.942210648151</v>
      </c>
      <c r="J147" s="7">
        <v>0</v>
      </c>
      <c r="K147" s="92" t="str">
        <f t="shared" si="44"/>
        <v>4021/4022</v>
      </c>
      <c r="L147" s="21" t="str">
        <f>VLOOKUP(A147,'Trips&amp;Operators'!$C$1:$G$99999,5,FALSE)</f>
        <v>LAMAR NEKESHA</v>
      </c>
      <c r="M147" s="6">
        <f t="shared" si="45"/>
        <v>2.5057870370801538E-2</v>
      </c>
      <c r="N147" s="7">
        <f t="shared" si="41"/>
        <v>36.083333333954215</v>
      </c>
      <c r="O147" s="7"/>
      <c r="P147" s="7"/>
      <c r="Q147" s="22"/>
      <c r="R147" s="190"/>
      <c r="S147" s="196">
        <f t="shared" si="42"/>
        <v>1</v>
      </c>
      <c r="T147" s="190" t="str">
        <f t="shared" si="46"/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47"/>
        <v>https://d0f6bd738d7f1b3e5a7ca70fe4ff75f0.us-east-1.aws.found.io/app/kibana#/discover/Steve-Slow-Train-Analysis-(2080s-and-2083s)?_g=(refreshInterval:(display:Off,pause:!f,section:0,value:0),time:(from:'2017-05-15T20:37:12-0600',mode:absolute,to:'2017-05-15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7" s="192" t="str">
        <f t="shared" si="48"/>
        <v>N</v>
      </c>
      <c r="X147" s="192">
        <f t="shared" si="49"/>
        <v>1</v>
      </c>
      <c r="Y147" s="192">
        <f t="shared" si="50"/>
        <v>4.53E-2</v>
      </c>
      <c r="Z147" s="192">
        <f t="shared" si="51"/>
        <v>23.344799999999999</v>
      </c>
      <c r="AA147" s="192">
        <f t="shared" si="52"/>
        <v>23.299499999999998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53"/>
        <v>0233-15</v>
      </c>
      <c r="AE147" s="80" t="str">
        <f t="shared" si="5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147" s="77" t="str">
        <f t="shared" si="55"/>
        <v>"C:\Program Files (x86)\AstroGrep\AstroGrep.exe" /e /r /s /spath="%USERPROFILE%\AppData\Local\Temp\OnboardLogs" /stypes="app*4022*20170516*" /stext=" 04:.+((SYSTEM_STATE.+slice.+state.+changed )|(ment ac)|(multiple cpu faults)|(system.+state.+changed )|(\[timeout)|(PRM\|1\|D)|(kpr)|(kdp)|(train st.+moving)|(\|lc)|(penalty))"</v>
      </c>
      <c r="AG147" s="1" t="str">
        <f t="shared" si="56"/>
        <v>EC</v>
      </c>
      <c r="AH147" s="81" t="str">
        <f t="shared" si="57"/>
        <v>"%USERPROFILE%\Documents\GitHub\eaglep3\Utilities\RefineRTDCRunTimes.py" --tripid 233-15 --locoid 4022 --swversion DE.1.0.9.0 --startMP 204:453 --initTime 2017-05-15T21:37:12 --startdatetime 2017-05-15T22:00:42 --delay 1 --endMP 204:233448 --enddatetime 2017-05-15T22:36:47 --enforcementcount 0 &gt;&gt;C:\Users\stu\Documents\GitHub\eaglep3-reporting\EC\2017-05-15-refined-times.txt</v>
      </c>
      <c r="AI147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{"issue":{"subject":"","project_id":79,"tracker_id":40,"status_id":1,"priority_id":2,"assigned_to_id":23,"start_date":"2017-05-15","description":"","custom_fields":[{"id":1,"name":"Subdivision","value":"EC"},{"id":4,"name":"Milepost","value":"23.3448"},{"id":17,"name":"Train ID","value":"233-15"},{"id":16,"name":"Locomotive ID","value":"4022"},{"id":130,"name":"Impact","value":""},{"id":150,"name":"Time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7"/>
      <c r="AL147" s="47"/>
      <c r="AM147" s="145" t="str">
        <f t="shared" si="59"/>
        <v>start /low /b %USERPROFILE%\Documents\GitHub\eaglep3\Utilities\DownloadLogsFromS3.py --loco 4022 --day 2017-05-15</v>
      </c>
      <c r="AN147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2" t="s">
        <v>810</v>
      </c>
      <c r="B148" s="7">
        <v>4021</v>
      </c>
      <c r="C148" s="21" t="s">
        <v>206</v>
      </c>
      <c r="D148" s="21" t="s">
        <v>906</v>
      </c>
      <c r="E148" s="13">
        <v>42870.952048611114</v>
      </c>
      <c r="F148" s="13">
        <v>42870.956099537034</v>
      </c>
      <c r="G148" s="7">
        <v>1</v>
      </c>
      <c r="H148" s="21" t="s">
        <v>358</v>
      </c>
      <c r="I148" s="13">
        <v>42870.981863425928</v>
      </c>
      <c r="J148" s="7">
        <v>0</v>
      </c>
      <c r="K148" s="92" t="str">
        <f t="shared" si="44"/>
        <v>4021/4022</v>
      </c>
      <c r="L148" s="21" t="str">
        <f>VLOOKUP(A148,'Trips&amp;Operators'!$C$1:$G$99999,5,FALSE)</f>
        <v>LAMAR NEKESHA</v>
      </c>
      <c r="M148" s="6">
        <f t="shared" si="45"/>
        <v>2.5763888894289266E-2</v>
      </c>
      <c r="N148" s="7">
        <f t="shared" ref="N148:N211" si="61">24*60*SUM($M148:$M148)</f>
        <v>37.100000007776543</v>
      </c>
      <c r="O148" s="7"/>
      <c r="P148" s="7"/>
      <c r="Q148" s="22"/>
      <c r="R148" s="190"/>
      <c r="S148" s="196">
        <f t="shared" ref="S148:S211" si="62">SUM(U148:U148)/IF(AG148="EC",12,1)</f>
        <v>1</v>
      </c>
      <c r="T148" s="190" t="str">
        <f t="shared" si="46"/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47"/>
        <v>https://d0f6bd738d7f1b3e5a7ca70fe4ff75f0.us-east-1.aws.found.io/app/kibana#/discover/Steve-Slow-Train-Analysis-(2080s-and-2083s)?_g=(refreshInterval:(display:Off,pause:!f,section:0,value:0),time:(from:'2017-05-15T21:50:57-0600',mode:absolute,to:'2017-05-16T00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8" s="192" t="str">
        <f t="shared" si="48"/>
        <v>N</v>
      </c>
      <c r="X148" s="192">
        <f t="shared" si="49"/>
        <v>1</v>
      </c>
      <c r="Y148" s="192">
        <f t="shared" si="50"/>
        <v>23.313800000000001</v>
      </c>
      <c r="Z148" s="192">
        <f t="shared" si="51"/>
        <v>1.4999999999999999E-2</v>
      </c>
      <c r="AA148" s="192">
        <f t="shared" si="52"/>
        <v>23.2988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53"/>
        <v>0234-15</v>
      </c>
      <c r="AE148" s="80" t="str">
        <f t="shared" si="5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148" s="77" t="str">
        <f t="shared" si="55"/>
        <v>"C:\Program Files (x86)\AstroGrep\AstroGrep.exe" /e /r /s /spath="%USERPROFILE%\AppData\Local\Temp\OnboardLogs" /stypes="app*4021*20170516*" /stext=" 05:.+((SYSTEM_STATE.+slice.+state.+changed )|(ment ac)|(multiple cpu faults)|(system.+state.+changed )|(\[timeout)|(PRM\|1\|D)|(kpr)|(kdp)|(train st.+moving)|(\|lc)|(penalty))"</v>
      </c>
      <c r="AG148" s="1" t="str">
        <f t="shared" si="56"/>
        <v>EC</v>
      </c>
      <c r="AH148" s="81" t="str">
        <f t="shared" si="57"/>
        <v>"%USERPROFILE%\Documents\GitHub\eaglep3\Utilities\RefineRTDCRunTimes.py" --tripid 234-15 --locoid 4021 --swversion DE.1.0.9.0 --startMP 204:233138 --initTime 2017-05-15T22:50:57 --startdatetime 2017-05-15T22:56:47 --delay 1 --endMP 204:150 --enddatetime 2017-05-15T23:33:53 --enforcementcount 0 &gt;&gt;C:\Users\stu\Documents\GitHub\eaglep3-reporting\EC\2017-05-15-refined-times.txt</v>
      </c>
      <c r="AI148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{"issue":{"subject":"","project_id":79,"tracker_id":40,"status_id":1,"priority_id":2,"assigned_to_id":23,"start_date":"2017-05-15","description":"","custom_fields":[{"id":1,"name":"Subdivision","value":"EC"},{"id":4,"name":"Milepost","value":"0.015"},{"id":17,"name":"Train ID","value":"234-15"},{"id":16,"name":"Locomotive ID","value":"4021"},{"id":130,"name":"Impact","value":""},{"id":150,"name":"Time of Event (Mountain Time)","value":"23:33:53"},{"id":151,"name":"Denver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59"/>
        <v>start /low /b %USERPROFILE%\Documents\GitHub\eaglep3\Utilities\DownloadLogsFromS3.py --loco 4021 --day 2017-05-15</v>
      </c>
      <c r="AN148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05:33:53"},{"id":29,"name":"Sharepoint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2" t="s">
        <v>808</v>
      </c>
      <c r="B149" s="7">
        <v>4016</v>
      </c>
      <c r="C149" s="21" t="s">
        <v>206</v>
      </c>
      <c r="D149" s="21" t="s">
        <v>366</v>
      </c>
      <c r="E149" s="13">
        <v>42870.936122685183</v>
      </c>
      <c r="F149" s="13">
        <v>42870.937627314815</v>
      </c>
      <c r="G149" s="7">
        <v>1</v>
      </c>
      <c r="H149" s="21" t="s">
        <v>536</v>
      </c>
      <c r="I149" s="13">
        <v>42870.961967592593</v>
      </c>
      <c r="J149" s="7">
        <v>0</v>
      </c>
      <c r="K149" s="92" t="str">
        <f t="shared" si="44"/>
        <v>4015/4016</v>
      </c>
      <c r="L149" s="21" t="str">
        <f>VLOOKUP(A149,'Trips&amp;Operators'!$C$1:$G$99999,5,FALSE)</f>
        <v>BIRENBAUM THOMAS</v>
      </c>
      <c r="M149" s="6">
        <f t="shared" si="45"/>
        <v>2.4340277777810115E-2</v>
      </c>
      <c r="N149" s="7">
        <f t="shared" si="61"/>
        <v>35.050000000046566</v>
      </c>
      <c r="O149" s="7"/>
      <c r="P149" s="7"/>
      <c r="Q149" s="22"/>
      <c r="R149" s="190"/>
      <c r="S149" s="196">
        <f t="shared" si="62"/>
        <v>1</v>
      </c>
      <c r="T149" s="190" t="str">
        <f t="shared" si="46"/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47"/>
        <v>https://d0f6bd738d7f1b3e5a7ca70fe4ff75f0.us-east-1.aws.found.io/app/kibana#/discover/Steve-Slow-Train-Analysis-(2080s-and-2083s)?_g=(refreshInterval:(display:Off,pause:!f,section:0,value:0),time:(from:'2017-05-15T21:28:01-0600',mode:absolute,to:'2017-05-16T00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2" t="str">
        <f t="shared" si="48"/>
        <v>N</v>
      </c>
      <c r="X149" s="192">
        <f t="shared" si="49"/>
        <v>1</v>
      </c>
      <c r="Y149" s="192">
        <f t="shared" si="50"/>
        <v>4.53E-2</v>
      </c>
      <c r="Z149" s="192">
        <f t="shared" si="51"/>
        <v>23.3323</v>
      </c>
      <c r="AA149" s="192">
        <f t="shared" si="52"/>
        <v>23.286999999999999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53"/>
        <v>0235-15</v>
      </c>
      <c r="AE149" s="80" t="str">
        <f t="shared" si="54"/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AF149" s="77" t="str">
        <f t="shared" si="55"/>
        <v>"C:\Program Files (x86)\AstroGrep\AstroGrep.exe" /e /r /s /spath="%USERPROFILE%\AppData\Local\Temp\OnboardLogs" /stypes="app*4016*20170516*" /stext=" 05:.+((SYSTEM_STATE.+slice.+state.+changed )|(ment ac)|(multiple cpu faults)|(system.+state.+changed )|(\[timeout)|(PRM\|1\|D)|(kpr)|(kdp)|(train st.+moving)|(\|lc)|(penalty))"</v>
      </c>
      <c r="AG149" s="1" t="str">
        <f t="shared" si="56"/>
        <v>EC</v>
      </c>
      <c r="AH149" s="81" t="str">
        <f t="shared" si="57"/>
        <v>"%USERPROFILE%\Documents\GitHub\eaglep3\Utilities\RefineRTDCRunTimes.py" --tripid 235-15 --locoid 4016 --swversion DE.1.0.9.0 --startMP 204:453 --initTime 2017-05-15T22:28:01 --startdatetime 2017-05-15T22:30:11 --delay 1 --endMP 204:233323 --enddatetime 2017-05-15T23:05:14 --enforcementcount 0 &gt;&gt;C:\Users\stu\Documents\GitHub\eaglep3-reporting\EC\2017-05-15-refined-times.txt</v>
      </c>
      <c r="AI149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{"issue":{"subject":"","project_id":79,"tracker_id":40,"status_id":1,"priority_id":2,"assigned_to_id":23,"start_date":"2017-05-15","description":"","custom_fields":[{"id":1,"name":"Subdivision","value":"EC"},{"id":4,"name":"Milepost","value":"23.3323"},{"id":17,"name":"Train ID","value":"235-15"},{"id":16,"name":"Locomotive ID","value":"4016"},{"id":130,"name":"Impact","value":""},{"id":150,"name":"Time of Event (Mountain Time)","value":"23:05:14"},{"id":151,"name":"Denver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7"/>
      <c r="AL149" s="47"/>
      <c r="AM149" s="145" t="str">
        <f t="shared" si="59"/>
        <v>start /low /b %USERPROFILE%\Documents\GitHub\eaglep3\Utilities\DownloadLogsFromS3.py --loco 4016 --day 2017-05-15</v>
      </c>
      <c r="AN149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05:05:14"},{"id":29,"name":"Sharepoint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x14ac:dyDescent="0.25">
      <c r="A150" s="32" t="s">
        <v>628</v>
      </c>
      <c r="B150" s="7">
        <v>4015</v>
      </c>
      <c r="C150" s="21" t="s">
        <v>206</v>
      </c>
      <c r="D150" s="21" t="s">
        <v>907</v>
      </c>
      <c r="E150" s="13">
        <v>42870.973240740743</v>
      </c>
      <c r="F150" s="13">
        <v>42870.976631944446</v>
      </c>
      <c r="G150" s="7">
        <v>0</v>
      </c>
      <c r="H150" s="21" t="s">
        <v>360</v>
      </c>
      <c r="I150" s="13">
        <v>42871.004745370374</v>
      </c>
      <c r="J150" s="7">
        <v>0</v>
      </c>
      <c r="K150" s="92" t="str">
        <f t="shared" si="44"/>
        <v>4015/4016</v>
      </c>
      <c r="L150" s="21" t="str">
        <f>VLOOKUP(A150,'Trips&amp;Operators'!$C$1:$G$99999,5,FALSE)</f>
        <v>BIRENBAUM THOMAS</v>
      </c>
      <c r="M150" s="6">
        <f t="shared" si="45"/>
        <v>2.8113425927585922E-2</v>
      </c>
      <c r="N150" s="7">
        <f t="shared" si="61"/>
        <v>40.483333335723728</v>
      </c>
      <c r="O150" s="7"/>
      <c r="P150" s="7"/>
      <c r="Q150" s="22"/>
      <c r="R150" s="190"/>
      <c r="S150" s="196">
        <f t="shared" si="62"/>
        <v>1</v>
      </c>
      <c r="T150" s="190" t="str">
        <f t="shared" si="46"/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47"/>
        <v>https://d0f6bd738d7f1b3e5a7ca70fe4ff75f0.us-east-1.aws.found.io/app/kibana#/discover/Steve-Slow-Train-Analysis-(2080s-and-2083s)?_g=(refreshInterval:(display:Off,pause:!f,section:0,value:0),time:(from:'2017-05-15T22:21:28-0600',mode:absolute,to:'2017-05-16T01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2" t="str">
        <f t="shared" si="48"/>
        <v>N</v>
      </c>
      <c r="X150" s="192">
        <f t="shared" si="49"/>
        <v>1</v>
      </c>
      <c r="Y150" s="192">
        <f t="shared" si="50"/>
        <v>23.299600000000002</v>
      </c>
      <c r="Z150" s="192">
        <f t="shared" si="51"/>
        <v>1.43E-2</v>
      </c>
      <c r="AA150" s="192">
        <f t="shared" si="52"/>
        <v>23.285300000000003</v>
      </c>
      <c r="AB150" s="57" t="str">
        <f>VLOOKUP(A150,Enforcements!$C$7:$K$13,8,0)</f>
        <v>Bulletin (2)</v>
      </c>
      <c r="AC150" s="53" t="str">
        <f>VLOOKUP(A150,Enforcements!$C$7:$E$13,3,0)</f>
        <v>GRADE CROSSING</v>
      </c>
      <c r="AD150" s="54" t="str">
        <f t="shared" si="53"/>
        <v>0236-15</v>
      </c>
      <c r="AE150" s="80" t="str">
        <f t="shared" si="5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150" s="77" t="str">
        <f t="shared" si="55"/>
        <v>"C:\Program Files (x86)\AstroGrep\AstroGrep.exe" /e /r /s /spath="%USERPROFILE%\AppData\Local\Temp\OnboardLogs" /stypes="app*4015*20170516*" /stext=" 06:.+((SYSTEM_STATE.+slice.+state.+changed )|(ment ac)|(multiple cpu faults)|(system.+state.+changed )|(\[timeout)|(PRM\|1\|D)|(kpr)|(kdp)|(train st.+moving)|(\|lc)|(penalty))"</v>
      </c>
      <c r="AG150" s="1" t="str">
        <f t="shared" si="56"/>
        <v>EC</v>
      </c>
      <c r="AH150" s="81" t="str">
        <f t="shared" si="57"/>
        <v>"%USERPROFILE%\Documents\GitHub\eaglep3\Utilities\RefineRTDCRunTimes.py" --tripid 236-15 --locoid 4015 --swversion DE.1.0.9.0 --startMP 204:232996 --initTime 2017-05-15T23:21:28 --startdatetime 2017-05-15T23:26:21 --delay 0 --endMP 204:143 --enddatetime 2017-05-16T00:06:50 --enforcementcount 0 &gt;&gt;C:\Users\stu\Documents\GitHub\eaglep3-reporting\EC\2017-05-15-refined-times.txt</v>
      </c>
      <c r="AI150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{"issue":{"subject":"","project_id":79,"tracker_id":40,"status_id":1,"priority_id":2,"assigned_to_id":23,"start_date":"2017-05-16","description":"","custom_fields":[{"id":1,"name":"Subdivision","value":"EC"},{"id":4,"name":"Milepost","value":"0.0143"},{"id":17,"name":"Train ID","value":"236-15"},{"id":16,"name":"Locomotive ID","value":"4015"},{"id":130,"name":"Impact","value":""},{"id":150,"name":"Time of Event (Mountain Time)","value":"00:06:50"},{"id":151,"name":"Denver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59"/>
        <v>start /low /b %USERPROFILE%\Documents\GitHub\eaglep3\Utilities\DownloadLogsFromS3.py --loco 4015 --day 2017-05-15</v>
      </c>
      <c r="AN150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811</v>
      </c>
      <c r="B151" s="7">
        <v>4052</v>
      </c>
      <c r="C151" s="21" t="s">
        <v>206</v>
      </c>
      <c r="D151" s="21" t="s">
        <v>364</v>
      </c>
      <c r="E151" s="13">
        <v>42870.955520833333</v>
      </c>
      <c r="F151" s="13">
        <v>42870.958692129629</v>
      </c>
      <c r="G151" s="7">
        <v>1</v>
      </c>
      <c r="H151" s="21" t="s">
        <v>539</v>
      </c>
      <c r="I151" s="13">
        <v>42870.983784722222</v>
      </c>
      <c r="J151" s="7">
        <v>0</v>
      </c>
      <c r="K151" s="92" t="str">
        <f t="shared" si="44"/>
        <v>4051/4052</v>
      </c>
      <c r="L151" s="21" t="str">
        <f>VLOOKUP(A151,'Trips&amp;Operators'!$C$1:$G$99999,5,FALSE)</f>
        <v>CHANDLER KELVIN</v>
      </c>
      <c r="M151" s="6">
        <f t="shared" si="45"/>
        <v>2.5092592593864538E-2</v>
      </c>
      <c r="N151" s="7">
        <f t="shared" si="61"/>
        <v>36.133333335164934</v>
      </c>
      <c r="O151" s="7"/>
      <c r="P151" s="7"/>
      <c r="Q151" s="22"/>
      <c r="R151" s="190"/>
      <c r="S151" s="196">
        <f t="shared" si="62"/>
        <v>1</v>
      </c>
      <c r="T151" s="190" t="str">
        <f t="shared" si="46"/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47"/>
        <v>https://d0f6bd738d7f1b3e5a7ca70fe4ff75f0.us-east-1.aws.found.io/app/kibana#/discover/Steve-Slow-Train-Analysis-(2080s-and-2083s)?_g=(refreshInterval:(display:Off,pause:!f,section:0,value:0),time:(from:'2017-05-15T21:55:57-0600',mode:absolute,to:'2017-05-16T00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1" s="192" t="str">
        <f t="shared" si="48"/>
        <v>N</v>
      </c>
      <c r="X151" s="192">
        <f t="shared" si="49"/>
        <v>1</v>
      </c>
      <c r="Y151" s="192">
        <f t="shared" si="50"/>
        <v>4.6399999999999997E-2</v>
      </c>
      <c r="Z151" s="192">
        <f t="shared" si="51"/>
        <v>23.330200000000001</v>
      </c>
      <c r="AA151" s="192">
        <f t="shared" si="52"/>
        <v>23.283800000000003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53"/>
        <v>0237-15</v>
      </c>
      <c r="AE151" s="80" t="str">
        <f t="shared" si="54"/>
        <v>aws s3 cp s3://rtdc.mdm.uploadarchive.raw/RTDC4052/ "%USERPROFILE%\AppData\Local\Temp\OnboardLogs"\RTDC4052\2017-05-15 --exclude "*" --recursive --include "*20170515*" &amp; "%USERPROFILE%\Documents\GitHub\mrs-test-scripts\Headless Mode &amp; Sideloading\WalkAndUnGZ.bat" "%USERPROFILE%\AppData\Local\Temp\OnboardLogs"\RTDC4052\2017-05-15 &amp; 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</v>
      </c>
      <c r="AF151" s="77" t="str">
        <f t="shared" si="55"/>
        <v>"C:\Program Files (x86)\AstroGrep\AstroGrep.exe" /e /r /s /spath="%USERPROFILE%\AppData\Local\Temp\OnboardLogs" /stypes="app*4052*20170516*" /stext=" 05:.+((SYSTEM_STATE.+slice.+state.+changed )|(ment ac)|(multiple cpu faults)|(system.+state.+changed )|(\[timeout)|(PRM\|1\|D)|(kpr)|(kdp)|(train st.+moving)|(\|lc)|(penalty))"</v>
      </c>
      <c r="AG151" s="1" t="str">
        <f t="shared" si="56"/>
        <v>EC</v>
      </c>
      <c r="AH151" s="81" t="str">
        <f t="shared" si="57"/>
        <v>"%USERPROFILE%\Documents\GitHub\eaglep3\Utilities\RefineRTDCRunTimes.py" --tripid 237-15 --locoid 4052 --swversion DE.1.0.9.0 --startMP 204:464 --initTime 2017-05-15T22:55:57 --startdatetime 2017-05-15T23:00:31 --delay 1 --endMP 204:233302 --enddatetime 2017-05-15T23:36:39 --enforcementcount 0 &gt;&gt;C:\Users\stu\Documents\GitHub\eaglep3-reporting\EC\2017-05-15-refined-times.txt</v>
      </c>
      <c r="AI151" s="99" t="str">
        <f t="shared" si="58"/>
        <v>echo {"issue":{"subject":"","project_id":79,"tracker_id":40,"status_id":1,"priority_id":2,"assigned_to_id":23,"start_date":"2017-05-15","description":"","custom_fields":[{"id":1,"name":"Subdivision","value":"EC"},{"id":4,"name":"Milepost","value":"23.3302"},{"id":17,"name":"Train ID","value":"237-15"},{"id":16,"name":"Locomotive ID","value":"4052"},{"id":130,"name":"Impact","value":""},{"id":150,"name":"Time of Event (Mountain Time)","value":"23:36:39"},{"id":151,"name":"Denver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59"/>
        <v>start /low /b %USERPROFILE%\Documents\GitHub\eaglep3\Utilities\DownloadLogsFromS3.py --loco 4052 --day 2017-05-15</v>
      </c>
      <c r="AN151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05:36:39"},{"id":29,"name":"Sharepoint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2" t="s">
        <v>813</v>
      </c>
      <c r="B152" s="7">
        <v>4051</v>
      </c>
      <c r="C152" s="21" t="s">
        <v>206</v>
      </c>
      <c r="D152" s="21" t="s">
        <v>488</v>
      </c>
      <c r="E152" s="13">
        <v>42870.993715277778</v>
      </c>
      <c r="F152" s="13">
        <v>42870.997777777775</v>
      </c>
      <c r="G152" s="7">
        <v>1</v>
      </c>
      <c r="H152" s="21" t="s">
        <v>198</v>
      </c>
      <c r="I152" s="13">
        <v>42871.025381944448</v>
      </c>
      <c r="J152" s="7">
        <v>0</v>
      </c>
      <c r="K152" s="92" t="str">
        <f t="shared" si="44"/>
        <v>4051/4052</v>
      </c>
      <c r="L152" s="21" t="str">
        <f>VLOOKUP(A152,'Trips&amp;Operators'!$C$1:$G$99999,5,FALSE)</f>
        <v>CHANDLER KELVIN</v>
      </c>
      <c r="M152" s="6">
        <f t="shared" si="45"/>
        <v>2.7604166672972497E-2</v>
      </c>
      <c r="N152" s="7">
        <f t="shared" si="61"/>
        <v>39.750000009080395</v>
      </c>
      <c r="O152" s="7"/>
      <c r="P152" s="7"/>
      <c r="Q152" s="22"/>
      <c r="R152" s="190"/>
      <c r="S152" s="196">
        <f t="shared" si="62"/>
        <v>1</v>
      </c>
      <c r="T152" s="190" t="str">
        <f t="shared" si="46"/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47"/>
        <v>https://d0f6bd738d7f1b3e5a7ca70fe4ff75f0.us-east-1.aws.found.io/app/kibana#/discover/Steve-Slow-Train-Analysis-(2080s-and-2083s)?_g=(refreshInterval:(display:Off,pause:!f,section:0,value:0),time:(from:'2017-05-15T22:50:57-0600',mode:absolute,to:'2017-05-16T01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2" s="192" t="str">
        <f t="shared" si="48"/>
        <v>N</v>
      </c>
      <c r="X152" s="192">
        <f t="shared" si="49"/>
        <v>1</v>
      </c>
      <c r="Y152" s="192">
        <f t="shared" si="50"/>
        <v>23.297599999999999</v>
      </c>
      <c r="Z152" s="192">
        <f t="shared" si="51"/>
        <v>1.5800000000000002E-2</v>
      </c>
      <c r="AA152" s="192">
        <f t="shared" si="52"/>
        <v>23.2818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53"/>
        <v>0238-15</v>
      </c>
      <c r="AE152" s="80" t="str">
        <f t="shared" si="54"/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AF152" s="77" t="str">
        <f t="shared" si="55"/>
        <v>"C:\Program Files (x86)\AstroGrep\AstroGrep.exe" /e /r /s /spath="%USERPROFILE%\AppData\Local\Temp\OnboardLogs" /stypes="app*4051*20170516*" /stext=" 06:.+((SYSTEM_STATE.+slice.+state.+changed )|(ment ac)|(multiple cpu faults)|(system.+state.+changed )|(\[timeout)|(PRM\|1\|D)|(kpr)|(kdp)|(train st.+moving)|(\|lc)|(penalty))"</v>
      </c>
      <c r="AG152" s="1" t="str">
        <f t="shared" si="56"/>
        <v>EC</v>
      </c>
      <c r="AH152" s="81" t="str">
        <f t="shared" si="57"/>
        <v>"%USERPROFILE%\Documents\GitHub\eaglep3\Utilities\RefineRTDCRunTimes.py" --tripid 238-15 --locoid 4051 --swversion DE.1.0.9.0 --startMP 204:232976 --initTime 2017-05-15T23:50:57 --startdatetime 2017-05-15T23:56:48 --delay 1 --endMP 204:158 --enddatetime 2017-05-16T00:36:33 --enforcementcount 0 &gt;&gt;C:\Users\stu\Documents\GitHub\eaglep3-reporting\EC\2017-05-15-refined-times.txt</v>
      </c>
      <c r="AI152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{"issue":{"subject":"","project_id":79,"tracker_id":40,"status_id":1,"priority_id":2,"assigned_to_id":23,"start_date":"2017-05-16","description":"","custom_fields":[{"id":1,"name":"Subdivision","value":"EC"},{"id":4,"name":"Milepost","value":"0.0158"},{"id":17,"name":"Train ID","value":"238-15"},{"id":16,"name":"Locomotive ID","value":"4051"},{"id":130,"name":"Impact","value":""},{"id":150,"name":"Time of Event (Mountain Time)","value":"00:36:33"},{"id":151,"name":"Denver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7"/>
      <c r="AL152" s="47"/>
      <c r="AM152" s="145" t="str">
        <f t="shared" si="59"/>
        <v>start /low /b %USERPROFILE%\Documents\GitHub\eaglep3\Utilities\DownloadLogsFromS3.py --loco 4051 --day 2017-05-15</v>
      </c>
      <c r="AN152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812</v>
      </c>
      <c r="B153" s="7">
        <v>4030</v>
      </c>
      <c r="C153" s="21" t="s">
        <v>206</v>
      </c>
      <c r="D153" s="21" t="s">
        <v>203</v>
      </c>
      <c r="E153" s="13">
        <v>42870.968692129631</v>
      </c>
      <c r="F153" s="13">
        <v>42870.979363425926</v>
      </c>
      <c r="G153" s="7">
        <v>2</v>
      </c>
      <c r="H153" s="21" t="s">
        <v>552</v>
      </c>
      <c r="I153" s="13">
        <v>42871.004328703704</v>
      </c>
      <c r="J153" s="7">
        <v>0</v>
      </c>
      <c r="K153" s="92" t="str">
        <f t="shared" si="44"/>
        <v>4029/4030</v>
      </c>
      <c r="L153" s="21" t="str">
        <f>VLOOKUP(A153,'Trips&amp;Operators'!$C$1:$G$99999,5,FALSE)</f>
        <v>ZEWDU DEREJE</v>
      </c>
      <c r="M153" s="6">
        <f t="shared" si="45"/>
        <v>2.4965277778392192E-2</v>
      </c>
      <c r="N153" s="7">
        <f t="shared" si="61"/>
        <v>35.950000000884756</v>
      </c>
      <c r="O153" s="7"/>
      <c r="P153" s="7"/>
      <c r="Q153" s="22"/>
      <c r="R153" s="190"/>
      <c r="S153" s="196">
        <f t="shared" si="62"/>
        <v>1</v>
      </c>
      <c r="T153" s="190" t="str">
        <f t="shared" si="46"/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47"/>
        <v>https://d0f6bd738d7f1b3e5a7ca70fe4ff75f0.us-east-1.aws.found.io/app/kibana#/discover/Steve-Slow-Train-Analysis-(2080s-and-2083s)?_g=(refreshInterval:(display:Off,pause:!f,section:0,value:0),time:(from:'2017-05-15T22:14:55-0600',mode:absolute,to:'2017-05-16T01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92" t="str">
        <f t="shared" si="48"/>
        <v>N</v>
      </c>
      <c r="X153" s="192">
        <f t="shared" si="49"/>
        <v>1</v>
      </c>
      <c r="Y153" s="192">
        <f t="shared" si="50"/>
        <v>4.5999999999999999E-2</v>
      </c>
      <c r="Z153" s="192">
        <f t="shared" si="51"/>
        <v>23.3306</v>
      </c>
      <c r="AA153" s="192">
        <f t="shared" si="52"/>
        <v>23.284600000000001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53"/>
        <v>0239-15</v>
      </c>
      <c r="AE153" s="80" t="str">
        <f t="shared" si="5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153" s="77" t="str">
        <f t="shared" si="55"/>
        <v>"C:\Program Files (x86)\AstroGrep\AstroGrep.exe" /e /r /s /spath="%USERPROFILE%\AppData\Local\Temp\OnboardLogs" /stypes="app*4030*20170516*" /stext=" 06:.+((SYSTEM_STATE.+slice.+state.+changed )|(ment ac)|(multiple cpu faults)|(system.+state.+changed )|(\[timeout)|(PRM\|1\|D)|(kpr)|(kdp)|(train st.+moving)|(\|lc)|(penalty))"</v>
      </c>
      <c r="AG153" s="1" t="str">
        <f t="shared" si="56"/>
        <v>EC</v>
      </c>
      <c r="AH153" s="81" t="str">
        <f t="shared" si="57"/>
        <v>"%USERPROFILE%\Documents\GitHub\eaglep3\Utilities\RefineRTDCRunTimes.py" --tripid 239-15 --locoid 4030 --swversion DE.1.0.9.0 --startMP 204:460 --initTime 2017-05-15T23:14:55 --startdatetime 2017-05-15T23:30:17 --delay 2 --endMP 204:233306 --enddatetime 2017-05-16T00:06:14 --enforcementcount 0 &gt;&gt;C:\Users\stu\Documents\GitHub\eaglep3-reporting\EC\2017-05-15-refined-times.txt</v>
      </c>
      <c r="AI153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{"issue":{"subject":"","project_id":79,"tracker_id":40,"status_id":1,"priority_id":2,"assigned_to_id":23,"start_date":"2017-05-16","description":"","custom_fields":[{"id":1,"name":"Subdivision","value":"EC"},{"id":4,"name":"Milepost","value":"23.3306"},{"id":17,"name":"Train ID","value":"239-15"},{"id":16,"name":"Locomotive ID","value":"4030"},{"id":130,"name":"Impact","value":""},{"id":150,"name":"Time of Event (Mountain Time)","value":"00:06:14"},{"id":151,"name":"Denver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59"/>
        <v>start /low /b %USERPROFILE%\Documents\GitHub\eaglep3\Utilities\DownloadLogsFromS3.py --loco 4030 --day 2017-05-15</v>
      </c>
      <c r="AN153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2" t="s">
        <v>815</v>
      </c>
      <c r="B154" s="7">
        <v>4029</v>
      </c>
      <c r="C154" s="21" t="s">
        <v>206</v>
      </c>
      <c r="D154" s="21" t="s">
        <v>419</v>
      </c>
      <c r="E154" s="13">
        <v>42871.011620370373</v>
      </c>
      <c r="F154" s="13">
        <v>42871.018240740741</v>
      </c>
      <c r="G154" s="7">
        <v>1</v>
      </c>
      <c r="H154" s="21" t="s">
        <v>371</v>
      </c>
      <c r="I154" s="13">
        <v>42871.046550925923</v>
      </c>
      <c r="J154" s="7">
        <v>0</v>
      </c>
      <c r="K154" s="92" t="str">
        <f t="shared" si="44"/>
        <v>4029/4030</v>
      </c>
      <c r="L154" s="21" t="str">
        <f>VLOOKUP(A154,'Trips&amp;Operators'!$C$1:$G$99999,5,FALSE)</f>
        <v>ZEWDU DEREJE</v>
      </c>
      <c r="M154" s="6">
        <f t="shared" si="45"/>
        <v>2.8310185181908309E-2</v>
      </c>
      <c r="N154" s="7">
        <f t="shared" si="61"/>
        <v>40.766666661947966</v>
      </c>
      <c r="O154" s="7"/>
      <c r="P154" s="7"/>
      <c r="Q154" s="22"/>
      <c r="R154" s="190"/>
      <c r="S154" s="196">
        <f t="shared" si="62"/>
        <v>1</v>
      </c>
      <c r="T154" s="190" t="str">
        <f t="shared" si="46"/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47"/>
        <v>https://d0f6bd738d7f1b3e5a7ca70fe4ff75f0.us-east-1.aws.found.io/app/kibana#/discover/Steve-Slow-Train-Analysis-(2080s-and-2083s)?_g=(refreshInterval:(display:Off,pause:!f,section:0,value:0),time:(from:'2017-05-15T23:16:44-0600',mode:absolute,to:'2017-05-16T02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92" t="str">
        <f t="shared" si="48"/>
        <v>N</v>
      </c>
      <c r="X154" s="192">
        <f t="shared" si="49"/>
        <v>1</v>
      </c>
      <c r="Y154" s="192">
        <f t="shared" si="50"/>
        <v>23.299399999999999</v>
      </c>
      <c r="Z154" s="192">
        <f t="shared" si="51"/>
        <v>1.41E-2</v>
      </c>
      <c r="AA154" s="192">
        <f t="shared" si="52"/>
        <v>23.285299999999999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53"/>
        <v>0240-15</v>
      </c>
      <c r="AE154" s="80" t="str">
        <f t="shared" si="54"/>
        <v>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 &amp; aws s3 cp s3://rtdc.mdm.uploadarchive.raw/RTDC4029/ "%USERPROFILE%\AppData\Local\Temp\OnboardLogs"\RTDC4029\2017-05-17 --exclude "*" --recursive --include "*20170517*" &amp; "%USERPROFILE%\Documents\GitHub\mrs-test-scripts\Headless Mode &amp; Sideloading\WalkAndUnGZ.bat" "%USERPROFILE%\AppData\Local\Temp\OnboardLogs"\RTDC4029\2017-05-17</v>
      </c>
      <c r="AF154" s="77" t="str">
        <f t="shared" si="55"/>
        <v>"C:\Program Files (x86)\AstroGrep\AstroGrep.exe" /e /r /s /spath="%USERPROFILE%\AppData\Local\Temp\OnboardLogs" /stypes="app*4029*20170516*" /stext=" 07:.+((SYSTEM_STATE.+slice.+state.+changed )|(ment ac)|(multiple cpu faults)|(system.+state.+changed )|(\[timeout)|(PRM\|1\|D)|(kpr)|(kdp)|(train st.+moving)|(\|lc)|(penalty))"</v>
      </c>
      <c r="AG154" s="1" t="str">
        <f t="shared" si="56"/>
        <v>EC</v>
      </c>
      <c r="AH154" s="81" t="str">
        <f t="shared" si="57"/>
        <v>"%USERPROFILE%\Documents\GitHub\eaglep3\Utilities\RefineRTDCRunTimes.py" --tripid 240-15 --locoid 4029 --swversion DE.1.0.9.0 --startMP 204:232994 --initTime 2017-05-16T00:16:44 --startdatetime 2017-05-16T00:26:16 --delay 1 --endMP 204:141 --enddatetime 2017-05-16T01:07:02 --enforcementcount 0 &gt;&gt;C:\Users\stu\Documents\GitHub\eaglep3-reporting\EC\2017-05-15-refined-times.txt</v>
      </c>
      <c r="AI154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{"issue":{"subject":"","project_id":79,"tracker_id":40,"status_id":1,"priority_id":2,"assigned_to_id":23,"start_date":"2017-05-16","description":"","custom_fields":[{"id":1,"name":"Subdivision","value":"EC"},{"id":4,"name":"Milepost","value":"0.0141"},{"id":17,"name":"Train ID","value":"240-15"},{"id":16,"name":"Locomotive ID","value":"4029"},{"id":130,"name":"Impact","value":""},{"id":150,"name":"Time of Event (Mountain Time)","value":"01:07:02"},{"id":151,"name":"Denver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7"/>
      <c r="AL154" s="47"/>
      <c r="AM154" s="145" t="str">
        <f t="shared" si="59"/>
        <v>start /low /b %USERPROFILE%\Documents\GitHub\eaglep3\Utilities\DownloadLogsFromS3.py --loco 4029 --day 2017-05-16</v>
      </c>
      <c r="AN154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07:07:02"},{"id":29,"name":"Sharepoint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814</v>
      </c>
      <c r="B155" s="7">
        <v>4022</v>
      </c>
      <c r="C155" s="21" t="s">
        <v>206</v>
      </c>
      <c r="D155" s="21" t="s">
        <v>355</v>
      </c>
      <c r="E155" s="13">
        <v>42870.995868055557</v>
      </c>
      <c r="F155" s="13">
        <v>42871.000208333331</v>
      </c>
      <c r="G155" s="7">
        <v>1</v>
      </c>
      <c r="H155" s="21" t="s">
        <v>908</v>
      </c>
      <c r="I155" s="13">
        <v>42871.026041666664</v>
      </c>
      <c r="J155" s="7">
        <v>0</v>
      </c>
      <c r="K155" s="92" t="str">
        <f t="shared" si="44"/>
        <v>4021/4022</v>
      </c>
      <c r="L155" s="21" t="str">
        <f>VLOOKUP(A155,'Trips&amp;Operators'!$C$1:$G$99999,5,FALSE)</f>
        <v>LAMAR NEKESHA</v>
      </c>
      <c r="M155" s="6">
        <f t="shared" si="45"/>
        <v>2.5833333333139308E-2</v>
      </c>
      <c r="N155" s="7">
        <f t="shared" si="61"/>
        <v>37.199999999720603</v>
      </c>
      <c r="O155" s="7"/>
      <c r="P155" s="7"/>
      <c r="Q155" s="22"/>
      <c r="R155" s="190"/>
      <c r="S155" s="196">
        <f t="shared" si="62"/>
        <v>1</v>
      </c>
      <c r="T155" s="190" t="str">
        <f t="shared" si="46"/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47"/>
        <v>https://d0f6bd738d7f1b3e5a7ca70fe4ff75f0.us-east-1.aws.found.io/app/kibana#/discover/Steve-Slow-Train-Analysis-(2080s-and-2083s)?_g=(refreshInterval:(display:Off,pause:!f,section:0,value:0),time:(from:'2017-05-15T22:54:03-0600',mode:absolute,to:'2017-05-16T01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55" s="192" t="str">
        <f t="shared" si="48"/>
        <v>N</v>
      </c>
      <c r="X155" s="192">
        <f t="shared" si="49"/>
        <v>1</v>
      </c>
      <c r="Y155" s="192">
        <f t="shared" si="50"/>
        <v>4.58E-2</v>
      </c>
      <c r="Z155" s="192">
        <f t="shared" si="51"/>
        <v>23.337199999999999</v>
      </c>
      <c r="AA155" s="192">
        <f t="shared" si="52"/>
        <v>23.291399999999999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53"/>
        <v>0241-15</v>
      </c>
      <c r="AE155" s="80" t="str">
        <f t="shared" si="54"/>
        <v>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 &amp; aws s3 cp s3://rtdc.mdm.uploadarchive.raw/RTDC4022/ "%USERPROFILE%\AppData\Local\Temp\OnboardLogs"\RTDC4022\2017-05-17 --exclude "*" --recursive --include "*20170517*" &amp; "%USERPROFILE%\Documents\GitHub\mrs-test-scripts\Headless Mode &amp; Sideloading\WalkAndUnGZ.bat" "%USERPROFILE%\AppData\Local\Temp\OnboardLogs"\RTDC4022\2017-05-17</v>
      </c>
      <c r="AF155" s="77" t="str">
        <f t="shared" si="55"/>
        <v>"C:\Program Files (x86)\AstroGrep\AstroGrep.exe" /e /r /s /spath="%USERPROFILE%\AppData\Local\Temp\OnboardLogs" /stypes="app*4022*20170516*" /stext=" 06:.+((SYSTEM_STATE.+slice.+state.+changed )|(ment ac)|(multiple cpu faults)|(system.+state.+changed )|(\[timeout)|(PRM\|1\|D)|(kpr)|(kdp)|(train st.+moving)|(\|lc)|(penalty))"</v>
      </c>
      <c r="AG155" s="1" t="str">
        <f t="shared" si="56"/>
        <v>EC</v>
      </c>
      <c r="AH155" s="81" t="str">
        <f t="shared" si="57"/>
        <v>"%USERPROFILE%\Documents\GitHub\eaglep3\Utilities\RefineRTDCRunTimes.py" --tripid 241-15 --locoid 4022 --swversion DE.1.0.9.0 --startMP 204:458 --initTime 2017-05-15T23:54:03 --startdatetime 2017-05-16T00:00:18 --delay 1 --endMP 204:233372 --enddatetime 2017-05-16T00:37:30 --enforcementcount 0 &gt;&gt;C:\Users\stu\Documents\GitHub\eaglep3-reporting\EC\2017-05-15-refined-times.txt</v>
      </c>
      <c r="AI155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{"issue":{"subject":"","project_id":79,"tracker_id":40,"status_id":1,"priority_id":2,"assigned_to_id":23,"start_date":"2017-05-16","description":"","custom_fields":[{"id":1,"name":"Subdivision","value":"EC"},{"id":4,"name":"Milepost","value":"23.3372"},{"id":17,"name":"Train ID","value":"241-15"},{"id":16,"name":"Locomotive ID","value":"4022"},{"id":130,"name":"Impact","value":""},{"id":150,"name":"Time of Event (Mountain Time)","value":"00:37:30"},{"id":151,"name":"Denver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59"/>
        <v>start /low /b %USERPROFILE%\Documents\GitHub\eaglep3\Utilities\DownloadLogsFromS3.py --loco 4022 --day 2017-05-16</v>
      </c>
      <c r="AN155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818</v>
      </c>
      <c r="B156" s="7">
        <v>4021</v>
      </c>
      <c r="C156" s="21" t="s">
        <v>206</v>
      </c>
      <c r="D156" s="21" t="s">
        <v>566</v>
      </c>
      <c r="E156" s="13">
        <v>42871.030798611115</v>
      </c>
      <c r="F156" s="13">
        <v>42871.039050925923</v>
      </c>
      <c r="G156" s="7">
        <v>3</v>
      </c>
      <c r="H156" s="21" t="s">
        <v>360</v>
      </c>
      <c r="I156" s="13">
        <v>42871.066030092596</v>
      </c>
      <c r="J156" s="7">
        <v>0</v>
      </c>
      <c r="K156" s="92" t="str">
        <f t="shared" si="44"/>
        <v>4021/4022</v>
      </c>
      <c r="L156" s="21" t="str">
        <f>VLOOKUP(A156,'Trips&amp;Operators'!$C$1:$G$99999,5,FALSE)</f>
        <v>LAMAR NEKESHA</v>
      </c>
      <c r="M156" s="6">
        <f t="shared" si="45"/>
        <v>2.697916667239042E-2</v>
      </c>
      <c r="N156" s="7">
        <f t="shared" si="61"/>
        <v>38.850000008242205</v>
      </c>
      <c r="O156" s="7"/>
      <c r="P156" s="7"/>
      <c r="Q156" s="22"/>
      <c r="R156" s="190"/>
      <c r="S156" s="196">
        <f t="shared" si="62"/>
        <v>1</v>
      </c>
      <c r="T156" s="190" t="str">
        <f t="shared" si="46"/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47"/>
        <v>https://d0f6bd738d7f1b3e5a7ca70fe4ff75f0.us-east-1.aws.found.io/app/kibana#/discover/Steve-Slow-Train-Analysis-(2080s-and-2083s)?_g=(refreshInterval:(display:Off,pause:!f,section:0,value:0),time:(from:'2017-05-15T23:44:21-0600',mode:absolute,to:'2017-05-16T02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6" s="192" t="str">
        <f t="shared" si="48"/>
        <v>N</v>
      </c>
      <c r="X156" s="192">
        <f t="shared" si="49"/>
        <v>1</v>
      </c>
      <c r="Y156" s="192">
        <f t="shared" si="50"/>
        <v>23.3049</v>
      </c>
      <c r="Z156" s="192">
        <f t="shared" si="51"/>
        <v>1.43E-2</v>
      </c>
      <c r="AA156" s="192">
        <f t="shared" si="52"/>
        <v>23.290600000000001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53"/>
        <v>0242-15</v>
      </c>
      <c r="AE156" s="80" t="str">
        <f t="shared" si="54"/>
        <v>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 &amp; aws s3 cp s3://rtdc.mdm.uploadarchive.raw/RTDC4021/ "%USERPROFILE%\AppData\Local\Temp\OnboardLogs"\RTDC4021\2017-05-17 --exclude "*" --recursive --include "*20170517*" &amp; "%USERPROFILE%\Documents\GitHub\mrs-test-scripts\Headless Mode &amp; Sideloading\WalkAndUnGZ.bat" "%USERPROFILE%\AppData\Local\Temp\OnboardLogs"\RTDC4021\2017-05-17</v>
      </c>
      <c r="AF156" s="77" t="str">
        <f t="shared" si="55"/>
        <v>"C:\Program Files (x86)\AstroGrep\AstroGrep.exe" /e /r /s /spath="%USERPROFILE%\AppData\Local\Temp\OnboardLogs" /stypes="app*4021*20170516*" /stext=" 07:.+((SYSTEM_STATE.+slice.+state.+changed )|(ment ac)|(multiple cpu faults)|(system.+state.+changed )|(\[timeout)|(PRM\|1\|D)|(kpr)|(kdp)|(train st.+moving)|(\|lc)|(penalty))"</v>
      </c>
      <c r="AG156" s="1" t="str">
        <f t="shared" si="56"/>
        <v>EC</v>
      </c>
      <c r="AH156" s="81" t="str">
        <f t="shared" si="57"/>
        <v>"%USERPROFILE%\Documents\GitHub\eaglep3\Utilities\RefineRTDCRunTimes.py" --tripid 242-15 --locoid 4021 --swversion DE.1.0.9.0 --startMP 204:233049 --initTime 2017-05-16T00:44:21 --startdatetime 2017-05-16T00:56:14 --delay 3 --endMP 204:143 --enddatetime 2017-05-16T01:35:05 --enforcementcount 0 &gt;&gt;C:\Users\stu\Documents\GitHub\eaglep3-reporting\EC\2017-05-15-refined-times.txt</v>
      </c>
      <c r="AI156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{"issue":{"subject":"","project_id":79,"tracker_id":40,"status_id":1,"priority_id":2,"assigned_to_id":23,"start_date":"2017-05-16","description":"","custom_fields":[{"id":1,"name":"Subdivision","value":"EC"},{"id":4,"name":"Milepost","value":"0.0143"},{"id":17,"name":"Train ID","value":"242-15"},{"id":16,"name":"Locomotive ID","value":"4021"},{"id":130,"name":"Impact","value":""},{"id":150,"name":"Time of Event (Mountain Time)","value":"01:35:05"},{"id":151,"name":"Denver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59"/>
        <v>start /low /b %USERPROFILE%\Documents\GitHub\eaglep3\Utilities\DownloadLogsFromS3.py --loco 4021 --day 2017-05-16</v>
      </c>
      <c r="AN156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07:35:05"},{"id":29,"name":"Sharepoint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2" t="s">
        <v>816</v>
      </c>
      <c r="B157" s="7">
        <v>4016</v>
      </c>
      <c r="C157" s="21" t="s">
        <v>206</v>
      </c>
      <c r="D157" s="21" t="s">
        <v>203</v>
      </c>
      <c r="E157" s="13">
        <v>42871.01599537037</v>
      </c>
      <c r="F157" s="13">
        <v>42871.020972222221</v>
      </c>
      <c r="G157" s="7">
        <v>1</v>
      </c>
      <c r="H157" s="21" t="s">
        <v>451</v>
      </c>
      <c r="I157" s="13">
        <v>42871.044687499998</v>
      </c>
      <c r="J157" s="7">
        <v>0</v>
      </c>
      <c r="K157" s="92" t="str">
        <f t="shared" si="44"/>
        <v>4015/4016</v>
      </c>
      <c r="L157" s="21" t="str">
        <f>VLOOKUP(A157,'Trips&amp;Operators'!$C$1:$G$99999,5,FALSE)</f>
        <v>BIRENBAUM THOMAS</v>
      </c>
      <c r="M157" s="6">
        <f t="shared" si="45"/>
        <v>2.3715277777228039E-2</v>
      </c>
      <c r="N157" s="7">
        <f t="shared" si="61"/>
        <v>34.149999999208376</v>
      </c>
      <c r="O157" s="7"/>
      <c r="P157" s="7"/>
      <c r="Q157" s="22"/>
      <c r="R157" s="190"/>
      <c r="S157" s="196">
        <f t="shared" si="62"/>
        <v>1</v>
      </c>
      <c r="T157" s="190" t="str">
        <f t="shared" si="46"/>
        <v>NorthBound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47"/>
        <v>https://d0f6bd738d7f1b3e5a7ca70fe4ff75f0.us-east-1.aws.found.io/app/kibana#/discover/Steve-Slow-Train-Analysis-(2080s-and-2083s)?_g=(refreshInterval:(display:Off,pause:!f,section:0,value:0),time:(from:'2017-05-15T23:23:02-0600',mode:absolute,to:'2017-05-16T02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7" s="192" t="str">
        <f t="shared" si="48"/>
        <v>N</v>
      </c>
      <c r="X157" s="192">
        <f t="shared" si="49"/>
        <v>1</v>
      </c>
      <c r="Y157" s="192">
        <f t="shared" si="50"/>
        <v>4.5999999999999999E-2</v>
      </c>
      <c r="Z157" s="192">
        <f t="shared" si="51"/>
        <v>23.331700000000001</v>
      </c>
      <c r="AA157" s="192">
        <f t="shared" si="52"/>
        <v>23.285700000000002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53"/>
        <v>0243-15</v>
      </c>
      <c r="AE157" s="80" t="str">
        <f t="shared" si="54"/>
        <v>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 &amp; 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</v>
      </c>
      <c r="AF157" s="77" t="str">
        <f t="shared" si="55"/>
        <v>"C:\Program Files (x86)\AstroGrep\AstroGrep.exe" /e /r /s /spath="%USERPROFILE%\AppData\Local\Temp\OnboardLogs" /stypes="app*4016*20170516*" /stext=" 07:.+((SYSTEM_STATE.+slice.+state.+changed )|(ment ac)|(multiple cpu faults)|(system.+state.+changed )|(\[timeout)|(PRM\|1\|D)|(kpr)|(kdp)|(train st.+moving)|(\|lc)|(penalty))"</v>
      </c>
      <c r="AG157" s="1" t="str">
        <f t="shared" si="56"/>
        <v>EC</v>
      </c>
      <c r="AH157" s="81" t="str">
        <f t="shared" si="57"/>
        <v>"%USERPROFILE%\Documents\GitHub\eaglep3\Utilities\RefineRTDCRunTimes.py" --tripid 243-15 --locoid 4016 --swversion DE.1.0.9.0 --startMP 204:460 --initTime 2017-05-16T00:23:02 --startdatetime 2017-05-16T00:30:12 --delay 1 --endMP 204:233317 --enddatetime 2017-05-16T01:04:21 --enforcementcount 0 &gt;&gt;C:\Users\stu\Documents\GitHub\eaglep3-reporting\EC\2017-05-15-refined-times.txt</v>
      </c>
      <c r="AI157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{"issue":{"subject":"","project_id":79,"tracker_id":40,"status_id":1,"priority_id":2,"assigned_to_id":23,"start_date":"2017-05-16","description":"","custom_fields":[{"id":1,"name":"Subdivision","value":"EC"},{"id":4,"name":"Milepost","value":"23.3317"},{"id":17,"name":"Train ID","value":"243-15"},{"id":16,"name":"Locomotive ID","value":"4016"},{"id":130,"name":"Impact","value":""},{"id":150,"name":"Time of Event (Mountain Time)","value":"01:04:21"},{"id":151,"name":"Denver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59"/>
        <v>start /low /b %USERPROFILE%\Documents\GitHub\eaglep3\Utilities\DownloadLogsFromS3.py --loco 4016 --day 2017-05-16</v>
      </c>
      <c r="AN157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07:04:21"},{"id":29,"name":"Sharepoint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820</v>
      </c>
      <c r="B158" s="7">
        <v>4015</v>
      </c>
      <c r="C158" s="21" t="s">
        <v>206</v>
      </c>
      <c r="D158" s="21" t="s">
        <v>540</v>
      </c>
      <c r="E158" s="13">
        <v>42871.053912037038</v>
      </c>
      <c r="F158" s="13">
        <v>42871.059872685182</v>
      </c>
      <c r="G158" s="7">
        <v>1</v>
      </c>
      <c r="H158" s="21" t="s">
        <v>909</v>
      </c>
      <c r="I158" s="13">
        <v>42871.085428240738</v>
      </c>
      <c r="J158" s="7">
        <v>0</v>
      </c>
      <c r="K158" s="92" t="str">
        <f t="shared" si="44"/>
        <v>4015/4016</v>
      </c>
      <c r="L158" s="21" t="str">
        <f>VLOOKUP(A158,'Trips&amp;Operators'!$C$1:$G$99999,5,FALSE)</f>
        <v>BIRENBAUM THOMAS</v>
      </c>
      <c r="M158" s="6">
        <f t="shared" si="45"/>
        <v>2.5555555555911269E-2</v>
      </c>
      <c r="N158" s="7">
        <f t="shared" si="61"/>
        <v>36.800000000512227</v>
      </c>
      <c r="O158" s="7"/>
      <c r="P158" s="7"/>
      <c r="Q158" s="22"/>
      <c r="R158" s="190"/>
      <c r="S158" s="196">
        <f t="shared" si="62"/>
        <v>1</v>
      </c>
      <c r="T158" s="190" t="str">
        <f t="shared" si="46"/>
        <v>Southbound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47"/>
        <v>https://d0f6bd738d7f1b3e5a7ca70fe4ff75f0.us-east-1.aws.found.io/app/kibana#/discover/Steve-Slow-Train-Analysis-(2080s-and-2083s)?_g=(refreshInterval:(display:Off,pause:!f,section:0,value:0),time:(from:'2017-05-16T00:17:38-0600',mode:absolute,to:'2017-05-16T03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8" s="192" t="str">
        <f t="shared" si="48"/>
        <v>N</v>
      </c>
      <c r="X158" s="192">
        <f t="shared" si="49"/>
        <v>1</v>
      </c>
      <c r="Y158" s="192">
        <f t="shared" si="50"/>
        <v>23.299099999999999</v>
      </c>
      <c r="Z158" s="192">
        <f t="shared" si="51"/>
        <v>2.8899999999999999E-2</v>
      </c>
      <c r="AA158" s="192">
        <f t="shared" si="52"/>
        <v>23.270199999999999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53"/>
        <v>0244-15</v>
      </c>
      <c r="AE158" s="80" t="str">
        <f t="shared" si="54"/>
        <v>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 &amp; aws s3 cp s3://rtdc.mdm.uploadarchive.raw/RTDC4015/ "%USERPROFILE%\AppData\Local\Temp\OnboardLogs"\RTDC4015\2017-05-17 --exclude "*" --recursive --include "*20170517*" &amp; "%USERPROFILE%\Documents\GitHub\mrs-test-scripts\Headless Mode &amp; Sideloading\WalkAndUnGZ.bat" "%USERPROFILE%\AppData\Local\Temp\OnboardLogs"\RTDC4015\2017-05-17</v>
      </c>
      <c r="AF158" s="77" t="str">
        <f t="shared" si="55"/>
        <v>"C:\Program Files (x86)\AstroGrep\AstroGrep.exe" /e /r /s /spath="%USERPROFILE%\AppData\Local\Temp\OnboardLogs" /stypes="app*4015*20170516*" /stext=" 08:.+((SYSTEM_STATE.+slice.+state.+changed )|(ment ac)|(multiple cpu faults)|(system.+state.+changed )|(\[timeout)|(PRM\|1\|D)|(kpr)|(kdp)|(train st.+moving)|(\|lc)|(penalty))"</v>
      </c>
      <c r="AG158" s="1" t="str">
        <f t="shared" si="56"/>
        <v>EC</v>
      </c>
      <c r="AH158" s="81" t="str">
        <f t="shared" si="57"/>
        <v>"%USERPROFILE%\Documents\GitHub\eaglep3\Utilities\RefineRTDCRunTimes.py" --tripid 244-15 --locoid 4015 --swversion DE.1.0.9.0 --startMP 204:232991 --initTime 2017-05-16T01:17:38 --startdatetime 2017-05-16T01:26:13 --delay 1 --endMP 204:289 --enddatetime 2017-05-16T02:03:01 --enforcementcount 0 &gt;&gt;C:\Users\stu\Documents\GitHub\eaglep3-reporting\EC\2017-05-15-refined-times.txt</v>
      </c>
      <c r="AI158" s="99" t="str">
        <f t="shared" si="58"/>
        <v>echo {"issue":{"subject":"","project_id":79,"tracker_id":40,"status_id":1,"priority_id":2,"assigned_to_id":23,"start_date":"2017-05-16","description":"","custom_fields":[{"id":1,"name":"Subdivision","value":"EC"},{"id":4,"name":"Milepost","value":"0.0289"},{"id":17,"name":"Train ID","value":"244-15"},{"id":16,"name":"Locomotive ID","value":"4015"},{"id":130,"name":"Impact","value":""},{"id":150,"name":"Time of Event (Mountain Time)","value":"02:03:01"},{"id":151,"name":"Denver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59"/>
        <v>start /low /b %USERPROFILE%\Documents\GitHub\eaglep3\Utilities\DownloadLogsFromS3.py --loco 4015 --day 2017-05-16</v>
      </c>
      <c r="AN158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647</v>
      </c>
      <c r="B159" s="7">
        <v>4013</v>
      </c>
      <c r="C159" s="21" t="s">
        <v>206</v>
      </c>
      <c r="D159" s="21" t="s">
        <v>960</v>
      </c>
      <c r="E159" s="13">
        <v>42870.213958333334</v>
      </c>
      <c r="F159" s="13">
        <v>42870.215266203704</v>
      </c>
      <c r="G159" s="7">
        <v>1</v>
      </c>
      <c r="H159" s="21" t="s">
        <v>961</v>
      </c>
      <c r="I159" s="13">
        <v>42870.225821759261</v>
      </c>
      <c r="J159" s="7">
        <v>0</v>
      </c>
      <c r="K159" s="92" t="str">
        <f t="shared" si="44"/>
        <v>4013/4014</v>
      </c>
      <c r="L159" s="21" t="str">
        <f>VLOOKUP(A159,'Trips&amp;Operators'!$C$1:$G$99999,5,FALSE)</f>
        <v>DAVIS WENDY</v>
      </c>
      <c r="M159" s="6">
        <f t="shared" si="45"/>
        <v>1.0555555556493346E-2</v>
      </c>
      <c r="N159" s="7">
        <f t="shared" si="61"/>
        <v>15.200000001350418</v>
      </c>
      <c r="O159" s="7"/>
      <c r="P159" s="7"/>
      <c r="Q159" s="22"/>
      <c r="R159" s="190"/>
      <c r="S159" s="196">
        <f t="shared" si="62"/>
        <v>1</v>
      </c>
      <c r="T159" s="190" t="str">
        <f t="shared" si="46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 t="shared" si="47"/>
        <v>https://d0f6bd738d7f1b3e5a7ca70fe4ff75f0.us-east-1.aws.found.io/app/kibana#/discover/Steve-Slow-Train-Analysis-(2080s-and-2083s)?_g=(refreshInterval:(display:Off,pause:!f,section:0,value:0),time:(from:'2017-05-15T04:08:06-0600',mode:absolute,to:'2017-05-15T06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9" s="192" t="str">
        <f t="shared" si="48"/>
        <v>N</v>
      </c>
      <c r="X159" s="192">
        <f t="shared" si="49"/>
        <v>556</v>
      </c>
      <c r="Y159" s="192">
        <f t="shared" si="50"/>
        <v>5.8711000000000002</v>
      </c>
      <c r="Z159" s="192">
        <f t="shared" si="51"/>
        <v>6.3799999999999996E-2</v>
      </c>
      <c r="AA159" s="192">
        <f t="shared" si="52"/>
        <v>5.8073000000000006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53"/>
        <v>0800-15</v>
      </c>
      <c r="AE159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59" s="77" t="str">
        <f t="shared" si="55"/>
        <v>"C:\Program Files (x86)\AstroGrep\AstroGrep.exe" /e /r /s /spath="%USERPROFILE%\AppData\Local\Temp\OnboardLogs" /stypes="app*4013*20170515*" /stext=" 11:.+((SYSTEM_STATE.+slice.+state.+changed )|(ment ac)|(multiple cpu faults)|(system.+state.+changed )|(\[timeout)|(PRM\|1\|D)|(kpr)|(kdp)|(train st.+moving)|(\|lc)|(penalty))"</v>
      </c>
      <c r="AG159" s="1" t="str">
        <f t="shared" si="56"/>
        <v>NW</v>
      </c>
      <c r="AH159" s="81" t="str">
        <f t="shared" si="57"/>
        <v>"%USERPROFILE%\Documents\GitHub\eaglep3\Utilities\RefineRTDCRunTimes.py" --tripid 800-15 --locoid 4013 --swversion DE.1.0.9.0 --startMP 300:58711 --initTime 2017-05-15T05:08:06 --startdatetime 2017-05-15T05:09:59 --delay 1 --endMP 204:638 --enddatetime 2017-05-15T05:25:11 --enforcementcount 0 &gt;&gt;C:\Users\stu\Documents\GitHub\eaglep3-reporting\EC\2017-05-15-refined-times.txt</v>
      </c>
      <c r="AI159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{"issue":{"subject":"","project_id":79,"tracker_id":40,"status_id":1,"priority_id":2,"assigned_to_id":23,"start_date":"2017-05-15","description":"","custom_fields":[{"id":1,"name":"Subdivision","value":"NW"},{"id":4,"name":"Milepost","value":"0.0638"},{"id":17,"name":"Train ID","value":"800-15"},{"id":16,"name":"Locomotive ID","value":"4013"},{"id":130,"name":"Impact","value":""},{"id":150,"name":"Time of Event (Mountain Time)","value":"05:25:11"},{"id":151,"name":"Denver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si="59"/>
        <v>start /low /b %USERPROFILE%\Documents\GitHub\eaglep3\Utilities\DownloadLogsFromS3.py --loco 4013 --day 2017-05-15</v>
      </c>
      <c r="AN159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578</v>
      </c>
      <c r="B160" s="7">
        <v>4014</v>
      </c>
      <c r="C160" s="21" t="s">
        <v>206</v>
      </c>
      <c r="D160" s="21" t="s">
        <v>962</v>
      </c>
      <c r="E160" s="13">
        <v>42870.241805555554</v>
      </c>
      <c r="F160" s="13">
        <v>42870.243935185186</v>
      </c>
      <c r="G160" s="7">
        <v>1</v>
      </c>
      <c r="H160" s="21" t="s">
        <v>963</v>
      </c>
      <c r="I160" s="13">
        <v>42870.253692129627</v>
      </c>
      <c r="J160" s="7">
        <v>0</v>
      </c>
      <c r="K160" s="92" t="str">
        <f t="shared" si="44"/>
        <v>4013/4014</v>
      </c>
      <c r="L160" s="21" t="str">
        <f>VLOOKUP(A160,'Trips&amp;Operators'!$C$1:$G$99999,5,FALSE)</f>
        <v>DAVIS WENDY</v>
      </c>
      <c r="M160" s="6">
        <f t="shared" si="45"/>
        <v>9.7569444405962713E-3</v>
      </c>
      <c r="N160" s="7">
        <f t="shared" si="61"/>
        <v>14.049999994458631</v>
      </c>
      <c r="O160" s="7"/>
      <c r="P160" s="7"/>
      <c r="Q160" s="22"/>
      <c r="R160" s="190"/>
      <c r="S160" s="196">
        <f t="shared" si="62"/>
        <v>1</v>
      </c>
      <c r="T160" s="190" t="str">
        <f t="shared" si="46"/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47"/>
        <v>https://d0f6bd738d7f1b3e5a7ca70fe4ff75f0.us-east-1.aws.found.io/app/kibana#/discover/Steve-Slow-Train-Analysis-(2080s-and-2083s)?_g=(refreshInterval:(display:Off,pause:!f,section:0,value:0),time:(from:'2017-05-15T04:48:12-0600',mode:absolute,to:'2017-05-15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0" s="192" t="str">
        <f t="shared" si="48"/>
        <v>N</v>
      </c>
      <c r="X160" s="192">
        <f t="shared" si="49"/>
        <v>1</v>
      </c>
      <c r="Y160" s="192">
        <f t="shared" si="50"/>
        <v>9.0899999999999995E-2</v>
      </c>
      <c r="Z160" s="192">
        <f t="shared" si="51"/>
        <v>5.8975</v>
      </c>
      <c r="AA160" s="192">
        <f t="shared" si="52"/>
        <v>5.8065999999999995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53"/>
        <v>0801-15</v>
      </c>
      <c r="AE160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60" s="77" t="str">
        <f t="shared" si="55"/>
        <v>"C:\Program Files (x86)\AstroGrep\AstroGrep.exe" /e /r /s /spath="%USERPROFILE%\AppData\Local\Temp\OnboardLogs" /stypes="app*4014*20170515*" /stext=" 12:.+((SYSTEM_STATE.+slice.+state.+changed )|(ment ac)|(multiple cpu faults)|(system.+state.+changed )|(\[timeout)|(PRM\|1\|D)|(kpr)|(kdp)|(train st.+moving)|(\|lc)|(penalty))"</v>
      </c>
      <c r="AG160" s="1" t="str">
        <f t="shared" si="56"/>
        <v>NW</v>
      </c>
      <c r="AH160" s="81" t="str">
        <f t="shared" si="57"/>
        <v>"%USERPROFILE%\Documents\GitHub\eaglep3\Utilities\RefineRTDCRunTimes.py" --tripid 801-15 --locoid 4014 --swversion DE.1.0.9.0 --startMP 204:909 --initTime 2017-05-15T05:48:12 --startdatetime 2017-05-15T05:51:16 --delay 1 --endMP 300:58975 --enddatetime 2017-05-15T06:05:19 --enforcementcount 0 &gt;&gt;C:\Users\stu\Documents\GitHub\eaglep3-reporting\EC\2017-05-15-refined-times.txt</v>
      </c>
      <c r="AI160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{"issue":{"subject":"","project_id":79,"tracker_id":40,"status_id":1,"priority_id":2,"assigned_to_id":23,"start_date":"2017-05-15","description":"","custom_fields":[{"id":1,"name":"Subdivision","value":"NW"},{"id":4,"name":"Milepost","value":"5.8975"},{"id":17,"name":"Train ID","value":"801-15"},{"id":16,"name":"Locomotive ID","value":"4014"},{"id":130,"name":"Impact","value":""},{"id":150,"name":"Time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5" t="str">
        <f t="shared" si="59"/>
        <v>start /low /b %USERPROFILE%\Documents\GitHub\eaglep3\Utilities\DownloadLogsFromS3.py --loco 4014 --day 2017-05-15</v>
      </c>
      <c r="AN160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580</v>
      </c>
      <c r="B161" s="7">
        <v>4013</v>
      </c>
      <c r="C161" s="21" t="s">
        <v>206</v>
      </c>
      <c r="D161" s="21" t="s">
        <v>964</v>
      </c>
      <c r="E161" s="13">
        <v>42870.25540509259</v>
      </c>
      <c r="F161" s="13">
        <v>42870.256597222222</v>
      </c>
      <c r="G161" s="7">
        <v>1</v>
      </c>
      <c r="H161" s="21" t="s">
        <v>433</v>
      </c>
      <c r="I161" s="13">
        <v>42870.267476851855</v>
      </c>
      <c r="J161" s="7">
        <v>0</v>
      </c>
      <c r="K161" s="92" t="str">
        <f t="shared" si="44"/>
        <v>4013/4014</v>
      </c>
      <c r="L161" s="21" t="str">
        <f>VLOOKUP(A161,'Trips&amp;Operators'!$C$1:$G$99999,5,FALSE)</f>
        <v>DAVIS WENDY</v>
      </c>
      <c r="M161" s="6">
        <f t="shared" si="45"/>
        <v>1.0879629633564036E-2</v>
      </c>
      <c r="N161" s="7">
        <f t="shared" si="61"/>
        <v>15.666666672332212</v>
      </c>
      <c r="O161" s="7"/>
      <c r="P161" s="7"/>
      <c r="Q161" s="22"/>
      <c r="R161" s="190"/>
      <c r="S161" s="196">
        <f t="shared" si="62"/>
        <v>1</v>
      </c>
      <c r="T161" s="190" t="str">
        <f t="shared" si="46"/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47"/>
        <v>https://d0f6bd738d7f1b3e5a7ca70fe4ff75f0.us-east-1.aws.found.io/app/kibana#/discover/Steve-Slow-Train-Analysis-(2080s-and-2083s)?_g=(refreshInterval:(display:Off,pause:!f,section:0,value:0),time:(from:'2017-05-15T05:07:47-0600',mode:absolute,to:'2017-05-15T07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1" s="192" t="str">
        <f t="shared" si="48"/>
        <v>N</v>
      </c>
      <c r="X161" s="192">
        <f t="shared" si="49"/>
        <v>1</v>
      </c>
      <c r="Y161" s="192">
        <f t="shared" si="50"/>
        <v>5.8704000000000001</v>
      </c>
      <c r="Z161" s="192">
        <f t="shared" si="51"/>
        <v>6.8000000000000005E-2</v>
      </c>
      <c r="AA161" s="192">
        <f t="shared" si="52"/>
        <v>5.8024000000000004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53"/>
        <v>0802-15</v>
      </c>
      <c r="AE161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61" s="77" t="str">
        <f t="shared" si="55"/>
        <v>"C:\Program Files (x86)\AstroGrep\AstroGrep.exe" /e /r /s /spath="%USERPROFILE%\AppData\Local\Temp\OnboardLogs" /stypes="app*4013*20170515*" /stext=" 12:.+((SYSTEM_STATE.+slice.+state.+changed )|(ment ac)|(multiple cpu faults)|(system.+state.+changed )|(\[timeout)|(PRM\|1\|D)|(kpr)|(kdp)|(train st.+moving)|(\|lc)|(penalty))"</v>
      </c>
      <c r="AG161" s="1" t="str">
        <f t="shared" si="56"/>
        <v>NW</v>
      </c>
      <c r="AH161" s="81" t="str">
        <f t="shared" si="57"/>
        <v>"%USERPROFILE%\Documents\GitHub\eaglep3\Utilities\RefineRTDCRunTimes.py" --tripid 802-15 --locoid 4013 --swversion DE.1.0.9.0 --startMP 300:58704 --initTime 2017-05-15T06:07:47 --startdatetime 2017-05-15T06:09:30 --delay 1 --endMP 204:680 --enddatetime 2017-05-15T06:25:10 --enforcementcount 0 &gt;&gt;C:\Users\stu\Documents\GitHub\eaglep3-reporting\EC\2017-05-15-refined-times.txt</v>
      </c>
      <c r="AI161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{"issue":{"subject":"","project_id":79,"tracker_id":40,"status_id":1,"priority_id":2,"assigned_to_id":23,"start_date":"2017-05-15","description":"","custom_fields":[{"id":1,"name":"Subdivision","value":"NW"},{"id":4,"name":"Milepost","value":"0.068"},{"id":17,"name":"Train ID","value":"802-15"},{"id":16,"name":"Locomotive ID","value":"4013"},{"id":130,"name":"Impact","value":""},{"id":150,"name":"Time of Event (Mountain Time)","value":"06:25:10"},{"id":151,"name":"Denver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59"/>
        <v>start /low /b %USERPROFILE%\Documents\GitHub\eaglep3\Utilities\DownloadLogsFromS3.py --loco 4013 --day 2017-05-15</v>
      </c>
      <c r="AN161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661</v>
      </c>
      <c r="B162" s="7">
        <v>4032</v>
      </c>
      <c r="C162" s="21" t="s">
        <v>206</v>
      </c>
      <c r="D162" s="21" t="s">
        <v>965</v>
      </c>
      <c r="E162" s="13">
        <v>42870.250937500001</v>
      </c>
      <c r="F162" s="13">
        <v>42870.264756944445</v>
      </c>
      <c r="G162" s="7">
        <v>1</v>
      </c>
      <c r="H162" s="21" t="s">
        <v>966</v>
      </c>
      <c r="I162" s="13">
        <v>42870.273414351854</v>
      </c>
      <c r="J162" s="7">
        <v>0</v>
      </c>
      <c r="K162" s="92" t="str">
        <f t="shared" si="44"/>
        <v>4031/4032</v>
      </c>
      <c r="L162" s="21" t="str">
        <f>VLOOKUP(A162,'Trips&amp;Operators'!$C$1:$G$99999,5,FALSE)</f>
        <v>YANAI IAN</v>
      </c>
      <c r="M162" s="6">
        <f t="shared" si="45"/>
        <v>8.6574074084637687E-3</v>
      </c>
      <c r="N162" s="7">
        <f t="shared" si="61"/>
        <v>12.466666668187827</v>
      </c>
      <c r="O162" s="7"/>
      <c r="P162" s="7"/>
      <c r="Q162" s="22"/>
      <c r="R162" s="190"/>
      <c r="S162" s="196">
        <f t="shared" si="62"/>
        <v>1</v>
      </c>
      <c r="T162" s="190" t="str">
        <f t="shared" si="46"/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47"/>
        <v>https://d0f6bd738d7f1b3e5a7ca70fe4ff75f0.us-east-1.aws.found.io/app/kibana#/discover/Steve-Slow-Train-Analysis-(2080s-and-2083s)?_g=(refreshInterval:(display:Off,pause:!f,section:0,value:0),time:(from:'2017-05-15T05:01:21-0600',mode:absolute,to:'2017-05-15T07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2" s="192" t="str">
        <f t="shared" si="48"/>
        <v>N</v>
      </c>
      <c r="X162" s="192">
        <f t="shared" si="49"/>
        <v>1</v>
      </c>
      <c r="Y162" s="192">
        <f t="shared" si="50"/>
        <v>9.3600000000000003E-2</v>
      </c>
      <c r="Z162" s="192">
        <f t="shared" si="51"/>
        <v>5.8921999999999999</v>
      </c>
      <c r="AA162" s="192">
        <f t="shared" si="52"/>
        <v>5.7985999999999995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53"/>
        <v>0803-15</v>
      </c>
      <c r="AE162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62" s="77" t="str">
        <f t="shared" si="55"/>
        <v>"C:\Program Files (x86)\AstroGrep\AstroGrep.exe" /e /r /s /spath="%USERPROFILE%\AppData\Local\Temp\OnboardLogs" /stypes="app*4032*20170515*" /stext=" 12:.+((SYSTEM_STATE.+slice.+state.+changed )|(ment ac)|(multiple cpu faults)|(system.+state.+changed )|(\[timeout)|(PRM\|1\|D)|(kpr)|(kdp)|(train st.+moving)|(\|lc)|(penalty))"</v>
      </c>
      <c r="AG162" s="1" t="str">
        <f t="shared" si="56"/>
        <v>NW</v>
      </c>
      <c r="AH162" s="81" t="str">
        <f t="shared" si="57"/>
        <v>"%USERPROFILE%\Documents\GitHub\eaglep3\Utilities\RefineRTDCRunTimes.py" --tripid 803-15 --locoid 4032 --swversion DE.1.0.9.0 --startMP 204:936 --initTime 2017-05-15T06:01:21 --startdatetime 2017-05-15T06:21:15 --delay 1 --endMP 300:58922 --enddatetime 2017-05-15T06:33:43 --enforcementcount 0 &gt;&gt;C:\Users\stu\Documents\GitHub\eaglep3-reporting\EC\2017-05-15-refined-times.txt</v>
      </c>
      <c r="AI162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{"issue":{"subject":"","project_id":79,"tracker_id":40,"status_id":1,"priority_id":2,"assigned_to_id":23,"start_date":"2017-05-15","description":"","custom_fields":[{"id":1,"name":"Subdivision","value":"NW"},{"id":4,"name":"Milepost","value":"5.8922"},{"id":17,"name":"Train ID","value":"803-15"},{"id":16,"name":"Locomotive ID","value":"4032"},{"id":130,"name":"Impact","value":""},{"id":150,"name":"Time of Event (Mountain Time)","value":"06:33:43"},{"id":151,"name":"Denver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59"/>
        <v>start /low /b %USERPROFILE%\Documents\GitHub\eaglep3\Utilities\DownloadLogsFromS3.py --loco 4032 --day 2017-05-15</v>
      </c>
      <c r="AN162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665</v>
      </c>
      <c r="B163" s="7">
        <v>4031</v>
      </c>
      <c r="C163" s="21" t="s">
        <v>206</v>
      </c>
      <c r="D163" s="21" t="s">
        <v>967</v>
      </c>
      <c r="E163" s="13">
        <v>42870.274537037039</v>
      </c>
      <c r="F163" s="13">
        <v>42870.275752314818</v>
      </c>
      <c r="G163" s="7">
        <v>0</v>
      </c>
      <c r="H163" s="21" t="s">
        <v>968</v>
      </c>
      <c r="I163" s="13">
        <v>42870.288113425922</v>
      </c>
      <c r="J163" s="7">
        <v>0</v>
      </c>
      <c r="K163" s="92" t="str">
        <f t="shared" si="44"/>
        <v>4031/4032</v>
      </c>
      <c r="L163" s="21" t="str">
        <f>VLOOKUP(A163,'Trips&amp;Operators'!$C$1:$G$99999,5,FALSE)</f>
        <v>YANAI IAN</v>
      </c>
      <c r="M163" s="6">
        <f t="shared" si="45"/>
        <v>1.2361111104837619E-2</v>
      </c>
      <c r="N163" s="7">
        <f t="shared" si="61"/>
        <v>17.799999990966171</v>
      </c>
      <c r="O163" s="7"/>
      <c r="P163" s="7"/>
      <c r="Q163" s="22"/>
      <c r="R163" s="190"/>
      <c r="S163" s="196">
        <f t="shared" si="62"/>
        <v>1</v>
      </c>
      <c r="T163" s="190" t="str">
        <f t="shared" si="46"/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47"/>
        <v>https://d0f6bd738d7f1b3e5a7ca70fe4ff75f0.us-east-1.aws.found.io/app/kibana#/discover/Steve-Slow-Train-Analysis-(2080s-and-2083s)?_g=(refreshInterval:(display:Off,pause:!f,section:0,value:0),time:(from:'2017-05-15T05:35:20-0600',mode:absolute,to:'2017-05-15T07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3" s="192" t="str">
        <f t="shared" si="48"/>
        <v>N</v>
      </c>
      <c r="X163" s="192">
        <f t="shared" si="49"/>
        <v>1</v>
      </c>
      <c r="Y163" s="192">
        <f t="shared" si="50"/>
        <v>5.86</v>
      </c>
      <c r="Z163" s="192">
        <f t="shared" si="51"/>
        <v>6.5699999999999995E-2</v>
      </c>
      <c r="AA163" s="192">
        <f t="shared" si="52"/>
        <v>5.7943000000000007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53"/>
        <v>0804-15</v>
      </c>
      <c r="AE163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63" s="77" t="str">
        <f t="shared" si="55"/>
        <v>"C:\Program Files (x86)\AstroGrep\AstroGrep.exe" /e /r /s /spath="%USERPROFILE%\AppData\Local\Temp\OnboardLogs" /stypes="app*4031*20170515*" /stext=" 12:.+((SYSTEM_STATE.+slice.+state.+changed )|(ment ac)|(multiple cpu faults)|(system.+state.+changed )|(\[timeout)|(PRM\|1\|D)|(kpr)|(kdp)|(train st.+moving)|(\|lc)|(penalty))"</v>
      </c>
      <c r="AG163" s="1" t="str">
        <f t="shared" si="56"/>
        <v>NW</v>
      </c>
      <c r="AH163" s="81" t="str">
        <f t="shared" si="57"/>
        <v>"%USERPROFILE%\Documents\GitHub\eaglep3\Utilities\RefineRTDCRunTimes.py" --tripid 804-15 --locoid 4031 --swversion DE.1.0.9.0 --startMP 300:58600 --initTime 2017-05-15T06:35:20 --startdatetime 2017-05-15T06:37:05 --delay 0 --endMP 204:657 --enddatetime 2017-05-15T06:54:53 --enforcementcount 0 &gt;&gt;C:\Users\stu\Documents\GitHub\eaglep3-reporting\EC\2017-05-15-refined-times.txt</v>
      </c>
      <c r="AI163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{"issue":{"subject":"","project_id":79,"tracker_id":40,"status_id":1,"priority_id":2,"assigned_to_id":23,"start_date":"2017-05-15","description":"","custom_fields":[{"id":1,"name":"Subdivision","value":"NW"},{"id":4,"name":"Milepost","value":"0.0657"},{"id":17,"name":"Train ID","value":"804-15"},{"id":16,"name":"Locomotive ID","value":"4031"},{"id":130,"name":"Impact","value":""},{"id":150,"name":"Time of Event (Mountain Time)","value":"06:54:53"},{"id":151,"name":"Denver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59"/>
        <v>start /low /b %USERPROFILE%\Documents\GitHub\eaglep3\Utilities\DownloadLogsFromS3.py --loco 4031 --day 2017-05-15</v>
      </c>
      <c r="AN163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582</v>
      </c>
      <c r="B164" s="7">
        <v>4014</v>
      </c>
      <c r="C164" s="21" t="s">
        <v>206</v>
      </c>
      <c r="D164" s="21" t="s">
        <v>969</v>
      </c>
      <c r="E164" s="13">
        <v>42870.28266203704</v>
      </c>
      <c r="F164" s="13">
        <v>42870.285590277781</v>
      </c>
      <c r="G164" s="7">
        <v>1</v>
      </c>
      <c r="H164" s="21" t="s">
        <v>970</v>
      </c>
      <c r="I164" s="13">
        <v>42870.294502314813</v>
      </c>
      <c r="J164" s="7">
        <v>0</v>
      </c>
      <c r="K164" s="92" t="str">
        <f t="shared" si="44"/>
        <v>4013/4014</v>
      </c>
      <c r="L164" s="21" t="str">
        <f>VLOOKUP(A164,'Trips&amp;Operators'!$C$1:$G$99999,5,FALSE)</f>
        <v>DAVIS WENDY</v>
      </c>
      <c r="M164" s="6">
        <f t="shared" si="45"/>
        <v>8.9120370321325026E-3</v>
      </c>
      <c r="N164" s="7">
        <f t="shared" si="61"/>
        <v>12.833333326270804</v>
      </c>
      <c r="O164" s="7"/>
      <c r="P164" s="7"/>
      <c r="Q164" s="22"/>
      <c r="R164" s="190"/>
      <c r="S164" s="196">
        <f t="shared" si="62"/>
        <v>1</v>
      </c>
      <c r="T164" s="190" t="str">
        <f t="shared" si="46"/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47"/>
        <v>https://d0f6bd738d7f1b3e5a7ca70fe4ff75f0.us-east-1.aws.found.io/app/kibana#/discover/Steve-Slow-Train-Analysis-(2080s-and-2083s)?_g=(refreshInterval:(display:Off,pause:!f,section:0,value:0),time:(from:'2017-05-15T05:47:02-0600',mode:absolute,to:'2017-05-15T08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4" s="192" t="str">
        <f t="shared" si="48"/>
        <v>N</v>
      </c>
      <c r="X164" s="192">
        <f t="shared" si="49"/>
        <v>1</v>
      </c>
      <c r="Y164" s="192">
        <f t="shared" si="50"/>
        <v>0.10059999999999999</v>
      </c>
      <c r="Z164" s="192">
        <f t="shared" si="51"/>
        <v>5.8867000000000003</v>
      </c>
      <c r="AA164" s="192">
        <f t="shared" si="52"/>
        <v>5.7861000000000002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53"/>
        <v>0805-15</v>
      </c>
      <c r="AE164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64" s="77" t="str">
        <f t="shared" si="55"/>
        <v>"C:\Program Files (x86)\AstroGrep\AstroGrep.exe" /e /r /s /spath="%USERPROFILE%\AppData\Local\Temp\OnboardLogs" /stypes="app*4014*20170515*" /stext=" 13:.+((SYSTEM_STATE.+slice.+state.+changed )|(ment ac)|(multiple cpu faults)|(system.+state.+changed )|(\[timeout)|(PRM\|1\|D)|(kpr)|(kdp)|(train st.+moving)|(\|lc)|(penalty))"</v>
      </c>
      <c r="AG164" s="1" t="str">
        <f t="shared" si="56"/>
        <v>NW</v>
      </c>
      <c r="AH164" s="81" t="str">
        <f t="shared" si="57"/>
        <v>"%USERPROFILE%\Documents\GitHub\eaglep3\Utilities\RefineRTDCRunTimes.py" --tripid 805-15 --locoid 4014 --swversion DE.1.0.9.0 --startMP 204:1006 --initTime 2017-05-15T06:47:02 --startdatetime 2017-05-15T06:51:15 --delay 1 --endMP 300:58867 --enddatetime 2017-05-15T07:04:05 --enforcementcount 0 &gt;&gt;C:\Users\stu\Documents\GitHub\eaglep3-reporting\EC\2017-05-15-refined-times.txt</v>
      </c>
      <c r="AI164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{"issue":{"subject":"","project_id":79,"tracker_id":40,"status_id":1,"priority_id":2,"assigned_to_id":23,"start_date":"2017-05-15","description":"","custom_fields":[{"id":1,"name":"Subdivision","value":"NW"},{"id":4,"name":"Milepost","value":"5.8867"},{"id":17,"name":"Train ID","value":"805-15"},{"id":16,"name":"Locomotive ID","value":"4014"},{"id":130,"name":"Impact","value":""},{"id":150,"name":"Time of Event (Mountain Time)","value":"07:04:05"},{"id":151,"name":"Denver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59"/>
        <v>start /low /b %USERPROFILE%\Documents\GitHub\eaglep3\Utilities\DownloadLogsFromS3.py --loco 4014 --day 2017-05-15</v>
      </c>
      <c r="AN164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583</v>
      </c>
      <c r="B165" s="7">
        <v>4013</v>
      </c>
      <c r="C165" s="21" t="s">
        <v>206</v>
      </c>
      <c r="D165" s="21" t="s">
        <v>971</v>
      </c>
      <c r="E165" s="13">
        <v>42870.296261574076</v>
      </c>
      <c r="F165" s="13">
        <v>42870.297337962962</v>
      </c>
      <c r="G165" s="7">
        <v>1</v>
      </c>
      <c r="H165" s="21" t="s">
        <v>557</v>
      </c>
      <c r="I165" s="13">
        <v>42870.309270833335</v>
      </c>
      <c r="J165" s="7">
        <v>0</v>
      </c>
      <c r="K165" s="92" t="str">
        <f t="shared" si="44"/>
        <v>4013/4014</v>
      </c>
      <c r="L165" s="21" t="str">
        <f>VLOOKUP(A165,'Trips&amp;Operators'!$C$1:$G$99999,5,FALSE)</f>
        <v>DAVIS WENDY</v>
      </c>
      <c r="M165" s="6">
        <f t="shared" si="45"/>
        <v>1.1932870373129845E-2</v>
      </c>
      <c r="N165" s="7">
        <f t="shared" si="61"/>
        <v>17.183333337306976</v>
      </c>
      <c r="O165" s="7"/>
      <c r="P165" s="7"/>
      <c r="Q165" s="22"/>
      <c r="R165" s="190"/>
      <c r="S165" s="196">
        <f t="shared" si="62"/>
        <v>1</v>
      </c>
      <c r="T165" s="190" t="str">
        <f t="shared" si="46"/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47"/>
        <v>https://d0f6bd738d7f1b3e5a7ca70fe4ff75f0.us-east-1.aws.found.io/app/kibana#/discover/Steve-Slow-Train-Analysis-(2080s-and-2083s)?_g=(refreshInterval:(display:Off,pause:!f,section:0,value:0),time:(from:'2017-05-15T06:06:37-0600',mode:absolute,to:'2017-05-15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5" s="192" t="str">
        <f t="shared" si="48"/>
        <v>N</v>
      </c>
      <c r="X165" s="192">
        <f t="shared" si="49"/>
        <v>1</v>
      </c>
      <c r="Y165" s="192">
        <f t="shared" si="50"/>
        <v>5.8701999999999996</v>
      </c>
      <c r="Z165" s="192">
        <f t="shared" si="51"/>
        <v>7.0599999999999996E-2</v>
      </c>
      <c r="AA165" s="192">
        <f t="shared" si="52"/>
        <v>5.7995999999999999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53"/>
        <v>0806-15</v>
      </c>
      <c r="AE165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65" s="77" t="str">
        <f t="shared" si="55"/>
        <v>"C:\Program Files (x86)\AstroGrep\AstroGrep.exe" /e /r /s /spath="%USERPROFILE%\AppData\Local\Temp\OnboardLogs" /stypes="app*4013*20170515*" /stext=" 13:.+((SYSTEM_STATE.+slice.+state.+changed )|(ment ac)|(multiple cpu faults)|(system.+state.+changed )|(\[timeout)|(PRM\|1\|D)|(kpr)|(kdp)|(train st.+moving)|(\|lc)|(penalty))"</v>
      </c>
      <c r="AG165" s="1" t="str">
        <f t="shared" si="56"/>
        <v>NW</v>
      </c>
      <c r="AH165" s="81" t="str">
        <f t="shared" si="57"/>
        <v>"%USERPROFILE%\Documents\GitHub\eaglep3\Utilities\RefineRTDCRunTimes.py" --tripid 806-15 --locoid 4013 --swversion DE.1.0.9.0 --startMP 300:58702 --initTime 2017-05-15T07:06:37 --startdatetime 2017-05-15T07:08:10 --delay 1 --endMP 204:706 --enddatetime 2017-05-15T07:25:21 --enforcementcount 0 &gt;&gt;C:\Users\stu\Documents\GitHub\eaglep3-reporting\EC\2017-05-15-refined-times.txt</v>
      </c>
      <c r="AI165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{"issue":{"subject":"","project_id":79,"tracker_id":40,"status_id":1,"priority_id":2,"assigned_to_id":23,"start_date":"2017-05-15","description":"","custom_fields":[{"id":1,"name":"Subdivision","value":"NW"},{"id":4,"name":"Milepost","value":"0.0706"},{"id":17,"name":"Train ID","value":"806-15"},{"id":16,"name":"Locomotive ID","value":"4013"},{"id":130,"name":"Impact","value":""},{"id":150,"name":"Time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59"/>
        <v>start /low /b %USERPROFILE%\Documents\GitHub\eaglep3\Utilities\DownloadLogsFromS3.py --loco 4013 --day 2017-05-15</v>
      </c>
      <c r="AN165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670</v>
      </c>
      <c r="B166" s="7">
        <v>4032</v>
      </c>
      <c r="C166" s="21" t="s">
        <v>206</v>
      </c>
      <c r="D166" s="21" t="s">
        <v>929</v>
      </c>
      <c r="E166" s="13">
        <v>42870.289386574077</v>
      </c>
      <c r="F166" s="13">
        <v>42870.306423611109</v>
      </c>
      <c r="G166" s="7">
        <v>1</v>
      </c>
      <c r="H166" s="21" t="s">
        <v>425</v>
      </c>
      <c r="I166" s="13">
        <v>42870.314976851849</v>
      </c>
      <c r="J166" s="7">
        <v>0</v>
      </c>
      <c r="K166" s="92" t="str">
        <f t="shared" si="44"/>
        <v>4031/4032</v>
      </c>
      <c r="L166" s="21" t="str">
        <f>VLOOKUP(A166,'Trips&amp;Operators'!$C$1:$G$99999,5,FALSE)</f>
        <v>YANAI IAN</v>
      </c>
      <c r="M166" s="6">
        <f t="shared" si="45"/>
        <v>8.55324073927477E-3</v>
      </c>
      <c r="N166" s="7">
        <f t="shared" si="61"/>
        <v>12.316666664555669</v>
      </c>
      <c r="O166" s="7"/>
      <c r="P166" s="7"/>
      <c r="Q166" s="22"/>
      <c r="R166" s="190"/>
      <c r="S166" s="196">
        <f t="shared" si="62"/>
        <v>1</v>
      </c>
      <c r="T166" s="190" t="str">
        <f t="shared" si="46"/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47"/>
        <v>https://d0f6bd738d7f1b3e5a7ca70fe4ff75f0.us-east-1.aws.found.io/app/kibana#/discover/Steve-Slow-Train-Analysis-(2080s-and-2083s)?_g=(refreshInterval:(display:Off,pause:!f,section:0,value:0),time:(from:'2017-05-15T05:56:43-0600',mode:absolute,to:'2017-05-15T08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6" s="192" t="str">
        <f t="shared" si="48"/>
        <v>N</v>
      </c>
      <c r="X166" s="192">
        <f t="shared" si="49"/>
        <v>1</v>
      </c>
      <c r="Y166" s="192">
        <f t="shared" si="50"/>
        <v>9.4299999999999995E-2</v>
      </c>
      <c r="Z166" s="192">
        <f t="shared" si="51"/>
        <v>5.8925999999999998</v>
      </c>
      <c r="AA166" s="192">
        <f t="shared" si="52"/>
        <v>5.7983000000000002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53"/>
        <v>0807-15</v>
      </c>
      <c r="AE166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66" s="77" t="str">
        <f t="shared" si="55"/>
        <v>"C:\Program Files (x86)\AstroGrep\AstroGrep.exe" /e /r /s /spath="%USERPROFILE%\AppData\Local\Temp\OnboardLogs" /stypes="app*4032*20170515*" /stext=" 13:.+((SYSTEM_STATE.+slice.+state.+changed )|(ment ac)|(multiple cpu faults)|(system.+state.+changed )|(\[timeout)|(PRM\|1\|D)|(kpr)|(kdp)|(train st.+moving)|(\|lc)|(penalty))"</v>
      </c>
      <c r="AG166" s="1" t="str">
        <f t="shared" si="56"/>
        <v>NW</v>
      </c>
      <c r="AH166" s="81" t="str">
        <f t="shared" si="57"/>
        <v>"%USERPROFILE%\Documents\GitHub\eaglep3\Utilities\RefineRTDCRunTimes.py" --tripid 807-15 --locoid 4032 --swversion DE.1.0.9.0 --startMP 204:943 --initTime 2017-05-15T06:56:43 --startdatetime 2017-05-15T07:21:15 --delay 1 --endMP 300:58926 --enddatetime 2017-05-15T07:33:34 --enforcementcount 0 &gt;&gt;C:\Users\stu\Documents\GitHub\eaglep3-reporting\EC\2017-05-15-refined-times.txt</v>
      </c>
      <c r="AI166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{"issue":{"subject":"","project_id":79,"tracker_id":40,"status_id":1,"priority_id":2,"assigned_to_id":23,"start_date":"2017-05-15","description":"","custom_fields":[{"id":1,"name":"Subdivision","value":"NW"},{"id":4,"name":"Milepost","value":"5.8926"},{"id":17,"name":"Train ID","value":"807-15"},{"id":16,"name":"Locomotive ID","value":"4032"},{"id":130,"name":"Impact","value":""},{"id":150,"name":"Time of Event (Mountain Time)","value":"07:33:34"},{"id":151,"name":"Denver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59"/>
        <v>start /low /b %USERPROFILE%\Documents\GitHub\eaglep3\Utilities\DownloadLogsFromS3.py --loco 4032 --day 2017-05-15</v>
      </c>
      <c r="AN166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2" t="s">
        <v>676</v>
      </c>
      <c r="B167" s="7">
        <v>4031</v>
      </c>
      <c r="C167" s="21" t="s">
        <v>206</v>
      </c>
      <c r="D167" s="21" t="s">
        <v>559</v>
      </c>
      <c r="E167" s="13">
        <v>42870.315972222219</v>
      </c>
      <c r="F167" s="13">
        <v>42870.31759259259</v>
      </c>
      <c r="G167" s="7">
        <v>1</v>
      </c>
      <c r="H167" s="21" t="s">
        <v>972</v>
      </c>
      <c r="I167" s="13">
        <v>42870.329768518517</v>
      </c>
      <c r="J167" s="7">
        <v>0</v>
      </c>
      <c r="K167" s="92" t="str">
        <f t="shared" si="44"/>
        <v>4031/4032</v>
      </c>
      <c r="L167" s="21" t="str">
        <f>VLOOKUP(A167,'Trips&amp;Operators'!$C$1:$G$99999,5,FALSE)</f>
        <v>YANAI IAN</v>
      </c>
      <c r="M167" s="6">
        <f t="shared" si="45"/>
        <v>1.2175925927294884E-2</v>
      </c>
      <c r="N167" s="7">
        <f t="shared" si="61"/>
        <v>17.533333335304633</v>
      </c>
      <c r="O167" s="7"/>
      <c r="P167" s="7"/>
      <c r="Q167" s="22"/>
      <c r="R167" s="190"/>
      <c r="S167" s="196">
        <f t="shared" si="62"/>
        <v>1</v>
      </c>
      <c r="T167" s="190" t="str">
        <f t="shared" si="46"/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47"/>
        <v>https://d0f6bd738d7f1b3e5a7ca70fe4ff75f0.us-east-1.aws.found.io/app/kibana#/discover/Steve-Slow-Train-Analysis-(2080s-and-2083s)?_g=(refreshInterval:(display:Off,pause:!f,section:0,value:0),time:(from:'2017-05-15T06:35:00-0600',mode:absolute,to:'2017-05-15T08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7" s="192" t="str">
        <f t="shared" si="48"/>
        <v>N</v>
      </c>
      <c r="X167" s="192">
        <f t="shared" si="49"/>
        <v>1</v>
      </c>
      <c r="Y167" s="192">
        <f t="shared" si="50"/>
        <v>5.8605999999999998</v>
      </c>
      <c r="Z167" s="192">
        <f t="shared" si="51"/>
        <v>6.5199999999999994E-2</v>
      </c>
      <c r="AA167" s="192">
        <f t="shared" si="52"/>
        <v>5.7953999999999999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53"/>
        <v>0808-15</v>
      </c>
      <c r="AE167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67" s="77" t="str">
        <f t="shared" si="55"/>
        <v>"C:\Program Files (x86)\AstroGrep\AstroGrep.exe" /e /r /s /spath="%USERPROFILE%\AppData\Local\Temp\OnboardLogs" /stypes="app*4031*20170515*" /stext=" 13:.+((SYSTEM_STATE.+slice.+state.+changed )|(ment ac)|(multiple cpu faults)|(system.+state.+changed )|(\[timeout)|(PRM\|1\|D)|(kpr)|(kdp)|(train st.+moving)|(\|lc)|(penalty))"</v>
      </c>
      <c r="AG167" s="1" t="str">
        <f t="shared" si="56"/>
        <v>NW</v>
      </c>
      <c r="AH167" s="81" t="str">
        <f t="shared" si="57"/>
        <v>"%USERPROFILE%\Documents\GitHub\eaglep3\Utilities\RefineRTDCRunTimes.py" --tripid 808-15 --locoid 4031 --swversion DE.1.0.9.0 --startMP 300:58606 --initTime 2017-05-15T07:35:00 --startdatetime 2017-05-15T07:37:20 --delay 1 --endMP 204:652 --enddatetime 2017-05-15T07:54:52 --enforcementcount 0 &gt;&gt;C:\Users\stu\Documents\GitHub\eaglep3-reporting\EC\2017-05-15-refined-times.txt</v>
      </c>
      <c r="AI167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{"issue":{"subject":"","project_id":79,"tracker_id":40,"status_id":1,"priority_id":2,"assigned_to_id":23,"start_date":"2017-05-15","description":"","custom_fields":[{"id":1,"name":"Subdivision","value":"NW"},{"id":4,"name":"Milepost","value":"0.0652"},{"id":17,"name":"Train ID","value":"808-15"},{"id":16,"name":"Locomotive ID","value":"4031"},{"id":130,"name":"Impact","value":""},{"id":150,"name":"Time of Event (Mountain Time)","value":"07:54:52"},{"id":151,"name":"Denver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7"/>
      <c r="AL167" s="47"/>
      <c r="AM167" s="145" t="str">
        <f t="shared" si="59"/>
        <v>start /low /b %USERPROFILE%\Documents\GitHub\eaglep3\Utilities\DownloadLogsFromS3.py --loco 4031 --day 2017-05-15</v>
      </c>
      <c r="AN167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x14ac:dyDescent="0.25">
      <c r="A168" s="32" t="s">
        <v>584</v>
      </c>
      <c r="B168" s="7">
        <v>4014</v>
      </c>
      <c r="C168" s="21" t="s">
        <v>206</v>
      </c>
      <c r="D168" s="21" t="s">
        <v>973</v>
      </c>
      <c r="E168" s="13">
        <v>42870.324652777781</v>
      </c>
      <c r="F168" s="13">
        <v>42870.327256944445</v>
      </c>
      <c r="G168" s="7">
        <v>1</v>
      </c>
      <c r="H168" s="21" t="s">
        <v>974</v>
      </c>
      <c r="I168" s="13">
        <v>42870.33666666667</v>
      </c>
      <c r="J168" s="7">
        <v>0</v>
      </c>
      <c r="K168" s="92" t="str">
        <f t="shared" si="44"/>
        <v>4013/4014</v>
      </c>
      <c r="L168" s="21" t="str">
        <f>VLOOKUP(A168,'Trips&amp;Operators'!$C$1:$G$99999,5,FALSE)</f>
        <v>DAVIS WENDY</v>
      </c>
      <c r="M168" s="6">
        <f t="shared" si="45"/>
        <v>9.4097222245181911E-3</v>
      </c>
      <c r="N168" s="7">
        <f t="shared" si="61"/>
        <v>13.550000003306195</v>
      </c>
      <c r="O168" s="7"/>
      <c r="P168" s="7"/>
      <c r="Q168" s="22"/>
      <c r="R168" s="190"/>
      <c r="S168" s="196">
        <f t="shared" si="62"/>
        <v>1</v>
      </c>
      <c r="T168" s="190" t="str">
        <f t="shared" si="46"/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47"/>
        <v>https://d0f6bd738d7f1b3e5a7ca70fe4ff75f0.us-east-1.aws.found.io/app/kibana#/discover/Steve-Slow-Train-Analysis-(2080s-and-2083s)?_g=(refreshInterval:(display:Off,pause:!f,section:0,value:0),time:(from:'2017-05-15T06:47:30-0600',mode:absolute,to:'2017-05-15T09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8" s="192" t="str">
        <f t="shared" si="48"/>
        <v>N</v>
      </c>
      <c r="X168" s="192">
        <f t="shared" si="49"/>
        <v>1</v>
      </c>
      <c r="Y168" s="192">
        <f t="shared" si="50"/>
        <v>9.8500000000000004E-2</v>
      </c>
      <c r="Z168" s="192">
        <f t="shared" si="51"/>
        <v>5.9016000000000002</v>
      </c>
      <c r="AA168" s="192">
        <f t="shared" si="52"/>
        <v>5.8031000000000006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53"/>
        <v>0809-15</v>
      </c>
      <c r="AE168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68" s="77" t="str">
        <f t="shared" si="55"/>
        <v>"C:\Program Files (x86)\AstroGrep\AstroGrep.exe" /e /r /s /spath="%USERPROFILE%\AppData\Local\Temp\OnboardLogs" /stypes="app*4014*20170515*" /stext=" 14:.+((SYSTEM_STATE.+slice.+state.+changed )|(ment ac)|(multiple cpu faults)|(system.+state.+changed )|(\[timeout)|(PRM\|1\|D)|(kpr)|(kdp)|(train st.+moving)|(\|lc)|(penalty))"</v>
      </c>
      <c r="AG168" s="1" t="str">
        <f t="shared" si="56"/>
        <v>NW</v>
      </c>
      <c r="AH168" s="81" t="str">
        <f t="shared" si="57"/>
        <v>"%USERPROFILE%\Documents\GitHub\eaglep3\Utilities\RefineRTDCRunTimes.py" --tripid 809-15 --locoid 4014 --swversion DE.1.0.9.0 --startMP 204:985 --initTime 2017-05-15T07:47:30 --startdatetime 2017-05-15T07:51:15 --delay 1 --endMP 300:59016 --enddatetime 2017-05-15T08:04:48 --enforcementcount 0 &gt;&gt;C:\Users\stu\Documents\GitHub\eaglep3-reporting\EC\2017-05-15-refined-times.txt</v>
      </c>
      <c r="AI168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{"issue":{"subject":"","project_id":79,"tracker_id":40,"status_id":1,"priority_id":2,"assigned_to_id":23,"start_date":"2017-05-15","description":"","custom_fields":[{"id":1,"name":"Subdivision","value":"NW"},{"id":4,"name":"Milepost","value":"5.9016"},{"id":17,"name":"Train ID","value":"809-15"},{"id":16,"name":"Locomotive ID","value":"4014"},{"id":130,"name":"Impact","value":""},{"id":150,"name":"Time of Event (Mountain Time)","value":"08:04:48"},{"id":151,"name":"Denver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59"/>
        <v>start /low /b %USERPROFILE%\Documents\GitHub\eaglep3\Utilities\DownloadLogsFromS3.py --loco 4014 --day 2017-05-15</v>
      </c>
      <c r="AN168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14:04:48"},{"id":29,"name":"Sharepoint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585</v>
      </c>
      <c r="B169" s="7">
        <v>4013</v>
      </c>
      <c r="C169" s="21" t="s">
        <v>206</v>
      </c>
      <c r="D169" s="21" t="s">
        <v>975</v>
      </c>
      <c r="E169" s="13">
        <v>42870.337500000001</v>
      </c>
      <c r="F169" s="13">
        <v>42870.338645833333</v>
      </c>
      <c r="G169" s="7">
        <v>1</v>
      </c>
      <c r="H169" s="21" t="s">
        <v>563</v>
      </c>
      <c r="I169" s="13">
        <v>42870.35083333333</v>
      </c>
      <c r="J169" s="7">
        <v>0</v>
      </c>
      <c r="K169" s="92" t="str">
        <f t="shared" si="44"/>
        <v>4013/4014</v>
      </c>
      <c r="L169" s="21" t="str">
        <f>VLOOKUP(A169,'Trips&amp;Operators'!$C$1:$G$99999,5,FALSE)</f>
        <v>DAVIS WENDY</v>
      </c>
      <c r="M169" s="6">
        <f t="shared" si="45"/>
        <v>1.2187499996798579E-2</v>
      </c>
      <c r="N169" s="7">
        <f t="shared" si="61"/>
        <v>17.549999995389953</v>
      </c>
      <c r="O169" s="7"/>
      <c r="P169" s="7"/>
      <c r="Q169" s="22"/>
      <c r="R169" s="190"/>
      <c r="S169" s="196">
        <f t="shared" si="62"/>
        <v>1</v>
      </c>
      <c r="T169" s="190" t="str">
        <f t="shared" si="46"/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47"/>
        <v>https://d0f6bd738d7f1b3e5a7ca70fe4ff75f0.us-east-1.aws.found.io/app/kibana#/discover/Steve-Slow-Train-Analysis-(2080s-and-2083s)?_g=(refreshInterval:(display:Off,pause:!f,section:0,value:0),time:(from:'2017-05-15T07:06:00-0600',mode:absolute,to:'2017-05-15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9" s="192" t="str">
        <f t="shared" si="48"/>
        <v>N</v>
      </c>
      <c r="X169" s="192">
        <f t="shared" si="49"/>
        <v>1</v>
      </c>
      <c r="Y169" s="192">
        <f t="shared" si="50"/>
        <v>5.8707000000000003</v>
      </c>
      <c r="Z169" s="192">
        <f t="shared" si="51"/>
        <v>7.7600000000000002E-2</v>
      </c>
      <c r="AA169" s="192">
        <f t="shared" si="52"/>
        <v>5.7930999999999999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53"/>
        <v>0810-15</v>
      </c>
      <c r="AE169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69" s="77" t="str">
        <f t="shared" si="55"/>
        <v>"C:\Program Files (x86)\AstroGrep\AstroGrep.exe" /e /r /s /spath="%USERPROFILE%\AppData\Local\Temp\OnboardLogs" /stypes="app*4013*20170515*" /stext=" 14:.+((SYSTEM_STATE.+slice.+state.+changed )|(ment ac)|(multiple cpu faults)|(system.+state.+changed )|(\[timeout)|(PRM\|1\|D)|(kpr)|(kdp)|(train st.+moving)|(\|lc)|(penalty))"</v>
      </c>
      <c r="AG169" s="1" t="str">
        <f t="shared" si="56"/>
        <v>NW</v>
      </c>
      <c r="AH169" s="81" t="str">
        <f t="shared" si="57"/>
        <v>"%USERPROFILE%\Documents\GitHub\eaglep3\Utilities\RefineRTDCRunTimes.py" --tripid 810-15 --locoid 4013 --swversion DE.1.0.9.0 --startMP 300:58707 --initTime 2017-05-15T08:06:00 --startdatetime 2017-05-15T08:07:39 --delay 1 --endMP 204:776 --enddatetime 2017-05-15T08:25:12 --enforcementcount 0 &gt;&gt;C:\Users\stu\Documents\GitHub\eaglep3-reporting\EC\2017-05-15-refined-times.txt</v>
      </c>
      <c r="AI169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{"issue":{"subject":"","project_id":79,"tracker_id":40,"status_id":1,"priority_id":2,"assigned_to_id":23,"start_date":"2017-05-15","description":"","custom_fields":[{"id":1,"name":"Subdivision","value":"NW"},{"id":4,"name":"Milepost","value":"0.0776"},{"id":17,"name":"Train ID","value":"810-15"},{"id":16,"name":"Locomotive ID","value":"4013"},{"id":130,"name":"Impact","value":""},{"id":150,"name":"Time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59"/>
        <v>start /low /b %USERPROFILE%\Documents\GitHub\eaglep3\Utilities\DownloadLogsFromS3.py --loco 4013 --day 2017-05-15</v>
      </c>
      <c r="AN169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680</v>
      </c>
      <c r="B170" s="7">
        <v>4032</v>
      </c>
      <c r="C170" s="21" t="s">
        <v>206</v>
      </c>
      <c r="D170" s="21" t="s">
        <v>976</v>
      </c>
      <c r="E170" s="13">
        <v>42870.331099537034</v>
      </c>
      <c r="F170" s="13">
        <v>42870.348101851851</v>
      </c>
      <c r="G170" s="7">
        <v>0</v>
      </c>
      <c r="H170" s="21" t="s">
        <v>453</v>
      </c>
      <c r="I170" s="13">
        <v>42870.35696759259</v>
      </c>
      <c r="J170" s="7">
        <v>0</v>
      </c>
      <c r="K170" s="92" t="str">
        <f t="shared" si="44"/>
        <v>4031/4032</v>
      </c>
      <c r="L170" s="21" t="str">
        <f>VLOOKUP(A170,'Trips&amp;Operators'!$C$1:$G$99999,5,FALSE)</f>
        <v>YANAI IAN</v>
      </c>
      <c r="M170" s="6">
        <f t="shared" si="45"/>
        <v>8.8657407395658083E-3</v>
      </c>
      <c r="N170" s="7">
        <f t="shared" si="61"/>
        <v>12.766666664974764</v>
      </c>
      <c r="O170" s="7"/>
      <c r="P170" s="7"/>
      <c r="Q170" s="22"/>
      <c r="R170" s="190"/>
      <c r="S170" s="196">
        <f t="shared" si="62"/>
        <v>1</v>
      </c>
      <c r="T170" s="190" t="str">
        <f t="shared" si="46"/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47"/>
        <v>https://d0f6bd738d7f1b3e5a7ca70fe4ff75f0.us-east-1.aws.found.io/app/kibana#/discover/Steve-Slow-Train-Analysis-(2080s-and-2083s)?_g=(refreshInterval:(display:Off,pause:!f,section:0,value:0),time:(from:'2017-05-15T06:56:47-0600',mode:absolute,to:'2017-05-15T09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0" s="192" t="str">
        <f t="shared" si="48"/>
        <v>N</v>
      </c>
      <c r="X170" s="192">
        <f t="shared" si="49"/>
        <v>1</v>
      </c>
      <c r="Y170" s="192">
        <f t="shared" si="50"/>
        <v>9.4399999999999998E-2</v>
      </c>
      <c r="Z170" s="192">
        <f t="shared" si="51"/>
        <v>5.8929</v>
      </c>
      <c r="AA170" s="192">
        <f t="shared" si="52"/>
        <v>5.7984999999999998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53"/>
        <v>0811-15</v>
      </c>
      <c r="AE170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70" s="77" t="str">
        <f t="shared" si="55"/>
        <v>"C:\Program Files (x86)\AstroGrep\AstroGrep.exe" /e /r /s /spath="%USERPROFILE%\AppData\Local\Temp\OnboardLogs" /stypes="app*4032*20170515*" /stext=" 14:.+((SYSTEM_STATE.+slice.+state.+changed )|(ment ac)|(multiple cpu faults)|(system.+state.+changed )|(\[timeout)|(PRM\|1\|D)|(kpr)|(kdp)|(train st.+moving)|(\|lc)|(penalty))"</v>
      </c>
      <c r="AG170" s="1" t="str">
        <f t="shared" si="56"/>
        <v>NW</v>
      </c>
      <c r="AH170" s="81" t="str">
        <f t="shared" si="57"/>
        <v>"%USERPROFILE%\Documents\GitHub\eaglep3\Utilities\RefineRTDCRunTimes.py" --tripid 811-15 --locoid 4032 --swversion DE.1.0.9.0 --startMP 204:944 --initTime 2017-05-15T07:56:47 --startdatetime 2017-05-15T08:21:16 --delay 0 --endMP 300:58929 --enddatetime 2017-05-15T08:34:02 --enforcementcount 0 &gt;&gt;C:\Users\stu\Documents\GitHub\eaglep3-reporting\EC\2017-05-15-refined-times.txt</v>
      </c>
      <c r="AI170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{"issue":{"subject":"","project_id":79,"tracker_id":40,"status_id":1,"priority_id":2,"assigned_to_id":23,"start_date":"2017-05-15","description":"","custom_fields":[{"id":1,"name":"Subdivision","value":"NW"},{"id":4,"name":"Milepost","value":"5.8929"},{"id":17,"name":"Train ID","value":"811-15"},{"id":16,"name":"Locomotive ID","value":"4032"},{"id":130,"name":"Impact","value":""},{"id":150,"name":"Time of Event (Mountain Time)","value":"08:34:02"},{"id":151,"name":"Denver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59"/>
        <v>start /low /b %USERPROFILE%\Documents\GitHub\eaglep3\Utilities\DownloadLogsFromS3.py --loco 4032 --day 2017-05-15</v>
      </c>
      <c r="AN170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687</v>
      </c>
      <c r="B171" s="7">
        <v>4031</v>
      </c>
      <c r="C171" s="21" t="s">
        <v>206</v>
      </c>
      <c r="D171" s="21" t="s">
        <v>454</v>
      </c>
      <c r="E171" s="13">
        <v>42870.357893518521</v>
      </c>
      <c r="F171" s="13">
        <v>42870.359236111108</v>
      </c>
      <c r="G171" s="7">
        <v>1</v>
      </c>
      <c r="H171" s="21" t="s">
        <v>977</v>
      </c>
      <c r="I171" s="13">
        <v>42870.371122685188</v>
      </c>
      <c r="J171" s="7">
        <v>0</v>
      </c>
      <c r="K171" s="92" t="str">
        <f t="shared" si="44"/>
        <v>4031/4032</v>
      </c>
      <c r="L171" s="21" t="str">
        <f>VLOOKUP(A171,'Trips&amp;Operators'!$C$1:$G$99999,5,FALSE)</f>
        <v>YANAI IAN</v>
      </c>
      <c r="M171" s="6">
        <f t="shared" si="45"/>
        <v>1.188657408056315E-2</v>
      </c>
      <c r="N171" s="7">
        <f t="shared" si="61"/>
        <v>17.116666676010936</v>
      </c>
      <c r="O171" s="7"/>
      <c r="P171" s="7"/>
      <c r="Q171" s="22"/>
      <c r="R171" s="190"/>
      <c r="S171" s="196">
        <f t="shared" si="62"/>
        <v>1</v>
      </c>
      <c r="T171" s="190" t="str">
        <f t="shared" si="46"/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47"/>
        <v>https://d0f6bd738d7f1b3e5a7ca70fe4ff75f0.us-east-1.aws.found.io/app/kibana#/discover/Steve-Slow-Train-Analysis-(2080s-and-2083s)?_g=(refreshInterval:(display:Off,pause:!f,section:0,value:0),time:(from:'2017-05-15T07:35:22-0600',mode:absolute,to:'2017-05-15T09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1" s="192" t="str">
        <f t="shared" si="48"/>
        <v>N</v>
      </c>
      <c r="X171" s="192">
        <f t="shared" si="49"/>
        <v>1</v>
      </c>
      <c r="Y171" s="192">
        <f t="shared" si="50"/>
        <v>5.8609</v>
      </c>
      <c r="Z171" s="192">
        <f t="shared" si="51"/>
        <v>6.4899999999999999E-2</v>
      </c>
      <c r="AA171" s="192">
        <f t="shared" si="52"/>
        <v>5.7960000000000003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53"/>
        <v>0812-15</v>
      </c>
      <c r="AE171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71" s="77" t="str">
        <f t="shared" si="55"/>
        <v>"C:\Program Files (x86)\AstroGrep\AstroGrep.exe" /e /r /s /spath="%USERPROFILE%\AppData\Local\Temp\OnboardLogs" /stypes="app*4031*20170515*" /stext=" 14:.+((SYSTEM_STATE.+slice.+state.+changed )|(ment ac)|(multiple cpu faults)|(system.+state.+changed )|(\[timeout)|(PRM\|1\|D)|(kpr)|(kdp)|(train st.+moving)|(\|lc)|(penalty))"</v>
      </c>
      <c r="AG171" s="1" t="str">
        <f t="shared" si="56"/>
        <v>NW</v>
      </c>
      <c r="AH171" s="81" t="str">
        <f t="shared" si="57"/>
        <v>"%USERPROFILE%\Documents\GitHub\eaglep3\Utilities\RefineRTDCRunTimes.py" --tripid 812-15 --locoid 4031 --swversion DE.1.0.9.0 --startMP 300:58609 --initTime 2017-05-15T08:35:22 --startdatetime 2017-05-15T08:37:18 --delay 1 --endMP 204:649 --enddatetime 2017-05-15T08:54:25 --enforcementcount 0 &gt;&gt;C:\Users\stu\Documents\GitHub\eaglep3-reporting\EC\2017-05-15-refined-times.txt</v>
      </c>
      <c r="AI171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{"issue":{"subject":"","project_id":79,"tracker_id":40,"status_id":1,"priority_id":2,"assigned_to_id":23,"start_date":"2017-05-15","description":"","custom_fields":[{"id":1,"name":"Subdivision","value":"NW"},{"id":4,"name":"Milepost","value":"0.0649"},{"id":17,"name":"Train ID","value":"812-15"},{"id":16,"name":"Locomotive ID","value":"4031"},{"id":130,"name":"Impact","value":""},{"id":150,"name":"Time of Event (Mountain Time)","value":"08:54:25"},{"id":151,"name":"Denver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59"/>
        <v>start /low /b %USERPROFILE%\Documents\GitHub\eaglep3\Utilities\DownloadLogsFromS3.py --loco 4031 --day 2017-05-15</v>
      </c>
      <c r="AN171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690</v>
      </c>
      <c r="B172" s="7">
        <v>4032</v>
      </c>
      <c r="C172" s="21" t="s">
        <v>206</v>
      </c>
      <c r="D172" s="21" t="s">
        <v>965</v>
      </c>
      <c r="E172" s="13">
        <v>42870.37232638889</v>
      </c>
      <c r="F172" s="13">
        <v>42870.389745370368</v>
      </c>
      <c r="G172" s="7">
        <v>1</v>
      </c>
      <c r="H172" s="21" t="s">
        <v>494</v>
      </c>
      <c r="I172" s="13">
        <v>42870.398298611108</v>
      </c>
      <c r="J172" s="7">
        <v>0</v>
      </c>
      <c r="K172" s="92" t="str">
        <f t="shared" si="44"/>
        <v>4031/4032</v>
      </c>
      <c r="L172" s="21" t="str">
        <f>VLOOKUP(A172,'Trips&amp;Operators'!$C$1:$G$99999,5,FALSE)</f>
        <v>YANAI IAN</v>
      </c>
      <c r="M172" s="6">
        <f t="shared" si="45"/>
        <v>8.55324073927477E-3</v>
      </c>
      <c r="N172" s="7">
        <f t="shared" si="61"/>
        <v>12.316666664555669</v>
      </c>
      <c r="O172" s="7"/>
      <c r="P172" s="7"/>
      <c r="Q172" s="22"/>
      <c r="R172" s="190"/>
      <c r="S172" s="196">
        <f t="shared" si="62"/>
        <v>1</v>
      </c>
      <c r="T172" s="190" t="str">
        <f t="shared" si="46"/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47"/>
        <v>https://d0f6bd738d7f1b3e5a7ca70fe4ff75f0.us-east-1.aws.found.io/app/kibana#/discover/Steve-Slow-Train-Analysis-(2080s-and-2083s)?_g=(refreshInterval:(display:Off,pause:!f,section:0,value:0),time:(from:'2017-05-15T07:56:09-0600',mode:absolute,to:'2017-05-15T10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2" s="192" t="str">
        <f t="shared" si="48"/>
        <v>N</v>
      </c>
      <c r="X172" s="192">
        <f t="shared" si="49"/>
        <v>1</v>
      </c>
      <c r="Y172" s="192">
        <f t="shared" si="50"/>
        <v>9.3600000000000003E-2</v>
      </c>
      <c r="Z172" s="192">
        <f t="shared" si="51"/>
        <v>5.8930999999999996</v>
      </c>
      <c r="AA172" s="192">
        <f t="shared" si="52"/>
        <v>5.7994999999999992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53"/>
        <v>0813-15</v>
      </c>
      <c r="AE172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72" s="77" t="str">
        <f t="shared" si="55"/>
        <v>"C:\Program Files (x86)\AstroGrep\AstroGrep.exe" /e /r /s /spath="%USERPROFILE%\AppData\Local\Temp\OnboardLogs" /stypes="app*4032*20170515*" /stext=" 15:.+((SYSTEM_STATE.+slice.+state.+changed )|(ment ac)|(multiple cpu faults)|(system.+state.+changed )|(\[timeout)|(PRM\|1\|D)|(kpr)|(kdp)|(train st.+moving)|(\|lc)|(penalty))"</v>
      </c>
      <c r="AG172" s="1" t="str">
        <f t="shared" si="56"/>
        <v>NW</v>
      </c>
      <c r="AH172" s="81" t="str">
        <f t="shared" si="57"/>
        <v>"%USERPROFILE%\Documents\GitHub\eaglep3\Utilities\RefineRTDCRunTimes.py" --tripid 813-15 --locoid 4032 --swversion DE.1.0.9.0 --startMP 204:936 --initTime 2017-05-15T08:56:09 --startdatetime 2017-05-15T09:21:14 --delay 1 --endMP 300:58931 --enddatetime 2017-05-15T09:33:33 --enforcementcount 0 &gt;&gt;C:\Users\stu\Documents\GitHub\eaglep3-reporting\EC\2017-05-15-refined-times.txt</v>
      </c>
      <c r="AI172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{"issue":{"subject":"","project_id":79,"tracker_id":40,"status_id":1,"priority_id":2,"assigned_to_id":23,"start_date":"2017-05-15","description":"","custom_fields":[{"id":1,"name":"Subdivision","value":"NW"},{"id":4,"name":"Milepost","value":"5.8931"},{"id":17,"name":"Train ID","value":"813-15"},{"id":16,"name":"Locomotive ID","value":"4032"},{"id":130,"name":"Impact","value":""},{"id":150,"name":"Time of Event (Mountain Time)","value":"09:33:33"},{"id":151,"name":"Denver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59"/>
        <v>start /low /b %USERPROFILE%\Documents\GitHub\eaglep3\Utilities\DownloadLogsFromS3.py --loco 4032 --day 2017-05-15</v>
      </c>
      <c r="AN172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x14ac:dyDescent="0.25">
      <c r="A173" s="32" t="s">
        <v>697</v>
      </c>
      <c r="B173" s="7">
        <v>4031</v>
      </c>
      <c r="C173" s="21" t="s">
        <v>206</v>
      </c>
      <c r="D173" s="21" t="s">
        <v>424</v>
      </c>
      <c r="E173" s="13">
        <v>42870.399131944447</v>
      </c>
      <c r="F173" s="13">
        <v>42870.400324074071</v>
      </c>
      <c r="G173" s="7">
        <v>0</v>
      </c>
      <c r="H173" s="21" t="s">
        <v>433</v>
      </c>
      <c r="I173" s="13">
        <v>42870.412743055553</v>
      </c>
      <c r="J173" s="7">
        <v>0</v>
      </c>
      <c r="K173" s="92" t="str">
        <f t="shared" si="44"/>
        <v>4031/4032</v>
      </c>
      <c r="L173" s="21" t="str">
        <f>VLOOKUP(A173,'Trips&amp;Operators'!$C$1:$G$99999,5,FALSE)</f>
        <v>YANAI IAN</v>
      </c>
      <c r="M173" s="6">
        <f t="shared" si="45"/>
        <v>1.2418981481459923E-2</v>
      </c>
      <c r="N173" s="7">
        <f t="shared" si="61"/>
        <v>17.883333333302289</v>
      </c>
      <c r="O173" s="7"/>
      <c r="P173" s="7"/>
      <c r="Q173" s="22"/>
      <c r="R173" s="190"/>
      <c r="S173" s="196">
        <f t="shared" si="62"/>
        <v>1</v>
      </c>
      <c r="T173" s="190" t="str">
        <f t="shared" si="46"/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47"/>
        <v>https://d0f6bd738d7f1b3e5a7ca70fe4ff75f0.us-east-1.aws.found.io/app/kibana#/discover/Steve-Slow-Train-Analysis-(2080s-and-2083s)?_g=(refreshInterval:(display:Off,pause:!f,section:0,value:0),time:(from:'2017-05-15T08:34:45-0600',mode:absolute,to:'2017-05-15T10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3" s="192" t="str">
        <f t="shared" si="48"/>
        <v>N</v>
      </c>
      <c r="X173" s="192">
        <f t="shared" ref="X173:X181" si="63">VALUE(LEFT(AD173,4))-VALUE(LEFT(AD172,4))</f>
        <v>1</v>
      </c>
      <c r="Y173" s="192">
        <f t="shared" si="50"/>
        <v>5.8616999999999999</v>
      </c>
      <c r="Z173" s="192">
        <f t="shared" si="51"/>
        <v>6.8000000000000005E-2</v>
      </c>
      <c r="AA173" s="192">
        <f t="shared" si="52"/>
        <v>5.7937000000000003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53"/>
        <v>0814-15</v>
      </c>
      <c r="AE173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73" s="77" t="str">
        <f t="shared" si="55"/>
        <v>"C:\Program Files (x86)\AstroGrep\AstroGrep.exe" /e /r /s /spath="%USERPROFILE%\AppData\Local\Temp\OnboardLogs" /stypes="app*4031*20170515*" /stext=" 15:.+((SYSTEM_STATE.+slice.+state.+changed )|(ment ac)|(multiple cpu faults)|(system.+state.+changed )|(\[timeout)|(PRM\|1\|D)|(kpr)|(kdp)|(train st.+moving)|(\|lc)|(penalty))"</v>
      </c>
      <c r="AG173" s="1" t="str">
        <f t="shared" si="56"/>
        <v>NW</v>
      </c>
      <c r="AH173" s="81" t="str">
        <f t="shared" si="57"/>
        <v>"%USERPROFILE%\Documents\GitHub\eaglep3\Utilities\RefineRTDCRunTimes.py" --tripid 814-15 --locoid 4031 --swversion DE.1.0.9.0 --startMP 300:58617 --initTime 2017-05-15T09:34:45 --startdatetime 2017-05-15T09:36:28 --delay 0 --endMP 204:680 --enddatetime 2017-05-15T09:54:21 --enforcementcount 0 &gt;&gt;C:\Users\stu\Documents\GitHub\eaglep3-reporting\EC\2017-05-15-refined-times.txt</v>
      </c>
      <c r="AI173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{"issue":{"subject":"","project_id":79,"tracker_id":40,"status_id":1,"priority_id":2,"assigned_to_id":23,"start_date":"2017-05-15","description":"","custom_fields":[{"id":1,"name":"Subdivision","value":"NW"},{"id":4,"name":"Milepost","value":"0.068"},{"id":17,"name":"Train ID","value":"814-15"},{"id":16,"name":"Locomotive ID","value":"4031"},{"id":130,"name":"Impact","value":""},{"id":150,"name":"Time of Event (Mountain Time)","value":"09:54:21"},{"id":151,"name":"Denver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5" t="str">
        <f t="shared" si="59"/>
        <v>start /low /b %USERPROFILE%\Documents\GitHub\eaglep3\Utilities\DownloadLogsFromS3.py --loco 4031 --day 2017-05-15</v>
      </c>
      <c r="AN173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15:54:21"},{"id":29,"name":"Sharepoint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2" t="s">
        <v>701</v>
      </c>
      <c r="B174" s="7">
        <v>4032</v>
      </c>
      <c r="C174" s="21" t="s">
        <v>206</v>
      </c>
      <c r="D174" s="21" t="s">
        <v>978</v>
      </c>
      <c r="E174" s="13">
        <v>42870.427870370368</v>
      </c>
      <c r="F174" s="13">
        <v>42870.431446759256</v>
      </c>
      <c r="G174" s="7">
        <v>1</v>
      </c>
      <c r="H174" s="21" t="s">
        <v>979</v>
      </c>
      <c r="I174" s="13">
        <v>42870.44027777778</v>
      </c>
      <c r="J174" s="7">
        <v>0</v>
      </c>
      <c r="K174" s="92" t="str">
        <f t="shared" si="44"/>
        <v>4031/4032</v>
      </c>
      <c r="L174" s="21" t="str">
        <f>VLOOKUP(A174,'Trips&amp;Operators'!$C$1:$G$99999,5,FALSE)</f>
        <v>YANAI IAN</v>
      </c>
      <c r="M174" s="6">
        <f t="shared" si="45"/>
        <v>8.8310185237787664E-3</v>
      </c>
      <c r="N174" s="7">
        <f t="shared" si="61"/>
        <v>12.716666674241424</v>
      </c>
      <c r="O174" s="7"/>
      <c r="P174" s="7"/>
      <c r="Q174" s="22"/>
      <c r="R174" s="190"/>
      <c r="S174" s="196">
        <f t="shared" si="62"/>
        <v>1</v>
      </c>
      <c r="T174" s="190" t="str">
        <f t="shared" si="46"/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47"/>
        <v>https://d0f6bd738d7f1b3e5a7ca70fe4ff75f0.us-east-1.aws.found.io/app/kibana#/discover/Steve-Slow-Train-Analysis-(2080s-and-2083s)?_g=(refreshInterval:(display:Off,pause:!f,section:0,value:0),time:(from:'2017-05-15T09:16:08-0600',mode:absolute,to:'2017-05-15T11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4" s="192" t="str">
        <f t="shared" si="48"/>
        <v>N</v>
      </c>
      <c r="X174" s="192">
        <f t="shared" si="63"/>
        <v>1</v>
      </c>
      <c r="Y174" s="192">
        <f t="shared" si="50"/>
        <v>9.5299999999999996E-2</v>
      </c>
      <c r="Z174" s="192">
        <f t="shared" si="51"/>
        <v>5.8920000000000003</v>
      </c>
      <c r="AA174" s="192">
        <f t="shared" si="52"/>
        <v>5.7967000000000004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53"/>
        <v>0815-15</v>
      </c>
      <c r="AE174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74" s="77" t="str">
        <f t="shared" si="55"/>
        <v>"C:\Program Files (x86)\AstroGrep\AstroGrep.exe" /e /r /s /spath="%USERPROFILE%\AppData\Local\Temp\OnboardLogs" /stypes="app*4032*20170515*" /stext=" 16:.+((SYSTEM_STATE.+slice.+state.+changed )|(ment ac)|(multiple cpu faults)|(system.+state.+changed )|(\[timeout)|(PRM\|1\|D)|(kpr)|(kdp)|(train st.+moving)|(\|lc)|(penalty))"</v>
      </c>
      <c r="AG174" s="1" t="str">
        <f t="shared" si="56"/>
        <v>NW</v>
      </c>
      <c r="AH174" s="81" t="str">
        <f t="shared" si="57"/>
        <v>"%USERPROFILE%\Documents\GitHub\eaglep3\Utilities\RefineRTDCRunTimes.py" --tripid 815-15 --locoid 4032 --swversion DE.1.0.9.0 --startMP 204:953 --initTime 2017-05-15T10:16:08 --startdatetime 2017-05-15T10:21:17 --delay 1 --endMP 300:58920 --enddatetime 2017-05-15T10:34:00 --enforcementcount 0 &gt;&gt;C:\Users\stu\Documents\GitHub\eaglep3-reporting\EC\2017-05-15-refined-times.txt</v>
      </c>
      <c r="AI174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{"issue":{"subject":"","project_id":79,"tracker_id":40,"status_id":1,"priority_id":2,"assigned_to_id":23,"start_date":"2017-05-15","description":"","custom_fields":[{"id":1,"name":"Subdivision","value":"NW"},{"id":4,"name":"Milepost","value":"5.892"},{"id":17,"name":"Train ID","value":"815-15"},{"id":16,"name":"Locomotive ID","value":"4032"},{"id":130,"name":"Impact","value":""},{"id":150,"name":"Time of Event (Mountain Time)","value":"10:34:00"},{"id":151,"name":"Denver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5" t="str">
        <f t="shared" si="59"/>
        <v>start /low /b %USERPROFILE%\Documents\GitHub\eaglep3\Utilities\DownloadLogsFromS3.py --loco 4032 --day 2017-05-15</v>
      </c>
      <c r="AN174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2" t="s">
        <v>590</v>
      </c>
      <c r="B175" s="7">
        <v>4031</v>
      </c>
      <c r="C175" s="21" t="s">
        <v>206</v>
      </c>
      <c r="D175" s="21" t="s">
        <v>559</v>
      </c>
      <c r="E175" s="13">
        <v>42870.441469907404</v>
      </c>
      <c r="F175" s="13">
        <v>42870.442731481482</v>
      </c>
      <c r="G175" s="7">
        <v>1</v>
      </c>
      <c r="H175" s="21" t="s">
        <v>980</v>
      </c>
      <c r="I175" s="13">
        <v>42870.454421296294</v>
      </c>
      <c r="J175" s="7">
        <v>0</v>
      </c>
      <c r="K175" s="92" t="str">
        <f t="shared" si="44"/>
        <v>4031/4032</v>
      </c>
      <c r="L175" s="21" t="str">
        <f>VLOOKUP(A175,'Trips&amp;Operators'!$C$1:$G$99999,5,FALSE)</f>
        <v>YANAI IAN</v>
      </c>
      <c r="M175" s="6">
        <f t="shared" si="45"/>
        <v>1.1689814811688848E-2</v>
      </c>
      <c r="N175" s="7">
        <f t="shared" si="61"/>
        <v>16.833333328831941</v>
      </c>
      <c r="O175" s="7"/>
      <c r="P175" s="7"/>
      <c r="Q175" s="22"/>
      <c r="R175" s="190"/>
      <c r="S175" s="196">
        <f t="shared" si="62"/>
        <v>1</v>
      </c>
      <c r="T175" s="190" t="str">
        <f t="shared" si="46"/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47"/>
        <v>https://d0f6bd738d7f1b3e5a7ca70fe4ff75f0.us-east-1.aws.found.io/app/kibana#/discover/Steve-Slow-Train-Analysis-(2080s-and-2083s)?_g=(refreshInterval:(display:Off,pause:!f,section:0,value:0),time:(from:'2017-05-15T09:35:43-0600',mode:absolute,to:'2017-05-15T11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5" s="192" t="str">
        <f t="shared" si="48"/>
        <v>N</v>
      </c>
      <c r="X175" s="192">
        <f t="shared" si="63"/>
        <v>1</v>
      </c>
      <c r="Y175" s="192">
        <f t="shared" si="50"/>
        <v>5.8605999999999998</v>
      </c>
      <c r="Z175" s="192">
        <f t="shared" si="51"/>
        <v>6.5600000000000006E-2</v>
      </c>
      <c r="AA175" s="192">
        <f t="shared" si="52"/>
        <v>5.7949999999999999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53"/>
        <v>0816-15</v>
      </c>
      <c r="AE175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75" s="77" t="str">
        <f t="shared" si="55"/>
        <v>"C:\Program Files (x86)\AstroGrep\AstroGrep.exe" /e /r /s /spath="%USERPROFILE%\AppData\Local\Temp\OnboardLogs" /stypes="app*4031*20170515*" /stext=" 16:.+((SYSTEM_STATE.+slice.+state.+changed )|(ment ac)|(multiple cpu faults)|(system.+state.+changed )|(\[timeout)|(PRM\|1\|D)|(kpr)|(kdp)|(train st.+moving)|(\|lc)|(penalty))"</v>
      </c>
      <c r="AG175" s="1" t="str">
        <f t="shared" si="56"/>
        <v>NW</v>
      </c>
      <c r="AH175" s="81" t="str">
        <f t="shared" si="57"/>
        <v>"%USERPROFILE%\Documents\GitHub\eaglep3\Utilities\RefineRTDCRunTimes.py" --tripid 816-15 --locoid 4031 --swversion DE.1.0.9.0 --startMP 300:58606 --initTime 2017-05-15T10:35:43 --startdatetime 2017-05-15T10:37:32 --delay 1 --endMP 204:656 --enddatetime 2017-05-15T10:54:22 --enforcementcount 0 &gt;&gt;C:\Users\stu\Documents\GitHub\eaglep3-reporting\EC\2017-05-15-refined-times.txt</v>
      </c>
      <c r="AI175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{"issue":{"subject":"","project_id":79,"tracker_id":40,"status_id":1,"priority_id":2,"assigned_to_id":23,"start_date":"2017-05-15","description":"","custom_fields":[{"id":1,"name":"Subdivision","value":"NW"},{"id":4,"name":"Milepost","value":"0.0656"},{"id":17,"name":"Train ID","value":"816-15"},{"id":16,"name":"Locomotive ID","value":"4031"},{"id":130,"name":"Impact","value":""},{"id":150,"name":"Time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59"/>
        <v>start /low /b %USERPROFILE%\Documents\GitHub\eaglep3\Utilities\DownloadLogsFromS3.py --loco 4031 --day 2017-05-15</v>
      </c>
      <c r="AN175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2" t="s">
        <v>709</v>
      </c>
      <c r="B176" s="7">
        <v>4032</v>
      </c>
      <c r="C176" s="21" t="s">
        <v>206</v>
      </c>
      <c r="D176" s="21" t="s">
        <v>929</v>
      </c>
      <c r="E176" s="13">
        <v>42870.456377314818</v>
      </c>
      <c r="F176" s="13">
        <v>42870.473090277781</v>
      </c>
      <c r="G176" s="7">
        <v>0</v>
      </c>
      <c r="H176" s="21" t="s">
        <v>981</v>
      </c>
      <c r="I176" s="13">
        <v>42870.48170138889</v>
      </c>
      <c r="J176" s="7">
        <v>0</v>
      </c>
      <c r="K176" s="92" t="str">
        <f t="shared" si="44"/>
        <v>4031/4032</v>
      </c>
      <c r="L176" s="21" t="str">
        <f>VLOOKUP(A176,'Trips&amp;Operators'!$C$1:$G$99999,5,FALSE)</f>
        <v>YANAI IAN</v>
      </c>
      <c r="M176" s="6">
        <f t="shared" si="45"/>
        <v>8.6111111086211167E-3</v>
      </c>
      <c r="N176" s="7">
        <f t="shared" si="61"/>
        <v>12.399999996414408</v>
      </c>
      <c r="O176" s="7"/>
      <c r="P176" s="7"/>
      <c r="Q176" s="22"/>
      <c r="R176" s="190"/>
      <c r="S176" s="196">
        <f t="shared" si="62"/>
        <v>1</v>
      </c>
      <c r="T176" s="190" t="str">
        <f t="shared" si="46"/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47"/>
        <v>https://d0f6bd738d7f1b3e5a7ca70fe4ff75f0.us-east-1.aws.found.io/app/kibana#/discover/Steve-Slow-Train-Analysis-(2080s-and-2083s)?_g=(refreshInterval:(display:Off,pause:!f,section:0,value:0),time:(from:'2017-05-15T09:57:11-0600',mode:absolute,to:'2017-05-15T12:33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6" s="192" t="str">
        <f t="shared" si="48"/>
        <v>N</v>
      </c>
      <c r="X176" s="192">
        <f t="shared" si="63"/>
        <v>1</v>
      </c>
      <c r="Y176" s="192">
        <f t="shared" si="50"/>
        <v>9.4299999999999995E-2</v>
      </c>
      <c r="Z176" s="192">
        <f t="shared" si="51"/>
        <v>5.8912000000000004</v>
      </c>
      <c r="AA176" s="192">
        <f t="shared" si="52"/>
        <v>5.7969000000000008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53"/>
        <v>0817-15</v>
      </c>
      <c r="AE176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76" s="77" t="str">
        <f t="shared" si="55"/>
        <v>"C:\Program Files (x86)\AstroGrep\AstroGrep.exe" /e /r /s /spath="%USERPROFILE%\AppData\Local\Temp\OnboardLogs" /stypes="app*4032*20170515*" /stext=" 17:.+((SYSTEM_STATE.+slice.+state.+changed )|(ment ac)|(multiple cpu faults)|(system.+state.+changed )|(\[timeout)|(PRM\|1\|D)|(kpr)|(kdp)|(train st.+moving)|(\|lc)|(penalty))"</v>
      </c>
      <c r="AG176" s="1" t="str">
        <f t="shared" si="56"/>
        <v>NW</v>
      </c>
      <c r="AH176" s="81" t="str">
        <f t="shared" si="57"/>
        <v>"%USERPROFILE%\Documents\GitHub\eaglep3\Utilities\RefineRTDCRunTimes.py" --tripid 817-15 --locoid 4032 --swversion DE.1.0.9.0 --startMP 204:943 --initTime 2017-05-15T10:57:11 --startdatetime 2017-05-15T11:21:15 --delay 0 --endMP 300:58912 --enddatetime 2017-05-15T11:33:39 --enforcementcount 0 &gt;&gt;C:\Users\stu\Documents\GitHub\eaglep3-reporting\EC\2017-05-15-refined-times.txt</v>
      </c>
      <c r="AI176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{"issue":{"subject":"","project_id":79,"tracker_id":40,"status_id":1,"priority_id":2,"assigned_to_id":23,"start_date":"2017-05-15","description":"","custom_fields":[{"id":1,"name":"Subdivision","value":"NW"},{"id":4,"name":"Milepost","value":"5.8912"},{"id":17,"name":"Train ID","value":"817-15"},{"id":16,"name":"Locomotive ID","value":"4032"},{"id":130,"name":"Impact","value":""},{"id":150,"name":"Time of Event (Mountain Time)","value":"11:33:39"},{"id":151,"name":"Denver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59"/>
        <v>start /low /b %USERPROFILE%\Documents\GitHub\eaglep3\Utilities\DownloadLogsFromS3.py --loco 4032 --day 2017-05-15</v>
      </c>
      <c r="AN176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17:33:39"},{"id":29,"name":"Sharepoint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717</v>
      </c>
      <c r="B177" s="7">
        <v>4031</v>
      </c>
      <c r="C177" s="21" t="s">
        <v>206</v>
      </c>
      <c r="D177" s="21" t="s">
        <v>982</v>
      </c>
      <c r="E177" s="13">
        <v>42870.482673611114</v>
      </c>
      <c r="F177" s="13">
        <v>42870.484027777777</v>
      </c>
      <c r="G177" s="7">
        <v>1</v>
      </c>
      <c r="H177" s="21" t="s">
        <v>983</v>
      </c>
      <c r="I177" s="13">
        <v>42870.496168981481</v>
      </c>
      <c r="J177" s="7">
        <v>0</v>
      </c>
      <c r="K177" s="92" t="str">
        <f t="shared" si="44"/>
        <v>4031/4032</v>
      </c>
      <c r="L177" s="21" t="str">
        <f>VLOOKUP(A177,'Trips&amp;Operators'!$C$1:$G$99999,5,FALSE)</f>
        <v>YANAI IAN</v>
      </c>
      <c r="M177" s="6">
        <f t="shared" si="45"/>
        <v>1.2141203704231884E-2</v>
      </c>
      <c r="N177" s="7">
        <f t="shared" si="61"/>
        <v>17.483333334093913</v>
      </c>
      <c r="O177" s="7"/>
      <c r="P177" s="7"/>
      <c r="Q177" s="22"/>
      <c r="R177" s="190"/>
      <c r="S177" s="196">
        <f t="shared" si="62"/>
        <v>1</v>
      </c>
      <c r="T177" s="190" t="str">
        <f t="shared" si="46"/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47"/>
        <v>https://d0f6bd738d7f1b3e5a7ca70fe4ff75f0.us-east-1.aws.found.io/app/kibana#/discover/Steve-Slow-Train-Analysis-(2080s-and-2083s)?_g=(refreshInterval:(display:Off,pause:!f,section:0,value:0),time:(from:'2017-05-15T10:35:03-0600',mode:absolute,to:'2017-05-15T12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7" s="192" t="str">
        <f t="shared" si="48"/>
        <v>N</v>
      </c>
      <c r="X177" s="192">
        <f t="shared" si="63"/>
        <v>1</v>
      </c>
      <c r="Y177" s="192">
        <f t="shared" si="50"/>
        <v>5.8601999999999999</v>
      </c>
      <c r="Z177" s="192">
        <f t="shared" si="51"/>
        <v>6.6299999999999998E-2</v>
      </c>
      <c r="AA177" s="192">
        <f t="shared" si="52"/>
        <v>5.7938999999999998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53"/>
        <v>0818-15</v>
      </c>
      <c r="AE177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77" s="77" t="str">
        <f t="shared" si="55"/>
        <v>"C:\Program Files (x86)\AstroGrep\AstroGrep.exe" /e /r /s /spath="%USERPROFILE%\AppData\Local\Temp\OnboardLogs" /stypes="app*4031*20170515*" /stext=" 17:.+((SYSTEM_STATE.+slice.+state.+changed )|(ment ac)|(multiple cpu faults)|(system.+state.+changed )|(\[timeout)|(PRM\|1\|D)|(kpr)|(kdp)|(train st.+moving)|(\|lc)|(penalty))"</v>
      </c>
      <c r="AG177" s="1" t="str">
        <f t="shared" si="56"/>
        <v>NW</v>
      </c>
      <c r="AH177" s="81" t="str">
        <f t="shared" si="57"/>
        <v>"%USERPROFILE%\Documents\GitHub\eaglep3\Utilities\RefineRTDCRunTimes.py" --tripid 818-15 --locoid 4031 --swversion DE.1.0.9.0 --startMP 300:58602 --initTime 2017-05-15T11:35:03 --startdatetime 2017-05-15T11:37:00 --delay 1 --endMP 204:663 --enddatetime 2017-05-15T11:54:29 --enforcementcount 0 &gt;&gt;C:\Users\stu\Documents\GitHub\eaglep3-reporting\EC\2017-05-15-refined-times.txt</v>
      </c>
      <c r="AI177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{"issue":{"subject":"","project_id":79,"tracker_id":40,"status_id":1,"priority_id":2,"assigned_to_id":23,"start_date":"2017-05-15","description":"","custom_fields":[{"id":1,"name":"Subdivision","value":"NW"},{"id":4,"name":"Milepost","value":"0.0663"},{"id":17,"name":"Train ID","value":"818-15"},{"id":16,"name":"Locomotive ID","value":"4031"},{"id":130,"name":"Impact","value":""},{"id":150,"name":"Time of Event (Mountain Time)","value":"11:54:29"},{"id":151,"name":"Denver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59"/>
        <v>start /low /b %USERPROFILE%\Documents\GitHub\eaglep3\Utilities\DownloadLogsFromS3.py --loco 4031 --day 2017-05-15</v>
      </c>
      <c r="AN177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720</v>
      </c>
      <c r="B178" s="7">
        <v>4032</v>
      </c>
      <c r="C178" s="21" t="s">
        <v>206</v>
      </c>
      <c r="D178" s="21" t="s">
        <v>984</v>
      </c>
      <c r="E178" s="13">
        <v>42870.49732638889</v>
      </c>
      <c r="F178" s="13">
        <v>42870.514756944445</v>
      </c>
      <c r="G178" s="7">
        <v>1</v>
      </c>
      <c r="H178" s="21" t="s">
        <v>453</v>
      </c>
      <c r="I178" s="13">
        <v>42870.524097222224</v>
      </c>
      <c r="J178" s="7">
        <v>0</v>
      </c>
      <c r="K178" s="92" t="str">
        <f t="shared" si="44"/>
        <v>4031/4032</v>
      </c>
      <c r="L178" s="21" t="str">
        <f>VLOOKUP(A178,'Trips&amp;Operators'!$C$1:$G$99999,5,FALSE)</f>
        <v>YANAI IAN</v>
      </c>
      <c r="M178" s="6">
        <f t="shared" si="45"/>
        <v>9.340277778392192E-3</v>
      </c>
      <c r="N178" s="7">
        <f t="shared" si="61"/>
        <v>13.450000000884756</v>
      </c>
      <c r="O178" s="7"/>
      <c r="P178" s="7"/>
      <c r="Q178" s="22"/>
      <c r="R178" s="190"/>
      <c r="S178" s="196">
        <f t="shared" si="62"/>
        <v>1</v>
      </c>
      <c r="T178" s="190" t="str">
        <f t="shared" si="46"/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47"/>
        <v>https://d0f6bd738d7f1b3e5a7ca70fe4ff75f0.us-east-1.aws.found.io/app/kibana#/discover/Steve-Slow-Train-Analysis-(2080s-and-2083s)?_g=(refreshInterval:(display:Off,pause:!f,section:0,value:0),time:(from:'2017-05-15T10:56:09-0600',mode:absolute,to:'2017-05-15T13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78" s="192" t="str">
        <f t="shared" si="48"/>
        <v>N</v>
      </c>
      <c r="X178" s="192">
        <f t="shared" si="63"/>
        <v>1</v>
      </c>
      <c r="Y178" s="192">
        <f t="shared" si="50"/>
        <v>9.4799999999999995E-2</v>
      </c>
      <c r="Z178" s="192">
        <f t="shared" si="51"/>
        <v>5.8929</v>
      </c>
      <c r="AA178" s="192">
        <f t="shared" si="52"/>
        <v>5.7980999999999998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53"/>
        <v>0819-15</v>
      </c>
      <c r="AE178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78" s="77" t="str">
        <f t="shared" si="55"/>
        <v>"C:\Program Files (x86)\AstroGrep\AstroGrep.exe" /e /r /s /spath="%USERPROFILE%\AppData\Local\Temp\OnboardLogs" /stypes="app*4032*20170515*" /stext=" 18:.+((SYSTEM_STATE.+slice.+state.+changed )|(ment ac)|(multiple cpu faults)|(system.+state.+changed )|(\[timeout)|(PRM\|1\|D)|(kpr)|(kdp)|(train st.+moving)|(\|lc)|(penalty))"</v>
      </c>
      <c r="AG178" s="1" t="str">
        <f t="shared" si="56"/>
        <v>NW</v>
      </c>
      <c r="AH178" s="81" t="str">
        <f t="shared" si="57"/>
        <v>"%USERPROFILE%\Documents\GitHub\eaglep3\Utilities\RefineRTDCRunTimes.py" --tripid 819-15 --locoid 4032 --swversion DE.1.0.9.0 --startMP 204:948 --initTime 2017-05-15T11:56:09 --startdatetime 2017-05-15T12:21:15 --delay 1 --endMP 300:58929 --enddatetime 2017-05-15T12:34:42 --enforcementcount 0 &gt;&gt;C:\Users\stu\Documents\GitHub\eaglep3-reporting\EC\2017-05-15-refined-times.txt</v>
      </c>
      <c r="AI178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{"issue":{"subject":"","project_id":79,"tracker_id":40,"status_id":1,"priority_id":2,"assigned_to_id":23,"start_date":"2017-05-15","description":"","custom_fields":[{"id":1,"name":"Subdivision","value":"NW"},{"id":4,"name":"Milepost","value":"5.8929"},{"id":17,"name":"Train ID","value":"819-15"},{"id":16,"name":"Locomotive ID","value":"4032"},{"id":130,"name":"Impact","value":""},{"id":150,"name":"Time of Event (Mountain Time)","value":"12:34:42"},{"id":151,"name":"Denver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59"/>
        <v>start /low /b %USERPROFILE%\Documents\GitHub\eaglep3\Utilities\DownloadLogsFromS3.py --loco 4032 --day 2017-05-15</v>
      </c>
      <c r="AN178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2" t="s">
        <v>727</v>
      </c>
      <c r="B179" s="7">
        <v>4031</v>
      </c>
      <c r="C179" s="21" t="s">
        <v>206</v>
      </c>
      <c r="D179" s="21" t="s">
        <v>560</v>
      </c>
      <c r="E179" s="13">
        <v>42870.525057870371</v>
      </c>
      <c r="F179" s="13">
        <v>42870.52621527778</v>
      </c>
      <c r="G179" s="7">
        <v>0</v>
      </c>
      <c r="H179" s="21" t="s">
        <v>985</v>
      </c>
      <c r="I179" s="13">
        <v>42870.537789351853</v>
      </c>
      <c r="J179" s="7">
        <v>0</v>
      </c>
      <c r="K179" s="92" t="str">
        <f t="shared" si="44"/>
        <v>4031/4032</v>
      </c>
      <c r="L179" s="21" t="str">
        <f>VLOOKUP(A179,'Trips&amp;Operators'!$C$1:$G$99999,5,FALSE)</f>
        <v>YANAI IAN</v>
      </c>
      <c r="M179" s="6">
        <f t="shared" si="45"/>
        <v>1.1574074072996154E-2</v>
      </c>
      <c r="N179" s="7">
        <f t="shared" si="61"/>
        <v>16.666666665114462</v>
      </c>
      <c r="O179" s="7"/>
      <c r="P179" s="7"/>
      <c r="Q179" s="22"/>
      <c r="R179" s="190"/>
      <c r="S179" s="196">
        <f t="shared" si="62"/>
        <v>1</v>
      </c>
      <c r="T179" s="190" t="str">
        <f t="shared" si="46"/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47"/>
        <v>https://d0f6bd738d7f1b3e5a7ca70fe4ff75f0.us-east-1.aws.found.io/app/kibana#/discover/Steve-Slow-Train-Analysis-(2080s-and-2083s)?_g=(refreshInterval:(display:Off,pause:!f,section:0,value:0),time:(from:'2017-05-15T11:36:05-0600',mode:absolute,to:'2017-05-15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9" s="192" t="str">
        <f t="shared" si="48"/>
        <v>N</v>
      </c>
      <c r="X179" s="192">
        <f t="shared" si="63"/>
        <v>1</v>
      </c>
      <c r="Y179" s="192">
        <f t="shared" si="50"/>
        <v>5.8611000000000004</v>
      </c>
      <c r="Z179" s="192">
        <f t="shared" si="51"/>
        <v>6.6100000000000006E-2</v>
      </c>
      <c r="AA179" s="192">
        <f t="shared" si="52"/>
        <v>5.7950000000000008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53"/>
        <v>0820-15</v>
      </c>
      <c r="AE179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79" s="77" t="str">
        <f t="shared" si="55"/>
        <v>"C:\Program Files (x86)\AstroGrep\AstroGrep.exe" /e /r /s /spath="%USERPROFILE%\AppData\Local\Temp\OnboardLogs" /stypes="app*4031*20170515*" /stext=" 18:.+((SYSTEM_STATE.+slice.+state.+changed )|(ment ac)|(multiple cpu faults)|(system.+state.+changed )|(\[timeout)|(PRM\|1\|D)|(kpr)|(kdp)|(train st.+moving)|(\|lc)|(penalty))"</v>
      </c>
      <c r="AG179" s="1" t="str">
        <f t="shared" si="56"/>
        <v>NW</v>
      </c>
      <c r="AH179" s="81" t="str">
        <f t="shared" si="57"/>
        <v>"%USERPROFILE%\Documents\GitHub\eaglep3\Utilities\RefineRTDCRunTimes.py" --tripid 820-15 --locoid 4031 --swversion DE.1.0.9.0 --startMP 300:58611 --initTime 2017-05-15T12:36:05 --startdatetime 2017-05-15T12:37:45 --delay 0 --endMP 204:661 --enddatetime 2017-05-15T12:54:25 --enforcementcount 0 &gt;&gt;C:\Users\stu\Documents\GitHub\eaglep3-reporting\EC\2017-05-15-refined-times.txt</v>
      </c>
      <c r="AI179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{"issue":{"subject":"","project_id":79,"tracker_id":40,"status_id":1,"priority_id":2,"assigned_to_id":23,"start_date":"2017-05-15","description":"","custom_fields":[{"id":1,"name":"Subdivision","value":"NW"},{"id":4,"name":"Milepost","value":"0.0661"},{"id":17,"name":"Train ID","value":"820-15"},{"id":16,"name":"Locomotive ID","value":"4031"},{"id":130,"name":"Impact","value":""},{"id":150,"name":"Time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59"/>
        <v>start /low /b %USERPROFILE%\Documents\GitHub\eaglep3\Utilities\DownloadLogsFromS3.py --loco 4031 --day 2017-05-15</v>
      </c>
      <c r="AN179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730</v>
      </c>
      <c r="B180" s="7">
        <v>4032</v>
      </c>
      <c r="C180" s="21" t="s">
        <v>206</v>
      </c>
      <c r="D180" s="21" t="s">
        <v>986</v>
      </c>
      <c r="E180" s="13">
        <v>42870.553368055553</v>
      </c>
      <c r="F180" s="13">
        <v>42870.556550925925</v>
      </c>
      <c r="G180" s="7">
        <v>2</v>
      </c>
      <c r="H180" s="21" t="s">
        <v>987</v>
      </c>
      <c r="I180" s="13">
        <v>42870.565567129626</v>
      </c>
      <c r="J180" s="7">
        <v>0</v>
      </c>
      <c r="K180" s="92" t="str">
        <f t="shared" si="44"/>
        <v>4031/4032</v>
      </c>
      <c r="L180" s="21" t="str">
        <f>VLOOKUP(A180,'Trips&amp;Operators'!$C$1:$G$99999,5,FALSE)</f>
        <v>LEVIN SCOTT</v>
      </c>
      <c r="M180" s="6">
        <f t="shared" si="45"/>
        <v>9.0162037013215013E-3</v>
      </c>
      <c r="N180" s="7">
        <f t="shared" si="61"/>
        <v>12.983333329902962</v>
      </c>
      <c r="O180" s="7"/>
      <c r="P180" s="7"/>
      <c r="Q180" s="22"/>
      <c r="R180" s="190"/>
      <c r="S180" s="196">
        <f t="shared" si="62"/>
        <v>1</v>
      </c>
      <c r="T180" s="190" t="str">
        <f t="shared" si="46"/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47"/>
        <v>https://d0f6bd738d7f1b3e5a7ca70fe4ff75f0.us-east-1.aws.found.io/app/kibana#/discover/Steve-Slow-Train-Analysis-(2080s-and-2083s)?_g=(refreshInterval:(display:Off,pause:!f,section:0,value:0),time:(from:'2017-05-15T12:16:51-0600',mode:absolute,to:'2017-05-15T14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0" s="192" t="str">
        <f t="shared" si="48"/>
        <v>N</v>
      </c>
      <c r="X180" s="192">
        <f t="shared" si="63"/>
        <v>1</v>
      </c>
      <c r="Y180" s="192">
        <f t="shared" si="50"/>
        <v>9.5799999999999996E-2</v>
      </c>
      <c r="Z180" s="192">
        <f t="shared" si="51"/>
        <v>5.8954000000000004</v>
      </c>
      <c r="AA180" s="192">
        <f t="shared" si="52"/>
        <v>5.7996000000000008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53"/>
        <v>0821-15</v>
      </c>
      <c r="AE180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80" s="77" t="str">
        <f t="shared" si="55"/>
        <v>"C:\Program Files (x86)\AstroGrep\AstroGrep.exe" /e /r /s /spath="%USERPROFILE%\AppData\Local\Temp\OnboardLogs" /stypes="app*4032*20170515*" /stext=" 19:.+((SYSTEM_STATE.+slice.+state.+changed )|(ment ac)|(multiple cpu faults)|(system.+state.+changed )|(\[timeout)|(PRM\|1\|D)|(kpr)|(kdp)|(train st.+moving)|(\|lc)|(penalty))"</v>
      </c>
      <c r="AG180" s="1" t="str">
        <f t="shared" si="56"/>
        <v>NW</v>
      </c>
      <c r="AH180" s="81" t="str">
        <f t="shared" si="57"/>
        <v>"%USERPROFILE%\Documents\GitHub\eaglep3\Utilities\RefineRTDCRunTimes.py" --tripid 821-15 --locoid 4032 --swversion DE.1.0.9.0 --startMP 204:958 --initTime 2017-05-15T13:16:51 --startdatetime 2017-05-15T13:21:26 --delay 2 --endMP 300:58954 --enddatetime 2017-05-15T13:34:25 --enforcementcount 0 &gt;&gt;C:\Users\stu\Documents\GitHub\eaglep3-reporting\EC\2017-05-15-refined-times.txt</v>
      </c>
      <c r="AI180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{"issue":{"subject":"","project_id":79,"tracker_id":40,"status_id":1,"priority_id":2,"assigned_to_id":23,"start_date":"2017-05-15","description":"","custom_fields":[{"id":1,"name":"Subdivision","value":"NW"},{"id":4,"name":"Milepost","value":"5.8954"},{"id":17,"name":"Train ID","value":"821-15"},{"id":16,"name":"Locomotive ID","value":"4032"},{"id":130,"name":"Impact","value":""},{"id":150,"name":"Time of Event (Mountain Time)","value":"13:34:25"},{"id":151,"name":"Denver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59"/>
        <v>start /low /b %USERPROFILE%\Documents\GitHub\eaglep3\Utilities\DownloadLogsFromS3.py --loco 4032 --day 2017-05-15</v>
      </c>
      <c r="AN180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602</v>
      </c>
      <c r="B181" s="7">
        <v>4031</v>
      </c>
      <c r="C181" s="21" t="s">
        <v>206</v>
      </c>
      <c r="D181" s="21" t="s">
        <v>988</v>
      </c>
      <c r="E181" s="13">
        <v>42870.566782407404</v>
      </c>
      <c r="F181" s="13">
        <v>42870.567974537036</v>
      </c>
      <c r="G181" s="7">
        <v>1</v>
      </c>
      <c r="H181" s="21" t="s">
        <v>989</v>
      </c>
      <c r="I181" s="13">
        <v>42870.579502314817</v>
      </c>
      <c r="J181" s="7">
        <v>0</v>
      </c>
      <c r="K181" s="92" t="str">
        <f t="shared" si="44"/>
        <v>4031/4032</v>
      </c>
      <c r="L181" s="21" t="str">
        <f>VLOOKUP(A181,'Trips&amp;Operators'!$C$1:$G$99999,5,FALSE)</f>
        <v>LEVIN SCOTT</v>
      </c>
      <c r="M181" s="6">
        <f t="shared" si="45"/>
        <v>1.152777778042946E-2</v>
      </c>
      <c r="N181" s="7">
        <f t="shared" si="61"/>
        <v>16.600000003818423</v>
      </c>
      <c r="O181" s="7"/>
      <c r="P181" s="7"/>
      <c r="Q181" s="22"/>
      <c r="R181" s="190"/>
      <c r="S181" s="196">
        <f t="shared" si="62"/>
        <v>1</v>
      </c>
      <c r="T181" s="190" t="str">
        <f t="shared" si="46"/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47"/>
        <v>https://d0f6bd738d7f1b3e5a7ca70fe4ff75f0.us-east-1.aws.found.io/app/kibana#/discover/Steve-Slow-Train-Analysis-(2080s-and-2083s)?_g=(refreshInterval:(display:Off,pause:!f,section:0,value:0),time:(from:'2017-05-15T12:36:10-0600',mode:absolute,to:'2017-05-15T14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1" s="192" t="str">
        <f t="shared" si="48"/>
        <v>N</v>
      </c>
      <c r="X181" s="192">
        <f t="shared" si="63"/>
        <v>1</v>
      </c>
      <c r="Y181" s="192">
        <f t="shared" si="50"/>
        <v>5.8630000000000004</v>
      </c>
      <c r="Z181" s="192">
        <f t="shared" si="51"/>
        <v>6.8199999999999997E-2</v>
      </c>
      <c r="AA181" s="192">
        <f t="shared" si="52"/>
        <v>5.7948000000000004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53"/>
        <v>0822-15</v>
      </c>
      <c r="AE181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81" s="77" t="str">
        <f t="shared" si="55"/>
        <v>"C:\Program Files (x86)\AstroGrep\AstroGrep.exe" /e /r /s /spath="%USERPROFILE%\AppData\Local\Temp\OnboardLogs" /stypes="app*4031*20170515*" /stext=" 19:.+((SYSTEM_STATE.+slice.+state.+changed )|(ment ac)|(multiple cpu faults)|(system.+state.+changed )|(\[timeout)|(PRM\|1\|D)|(kpr)|(kdp)|(train st.+moving)|(\|lc)|(penalty))"</v>
      </c>
      <c r="AG181" s="1" t="str">
        <f t="shared" si="56"/>
        <v>NW</v>
      </c>
      <c r="AH181" s="81" t="str">
        <f t="shared" si="57"/>
        <v>"%USERPROFILE%\Documents\GitHub\eaglep3\Utilities\RefineRTDCRunTimes.py" --tripid 822-15 --locoid 4031 --swversion DE.1.0.9.0 --startMP 300:58630 --initTime 2017-05-15T13:36:10 --startdatetime 2017-05-15T13:37:53 --delay 1 --endMP 204:682 --enddatetime 2017-05-15T13:54:29 --enforcementcount 0 &gt;&gt;C:\Users\stu\Documents\GitHub\eaglep3-reporting\EC\2017-05-15-refined-times.txt</v>
      </c>
      <c r="AI181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{"issue":{"subject":"","project_id":79,"tracker_id":40,"status_id":1,"priority_id":2,"assigned_to_id":23,"start_date":"2017-05-15","description":"","custom_fields":[{"id":1,"name":"Subdivision","value":"NW"},{"id":4,"name":"Milepost","value":"0.0682"},{"id":17,"name":"Train ID","value":"822-15"},{"id":16,"name":"Locomotive ID","value":"4031"},{"id":130,"name":"Impact","value":""},{"id":150,"name":"Time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59"/>
        <v>start /low /b %USERPROFILE%\Documents\GitHub\eaglep3\Utilities\DownloadLogsFromS3.py --loco 4031 --day 2017-05-15</v>
      </c>
      <c r="AN181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19:54:29"},{"id":29,"name":"Sharepoint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735</v>
      </c>
      <c r="B182" s="7">
        <v>4032</v>
      </c>
      <c r="C182" s="21" t="s">
        <v>206</v>
      </c>
      <c r="D182" s="21" t="s">
        <v>990</v>
      </c>
      <c r="E182" s="13">
        <v>42870.595856481479</v>
      </c>
      <c r="F182" s="13">
        <v>42870.598090277781</v>
      </c>
      <c r="G182" s="7">
        <v>1</v>
      </c>
      <c r="H182" s="21" t="s">
        <v>991</v>
      </c>
      <c r="I182" s="13">
        <v>42870.607152777775</v>
      </c>
      <c r="J182" s="7">
        <v>0</v>
      </c>
      <c r="K182" s="92" t="str">
        <f t="shared" si="44"/>
        <v>4031/4032</v>
      </c>
      <c r="L182" s="21" t="str">
        <f>VLOOKUP(A182,'Trips&amp;Operators'!$C$1:$G$99999,5,FALSE)</f>
        <v>LEVIN SCOTT</v>
      </c>
      <c r="M182" s="6">
        <f t="shared" si="45"/>
        <v>9.0624999938881956E-3</v>
      </c>
      <c r="N182" s="7">
        <f t="shared" si="61"/>
        <v>13.049999991199002</v>
      </c>
      <c r="O182" s="7"/>
      <c r="P182" s="7"/>
      <c r="Q182" s="22"/>
      <c r="R182" s="190"/>
      <c r="S182" s="196">
        <f t="shared" si="62"/>
        <v>1</v>
      </c>
      <c r="T182" s="190" t="str">
        <f t="shared" si="46"/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47"/>
        <v>https://d0f6bd738d7f1b3e5a7ca70fe4ff75f0.us-east-1.aws.found.io/app/kibana#/discover/Steve-Slow-Train-Analysis-(2080s-and-2083s)?_g=(refreshInterval:(display:Off,pause:!f,section:0,value:0),time:(from:'2017-05-15T13:18:02-0600',mode:absolute,to:'2017-05-15T15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2" s="192" t="str">
        <f t="shared" si="48"/>
        <v>N</v>
      </c>
      <c r="X182" s="192">
        <f t="shared" ref="X182:X213" si="64">VALUE(LEFT(AD182,4))-VALUE(LEFT(AD181,4))</f>
        <v>1</v>
      </c>
      <c r="Y182" s="192">
        <f t="shared" si="50"/>
        <v>9.7199999999999995E-2</v>
      </c>
      <c r="Z182" s="192">
        <f t="shared" si="51"/>
        <v>5.8963000000000001</v>
      </c>
      <c r="AA182" s="192">
        <f t="shared" si="52"/>
        <v>5.7991000000000001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53"/>
        <v>0823-15</v>
      </c>
      <c r="AE182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82" s="77" t="str">
        <f t="shared" si="55"/>
        <v>"C:\Program Files (x86)\AstroGrep\AstroGrep.exe" /e /r /s /spath="%USERPROFILE%\AppData\Local\Temp\OnboardLogs" /stypes="app*4032*20170515*" /stext=" 20:.+((SYSTEM_STATE.+slice.+state.+changed )|(ment ac)|(multiple cpu faults)|(system.+state.+changed )|(\[timeout)|(PRM\|1\|D)|(kpr)|(kdp)|(train st.+moving)|(\|lc)|(penalty))"</v>
      </c>
      <c r="AG182" s="1" t="str">
        <f t="shared" si="56"/>
        <v>NW</v>
      </c>
      <c r="AH182" s="81" t="str">
        <f t="shared" si="57"/>
        <v>"%USERPROFILE%\Documents\GitHub\eaglep3\Utilities\RefineRTDCRunTimes.py" --tripid 823-15 --locoid 4032 --swversion DE.1.0.9.0 --startMP 204:972 --initTime 2017-05-15T14:18:02 --startdatetime 2017-05-15T14:21:15 --delay 1 --endMP 300:58963 --enddatetime 2017-05-15T14:34:18 --enforcementcount 0 &gt;&gt;C:\Users\stu\Documents\GitHub\eaglep3-reporting\EC\2017-05-15-refined-times.txt</v>
      </c>
      <c r="AI182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{"issue":{"subject":"","project_id":79,"tracker_id":40,"status_id":1,"priority_id":2,"assigned_to_id":23,"start_date":"2017-05-15","description":"","custom_fields":[{"id":1,"name":"Subdivision","value":"NW"},{"id":4,"name":"Milepost","value":"5.8963"},{"id":17,"name":"Train ID","value":"823-15"},{"id":16,"name":"Locomotive ID","value":"4032"},{"id":130,"name":"Impact","value":""},{"id":150,"name":"Time of Event (Mountain Time)","value":"14:34:18"},{"id":151,"name":"Denver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59"/>
        <v>start /low /b %USERPROFILE%\Documents\GitHub\eaglep3\Utilities\DownloadLogsFromS3.py --loco 4032 --day 2017-05-15</v>
      </c>
      <c r="AN182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20:34:18"},{"id":29,"name":"Sharepoint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607</v>
      </c>
      <c r="B183" s="7">
        <v>4031</v>
      </c>
      <c r="C183" s="21" t="s">
        <v>206</v>
      </c>
      <c r="D183" s="21" t="s">
        <v>992</v>
      </c>
      <c r="E183" s="13">
        <v>42870.608368055553</v>
      </c>
      <c r="F183" s="13">
        <v>42870.609872685185</v>
      </c>
      <c r="G183" s="7">
        <v>1</v>
      </c>
      <c r="H183" s="21" t="s">
        <v>993</v>
      </c>
      <c r="I183" s="13">
        <v>42870.621134259258</v>
      </c>
      <c r="J183" s="7">
        <v>0</v>
      </c>
      <c r="K183" s="92" t="str">
        <f t="shared" si="44"/>
        <v>4031/4032</v>
      </c>
      <c r="L183" s="21" t="str">
        <f>VLOOKUP(A183,'Trips&amp;Operators'!$C$1:$G$99999,5,FALSE)</f>
        <v>LEVIN SCOTT</v>
      </c>
      <c r="M183" s="6">
        <f t="shared" si="45"/>
        <v>1.1261574072705116E-2</v>
      </c>
      <c r="N183" s="7">
        <f t="shared" si="61"/>
        <v>16.216666664695367</v>
      </c>
      <c r="O183" s="7"/>
      <c r="P183" s="7"/>
      <c r="Q183" s="22"/>
      <c r="R183" s="190"/>
      <c r="S183" s="196">
        <f t="shared" si="62"/>
        <v>1</v>
      </c>
      <c r="T183" s="190" t="str">
        <f t="shared" si="46"/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47"/>
        <v>https://d0f6bd738d7f1b3e5a7ca70fe4ff75f0.us-east-1.aws.found.io/app/kibana#/discover/Steve-Slow-Train-Analysis-(2080s-and-2083s)?_g=(refreshInterval:(display:Off,pause:!f,section:0,value:0),time:(from:'2017-05-15T13:36:03-0600',mode:absolute,to:'2017-05-15T15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3" s="192" t="str">
        <f t="shared" si="48"/>
        <v>N</v>
      </c>
      <c r="X183" s="192">
        <f t="shared" si="64"/>
        <v>1</v>
      </c>
      <c r="Y183" s="192">
        <f t="shared" si="50"/>
        <v>5.8640999999999996</v>
      </c>
      <c r="Z183" s="192">
        <f t="shared" si="51"/>
        <v>6.9199999999999998E-2</v>
      </c>
      <c r="AA183" s="192">
        <f t="shared" si="52"/>
        <v>5.7948999999999993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53"/>
        <v>0824-15</v>
      </c>
      <c r="AE183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83" s="77" t="str">
        <f t="shared" si="55"/>
        <v>"C:\Program Files (x86)\AstroGrep\AstroGrep.exe" /e /r /s /spath="%USERPROFILE%\AppData\Local\Temp\OnboardLogs" /stypes="app*4031*20170515*" /stext=" 20:.+((SYSTEM_STATE.+slice.+state.+changed )|(ment ac)|(multiple cpu faults)|(system.+state.+changed )|(\[timeout)|(PRM\|1\|D)|(kpr)|(kdp)|(train st.+moving)|(\|lc)|(penalty))"</v>
      </c>
      <c r="AG183" s="1" t="str">
        <f t="shared" si="56"/>
        <v>NW</v>
      </c>
      <c r="AH183" s="81" t="str">
        <f t="shared" si="57"/>
        <v>"%USERPROFILE%\Documents\GitHub\eaglep3\Utilities\RefineRTDCRunTimes.py" --tripid 824-15 --locoid 4031 --swversion DE.1.0.9.0 --startMP 300:58641 --initTime 2017-05-15T14:36:03 --startdatetime 2017-05-15T14:38:13 --delay 1 --endMP 204:692 --enddatetime 2017-05-15T14:54:26 --enforcementcount 0 &gt;&gt;C:\Users\stu\Documents\GitHub\eaglep3-reporting\EC\2017-05-15-refined-times.txt</v>
      </c>
      <c r="AI183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{"issue":{"subject":"","project_id":79,"tracker_id":40,"status_id":1,"priority_id":2,"assigned_to_id":23,"start_date":"2017-05-15","description":"","custom_fields":[{"id":1,"name":"Subdivision","value":"NW"},{"id":4,"name":"Milepost","value":"0.0692"},{"id":17,"name":"Train ID","value":"824-15"},{"id":16,"name":"Locomotive ID","value":"4031"},{"id":130,"name":"Impact","value":""},{"id":150,"name":"Time of Event (Mountain Time)","value":"14:54:26"},{"id":151,"name":"Denver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59"/>
        <v>start /low /b %USERPROFILE%\Documents\GitHub\eaglep3\Utilities\DownloadLogsFromS3.py --loco 4031 --day 2017-05-15</v>
      </c>
      <c r="AN183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20:54:26"},{"id":29,"name":"Sharepoint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748</v>
      </c>
      <c r="B184" s="7">
        <v>4032</v>
      </c>
      <c r="C184" s="21" t="s">
        <v>206</v>
      </c>
      <c r="D184" s="21" t="s">
        <v>994</v>
      </c>
      <c r="E184" s="13">
        <v>42870.637303240743</v>
      </c>
      <c r="F184" s="13">
        <v>42870.639768518522</v>
      </c>
      <c r="G184" s="7">
        <v>1</v>
      </c>
      <c r="H184" s="21" t="s">
        <v>987</v>
      </c>
      <c r="I184" s="13">
        <v>42870.648854166669</v>
      </c>
      <c r="J184" s="7">
        <v>0</v>
      </c>
      <c r="K184" s="92" t="str">
        <f t="shared" si="44"/>
        <v>4031/4032</v>
      </c>
      <c r="L184" s="21" t="str">
        <f>VLOOKUP(A184,'Trips&amp;Operators'!$C$1:$G$99999,5,FALSE)</f>
        <v>LEVIN SCOTT</v>
      </c>
      <c r="M184" s="6">
        <f t="shared" si="45"/>
        <v>9.0856481474475004E-3</v>
      </c>
      <c r="N184" s="7">
        <f t="shared" si="61"/>
        <v>13.083333332324401</v>
      </c>
      <c r="O184" s="7"/>
      <c r="P184" s="7"/>
      <c r="Q184" s="22"/>
      <c r="R184" s="190"/>
      <c r="S184" s="196">
        <f t="shared" si="62"/>
        <v>1</v>
      </c>
      <c r="T184" s="190" t="str">
        <f t="shared" si="46"/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47"/>
        <v>https://d0f6bd738d7f1b3e5a7ca70fe4ff75f0.us-east-1.aws.found.io/app/kibana#/discover/Steve-Slow-Train-Analysis-(2080s-and-2083s)?_g=(refreshInterval:(display:Off,pause:!f,section:0,value:0),time:(from:'2017-05-15T14:17:43-0600',mode:absolute,to:'2017-05-15T16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4" s="192" t="str">
        <f t="shared" si="48"/>
        <v>N</v>
      </c>
      <c r="X184" s="192">
        <f t="shared" si="64"/>
        <v>1</v>
      </c>
      <c r="Y184" s="192">
        <f t="shared" si="50"/>
        <v>9.9199999999999997E-2</v>
      </c>
      <c r="Z184" s="192">
        <f t="shared" si="51"/>
        <v>5.8954000000000004</v>
      </c>
      <c r="AA184" s="192">
        <f t="shared" si="52"/>
        <v>5.7962000000000007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53"/>
        <v>0825-15</v>
      </c>
      <c r="AE184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84" s="77" t="str">
        <f t="shared" si="55"/>
        <v>"C:\Program Files (x86)\AstroGrep\AstroGrep.exe" /e /r /s /spath="%USERPROFILE%\AppData\Local\Temp\OnboardLogs" /stypes="app*4032*20170515*" /stext=" 21:.+((SYSTEM_STATE.+slice.+state.+changed )|(ment ac)|(multiple cpu faults)|(system.+state.+changed )|(\[timeout)|(PRM\|1\|D)|(kpr)|(kdp)|(train st.+moving)|(\|lc)|(penalty))"</v>
      </c>
      <c r="AG184" s="1" t="str">
        <f t="shared" si="56"/>
        <v>NW</v>
      </c>
      <c r="AH184" s="81" t="str">
        <f t="shared" si="57"/>
        <v>"%USERPROFILE%\Documents\GitHub\eaglep3\Utilities\RefineRTDCRunTimes.py" --tripid 825-15 --locoid 4032 --swversion DE.1.0.9.0 --startMP 204:992 --initTime 2017-05-15T15:17:43 --startdatetime 2017-05-15T15:21:16 --delay 1 --endMP 300:58954 --enddatetime 2017-05-15T15:34:21 --enforcementcount 0 &gt;&gt;C:\Users\stu\Documents\GitHub\eaglep3-reporting\EC\2017-05-15-refined-times.txt</v>
      </c>
      <c r="AI184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{"issue":{"subject":"","project_id":79,"tracker_id":40,"status_id":1,"priority_id":2,"assigned_to_id":23,"start_date":"2017-05-15","description":"","custom_fields":[{"id":1,"name":"Subdivision","value":"NW"},{"id":4,"name":"Milepost","value":"5.8954"},{"id":17,"name":"Train ID","value":"825-15"},{"id":16,"name":"Locomotive ID","value":"4032"},{"id":130,"name":"Impact","value":""},{"id":150,"name":"Time of Event (Mountain Time)","value":"15:34:21"},{"id":151,"name":"Denver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59"/>
        <v>start /low /b %USERPROFILE%\Documents\GitHub\eaglep3\Utilities\DownloadLogsFromS3.py --loco 4032 --day 2017-05-15</v>
      </c>
      <c r="AN184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751</v>
      </c>
      <c r="B185" s="7">
        <v>4031</v>
      </c>
      <c r="C185" s="21" t="s">
        <v>206</v>
      </c>
      <c r="D185" s="21" t="s">
        <v>995</v>
      </c>
      <c r="E185" s="13">
        <v>42870.650057870371</v>
      </c>
      <c r="F185" s="13">
        <v>42870.651666666665</v>
      </c>
      <c r="G185" s="7">
        <v>1</v>
      </c>
      <c r="H185" s="21" t="s">
        <v>996</v>
      </c>
      <c r="I185" s="13">
        <v>42870.663287037038</v>
      </c>
      <c r="J185" s="7">
        <v>0</v>
      </c>
      <c r="K185" s="92" t="str">
        <f t="shared" si="44"/>
        <v>4031/4032</v>
      </c>
      <c r="L185" s="21" t="str">
        <f>VLOOKUP(A185,'Trips&amp;Operators'!$C$1:$G$99999,5,FALSE)</f>
        <v>LEVIN SCOTT</v>
      </c>
      <c r="M185" s="6">
        <f t="shared" si="45"/>
        <v>1.1620370372838806E-2</v>
      </c>
      <c r="N185" s="7">
        <f t="shared" si="61"/>
        <v>16.733333336887881</v>
      </c>
      <c r="O185" s="7"/>
      <c r="P185" s="7"/>
      <c r="Q185" s="22"/>
      <c r="R185" s="190"/>
      <c r="S185" s="196">
        <f t="shared" si="62"/>
        <v>1</v>
      </c>
      <c r="T185" s="190" t="str">
        <f t="shared" si="46"/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47"/>
        <v>https://d0f6bd738d7f1b3e5a7ca70fe4ff75f0.us-east-1.aws.found.io/app/kibana#/discover/Steve-Slow-Train-Analysis-(2080s-and-2083s)?_g=(refreshInterval:(display:Off,pause:!f,section:0,value:0),time:(from:'2017-05-15T14:36:05-0600',mode:absolute,to:'2017-05-15T16:55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5" s="192" t="str">
        <f t="shared" si="48"/>
        <v>N</v>
      </c>
      <c r="X185" s="192">
        <f t="shared" si="64"/>
        <v>1</v>
      </c>
      <c r="Y185" s="192">
        <f t="shared" si="50"/>
        <v>5.8634000000000004</v>
      </c>
      <c r="Z185" s="192">
        <f t="shared" si="51"/>
        <v>6.2899999999999998E-2</v>
      </c>
      <c r="AA185" s="192">
        <f t="shared" si="52"/>
        <v>5.8005000000000004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53"/>
        <v>0826-15</v>
      </c>
      <c r="AE185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85" s="77" t="str">
        <f t="shared" si="55"/>
        <v>"C:\Program Files (x86)\AstroGrep\AstroGrep.exe" /e /r /s /spath="%USERPROFILE%\AppData\Local\Temp\OnboardLogs" /stypes="app*4031*20170515*" /stext=" 21:.+((SYSTEM_STATE.+slice.+state.+changed )|(ment ac)|(multiple cpu faults)|(system.+state.+changed )|(\[timeout)|(PRM\|1\|D)|(kpr)|(kdp)|(train st.+moving)|(\|lc)|(penalty))"</v>
      </c>
      <c r="AG185" s="1" t="str">
        <f t="shared" si="56"/>
        <v>NW</v>
      </c>
      <c r="AH185" s="81" t="str">
        <f t="shared" si="57"/>
        <v>"%USERPROFILE%\Documents\GitHub\eaglep3\Utilities\RefineRTDCRunTimes.py" --tripid 826-15 --locoid 4031 --swversion DE.1.0.9.0 --startMP 300:58634 --initTime 2017-05-15T15:36:05 --startdatetime 2017-05-15T15:38:24 --delay 1 --endMP 204:629 --enddatetime 2017-05-15T15:55:08 --enforcementcount 0 &gt;&gt;C:\Users\stu\Documents\GitHub\eaglep3-reporting\EC\2017-05-15-refined-times.txt</v>
      </c>
      <c r="AI185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{"issue":{"subject":"","project_id":79,"tracker_id":40,"status_id":1,"priority_id":2,"assigned_to_id":23,"start_date":"2017-05-15","description":"","custom_fields":[{"id":1,"name":"Subdivision","value":"NW"},{"id":4,"name":"Milepost","value":"0.0629"},{"id":17,"name":"Train ID","value":"826-15"},{"id":16,"name":"Locomotive ID","value":"4031"},{"id":130,"name":"Impact","value":""},{"id":150,"name":"Time of Event (Mountain Time)","value":"15:55:08"},{"id":151,"name":"Denver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59"/>
        <v>start /low /b %USERPROFILE%\Documents\GitHub\eaglep3\Utilities\DownloadLogsFromS3.py --loco 4031 --day 2017-05-15</v>
      </c>
      <c r="AN185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21:55:08"},{"id":29,"name":"Sharepoint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750</v>
      </c>
      <c r="B186" s="7">
        <v>4014</v>
      </c>
      <c r="C186" s="21" t="s">
        <v>206</v>
      </c>
      <c r="D186" s="21" t="s">
        <v>997</v>
      </c>
      <c r="E186" s="13">
        <v>42870.643657407411</v>
      </c>
      <c r="F186" s="13">
        <v>42870.660567129627</v>
      </c>
      <c r="G186" s="7">
        <v>1</v>
      </c>
      <c r="H186" s="21" t="s">
        <v>966</v>
      </c>
      <c r="I186" s="13">
        <v>42870.669189814813</v>
      </c>
      <c r="J186" s="7">
        <v>0</v>
      </c>
      <c r="K186" s="92" t="str">
        <f t="shared" si="44"/>
        <v>4013/4014</v>
      </c>
      <c r="L186" s="21" t="str">
        <f>VLOOKUP(A186,'Trips&amp;Operators'!$C$1:$G$99999,5,FALSE)</f>
        <v>NEWELL JAMES</v>
      </c>
      <c r="M186" s="6">
        <f t="shared" si="45"/>
        <v>8.6226851854007691E-3</v>
      </c>
      <c r="N186" s="7">
        <f t="shared" si="61"/>
        <v>12.416666666977108</v>
      </c>
      <c r="O186" s="7"/>
      <c r="P186" s="7"/>
      <c r="Q186" s="22"/>
      <c r="R186" s="190"/>
      <c r="S186" s="196">
        <f t="shared" si="62"/>
        <v>1</v>
      </c>
      <c r="T186" s="190" t="str">
        <f t="shared" si="46"/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47"/>
        <v>https://d0f6bd738d7f1b3e5a7ca70fe4ff75f0.us-east-1.aws.found.io/app/kibana#/discover/Steve-Slow-Train-Analysis-(2080s-and-2083s)?_g=(refreshInterval:(display:Off,pause:!f,section:0,value:0),time:(from:'2017-05-15T14:26:52-0600',mode:absolute,to:'2017-05-15T17:03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6" s="192" t="str">
        <f t="shared" si="48"/>
        <v>N</v>
      </c>
      <c r="X186" s="192">
        <f t="shared" si="64"/>
        <v>1</v>
      </c>
      <c r="Y186" s="192">
        <f t="shared" si="50"/>
        <v>9.5699999999999993E-2</v>
      </c>
      <c r="Z186" s="192">
        <f t="shared" si="51"/>
        <v>5.8921999999999999</v>
      </c>
      <c r="AA186" s="192">
        <f t="shared" si="52"/>
        <v>5.7965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53"/>
        <v>0827-15</v>
      </c>
      <c r="AE186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86" s="77" t="str">
        <f t="shared" si="55"/>
        <v>"C:\Program Files (x86)\AstroGrep\AstroGrep.exe" /e /r /s /spath="%USERPROFILE%\AppData\Local\Temp\OnboardLogs" /stypes="app*4014*20170515*" /stext=" 22:.+((SYSTEM_STATE.+slice.+state.+changed )|(ment ac)|(multiple cpu faults)|(system.+state.+changed )|(\[timeout)|(PRM\|1\|D)|(kpr)|(kdp)|(train st.+moving)|(\|lc)|(penalty))"</v>
      </c>
      <c r="AG186" s="1" t="str">
        <f t="shared" si="56"/>
        <v>NW</v>
      </c>
      <c r="AH186" s="81" t="str">
        <f t="shared" si="57"/>
        <v>"%USERPROFILE%\Documents\GitHub\eaglep3\Utilities\RefineRTDCRunTimes.py" --tripid 827-15 --locoid 4014 --swversion DE.1.0.9.0 --startMP 204:957 --initTime 2017-05-15T15:26:52 --startdatetime 2017-05-15T15:51:13 --delay 1 --endMP 300:58922 --enddatetime 2017-05-15T16:03:38 --enforcementcount 0 &gt;&gt;C:\Users\stu\Documents\GitHub\eaglep3-reporting\EC\2017-05-15-refined-times.txt</v>
      </c>
      <c r="AI186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{"issue":{"subject":"","project_id":79,"tracker_id":40,"status_id":1,"priority_id":2,"assigned_to_id":23,"start_date":"2017-05-15","description":"","custom_fields":[{"id":1,"name":"Subdivision","value":"NW"},{"id":4,"name":"Milepost","value":"5.8922"},{"id":17,"name":"Train ID","value":"827-15"},{"id":16,"name":"Locomotive ID","value":"4014"},{"id":130,"name":"Impact","value":""},{"id":150,"name":"Time of Event (Mountain Time)","value":"16:03:38"},{"id":151,"name":"Denver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59"/>
        <v>start /low /b %USERPROFILE%\Documents\GitHub\eaglep3\Utilities\DownloadLogsFromS3.py --loco 4014 --day 2017-05-15</v>
      </c>
      <c r="AN186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22:03:38"},{"id":29,"name":"Sharepoint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754</v>
      </c>
      <c r="B187" s="7">
        <v>4013</v>
      </c>
      <c r="C187" s="21" t="s">
        <v>206</v>
      </c>
      <c r="D187" s="21" t="s">
        <v>496</v>
      </c>
      <c r="E187" s="13">
        <v>42870.670092592591</v>
      </c>
      <c r="F187" s="13">
        <v>42870.702233796299</v>
      </c>
      <c r="G187" s="7">
        <v>1</v>
      </c>
      <c r="H187" s="21" t="s">
        <v>998</v>
      </c>
      <c r="I187" s="13">
        <v>42870.7108912037</v>
      </c>
      <c r="J187" s="7">
        <v>0</v>
      </c>
      <c r="K187" s="92" t="str">
        <f t="shared" si="44"/>
        <v>4013/4014</v>
      </c>
      <c r="L187" s="21" t="str">
        <f>VLOOKUP(A187,'Trips&amp;Operators'!$C$1:$G$99999,5,FALSE)</f>
        <v>NEWELL JAMES</v>
      </c>
      <c r="M187" s="6">
        <f t="shared" si="45"/>
        <v>8.657407401187811E-3</v>
      </c>
      <c r="N187" s="7">
        <f t="shared" si="61"/>
        <v>12.466666657710448</v>
      </c>
      <c r="O187" s="7"/>
      <c r="P187" s="7"/>
      <c r="Q187" s="22"/>
      <c r="R187" s="190"/>
      <c r="S187" s="196">
        <f t="shared" si="62"/>
        <v>1</v>
      </c>
      <c r="T187" s="190" t="str">
        <f t="shared" si="46"/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47"/>
        <v>https://d0f6bd738d7f1b3e5a7ca70fe4ff75f0.us-east-1.aws.found.io/app/kibana#/discover/Steve-Slow-Train-Analysis-(2080s-and-2083s)?_g=(refreshInterval:(display:Off,pause:!f,section:0,value:0),time:(from:'2017-05-15T15:04:56-0600',mode:absolute,to:'2017-05-15T18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7" s="192" t="str">
        <f t="shared" si="48"/>
        <v>N</v>
      </c>
      <c r="X187" s="192">
        <f t="shared" si="64"/>
        <v>1</v>
      </c>
      <c r="Y187" s="192">
        <f t="shared" si="50"/>
        <v>5.8615000000000004</v>
      </c>
      <c r="Z187" s="192">
        <f t="shared" si="51"/>
        <v>7.0300000000000001E-2</v>
      </c>
      <c r="AA187" s="192">
        <f t="shared" si="52"/>
        <v>5.7912000000000008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53"/>
        <v>0828-15</v>
      </c>
      <c r="AE187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87" s="77" t="str">
        <f t="shared" si="55"/>
        <v>"C:\Program Files (x86)\AstroGrep\AstroGrep.exe" /e /r /s /spath="%USERPROFILE%\AppData\Local\Temp\OnboardLogs" /stypes="app*4013*20170515*" /stext=" 23:.+((SYSTEM_STATE.+slice.+state.+changed )|(ment ac)|(multiple cpu faults)|(system.+state.+changed )|(\[timeout)|(PRM\|1\|D)|(kpr)|(kdp)|(train st.+moving)|(\|lc)|(penalty))"</v>
      </c>
      <c r="AG187" s="1" t="str">
        <f t="shared" si="56"/>
        <v>NW</v>
      </c>
      <c r="AH187" s="81" t="str">
        <f t="shared" si="57"/>
        <v>"%USERPROFILE%\Documents\GitHub\eaglep3\Utilities\RefineRTDCRunTimes.py" --tripid 828-15 --locoid 4013 --swversion DE.1.0.9.0 --startMP 300:58615 --initTime 2017-05-15T16:04:56 --startdatetime 2017-05-15T16:51:13 --delay 1 --endMP 204:703 --enddatetime 2017-05-15T17:03:41 --enforcementcount 0 &gt;&gt;C:\Users\stu\Documents\GitHub\eaglep3-reporting\EC\2017-05-15-refined-times.txt</v>
      </c>
      <c r="AI187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{"issue":{"subject":"","project_id":79,"tracker_id":40,"status_id":1,"priority_id":2,"assigned_to_id":23,"start_date":"2017-05-15","description":"","custom_fields":[{"id":1,"name":"Subdivision","value":"NW"},{"id":4,"name":"Milepost","value":"0.0703"},{"id":17,"name":"Train ID","value":"828-15"},{"id":16,"name":"Locomotive ID","value":"4013"},{"id":130,"name":"Impact","value":""},{"id":150,"name":"Time of Event (Mountain Time)","value":"17:03:41"},{"id":151,"name":"Denver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59"/>
        <v>start /low /b %USERPROFILE%\Documents\GitHub\eaglep3\Utilities\DownloadLogsFromS3.py --loco 4013 --day 2017-05-15</v>
      </c>
      <c r="AN187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s="20" customFormat="1" x14ac:dyDescent="0.25">
      <c r="A188" s="32" t="s">
        <v>756</v>
      </c>
      <c r="B188" s="7">
        <v>4032</v>
      </c>
      <c r="C188" s="21" t="s">
        <v>206</v>
      </c>
      <c r="D188" s="21" t="s">
        <v>999</v>
      </c>
      <c r="E188" s="13">
        <v>42870.678877314815</v>
      </c>
      <c r="F188" s="13">
        <v>42870.681423611109</v>
      </c>
      <c r="G188" s="7">
        <v>1</v>
      </c>
      <c r="H188" s="21" t="s">
        <v>562</v>
      </c>
      <c r="I188" s="13">
        <v>42870.69059027778</v>
      </c>
      <c r="J188" s="7">
        <v>0</v>
      </c>
      <c r="K188" s="92" t="str">
        <f t="shared" si="44"/>
        <v>4031/4032</v>
      </c>
      <c r="L188" s="21" t="str">
        <f>VLOOKUP(A188,'Trips&amp;Operators'!$C$1:$G$99999,5,FALSE)</f>
        <v>LEVIN SCOTT</v>
      </c>
      <c r="M188" s="6">
        <f t="shared" si="45"/>
        <v>9.1666666703531519E-3</v>
      </c>
      <c r="N188" s="7">
        <f t="shared" si="61"/>
        <v>13.200000005308539</v>
      </c>
      <c r="O188" s="7"/>
      <c r="P188" s="7"/>
      <c r="Q188" s="22"/>
      <c r="R188" s="190"/>
      <c r="S188" s="196">
        <f t="shared" si="62"/>
        <v>1</v>
      </c>
      <c r="T188" s="190" t="str">
        <f t="shared" si="46"/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47"/>
        <v>https://d0f6bd738d7f1b3e5a7ca70fe4ff75f0.us-east-1.aws.found.io/app/kibana#/discover/Steve-Slow-Train-Analysis-(2080s-and-2083s)?_g=(refreshInterval:(display:Off,pause:!f,section:0,value:0),time:(from:'2017-05-15T15:17:35-0600',mode:absolute,to:'2017-05-15T17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8" s="192" t="str">
        <f t="shared" si="48"/>
        <v>N</v>
      </c>
      <c r="X188" s="192">
        <f t="shared" si="64"/>
        <v>1</v>
      </c>
      <c r="Y188" s="192">
        <f t="shared" si="50"/>
        <v>9.4100000000000003E-2</v>
      </c>
      <c r="Z188" s="192">
        <f t="shared" si="51"/>
        <v>5.8928000000000003</v>
      </c>
      <c r="AA188" s="192">
        <f t="shared" si="52"/>
        <v>5.7987000000000002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53"/>
        <v>0829-15</v>
      </c>
      <c r="AE188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88" s="77" t="str">
        <f t="shared" si="55"/>
        <v>"C:\Program Files (x86)\AstroGrep\AstroGrep.exe" /e /r /s /spath="%USERPROFILE%\AppData\Local\Temp\OnboardLogs" /stypes="app*4032*20170515*" /stext=" 22:.+((SYSTEM_STATE.+slice.+state.+changed )|(ment ac)|(multiple cpu faults)|(system.+state.+changed )|(\[timeout)|(PRM\|1\|D)|(kpr)|(kdp)|(train st.+moving)|(\|lc)|(penalty))"</v>
      </c>
      <c r="AG188" s="1" t="str">
        <f t="shared" si="56"/>
        <v>NW</v>
      </c>
      <c r="AH188" s="81" t="str">
        <f t="shared" si="57"/>
        <v>"%USERPROFILE%\Documents\GitHub\eaglep3\Utilities\RefineRTDCRunTimes.py" --tripid 829-15 --locoid 4032 --swversion DE.1.0.9.0 --startMP 204:941 --initTime 2017-05-15T16:17:35 --startdatetime 2017-05-15T16:21:15 --delay 1 --endMP 300:58928 --enddatetime 2017-05-15T16:34:27 --enforcementcount 0 &gt;&gt;C:\Users\stu\Documents\GitHub\eaglep3-reporting\EC\2017-05-15-refined-times.txt</v>
      </c>
      <c r="AI188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{"issue":{"subject":"","project_id":79,"tracker_id":40,"status_id":1,"priority_id":2,"assigned_to_id":23,"start_date":"2017-05-15","description":"","custom_fields":[{"id":1,"name":"Subdivision","value":"NW"},{"id":4,"name":"Milepost","value":"5.8928"},{"id":17,"name":"Train ID","value":"829-15"},{"id":16,"name":"Locomotive ID","value":"4032"},{"id":130,"name":"Impact","value":""},{"id":150,"name":"Time of Event (Mountain Time)","value":"16:34:27"},{"id":151,"name":"Denver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5" t="str">
        <f t="shared" si="59"/>
        <v>start /low /b %USERPROFILE%\Documents\GitHub\eaglep3\Utilities\DownloadLogsFromS3.py --loco 4032 --day 2017-05-15</v>
      </c>
      <c r="AN188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759</v>
      </c>
      <c r="B189" s="7">
        <v>4031</v>
      </c>
      <c r="C189" s="21" t="s">
        <v>206</v>
      </c>
      <c r="D189" s="21" t="s">
        <v>1000</v>
      </c>
      <c r="E189" s="13">
        <v>42870.692175925928</v>
      </c>
      <c r="F189" s="13">
        <v>42870.693553240744</v>
      </c>
      <c r="G189" s="7">
        <v>1</v>
      </c>
      <c r="H189" s="21" t="s">
        <v>1001</v>
      </c>
      <c r="I189" s="13">
        <v>42870.704872685186</v>
      </c>
      <c r="J189" s="7">
        <v>0</v>
      </c>
      <c r="K189" s="92" t="str">
        <f t="shared" si="44"/>
        <v>4031/4032</v>
      </c>
      <c r="L189" s="21" t="str">
        <f>VLOOKUP(A189,'Trips&amp;Operators'!$C$1:$G$99999,5,FALSE)</f>
        <v>LEVIN SCOTT</v>
      </c>
      <c r="M189" s="6">
        <f t="shared" si="45"/>
        <v>1.1319444442051463E-2</v>
      </c>
      <c r="N189" s="7">
        <f t="shared" si="61"/>
        <v>16.299999996554106</v>
      </c>
      <c r="O189" s="7"/>
      <c r="P189" s="7"/>
      <c r="Q189" s="22"/>
      <c r="R189" s="190"/>
      <c r="S189" s="196">
        <f t="shared" si="62"/>
        <v>1</v>
      </c>
      <c r="T189" s="190" t="str">
        <f t="shared" si="46"/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47"/>
        <v>https://d0f6bd738d7f1b3e5a7ca70fe4ff75f0.us-east-1.aws.found.io/app/kibana#/discover/Steve-Slow-Train-Analysis-(2080s-and-2083s)?_g=(refreshInterval:(display:Off,pause:!f,section:0,value:0),time:(from:'2017-05-15T15:36:44-0600',mode:absolute,to:'2017-05-15T17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9" s="192" t="str">
        <f t="shared" si="48"/>
        <v>N</v>
      </c>
      <c r="X189" s="192">
        <f t="shared" si="64"/>
        <v>1</v>
      </c>
      <c r="Y189" s="192">
        <f t="shared" si="50"/>
        <v>5.8628</v>
      </c>
      <c r="Z189" s="192">
        <f t="shared" si="51"/>
        <v>6.8500000000000005E-2</v>
      </c>
      <c r="AA189" s="192">
        <f t="shared" si="52"/>
        <v>5.7942999999999998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53"/>
        <v>0830-15</v>
      </c>
      <c r="AE189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89" s="77" t="str">
        <f t="shared" si="55"/>
        <v>"C:\Program Files (x86)\AstroGrep\AstroGrep.exe" /e /r /s /spath="%USERPROFILE%\AppData\Local\Temp\OnboardLogs" /stypes="app*4031*20170515*" /stext=" 22:.+((SYSTEM_STATE.+slice.+state.+changed )|(ment ac)|(multiple cpu faults)|(system.+state.+changed )|(\[timeout)|(PRM\|1\|D)|(kpr)|(kdp)|(train st.+moving)|(\|lc)|(penalty))"</v>
      </c>
      <c r="AG189" s="1" t="str">
        <f t="shared" si="56"/>
        <v>NW</v>
      </c>
      <c r="AH189" s="81" t="str">
        <f t="shared" si="57"/>
        <v>"%USERPROFILE%\Documents\GitHub\eaglep3\Utilities\RefineRTDCRunTimes.py" --tripid 830-15 --locoid 4031 --swversion DE.1.0.9.0 --startMP 300:58628 --initTime 2017-05-15T16:36:44 --startdatetime 2017-05-15T16:38:43 --delay 1 --endMP 204:685 --enddatetime 2017-05-15T16:55:01 --enforcementcount 0 &gt;&gt;C:\Users\stu\Documents\GitHub\eaglep3-reporting\EC\2017-05-15-refined-times.txt</v>
      </c>
      <c r="AI189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{"issue":{"subject":"","project_id":79,"tracker_id":40,"status_id":1,"priority_id":2,"assigned_to_id":23,"start_date":"2017-05-15","description":"","custom_fields":[{"id":1,"name":"Subdivision","value":"NW"},{"id":4,"name":"Milepost","value":"0.0685"},{"id":17,"name":"Train ID","value":"830-15"},{"id":16,"name":"Locomotive ID","value":"4031"},{"id":130,"name":"Impact","value":""},{"id":150,"name":"Time of Event (Mountain Time)","value":"16:55:01"},{"id":151,"name":"Denver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59"/>
        <v>start /low /b %USERPROFILE%\Documents\GitHub\eaglep3\Utilities\DownloadLogsFromS3.py --loco 4031 --day 2017-05-15</v>
      </c>
      <c r="AN189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758</v>
      </c>
      <c r="B190" s="7">
        <v>4014</v>
      </c>
      <c r="C190" s="21" t="s">
        <v>206</v>
      </c>
      <c r="D190" s="21" t="s">
        <v>1002</v>
      </c>
      <c r="E190" s="13">
        <v>42870.685891203706</v>
      </c>
      <c r="F190" s="13">
        <v>42870.702233796299</v>
      </c>
      <c r="G190" s="7">
        <v>1</v>
      </c>
      <c r="H190" s="21" t="s">
        <v>495</v>
      </c>
      <c r="I190" s="13">
        <v>42870.7108912037</v>
      </c>
      <c r="J190" s="7">
        <v>0</v>
      </c>
      <c r="K190" s="92" t="str">
        <f t="shared" si="44"/>
        <v>4013/4014</v>
      </c>
      <c r="L190" s="21" t="str">
        <f>VLOOKUP(A190,'Trips&amp;Operators'!$C$1:$G$99999,5,FALSE)</f>
        <v>NEWELL JAMES</v>
      </c>
      <c r="M190" s="6">
        <f t="shared" si="45"/>
        <v>8.657407401187811E-3</v>
      </c>
      <c r="N190" s="7">
        <f t="shared" si="61"/>
        <v>12.466666657710448</v>
      </c>
      <c r="O190" s="7"/>
      <c r="P190" s="7"/>
      <c r="Q190" s="22"/>
      <c r="R190" s="190"/>
      <c r="S190" s="196">
        <f t="shared" si="62"/>
        <v>1</v>
      </c>
      <c r="T190" s="190" t="str">
        <f t="shared" si="46"/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47"/>
        <v>https://d0f6bd738d7f1b3e5a7ca70fe4ff75f0.us-east-1.aws.found.io/app/kibana#/discover/Steve-Slow-Train-Analysis-(2080s-and-2083s)?_g=(refreshInterval:(display:Off,pause:!f,section:0,value:0),time:(from:'2017-05-15T15:27:41-0600',mode:absolute,to:'2017-05-15T18:03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0" s="192" t="str">
        <f t="shared" si="48"/>
        <v>N</v>
      </c>
      <c r="X190" s="192">
        <f t="shared" si="64"/>
        <v>1</v>
      </c>
      <c r="Y190" s="192">
        <f t="shared" si="50"/>
        <v>0.1002</v>
      </c>
      <c r="Z190" s="192">
        <f t="shared" si="51"/>
        <v>5.8935000000000004</v>
      </c>
      <c r="AA190" s="192">
        <f t="shared" si="52"/>
        <v>5.7933000000000003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53"/>
        <v>0831-15</v>
      </c>
      <c r="AE190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90" s="77" t="str">
        <f t="shared" si="55"/>
        <v>"C:\Program Files (x86)\AstroGrep\AstroGrep.exe" /e /r /s /spath="%USERPROFILE%\AppData\Local\Temp\OnboardLogs" /stypes="app*4014*20170515*" /stext=" 23:.+((SYSTEM_STATE.+slice.+state.+changed )|(ment ac)|(multiple cpu faults)|(system.+state.+changed )|(\[timeout)|(PRM\|1\|D)|(kpr)|(kdp)|(train st.+moving)|(\|lc)|(penalty))"</v>
      </c>
      <c r="AG190" s="1" t="str">
        <f t="shared" si="56"/>
        <v>NW</v>
      </c>
      <c r="AH190" s="81" t="str">
        <f t="shared" si="57"/>
        <v>"%USERPROFILE%\Documents\GitHub\eaglep3\Utilities\RefineRTDCRunTimes.py" --tripid 831-15 --locoid 4014 --swversion DE.1.0.9.0 --startMP 204:1002 --initTime 2017-05-15T16:27:41 --startdatetime 2017-05-15T16:51:13 --delay 1 --endMP 300:58935 --enddatetime 2017-05-15T17:03:41 --enforcementcount 0 &gt;&gt;C:\Users\stu\Documents\GitHub\eaglep3-reporting\EC\2017-05-15-refined-times.txt</v>
      </c>
      <c r="AI190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{"issue":{"subject":"","project_id":79,"tracker_id":40,"status_id":1,"priority_id":2,"assigned_to_id":23,"start_date":"2017-05-15","description":"","custom_fields":[{"id":1,"name":"Subdivision","value":"NW"},{"id":4,"name":"Milepost","value":"5.8935"},{"id":17,"name":"Train ID","value":"831-15"},{"id":16,"name":"Locomotive ID","value":"4014"},{"id":130,"name":"Impact","value":""},{"id":150,"name":"Time of Event (Mountain Time)","value":"17:03:41"},{"id":151,"name":"Denver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59"/>
        <v>start /low /b %USERPROFILE%\Documents\GitHub\eaglep3\Utilities\DownloadLogsFromS3.py --loco 4014 --day 2017-05-15</v>
      </c>
      <c r="AN190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23:03:41"},{"id":29,"name":"Sharepoint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761</v>
      </c>
      <c r="B191" s="7">
        <v>4013</v>
      </c>
      <c r="C191" s="21" t="s">
        <v>206</v>
      </c>
      <c r="D191" s="21" t="s">
        <v>1000</v>
      </c>
      <c r="E191" s="13">
        <v>42870.711805555555</v>
      </c>
      <c r="F191" s="13">
        <v>42870.713009259256</v>
      </c>
      <c r="G191" s="7">
        <v>1</v>
      </c>
      <c r="H191" s="21" t="s">
        <v>1003</v>
      </c>
      <c r="I191" s="13">
        <v>42870.72693287037</v>
      </c>
      <c r="J191" s="7">
        <v>0</v>
      </c>
      <c r="K191" s="92" t="str">
        <f t="shared" si="44"/>
        <v>4013/4014</v>
      </c>
      <c r="L191" s="21" t="str">
        <f>VLOOKUP(A191,'Trips&amp;Operators'!$C$1:$G$99999,5,FALSE)</f>
        <v>NEWELL JAMES</v>
      </c>
      <c r="M191" s="6">
        <f t="shared" si="45"/>
        <v>1.3923611113568768E-2</v>
      </c>
      <c r="N191" s="7">
        <f t="shared" si="61"/>
        <v>20.050000003539026</v>
      </c>
      <c r="O191" s="7"/>
      <c r="P191" s="7"/>
      <c r="Q191" s="22"/>
      <c r="R191" s="190"/>
      <c r="S191" s="196">
        <f t="shared" si="62"/>
        <v>1</v>
      </c>
      <c r="T191" s="190" t="str">
        <f t="shared" si="46"/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47"/>
        <v>https://d0f6bd738d7f1b3e5a7ca70fe4ff75f0.us-east-1.aws.found.io/app/kibana#/discover/Steve-Slow-Train-Analysis-(2080s-and-2083s)?_g=(refreshInterval:(display:Off,pause:!f,section:0,value:0),time:(from:'2017-05-15T16:05:00-0600',mode:absolute,to:'2017-05-15T18:26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1" s="192" t="str">
        <f t="shared" si="48"/>
        <v>N</v>
      </c>
      <c r="X191" s="192">
        <f t="shared" si="64"/>
        <v>1</v>
      </c>
      <c r="Y191" s="192">
        <f t="shared" si="50"/>
        <v>5.8628</v>
      </c>
      <c r="Z191" s="192">
        <f t="shared" si="51"/>
        <v>6.9099999999999995E-2</v>
      </c>
      <c r="AA191" s="192">
        <f t="shared" si="52"/>
        <v>5.7937000000000003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53"/>
        <v>0832-15</v>
      </c>
      <c r="AE191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91" s="77" t="str">
        <f t="shared" si="55"/>
        <v>"C:\Program Files (x86)\AstroGrep\AstroGrep.exe" /e /r /s /spath="%USERPROFILE%\AppData\Local\Temp\OnboardLogs" /stypes="app*4013*20170515*" /stext=" 23:.+((SYSTEM_STATE.+slice.+state.+changed )|(ment ac)|(multiple cpu faults)|(system.+state.+changed )|(\[timeout)|(PRM\|1\|D)|(kpr)|(kdp)|(train st.+moving)|(\|lc)|(penalty))"</v>
      </c>
      <c r="AG191" s="1" t="str">
        <f t="shared" si="56"/>
        <v>NW</v>
      </c>
      <c r="AH191" s="81" t="str">
        <f t="shared" si="57"/>
        <v>"%USERPROFILE%\Documents\GitHub\eaglep3\Utilities\RefineRTDCRunTimes.py" --tripid 832-15 --locoid 4013 --swversion DE.1.0.9.0 --startMP 300:58628 --initTime 2017-05-15T17:05:00 --startdatetime 2017-05-15T17:06:44 --delay 1 --endMP 204:691 --enddatetime 2017-05-15T17:26:47 --enforcementcount 0 &gt;&gt;C:\Users\stu\Documents\GitHub\eaglep3-reporting\EC\2017-05-15-refined-times.txt</v>
      </c>
      <c r="AI191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{"issue":{"subject":"","project_id":79,"tracker_id":40,"status_id":1,"priority_id":2,"assigned_to_id":23,"start_date":"2017-05-15","description":"","custom_fields":[{"id":1,"name":"Subdivision","value":"NW"},{"id":4,"name":"Milepost","value":"0.0691"},{"id":17,"name":"Train ID","value":"832-15"},{"id":16,"name":"Locomotive ID","value":"4013"},{"id":130,"name":"Impact","value":""},{"id":150,"name":"Time of Event (Mountain Time)","value":"17:26:47"},{"id":151,"name":"Denver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59"/>
        <v>start /low /b %USERPROFILE%\Documents\GitHub\eaglep3\Utilities\DownloadLogsFromS3.py --loco 4013 --day 2017-05-15</v>
      </c>
      <c r="AN191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23:26:47"},{"id":29,"name":"Sharepoint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764</v>
      </c>
      <c r="B192" s="7">
        <v>4032</v>
      </c>
      <c r="C192" s="21" t="s">
        <v>206</v>
      </c>
      <c r="D192" s="21" t="s">
        <v>978</v>
      </c>
      <c r="E192" s="13">
        <v>42870.716631944444</v>
      </c>
      <c r="F192" s="13">
        <v>42870.723078703704</v>
      </c>
      <c r="G192" s="7">
        <v>1</v>
      </c>
      <c r="H192" s="21" t="s">
        <v>1004</v>
      </c>
      <c r="I192" s="13">
        <v>42870.732349537036</v>
      </c>
      <c r="J192" s="7">
        <v>0</v>
      </c>
      <c r="K192" s="92" t="str">
        <f t="shared" si="44"/>
        <v>4031/4032</v>
      </c>
      <c r="L192" s="21" t="str">
        <f>VLOOKUP(A192,'Trips&amp;Operators'!$C$1:$G$99999,5,FALSE)</f>
        <v>LEVIN SCOTT</v>
      </c>
      <c r="M192" s="6">
        <f t="shared" si="45"/>
        <v>9.2708333322661929E-3</v>
      </c>
      <c r="N192" s="7">
        <f t="shared" si="61"/>
        <v>13.349999998463318</v>
      </c>
      <c r="O192" s="7"/>
      <c r="P192" s="7"/>
      <c r="Q192" s="22"/>
      <c r="R192" s="190"/>
      <c r="S192" s="196">
        <f t="shared" si="62"/>
        <v>1</v>
      </c>
      <c r="T192" s="190" t="str">
        <f t="shared" si="46"/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47"/>
        <v>https://d0f6bd738d7f1b3e5a7ca70fe4ff75f0.us-east-1.aws.found.io/app/kibana#/discover/Steve-Slow-Train-Analysis-(2080s-and-2083s)?_g=(refreshInterval:(display:Off,pause:!f,section:0,value:0),time:(from:'2017-05-15T16:11:57-0600',mode:absolute,to:'2017-05-15T18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2" s="192" t="str">
        <f t="shared" si="48"/>
        <v>N</v>
      </c>
      <c r="X192" s="192">
        <f t="shared" si="64"/>
        <v>1</v>
      </c>
      <c r="Y192" s="192">
        <f t="shared" si="50"/>
        <v>9.5299999999999996E-2</v>
      </c>
      <c r="Z192" s="192">
        <f t="shared" si="51"/>
        <v>5.9008000000000003</v>
      </c>
      <c r="AA192" s="192">
        <f t="shared" si="52"/>
        <v>5.8055000000000003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53"/>
        <v>0833-15</v>
      </c>
      <c r="AE192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92" s="77" t="str">
        <f t="shared" si="55"/>
        <v>"C:\Program Files (x86)\AstroGrep\AstroGrep.exe" /e /r /s /spath="%USERPROFILE%\AppData\Local\Temp\OnboardLogs" /stypes="app*4032*20170515*" /stext=" 23:.+((SYSTEM_STATE.+slice.+state.+changed )|(ment ac)|(multiple cpu faults)|(system.+state.+changed )|(\[timeout)|(PRM\|1\|D)|(kpr)|(kdp)|(train st.+moving)|(\|lc)|(penalty))"</v>
      </c>
      <c r="AG192" s="1" t="str">
        <f t="shared" si="56"/>
        <v>NW</v>
      </c>
      <c r="AH192" s="81" t="str">
        <f t="shared" si="57"/>
        <v>"%USERPROFILE%\Documents\GitHub\eaglep3\Utilities\RefineRTDCRunTimes.py" --tripid 833-15 --locoid 4032 --swversion DE.1.0.9.0 --startMP 204:953 --initTime 2017-05-15T17:11:57 --startdatetime 2017-05-15T17:21:14 --delay 1 --endMP 300:59008 --enddatetime 2017-05-15T17:34:35 --enforcementcount 0 &gt;&gt;C:\Users\stu\Documents\GitHub\eaglep3-reporting\EC\2017-05-15-refined-times.txt</v>
      </c>
      <c r="AI192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{"issue":{"subject":"","project_id":79,"tracker_id":40,"status_id":1,"priority_id":2,"assigned_to_id":23,"start_date":"2017-05-15","description":"","custom_fields":[{"id":1,"name":"Subdivision","value":"NW"},{"id":4,"name":"Milepost","value":"5.9008"},{"id":17,"name":"Train ID","value":"833-15"},{"id":16,"name":"Locomotive ID","value":"4032"},{"id":130,"name":"Impact","value":""},{"id":150,"name":"Time of Event (Mountain Time)","value":"17:34:35"},{"id":151,"name":"Denver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59"/>
        <v>start /low /b %USERPROFILE%\Documents\GitHub\eaglep3\Utilities\DownloadLogsFromS3.py --loco 4032 --day 2017-05-15</v>
      </c>
      <c r="AN192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x14ac:dyDescent="0.25">
      <c r="A193" s="32" t="s">
        <v>771</v>
      </c>
      <c r="B193" s="7">
        <v>4031</v>
      </c>
      <c r="C193" s="21" t="s">
        <v>206</v>
      </c>
      <c r="D193" s="21" t="s">
        <v>1005</v>
      </c>
      <c r="E193" s="13">
        <v>42870.733726851853</v>
      </c>
      <c r="F193" s="13">
        <v>42870.734953703701</v>
      </c>
      <c r="G193" s="7">
        <v>1</v>
      </c>
      <c r="H193" s="21" t="s">
        <v>1006</v>
      </c>
      <c r="I193" s="13">
        <v>42870.747083333335</v>
      </c>
      <c r="J193" s="7">
        <v>0</v>
      </c>
      <c r="K193" s="92" t="str">
        <f t="shared" si="44"/>
        <v>4031/4032</v>
      </c>
      <c r="L193" s="21" t="str">
        <f>VLOOKUP(A193,'Trips&amp;Operators'!$C$1:$G$99999,5,FALSE)</f>
        <v>LEVIN SCOTT</v>
      </c>
      <c r="M193" s="6">
        <f t="shared" si="45"/>
        <v>1.212962963472819E-2</v>
      </c>
      <c r="N193" s="7">
        <f t="shared" si="61"/>
        <v>17.466666674008593</v>
      </c>
      <c r="O193" s="7"/>
      <c r="P193" s="7"/>
      <c r="Q193" s="22"/>
      <c r="R193" s="190"/>
      <c r="S193" s="196">
        <f t="shared" si="62"/>
        <v>1</v>
      </c>
      <c r="T193" s="190" t="str">
        <f t="shared" si="46"/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47"/>
        <v>https://d0f6bd738d7f1b3e5a7ca70fe4ff75f0.us-east-1.aws.found.io/app/kibana#/discover/Steve-Slow-Train-Analysis-(2080s-and-2083s)?_g=(refreshInterval:(display:Off,pause:!f,section:0,value:0),time:(from:'2017-05-15T16:36:34-0600',mode:absolute,to:'2017-05-15T18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3" s="192" t="str">
        <f t="shared" si="48"/>
        <v>N</v>
      </c>
      <c r="X193" s="192">
        <f t="shared" si="64"/>
        <v>1</v>
      </c>
      <c r="Y193" s="192">
        <f t="shared" si="50"/>
        <v>5.8697999999999997</v>
      </c>
      <c r="Z193" s="192">
        <f t="shared" si="51"/>
        <v>6.6799999999999998E-2</v>
      </c>
      <c r="AA193" s="192">
        <f t="shared" si="52"/>
        <v>5.8029999999999999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53"/>
        <v>0834-15</v>
      </c>
      <c r="AE193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93" s="77" t="str">
        <f t="shared" si="55"/>
        <v>"C:\Program Files (x86)\AstroGrep\AstroGrep.exe" /e /r /s /spath="%USERPROFILE%\AppData\Local\Temp\OnboardLogs" /stypes="app*4031*20170515*" /stext=" 23:.+((SYSTEM_STATE.+slice.+state.+changed )|(ment ac)|(multiple cpu faults)|(system.+state.+changed )|(\[timeout)|(PRM\|1\|D)|(kpr)|(kdp)|(train st.+moving)|(\|lc)|(penalty))"</v>
      </c>
      <c r="AG193" s="1" t="str">
        <f t="shared" si="56"/>
        <v>NW</v>
      </c>
      <c r="AH193" s="81" t="str">
        <f t="shared" si="57"/>
        <v>"%USERPROFILE%\Documents\GitHub\eaglep3\Utilities\RefineRTDCRunTimes.py" --tripid 834-15 --locoid 4031 --swversion DE.1.0.9.0 --startMP 300:58698 --initTime 2017-05-15T17:36:34 --startdatetime 2017-05-15T17:38:20 --delay 1 --endMP 204:668 --enddatetime 2017-05-15T17:55:48 --enforcementcount 0 &gt;&gt;C:\Users\stu\Documents\GitHub\eaglep3-reporting\EC\2017-05-15-refined-times.txt</v>
      </c>
      <c r="AI193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{"issue":{"subject":"","project_id":79,"tracker_id":40,"status_id":1,"priority_id":2,"assigned_to_id":23,"start_date":"2017-05-15","description":"","custom_fields":[{"id":1,"name":"Subdivision","value":"NW"},{"id":4,"name":"Milepost","value":"0.0668"},{"id":17,"name":"Train ID","value":"834-15"},{"id":16,"name":"Locomotive ID","value":"4031"},{"id":130,"name":"Impact","value":""},{"id":150,"name":"Time of Event (Mountain Time)","value":"17:55:48"},{"id":151,"name":"Denver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59"/>
        <v>start /low /b %USERPROFILE%\Documents\GitHub\eaglep3\Utilities\DownloadLogsFromS3.py --loco 4031 --day 2017-05-15</v>
      </c>
      <c r="AN193" s="154" t="str">
        <f t="shared" si="6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x14ac:dyDescent="0.25">
      <c r="A194" s="32" t="s">
        <v>769</v>
      </c>
      <c r="B194" s="7">
        <v>4014</v>
      </c>
      <c r="C194" s="21" t="s">
        <v>206</v>
      </c>
      <c r="D194" s="21" t="s">
        <v>1007</v>
      </c>
      <c r="E194" s="13">
        <v>42870.728715277779</v>
      </c>
      <c r="F194" s="13">
        <v>42870.743900462963</v>
      </c>
      <c r="G194" s="7">
        <v>1</v>
      </c>
      <c r="H194" s="21" t="s">
        <v>453</v>
      </c>
      <c r="I194" s="13">
        <v>42870.752766203703</v>
      </c>
      <c r="J194" s="7">
        <v>0</v>
      </c>
      <c r="K194" s="92" t="str">
        <f t="shared" si="44"/>
        <v>4013/4014</v>
      </c>
      <c r="L194" s="21" t="str">
        <f>VLOOKUP(A194,'Trips&amp;Operators'!$C$1:$G$99999,5,FALSE)</f>
        <v>NEWELL JAMES</v>
      </c>
      <c r="M194" s="6">
        <f t="shared" si="45"/>
        <v>8.8657407395658083E-3</v>
      </c>
      <c r="N194" s="7">
        <f t="shared" si="61"/>
        <v>12.766666664974764</v>
      </c>
      <c r="O194" s="7"/>
      <c r="P194" s="7"/>
      <c r="Q194" s="22"/>
      <c r="R194" s="190"/>
      <c r="S194" s="196">
        <f t="shared" si="62"/>
        <v>1</v>
      </c>
      <c r="T194" s="190" t="str">
        <f t="shared" si="46"/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47"/>
        <v>https://d0f6bd738d7f1b3e5a7ca70fe4ff75f0.us-east-1.aws.found.io/app/kibana#/discover/Steve-Slow-Train-Analysis-(2080s-and-2083s)?_g=(refreshInterval:(display:Off,pause:!f,section:0,value:0),time:(from:'2017-05-15T16:29:21-0600',mode:absolute,to:'2017-05-15T19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4" s="192" t="str">
        <f t="shared" si="48"/>
        <v>N</v>
      </c>
      <c r="X194" s="192">
        <f t="shared" si="64"/>
        <v>1</v>
      </c>
      <c r="Y194" s="192">
        <f t="shared" si="50"/>
        <v>9.9000000000000005E-2</v>
      </c>
      <c r="Z194" s="192">
        <f t="shared" si="51"/>
        <v>5.8929</v>
      </c>
      <c r="AA194" s="192">
        <f t="shared" si="52"/>
        <v>5.7938999999999998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53"/>
        <v>0835-15</v>
      </c>
      <c r="AE194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94" s="77" t="str">
        <f t="shared" si="55"/>
        <v>"C:\Program Files (x86)\AstroGrep\AstroGrep.exe" /e /r /s /spath="%USERPROFILE%\AppData\Local\Temp\OnboardLogs" /stypes="app*4014*20170516*" /stext=" 00:.+((SYSTEM_STATE.+slice.+state.+changed )|(ment ac)|(multiple cpu faults)|(system.+state.+changed )|(\[timeout)|(PRM\|1\|D)|(kpr)|(kdp)|(train st.+moving)|(\|lc)|(penalty))"</v>
      </c>
      <c r="AG194" s="1" t="str">
        <f t="shared" si="56"/>
        <v>NW</v>
      </c>
      <c r="AH194" s="81" t="str">
        <f t="shared" si="57"/>
        <v>"%USERPROFILE%\Documents\GitHub\eaglep3\Utilities\RefineRTDCRunTimes.py" --tripid 835-15 --locoid 4014 --swversion DE.1.0.9.0 --startMP 204:990 --initTime 2017-05-15T17:29:21 --startdatetime 2017-05-15T17:51:13 --delay 1 --endMP 300:58929 --enddatetime 2017-05-15T18:03:59 --enforcementcount 0 &gt;&gt;C:\Users\stu\Documents\GitHub\eaglep3-reporting\EC\2017-05-15-refined-times.txt</v>
      </c>
      <c r="AI194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{"issue":{"subject":"","project_id":79,"tracker_id":40,"status_id":1,"priority_id":2,"assigned_to_id":23,"start_date":"2017-05-15","description":"","custom_fields":[{"id":1,"name":"Subdivision","value":"NW"},{"id":4,"name":"Milepost","value":"5.8929"},{"id":17,"name":"Train ID","value":"835-15"},{"id":16,"name":"Locomotive ID","value":"4014"},{"id":130,"name":"Impact","value":""},{"id":150,"name":"Time of Event (Mountain Time)","value":"18:03:59"},{"id":151,"name":"Denver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5" t="str">
        <f t="shared" si="59"/>
        <v>start /low /b %USERPROFILE%\Documents\GitHub\eaglep3\Utilities\DownloadLogsFromS3.py --loco 4014 --day 2017-05-15</v>
      </c>
      <c r="AN194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91" x14ac:dyDescent="0.25">
      <c r="A195" s="32" t="s">
        <v>776</v>
      </c>
      <c r="B195" s="7">
        <v>4013</v>
      </c>
      <c r="C195" s="21" t="s">
        <v>206</v>
      </c>
      <c r="D195" s="21" t="s">
        <v>560</v>
      </c>
      <c r="E195" s="13">
        <v>42870.753622685188</v>
      </c>
      <c r="F195" s="13">
        <v>42870.754699074074</v>
      </c>
      <c r="G195" s="7">
        <v>0</v>
      </c>
      <c r="H195" s="21" t="s">
        <v>989</v>
      </c>
      <c r="I195" s="13">
        <v>42870.769456018519</v>
      </c>
      <c r="J195" s="7">
        <v>0</v>
      </c>
      <c r="K195" s="92" t="str">
        <f t="shared" si="44"/>
        <v>4013/4014</v>
      </c>
      <c r="L195" s="21" t="str">
        <f>VLOOKUP(A195,'Trips&amp;Operators'!$C$1:$G$99999,5,FALSE)</f>
        <v>NEWELL JAMES</v>
      </c>
      <c r="M195" s="6">
        <f t="shared" si="45"/>
        <v>1.4756944445252884E-2</v>
      </c>
      <c r="N195" s="7">
        <f t="shared" si="61"/>
        <v>21.250000001164153</v>
      </c>
      <c r="O195" s="7"/>
      <c r="P195" s="7"/>
      <c r="Q195" s="22"/>
      <c r="R195" s="190"/>
      <c r="S195" s="196">
        <f t="shared" si="62"/>
        <v>1</v>
      </c>
      <c r="T195" s="190" t="str">
        <f t="shared" si="46"/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47"/>
        <v>https://d0f6bd738d7f1b3e5a7ca70fe4ff75f0.us-east-1.aws.found.io/app/kibana#/discover/Steve-Slow-Train-Analysis-(2080s-and-2083s)?_g=(refreshInterval:(display:Off,pause:!f,section:0,value:0),time:(from:'2017-05-15T17:05:13-0600',mode:absolute,to:'2017-05-15T19:28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5" s="192" t="str">
        <f t="shared" si="48"/>
        <v>N</v>
      </c>
      <c r="X195" s="192">
        <f t="shared" si="64"/>
        <v>1</v>
      </c>
      <c r="Y195" s="192">
        <f t="shared" si="50"/>
        <v>5.8611000000000004</v>
      </c>
      <c r="Z195" s="192">
        <f t="shared" si="51"/>
        <v>6.8199999999999997E-2</v>
      </c>
      <c r="AA195" s="192">
        <f t="shared" si="52"/>
        <v>5.7929000000000004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53"/>
        <v>0836-15</v>
      </c>
      <c r="AE195" s="80" t="str">
        <f t="shared" si="5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195" s="77" t="str">
        <f t="shared" si="55"/>
        <v>"C:\Program Files (x86)\AstroGrep\AstroGrep.exe" /e /r /s /spath="%USERPROFILE%\AppData\Local\Temp\OnboardLogs" /stypes="app*4013*20170516*" /stext=" 00:.+((SYSTEM_STATE.+slice.+state.+changed )|(ment ac)|(multiple cpu faults)|(system.+state.+changed )|(\[timeout)|(PRM\|1\|D)|(kpr)|(kdp)|(train st.+moving)|(\|lc)|(penalty))"</v>
      </c>
      <c r="AG195" s="1" t="str">
        <f t="shared" si="56"/>
        <v>NW</v>
      </c>
      <c r="AH195" s="81" t="str">
        <f t="shared" si="57"/>
        <v>"%USERPROFILE%\Documents\GitHub\eaglep3\Utilities\RefineRTDCRunTimes.py" --tripid 836-15 --locoid 4013 --swversion DE.1.0.9.0 --startMP 300:58611 --initTime 2017-05-15T18:05:13 --startdatetime 2017-05-15T18:06:46 --delay 0 --endMP 204:682 --enddatetime 2017-05-15T18:28:01 --enforcementcount 0 &gt;&gt;C:\Users\stu\Documents\GitHub\eaglep3-reporting\EC\2017-05-15-refined-times.txt</v>
      </c>
      <c r="AI195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{"issue":{"subject":"","project_id":79,"tracker_id":40,"status_id":1,"priority_id":2,"assigned_to_id":23,"start_date":"2017-05-15","description":"","custom_fields":[{"id":1,"name":"Subdivision","value":"NW"},{"id":4,"name":"Milepost","value":"0.0682"},{"id":17,"name":"Train ID","value":"836-15"},{"id":16,"name":"Locomotive ID","value":"4013"},{"id":130,"name":"Impact","value":""},{"id":150,"name":"Time of Event (Mountain Time)","value":"18:28:01"},{"id":151,"name":"Denver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59"/>
        <v>start /low /b %USERPROFILE%\Documents\GitHub\eaglep3\Utilities\DownloadLogsFromS3.py --loco 4013 --day 2017-05-15</v>
      </c>
      <c r="AN195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00:28:01"},{"id":29,"name":"Sharepoint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s="20" customFormat="1" x14ac:dyDescent="0.25">
      <c r="A196" s="32" t="s">
        <v>779</v>
      </c>
      <c r="B196" s="7">
        <v>4032</v>
      </c>
      <c r="C196" s="21" t="s">
        <v>206</v>
      </c>
      <c r="D196" s="21" t="s">
        <v>976</v>
      </c>
      <c r="E196" s="13">
        <v>42870.761006944442</v>
      </c>
      <c r="F196" s="13">
        <v>42870.764791666668</v>
      </c>
      <c r="G196" s="7">
        <v>0</v>
      </c>
      <c r="H196" s="21" t="s">
        <v>453</v>
      </c>
      <c r="I196" s="13">
        <v>42870.77380787037</v>
      </c>
      <c r="J196" s="7">
        <v>0</v>
      </c>
      <c r="K196" s="92" t="str">
        <f t="shared" si="44"/>
        <v>4031/4032</v>
      </c>
      <c r="L196" s="21" t="str">
        <f>VLOOKUP(A196,'Trips&amp;Operators'!$C$1:$G$99999,5,FALSE)</f>
        <v>LEVIN SCOTT</v>
      </c>
      <c r="M196" s="6">
        <f t="shared" si="45"/>
        <v>9.0162037013215013E-3</v>
      </c>
      <c r="N196" s="7">
        <f t="shared" si="61"/>
        <v>12.983333329902962</v>
      </c>
      <c r="O196" s="7"/>
      <c r="P196" s="7"/>
      <c r="Q196" s="22"/>
      <c r="R196" s="190"/>
      <c r="S196" s="196">
        <f t="shared" si="62"/>
        <v>1</v>
      </c>
      <c r="T196" s="190" t="str">
        <f t="shared" si="46"/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47"/>
        <v>https://d0f6bd738d7f1b3e5a7ca70fe4ff75f0.us-east-1.aws.found.io/app/kibana#/discover/Steve-Slow-Train-Analysis-(2080s-and-2083s)?_g=(refreshInterval:(display:Off,pause:!f,section:0,value:0),time:(from:'2017-05-15T17:15:51-0600',mode:absolute,to:'2017-05-15T19:34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6" s="192" t="str">
        <f t="shared" si="48"/>
        <v>N</v>
      </c>
      <c r="X196" s="192">
        <f t="shared" si="64"/>
        <v>1</v>
      </c>
      <c r="Y196" s="192">
        <f t="shared" si="50"/>
        <v>9.4399999999999998E-2</v>
      </c>
      <c r="Z196" s="192">
        <f t="shared" si="51"/>
        <v>5.8929</v>
      </c>
      <c r="AA196" s="192">
        <f t="shared" si="52"/>
        <v>5.7984999999999998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53"/>
        <v>0837-15</v>
      </c>
      <c r="AE196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196" s="77" t="str">
        <f t="shared" si="55"/>
        <v>"C:\Program Files (x86)\AstroGrep\AstroGrep.exe" /e /r /s /spath="%USERPROFILE%\AppData\Local\Temp\OnboardLogs" /stypes="app*4032*20170516*" /stext=" 00:.+((SYSTEM_STATE.+slice.+state.+changed )|(ment ac)|(multiple cpu faults)|(system.+state.+changed )|(\[timeout)|(PRM\|1\|D)|(kpr)|(kdp)|(train st.+moving)|(\|lc)|(penalty))"</v>
      </c>
      <c r="AG196" s="1" t="str">
        <f t="shared" si="56"/>
        <v>NW</v>
      </c>
      <c r="AH196" s="81" t="str">
        <f t="shared" si="57"/>
        <v>"%USERPROFILE%\Documents\GitHub\eaglep3\Utilities\RefineRTDCRunTimes.py" --tripid 837-15 --locoid 4032 --swversion DE.1.0.9.0 --startMP 204:944 --initTime 2017-05-15T18:15:51 --startdatetime 2017-05-15T18:21:18 --delay 0 --endMP 300:58929 --enddatetime 2017-05-15T18:34:17 --enforcementcount 0 &gt;&gt;C:\Users\stu\Documents\GitHub\eaglep3-reporting\EC\2017-05-15-refined-times.txt</v>
      </c>
      <c r="AI196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{"issue":{"subject":"","project_id":79,"tracker_id":40,"status_id":1,"priority_id":2,"assigned_to_id":23,"start_date":"2017-05-15","description":"","custom_fields":[{"id":1,"name":"Subdivision","value":"NW"},{"id":4,"name":"Milepost","value":"5.8929"},{"id":17,"name":"Train ID","value":"837-15"},{"id":16,"name":"Locomotive ID","value":"4032"},{"id":130,"name":"Impact","value":""},{"id":150,"name":"Time of Event (Mountain Time)","value":"18:34:17"},{"id":151,"name":"Denver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59"/>
        <v>start /low /b %USERPROFILE%\Documents\GitHub\eaglep3\Utilities\DownloadLogsFromS3.py --loco 4032 --day 2017-05-15</v>
      </c>
      <c r="AN196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00:34:17"},{"id":29,"name":"Sharepoint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782</v>
      </c>
      <c r="B197" s="7">
        <v>4031</v>
      </c>
      <c r="C197" s="21" t="s">
        <v>206</v>
      </c>
      <c r="D197" s="21" t="s">
        <v>424</v>
      </c>
      <c r="E197" s="13">
        <v>42870.775092592594</v>
      </c>
      <c r="F197" s="13">
        <v>42870.77616898148</v>
      </c>
      <c r="G197" s="7">
        <v>1</v>
      </c>
      <c r="H197" s="21" t="s">
        <v>968</v>
      </c>
      <c r="I197" s="13">
        <v>42870.788344907407</v>
      </c>
      <c r="J197" s="7">
        <v>0</v>
      </c>
      <c r="K197" s="92" t="str">
        <f t="shared" si="44"/>
        <v>4031/4032</v>
      </c>
      <c r="L197" s="21" t="str">
        <f>VLOOKUP(A197,'Trips&amp;Operators'!$C$1:$G$99999,5,FALSE)</f>
        <v>LEVIN SCOTT</v>
      </c>
      <c r="M197" s="6">
        <f t="shared" si="45"/>
        <v>1.2175925927294884E-2</v>
      </c>
      <c r="N197" s="7">
        <f t="shared" si="61"/>
        <v>17.533333335304633</v>
      </c>
      <c r="O197" s="7"/>
      <c r="P197" s="7"/>
      <c r="Q197" s="22"/>
      <c r="R197" s="190"/>
      <c r="S197" s="196">
        <f t="shared" si="62"/>
        <v>1</v>
      </c>
      <c r="T197" s="190" t="str">
        <f t="shared" si="46"/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47"/>
        <v>https://d0f6bd738d7f1b3e5a7ca70fe4ff75f0.us-east-1.aws.found.io/app/kibana#/discover/Steve-Slow-Train-Analysis-(2080s-and-2083s)?_g=(refreshInterval:(display:Off,pause:!f,section:0,value:0),time:(from:'2017-05-15T17:36:08-0600',mode:absolute,to:'2017-05-15T19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7" s="192" t="str">
        <f t="shared" si="48"/>
        <v>N</v>
      </c>
      <c r="X197" s="192">
        <f t="shared" si="64"/>
        <v>1</v>
      </c>
      <c r="Y197" s="192">
        <f t="shared" si="50"/>
        <v>5.8616999999999999</v>
      </c>
      <c r="Z197" s="192">
        <f t="shared" si="51"/>
        <v>6.5699999999999995E-2</v>
      </c>
      <c r="AA197" s="192">
        <f t="shared" si="52"/>
        <v>5.7960000000000003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53"/>
        <v>0838-15</v>
      </c>
      <c r="AE197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97" s="77" t="str">
        <f t="shared" si="55"/>
        <v>"C:\Program Files (x86)\AstroGrep\AstroGrep.exe" /e /r /s /spath="%USERPROFILE%\AppData\Local\Temp\OnboardLogs" /stypes="app*4031*20170516*" /stext=" 00:.+((SYSTEM_STATE.+slice.+state.+changed )|(ment ac)|(multiple cpu faults)|(system.+state.+changed )|(\[timeout)|(PRM\|1\|D)|(kpr)|(kdp)|(train st.+moving)|(\|lc)|(penalty))"</v>
      </c>
      <c r="AG197" s="1" t="str">
        <f t="shared" si="56"/>
        <v>NW</v>
      </c>
      <c r="AH197" s="81" t="str">
        <f t="shared" si="57"/>
        <v>"%USERPROFILE%\Documents\GitHub\eaglep3\Utilities\RefineRTDCRunTimes.py" --tripid 838-15 --locoid 4031 --swversion DE.1.0.9.0 --startMP 300:58617 --initTime 2017-05-15T18:36:08 --startdatetime 2017-05-15T18:37:41 --delay 1 --endMP 204:657 --enddatetime 2017-05-15T18:55:13 --enforcementcount 0 &gt;&gt;C:\Users\stu\Documents\GitHub\eaglep3-reporting\EC\2017-05-15-refined-times.txt</v>
      </c>
      <c r="AI197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{"issue":{"subject":"","project_id":79,"tracker_id":40,"status_id":1,"priority_id":2,"assigned_to_id":23,"start_date":"2017-05-15","description":"","custom_fields":[{"id":1,"name":"Subdivision","value":"NW"},{"id":4,"name":"Milepost","value":"0.0657"},{"id":17,"name":"Train ID","value":"838-15"},{"id":16,"name":"Locomotive ID","value":"4031"},{"id":130,"name":"Impact","value":""},{"id":150,"name":"Time of Event (Mountain Time)","value":"18:55:13"},{"id":151,"name":"Denver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59"/>
        <v>start /low /b %USERPROFILE%\Documents\GitHub\eaglep3\Utilities\DownloadLogsFromS3.py --loco 4031 --day 2017-05-15</v>
      </c>
      <c r="AN197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621</v>
      </c>
      <c r="B198" s="7">
        <v>4014</v>
      </c>
      <c r="C198" s="21" t="s">
        <v>206</v>
      </c>
      <c r="D198" s="21" t="s">
        <v>1008</v>
      </c>
      <c r="E198" s="13">
        <v>42870.770787037036</v>
      </c>
      <c r="F198" s="13">
        <v>42870.785567129627</v>
      </c>
      <c r="G198" s="7">
        <v>1</v>
      </c>
      <c r="H198" s="21" t="s">
        <v>494</v>
      </c>
      <c r="I198" s="13">
        <v>42870.794756944444</v>
      </c>
      <c r="J198" s="7">
        <v>0</v>
      </c>
      <c r="K198" s="92" t="str">
        <f t="shared" si="44"/>
        <v>4013/4014</v>
      </c>
      <c r="L198" s="21" t="str">
        <f>VLOOKUP(A198,'Trips&amp;Operators'!$C$1:$G$99999,5,FALSE)</f>
        <v>NEWELL JAMES</v>
      </c>
      <c r="M198" s="6">
        <f t="shared" si="45"/>
        <v>9.189814816636499E-3</v>
      </c>
      <c r="N198" s="7">
        <f t="shared" si="61"/>
        <v>13.233333335956559</v>
      </c>
      <c r="O198" s="7"/>
      <c r="P198" s="7"/>
      <c r="Q198" s="22"/>
      <c r="R198" s="190"/>
      <c r="S198" s="196">
        <f t="shared" si="62"/>
        <v>1</v>
      </c>
      <c r="T198" s="190" t="str">
        <f t="shared" si="46"/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47"/>
        <v>https://d0f6bd738d7f1b3e5a7ca70fe4ff75f0.us-east-1.aws.found.io/app/kibana#/discover/Steve-Slow-Train-Analysis-(2080s-and-2083s)?_g=(refreshInterval:(display:Off,pause:!f,section:0,value:0),time:(from:'2017-05-15T17:29:56-0600',mode:absolute,to:'2017-05-15T20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8" s="192" t="str">
        <f t="shared" si="48"/>
        <v>N</v>
      </c>
      <c r="X198" s="192">
        <f t="shared" si="64"/>
        <v>1</v>
      </c>
      <c r="Y198" s="192">
        <f t="shared" si="50"/>
        <v>9.6699999999999994E-2</v>
      </c>
      <c r="Z198" s="192">
        <f t="shared" si="51"/>
        <v>5.8930999999999996</v>
      </c>
      <c r="AA198" s="192">
        <f t="shared" si="52"/>
        <v>5.7963999999999993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53"/>
        <v>0839-15</v>
      </c>
      <c r="AE198" s="80" t="str">
        <f t="shared" si="5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198" s="77" t="str">
        <f t="shared" si="55"/>
        <v>"C:\Program Files (x86)\AstroGrep\AstroGrep.exe" /e /r /s /spath="%USERPROFILE%\AppData\Local\Temp\OnboardLogs" /stypes="app*4014*20170516*" /stext=" 01:.+((SYSTEM_STATE.+slice.+state.+changed )|(ment ac)|(multiple cpu faults)|(system.+state.+changed )|(\[timeout)|(PRM\|1\|D)|(kpr)|(kdp)|(train st.+moving)|(\|lc)|(penalty))"</v>
      </c>
      <c r="AG198" s="1" t="str">
        <f t="shared" si="56"/>
        <v>NW</v>
      </c>
      <c r="AH198" s="81" t="str">
        <f t="shared" si="57"/>
        <v>"%USERPROFILE%\Documents\GitHub\eaglep3\Utilities\RefineRTDCRunTimes.py" --tripid 839-15 --locoid 4014 --swversion DE.1.0.9.0 --startMP 204:967 --initTime 2017-05-15T18:29:56 --startdatetime 2017-05-15T18:51:13 --delay 1 --endMP 300:58931 --enddatetime 2017-05-15T19:04:27 --enforcementcount 0 &gt;&gt;C:\Users\stu\Documents\GitHub\eaglep3-reporting\EC\2017-05-15-refined-times.txt</v>
      </c>
      <c r="AI198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{"issue":{"subject":"","project_id":79,"tracker_id":40,"status_id":1,"priority_id":2,"assigned_to_id":23,"start_date":"2017-05-15","description":"","custom_fields":[{"id":1,"name":"Subdivision","value":"NW"},{"id":4,"name":"Milepost","value":"5.8931"},{"id":17,"name":"Train ID","value":"839-15"},{"id":16,"name":"Locomotive ID","value":"4014"},{"id":130,"name":"Impact","value":""},{"id":150,"name":"Time of Event (Mountain Time)","value":"19:04:27"},{"id":151,"name":"Denver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59"/>
        <v>start /low /b %USERPROFILE%\Documents\GitHub\eaglep3\Utilities\DownloadLogsFromS3.py --loco 4014 --day 2017-05-15</v>
      </c>
      <c r="AN198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s="20" customFormat="1" x14ac:dyDescent="0.25">
      <c r="A199" s="32" t="s">
        <v>622</v>
      </c>
      <c r="B199" s="7">
        <v>4031</v>
      </c>
      <c r="C199" s="21" t="s">
        <v>206</v>
      </c>
      <c r="D199" s="21" t="s">
        <v>558</v>
      </c>
      <c r="E199" s="13">
        <v>42870.816782407404</v>
      </c>
      <c r="F199" s="13">
        <v>42870.817847222221</v>
      </c>
      <c r="G199" s="7">
        <v>0</v>
      </c>
      <c r="H199" s="21" t="s">
        <v>985</v>
      </c>
      <c r="I199" s="13">
        <v>42870.831400462965</v>
      </c>
      <c r="J199" s="7">
        <v>0</v>
      </c>
      <c r="K199" s="92" t="str">
        <f t="shared" si="44"/>
        <v>4031/4032</v>
      </c>
      <c r="L199" s="21" t="str">
        <f>VLOOKUP(A199,'Trips&amp;Operators'!$C$1:$G$99999,5,FALSE)</f>
        <v>LEVIN SCOTT</v>
      </c>
      <c r="M199" s="6">
        <f t="shared" si="45"/>
        <v>1.3553240743931383E-2</v>
      </c>
      <c r="N199" s="7">
        <f t="shared" si="61"/>
        <v>19.516666671261191</v>
      </c>
      <c r="O199" s="7"/>
      <c r="P199" s="7"/>
      <c r="Q199" s="22"/>
      <c r="R199" s="190"/>
      <c r="S199" s="196">
        <f t="shared" si="62"/>
        <v>1</v>
      </c>
      <c r="T199" s="190" t="str">
        <f t="shared" si="46"/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47"/>
        <v>https://d0f6bd738d7f1b3e5a7ca70fe4ff75f0.us-east-1.aws.found.io/app/kibana#/discover/Steve-Slow-Train-Analysis-(2080s-and-2083s)?_g=(refreshInterval:(display:Off,pause:!f,section:0,value:0),time:(from:'2017-05-15T18:36:10-0600',mode:absolute,to:'2017-05-15T20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9" s="192" t="str">
        <f t="shared" si="48"/>
        <v>N</v>
      </c>
      <c r="X199" s="192">
        <f t="shared" si="64"/>
        <v>1</v>
      </c>
      <c r="Y199" s="192">
        <f t="shared" si="50"/>
        <v>5.8620999999999999</v>
      </c>
      <c r="Z199" s="192">
        <f t="shared" si="51"/>
        <v>6.6100000000000006E-2</v>
      </c>
      <c r="AA199" s="192">
        <f t="shared" si="52"/>
        <v>5.7960000000000003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53"/>
        <v>0840-15</v>
      </c>
      <c r="AE199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199" s="77" t="str">
        <f t="shared" si="55"/>
        <v>"C:\Program Files (x86)\AstroGrep\AstroGrep.exe" /e /r /s /spath="%USERPROFILE%\AppData\Local\Temp\OnboardLogs" /stypes="app*4031*20170516*" /stext=" 01:.+((SYSTEM_STATE.+slice.+state.+changed )|(ment ac)|(multiple cpu faults)|(system.+state.+changed )|(\[timeout)|(PRM\|1\|D)|(kpr)|(kdp)|(train st.+moving)|(\|lc)|(penalty))"</v>
      </c>
      <c r="AG199" s="1" t="str">
        <f t="shared" si="56"/>
        <v>NW</v>
      </c>
      <c r="AH199" s="81" t="str">
        <f t="shared" si="57"/>
        <v>"%USERPROFILE%\Documents\GitHub\eaglep3\Utilities\RefineRTDCRunTimes.py" --tripid 840-15 --locoid 4031 --swversion DE.1.0.9.0 --startMP 300:58621 --initTime 2017-05-15T19:36:10 --startdatetime 2017-05-15T19:37:42 --delay 0 --endMP 204:661 --enddatetime 2017-05-15T19:57:13 --enforcementcount 0 &gt;&gt;C:\Users\stu\Documents\GitHub\eaglep3-reporting\EC\2017-05-15-refined-times.txt</v>
      </c>
      <c r="AI199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{"issue":{"subject":"","project_id":79,"tracker_id":40,"status_id":1,"priority_id":2,"assigned_to_id":23,"start_date":"2017-05-15","description":"","custom_fields":[{"id":1,"name":"Subdivision","value":"NW"},{"id":4,"name":"Milepost","value":"0.0661"},{"id":17,"name":"Train ID","value":"840-15"},{"id":16,"name":"Locomotive ID","value":"4031"},{"id":130,"name":"Impact","value":""},{"id":150,"name":"Time of Event (Mountain Time)","value":"19:57:13"},{"id":151,"name":"Denver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7"/>
      <c r="AL199" s="47"/>
      <c r="AM199" s="145" t="str">
        <f t="shared" si="59"/>
        <v>start /low /b %USERPROFILE%\Documents\GitHub\eaglep3\Utilities\DownloadLogsFromS3.py --loco 4031 --day 2017-05-15</v>
      </c>
      <c r="AN199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01:57:13"},{"id":29,"name":"Sharepoint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2" t="s">
        <v>789</v>
      </c>
      <c r="B200" s="7">
        <v>4032</v>
      </c>
      <c r="C200" s="21" t="s">
        <v>206</v>
      </c>
      <c r="D200" s="21" t="s">
        <v>986</v>
      </c>
      <c r="E200" s="13">
        <v>42870.804363425923</v>
      </c>
      <c r="F200" s="13">
        <v>42870.806423611109</v>
      </c>
      <c r="G200" s="7">
        <v>1</v>
      </c>
      <c r="H200" s="21" t="s">
        <v>561</v>
      </c>
      <c r="I200" s="13">
        <v>42870.815509259257</v>
      </c>
      <c r="J200" s="7">
        <v>0</v>
      </c>
      <c r="K200" s="92" t="str">
        <f t="shared" si="44"/>
        <v>4031/4032</v>
      </c>
      <c r="L200" s="21" t="str">
        <f>VLOOKUP(A200,'Trips&amp;Operators'!$C$1:$G$99999,5,FALSE)</f>
        <v>LEVIN SCOTT</v>
      </c>
      <c r="M200" s="6">
        <f t="shared" si="45"/>
        <v>9.0856481474475004E-3</v>
      </c>
      <c r="N200" s="7">
        <f t="shared" si="61"/>
        <v>13.083333332324401</v>
      </c>
      <c r="O200" s="7"/>
      <c r="P200" s="7"/>
      <c r="Q200" s="22"/>
      <c r="R200" s="190"/>
      <c r="S200" s="196">
        <f t="shared" si="62"/>
        <v>1</v>
      </c>
      <c r="T200" s="190" t="str">
        <f t="shared" si="46"/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47"/>
        <v>https://d0f6bd738d7f1b3e5a7ca70fe4ff75f0.us-east-1.aws.found.io/app/kibana#/discover/Steve-Slow-Train-Analysis-(2080s-and-2083s)?_g=(refreshInterval:(display:Off,pause:!f,section:0,value:0),time:(from:'2017-05-15T18:18:17-0600',mode:absolute,to:'2017-05-15T20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192" t="str">
        <f t="shared" si="48"/>
        <v>N</v>
      </c>
      <c r="X200" s="192">
        <f t="shared" si="64"/>
        <v>1</v>
      </c>
      <c r="Y200" s="192">
        <f t="shared" si="50"/>
        <v>9.5799999999999996E-2</v>
      </c>
      <c r="Z200" s="192">
        <f t="shared" si="51"/>
        <v>5.8936999999999999</v>
      </c>
      <c r="AA200" s="192">
        <f t="shared" si="52"/>
        <v>5.7979000000000003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53"/>
        <v>0841-15</v>
      </c>
      <c r="AE200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200" s="77" t="str">
        <f t="shared" si="55"/>
        <v>"C:\Program Files (x86)\AstroGrep\AstroGrep.exe" /e /r /s /spath="%USERPROFILE%\AppData\Local\Temp\OnboardLogs" /stypes="app*4032*20170516*" /stext=" 01:.+((SYSTEM_STATE.+slice.+state.+changed )|(ment ac)|(multiple cpu faults)|(system.+state.+changed )|(\[timeout)|(PRM\|1\|D)|(kpr)|(kdp)|(train st.+moving)|(\|lc)|(penalty))"</v>
      </c>
      <c r="AG200" s="1" t="str">
        <f t="shared" si="56"/>
        <v>NW</v>
      </c>
      <c r="AH200" s="81" t="str">
        <f t="shared" si="57"/>
        <v>"%USERPROFILE%\Documents\GitHub\eaglep3\Utilities\RefineRTDCRunTimes.py" --tripid 841-15 --locoid 4032 --swversion DE.1.0.9.0 --startMP 204:958 --initTime 2017-05-15T19:18:17 --startdatetime 2017-05-15T19:21:15 --delay 1 --endMP 300:58937 --enddatetime 2017-05-15T19:34:20 --enforcementcount 0 &gt;&gt;C:\Users\stu\Documents\GitHub\eaglep3-reporting\EC\2017-05-15-refined-times.txt</v>
      </c>
      <c r="AI200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{"issue":{"subject":"","project_id":79,"tracker_id":40,"status_id":1,"priority_id":2,"assigned_to_id":23,"start_date":"2017-05-15","description":"","custom_fields":[{"id":1,"name":"Subdivision","value":"NW"},{"id":4,"name":"Milepost","value":"5.8937"},{"id":17,"name":"Train ID","value":"841-15"},{"id":16,"name":"Locomotive ID","value":"4032"},{"id":130,"name":"Impact","value":""},{"id":150,"name":"Time of Event (Mountain Time)","value":"19:34:20"},{"id":151,"name":"Denver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59"/>
        <v>start /low /b %USERPROFILE%\Documents\GitHub\eaglep3\Utilities\DownloadLogsFromS3.py --loco 4032 --day 2017-05-15</v>
      </c>
      <c r="AN200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797</v>
      </c>
      <c r="B201" s="7">
        <v>4031</v>
      </c>
      <c r="C201" s="21" t="s">
        <v>206</v>
      </c>
      <c r="D201" s="21" t="s">
        <v>1009</v>
      </c>
      <c r="E201" s="13">
        <v>42870.858217592591</v>
      </c>
      <c r="F201" s="13">
        <v>42870.859398148146</v>
      </c>
      <c r="G201" s="7">
        <v>1</v>
      </c>
      <c r="H201" s="21" t="s">
        <v>1010</v>
      </c>
      <c r="I201" s="13">
        <v>42870.871296296296</v>
      </c>
      <c r="J201" s="7">
        <v>0</v>
      </c>
      <c r="K201" s="92" t="str">
        <f t="shared" si="44"/>
        <v>4031/4032</v>
      </c>
      <c r="L201" s="21" t="str">
        <f>VLOOKUP(A201,'Trips&amp;Operators'!$C$1:$G$99999,5,FALSE)</f>
        <v>LEVIN SCOTT</v>
      </c>
      <c r="M201" s="6">
        <f t="shared" si="45"/>
        <v>1.1898148150066845E-2</v>
      </c>
      <c r="N201" s="7">
        <f t="shared" si="61"/>
        <v>17.133333336096257</v>
      </c>
      <c r="O201" s="7"/>
      <c r="P201" s="7"/>
      <c r="Q201" s="22"/>
      <c r="R201" s="190"/>
      <c r="S201" s="196">
        <f t="shared" si="62"/>
        <v>1</v>
      </c>
      <c r="T201" s="190" t="str">
        <f t="shared" si="46"/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47"/>
        <v>https://d0f6bd738d7f1b3e5a7ca70fe4ff75f0.us-east-1.aws.found.io/app/kibana#/discover/Steve-Slow-Train-Analysis-(2080s-and-2083s)?_g=(refreshInterval:(display:Off,pause:!f,section:0,value:0),time:(from:'2017-05-15T19:35:50-0600',mode:absolute,to:'2017-05-15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1" s="192" t="str">
        <f t="shared" si="48"/>
        <v>N</v>
      </c>
      <c r="X201" s="192">
        <f t="shared" si="64"/>
        <v>1</v>
      </c>
      <c r="Y201" s="192">
        <f t="shared" si="50"/>
        <v>5.8644999999999996</v>
      </c>
      <c r="Z201" s="192">
        <f t="shared" si="51"/>
        <v>6.7699999999999996E-2</v>
      </c>
      <c r="AA201" s="192">
        <f t="shared" si="52"/>
        <v>5.7967999999999993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53"/>
        <v>0842-15</v>
      </c>
      <c r="AE201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201" s="77" t="str">
        <f t="shared" si="55"/>
        <v>"C:\Program Files (x86)\AstroGrep\AstroGrep.exe" /e /r /s /spath="%USERPROFILE%\AppData\Local\Temp\OnboardLogs" /stypes="app*4031*20170516*" /stext=" 02:.+((SYSTEM_STATE.+slice.+state.+changed )|(ment ac)|(multiple cpu faults)|(system.+state.+changed )|(\[timeout)|(PRM\|1\|D)|(kpr)|(kdp)|(train st.+moving)|(\|lc)|(penalty))"</v>
      </c>
      <c r="AG201" s="1" t="str">
        <f t="shared" si="56"/>
        <v>NW</v>
      </c>
      <c r="AH201" s="81" t="str">
        <f t="shared" si="57"/>
        <v>"%USERPROFILE%\Documents\GitHub\eaglep3\Utilities\RefineRTDCRunTimes.py" --tripid 842-15 --locoid 4031 --swversion DE.1.0.9.0 --startMP 300:58645 --initTime 2017-05-15T20:35:50 --startdatetime 2017-05-15T20:37:32 --delay 1 --endMP 204:677 --enddatetime 2017-05-15T20:54:40 --enforcementcount 0 &gt;&gt;C:\Users\stu\Documents\GitHub\eaglep3-reporting\EC\2017-05-15-refined-times.txt</v>
      </c>
      <c r="AI201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{"issue":{"subject":"","project_id":79,"tracker_id":40,"status_id":1,"priority_id":2,"assigned_to_id":23,"start_date":"2017-05-15","description":"","custom_fields":[{"id":1,"name":"Subdivision","value":"NW"},{"id":4,"name":"Milepost","value":"0.0677"},{"id":17,"name":"Train ID","value":"842-15"},{"id":16,"name":"Locomotive ID","value":"4031"},{"id":130,"name":"Impact","value":""},{"id":150,"name":"Time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59"/>
        <v>start /low /b %USERPROFILE%\Documents\GitHub\eaglep3\Utilities\DownloadLogsFromS3.py --loco 4031 --day 2017-05-15</v>
      </c>
      <c r="AN201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795</v>
      </c>
      <c r="B202" s="7">
        <v>4032</v>
      </c>
      <c r="C202" s="21" t="s">
        <v>206</v>
      </c>
      <c r="D202" s="21" t="s">
        <v>1011</v>
      </c>
      <c r="E202" s="13">
        <v>42870.842800925922</v>
      </c>
      <c r="F202" s="13">
        <v>42870.84820601852</v>
      </c>
      <c r="G202" s="7">
        <v>1</v>
      </c>
      <c r="H202" s="21" t="s">
        <v>1012</v>
      </c>
      <c r="I202" s="13">
        <v>42870.857222222221</v>
      </c>
      <c r="J202" s="7">
        <v>0</v>
      </c>
      <c r="K202" s="92" t="str">
        <f t="shared" si="44"/>
        <v>4031/4032</v>
      </c>
      <c r="L202" s="21" t="str">
        <f>VLOOKUP(A202,'Trips&amp;Operators'!$C$1:$G$99999,5,FALSE)</f>
        <v>LEVIN SCOTT</v>
      </c>
      <c r="M202" s="6">
        <f t="shared" si="45"/>
        <v>9.0162037013215013E-3</v>
      </c>
      <c r="N202" s="7">
        <f t="shared" si="61"/>
        <v>12.983333329902962</v>
      </c>
      <c r="O202" s="7"/>
      <c r="P202" s="7"/>
      <c r="Q202" s="22"/>
      <c r="R202" s="190"/>
      <c r="S202" s="196">
        <f t="shared" si="62"/>
        <v>1</v>
      </c>
      <c r="T202" s="190" t="str">
        <f t="shared" si="46"/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47"/>
        <v>https://d0f6bd738d7f1b3e5a7ca70fe4ff75f0.us-east-1.aws.found.io/app/kibana#/discover/Steve-Slow-Train-Analysis-(2080s-and-2083s)?_g=(refreshInterval:(display:Off,pause:!f,section:0,value:0),time:(from:'2017-05-15T19:13:38-0600',mode:absolute,to:'2017-05-15T21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2" s="192" t="str">
        <f t="shared" si="48"/>
        <v>N</v>
      </c>
      <c r="X202" s="192">
        <f t="shared" si="64"/>
        <v>1</v>
      </c>
      <c r="Y202" s="192">
        <f t="shared" si="50"/>
        <v>9.6199999999999994E-2</v>
      </c>
      <c r="Z202" s="192">
        <f t="shared" si="51"/>
        <v>5.8960999999999997</v>
      </c>
      <c r="AA202" s="192">
        <f t="shared" si="52"/>
        <v>5.7999000000000001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53"/>
        <v>0843-15</v>
      </c>
      <c r="AE202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202" s="77" t="str">
        <f t="shared" si="55"/>
        <v>"C:\Program Files (x86)\AstroGrep\AstroGrep.exe" /e /r /s /spath="%USERPROFILE%\AppData\Local\Temp\OnboardLogs" /stypes="app*4032*20170516*" /stext=" 02:.+((SYSTEM_STATE.+slice.+state.+changed )|(ment ac)|(multiple cpu faults)|(system.+state.+changed )|(\[timeout)|(PRM\|1\|D)|(kpr)|(kdp)|(train st.+moving)|(\|lc)|(penalty))"</v>
      </c>
      <c r="AG202" s="1" t="str">
        <f t="shared" si="56"/>
        <v>NW</v>
      </c>
      <c r="AH202" s="81" t="str">
        <f t="shared" si="57"/>
        <v>"%USERPROFILE%\Documents\GitHub\eaglep3\Utilities\RefineRTDCRunTimes.py" --tripid 843-15 --locoid 4032 --swversion DE.1.0.9.0 --startMP 204:962 --initTime 2017-05-15T20:13:38 --startdatetime 2017-05-15T20:21:25 --delay 1 --endMP 300:58961 --enddatetime 2017-05-15T20:34:24 --enforcementcount 0 &gt;&gt;C:\Users\stu\Documents\GitHub\eaglep3-reporting\EC\2017-05-15-refined-times.txt</v>
      </c>
      <c r="AI202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{"issue":{"subject":"","project_id":79,"tracker_id":40,"status_id":1,"priority_id":2,"assigned_to_id":23,"start_date":"2017-05-15","description":"","custom_fields":[{"id":1,"name":"Subdivision","value":"NW"},{"id":4,"name":"Milepost","value":"5.8961"},{"id":17,"name":"Train ID","value":"843-15"},{"id":16,"name":"Locomotive ID","value":"4032"},{"id":130,"name":"Impact","value":""},{"id":150,"name":"Time of Event (Mountain Time)","value":"20:34:24"},{"id":151,"name":"Denver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59"/>
        <v>start /low /b %USERPROFILE%\Documents\GitHub\eaglep3\Utilities\DownloadLogsFromS3.py --loco 4032 --day 2017-05-15</v>
      </c>
      <c r="AN202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803</v>
      </c>
      <c r="B203" s="7">
        <v>4031</v>
      </c>
      <c r="C203" s="21" t="s">
        <v>206</v>
      </c>
      <c r="D203" s="21" t="s">
        <v>1013</v>
      </c>
      <c r="E203" s="13">
        <v>42870.899097222224</v>
      </c>
      <c r="F203" s="13">
        <v>42870.900590277779</v>
      </c>
      <c r="G203" s="7">
        <v>1</v>
      </c>
      <c r="H203" s="21" t="s">
        <v>1014</v>
      </c>
      <c r="I203" s="13">
        <v>42870.912638888891</v>
      </c>
      <c r="J203" s="7">
        <v>0</v>
      </c>
      <c r="K203" s="92" t="str">
        <f t="shared" si="44"/>
        <v>4031/4032</v>
      </c>
      <c r="L203" s="21" t="str">
        <f>VLOOKUP(A203,'Trips&amp;Operators'!$C$1:$G$99999,5,FALSE)</f>
        <v>NEWELL JAMES</v>
      </c>
      <c r="M203" s="6">
        <f t="shared" si="45"/>
        <v>1.2048611111822538E-2</v>
      </c>
      <c r="N203" s="7">
        <f t="shared" si="61"/>
        <v>17.350000001024455</v>
      </c>
      <c r="O203" s="7"/>
      <c r="P203" s="7"/>
      <c r="Q203" s="22"/>
      <c r="R203" s="190"/>
      <c r="S203" s="196">
        <f t="shared" si="62"/>
        <v>1</v>
      </c>
      <c r="T203" s="190" t="str">
        <f t="shared" si="46"/>
        <v>Southbound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47"/>
        <v>https://d0f6bd738d7f1b3e5a7ca70fe4ff75f0.us-east-1.aws.found.io/app/kibana#/discover/Steve-Slow-Train-Analysis-(2080s-and-2083s)?_g=(refreshInterval:(display:Off,pause:!f,section:0,value:0),time:(from:'2017-05-15T20:34:42-0600',mode:absolute,to:'2017-05-15T22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3" s="192" t="str">
        <f t="shared" si="48"/>
        <v>N</v>
      </c>
      <c r="X203" s="192">
        <f t="shared" si="64"/>
        <v>1</v>
      </c>
      <c r="Y203" s="192">
        <f t="shared" si="50"/>
        <v>5.8608000000000002</v>
      </c>
      <c r="Z203" s="192">
        <f t="shared" si="51"/>
        <v>6.9900000000000004E-2</v>
      </c>
      <c r="AA203" s="192">
        <f t="shared" si="52"/>
        <v>5.7909000000000006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53"/>
        <v>0844-15</v>
      </c>
      <c r="AE203" s="80" t="str">
        <f t="shared" si="5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203" s="77" t="str">
        <f t="shared" si="55"/>
        <v>"C:\Program Files (x86)\AstroGrep\AstroGrep.exe" /e /r /s /spath="%USERPROFILE%\AppData\Local\Temp\OnboardLogs" /stypes="app*4031*20170516*" /stext=" 03:.+((SYSTEM_STATE.+slice.+state.+changed )|(ment ac)|(multiple cpu faults)|(system.+state.+changed )|(\[timeout)|(PRM\|1\|D)|(kpr)|(kdp)|(train st.+moving)|(\|lc)|(penalty))"</v>
      </c>
      <c r="AG203" s="1" t="str">
        <f t="shared" si="56"/>
        <v>NW</v>
      </c>
      <c r="AH203" s="81" t="str">
        <f t="shared" si="57"/>
        <v>"%USERPROFILE%\Documents\GitHub\eaglep3\Utilities\RefineRTDCRunTimes.py" --tripid 844-15 --locoid 4031 --swversion DE.1.0.9.0 --startMP 300:58608 --initTime 2017-05-15T21:34:42 --startdatetime 2017-05-15T21:36:51 --delay 1 --endMP 204:699 --enddatetime 2017-05-15T21:54:12 --enforcementcount 0 &gt;&gt;C:\Users\stu\Documents\GitHub\eaglep3-reporting\EC\2017-05-15-refined-times.txt</v>
      </c>
      <c r="AI203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{"issue":{"subject":"","project_id":79,"tracker_id":40,"status_id":1,"priority_id":2,"assigned_to_id":23,"start_date":"2017-05-15","description":"","custom_fields":[{"id":1,"name":"Subdivision","value":"NW"},{"id":4,"name":"Milepost","value":"0.0699"},{"id":17,"name":"Train ID","value":"844-15"},{"id":16,"name":"Locomotive ID","value":"4031"},{"id":130,"name":"Impact","value":""},{"id":150,"name":"Time of Event (Mountain Time)","value":"21:54:12"},{"id":151,"name":"Denver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59"/>
        <v>start /low /b %USERPROFILE%\Documents\GitHub\eaglep3\Utilities\DownloadLogsFromS3.py --loco 4031 --day 2017-05-15</v>
      </c>
      <c r="AN203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800</v>
      </c>
      <c r="B204" s="7">
        <v>4032</v>
      </c>
      <c r="C204" s="21" t="s">
        <v>206</v>
      </c>
      <c r="D204" s="21" t="s">
        <v>1015</v>
      </c>
      <c r="E204" s="13">
        <v>42870.873483796298</v>
      </c>
      <c r="F204" s="13">
        <v>42870.889722222222</v>
      </c>
      <c r="G204" s="7">
        <v>18</v>
      </c>
      <c r="H204" s="21" t="s">
        <v>562</v>
      </c>
      <c r="I204" s="13">
        <v>42870.898310185185</v>
      </c>
      <c r="J204" s="7">
        <v>0</v>
      </c>
      <c r="K204" s="92" t="str">
        <f t="shared" si="44"/>
        <v>4031/4032</v>
      </c>
      <c r="L204" s="21" t="str">
        <f>VLOOKUP(A204,'Trips&amp;Operators'!$C$1:$G$99999,5,FALSE)</f>
        <v>NEWELL JAMES</v>
      </c>
      <c r="M204" s="6">
        <f t="shared" si="45"/>
        <v>8.5879629623377696E-3</v>
      </c>
      <c r="N204" s="7">
        <f t="shared" si="61"/>
        <v>12.366666665766388</v>
      </c>
      <c r="O204" s="7"/>
      <c r="P204" s="7"/>
      <c r="Q204" s="22"/>
      <c r="R204" s="190"/>
      <c r="S204" s="196">
        <f t="shared" si="62"/>
        <v>1</v>
      </c>
      <c r="T204" s="190" t="str">
        <f t="shared" si="46"/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47"/>
        <v>https://d0f6bd738d7f1b3e5a7ca70fe4ff75f0.us-east-1.aws.found.io/app/kibana#/discover/Steve-Slow-Train-Analysis-(2080s-and-2083s)?_g=(refreshInterval:(display:Off,pause:!f,section:0,value:0),time:(from:'2017-05-15T19:57:49-0600',mode:absolute,to:'2017-05-15T22:33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4" s="192" t="str">
        <f t="shared" si="48"/>
        <v>N</v>
      </c>
      <c r="X204" s="192">
        <f t="shared" si="64"/>
        <v>1</v>
      </c>
      <c r="Y204" s="192">
        <f t="shared" si="50"/>
        <v>9.5500000000000002E-2</v>
      </c>
      <c r="Z204" s="192">
        <f t="shared" si="51"/>
        <v>5.8928000000000003</v>
      </c>
      <c r="AA204" s="192">
        <f t="shared" si="52"/>
        <v>5.7972999999999999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53"/>
        <v>0845-15</v>
      </c>
      <c r="AE204" s="80" t="str">
        <f t="shared" si="54"/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204" s="77" t="str">
        <f t="shared" si="55"/>
        <v>"C:\Program Files (x86)\AstroGrep\AstroGrep.exe" /e /r /s /spath="%USERPROFILE%\AppData\Local\Temp\OnboardLogs" /stypes="app*4032*20170516*" /stext=" 03:.+((SYSTEM_STATE.+slice.+state.+changed )|(ment ac)|(multiple cpu faults)|(system.+state.+changed )|(\[timeout)|(PRM\|1\|D)|(kpr)|(kdp)|(train st.+moving)|(\|lc)|(penalty))"</v>
      </c>
      <c r="AG204" s="1" t="str">
        <f t="shared" si="56"/>
        <v>NW</v>
      </c>
      <c r="AH204" s="81" t="str">
        <f t="shared" si="57"/>
        <v>"%USERPROFILE%\Documents\GitHub\eaglep3\Utilities\RefineRTDCRunTimes.py" --tripid 845-15 --locoid 4032 --swversion DE.1.0.9.0 --startMP 204:955 --initTime 2017-05-15T20:57:49 --startdatetime 2017-05-15T21:21:12 --delay 18 --endMP 300:58928 --enddatetime 2017-05-15T21:33:34 --enforcementcount 0 &gt;&gt;C:\Users\stu\Documents\GitHub\eaglep3-reporting\EC\2017-05-15-refined-times.txt</v>
      </c>
      <c r="AI204" s="99" t="str">
        <f t="shared" si="58"/>
        <v>echo {"issue":{"subject":"","project_id":79,"tracker_id":40,"status_id":1,"priority_id":2,"assigned_to_id":23,"start_date":"2017-05-15","description":"","custom_fields":[{"id":1,"name":"Subdivision","value":"NW"},{"id":4,"name":"Milepost","value":"5.8928"},{"id":17,"name":"Train ID","value":"845-15"},{"id":16,"name":"Locomotive ID","value":"4032"},{"id":130,"name":"Impact","value":""},{"id":150,"name":"Time of Event (Mountain Time)","value":"21:33:34"},{"id":151,"name":"Denver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59"/>
        <v>start /low /b %USERPROFILE%\Documents\GitHub\eaglep3\Utilities\DownloadLogsFromS3.py --loco 4032 --day 2017-05-15</v>
      </c>
      <c r="AN204" s="154" t="str">
        <f t="shared" si="6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03:33:34"},{"id":29,"name":"Sharepoint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806</v>
      </c>
      <c r="B205" s="7">
        <v>4032</v>
      </c>
      <c r="C205" s="21" t="s">
        <v>206</v>
      </c>
      <c r="D205" s="21" t="s">
        <v>1002</v>
      </c>
      <c r="E205" s="13">
        <v>42870.927847222221</v>
      </c>
      <c r="F205" s="13">
        <v>42870.931388888886</v>
      </c>
      <c r="G205" s="7">
        <v>1</v>
      </c>
      <c r="H205" s="21" t="s">
        <v>494</v>
      </c>
      <c r="I205" s="13">
        <v>42870.94027777778</v>
      </c>
      <c r="J205" s="7">
        <v>0</v>
      </c>
      <c r="K205" s="92" t="str">
        <f t="shared" ref="K205:K248" si="65">IF(ISEVEN(B205),(B205-1)&amp;"/"&amp;B205,B205&amp;"/"&amp;(B205+1))</f>
        <v>4031/4032</v>
      </c>
      <c r="L205" s="21" t="str">
        <f>VLOOKUP(A205,'Trips&amp;Operators'!$C$1:$G$99999,5,FALSE)</f>
        <v>NEWELL JAMES</v>
      </c>
      <c r="M205" s="6">
        <f t="shared" ref="M205:M248" si="66">I205-F205</f>
        <v>8.8888888931251131E-3</v>
      </c>
      <c r="N205" s="7">
        <f t="shared" si="61"/>
        <v>12.800000006100163</v>
      </c>
      <c r="O205" s="7"/>
      <c r="P205" s="7"/>
      <c r="Q205" s="22"/>
      <c r="R205" s="190"/>
      <c r="S205" s="196">
        <f t="shared" si="62"/>
        <v>1</v>
      </c>
      <c r="T205" s="190" t="str">
        <f t="shared" ref="T205:T248" si="67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48" si="68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-15T21:16:06-0600',mode:absolute,to:'2017-05-15T23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5" s="192" t="str">
        <f t="shared" ref="W205:W248" si="69">IF(AA205&lt;IF(AG205="EC",23,5.65),"Y","N")</f>
        <v>N</v>
      </c>
      <c r="X205" s="192">
        <f t="shared" si="64"/>
        <v>2</v>
      </c>
      <c r="Y205" s="192">
        <f t="shared" ref="Y205:Y248" si="70">RIGHT(D205,LEN(D205)-4)/10000</f>
        <v>0.1002</v>
      </c>
      <c r="Z205" s="192">
        <f t="shared" ref="Z205:Z248" si="71">RIGHT(H205,LEN(H205)-4)/10000</f>
        <v>5.8930999999999996</v>
      </c>
      <c r="AA205" s="192">
        <f t="shared" ref="AA205:AA248" si="72">ABS(Z205-Y205)</f>
        <v>5.7928999999999995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8" si="73">IF(LEN(A205)=6,"0"&amp;A205,A205)</f>
        <v>0847-15</v>
      </c>
      <c r="AE205" s="80" t="str">
        <f t="shared" ref="AE205:AE248" si="7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s3://rtdc.mdm.uploadarchive.raw/RTDC4032/ "%USERPROFILE%\AppData\Local\Temp\OnboardLogs"\RTDC4032\2017-05-15 --exclude "*" --recursive --include "*20170515*" &amp; "%USERPROFILE%\Documents\GitHub\mrs-test-scripts\Headless Mode &amp; Sideloading\WalkAndUnGZ.bat" "%USERPROFILE%\AppData\Local\Temp\OnboardLogs"\RTDC4032\2017-05-15 &amp; aws s3 cp s3://rtdc.mdm.uploadarchive.raw/RTDC4032/ "%USERPROFILE%\AppData\Local\Temp\OnboardLogs"\RTDC4032\2017-05-16 --exclude "*" --recursive --include "*20170516*" &amp; "%USERPROFILE%\Documents\GitHub\mrs-test-scripts\Headless Mode &amp; Sideloading\WalkAndUnGZ.bat" "%USERPROFILE%\AppData\Local\Temp\OnboardLogs"\RTDC4032\2017-05-16</v>
      </c>
      <c r="AF205" s="77" t="str">
        <f t="shared" ref="AF205:AF248" si="75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/stypes="app*4032*20170516*" /stext=" 04:.+((SYSTEM_STATE.+slice.+state.+changed )|(ment ac)|(multiple cpu faults)|(system.+state.+changed )|(\[timeout)|(PRM\|1\|D)|(kpr)|(kdp)|(train st.+moving)|(\|lc)|(penalty))"</v>
      </c>
      <c r="AG205" s="1" t="str">
        <f t="shared" ref="AG205:AG248" si="76">IFERROR(IF(VALUE(LEFT(AD205,2))&lt;=2,"EC",IF(OR(VALUE(LEFT(AD205,2))=8,VALUE(LEFT(AD205,2))=18),"NW","Other")),"Other")</f>
        <v>NW</v>
      </c>
      <c r="AH205" s="81" t="str">
        <f t="shared" ref="AH205:AH248" si="77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847-15 --locoid 4032 --swversion DE.1.0.9.0 --startMP 204:1002 --initTime 2017-05-15T22:16:06 --startdatetime 2017-05-15T22:21:12 --delay 1 --endMP 300:58931 --enddatetime 2017-05-15T22:34:00 --enforcementcount 0 &gt;&gt;C:\Users\stu\Documents\GitHub\eaglep3-reporting\EC\2017-05-15-refined-times.txt</v>
      </c>
      <c r="AI205" s="99" t="str">
        <f t="shared" ref="AI205:AI248" si="78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{"issue":{"subject":"","project_id":79,"tracker_id":40,"status_id":1,"priority_id":2,"assigned_to_id":23,"start_date":"2017-05-15","description":"","custom_fields":[{"id":1,"name":"Subdivision","value":"NW"},{"id":4,"name":"Milepost","value":"5.8931"},{"id":17,"name":"Train ID","value":"847-15"},{"id":16,"name":"Locomotive ID","value":"4032"},{"id":130,"name":"Impact","value":""},{"id":150,"name":"Time of Event (Mountain Time)","value":"22:34:00"},{"id":151,"name":"Denver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48" si="79">"start /low /b "&amp;dls3logs&amp;" --loco "&amp;B205&amp;" --day "&amp;TEXT(F205,"YYYY-MM-DD")</f>
        <v>start /low /b %USERPROFILE%\Documents\GitHub\eaglep3\Utilities\DownloadLogsFromS3.py --loco 4032 --day 2017-05-15</v>
      </c>
      <c r="AN205" s="154" t="str">
        <f t="shared" ref="AN205:AN248" si="80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629</v>
      </c>
      <c r="B206" s="7">
        <v>4027</v>
      </c>
      <c r="C206" s="21" t="s">
        <v>206</v>
      </c>
      <c r="D206" s="21" t="s">
        <v>910</v>
      </c>
      <c r="E206" s="13">
        <v>42870.117951388886</v>
      </c>
      <c r="F206" s="13">
        <v>42870.120613425926</v>
      </c>
      <c r="G206" s="7">
        <v>3</v>
      </c>
      <c r="H206" s="21" t="s">
        <v>895</v>
      </c>
      <c r="I206" s="13">
        <v>42870.124803240738</v>
      </c>
      <c r="J206" s="7">
        <v>0</v>
      </c>
      <c r="K206" s="92" t="str">
        <f t="shared" si="65"/>
        <v>4027/4028</v>
      </c>
      <c r="L206" s="21" t="str">
        <f>VLOOKUP(A206,'Trips&amp;Operators'!$C$1:$G$99999,5,FALSE)</f>
        <v>SANTIZO D. EDY</v>
      </c>
      <c r="M206" s="6">
        <f t="shared" si="66"/>
        <v>4.1898148119798861E-3</v>
      </c>
      <c r="N206" s="7">
        <f t="shared" si="61"/>
        <v>6.033333329251036</v>
      </c>
      <c r="O206" s="7"/>
      <c r="P206" s="7"/>
      <c r="Q206" s="22"/>
      <c r="R206" s="190"/>
      <c r="S206" s="196">
        <f t="shared" si="62"/>
        <v>1</v>
      </c>
      <c r="T206" s="190" t="str">
        <f t="shared" si="67"/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68"/>
        <v>https://d0f6bd738d7f1b3e5a7ca70fe4ff75f0.us-east-1.aws.found.io/app/kibana#/discover/Steve-Slow-Train-Analysis-(2080s-and-2083s)?_g=(refreshInterval:(display:Off,pause:!f,section:0,value:0),time:(from:'2017-05-15T01:49:51-0600',mode:absolute,to:'2017-05-15T03:59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6" s="192" t="str">
        <f t="shared" si="69"/>
        <v>Y</v>
      </c>
      <c r="X206" s="192">
        <f t="shared" si="64"/>
        <v>-545</v>
      </c>
      <c r="Y206" s="192">
        <f t="shared" si="70"/>
        <v>1.9585999999999999</v>
      </c>
      <c r="Z206" s="192">
        <f t="shared" si="71"/>
        <v>1.6299999999999999E-2</v>
      </c>
      <c r="AA206" s="192">
        <f t="shared" si="72"/>
        <v>1.9422999999999999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73"/>
        <v>0302-15</v>
      </c>
      <c r="AE206" s="80" t="str">
        <f t="shared" si="74"/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AF206" s="77" t="str">
        <f t="shared" si="75"/>
        <v>"C:\Program Files (x86)\AstroGrep\AstroGrep.exe" /e /r /s /spath="%USERPROFILE%\AppData\Local\Temp\OnboardLogs" /stypes="app*4027*20170515*" /stext=" 08:.+((SYSTEM_STATE.+slice.+state.+changed )|(ment ac)|(multiple cpu faults)|(system.+state.+changed )|(\[timeout)|(PRM\|1\|D)|(kpr)|(kdp)|(train st.+moving)|(\|lc)|(penalty))"</v>
      </c>
      <c r="AG206" s="1" t="str">
        <f t="shared" si="76"/>
        <v>Other</v>
      </c>
      <c r="AH206" s="81" t="str">
        <f t="shared" si="77"/>
        <v>"%USERPROFILE%\Documents\GitHub\eaglep3\Utilities\RefineRTDCRunTimes.py" --tripid 302-15 --locoid 4027 --swversion DE.1.0.9.0 --startMP 300:19586 --initTime 2017-05-15T02:49:51 --startdatetime 2017-05-15T02:53:41 --delay 3 --endMP 204:163 --enddatetime 2017-05-15T02:59:43 --enforcementcount 0 &gt;&gt;C:\Users\stu\Documents\GitHub\eaglep3-reporting\EC\2017-05-15-refined-times.txt</v>
      </c>
      <c r="AI206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{"issue":{"subject":"","project_id":79,"tracker_id":40,"status_id":1,"priority_id":2,"assigned_to_id":23,"start_date":"2017-05-15","description":"","custom_fields":[{"id":1,"name":"Subdivision","value":"Other"},{"id":4,"name":"Milepost","value":"0.0163"},{"id":17,"name":"Train ID","value":"302-15"},{"id":16,"name":"Locomotive ID","value":"4027"},{"id":130,"name":"Impact","value":""},{"id":150,"name":"Time of Event (Mountain Time)","value":"02:59:43"},{"id":151,"name":"Denver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79"/>
        <v>start /low /b %USERPROFILE%\Documents\GitHub\eaglep3\Utilities\DownloadLogsFromS3.py --loco 4027 --day 2017-05-15</v>
      </c>
      <c r="AN206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08:59:43"},{"id":29,"name":"Sharepoint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631</v>
      </c>
      <c r="B207" s="7">
        <v>4041</v>
      </c>
      <c r="C207" s="21" t="s">
        <v>206</v>
      </c>
      <c r="D207" s="21" t="s">
        <v>911</v>
      </c>
      <c r="E207" s="13">
        <v>42870.138379629629</v>
      </c>
      <c r="F207" s="13">
        <v>42870.141736111109</v>
      </c>
      <c r="G207" s="7">
        <v>4</v>
      </c>
      <c r="H207" s="21" t="s">
        <v>359</v>
      </c>
      <c r="I207" s="13">
        <v>42870.147141203706</v>
      </c>
      <c r="J207" s="7">
        <v>0</v>
      </c>
      <c r="K207" s="92" t="str">
        <f t="shared" si="65"/>
        <v>4041/4042</v>
      </c>
      <c r="L207" s="21" t="str">
        <f>VLOOKUP(A207,'Trips&amp;Operators'!$C$1:$G$99999,5,FALSE)</f>
        <v>MAELZER KURT</v>
      </c>
      <c r="M207" s="6">
        <f t="shared" si="66"/>
        <v>5.4050925973569974E-3</v>
      </c>
      <c r="N207" s="7">
        <f t="shared" si="61"/>
        <v>7.7833333401940763</v>
      </c>
      <c r="O207" s="7"/>
      <c r="P207" s="7"/>
      <c r="Q207" s="22"/>
      <c r="R207" s="190"/>
      <c r="S207" s="196">
        <f t="shared" si="62"/>
        <v>1</v>
      </c>
      <c r="T207" s="190" t="str">
        <f t="shared" si="67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68"/>
        <v>https://d0f6bd738d7f1b3e5a7ca70fe4ff75f0.us-east-1.aws.found.io/app/kibana#/discover/Steve-Slow-Train-Analysis-(2080s-and-2083s)?_g=(refreshInterval:(display:Off,pause:!f,section:0,value:0),time:(from:'2017-05-15T02:19:16-0600',mode:absolute,to:'2017-05-15T04:31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7" s="192" t="str">
        <f t="shared" si="69"/>
        <v>Y</v>
      </c>
      <c r="X207" s="192">
        <f t="shared" si="64"/>
        <v>2</v>
      </c>
      <c r="Y207" s="192">
        <f t="shared" si="70"/>
        <v>2.2121</v>
      </c>
      <c r="Z207" s="192">
        <f t="shared" si="71"/>
        <v>1.49E-2</v>
      </c>
      <c r="AA207" s="192">
        <f t="shared" si="72"/>
        <v>2.1972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73"/>
        <v>0304-15</v>
      </c>
      <c r="AE207" s="80" t="str">
        <f t="shared" si="74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207" s="77" t="str">
        <f t="shared" si="75"/>
        <v>"C:\Program Files (x86)\AstroGrep\AstroGrep.exe" /e /r /s /spath="%USERPROFILE%\AppData\Local\Temp\OnboardLogs" /stypes="app*4041*20170515*" /stext=" 09:.+((SYSTEM_STATE.+slice.+state.+changed )|(ment ac)|(multiple cpu faults)|(system.+state.+changed )|(\[timeout)|(PRM\|1\|D)|(kpr)|(kdp)|(train st.+moving)|(\|lc)|(penalty))"</v>
      </c>
      <c r="AG207" s="1" t="str">
        <f t="shared" si="76"/>
        <v>Other</v>
      </c>
      <c r="AH207" s="81" t="str">
        <f t="shared" si="77"/>
        <v>"%USERPROFILE%\Documents\GitHub\eaglep3\Utilities\RefineRTDCRunTimes.py" --tripid 304-15 --locoid 4041 --swversion DE.1.0.9.0 --startMP 300:22121 --initTime 2017-05-15T03:19:16 --startdatetime 2017-05-15T03:24:06 --delay 4 --endMP 204:149 --enddatetime 2017-05-15T03:31:53 --enforcementcount 0 &gt;&gt;C:\Users\stu\Documents\GitHub\eaglep3-reporting\EC\2017-05-15-refined-times.txt</v>
      </c>
      <c r="AI207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{"issue":{"subject":"","project_id":79,"tracker_id":40,"status_id":1,"priority_id":2,"assigned_to_id":23,"start_date":"2017-05-15","description":"","custom_fields":[{"id":1,"name":"Subdivision","value":"Other"},{"id":4,"name":"Milepost","value":"0.0149"},{"id":17,"name":"Train ID","value":"304-15"},{"id":16,"name":"Locomotive ID","value":"4041"},{"id":130,"name":"Impact","value":""},{"id":150,"name":"Time of Event (Mountain Time)","value":"03:31:53"},{"id":151,"name":"Denver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79"/>
        <v>start /low /b %USERPROFILE%\Documents\GitHub\eaglep3\Utilities\DownloadLogsFromS3.py --loco 4041 --day 2017-05-15</v>
      </c>
      <c r="AN207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09:31:53"},{"id":29,"name":"Sharepoint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631</v>
      </c>
      <c r="B208" s="7">
        <v>4041</v>
      </c>
      <c r="C208" s="21" t="s">
        <v>206</v>
      </c>
      <c r="D208" s="21" t="s">
        <v>912</v>
      </c>
      <c r="E208" s="13">
        <v>42870.138379629629</v>
      </c>
      <c r="F208" s="13">
        <v>42870.141736111109</v>
      </c>
      <c r="G208" s="7">
        <v>4</v>
      </c>
      <c r="H208" s="21" t="s">
        <v>359</v>
      </c>
      <c r="I208" s="13">
        <v>42870.147141203706</v>
      </c>
      <c r="J208" s="7">
        <v>0</v>
      </c>
      <c r="K208" s="92" t="str">
        <f t="shared" si="65"/>
        <v>4041/4042</v>
      </c>
      <c r="L208" s="21" t="str">
        <f>VLOOKUP(A208,'Trips&amp;Operators'!$C$1:$G$99999,5,FALSE)</f>
        <v>MAELZER KURT</v>
      </c>
      <c r="M208" s="6">
        <f t="shared" si="66"/>
        <v>5.4050925973569974E-3</v>
      </c>
      <c r="N208" s="7">
        <f t="shared" si="61"/>
        <v>7.7833333401940763</v>
      </c>
      <c r="O208" s="7"/>
      <c r="P208" s="7"/>
      <c r="Q208" s="22"/>
      <c r="R208" s="190"/>
      <c r="S208" s="196">
        <f t="shared" si="62"/>
        <v>1</v>
      </c>
      <c r="T208" s="190" t="str">
        <f t="shared" si="67"/>
        <v>Southbound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68"/>
        <v>https://d0f6bd738d7f1b3e5a7ca70fe4ff75f0.us-east-1.aws.found.io/app/kibana#/discover/Steve-Slow-Train-Analysis-(2080s-and-2083s)?_g=(refreshInterval:(display:Off,pause:!f,section:0,value:0),time:(from:'2017-05-15T02:19:16-0600',mode:absolute,to:'2017-05-15T04:31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8" s="192" t="str">
        <f t="shared" si="69"/>
        <v>Y</v>
      </c>
      <c r="X208" s="192">
        <f t="shared" si="64"/>
        <v>0</v>
      </c>
      <c r="Y208" s="192">
        <f t="shared" si="70"/>
        <v>2.3025000000000002</v>
      </c>
      <c r="Z208" s="192">
        <f t="shared" si="71"/>
        <v>1.49E-2</v>
      </c>
      <c r="AA208" s="192">
        <f t="shared" si="72"/>
        <v>2.2876000000000003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73"/>
        <v>0304-15</v>
      </c>
      <c r="AE208" s="80" t="str">
        <f t="shared" si="74"/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AF208" s="77" t="str">
        <f t="shared" si="75"/>
        <v>"C:\Program Files (x86)\AstroGrep\AstroGrep.exe" /e /r /s /spath="%USERPROFILE%\AppData\Local\Temp\OnboardLogs" /stypes="app*4041*20170515*" /stext=" 09:.+((SYSTEM_STATE.+slice.+state.+changed )|(ment ac)|(multiple cpu faults)|(system.+state.+changed )|(\[timeout)|(PRM\|1\|D)|(kpr)|(kdp)|(train st.+moving)|(\|lc)|(penalty))"</v>
      </c>
      <c r="AG208" s="1" t="str">
        <f t="shared" si="76"/>
        <v>Other</v>
      </c>
      <c r="AH208" s="81" t="str">
        <f t="shared" si="77"/>
        <v>"%USERPROFILE%\Documents\GitHub\eaglep3\Utilities\RefineRTDCRunTimes.py" --tripid 304-15 --locoid 4041 --swversion DE.1.0.9.0 --startMP 300:23025 --initTime 2017-05-15T03:19:16 --startdatetime 2017-05-15T03:24:06 --delay 4 --endMP 204:149 --enddatetime 2017-05-15T03:31:53 --enforcementcount 0 &gt;&gt;C:\Users\stu\Documents\GitHub\eaglep3-reporting\EC\2017-05-15-refined-times.txt</v>
      </c>
      <c r="AI208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{"issue":{"subject":"","project_id":79,"tracker_id":40,"status_id":1,"priority_id":2,"assigned_to_id":23,"start_date":"2017-05-15","description":"","custom_fields":[{"id":1,"name":"Subdivision","value":"Other"},{"id":4,"name":"Milepost","value":"0.0149"},{"id":17,"name":"Train ID","value":"304-15"},{"id":16,"name":"Locomotive ID","value":"4041"},{"id":130,"name":"Impact","value":""},{"id":150,"name":"Time of Event (Mountain Time)","value":"03:31:53"},{"id":151,"name":"Denver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79"/>
        <v>start /low /b %USERPROFILE%\Documents\GitHub\eaglep3\Utilities\DownloadLogsFromS3.py --loco 4041 --day 2017-05-15</v>
      </c>
      <c r="AN208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09:31:53"},{"id":29,"name":"Sharepoint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788</v>
      </c>
      <c r="B209" s="7">
        <v>4028</v>
      </c>
      <c r="C209" s="21" t="s">
        <v>206</v>
      </c>
      <c r="D209" s="21" t="s">
        <v>202</v>
      </c>
      <c r="E209" s="13">
        <v>42870.796319444446</v>
      </c>
      <c r="F209" s="13">
        <v>42870.797731481478</v>
      </c>
      <c r="G209" s="7">
        <v>1</v>
      </c>
      <c r="H209" s="21" t="s">
        <v>913</v>
      </c>
      <c r="I209" s="13">
        <v>42870.804502314815</v>
      </c>
      <c r="J209" s="7">
        <v>0</v>
      </c>
      <c r="K209" s="92" t="str">
        <f t="shared" si="65"/>
        <v>4027/4028</v>
      </c>
      <c r="L209" s="21" t="str">
        <f>VLOOKUP(A209,'Trips&amp;Operators'!$C$1:$G$99999,5,FALSE)</f>
        <v>LALONDE GREGORY</v>
      </c>
      <c r="M209" s="6">
        <f t="shared" si="66"/>
        <v>6.7708333372138441E-3</v>
      </c>
      <c r="N209" s="7">
        <f t="shared" si="61"/>
        <v>9.7500000055879354</v>
      </c>
      <c r="O209" s="7"/>
      <c r="P209" s="7"/>
      <c r="Q209" s="22"/>
      <c r="R209" s="190"/>
      <c r="S209" s="196">
        <f t="shared" si="62"/>
        <v>1</v>
      </c>
      <c r="T209" s="190" t="str">
        <f t="shared" si="67"/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68"/>
        <v>https://d0f6bd738d7f1b3e5a7ca70fe4ff75f0.us-east-1.aws.found.io/app/kibana#/discover/Steve-Slow-Train-Analysis-(2080s-and-2083s)?_g=(refreshInterval:(display:Off,pause:!f,section:0,value:0),time:(from:'2017-05-15T18:06:42-0600',mode:absolute,to:'2017-05-15T20:18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9" s="192" t="str">
        <f t="shared" si="69"/>
        <v>Y</v>
      </c>
      <c r="X209" s="192">
        <f t="shared" si="64"/>
        <v>1</v>
      </c>
      <c r="Y209" s="192">
        <f t="shared" si="70"/>
        <v>4.5699999999999998E-2</v>
      </c>
      <c r="Z209" s="192">
        <f t="shared" si="71"/>
        <v>2.3256999999999999</v>
      </c>
      <c r="AA209" s="192">
        <f t="shared" si="72"/>
        <v>2.2799999999999998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73"/>
        <v>0305-15</v>
      </c>
      <c r="AE209" s="80" t="str">
        <f t="shared" si="74"/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AF209" s="77" t="str">
        <f t="shared" si="75"/>
        <v>"C:\Program Files (x86)\AstroGrep\AstroGrep.exe" /e /r /s /spath="%USERPROFILE%\AppData\Local\Temp\OnboardLogs" /stypes="app*4028*20170516*" /stext=" 01:.+((SYSTEM_STATE.+slice.+state.+changed )|(ment ac)|(multiple cpu faults)|(system.+state.+changed )|(\[timeout)|(PRM\|1\|D)|(kpr)|(kdp)|(train st.+moving)|(\|lc)|(penalty))"</v>
      </c>
      <c r="AG209" s="1" t="str">
        <f t="shared" si="76"/>
        <v>Other</v>
      </c>
      <c r="AH209" s="81" t="str">
        <f t="shared" si="77"/>
        <v>"%USERPROFILE%\Documents\GitHub\eaglep3\Utilities\RefineRTDCRunTimes.py" --tripid 305-15 --locoid 4028 --swversion DE.1.0.9.0 --startMP 204:457 --initTime 2017-05-15T19:06:42 --startdatetime 2017-05-15T19:08:44 --delay 1 --endMP 300:23257 --enddatetime 2017-05-15T19:18:29 --enforcementcount 0 &gt;&gt;C:\Users\stu\Documents\GitHub\eaglep3-reporting\EC\2017-05-15-refined-times.txt</v>
      </c>
      <c r="AI209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{"issue":{"subject":"","project_id":79,"tracker_id":40,"status_id":1,"priority_id":2,"assigned_to_id":23,"start_date":"2017-05-15","description":"","custom_fields":[{"id":1,"name":"Subdivision","value":"Other"},{"id":4,"name":"Milepost","value":"2.3257"},{"id":17,"name":"Train ID","value":"305-15"},{"id":16,"name":"Locomotive ID","value":"4028"},{"id":130,"name":"Impact","value":""},{"id":150,"name":"Time of Event (Mountain Time)","value":"19:18:29"},{"id":151,"name":"Denver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79"/>
        <v>start /low /b %USERPROFILE%\Documents\GitHub\eaglep3\Utilities\DownloadLogsFromS3.py --loco 4028 --day 2017-05-15</v>
      </c>
      <c r="AN209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01:18:29"},{"id":29,"name":"Sharepoint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633</v>
      </c>
      <c r="B210" s="7">
        <v>4021</v>
      </c>
      <c r="C210" s="21" t="s">
        <v>206</v>
      </c>
      <c r="D210" s="21" t="s">
        <v>914</v>
      </c>
      <c r="E210" s="13">
        <v>42870.160775462966</v>
      </c>
      <c r="F210" s="13">
        <v>42870.163587962961</v>
      </c>
      <c r="G210" s="7">
        <v>3</v>
      </c>
      <c r="H210" s="21" t="s">
        <v>915</v>
      </c>
      <c r="I210" s="13">
        <v>42870.170312499999</v>
      </c>
      <c r="J210" s="7">
        <v>0</v>
      </c>
      <c r="K210" s="92" t="str">
        <f t="shared" si="65"/>
        <v>4021/4022</v>
      </c>
      <c r="L210" s="21" t="str">
        <f>VLOOKUP(A210,'Trips&amp;Operators'!$C$1:$G$99999,5,FALSE)</f>
        <v>YOUNG ELIZABETH</v>
      </c>
      <c r="M210" s="6">
        <f t="shared" si="66"/>
        <v>6.7245370373711921E-3</v>
      </c>
      <c r="N210" s="7">
        <f t="shared" si="61"/>
        <v>9.6833333338145167</v>
      </c>
      <c r="O210" s="7"/>
      <c r="P210" s="7"/>
      <c r="Q210" s="22"/>
      <c r="R210" s="190"/>
      <c r="S210" s="196">
        <f t="shared" si="62"/>
        <v>1</v>
      </c>
      <c r="T210" s="190" t="str">
        <f t="shared" si="67"/>
        <v>Southbound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68"/>
        <v>https://d0f6bd738d7f1b3e5a7ca70fe4ff75f0.us-east-1.aws.found.io/app/kibana#/discover/Steve-Slow-Train-Analysis-(2080s-and-2083s)?_g=(refreshInterval:(display:Off,pause:!f,section:0,value:0),time:(from:'2017-05-15T02:51:31-0600',mode:absolute,to:'2017-05-15T05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0" s="192" t="str">
        <f t="shared" si="69"/>
        <v>Y</v>
      </c>
      <c r="X210" s="192">
        <f t="shared" si="64"/>
        <v>1</v>
      </c>
      <c r="Y210" s="192">
        <f t="shared" si="70"/>
        <v>2.3012000000000001</v>
      </c>
      <c r="Z210" s="192">
        <f t="shared" si="71"/>
        <v>2.0899999999999998E-2</v>
      </c>
      <c r="AA210" s="192">
        <f t="shared" si="72"/>
        <v>2.2803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73"/>
        <v>0306-15</v>
      </c>
      <c r="AE210" s="80" t="str">
        <f t="shared" si="7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210" s="77" t="str">
        <f t="shared" si="75"/>
        <v>"C:\Program Files (x86)\AstroGrep\AstroGrep.exe" /e /r /s /spath="%USERPROFILE%\AppData\Local\Temp\OnboardLogs" /stypes="app*4021*20170515*" /stext=" 10:.+((SYSTEM_STATE.+slice.+state.+changed )|(ment ac)|(multiple cpu faults)|(system.+state.+changed )|(\[timeout)|(PRM\|1\|D)|(kpr)|(kdp)|(train st.+moving)|(\|lc)|(penalty))"</v>
      </c>
      <c r="AG210" s="1" t="str">
        <f t="shared" si="76"/>
        <v>Other</v>
      </c>
      <c r="AH210" s="81" t="str">
        <f t="shared" si="77"/>
        <v>"%USERPROFILE%\Documents\GitHub\eaglep3\Utilities\RefineRTDCRunTimes.py" --tripid 306-15 --locoid 4021 --swversion DE.1.0.9.0 --startMP 300:23012 --initTime 2017-05-15T03:51:31 --startdatetime 2017-05-15T03:55:34 --delay 3 --endMP 204:209 --enddatetime 2017-05-15T04:05:15 --enforcementcount 0 &gt;&gt;C:\Users\stu\Documents\GitHub\eaglep3-reporting\EC\2017-05-15-refined-times.txt</v>
      </c>
      <c r="AI210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{"issue":{"subject":"","project_id":79,"tracker_id":40,"status_id":1,"priority_id":2,"assigned_to_id":23,"start_date":"2017-05-15","description":"","custom_fields":[{"id":1,"name":"Subdivision","value":"Other"},{"id":4,"name":"Milepost","value":"0.0209"},{"id":17,"name":"Train ID","value":"306-15"},{"id":16,"name":"Locomotive ID","value":"4021"},{"id":130,"name":"Impact","value":""},{"id":150,"name":"Time of Event (Mountain Time)","value":"04:05:15"},{"id":151,"name":"Denver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79"/>
        <v>start /low /b %USERPROFILE%\Documents\GitHub\eaglep3\Utilities\DownloadLogsFromS3.py --loco 4021 --day 2017-05-15</v>
      </c>
      <c r="AN210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792</v>
      </c>
      <c r="B211" s="7">
        <v>4042</v>
      </c>
      <c r="C211" s="21" t="s">
        <v>206</v>
      </c>
      <c r="D211" s="21" t="s">
        <v>533</v>
      </c>
      <c r="E211" s="13">
        <v>42870.818483796298</v>
      </c>
      <c r="F211" s="13">
        <v>42870.819918981484</v>
      </c>
      <c r="G211" s="7">
        <v>1</v>
      </c>
      <c r="H211" s="21" t="s">
        <v>916</v>
      </c>
      <c r="I211" s="13">
        <v>42870.826168981483</v>
      </c>
      <c r="J211" s="7">
        <v>0</v>
      </c>
      <c r="K211" s="92" t="str">
        <f t="shared" si="65"/>
        <v>4041/4042</v>
      </c>
      <c r="L211" s="21" t="str">
        <f>VLOOKUP(A211,'Trips&amp;Operators'!$C$1:$G$99999,5,FALSE)</f>
        <v>BRANDNER MELINDA</v>
      </c>
      <c r="M211" s="6">
        <f t="shared" si="66"/>
        <v>6.2499999985448085E-3</v>
      </c>
      <c r="N211" s="7">
        <f t="shared" si="61"/>
        <v>8.9999999979045242</v>
      </c>
      <c r="O211" s="7"/>
      <c r="P211" s="7"/>
      <c r="Q211" s="22"/>
      <c r="R211" s="190"/>
      <c r="S211" s="196">
        <f t="shared" si="62"/>
        <v>1</v>
      </c>
      <c r="T211" s="190" t="str">
        <f t="shared" si="67"/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68"/>
        <v>https://d0f6bd738d7f1b3e5a7ca70fe4ff75f0.us-east-1.aws.found.io/app/kibana#/discover/Steve-Slow-Train-Analysis-(2080s-and-2083s)?_g=(refreshInterval:(display:Off,pause:!f,section:0,value:0),time:(from:'2017-05-15T18:38:37-0600',mode:absolute,to:'2017-05-15T20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92" t="str">
        <f t="shared" si="69"/>
        <v>Y</v>
      </c>
      <c r="X211" s="192">
        <f t="shared" si="64"/>
        <v>1</v>
      </c>
      <c r="Y211" s="192">
        <f t="shared" si="70"/>
        <v>4.6699999999999998E-2</v>
      </c>
      <c r="Z211" s="192">
        <f t="shared" si="71"/>
        <v>2.3010999999999999</v>
      </c>
      <c r="AA211" s="192">
        <f t="shared" si="72"/>
        <v>2.2544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73"/>
        <v>0307-15</v>
      </c>
      <c r="AE211" s="80" t="str">
        <f t="shared" si="74"/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AF211" s="77" t="str">
        <f t="shared" si="75"/>
        <v>"C:\Program Files (x86)\AstroGrep\AstroGrep.exe" /e /r /s /spath="%USERPROFILE%\AppData\Local\Temp\OnboardLogs" /stypes="app*4042*20170516*" /stext=" 01:.+((SYSTEM_STATE.+slice.+state.+changed )|(ment ac)|(multiple cpu faults)|(system.+state.+changed )|(\[timeout)|(PRM\|1\|D)|(kpr)|(kdp)|(train st.+moving)|(\|lc)|(penalty))"</v>
      </c>
      <c r="AG211" s="1" t="str">
        <f t="shared" si="76"/>
        <v>Other</v>
      </c>
      <c r="AH211" s="81" t="str">
        <f t="shared" si="77"/>
        <v>"%USERPROFILE%\Documents\GitHub\eaglep3\Utilities\RefineRTDCRunTimes.py" --tripid 307-15 --locoid 4042 --swversion DE.1.0.9.0 --startMP 204:467 --initTime 2017-05-15T19:38:37 --startdatetime 2017-05-15T19:40:41 --delay 1 --endMP 300:23011 --enddatetime 2017-05-15T19:49:41 --enforcementcount 0 &gt;&gt;C:\Users\stu\Documents\GitHub\eaglep3-reporting\EC\2017-05-15-refined-times.txt</v>
      </c>
      <c r="AI211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{"issue":{"subject":"","project_id":79,"tracker_id":40,"status_id":1,"priority_id":2,"assigned_to_id":23,"start_date":"2017-05-15","description":"","custom_fields":[{"id":1,"name":"Subdivision","value":"Other"},{"id":4,"name":"Milepost","value":"2.3011"},{"id":17,"name":"Train ID","value":"307-15"},{"id":16,"name":"Locomotive ID","value":"4042"},{"id":130,"name":"Impact","value":""},{"id":150,"name":"Time of Event (Mountain Time)","value":"19:49:41"},{"id":151,"name":"Denver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79"/>
        <v>start /low /b %USERPROFILE%\Documents\GitHub\eaglep3\Utilities\DownloadLogsFromS3.py --loco 4042 --day 2017-05-15</v>
      </c>
      <c r="AN211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637</v>
      </c>
      <c r="B212" s="7">
        <v>4015</v>
      </c>
      <c r="C212" s="21" t="s">
        <v>206</v>
      </c>
      <c r="D212" s="21" t="s">
        <v>917</v>
      </c>
      <c r="E212" s="13">
        <v>42870.169722222221</v>
      </c>
      <c r="F212" s="13">
        <v>42870.173657407409</v>
      </c>
      <c r="G212" s="7">
        <v>5</v>
      </c>
      <c r="H212" s="21" t="s">
        <v>198</v>
      </c>
      <c r="I212" s="13">
        <v>42870.179201388892</v>
      </c>
      <c r="J212" s="7">
        <v>0</v>
      </c>
      <c r="K212" s="92" t="str">
        <f t="shared" si="65"/>
        <v>4015/4016</v>
      </c>
      <c r="L212" s="21" t="str">
        <f>VLOOKUP(A212,'Trips&amp;Operators'!$C$1:$G$99999,5,FALSE)</f>
        <v>BONDS REYNALDO</v>
      </c>
      <c r="M212" s="6">
        <f t="shared" si="66"/>
        <v>5.543981482333038E-3</v>
      </c>
      <c r="N212" s="7">
        <f t="shared" ref="N212:N248" si="81">24*60*SUM($M212:$M212)</f>
        <v>7.9833333345595747</v>
      </c>
      <c r="O212" s="7"/>
      <c r="P212" s="7"/>
      <c r="Q212" s="22"/>
      <c r="R212" s="190"/>
      <c r="S212" s="196">
        <f t="shared" ref="S212:S248" si="82">SUM(U212:U212)/IF(AG212="EC",12,1)</f>
        <v>1</v>
      </c>
      <c r="T212" s="190" t="str">
        <f t="shared" si="67"/>
        <v>Southbound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68"/>
        <v>https://d0f6bd738d7f1b3e5a7ca70fe4ff75f0.us-east-1.aws.found.io/app/kibana#/discover/Steve-Slow-Train-Analysis-(2080s-and-2083s)?_g=(refreshInterval:(display:Off,pause:!f,section:0,value:0),time:(from:'2017-05-15T03:04:24-0600',mode:absolute,to:'2017-05-15T05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2" s="192" t="str">
        <f t="shared" si="69"/>
        <v>Y</v>
      </c>
      <c r="X212" s="192">
        <f t="shared" si="64"/>
        <v>1</v>
      </c>
      <c r="Y212" s="192">
        <f t="shared" si="70"/>
        <v>2.3483000000000001</v>
      </c>
      <c r="Z212" s="192">
        <f t="shared" si="71"/>
        <v>1.5800000000000002E-2</v>
      </c>
      <c r="AA212" s="192">
        <f t="shared" si="72"/>
        <v>2.3325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73"/>
        <v>0308-15</v>
      </c>
      <c r="AE212" s="80" t="str">
        <f t="shared" si="74"/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AF212" s="77" t="str">
        <f t="shared" si="75"/>
        <v>"C:\Program Files (x86)\AstroGrep\AstroGrep.exe" /e /r /s /spath="%USERPROFILE%\AppData\Local\Temp\OnboardLogs" /stypes="app*4015*20170515*" /stext=" 10:.+((SYSTEM_STATE.+slice.+state.+changed )|(ment ac)|(multiple cpu faults)|(system.+state.+changed )|(\[timeout)|(PRM\|1\|D)|(kpr)|(kdp)|(train st.+moving)|(\|lc)|(penalty))"</v>
      </c>
      <c r="AG212" s="1" t="str">
        <f t="shared" si="76"/>
        <v>Other</v>
      </c>
      <c r="AH212" s="81" t="str">
        <f t="shared" si="77"/>
        <v>"%USERPROFILE%\Documents\GitHub\eaglep3\Utilities\RefineRTDCRunTimes.py" --tripid 308-15 --locoid 4015 --swversion DE.1.0.9.0 --startMP 300:23483 --initTime 2017-05-15T04:04:24 --startdatetime 2017-05-15T04:10:04 --delay 5 --endMP 204:158 --enddatetime 2017-05-15T04:18:03 --enforcementcount 0 &gt;&gt;C:\Users\stu\Documents\GitHub\eaglep3-reporting\EC\2017-05-15-refined-times.txt</v>
      </c>
      <c r="AI212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{"issue":{"subject":"","project_id":79,"tracker_id":40,"status_id":1,"priority_id":2,"assigned_to_id":23,"start_date":"2017-05-15","description":"","custom_fields":[{"id":1,"name":"Subdivision","value":"Other"},{"id":4,"name":"Milepost","value":"0.0158"},{"id":17,"name":"Train ID","value":"308-15"},{"id":16,"name":"Locomotive ID","value":"4015"},{"id":130,"name":"Impact","value":""},{"id":150,"name":"Time of Event (Mountain Time)","value":"04:18:03"},{"id":151,"name":"Denver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79"/>
        <v>start /low /b %USERPROFILE%\Documents\GitHub\eaglep3\Utilities\DownloadLogsFromS3.py --loco 4015 --day 2017-05-15</v>
      </c>
      <c r="AN212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819</v>
      </c>
      <c r="B213" s="7">
        <v>4030</v>
      </c>
      <c r="C213" s="21" t="s">
        <v>206</v>
      </c>
      <c r="D213" s="21" t="s">
        <v>918</v>
      </c>
      <c r="E213" s="13">
        <v>42871.048993055556</v>
      </c>
      <c r="F213" s="13">
        <v>42871.051226851851</v>
      </c>
      <c r="G213" s="7">
        <v>1</v>
      </c>
      <c r="H213" s="21" t="s">
        <v>574</v>
      </c>
      <c r="I213" s="13">
        <v>42871.055925925924</v>
      </c>
      <c r="J213" s="7">
        <v>0</v>
      </c>
      <c r="K213" s="92" t="str">
        <f t="shared" si="65"/>
        <v>4029/4030</v>
      </c>
      <c r="L213" s="21" t="str">
        <f>VLOOKUP(A213,'Trips&amp;Operators'!$C$1:$G$99999,5,FALSE)</f>
        <v>ZEWDU DEREJE</v>
      </c>
      <c r="M213" s="6">
        <f t="shared" si="66"/>
        <v>4.6990740738692693E-3</v>
      </c>
      <c r="N213" s="7">
        <f t="shared" si="81"/>
        <v>6.7666666663717479</v>
      </c>
      <c r="O213" s="7"/>
      <c r="P213" s="7"/>
      <c r="Q213" s="22"/>
      <c r="R213" s="190"/>
      <c r="S213" s="196">
        <f t="shared" si="82"/>
        <v>1</v>
      </c>
      <c r="T213" s="190" t="str">
        <f t="shared" si="67"/>
        <v>NorthBound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68"/>
        <v>https://d0f6bd738d7f1b3e5a7ca70fe4ff75f0.us-east-1.aws.found.io/app/kibana#/discover/Steve-Slow-Train-Analysis-(2080s-and-2083s)?_g=(refreshInterval:(display:Off,pause:!f,section:0,value:0),time:(from:'2017-05-16T00:10:33-0600',mode:absolute,to:'2017-05-16T02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3" s="192" t="str">
        <f t="shared" si="69"/>
        <v>Y</v>
      </c>
      <c r="X213" s="192">
        <f t="shared" si="64"/>
        <v>1</v>
      </c>
      <c r="Y213" s="192">
        <f t="shared" si="70"/>
        <v>4.2900000000000001E-2</v>
      </c>
      <c r="Z213" s="192">
        <f t="shared" si="71"/>
        <v>2.3311999999999999</v>
      </c>
      <c r="AA213" s="192">
        <f t="shared" si="72"/>
        <v>2.2883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73"/>
        <v>0309-15</v>
      </c>
      <c r="AE213" s="80" t="str">
        <f t="shared" si="74"/>
        <v>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 &amp; aws s3 cp s3://rtdc.mdm.uploadarchive.raw/RTDC4030/ "%USERPROFILE%\AppData\Local\Temp\OnboardLogs"\RTDC4030\2017-05-17 --exclude "*" --recursive --include "*20170517*" &amp; "%USERPROFILE%\Documents\GitHub\mrs-test-scripts\Headless Mode &amp; Sideloading\WalkAndUnGZ.bat" "%USERPROFILE%\AppData\Local\Temp\OnboardLogs"\RTDC4030\2017-05-17</v>
      </c>
      <c r="AF213" s="77" t="str">
        <f t="shared" si="75"/>
        <v>"C:\Program Files (x86)\AstroGrep\AstroGrep.exe" /e /r /s /spath="%USERPROFILE%\AppData\Local\Temp\OnboardLogs" /stypes="app*4030*20170516*" /stext=" 07:.+((SYSTEM_STATE.+slice.+state.+changed )|(ment ac)|(multiple cpu faults)|(system.+state.+changed )|(\[timeout)|(PRM\|1\|D)|(kpr)|(kdp)|(train st.+moving)|(\|lc)|(penalty))"</v>
      </c>
      <c r="AG213" s="1" t="str">
        <f t="shared" si="76"/>
        <v>Other</v>
      </c>
      <c r="AH213" s="81" t="str">
        <f t="shared" si="77"/>
        <v>"%USERPROFILE%\Documents\GitHub\eaglep3\Utilities\RefineRTDCRunTimes.py" --tripid 309-15 --locoid 4030 --swversion DE.1.0.9.0 --startMP 204:429 --initTime 2017-05-16T01:10:33 --startdatetime 2017-05-16T01:13:46 --delay 1 --endMP 300:23312 --enddatetime 2017-05-16T01:20:32 --enforcementcount 0 &gt;&gt;C:\Users\stu\Documents\GitHub\eaglep3-reporting\EC\2017-05-15-refined-times.txt</v>
      </c>
      <c r="AI213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{"issue":{"subject":"","project_id":79,"tracker_id":40,"status_id":1,"priority_id":2,"assigned_to_id":23,"start_date":"2017-05-16","description":"","custom_fields":[{"id":1,"name":"Subdivision","value":"Other"},{"id":4,"name":"Milepost","value":"2.3312"},{"id":17,"name":"Train ID","value":"309-15"},{"id":16,"name":"Locomotive ID","value":"4030"},{"id":130,"name":"Impact","value":""},{"id":150,"name":"Time of Event (Mountain Time)","value":"01:20:32"},{"id":151,"name":"Denver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79"/>
        <v>start /low /b %USERPROFILE%\Documents\GitHub\eaglep3\Utilities\DownloadLogsFromS3.py --loco 4030 --day 2017-05-16</v>
      </c>
      <c r="AN213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07:20:32"},{"id":29,"name":"Sharepoint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641</v>
      </c>
      <c r="B214" s="7">
        <v>4025</v>
      </c>
      <c r="C214" s="21" t="s">
        <v>206</v>
      </c>
      <c r="D214" s="21" t="s">
        <v>919</v>
      </c>
      <c r="E214" s="13">
        <v>42870.175856481481</v>
      </c>
      <c r="F214" s="13">
        <v>42870.178599537037</v>
      </c>
      <c r="G214" s="7">
        <v>3</v>
      </c>
      <c r="H214" s="21" t="s">
        <v>492</v>
      </c>
      <c r="I214" s="13">
        <v>42870.184340277781</v>
      </c>
      <c r="J214" s="7">
        <v>0</v>
      </c>
      <c r="K214" s="92" t="str">
        <f t="shared" si="65"/>
        <v>4025/4026</v>
      </c>
      <c r="L214" s="21" t="str">
        <f>VLOOKUP(A214,'Trips&amp;Operators'!$C$1:$G$99999,5,FALSE)</f>
        <v>MACDONALD THOMAS</v>
      </c>
      <c r="M214" s="6">
        <f t="shared" si="66"/>
        <v>5.7407407439313829E-3</v>
      </c>
      <c r="N214" s="7">
        <f t="shared" si="81"/>
        <v>8.2666666712611914</v>
      </c>
      <c r="O214" s="7"/>
      <c r="P214" s="7"/>
      <c r="Q214" s="22"/>
      <c r="R214" s="190"/>
      <c r="S214" s="196">
        <f t="shared" si="82"/>
        <v>1</v>
      </c>
      <c r="T214" s="190" t="str">
        <f t="shared" si="67"/>
        <v>Southbound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68"/>
        <v>https://d0f6bd738d7f1b3e5a7ca70fe4ff75f0.us-east-1.aws.found.io/app/kibana#/discover/Steve-Slow-Train-Analysis-(2080s-and-2083s)?_g=(refreshInterval:(display:Off,pause:!f,section:0,value:0),time:(from:'2017-05-15T03:13:14-0600',mode:absolute,to:'2017-05-15T05:25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4" s="192" t="str">
        <f t="shared" si="69"/>
        <v>Y</v>
      </c>
      <c r="X214" s="192">
        <f t="shared" ref="X214:X248" si="83">VALUE(LEFT(AD214,4))-VALUE(LEFT(AD213,4))</f>
        <v>1</v>
      </c>
      <c r="Y214" s="192">
        <f t="shared" si="70"/>
        <v>2.3631000000000002</v>
      </c>
      <c r="Z214" s="192">
        <f t="shared" si="71"/>
        <v>1.61E-2</v>
      </c>
      <c r="AA214" s="192">
        <f t="shared" si="72"/>
        <v>2.3470000000000004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73"/>
        <v>0310-15</v>
      </c>
      <c r="AE214" s="80" t="str">
        <f t="shared" si="74"/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AF214" s="77" t="str">
        <f t="shared" si="75"/>
        <v>"C:\Program Files (x86)\AstroGrep\AstroGrep.exe" /e /r /s /spath="%USERPROFILE%\AppData\Local\Temp\OnboardLogs" /stypes="app*4025*20170515*" /stext=" 10:.+((SYSTEM_STATE.+slice.+state.+changed )|(ment ac)|(multiple cpu faults)|(system.+state.+changed )|(\[timeout)|(PRM\|1\|D)|(kpr)|(kdp)|(train st.+moving)|(\|lc)|(penalty))"</v>
      </c>
      <c r="AG214" s="1" t="str">
        <f t="shared" si="76"/>
        <v>Other</v>
      </c>
      <c r="AH214" s="81" t="str">
        <f t="shared" si="77"/>
        <v>"%USERPROFILE%\Documents\GitHub\eaglep3\Utilities\RefineRTDCRunTimes.py" --tripid 310-15 --locoid 4025 --swversion DE.1.0.9.0 --startMP 300:23631 --initTime 2017-05-15T04:13:14 --startdatetime 2017-05-15T04:17:11 --delay 3 --endMP 204:161 --enddatetime 2017-05-15T04:25:27 --enforcementcount 0 &gt;&gt;C:\Users\stu\Documents\GitHub\eaglep3-reporting\EC\2017-05-15-refined-times.txt</v>
      </c>
      <c r="AI214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{"issue":{"subject":"","project_id":79,"tracker_id":40,"status_id":1,"priority_id":2,"assigned_to_id":23,"start_date":"2017-05-15","description":"","custom_fields":[{"id":1,"name":"Subdivision","value":"Other"},{"id":4,"name":"Milepost","value":"0.0161"},{"id":17,"name":"Train ID","value":"310-15"},{"id":16,"name":"Locomotive ID","value":"4025"},{"id":130,"name":"Impact","value":""},{"id":150,"name":"Time of Event (Mountain Time)","value":"04:25:27"},{"id":151,"name":"Denver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79"/>
        <v>start /low /b %USERPROFILE%\Documents\GitHub\eaglep3\Utilities\DownloadLogsFromS3.py --loco 4025 --day 2017-05-15</v>
      </c>
      <c r="AN214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10:25:27"},{"id":29,"name":"Sharepoint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821</v>
      </c>
      <c r="B215" s="7">
        <v>4022</v>
      </c>
      <c r="C215" s="21" t="s">
        <v>206</v>
      </c>
      <c r="D215" s="21" t="s">
        <v>352</v>
      </c>
      <c r="E215" s="13">
        <v>42871.067789351851</v>
      </c>
      <c r="F215" s="13">
        <v>42871.069108796299</v>
      </c>
      <c r="G215" s="7">
        <v>1</v>
      </c>
      <c r="H215" s="21" t="s">
        <v>920</v>
      </c>
      <c r="I215" s="13">
        <v>42871.07849537037</v>
      </c>
      <c r="J215" s="7">
        <v>0</v>
      </c>
      <c r="K215" s="92" t="str">
        <f t="shared" si="65"/>
        <v>4021/4022</v>
      </c>
      <c r="L215" s="21" t="str">
        <f>VLOOKUP(A215,'Trips&amp;Operators'!$C$1:$G$99999,5,FALSE)</f>
        <v>LAMAR NEKESHA</v>
      </c>
      <c r="M215" s="6">
        <f t="shared" si="66"/>
        <v>9.3865740709588863E-3</v>
      </c>
      <c r="N215" s="7">
        <f t="shared" si="81"/>
        <v>13.516666662180796</v>
      </c>
      <c r="O215" s="7"/>
      <c r="P215" s="7"/>
      <c r="Q215" s="22"/>
      <c r="R215" s="190"/>
      <c r="S215" s="196">
        <f t="shared" si="82"/>
        <v>1</v>
      </c>
      <c r="T215" s="190" t="str">
        <f t="shared" si="67"/>
        <v>NorthBound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68"/>
        <v>https://d0f6bd738d7f1b3e5a7ca70fe4ff75f0.us-east-1.aws.found.io/app/kibana#/discover/Steve-Slow-Train-Analysis-(2080s-and-2083s)?_g=(refreshInterval:(display:Off,pause:!f,section:0,value:0),time:(from:'2017-05-16T00:37:37-0600',mode:absolute,to:'2017-05-16T02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5" s="192" t="str">
        <f t="shared" si="69"/>
        <v>Y</v>
      </c>
      <c r="X215" s="192">
        <f t="shared" si="83"/>
        <v>1</v>
      </c>
      <c r="Y215" s="192">
        <f t="shared" si="70"/>
        <v>4.4600000000000001E-2</v>
      </c>
      <c r="Z215" s="192">
        <f t="shared" si="71"/>
        <v>2.3313999999999999</v>
      </c>
      <c r="AA215" s="192">
        <f t="shared" si="72"/>
        <v>2.2867999999999999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73"/>
        <v>0311-15</v>
      </c>
      <c r="AE215" s="80" t="str">
        <f t="shared" si="74"/>
        <v>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 &amp; aws s3 cp s3://rtdc.mdm.uploadarchive.raw/RTDC4022/ "%USERPROFILE%\AppData\Local\Temp\OnboardLogs"\RTDC4022\2017-05-17 --exclude "*" --recursive --include "*20170517*" &amp; "%USERPROFILE%\Documents\GitHub\mrs-test-scripts\Headless Mode &amp; Sideloading\WalkAndUnGZ.bat" "%USERPROFILE%\AppData\Local\Temp\OnboardLogs"\RTDC4022\2017-05-17</v>
      </c>
      <c r="AF215" s="77" t="str">
        <f t="shared" si="75"/>
        <v>"C:\Program Files (x86)\AstroGrep\AstroGrep.exe" /e /r /s /spath="%USERPROFILE%\AppData\Local\Temp\OnboardLogs" /stypes="app*4022*20170516*" /stext=" 07:.+((SYSTEM_STATE.+slice.+state.+changed )|(ment ac)|(multiple cpu faults)|(system.+state.+changed )|(\[timeout)|(PRM\|1\|D)|(kpr)|(kdp)|(train st.+moving)|(\|lc)|(penalty))"</v>
      </c>
      <c r="AG215" s="1" t="str">
        <f t="shared" si="76"/>
        <v>Other</v>
      </c>
      <c r="AH215" s="81" t="str">
        <f t="shared" si="77"/>
        <v>"%USERPROFILE%\Documents\GitHub\eaglep3\Utilities\RefineRTDCRunTimes.py" --tripid 311-15 --locoid 4022 --swversion DE.1.0.9.0 --startMP 204:446 --initTime 2017-05-16T01:37:37 --startdatetime 2017-05-16T01:39:31 --delay 1 --endMP 300:23314 --enddatetime 2017-05-16T01:53:02 --enforcementcount 0 &gt;&gt;C:\Users\stu\Documents\GitHub\eaglep3-reporting\EC\2017-05-15-refined-times.txt</v>
      </c>
      <c r="AI215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{"issue":{"subject":"","project_id":79,"tracker_id":40,"status_id":1,"priority_id":2,"assigned_to_id":23,"start_date":"2017-05-16","description":"","custom_fields":[{"id":1,"name":"Subdivision","value":"Other"},{"id":4,"name":"Milepost","value":"2.3314"},{"id":17,"name":"Train ID","value":"311-15"},{"id":16,"name":"Locomotive ID","value":"4022"},{"id":130,"name":"Impact","value":""},{"id":150,"name":"Time of Event (Mountain Time)","value":"01:53:02"},{"id":151,"name":"Denver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79"/>
        <v>start /low /b %USERPROFILE%\Documents\GitHub\eaglep3\Utilities\DownloadLogsFromS3.py --loco 4022 --day 2017-05-16</v>
      </c>
      <c r="AN215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07:53:02"},{"id":29,"name":"Sharepoint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523</v>
      </c>
      <c r="B216" s="7">
        <v>4002</v>
      </c>
      <c r="C216" s="21" t="s">
        <v>206</v>
      </c>
      <c r="D216" s="21" t="s">
        <v>380</v>
      </c>
      <c r="E216" s="13">
        <v>42870.087511574071</v>
      </c>
      <c r="F216" s="13">
        <v>42870.088564814818</v>
      </c>
      <c r="G216" s="7">
        <v>1</v>
      </c>
      <c r="H216" s="21" t="s">
        <v>363</v>
      </c>
      <c r="I216" s="13">
        <v>42870.095023148147</v>
      </c>
      <c r="J216" s="7">
        <v>0</v>
      </c>
      <c r="K216" s="92" t="str">
        <f t="shared" si="65"/>
        <v>4001/4002</v>
      </c>
      <c r="L216" s="21" t="str">
        <f>VLOOKUP(A216,'Trips&amp;Operators'!$C$1:$G$99999,5,FALSE)</f>
        <v>STAMBAUGH JAMES</v>
      </c>
      <c r="M216" s="6">
        <f t="shared" si="66"/>
        <v>6.4583333296468481E-3</v>
      </c>
      <c r="N216" s="7">
        <f t="shared" si="81"/>
        <v>9.2999999946914613</v>
      </c>
      <c r="O216" s="7"/>
      <c r="P216" s="7"/>
      <c r="Q216" s="22"/>
      <c r="R216" s="190"/>
      <c r="S216" s="196">
        <f t="shared" si="82"/>
        <v>1</v>
      </c>
      <c r="T216" s="190" t="str">
        <f t="shared" si="67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68"/>
        <v>https://d0f6bd738d7f1b3e5a7ca70fe4ff75f0.us-east-1.aws.found.io/app/kibana#/discover/Steve-Slow-Train-Analysis-(2080s-and-2083s)?_g=(refreshInterval:(display:Off,pause:!f,section:0,value:0),time:(from:'2017-05-15T01:06:01-0600',mode:absolute,to:'2017-05-15T03:16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6" s="192" t="str">
        <f t="shared" si="69"/>
        <v>Y</v>
      </c>
      <c r="X216" s="192">
        <f t="shared" si="83"/>
        <v>2</v>
      </c>
      <c r="Y216" s="192">
        <f t="shared" si="70"/>
        <v>4.5499999999999999E-2</v>
      </c>
      <c r="Z216" s="192">
        <f t="shared" si="71"/>
        <v>2.3346</v>
      </c>
      <c r="AA216" s="192">
        <f t="shared" si="72"/>
        <v>2.2890999999999999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73"/>
        <v>0313-14</v>
      </c>
      <c r="AE216" s="80" t="str">
        <f t="shared" si="74"/>
        <v>aws s3 cp s3://rtdc.mdm.uploadarchive.raw/RTDC4002/ "%USERPROFILE%\AppData\Local\Temp\OnboardLogs"\RTDC4002\2017-05-15 --exclude "*" --recursive --include "*20170515*" &amp; "%USERPROFILE%\Documents\GitHub\mrs-test-scripts\Headless Mode &amp; Sideloading\WalkAndUnGZ.bat" "%USERPROFILE%\AppData\Local\Temp\OnboardLogs"\RTDC4002\2017-05-15 &amp; aws s3 cp s3://rtdc.mdm.uploadarchive.raw/RTDC4002/ "%USERPROFILE%\AppData\Local\Temp\OnboardLogs"\RTDC4002\2017-05-16 --exclude "*" --recursive --include "*20170516*" &amp; "%USERPROFILE%\Documents\GitHub\mrs-test-scripts\Headless Mode &amp; Sideloading\WalkAndUnGZ.bat" "%USERPROFILE%\AppData\Local\Temp\OnboardLogs"\RTDC4002\2017-05-16</v>
      </c>
      <c r="AF216" s="77" t="str">
        <f t="shared" si="75"/>
        <v>"C:\Program Files (x86)\AstroGrep\AstroGrep.exe" /e /r /s /spath="%USERPROFILE%\AppData\Local\Temp\OnboardLogs" /stypes="app*4002*20170515*" /stext=" 08:.+((SYSTEM_STATE.+slice.+state.+changed )|(ment ac)|(multiple cpu faults)|(system.+state.+changed )|(\[timeout)|(PRM\|1\|D)|(kpr)|(kdp)|(train st.+moving)|(\|lc)|(penalty))"</v>
      </c>
      <c r="AG216" s="1" t="str">
        <f t="shared" si="76"/>
        <v>Other</v>
      </c>
      <c r="AH216" s="81" t="str">
        <f t="shared" si="77"/>
        <v>"%USERPROFILE%\Documents\GitHub\eaglep3\Utilities\RefineRTDCRunTimes.py" --tripid 313-14 --locoid 4002 --swversion DE.1.0.9.0 --startMP 204:455 --initTime 2017-05-15T02:06:01 --startdatetime 2017-05-15T02:07:32 --delay 1 --endMP 300:23346 --enddatetime 2017-05-15T02:16:50 --enforcementcount 0 &gt;&gt;C:\Users\stu\Documents\GitHub\eaglep3-reporting\EC\2017-05-15-refined-times.txt</v>
      </c>
      <c r="AI216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{"issue":{"subject":"","project_id":79,"tracker_id":40,"status_id":1,"priority_id":2,"assigned_to_id":23,"start_date":"2017-05-15","description":"","custom_fields":[{"id":1,"name":"Subdivision","value":"Other"},{"id":4,"name":"Milepost","value":"2.3346"},{"id":17,"name":"Train ID","value":"313-14"},{"id":16,"name":"Locomotive ID","value":"4002"},{"id":130,"name":"Impact","value":""},{"id":150,"name":"Time of Event (Mountain Time)","value":"02:16:50"},{"id":151,"name":"Denver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79"/>
        <v>start /low /b %USERPROFILE%\Documents\GitHub\eaglep3\Utilities\DownloadLogsFromS3.py --loco 4002 --day 2017-05-15</v>
      </c>
      <c r="AN216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08:16:50"},{"id":29,"name":"Sharepoint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822</v>
      </c>
      <c r="B217" s="7">
        <v>4016</v>
      </c>
      <c r="C217" s="21" t="s">
        <v>206</v>
      </c>
      <c r="D217" s="21" t="s">
        <v>921</v>
      </c>
      <c r="E217" s="13">
        <v>42871.087256944447</v>
      </c>
      <c r="F217" s="13">
        <v>42871.08866898148</v>
      </c>
      <c r="G217" s="7">
        <v>1</v>
      </c>
      <c r="H217" s="21" t="s">
        <v>452</v>
      </c>
      <c r="I217" s="13">
        <v>42871.096620370372</v>
      </c>
      <c r="J217" s="7">
        <v>0</v>
      </c>
      <c r="K217" s="92" t="str">
        <f t="shared" si="65"/>
        <v>4015/4016</v>
      </c>
      <c r="L217" s="21" t="str">
        <f>VLOOKUP(A217,'Trips&amp;Operators'!$C$1:$G$99999,5,FALSE)</f>
        <v>BIRENBAUM THOMAS</v>
      </c>
      <c r="M217" s="6">
        <f t="shared" si="66"/>
        <v>7.9513888922519982E-3</v>
      </c>
      <c r="N217" s="7">
        <f t="shared" si="81"/>
        <v>11.450000004842877</v>
      </c>
      <c r="O217" s="7"/>
      <c r="P217" s="7"/>
      <c r="Q217" s="22"/>
      <c r="R217" s="190"/>
      <c r="S217" s="196">
        <f t="shared" si="82"/>
        <v>1</v>
      </c>
      <c r="T217" s="190" t="str">
        <f t="shared" si="67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 t="shared" si="68"/>
        <v>https://d0f6bd738d7f1b3e5a7ca70fe4ff75f0.us-east-1.aws.found.io/app/kibana#/discover/Steve-Slow-Train-Analysis-(2080s-and-2083s)?_g=(refreshInterval:(display:Off,pause:!f,section:0,value:0),time:(from:'2017-05-16T01:05:39-0600',mode:absolute,to:'2017-05-16T03:19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7" s="192" t="str">
        <f t="shared" si="69"/>
        <v>Y</v>
      </c>
      <c r="X217" s="192">
        <f t="shared" si="83"/>
        <v>0</v>
      </c>
      <c r="Y217" s="192">
        <f t="shared" si="70"/>
        <v>5.7299999999999997E-2</v>
      </c>
      <c r="Z217" s="192">
        <f t="shared" si="71"/>
        <v>2.3304</v>
      </c>
      <c r="AA217" s="192">
        <f t="shared" si="72"/>
        <v>2.2730999999999999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73"/>
        <v>0313-15</v>
      </c>
      <c r="AE217" s="80" t="str">
        <f t="shared" si="74"/>
        <v>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 &amp; aws s3 cp s3://rtdc.mdm.uploadarchive.raw/RTDC4016/ "%USERPROFILE%\AppData\Local\Temp\OnboardLogs"\RTDC4016\2017-05-17 --exclude "*" --recursive --include "*20170517*" &amp; "%USERPROFILE%\Documents\GitHub\mrs-test-scripts\Headless Mode &amp; Sideloading\WalkAndUnGZ.bat" "%USERPROFILE%\AppData\Local\Temp\OnboardLogs"\RTDC4016\2017-05-17</v>
      </c>
      <c r="AF217" s="77" t="str">
        <f t="shared" si="75"/>
        <v>"C:\Program Files (x86)\AstroGrep\AstroGrep.exe" /e /r /s /spath="%USERPROFILE%\AppData\Local\Temp\OnboardLogs" /stypes="app*4016*20170516*" /stext=" 08:.+((SYSTEM_STATE.+slice.+state.+changed )|(ment ac)|(multiple cpu faults)|(system.+state.+changed )|(\[timeout)|(PRM\|1\|D)|(kpr)|(kdp)|(train st.+moving)|(\|lc)|(penalty))"</v>
      </c>
      <c r="AG217" s="1" t="str">
        <f t="shared" si="76"/>
        <v>Other</v>
      </c>
      <c r="AH217" s="81" t="str">
        <f t="shared" si="77"/>
        <v>"%USERPROFILE%\Documents\GitHub\eaglep3\Utilities\RefineRTDCRunTimes.py" --tripid 313-15 --locoid 4016 --swversion DE.1.0.9.0 --startMP 204:573 --initTime 2017-05-16T02:05:39 --startdatetime 2017-05-16T02:07:41 --delay 1 --endMP 300:23304 --enddatetime 2017-05-16T02:19:08 --enforcementcount 0 &gt;&gt;C:\Users\stu\Documents\GitHub\eaglep3-reporting\EC\2017-05-15-refined-times.txt</v>
      </c>
      <c r="AI217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{"issue":{"subject":"","project_id":79,"tracker_id":40,"status_id":1,"priority_id":2,"assigned_to_id":23,"start_date":"2017-05-16","description":"","custom_fields":[{"id":1,"name":"Subdivision","value":"Other"},{"id":4,"name":"Milepost","value":"2.3304"},{"id":17,"name":"Train ID","value":"313-15"},{"id":16,"name":"Locomotive ID","value":"4016"},{"id":130,"name":"Impact","value":""},{"id":150,"name":"Time of Event (Mountain Time)","value":"02:19:08"},{"id":151,"name":"Denver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79"/>
        <v>start /low /b %USERPROFILE%\Documents\GitHub\eaglep3\Utilities\DownloadLogsFromS3.py --loco 4016 --day 2017-05-16</v>
      </c>
      <c r="AN217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08:19:08"},{"id":29,"name":"Sharepoint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s="20" customFormat="1" x14ac:dyDescent="0.25">
      <c r="A218" s="32" t="s">
        <v>817</v>
      </c>
      <c r="B218" s="7">
        <v>4052</v>
      </c>
      <c r="C218" s="21" t="s">
        <v>206</v>
      </c>
      <c r="D218" s="21" t="s">
        <v>418</v>
      </c>
      <c r="E218" s="13">
        <v>42871.028310185182</v>
      </c>
      <c r="F218" s="13">
        <v>42871.029282407406</v>
      </c>
      <c r="G218" s="7">
        <v>1</v>
      </c>
      <c r="H218" s="21" t="s">
        <v>922</v>
      </c>
      <c r="I218" s="13">
        <v>42871.035624999997</v>
      </c>
      <c r="J218" s="7">
        <v>0</v>
      </c>
      <c r="K218" s="92" t="str">
        <f t="shared" si="65"/>
        <v>4051/4052</v>
      </c>
      <c r="L218" s="21" t="str">
        <f>VLOOKUP(A218,'Trips&amp;Operators'!$C$1:$G$99999,5,FALSE)</f>
        <v>CHANDLER KELVIN</v>
      </c>
      <c r="M218" s="6">
        <f t="shared" si="66"/>
        <v>6.3425925909541547E-3</v>
      </c>
      <c r="N218" s="7">
        <f t="shared" si="81"/>
        <v>9.1333333309739828</v>
      </c>
      <c r="O218" s="7"/>
      <c r="P218" s="7"/>
      <c r="Q218" s="22"/>
      <c r="R218" s="190"/>
      <c r="S218" s="196">
        <f t="shared" si="82"/>
        <v>1</v>
      </c>
      <c r="T218" s="190" t="str">
        <f t="shared" si="67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68"/>
        <v>https://d0f6bd738d7f1b3e5a7ca70fe4ff75f0.us-east-1.aws.found.io/app/kibana#/discover/Steve-Slow-Train-Analysis-(2080s-and-2083s)?_g=(refreshInterval:(display:Off,pause:!f,section:0,value:0),time:(from:'2017-05-15T23:40:46-0600',mode:absolute,to:'2017-05-16T01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8" s="192" t="str">
        <f t="shared" si="69"/>
        <v>Y</v>
      </c>
      <c r="X218" s="192">
        <f t="shared" si="83"/>
        <v>2</v>
      </c>
      <c r="Y218" s="192">
        <f t="shared" si="70"/>
        <v>4.6199999999999998E-2</v>
      </c>
      <c r="Z218" s="192">
        <f t="shared" si="71"/>
        <v>2.3300999999999998</v>
      </c>
      <c r="AA218" s="192">
        <f t="shared" si="72"/>
        <v>2.2839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73"/>
        <v>0315-15</v>
      </c>
      <c r="AE218" s="80" t="str">
        <f t="shared" si="74"/>
        <v>aws s3 cp s3://rtdc.mdm.uploadarchive.raw/RTDC4052/ "%USERPROFILE%\AppData\Local\Temp\OnboardLogs"\RTDC4052\2017-05-16 --exclude "*" --recursive --include "*20170516*" &amp; "%USERPROFILE%\Documents\GitHub\mrs-test-scripts\Headless Mode &amp; Sideloading\WalkAndUnGZ.bat" "%USERPROFILE%\AppData\Local\Temp\OnboardLogs"\RTDC4052\2017-05-16 &amp; aws s3 cp s3://rtdc.mdm.uploadarchive.raw/RTDC4052/ "%USERPROFILE%\AppData\Local\Temp\OnboardLogs"\RTDC4052\2017-05-17 --exclude "*" --recursive --include "*20170517*" &amp; "%USERPROFILE%\Documents\GitHub\mrs-test-scripts\Headless Mode &amp; Sideloading\WalkAndUnGZ.bat" "%USERPROFILE%\AppData\Local\Temp\OnboardLogs"\RTDC4052\2017-05-17</v>
      </c>
      <c r="AF218" s="77" t="str">
        <f t="shared" si="75"/>
        <v>"C:\Program Files (x86)\AstroGrep\AstroGrep.exe" /e /r /s /spath="%USERPROFILE%\AppData\Local\Temp\OnboardLogs" /stypes="app*4052*20170516*" /stext=" 06:.+((SYSTEM_STATE.+slice.+state.+changed )|(ment ac)|(multiple cpu faults)|(system.+state.+changed )|(\[timeout)|(PRM\|1\|D)|(kpr)|(kdp)|(train st.+moving)|(\|lc)|(penalty))"</v>
      </c>
      <c r="AG218" s="1" t="str">
        <f t="shared" si="76"/>
        <v>Other</v>
      </c>
      <c r="AH218" s="81" t="str">
        <f t="shared" si="77"/>
        <v>"%USERPROFILE%\Documents\GitHub\eaglep3\Utilities\RefineRTDCRunTimes.py" --tripid 315-15 --locoid 4052 --swversion DE.1.0.9.0 --startMP 204:462 --initTime 2017-05-16T00:40:46 --startdatetime 2017-05-16T00:42:10 --delay 1 --endMP 300:23301 --enddatetime 2017-05-16T00:51:18 --enforcementcount 0 &gt;&gt;C:\Users\stu\Documents\GitHub\eaglep3-reporting\EC\2017-05-15-refined-times.txt</v>
      </c>
      <c r="AI218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{"issue":{"subject":"","project_id":79,"tracker_id":40,"status_id":1,"priority_id":2,"assigned_to_id":23,"start_date":"2017-05-16","description":"","custom_fields":[{"id":1,"name":"Subdivision","value":"Other"},{"id":4,"name":"Milepost","value":"2.3301"},{"id":17,"name":"Train ID","value":"315-15"},{"id":16,"name":"Locomotive ID","value":"4052"},{"id":130,"name":"Impact","value":""},{"id":150,"name":"Time of Event (Mountain Time)","value":"00:51:18"},{"id":151,"name":"Denver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8" s="47"/>
      <c r="AL218" s="47"/>
      <c r="AM218" s="145" t="str">
        <f t="shared" si="79"/>
        <v>start /low /b %USERPROFILE%\Documents\GitHub\eaglep3\Utilities\DownloadLogsFromS3.py --loco 4052 --day 2017-05-16</v>
      </c>
      <c r="AN218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577</v>
      </c>
      <c r="B219" s="7">
        <v>4014</v>
      </c>
      <c r="C219" s="21" t="s">
        <v>206</v>
      </c>
      <c r="D219" s="21" t="s">
        <v>1016</v>
      </c>
      <c r="E219" s="13">
        <v>42870.203611111108</v>
      </c>
      <c r="F219" s="13">
        <v>42870.207199074073</v>
      </c>
      <c r="G219" s="7">
        <v>5</v>
      </c>
      <c r="H219" s="21" t="s">
        <v>974</v>
      </c>
      <c r="I219" s="13">
        <v>42870.212870370371</v>
      </c>
      <c r="J219" s="7">
        <v>0</v>
      </c>
      <c r="K219" s="92" t="str">
        <f t="shared" si="65"/>
        <v>4013/4014</v>
      </c>
      <c r="L219" s="21" t="str">
        <f>VLOOKUP(A219,'Trips&amp;Operators'!$C$1:$G$99999,5,FALSE)</f>
        <v>DAVIS WENDY</v>
      </c>
      <c r="M219" s="6">
        <f t="shared" si="66"/>
        <v>5.6712962978053838E-3</v>
      </c>
      <c r="N219" s="7">
        <f t="shared" si="81"/>
        <v>8.1666666688397527</v>
      </c>
      <c r="O219" s="7"/>
      <c r="P219" s="7"/>
      <c r="Q219" s="22"/>
      <c r="R219" s="190"/>
      <c r="S219" s="196">
        <f t="shared" si="82"/>
        <v>0</v>
      </c>
      <c r="T219" s="190" t="str">
        <f t="shared" si="67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 t="shared" si="68"/>
        <v>https://d0f6bd738d7f1b3e5a7ca70fe4ff75f0.us-east-1.aws.found.io/app/kibana#/discover/Steve-Slow-Train-Analysis-(2080s-and-2083s)?_g=(refreshInterval:(display:Off,pause:!f,section:0,value:0),time:(from:'2017-05-15T03:53:12-0600',mode:absolute,to:'2017-05-15T06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9" s="192" t="str">
        <f t="shared" si="69"/>
        <v>Y</v>
      </c>
      <c r="X219" s="192">
        <f t="shared" si="83"/>
        <v>586</v>
      </c>
      <c r="Y219" s="192">
        <f t="shared" si="70"/>
        <v>3.0099</v>
      </c>
      <c r="Z219" s="192">
        <f t="shared" si="71"/>
        <v>5.9016000000000002</v>
      </c>
      <c r="AA219" s="192">
        <f t="shared" si="72"/>
        <v>2.8917000000000002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73"/>
        <v>0901-15</v>
      </c>
      <c r="AE219" s="80" t="str">
        <f t="shared" si="7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219" s="77" t="str">
        <f t="shared" si="75"/>
        <v>"C:\Program Files (x86)\AstroGrep\AstroGrep.exe" /e /r /s /spath="%USERPROFILE%\AppData\Local\Temp\OnboardLogs" /stypes="app*4014*20170515*" /stext=" 11:.+((SYSTEM_STATE.+slice.+state.+changed )|(ment ac)|(multiple cpu faults)|(system.+state.+changed )|(\[timeout)|(PRM\|1\|D)|(kpr)|(kdp)|(train st.+moving)|(\|lc)|(penalty))"</v>
      </c>
      <c r="AG219" s="1" t="str">
        <f t="shared" si="76"/>
        <v>Other</v>
      </c>
      <c r="AH219" s="81" t="str">
        <f t="shared" si="77"/>
        <v>"%USERPROFILE%\Documents\GitHub\eaglep3\Utilities\RefineRTDCRunTimes.py" --tripid 901-15 --locoid 4014 --swversion DE.1.0.9.0 --startMP 300:30099 --initTime 2017-05-15T04:53:12 --startdatetime 2017-05-15T04:58:22 --delay 5 --endMP 300:59016 --enddatetime 2017-05-15T05:06:32 --enforcementcount 0 &gt;&gt;C:\Users\stu\Documents\GitHub\eaglep3-reporting\EC\2017-05-15-refined-times.txt</v>
      </c>
      <c r="AI219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{"issue":{"subject":"","project_id":79,"tracker_id":40,"status_id":1,"priority_id":2,"assigned_to_id":23,"start_date":"2017-05-15","description":"","custom_fields":[{"id":1,"name":"Subdivision","value":"Other"},{"id":4,"name":"Milepost","value":"5.9016"},{"id":17,"name":"Train ID","value":"901-15"},{"id":16,"name":"Locomotive ID","value":"4014"},{"id":130,"name":"Impact","value":""},{"id":150,"name":"Time of Event (Mountain Time)","value":"05:06:32"},{"id":151,"name":"Denver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79"/>
        <v>start /low /b %USERPROFILE%\Documents\GitHub\eaglep3\Utilities\DownloadLogsFromS3.py --loco 4014 --day 2017-05-15</v>
      </c>
      <c r="AN219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11:06:32"},{"id":29,"name":"Sharepoint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655</v>
      </c>
      <c r="B220" s="7">
        <v>4031</v>
      </c>
      <c r="C220" s="21" t="s">
        <v>206</v>
      </c>
      <c r="D220" s="21" t="s">
        <v>1017</v>
      </c>
      <c r="E220" s="13">
        <v>42870.242395833331</v>
      </c>
      <c r="F220" s="13">
        <v>42870.24454861111</v>
      </c>
      <c r="G220" s="7">
        <v>3</v>
      </c>
      <c r="H220" s="21" t="s">
        <v>972</v>
      </c>
      <c r="I220" s="13">
        <v>42870.250057870369</v>
      </c>
      <c r="J220" s="7">
        <v>0</v>
      </c>
      <c r="K220" s="92" t="str">
        <f t="shared" si="65"/>
        <v>4031/4032</v>
      </c>
      <c r="L220" s="21" t="str">
        <f>VLOOKUP(A220,'Trips&amp;Operators'!$C$1:$G$99999,5,FALSE)</f>
        <v>YANAI IAN</v>
      </c>
      <c r="M220" s="6">
        <f t="shared" si="66"/>
        <v>5.5092592592700385E-3</v>
      </c>
      <c r="N220" s="7">
        <f t="shared" si="81"/>
        <v>7.9333333333488554</v>
      </c>
      <c r="O220" s="7"/>
      <c r="P220" s="7"/>
      <c r="Q220" s="22"/>
      <c r="R220" s="190"/>
      <c r="S220" s="196">
        <f t="shared" si="82"/>
        <v>1</v>
      </c>
      <c r="T220" s="190" t="str">
        <f t="shared" si="67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68"/>
        <v>https://d0f6bd738d7f1b3e5a7ca70fe4ff75f0.us-east-1.aws.found.io/app/kibana#/discover/Steve-Slow-Train-Analysis-(2080s-and-2083s)?_g=(refreshInterval:(display:Off,pause:!f,section:0,value:0),time:(from:'2017-05-15T04:49:03-0600',mode:absolute,to:'2017-05-15T07:00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0" s="192" t="str">
        <f t="shared" si="69"/>
        <v>Y</v>
      </c>
      <c r="X220" s="192">
        <f t="shared" si="83"/>
        <v>1</v>
      </c>
      <c r="Y220" s="192">
        <f t="shared" si="70"/>
        <v>2.3599000000000001</v>
      </c>
      <c r="Z220" s="192">
        <f t="shared" si="71"/>
        <v>6.5199999999999994E-2</v>
      </c>
      <c r="AA220" s="192">
        <f t="shared" si="72"/>
        <v>2.2947000000000002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73"/>
        <v>0902-15</v>
      </c>
      <c r="AE220" s="80" t="str">
        <f t="shared" si="7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220" s="77" t="str">
        <f t="shared" si="75"/>
        <v>"C:\Program Files (x86)\AstroGrep\AstroGrep.exe" /e /r /s /spath="%USERPROFILE%\AppData\Local\Temp\OnboardLogs" /stypes="app*4031*20170515*" /stext=" 12:.+((SYSTEM_STATE.+slice.+state.+changed )|(ment ac)|(multiple cpu faults)|(system.+state.+changed )|(\[timeout)|(PRM\|1\|D)|(kpr)|(kdp)|(train st.+moving)|(\|lc)|(penalty))"</v>
      </c>
      <c r="AG220" s="1" t="str">
        <f t="shared" si="76"/>
        <v>Other</v>
      </c>
      <c r="AH220" s="81" t="str">
        <f t="shared" si="77"/>
        <v>"%USERPROFILE%\Documents\GitHub\eaglep3\Utilities\RefineRTDCRunTimes.py" --tripid 902-15 --locoid 4031 --swversion DE.1.0.9.0 --startMP 300:23599 --initTime 2017-05-15T05:49:03 --startdatetime 2017-05-15T05:52:09 --delay 3 --endMP 204:652 --enddatetime 2017-05-15T06:00:05 --enforcementcount 0 &gt;&gt;C:\Users\stu\Documents\GitHub\eaglep3-reporting\EC\2017-05-15-refined-times.txt</v>
      </c>
      <c r="AI220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{"issue":{"subject":"","project_id":79,"tracker_id":40,"status_id":1,"priority_id":2,"assigned_to_id":23,"start_date":"2017-05-15","description":"","custom_fields":[{"id":1,"name":"Subdivision","value":"Other"},{"id":4,"name":"Milepost","value":"0.0652"},{"id":17,"name":"Train ID","value":"902-15"},{"id":16,"name":"Locomotive ID","value":"4031"},{"id":130,"name":"Impact","value":""},{"id":150,"name":"Time of Event (Mountain Time)","value":"06:00:05"},{"id":151,"name":"Denver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79"/>
        <v>start /low /b %USERPROFILE%\Documents\GitHub\eaglep3\Utilities\DownloadLogsFromS3.py --loco 4031 --day 2017-05-15</v>
      </c>
      <c r="AN220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12:00:05"},{"id":29,"name":"Sharepoint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2" t="s">
        <v>686</v>
      </c>
      <c r="B221" s="7">
        <v>4014</v>
      </c>
      <c r="C221" s="21" t="s">
        <v>206</v>
      </c>
      <c r="D221" s="21" t="s">
        <v>1018</v>
      </c>
      <c r="E221" s="13">
        <v>42870.352141203701</v>
      </c>
      <c r="F221" s="13">
        <v>42870.35429398148</v>
      </c>
      <c r="G221" s="7">
        <v>0</v>
      </c>
      <c r="H221" s="21" t="s">
        <v>1019</v>
      </c>
      <c r="I221" s="13">
        <v>42870.360439814816</v>
      </c>
      <c r="J221" s="7">
        <v>0</v>
      </c>
      <c r="K221" s="92" t="str">
        <f t="shared" si="65"/>
        <v>4013/4014</v>
      </c>
      <c r="L221" s="21" t="str">
        <f>VLOOKUP(A221,'Trips&amp;Operators'!$C$1:$G$99999,5,FALSE)</f>
        <v>DAVIS WENDY</v>
      </c>
      <c r="M221" s="6">
        <f t="shared" si="66"/>
        <v>6.1458333366317675E-3</v>
      </c>
      <c r="N221" s="7">
        <f t="shared" si="81"/>
        <v>8.8500000047497451</v>
      </c>
      <c r="O221" s="7"/>
      <c r="P221" s="7"/>
      <c r="Q221" s="22"/>
      <c r="R221" s="190"/>
      <c r="S221" s="196">
        <f t="shared" si="82"/>
        <v>1</v>
      </c>
      <c r="T221" s="190" t="str">
        <f t="shared" si="67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68"/>
        <v>https://d0f6bd738d7f1b3e5a7ca70fe4ff75f0.us-east-1.aws.found.io/app/kibana#/discover/Steve-Slow-Train-Analysis-(2080s-and-2083s)?_g=(refreshInterval:(display:Off,pause:!f,section:0,value:0),time:(from:'2017-05-15T07:27:05-0600',mode:absolute,to:'2017-05-15T09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1" s="192" t="str">
        <f t="shared" si="69"/>
        <v>Y</v>
      </c>
      <c r="X221" s="192">
        <f t="shared" si="83"/>
        <v>1</v>
      </c>
      <c r="Y221" s="192">
        <f t="shared" si="70"/>
        <v>0.1062</v>
      </c>
      <c r="Z221" s="192">
        <f t="shared" si="71"/>
        <v>2.5448</v>
      </c>
      <c r="AA221" s="192">
        <f t="shared" si="72"/>
        <v>2.4386000000000001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73"/>
        <v>0903-15</v>
      </c>
      <c r="AE221" s="80" t="str">
        <f t="shared" si="74"/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AF221" s="77" t="str">
        <f t="shared" si="75"/>
        <v>"C:\Program Files (x86)\AstroGrep\AstroGrep.exe" /e /r /s /spath="%USERPROFILE%\AppData\Local\Temp\OnboardLogs" /stypes="app*4014*20170515*" /stext=" 14:.+((SYSTEM_STATE.+slice.+state.+changed )|(ment ac)|(multiple cpu faults)|(system.+state.+changed )|(\[timeout)|(PRM\|1\|D)|(kpr)|(kdp)|(train st.+moving)|(\|lc)|(penalty))"</v>
      </c>
      <c r="AG221" s="1" t="str">
        <f t="shared" si="76"/>
        <v>Other</v>
      </c>
      <c r="AH221" s="81" t="str">
        <f t="shared" si="77"/>
        <v>"%USERPROFILE%\Documents\GitHub\eaglep3\Utilities\RefineRTDCRunTimes.py" --tripid 903-15 --locoid 4014 --swversion DE.1.0.9.0 --startMP 204:1062 --initTime 2017-05-15T08:27:05 --startdatetime 2017-05-15T08:30:11 --delay 0 --endMP 300:25448 --enddatetime 2017-05-15T08:39:02 --enforcementcount 0 &gt;&gt;C:\Users\stu\Documents\GitHub\eaglep3-reporting\EC\2017-05-15-refined-times.txt</v>
      </c>
      <c r="AI221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{"issue":{"subject":"","project_id":79,"tracker_id":40,"status_id":1,"priority_id":2,"assigned_to_id":23,"start_date":"2017-05-15","description":"","custom_fields":[{"id":1,"name":"Subdivision","value":"Other"},{"id":4,"name":"Milepost","value":"2.5448"},{"id":17,"name":"Train ID","value":"903-15"},{"id":16,"name":"Locomotive ID","value":"4014"},{"id":130,"name":"Impact","value":""},{"id":150,"name":"Time of Event (Mountain Time)","value":"08:39:02"},{"id":151,"name":"Denver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79"/>
        <v>start /low /b %USERPROFILE%\Documents\GitHub\eaglep3\Utilities\DownloadLogsFromS3.py --loco 4014 --day 2017-05-15</v>
      </c>
      <c r="AN221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14:39:02"},{"id":29,"name":"Sharepoint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746</v>
      </c>
      <c r="B222" s="7">
        <v>4013</v>
      </c>
      <c r="C222" s="21" t="s">
        <v>206</v>
      </c>
      <c r="D222" s="21" t="s">
        <v>1020</v>
      </c>
      <c r="E222" s="13">
        <v>42870.63486111111</v>
      </c>
      <c r="F222" s="13">
        <v>42870.636331018519</v>
      </c>
      <c r="G222" s="7">
        <v>2</v>
      </c>
      <c r="H222" s="21" t="s">
        <v>1021</v>
      </c>
      <c r="I222" s="13">
        <v>42870.642361111109</v>
      </c>
      <c r="J222" s="7">
        <v>0</v>
      </c>
      <c r="K222" s="92" t="str">
        <f t="shared" si="65"/>
        <v>4013/4014</v>
      </c>
      <c r="L222" s="21" t="str">
        <f>VLOOKUP(A222,'Trips&amp;Operators'!$C$1:$G$99999,5,FALSE)</f>
        <v>NEWELL JAMES</v>
      </c>
      <c r="M222" s="6">
        <f t="shared" si="66"/>
        <v>6.0300925906631164E-3</v>
      </c>
      <c r="N222" s="7">
        <f t="shared" si="81"/>
        <v>8.6833333305548877</v>
      </c>
      <c r="O222" s="7"/>
      <c r="P222" s="7"/>
      <c r="Q222" s="22"/>
      <c r="R222" s="190"/>
      <c r="S222" s="196">
        <f t="shared" si="82"/>
        <v>1</v>
      </c>
      <c r="T222" s="190" t="str">
        <f t="shared" si="67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68"/>
        <v>https://d0f6bd738d7f1b3e5a7ca70fe4ff75f0.us-east-1.aws.found.io/app/kibana#/discover/Steve-Slow-Train-Analysis-(2080s-and-2083s)?_g=(refreshInterval:(display:Off,pause:!f,section:0,value:0),time:(from:'2017-05-15T14:14:12-0600',mode:absolute,to:'2017-05-15T16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92" t="str">
        <f t="shared" si="69"/>
        <v>Y</v>
      </c>
      <c r="X222" s="192">
        <f t="shared" si="83"/>
        <v>1</v>
      </c>
      <c r="Y222" s="192">
        <f t="shared" si="70"/>
        <v>2.3580000000000001</v>
      </c>
      <c r="Z222" s="192">
        <f t="shared" si="71"/>
        <v>6.7100000000000007E-2</v>
      </c>
      <c r="AA222" s="192">
        <f t="shared" si="72"/>
        <v>2.2909000000000002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73"/>
        <v>0904-15</v>
      </c>
      <c r="AE222" s="80" t="str">
        <f t="shared" si="7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222" s="77" t="str">
        <f t="shared" si="75"/>
        <v>"C:\Program Files (x86)\AstroGrep\AstroGrep.exe" /e /r /s /spath="%USERPROFILE%\AppData\Local\Temp\OnboardLogs" /stypes="app*4013*20170515*" /stext=" 21:.+((SYSTEM_STATE.+slice.+state.+changed )|(ment ac)|(multiple cpu faults)|(system.+state.+changed )|(\[timeout)|(PRM\|1\|D)|(kpr)|(kdp)|(train st.+moving)|(\|lc)|(penalty))"</v>
      </c>
      <c r="AG222" s="1" t="str">
        <f t="shared" si="76"/>
        <v>Other</v>
      </c>
      <c r="AH222" s="81" t="str">
        <f t="shared" si="77"/>
        <v>"%USERPROFILE%\Documents\GitHub\eaglep3\Utilities\RefineRTDCRunTimes.py" --tripid 904-15 --locoid 4013 --swversion DE.1.0.9.0 --startMP 300:23580 --initTime 2017-05-15T15:14:12 --startdatetime 2017-05-15T15:16:19 --delay 2 --endMP 204:671 --enddatetime 2017-05-15T15:25:00 --enforcementcount 0 &gt;&gt;C:\Users\stu\Documents\GitHub\eaglep3-reporting\EC\2017-05-15-refined-times.txt</v>
      </c>
      <c r="AI222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{"issue":{"subject":"","project_id":79,"tracker_id":40,"status_id":1,"priority_id":2,"assigned_to_id":23,"start_date":"2017-05-15","description":"","custom_fields":[{"id":1,"name":"Subdivision","value":"Other"},{"id":4,"name":"Milepost","value":"0.0671"},{"id":17,"name":"Train ID","value":"904-15"},{"id":16,"name":"Locomotive ID","value":"4013"},{"id":130,"name":"Impact","value":""},{"id":150,"name":"Time of Event (Mountain Time)","value":"15:25:00"},{"id":151,"name":"Denver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79"/>
        <v>start /low /b %USERPROFILE%\Documents\GitHub\eaglep3\Utilities\DownloadLogsFromS3.py --loco 4013 --day 2017-05-15</v>
      </c>
      <c r="AN222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746</v>
      </c>
      <c r="B223" s="7">
        <v>4013</v>
      </c>
      <c r="C223" s="21" t="s">
        <v>206</v>
      </c>
      <c r="D223" s="21" t="s">
        <v>1022</v>
      </c>
      <c r="E223" s="13">
        <v>42870.632731481484</v>
      </c>
      <c r="F223" s="13">
        <v>42870.636331018519</v>
      </c>
      <c r="G223" s="7">
        <v>1</v>
      </c>
      <c r="H223" s="21" t="s">
        <v>1023</v>
      </c>
      <c r="I223" s="13">
        <v>42870.642361111109</v>
      </c>
      <c r="J223" s="7">
        <v>0</v>
      </c>
      <c r="K223" s="92" t="str">
        <f t="shared" si="65"/>
        <v>4013/4014</v>
      </c>
      <c r="L223" s="21" t="str">
        <f>VLOOKUP(A223,'Trips&amp;Operators'!$C$1:$G$99999,5,FALSE)</f>
        <v>NEWELL JAMES</v>
      </c>
      <c r="M223" s="6">
        <f t="shared" si="66"/>
        <v>6.0300925906631164E-3</v>
      </c>
      <c r="N223" s="7">
        <f t="shared" si="81"/>
        <v>8.6833333305548877</v>
      </c>
      <c r="O223" s="7"/>
      <c r="P223" s="7"/>
      <c r="Q223" s="22"/>
      <c r="R223" s="190"/>
      <c r="S223" s="196">
        <f t="shared" si="82"/>
        <v>0</v>
      </c>
      <c r="T223" s="190" t="str">
        <f t="shared" si="67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68"/>
        <v>https://d0f6bd738d7f1b3e5a7ca70fe4ff75f0.us-east-1.aws.found.io/app/kibana#/discover/Steve-Slow-Train-Analysis-(2080s-and-2083s)?_g=(refreshInterval:(display:Off,pause:!f,section:0,value:0),time:(from:'2017-05-15T14:11:08-0600',mode:absolute,to:'2017-05-15T16:25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3" s="192" t="str">
        <f t="shared" si="69"/>
        <v>Y</v>
      </c>
      <c r="X223" s="192">
        <f t="shared" si="83"/>
        <v>0</v>
      </c>
      <c r="Y223" s="192">
        <f t="shared" si="70"/>
        <v>2.5118</v>
      </c>
      <c r="Z223" s="192">
        <f t="shared" si="71"/>
        <v>2.5127999999999999</v>
      </c>
      <c r="AA223" s="192">
        <f t="shared" si="72"/>
        <v>9.9999999999988987E-4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73"/>
        <v>0904-15</v>
      </c>
      <c r="AE223" s="80" t="str">
        <f t="shared" si="7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223" s="77" t="str">
        <f t="shared" si="75"/>
        <v>"C:\Program Files (x86)\AstroGrep\AstroGrep.exe" /e /r /s /spath="%USERPROFILE%\AppData\Local\Temp\OnboardLogs" /stypes="app*4013*20170515*" /stext=" 21:.+((SYSTEM_STATE.+slice.+state.+changed )|(ment ac)|(multiple cpu faults)|(system.+state.+changed )|(\[timeout)|(PRM\|1\|D)|(kpr)|(kdp)|(train st.+moving)|(\|lc)|(penalty))"</v>
      </c>
      <c r="AG223" s="1" t="str">
        <f t="shared" si="76"/>
        <v>Other</v>
      </c>
      <c r="AH223" s="81" t="str">
        <f t="shared" si="77"/>
        <v>"%USERPROFILE%\Documents\GitHub\eaglep3\Utilities\RefineRTDCRunTimes.py" --tripid 904-15 --locoid 4013 --swversion DE.1.0.9.0 --startMP 300:25118 --initTime 2017-05-15T15:11:08 --startdatetime 2017-05-15T15:16:19 --delay 1 --endMP 300:25128 --enddatetime 2017-05-15T15:25:00 --enforcementcount 0 &gt;&gt;C:\Users\stu\Documents\GitHub\eaglep3-reporting\EC\2017-05-15-refined-times.txt</v>
      </c>
      <c r="AI223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{"issue":{"subject":"","project_id":79,"tracker_id":40,"status_id":1,"priority_id":2,"assigned_to_id":23,"start_date":"2017-05-15","description":"","custom_fields":[{"id":1,"name":"Subdivision","value":"Other"},{"id":4,"name":"Milepost","value":"2.5128"},{"id":17,"name":"Train ID","value":"904-15"},{"id":16,"name":"Locomotive ID","value":"4013"},{"id":130,"name":"Impact","value":""},{"id":150,"name":"Time of Event (Mountain Time)","value":"15:25:00"},{"id":151,"name":"Denver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79"/>
        <v>start /low /b %USERPROFILE%\Documents\GitHub\eaglep3\Utilities\DownloadLogsFromS3.py --loco 4013 --day 2017-05-15</v>
      </c>
      <c r="AN223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21:25:00"},{"id":29,"name":"Sharepoint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786</v>
      </c>
      <c r="B224" s="7">
        <v>4013</v>
      </c>
      <c r="C224" s="21" t="s">
        <v>206</v>
      </c>
      <c r="D224" s="21" t="s">
        <v>558</v>
      </c>
      <c r="E224" s="13">
        <v>42870.795752314814</v>
      </c>
      <c r="F224" s="13">
        <v>42870.796875</v>
      </c>
      <c r="G224" s="7">
        <v>1</v>
      </c>
      <c r="H224" s="21" t="s">
        <v>1024</v>
      </c>
      <c r="I224" s="13">
        <v>42870.803564814814</v>
      </c>
      <c r="J224" s="7">
        <v>0</v>
      </c>
      <c r="K224" s="92" t="str">
        <f t="shared" si="65"/>
        <v>4013/4014</v>
      </c>
      <c r="L224" s="21" t="str">
        <f>VLOOKUP(A224,'Trips&amp;Operators'!$C$1:$G$99999,5,FALSE)</f>
        <v>NEWELL JAMES</v>
      </c>
      <c r="M224" s="6">
        <f t="shared" si="66"/>
        <v>6.6898148143081926E-3</v>
      </c>
      <c r="N224" s="7">
        <f t="shared" si="81"/>
        <v>9.6333333326037973</v>
      </c>
      <c r="O224" s="7"/>
      <c r="P224" s="7"/>
      <c r="Q224" s="22"/>
      <c r="R224" s="190"/>
      <c r="S224" s="196">
        <f t="shared" si="82"/>
        <v>0</v>
      </c>
      <c r="T224" s="190" t="str">
        <f t="shared" si="67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68"/>
        <v>https://d0f6bd738d7f1b3e5a7ca70fe4ff75f0.us-east-1.aws.found.io/app/kibana#/discover/Steve-Slow-Train-Analysis-(2080s-and-2083s)?_g=(refreshInterval:(display:Off,pause:!f,section:0,value:0),time:(from:'2017-05-15T18:05:53-0600',mode:absolute,to:'2017-05-15T20:17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92" t="str">
        <f t="shared" si="69"/>
        <v>Y</v>
      </c>
      <c r="X224" s="192">
        <f t="shared" si="83"/>
        <v>2</v>
      </c>
      <c r="Y224" s="192">
        <f t="shared" si="70"/>
        <v>5.8620999999999999</v>
      </c>
      <c r="Z224" s="192">
        <f t="shared" si="71"/>
        <v>2.8786</v>
      </c>
      <c r="AA224" s="192">
        <f t="shared" si="72"/>
        <v>2.9834999999999998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73"/>
        <v>0906-15</v>
      </c>
      <c r="AE224" s="80" t="str">
        <f t="shared" si="74"/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AF224" s="77" t="str">
        <f t="shared" si="75"/>
        <v>"C:\Program Files (x86)\AstroGrep\AstroGrep.exe" /e /r /s /spath="%USERPROFILE%\AppData\Local\Temp\OnboardLogs" /stypes="app*4013*20170516*" /stext=" 01:.+((SYSTEM_STATE.+slice.+state.+changed )|(ment ac)|(multiple cpu faults)|(system.+state.+changed )|(\[timeout)|(PRM\|1\|D)|(kpr)|(kdp)|(train st.+moving)|(\|lc)|(penalty))"</v>
      </c>
      <c r="AG224" s="1" t="str">
        <f t="shared" si="76"/>
        <v>Other</v>
      </c>
      <c r="AH224" s="81" t="str">
        <f t="shared" si="77"/>
        <v>"%USERPROFILE%\Documents\GitHub\eaglep3\Utilities\RefineRTDCRunTimes.py" --tripid 906-15 --locoid 4013 --swversion DE.1.0.9.0 --startMP 300:58621 --initTime 2017-05-15T19:05:53 --startdatetime 2017-05-15T19:07:30 --delay 1 --endMP 300:28786 --enddatetime 2017-05-15T19:17:08 --enforcementcount 0 &gt;&gt;C:\Users\stu\Documents\GitHub\eaglep3-reporting\EC\2017-05-15-refined-times.txt</v>
      </c>
      <c r="AI224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{"issue":{"subject":"","project_id":79,"tracker_id":40,"status_id":1,"priority_id":2,"assigned_to_id":23,"start_date":"2017-05-15","description":"","custom_fields":[{"id":1,"name":"Subdivision","value":"Other"},{"id":4,"name":"Milepost","value":"2.8786"},{"id":17,"name":"Train ID","value":"906-15"},{"id":16,"name":"Locomotive ID","value":"4013"},{"id":130,"name":"Impact","value":""},{"id":150,"name":"Time of Event (Mountain Time)","value":"19:17:08"},{"id":151,"name":"Denver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79"/>
        <v>start /low /b %USERPROFILE%\Documents\GitHub\eaglep3\Utilities\DownloadLogsFromS3.py --loco 4013 --day 2017-05-15</v>
      </c>
      <c r="AN224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01:17:08"},{"id":29,"name":"Sharepoint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809</v>
      </c>
      <c r="B225" s="7">
        <v>4031</v>
      </c>
      <c r="C225" s="21" t="s">
        <v>206</v>
      </c>
      <c r="D225" s="21" t="s">
        <v>560</v>
      </c>
      <c r="E225" s="13">
        <v>42870.941562499997</v>
      </c>
      <c r="F225" s="13">
        <v>42870.943379629629</v>
      </c>
      <c r="G225" s="7">
        <v>1</v>
      </c>
      <c r="H225" s="21" t="s">
        <v>1025</v>
      </c>
      <c r="I225" s="13">
        <v>42870.947835648149</v>
      </c>
      <c r="J225" s="7">
        <v>0</v>
      </c>
      <c r="K225" s="92" t="str">
        <f t="shared" si="65"/>
        <v>4031/4032</v>
      </c>
      <c r="L225" s="21" t="str">
        <f>VLOOKUP(A225,'Trips&amp;Operators'!$C$1:$G$99999,5,FALSE)</f>
        <v>NEWELL JAMES</v>
      </c>
      <c r="M225" s="6">
        <f t="shared" si="66"/>
        <v>4.4560185197042301E-3</v>
      </c>
      <c r="N225" s="7">
        <f t="shared" si="81"/>
        <v>6.4166666683740914</v>
      </c>
      <c r="O225" s="7"/>
      <c r="P225" s="7"/>
      <c r="Q225" s="22"/>
      <c r="R225" s="190"/>
      <c r="S225" s="196">
        <f t="shared" si="82"/>
        <v>0</v>
      </c>
      <c r="T225" s="190" t="str">
        <f t="shared" si="67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68"/>
        <v>https://d0f6bd738d7f1b3e5a7ca70fe4ff75f0.us-east-1.aws.found.io/app/kibana#/discover/Steve-Slow-Train-Analysis-(2080s-and-2083s)?_g=(refreshInterval:(display:Off,pause:!f,section:0,value:0),time:(from:'2017-05-15T21:35:51-0600',mode:absolute,to:'2017-05-15T23:44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5" s="192" t="str">
        <f t="shared" si="69"/>
        <v>Y</v>
      </c>
      <c r="X225" s="192">
        <f t="shared" si="83"/>
        <v>2</v>
      </c>
      <c r="Y225" s="192">
        <f t="shared" si="70"/>
        <v>5.8611000000000004</v>
      </c>
      <c r="Z225" s="192">
        <f t="shared" si="71"/>
        <v>2.1842000000000001</v>
      </c>
      <c r="AA225" s="192">
        <f t="shared" si="72"/>
        <v>3.6769000000000003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73"/>
        <v>0908-15</v>
      </c>
      <c r="AE225" s="80" t="str">
        <f t="shared" si="74"/>
        <v>aws s3 cp s3://rtdc.mdm.uploadarchive.raw/RTDC4031/ "%USERPROFILE%\AppData\Local\Temp\OnboardLogs"\RTDC4031\2017-05-15 --exclude "*" --recursive --include "*20170515*" &amp; "%USERPROFILE%\Documents\GitHub\mrs-test-scripts\Headless Mode &amp; Sideloading\WalkAndUnGZ.bat" "%USERPROFILE%\AppData\Local\Temp\OnboardLogs"\RTDC4031\2017-05-15 &amp; aws s3 cp s3://rtdc.mdm.uploadarchive.raw/RTDC4031/ "%USERPROFILE%\AppData\Local\Temp\OnboardLogs"\RTDC4031\2017-05-16 --exclude "*" --recursive --include "*20170516*" &amp; "%USERPROFILE%\Documents\GitHub\mrs-test-scripts\Headless Mode &amp; Sideloading\WalkAndUnGZ.bat" "%USERPROFILE%\AppData\Local\Temp\OnboardLogs"\RTDC4031\2017-05-16</v>
      </c>
      <c r="AF225" s="77" t="str">
        <f t="shared" si="75"/>
        <v>"C:\Program Files (x86)\AstroGrep\AstroGrep.exe" /e /r /s /spath="%USERPROFILE%\AppData\Local\Temp\OnboardLogs" /stypes="app*4031*20170516*" /stext=" 04:.+((SYSTEM_STATE.+slice.+state.+changed )|(ment ac)|(multiple cpu faults)|(system.+state.+changed )|(\[timeout)|(PRM\|1\|D)|(kpr)|(kdp)|(train st.+moving)|(\|lc)|(penalty))"</v>
      </c>
      <c r="AG225" s="1" t="str">
        <f t="shared" si="76"/>
        <v>Other</v>
      </c>
      <c r="AH225" s="81" t="str">
        <f t="shared" si="77"/>
        <v>"%USERPROFILE%\Documents\GitHub\eaglep3\Utilities\RefineRTDCRunTimes.py" --tripid 908-15 --locoid 4031 --swversion DE.1.0.9.0 --startMP 300:58611 --initTime 2017-05-15T22:35:51 --startdatetime 2017-05-15T22:38:28 --delay 1 --endMP 300:21842 --enddatetime 2017-05-15T22:44:53 --enforcementcount 0 &gt;&gt;C:\Users\stu\Documents\GitHub\eaglep3-reporting\EC\2017-05-15-refined-times.txt</v>
      </c>
      <c r="AI225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{"issue":{"subject":"","project_id":79,"tracker_id":40,"status_id":1,"priority_id":2,"assigned_to_id":23,"start_date":"2017-05-15","description":"","custom_fields":[{"id":1,"name":"Subdivision","value":"Other"},{"id":4,"name":"Milepost","value":"2.1842"},{"id":17,"name":"Train ID","value":"908-15"},{"id":16,"name":"Locomotive ID","value":"4031"},{"id":130,"name":"Impact","value":""},{"id":150,"name":"Time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79"/>
        <v>start /low /b %USERPROFILE%\Documents\GitHub\eaglep3\Utilities\DownloadLogsFromS3.py --loco 4031 --day 2017-05-15</v>
      </c>
      <c r="AN225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658</v>
      </c>
      <c r="B226" s="7">
        <v>4021</v>
      </c>
      <c r="C226" s="21" t="s">
        <v>206</v>
      </c>
      <c r="D226" s="21" t="s">
        <v>923</v>
      </c>
      <c r="E226" s="13">
        <v>42870.256111111114</v>
      </c>
      <c r="F226" s="13">
        <v>42870.257719907408</v>
      </c>
      <c r="G226" s="7">
        <v>1</v>
      </c>
      <c r="H226" s="21" t="s">
        <v>924</v>
      </c>
      <c r="I226" s="13">
        <v>42870.258738425924</v>
      </c>
      <c r="J226" s="7">
        <v>0</v>
      </c>
      <c r="K226" s="92" t="str">
        <f t="shared" si="65"/>
        <v>4021/4022</v>
      </c>
      <c r="L226" s="21" t="str">
        <f>VLOOKUP(A226,'Trips&amp;Operators'!$C$1:$G$99999,5,FALSE)</f>
        <v>SPECTOR MICHAEL</v>
      </c>
      <c r="M226" s="6">
        <f t="shared" si="66"/>
        <v>1.0185185165028088E-3</v>
      </c>
      <c r="N226" s="7">
        <f t="shared" si="81"/>
        <v>1.4666666637640446</v>
      </c>
      <c r="O226" s="7"/>
      <c r="P226" s="7"/>
      <c r="Q226" s="22"/>
      <c r="R226" s="190"/>
      <c r="S226" s="196">
        <f t="shared" si="82"/>
        <v>0</v>
      </c>
      <c r="T226" s="190" t="e">
        <f t="shared" si="67"/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68"/>
        <v>https://d0f6bd738d7f1b3e5a7ca70fe4ff75f0.us-east-1.aws.found.io/app/kibana#/discover/Steve-Slow-Train-Analysis-(2080s-and-2083s)?_g=(refreshInterval:(display:Off,pause:!f,section:0,value:0),time:(from:'2017-05-15T05:08:48-0600',mode:absolute,to:'2017-05-15T07:12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26" s="192" t="str">
        <f t="shared" si="69"/>
        <v>Y</v>
      </c>
      <c r="X226" s="192" t="e">
        <f t="shared" si="83"/>
        <v>#VALUE!</v>
      </c>
      <c r="Y226" s="192">
        <f t="shared" si="70"/>
        <v>0.32329999999999998</v>
      </c>
      <c r="Z226" s="192">
        <f t="shared" si="71"/>
        <v>0.1164</v>
      </c>
      <c r="AA226" s="192">
        <f t="shared" si="72"/>
        <v>0.20689999999999997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73"/>
        <v>50-15</v>
      </c>
      <c r="AE226" s="80" t="str">
        <f t="shared" si="74"/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AF226" s="77" t="str">
        <f t="shared" si="75"/>
        <v>"C:\Program Files (x86)\AstroGrep\AstroGrep.exe" /e /r /s /spath="%USERPROFILE%\AppData\Local\Temp\OnboardLogs" /stypes="app*4021*20170515*" /stext=" 12:.+((SYSTEM_STATE.+slice.+state.+changed )|(ment ac)|(multiple cpu faults)|(system.+state.+changed )|(\[timeout)|(PRM\|1\|D)|(kpr)|(kdp)|(train st.+moving)|(\|lc)|(penalty))"</v>
      </c>
      <c r="AG226" s="1" t="str">
        <f t="shared" si="76"/>
        <v>Other</v>
      </c>
      <c r="AH226" s="81" t="str">
        <f t="shared" si="77"/>
        <v>"%USERPROFILE%\Documents\GitHub\eaglep3\Utilities\RefineRTDCRunTimes.py" --tripid 50-15 --locoid 4021 --swversion DE.1.0.9.0 --startMP 204:3233 --initTime 2017-05-15T06:08:48 --startdatetime 2017-05-15T06:11:07 --delay 1 --endMP 204:1164 --enddatetime 2017-05-15T06:12:35 --enforcementcount 0 &gt;&gt;C:\Users\stu\Documents\GitHub\eaglep3-reporting\EC\2017-05-15-refined-times.txt</v>
      </c>
      <c r="AI226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{"issue":{"subject":"","project_id":79,"tracker_id":40,"status_id":1,"priority_id":2,"assigned_to_id":23,"start_date":"2017-05-15","description":"","custom_fields":[{"id":1,"name":"Subdivision","value":"Other"},{"id":4,"name":"Milepost","value":"0.1164"},{"id":17,"name":"Train ID","value":"50-15"},{"id":16,"name":"Locomotive ID","value":"4021"},{"id":130,"name":"Impact","value":""},{"id":150,"name":"Time of Event (Mountain Time)","value":"06:12:35"},{"id":151,"name":"Denver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79"/>
        <v>start /low /b %USERPROFILE%\Documents\GitHub\eaglep3\Utilities\DownloadLogsFromS3.py --loco 4021 --day 2017-05-15</v>
      </c>
      <c r="AN226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12:12:35"},{"id":29,"name":"Sharepoint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658</v>
      </c>
      <c r="B227" s="7">
        <v>4022</v>
      </c>
      <c r="C227" s="21" t="s">
        <v>206</v>
      </c>
      <c r="D227" s="21" t="s">
        <v>555</v>
      </c>
      <c r="E227" s="13">
        <v>42870.248715277776</v>
      </c>
      <c r="F227" s="13">
        <v>42870.257719907408</v>
      </c>
      <c r="G227" s="7">
        <v>1</v>
      </c>
      <c r="H227" s="21" t="s">
        <v>925</v>
      </c>
      <c r="I227" s="13">
        <v>42870.258738425924</v>
      </c>
      <c r="J227" s="7">
        <v>0</v>
      </c>
      <c r="K227" s="92" t="str">
        <f t="shared" si="65"/>
        <v>4021/4022</v>
      </c>
      <c r="L227" s="21" t="str">
        <f>VLOOKUP(A227,'Trips&amp;Operators'!$C$1:$G$99999,5,FALSE)</f>
        <v>SPECTOR MICHAEL</v>
      </c>
      <c r="M227" s="6">
        <f t="shared" si="66"/>
        <v>1.0185185165028088E-3</v>
      </c>
      <c r="N227" s="7">
        <f t="shared" si="81"/>
        <v>1.4666666637640446</v>
      </c>
      <c r="O227" s="7"/>
      <c r="P227" s="7"/>
      <c r="Q227" s="22"/>
      <c r="R227" s="190"/>
      <c r="S227" s="196">
        <f t="shared" si="82"/>
        <v>0</v>
      </c>
      <c r="T227" s="190" t="e">
        <f t="shared" si="67"/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68"/>
        <v>https://d0f6bd738d7f1b3e5a7ca70fe4ff75f0.us-east-1.aws.found.io/app/kibana#/discover/Steve-Slow-Train-Analysis-(2080s-and-2083s)?_g=(refreshInterval:(display:Off,pause:!f,section:0,value:0),time:(from:'2017-05-15T04:58:09-0600',mode:absolute,to:'2017-05-15T07:12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27" s="192" t="str">
        <f t="shared" si="69"/>
        <v>Y</v>
      </c>
      <c r="X227" s="192" t="e">
        <f t="shared" si="83"/>
        <v>#VALUE!</v>
      </c>
      <c r="Y227" s="192">
        <f t="shared" si="70"/>
        <v>4.7300000000000002E-2</v>
      </c>
      <c r="Z227" s="192">
        <f t="shared" si="71"/>
        <v>0.35289999999999999</v>
      </c>
      <c r="AA227" s="192">
        <f t="shared" si="72"/>
        <v>0.30559999999999998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73"/>
        <v>50-15</v>
      </c>
      <c r="AE227" s="80" t="str">
        <f t="shared" si="74"/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AF227" s="77" t="str">
        <f t="shared" si="75"/>
        <v>"C:\Program Files (x86)\AstroGrep\AstroGrep.exe" /e /r /s /spath="%USERPROFILE%\AppData\Local\Temp\OnboardLogs" /stypes="app*4022*20170515*" /stext=" 12:.+((SYSTEM_STATE.+slice.+state.+changed )|(ment ac)|(multiple cpu faults)|(system.+state.+changed )|(\[timeout)|(PRM\|1\|D)|(kpr)|(kdp)|(train st.+moving)|(\|lc)|(penalty))"</v>
      </c>
      <c r="AG227" s="1" t="str">
        <f t="shared" si="76"/>
        <v>Other</v>
      </c>
      <c r="AH227" s="81" t="str">
        <f t="shared" si="77"/>
        <v>"%USERPROFILE%\Documents\GitHub\eaglep3\Utilities\RefineRTDCRunTimes.py" --tripid 50-15 --locoid 4022 --swversion DE.1.0.9.0 --startMP 204:473 --initTime 2017-05-15T05:58:09 --startdatetime 2017-05-15T06:11:07 --delay 1 --endMP 204:3529 --enddatetime 2017-05-15T06:12:35 --enforcementcount 0 &gt;&gt;C:\Users\stu\Documents\GitHub\eaglep3-reporting\EC\2017-05-15-refined-times.txt</v>
      </c>
      <c r="AI227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{"issue":{"subject":"","project_id":79,"tracker_id":40,"status_id":1,"priority_id":2,"assigned_to_id":23,"start_date":"2017-05-15","description":"","custom_fields":[{"id":1,"name":"Subdivision","value":"Other"},{"id":4,"name":"Milepost","value":"0.3529"},{"id":17,"name":"Train ID","value":"50-15"},{"id":16,"name":"Locomotive ID","value":"4022"},{"id":130,"name":"Impact","value":""},{"id":150,"name":"Time of Event (Mountain Time)","value":"06:12:35"},{"id":151,"name":"Denver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79"/>
        <v>start /low /b %USERPROFILE%\Documents\GitHub\eaglep3\Utilities\DownloadLogsFromS3.py --loco 4022 --day 2017-05-15</v>
      </c>
      <c r="AN227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12:12:35"},{"id":29,"name":"Sharepoint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710</v>
      </c>
      <c r="B228" s="7">
        <v>4030</v>
      </c>
      <c r="C228" s="21" t="s">
        <v>206</v>
      </c>
      <c r="D228" s="21" t="s">
        <v>926</v>
      </c>
      <c r="E228" s="13">
        <v>42870.473530092589</v>
      </c>
      <c r="F228" s="13">
        <v>42870.475671296299</v>
      </c>
      <c r="G228" s="7">
        <v>1</v>
      </c>
      <c r="H228" s="21" t="s">
        <v>927</v>
      </c>
      <c r="I228" s="13">
        <v>42870.476736111108</v>
      </c>
      <c r="J228" s="7">
        <v>0</v>
      </c>
      <c r="K228" s="92" t="str">
        <f t="shared" si="65"/>
        <v>4029/4030</v>
      </c>
      <c r="L228" s="21" t="str">
        <f>VLOOKUP(A228,'Trips&amp;Operators'!$C$1:$G$99999,5,FALSE)</f>
        <v>MAELZER KURT</v>
      </c>
      <c r="M228" s="6">
        <f t="shared" si="66"/>
        <v>1.0648148090695031E-3</v>
      </c>
      <c r="N228" s="7">
        <f t="shared" si="81"/>
        <v>1.5333333250600845</v>
      </c>
      <c r="O228" s="7"/>
      <c r="P228" s="7"/>
      <c r="Q228" s="22"/>
      <c r="R228" s="190"/>
      <c r="S228" s="196">
        <f t="shared" si="82"/>
        <v>0</v>
      </c>
      <c r="T228" s="190" t="e">
        <f t="shared" si="67"/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68"/>
        <v>https://d0f6bd738d7f1b3e5a7ca70fe4ff75f0.us-east-1.aws.found.io/app/kibana#/discover/Steve-Slow-Train-Analysis-(2080s-and-2083s)?_g=(refreshInterval:(display:Off,pause:!f,section:0,value:0),time:(from:'2017-05-15T10:21:53-0600',mode:absolute,to:'2017-05-15T12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28" s="192" t="str">
        <f t="shared" si="69"/>
        <v>Y</v>
      </c>
      <c r="X228" s="192" t="e">
        <f t="shared" si="83"/>
        <v>#VALUE!</v>
      </c>
      <c r="Y228" s="192">
        <f t="shared" si="70"/>
        <v>5.1299999999999998E-2</v>
      </c>
      <c r="Z228" s="192">
        <f t="shared" si="71"/>
        <v>0.38240000000000002</v>
      </c>
      <c r="AA228" s="192">
        <f t="shared" si="72"/>
        <v>0.33110000000000001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73"/>
        <v>51-15</v>
      </c>
      <c r="AE228" s="80" t="str">
        <f t="shared" si="7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228" s="77" t="str">
        <f t="shared" si="75"/>
        <v>"C:\Program Files (x86)\AstroGrep\AstroGrep.exe" /e /r /s /spath="%USERPROFILE%\AppData\Local\Temp\OnboardLogs" /stypes="app*4030*20170515*" /stext=" 17:.+((SYSTEM_STATE.+slice.+state.+changed )|(ment ac)|(multiple cpu faults)|(system.+state.+changed )|(\[timeout)|(PRM\|1\|D)|(kpr)|(kdp)|(train st.+moving)|(\|lc)|(penalty))"</v>
      </c>
      <c r="AG228" s="1" t="str">
        <f t="shared" si="76"/>
        <v>Other</v>
      </c>
      <c r="AH228" s="81" t="str">
        <f t="shared" si="77"/>
        <v>"%USERPROFILE%\Documents\GitHub\eaglep3\Utilities\RefineRTDCRunTimes.py" --tripid 51-15 --locoid 4030 --swversion DE.1.0.9.0 --startMP 204:513 --initTime 2017-05-15T11:21:53 --startdatetime 2017-05-15T11:24:58 --delay 1 --endMP 204:3824 --enddatetime 2017-05-15T11:26:30 --enforcementcount 0 &gt;&gt;C:\Users\stu\Documents\GitHub\eaglep3-reporting\EC\2017-05-15-refined-times.txt</v>
      </c>
      <c r="AI228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{"issue":{"subject":"","project_id":79,"tracker_id":40,"status_id":1,"priority_id":2,"assigned_to_id":23,"start_date":"2017-05-15","description":"","custom_fields":[{"id":1,"name":"Subdivision","value":"Other"},{"id":4,"name":"Milepost","value":"0.3824"},{"id":17,"name":"Train ID","value":"51-15"},{"id":16,"name":"Locomotive ID","value":"4030"},{"id":130,"name":"Impact","value":""},{"id":150,"name":"Time of Event (Mountain Time)","value":"11:26:30"},{"id":151,"name":"Denver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79"/>
        <v>start /low /b %USERPROFILE%\Documents\GitHub\eaglep3\Utilities\DownloadLogsFromS3.py --loco 4030 --day 2017-05-15</v>
      </c>
      <c r="AN228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589</v>
      </c>
      <c r="B229" s="7">
        <v>4049</v>
      </c>
      <c r="C229" s="21" t="s">
        <v>206</v>
      </c>
      <c r="D229" s="21" t="s">
        <v>928</v>
      </c>
      <c r="E229" s="13">
        <v>42870.437245370369</v>
      </c>
      <c r="F229" s="13">
        <v>42870.440497685187</v>
      </c>
      <c r="G229" s="7">
        <v>4</v>
      </c>
      <c r="H229" s="21" t="s">
        <v>929</v>
      </c>
      <c r="I229" s="13">
        <v>42870.445775462962</v>
      </c>
      <c r="J229" s="7">
        <v>0</v>
      </c>
      <c r="K229" s="92" t="str">
        <f t="shared" si="65"/>
        <v>4049/4050</v>
      </c>
      <c r="L229" s="21" t="str">
        <f>VLOOKUP(A229,'Trips&amp;Operators'!$C$1:$G$99999,5,FALSE)</f>
        <v>DAVIDSON DAVID</v>
      </c>
      <c r="M229" s="6">
        <f t="shared" si="66"/>
        <v>5.277777774608694E-3</v>
      </c>
      <c r="N229" s="7">
        <f t="shared" si="81"/>
        <v>7.5999999954365194</v>
      </c>
      <c r="O229" s="7"/>
      <c r="P229" s="7"/>
      <c r="Q229" s="22"/>
      <c r="R229" s="190"/>
      <c r="S229" s="196">
        <f t="shared" si="82"/>
        <v>0</v>
      </c>
      <c r="T229" s="190" t="e">
        <f t="shared" si="67"/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68"/>
        <v>https://d0f6bd738d7f1b3e5a7ca70fe4ff75f0.us-east-1.aws.found.io/app/kibana#/discover/Steve-Slow-Train-Analysis-(2080s-and-2083s)?_g=(refreshInterval:(display:Off,pause:!f,section:0,value:0),time:(from:'2017-05-15T09:29:38-0600',mode:absolute,to:'2017-05-15T11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9" s="192" t="str">
        <f t="shared" si="69"/>
        <v>Y</v>
      </c>
      <c r="X229" s="192" t="e">
        <f t="shared" si="83"/>
        <v>#VALUE!</v>
      </c>
      <c r="Y229" s="192">
        <f t="shared" si="70"/>
        <v>2.3451</v>
      </c>
      <c r="Z229" s="192">
        <f t="shared" si="71"/>
        <v>9.4299999999999995E-2</v>
      </c>
      <c r="AA229" s="192">
        <f t="shared" si="72"/>
        <v>2.2507999999999999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73"/>
        <v>52-15</v>
      </c>
      <c r="AE229" s="80" t="str">
        <f t="shared" si="74"/>
        <v>aws s3 cp s3://rtdc.mdm.uploadarchive.raw/RTDC4049/ "%USERPROFILE%\AppData\Local\Temp\OnboardLogs"\RTDC4049\2017-05-15 --exclude "*" --recursive --include "*20170515*" &amp; "%USERPROFILE%\Documents\GitHub\mrs-test-scripts\Headless Mode &amp; Sideloading\WalkAndUnGZ.bat" "%USERPROFILE%\AppData\Local\Temp\OnboardLogs"\RTDC4049\2017-05-15 &amp; 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</v>
      </c>
      <c r="AF229" s="77" t="str">
        <f t="shared" si="75"/>
        <v>"C:\Program Files (x86)\AstroGrep\AstroGrep.exe" /e /r /s /spath="%USERPROFILE%\AppData\Local\Temp\OnboardLogs" /stypes="app*4049*20170515*" /stext=" 16:.+((SYSTEM_STATE.+slice.+state.+changed )|(ment ac)|(multiple cpu faults)|(system.+state.+changed )|(\[timeout)|(PRM\|1\|D)|(kpr)|(kdp)|(train st.+moving)|(\|lc)|(penalty))"</v>
      </c>
      <c r="AG229" s="1" t="str">
        <f t="shared" si="76"/>
        <v>Other</v>
      </c>
      <c r="AH229" s="81" t="str">
        <f t="shared" si="77"/>
        <v>"%USERPROFILE%\Documents\GitHub\eaglep3\Utilities\RefineRTDCRunTimes.py" --tripid 52-15 --locoid 4049 --swversion DE.1.0.9.0 --startMP 300:23451 --initTime 2017-05-15T10:29:38 --startdatetime 2017-05-15T10:34:19 --delay 4 --endMP 204:943 --enddatetime 2017-05-15T10:41:55 --enforcementcount 0 &gt;&gt;C:\Users\stu\Documents\GitHub\eaglep3-reporting\EC\2017-05-15-refined-times.txt</v>
      </c>
      <c r="AI229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{"issue":{"subject":"","project_id":79,"tracker_id":40,"status_id":1,"priority_id":2,"assigned_to_id":23,"start_date":"2017-05-15","description":"","custom_fields":[{"id":1,"name":"Subdivision","value":"Other"},{"id":4,"name":"Milepost","value":"0.0943"},{"id":17,"name":"Train ID","value":"52-15"},{"id":16,"name":"Locomotive ID","value":"4049"},{"id":130,"name":"Impact","value":""},{"id":150,"name":"Time of Event (Mountain Time)","value":"10:41:55"},{"id":151,"name":"Denver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79"/>
        <v>start /low /b %USERPROFILE%\Documents\GitHub\eaglep3\Utilities\DownloadLogsFromS3.py --loco 4049 --day 2017-05-15</v>
      </c>
      <c r="AN229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16:41:55"},{"id":29,"name":"Sharepoint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711</v>
      </c>
      <c r="B230" s="7">
        <v>4050</v>
      </c>
      <c r="C230" s="21" t="s">
        <v>206</v>
      </c>
      <c r="D230" s="21" t="s">
        <v>930</v>
      </c>
      <c r="E230" s="13">
        <v>42870.468877314815</v>
      </c>
      <c r="F230" s="13">
        <v>42870.47996527778</v>
      </c>
      <c r="G230" s="7">
        <v>1</v>
      </c>
      <c r="H230" s="21" t="s">
        <v>931</v>
      </c>
      <c r="I230" s="13">
        <v>42870.485462962963</v>
      </c>
      <c r="J230" s="7">
        <v>0</v>
      </c>
      <c r="K230" s="92" t="str">
        <f t="shared" si="65"/>
        <v>4049/4050</v>
      </c>
      <c r="L230" s="21" t="str">
        <f>VLOOKUP(A230,'Trips&amp;Operators'!$C$1:$G$99999,5,FALSE)</f>
        <v>MAELZER KURT</v>
      </c>
      <c r="M230" s="6">
        <f t="shared" si="66"/>
        <v>5.4976851824903861E-3</v>
      </c>
      <c r="N230" s="7">
        <f t="shared" si="81"/>
        <v>7.9166666627861559</v>
      </c>
      <c r="O230" s="7"/>
      <c r="P230" s="7"/>
      <c r="Q230" s="22"/>
      <c r="R230" s="190"/>
      <c r="S230" s="196">
        <f t="shared" si="82"/>
        <v>0</v>
      </c>
      <c r="T230" s="190" t="e">
        <f t="shared" si="67"/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68"/>
        <v>https://d0f6bd738d7f1b3e5a7ca70fe4ff75f0.us-east-1.aws.found.io/app/kibana#/discover/Steve-Slow-Train-Analysis-(2080s-and-2083s)?_g=(refreshInterval:(display:Off,pause:!f,section:0,value:0),time:(from:'2017-05-15T10:15:11-0600',mode:absolute,to:'2017-05-15T12:39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192" t="str">
        <f t="shared" si="69"/>
        <v>Y</v>
      </c>
      <c r="X230" s="192" t="e">
        <f t="shared" si="83"/>
        <v>#VALUE!</v>
      </c>
      <c r="Y230" s="192">
        <f t="shared" si="70"/>
        <v>0.12590000000000001</v>
      </c>
      <c r="Z230" s="192">
        <f t="shared" si="71"/>
        <v>2.4241000000000001</v>
      </c>
      <c r="AA230" s="192">
        <f t="shared" si="72"/>
        <v>2.2982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73"/>
        <v>53-15</v>
      </c>
      <c r="AE230" s="80" t="str">
        <f t="shared" si="74"/>
        <v>aws s3 cp s3://rtdc.mdm.uploadarchive.raw/RTDC4050/ "%USERPROFILE%\AppData\Local\Temp\OnboardLogs"\RTDC4050\2017-05-15 --exclude "*" --recursive --include "*20170515*" &amp; "%USERPROFILE%\Documents\GitHub\mrs-test-scripts\Headless Mode &amp; Sideloading\WalkAndUnGZ.bat" "%USERPROFILE%\AppData\Local\Temp\OnboardLogs"\RTDC4050\2017-05-15 &amp; 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</v>
      </c>
      <c r="AF230" s="77" t="str">
        <f t="shared" si="75"/>
        <v>"C:\Program Files (x86)\AstroGrep\AstroGrep.exe" /e /r /s /spath="%USERPROFILE%\AppData\Local\Temp\OnboardLogs" /stypes="app*4050*20170515*" /stext=" 17:.+((SYSTEM_STATE.+slice.+state.+changed )|(ment ac)|(multiple cpu faults)|(system.+state.+changed )|(\[timeout)|(PRM\|1\|D)|(kpr)|(kdp)|(train st.+moving)|(\|lc)|(penalty))"</v>
      </c>
      <c r="AG230" s="1" t="str">
        <f t="shared" si="76"/>
        <v>Other</v>
      </c>
      <c r="AH230" s="81" t="str">
        <f t="shared" si="77"/>
        <v>"%USERPROFILE%\Documents\GitHub\eaglep3\Utilities\RefineRTDCRunTimes.py" --tripid 53-15 --locoid 4050 --swversion DE.1.0.9.0 --startMP 204:1259 --initTime 2017-05-15T11:15:11 --startdatetime 2017-05-15T11:31:09 --delay 1 --endMP 300:24241 --enddatetime 2017-05-15T11:39:04 --enforcementcount 0 &gt;&gt;C:\Users\stu\Documents\GitHub\eaglep3-reporting\EC\2017-05-15-refined-times.txt</v>
      </c>
      <c r="AI230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{"issue":{"subject":"","project_id":79,"tracker_id":40,"status_id":1,"priority_id":2,"assigned_to_id":23,"start_date":"2017-05-15","description":"","custom_fields":[{"id":1,"name":"Subdivision","value":"Other"},{"id":4,"name":"Milepost","value":"2.4241"},{"id":17,"name":"Train ID","value":"53-15"},{"id":16,"name":"Locomotive ID","value":"4050"},{"id":130,"name":"Impact","value":""},{"id":150,"name":"Time of Event (Mountain Time)","value":"11:39:04"},{"id":151,"name":"Denver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79"/>
        <v>start /low /b %USERPROFILE%\Documents\GitHub\eaglep3\Utilities\DownloadLogsFromS3.py --loco 4050 --day 2017-05-15</v>
      </c>
      <c r="AN230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17:39:04"},{"id":29,"name":"Sharepoint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763</v>
      </c>
      <c r="B231" s="7">
        <v>4049</v>
      </c>
      <c r="C231" s="21" t="s">
        <v>206</v>
      </c>
      <c r="D231" s="21" t="s">
        <v>932</v>
      </c>
      <c r="E231" s="13">
        <v>42870.715694444443</v>
      </c>
      <c r="F231" s="13">
        <v>42870.719224537039</v>
      </c>
      <c r="G231" s="7">
        <v>5</v>
      </c>
      <c r="H231" s="21" t="s">
        <v>933</v>
      </c>
      <c r="I231" s="13">
        <v>42870.725891203707</v>
      </c>
      <c r="J231" s="7">
        <v>0</v>
      </c>
      <c r="K231" s="92" t="str">
        <f t="shared" si="65"/>
        <v>4049/4050</v>
      </c>
      <c r="L231" s="21" t="str">
        <f>VLOOKUP(A231,'Trips&amp;Operators'!$C$1:$G$99999,5,FALSE)</f>
        <v>SMITH MICHAEL</v>
      </c>
      <c r="M231" s="6">
        <f t="shared" si="66"/>
        <v>6.6666666680248454E-3</v>
      </c>
      <c r="N231" s="7">
        <f t="shared" si="81"/>
        <v>9.6000000019557774</v>
      </c>
      <c r="O231" s="7"/>
      <c r="P231" s="7"/>
      <c r="Q231" s="22"/>
      <c r="R231" s="190"/>
      <c r="S231" s="196">
        <f t="shared" si="82"/>
        <v>0</v>
      </c>
      <c r="T231" s="190" t="e">
        <f t="shared" si="67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68"/>
        <v>https://d0f6bd738d7f1b3e5a7ca70fe4ff75f0.us-east-1.aws.found.io/app/kibana#/discover/Steve-Slow-Train-Analysis-(2080s-and-2083s)?_g=(refreshInterval:(display:Off,pause:!f,section:0,value:0),time:(from:'2017-05-15T16:10:36-0600',mode:absolute,to:'2017-05-15T18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1" s="192" t="str">
        <f t="shared" si="69"/>
        <v>Y</v>
      </c>
      <c r="X231" s="192" t="e">
        <f t="shared" si="83"/>
        <v>#VALUE!</v>
      </c>
      <c r="Y231" s="192">
        <f t="shared" si="70"/>
        <v>2.3384999999999998</v>
      </c>
      <c r="Z231" s="192">
        <f t="shared" si="71"/>
        <v>3.1E-2</v>
      </c>
      <c r="AA231" s="192">
        <f t="shared" si="72"/>
        <v>2.3074999999999997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73"/>
        <v>54-15</v>
      </c>
      <c r="AE231" s="80" t="str">
        <f t="shared" si="74"/>
        <v>aws s3 cp s3://rtdc.mdm.uploadarchive.raw/RTDC4049/ "%USERPROFILE%\AppData\Local\Temp\OnboardLogs"\RTDC4049\2017-05-15 --exclude "*" --recursive --include "*20170515*" &amp; "%USERPROFILE%\Documents\GitHub\mrs-test-scripts\Headless Mode &amp; Sideloading\WalkAndUnGZ.bat" "%USERPROFILE%\AppData\Local\Temp\OnboardLogs"\RTDC4049\2017-05-15 &amp; 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</v>
      </c>
      <c r="AF231" s="77" t="str">
        <f t="shared" si="75"/>
        <v>"C:\Program Files (x86)\AstroGrep\AstroGrep.exe" /e /r /s /spath="%USERPROFILE%\AppData\Local\Temp\OnboardLogs" /stypes="app*4049*20170515*" /stext=" 23:.+((SYSTEM_STATE.+slice.+state.+changed )|(ment ac)|(multiple cpu faults)|(system.+state.+changed )|(\[timeout)|(PRM\|1\|D)|(kpr)|(kdp)|(train st.+moving)|(\|lc)|(penalty))"</v>
      </c>
      <c r="AG231" s="1" t="str">
        <f t="shared" si="76"/>
        <v>Other</v>
      </c>
      <c r="AH231" s="81" t="str">
        <f t="shared" si="77"/>
        <v>"%USERPROFILE%\Documents\GitHub\eaglep3\Utilities\RefineRTDCRunTimes.py" --tripid 54-15 --locoid 4049 --swversion DE.1.0.9.0 --startMP 300:23385 --initTime 2017-05-15T17:10:36 --startdatetime 2017-05-15T17:15:41 --delay 5 --endMP 204:310 --enddatetime 2017-05-15T17:25:17 --enforcementcount 0 &gt;&gt;C:\Users\stu\Documents\GitHub\eaglep3-reporting\EC\2017-05-15-refined-times.txt</v>
      </c>
      <c r="AI231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{"issue":{"subject":"","project_id":79,"tracker_id":40,"status_id":1,"priority_id":2,"assigned_to_id":23,"start_date":"2017-05-15","description":"","custom_fields":[{"id":1,"name":"Subdivision","value":"Other"},{"id":4,"name":"Milepost","value":"0.031"},{"id":17,"name":"Train ID","value":"54-15"},{"id":16,"name":"Locomotive ID","value":"4049"},{"id":130,"name":"Impact","value":""},{"id":150,"name":"Time of Event (Mountain Time)","value":"17:25:17"},{"id":151,"name":"Denver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79"/>
        <v>start /low /b %USERPROFILE%\Documents\GitHub\eaglep3\Utilities\DownloadLogsFromS3.py --loco 4049 --day 2017-05-15</v>
      </c>
      <c r="AN231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618</v>
      </c>
      <c r="B232" s="7">
        <v>4045</v>
      </c>
      <c r="C232" s="21" t="s">
        <v>206</v>
      </c>
      <c r="D232" s="21" t="s">
        <v>934</v>
      </c>
      <c r="E232" s="13">
        <v>42870.738217592596</v>
      </c>
      <c r="F232" s="13">
        <v>42870.744143518517</v>
      </c>
      <c r="G232" s="7">
        <v>8</v>
      </c>
      <c r="H232" s="21" t="s">
        <v>935</v>
      </c>
      <c r="I232" s="13">
        <v>42870.757418981484</v>
      </c>
      <c r="J232" s="7">
        <v>0</v>
      </c>
      <c r="K232" s="92" t="str">
        <f t="shared" si="65"/>
        <v>4045/4046</v>
      </c>
      <c r="L232" s="21" t="str">
        <f>VLOOKUP(A232,'Trips&amp;Operators'!$C$1:$G$99999,5,FALSE)</f>
        <v>SULLIVAN BRANDON</v>
      </c>
      <c r="M232" s="6">
        <f t="shared" si="66"/>
        <v>1.3275462966703344E-2</v>
      </c>
      <c r="N232" s="7">
        <f t="shared" si="81"/>
        <v>19.116666672052816</v>
      </c>
      <c r="O232" s="7"/>
      <c r="P232" s="7"/>
      <c r="Q232" s="22"/>
      <c r="R232" s="190"/>
      <c r="S232" s="196">
        <f t="shared" si="82"/>
        <v>0</v>
      </c>
      <c r="T232" s="190" t="e">
        <f t="shared" si="67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68"/>
        <v>https://d0f6bd738d7f1b3e5a7ca70fe4ff75f0.us-east-1.aws.found.io/app/kibana#/discover/Steve-Slow-Train-Analysis-(2080s-and-2083s)?_g=(refreshInterval:(display:Off,pause:!f,section:0,value:0),time:(from:'2017-05-15T16:43:02-0600',mode:absolute,to:'2017-05-15T19:10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2" s="192" t="str">
        <f t="shared" si="69"/>
        <v>Y</v>
      </c>
      <c r="X232" s="192" t="e">
        <f t="shared" si="83"/>
        <v>#VALUE!</v>
      </c>
      <c r="Y232" s="192">
        <f t="shared" si="70"/>
        <v>2.3650000000000002</v>
      </c>
      <c r="Z232" s="192">
        <f t="shared" si="71"/>
        <v>9.7500000000000003E-2</v>
      </c>
      <c r="AA232" s="192">
        <f t="shared" si="72"/>
        <v>2.2675000000000001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73"/>
        <v>56-15</v>
      </c>
      <c r="AE232" s="80" t="str">
        <f t="shared" si="74"/>
        <v>aws s3 cp s3://rtdc.mdm.uploadarchive.raw/RTDC4045/ "%USERPROFILE%\AppData\Local\Temp\OnboardLogs"\RTDC4045\2017-05-15 --exclude "*" --recursive --include "*20170515*" &amp; "%USERPROFILE%\Documents\GitHub\mrs-test-scripts\Headless Mode &amp; Sideloading\WalkAndUnGZ.bat" "%USERPROFILE%\AppData\Local\Temp\OnboardLogs"\RTDC4045\2017-05-15 &amp; aws s3 cp s3://rtdc.mdm.uploadarchive.raw/RTDC4045/ "%USERPROFILE%\AppData\Local\Temp\OnboardLogs"\RTDC4045\2017-05-16 --exclude "*" --recursive --include "*20170516*" &amp; "%USERPROFILE%\Documents\GitHub\mrs-test-scripts\Headless Mode &amp; Sideloading\WalkAndUnGZ.bat" "%USERPROFILE%\AppData\Local\Temp\OnboardLogs"\RTDC4045\2017-05-16</v>
      </c>
      <c r="AF232" s="77" t="str">
        <f t="shared" si="75"/>
        <v>"C:\Program Files (x86)\AstroGrep\AstroGrep.exe" /e /r /s /spath="%USERPROFILE%\AppData\Local\Temp\OnboardLogs" /stypes="app*4045*20170516*" /stext=" 00:.+((SYSTEM_STATE.+slice.+state.+changed )|(ment ac)|(multiple cpu faults)|(system.+state.+changed )|(\[timeout)|(PRM\|1\|D)|(kpr)|(kdp)|(train st.+moving)|(\|lc)|(penalty))"</v>
      </c>
      <c r="AG232" s="1" t="str">
        <f t="shared" si="76"/>
        <v>Other</v>
      </c>
      <c r="AH232" s="81" t="str">
        <f t="shared" si="77"/>
        <v>"%USERPROFILE%\Documents\GitHub\eaglep3\Utilities\RefineRTDCRunTimes.py" --tripid 56-15 --locoid 4045 --swversion DE.1.0.9.0 --startMP 300:23650 --initTime 2017-05-15T17:43:02 --startdatetime 2017-05-15T17:51:34 --delay 8 --endMP 204:975 --enddatetime 2017-05-15T18:10:41 --enforcementcount 0 &gt;&gt;C:\Users\stu\Documents\GitHub\eaglep3-reporting\EC\2017-05-15-refined-times.txt</v>
      </c>
      <c r="AI232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{"issue":{"subject":"","project_id":79,"tracker_id":40,"status_id":1,"priority_id":2,"assigned_to_id":23,"start_date":"2017-05-15","description":"","custom_fields":[{"id":1,"name":"Subdivision","value":"Other"},{"id":4,"name":"Milepost","value":"0.0975"},{"id":17,"name":"Train ID","value":"56-15"},{"id":16,"name":"Locomotive ID","value":"4045"},{"id":130,"name":"Impact","value":""},{"id":150,"name":"Time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79"/>
        <v>start /low /b %USERPROFILE%\Documents\GitHub\eaglep3\Utilities\DownloadLogsFromS3.py --loco 4045 --day 2017-05-15</v>
      </c>
      <c r="AN232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00:10:41"},{"id":29,"name":"Sharepoint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775</v>
      </c>
      <c r="B233" s="7">
        <v>4050</v>
      </c>
      <c r="C233" s="21" t="s">
        <v>206</v>
      </c>
      <c r="D233" s="21" t="s">
        <v>936</v>
      </c>
      <c r="E233" s="13">
        <v>42870.75199074074</v>
      </c>
      <c r="F233" s="13">
        <v>42870.758530092593</v>
      </c>
      <c r="G233" s="7">
        <v>1</v>
      </c>
      <c r="H233" s="21" t="s">
        <v>937</v>
      </c>
      <c r="I233" s="13">
        <v>42870.764131944445</v>
      </c>
      <c r="J233" s="7">
        <v>0</v>
      </c>
      <c r="K233" s="92" t="str">
        <f t="shared" si="65"/>
        <v>4049/4050</v>
      </c>
      <c r="L233" s="21" t="str">
        <f>VLOOKUP(A233,'Trips&amp;Operators'!$C$1:$G$99999,5,FALSE)</f>
        <v>PERKINS DARREN</v>
      </c>
      <c r="M233" s="6">
        <f t="shared" si="66"/>
        <v>5.6018518516793847E-3</v>
      </c>
      <c r="N233" s="7">
        <f t="shared" si="81"/>
        <v>8.066666666418314</v>
      </c>
      <c r="O233" s="7"/>
      <c r="P233" s="7"/>
      <c r="Q233" s="22"/>
      <c r="R233" s="190"/>
      <c r="S233" s="196">
        <f t="shared" si="82"/>
        <v>0</v>
      </c>
      <c r="T233" s="190" t="e">
        <f t="shared" si="67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68"/>
        <v>https://d0f6bd738d7f1b3e5a7ca70fe4ff75f0.us-east-1.aws.found.io/app/kibana#/discover/Steve-Slow-Train-Analysis-(2080s-and-2083s)?_g=(refreshInterval:(display:Off,pause:!f,section:0,value:0),time:(from:'2017-05-15T17:02:52-0600',mode:absolute,to:'2017-05-15T19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192" t="str">
        <f t="shared" si="69"/>
        <v>Y</v>
      </c>
      <c r="X233" s="192" t="e">
        <f t="shared" si="83"/>
        <v>#VALUE!</v>
      </c>
      <c r="Y233" s="192">
        <f t="shared" si="70"/>
        <v>4.2799999999999998E-2</v>
      </c>
      <c r="Z233" s="192">
        <f t="shared" si="71"/>
        <v>2.4235000000000002</v>
      </c>
      <c r="AA233" s="192">
        <f t="shared" si="72"/>
        <v>2.3807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73"/>
        <v>57-15</v>
      </c>
      <c r="AE233" s="80" t="str">
        <f t="shared" si="74"/>
        <v>aws s3 cp s3://rtdc.mdm.uploadarchive.raw/RTDC4050/ "%USERPROFILE%\AppData\Local\Temp\OnboardLogs"\RTDC4050\2017-05-15 --exclude "*" --recursive --include "*20170515*" &amp; "%USERPROFILE%\Documents\GitHub\mrs-test-scripts\Headless Mode &amp; Sideloading\WalkAndUnGZ.bat" "%USERPROFILE%\AppData\Local\Temp\OnboardLogs"\RTDC4050\2017-05-15 &amp; 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</v>
      </c>
      <c r="AF233" s="77" t="str">
        <f t="shared" si="75"/>
        <v>"C:\Program Files (x86)\AstroGrep\AstroGrep.exe" /e /r /s /spath="%USERPROFILE%\AppData\Local\Temp\OnboardLogs" /stypes="app*4050*20170516*" /stext=" 00:.+((SYSTEM_STATE.+slice.+state.+changed )|(ment ac)|(multiple cpu faults)|(system.+state.+changed )|(\[timeout)|(PRM\|1\|D)|(kpr)|(kdp)|(train st.+moving)|(\|lc)|(penalty))"</v>
      </c>
      <c r="AG233" s="1" t="str">
        <f t="shared" si="76"/>
        <v>Other</v>
      </c>
      <c r="AH233" s="81" t="str">
        <f t="shared" si="77"/>
        <v>"%USERPROFILE%\Documents\GitHub\eaglep3\Utilities\RefineRTDCRunTimes.py" --tripid 57-15 --locoid 4050 --swversion DE.1.0.9.0 --startMP 204:428 --initTime 2017-05-15T18:02:52 --startdatetime 2017-05-15T18:12:17 --delay 1 --endMP 300:24235 --enddatetime 2017-05-15T18:20:21 --enforcementcount 0 &gt;&gt;C:\Users\stu\Documents\GitHub\eaglep3-reporting\EC\2017-05-15-refined-times.txt</v>
      </c>
      <c r="AI233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{"issue":{"subject":"","project_id":79,"tracker_id":40,"status_id":1,"priority_id":2,"assigned_to_id":23,"start_date":"2017-05-15","description":"","custom_fields":[{"id":1,"name":"Subdivision","value":"Other"},{"id":4,"name":"Milepost","value":"2.4235"},{"id":17,"name":"Train ID","value":"57-15"},{"id":16,"name":"Locomotive ID","value":"4050"},{"id":130,"name":"Impact","value":""},{"id":150,"name":"Time of Event (Mountain Time)","value":"18:20:21"},{"id":151,"name":"Denver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79"/>
        <v>start /low /b %USERPROFILE%\Documents\GitHub\eaglep3\Utilities\DownloadLogsFromS3.py --loco 4050 --day 2017-05-15</v>
      </c>
      <c r="AN233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791</v>
      </c>
      <c r="B234" s="7">
        <v>4049</v>
      </c>
      <c r="C234" s="21" t="s">
        <v>206</v>
      </c>
      <c r="D234" s="21" t="s">
        <v>938</v>
      </c>
      <c r="E234" s="13">
        <v>42870.817743055559</v>
      </c>
      <c r="F234" s="13">
        <v>42870.831574074073</v>
      </c>
      <c r="G234" s="7">
        <v>19</v>
      </c>
      <c r="H234" s="21" t="s">
        <v>573</v>
      </c>
      <c r="I234" s="13">
        <v>42870.837442129632</v>
      </c>
      <c r="J234" s="7">
        <v>0</v>
      </c>
      <c r="K234" s="92" t="str">
        <f t="shared" si="65"/>
        <v>4049/4050</v>
      </c>
      <c r="L234" s="21" t="str">
        <f>VLOOKUP(A234,'Trips&amp;Operators'!$C$1:$G$99999,5,FALSE)</f>
        <v>WILLIAMS DONTE</v>
      </c>
      <c r="M234" s="6">
        <f t="shared" si="66"/>
        <v>5.8680555594037287E-3</v>
      </c>
      <c r="N234" s="7">
        <f t="shared" si="81"/>
        <v>8.4500000055413693</v>
      </c>
      <c r="O234" s="7"/>
      <c r="P234" s="7"/>
      <c r="Q234" s="22"/>
      <c r="R234" s="190"/>
      <c r="S234" s="196">
        <f t="shared" si="82"/>
        <v>0</v>
      </c>
      <c r="T234" s="190" t="e">
        <f t="shared" si="67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68"/>
        <v>https://d0f6bd738d7f1b3e5a7ca70fe4ff75f0.us-east-1.aws.found.io/app/kibana#/discover/Steve-Slow-Train-Analysis-(2080s-and-2083s)?_g=(refreshInterval:(display:Off,pause:!f,section:0,value:0),time:(from:'2017-05-15T18:37:33-0600',mode:absolute,to:'2017-05-15T21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4" s="192" t="str">
        <f t="shared" si="69"/>
        <v>Y</v>
      </c>
      <c r="X234" s="192" t="e">
        <f t="shared" si="83"/>
        <v>#VALUE!</v>
      </c>
      <c r="Y234" s="192">
        <f t="shared" si="70"/>
        <v>2.3538000000000001</v>
      </c>
      <c r="Z234" s="192">
        <f t="shared" si="71"/>
        <v>6.7999999999999996E-3</v>
      </c>
      <c r="AA234" s="192">
        <f t="shared" si="72"/>
        <v>2.347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73"/>
        <v>58-15</v>
      </c>
      <c r="AE234" s="80" t="str">
        <f t="shared" si="74"/>
        <v>aws s3 cp s3://rtdc.mdm.uploadarchive.raw/RTDC4049/ "%USERPROFILE%\AppData\Local\Temp\OnboardLogs"\RTDC4049\2017-05-15 --exclude "*" --recursive --include "*20170515*" &amp; "%USERPROFILE%\Documents\GitHub\mrs-test-scripts\Headless Mode &amp; Sideloading\WalkAndUnGZ.bat" "%USERPROFILE%\AppData\Local\Temp\OnboardLogs"\RTDC4049\2017-05-15 &amp; 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</v>
      </c>
      <c r="AF234" s="77" t="str">
        <f t="shared" si="75"/>
        <v>"C:\Program Files (x86)\AstroGrep\AstroGrep.exe" /e /r /s /spath="%USERPROFILE%\AppData\Local\Temp\OnboardLogs" /stypes="app*4049*20170516*" /stext=" 02:.+((SYSTEM_STATE.+slice.+state.+changed )|(ment ac)|(multiple cpu faults)|(system.+state.+changed )|(\[timeout)|(PRM\|1\|D)|(kpr)|(kdp)|(train st.+moving)|(\|lc)|(penalty))"</v>
      </c>
      <c r="AG234" s="1" t="str">
        <f t="shared" si="76"/>
        <v>Other</v>
      </c>
      <c r="AH234" s="81" t="str">
        <f t="shared" si="77"/>
        <v>"%USERPROFILE%\Documents\GitHub\eaglep3\Utilities\RefineRTDCRunTimes.py" --tripid 58-15 --locoid 4049 --swversion DE.1.0.9.0 --startMP 300:23538 --initTime 2017-05-15T19:37:33 --startdatetime 2017-05-15T19:57:28 --delay 19 --endMP 204:68 --enddatetime 2017-05-15T20:05:55 --enforcementcount 0 &gt;&gt;C:\Users\stu\Documents\GitHub\eaglep3-reporting\EC\2017-05-15-refined-times.txt</v>
      </c>
      <c r="AI234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{"issue":{"subject":"","project_id":79,"tracker_id":40,"status_id":1,"priority_id":2,"assigned_to_id":23,"start_date":"2017-05-15","description":"","custom_fields":[{"id":1,"name":"Subdivision","value":"Other"},{"id":4,"name":"Milepost","value":"0.0068"},{"id":17,"name":"Train ID","value":"58-15"},{"id":16,"name":"Locomotive ID","value":"4049"},{"id":130,"name":"Impact","value":""},{"id":150,"name":"Time of Event (Mountain Time)","value":"20:05:55"},{"id":151,"name":"Denver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79"/>
        <v>start /low /b %USERPROFILE%\Documents\GitHub\eaglep3\Utilities\DownloadLogsFromS3.py --loco 4049 --day 2017-05-15</v>
      </c>
      <c r="AN234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02:05:55"},{"id":29,"name":"Sharepoint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626</v>
      </c>
      <c r="B235" s="7">
        <v>4050</v>
      </c>
      <c r="C235" s="21" t="s">
        <v>206</v>
      </c>
      <c r="D235" s="21" t="s">
        <v>939</v>
      </c>
      <c r="E235" s="13">
        <v>42870.933761574073</v>
      </c>
      <c r="F235" s="13">
        <v>42870.936145833337</v>
      </c>
      <c r="G235" s="7">
        <v>1</v>
      </c>
      <c r="H235" s="21" t="s">
        <v>940</v>
      </c>
      <c r="I235" s="13">
        <v>42870.950092592589</v>
      </c>
      <c r="J235" s="7">
        <v>0</v>
      </c>
      <c r="K235" s="92" t="str">
        <f t="shared" si="65"/>
        <v>4049/4050</v>
      </c>
      <c r="L235" s="21" t="str">
        <f>VLOOKUP(A235,'Trips&amp;Operators'!$C$1:$G$99999,5,FALSE)</f>
        <v>WILLIAMS DONTE</v>
      </c>
      <c r="M235" s="6">
        <f t="shared" si="66"/>
        <v>1.3946759252576157E-2</v>
      </c>
      <c r="N235" s="7">
        <f t="shared" si="81"/>
        <v>20.083333323709667</v>
      </c>
      <c r="O235" s="7"/>
      <c r="P235" s="7"/>
      <c r="Q235" s="22"/>
      <c r="R235" s="190"/>
      <c r="S235" s="196">
        <f t="shared" si="82"/>
        <v>0</v>
      </c>
      <c r="T235" s="190" t="e">
        <f t="shared" si="67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68"/>
        <v>https://d0f6bd738d7f1b3e5a7ca70fe4ff75f0.us-east-1.aws.found.io/app/kibana#/discover/Steve-Slow-Train-Analysis-(2080s-and-2083s)?_g=(refreshInterval:(display:Off,pause:!f,section:0,value:0),time:(from:'2017-05-15T21:24:37-0600',mode:absolute,to:'2017-05-15T23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92" t="str">
        <f t="shared" si="69"/>
        <v>N</v>
      </c>
      <c r="X235" s="192" t="e">
        <f t="shared" si="83"/>
        <v>#VALUE!</v>
      </c>
      <c r="Y235" s="192">
        <f t="shared" si="70"/>
        <v>15.440300000000001</v>
      </c>
      <c r="Z235" s="192">
        <f t="shared" si="71"/>
        <v>23.3401</v>
      </c>
      <c r="AA235" s="192">
        <f t="shared" si="72"/>
        <v>7.899799999999999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73"/>
        <v>59-15</v>
      </c>
      <c r="AE235" s="80" t="str">
        <f t="shared" si="74"/>
        <v>aws s3 cp s3://rtdc.mdm.uploadarchive.raw/RTDC4050/ "%USERPROFILE%\AppData\Local\Temp\OnboardLogs"\RTDC4050\2017-05-15 --exclude "*" --recursive --include "*20170515*" &amp; "%USERPROFILE%\Documents\GitHub\mrs-test-scripts\Headless Mode &amp; Sideloading\WalkAndUnGZ.bat" "%USERPROFILE%\AppData\Local\Temp\OnboardLogs"\RTDC4050\2017-05-15 &amp; 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</v>
      </c>
      <c r="AF235" s="77" t="str">
        <f t="shared" si="75"/>
        <v>"C:\Program Files (x86)\AstroGrep\AstroGrep.exe" /e /r /s /spath="%USERPROFILE%\AppData\Local\Temp\OnboardLogs" /stypes="app*4050*20170516*" /stext=" 04:.+((SYSTEM_STATE.+slice.+state.+changed )|(ment ac)|(multiple cpu faults)|(system.+state.+changed )|(\[timeout)|(PRM\|1\|D)|(kpr)|(kdp)|(train st.+moving)|(\|lc)|(penalty))"</v>
      </c>
      <c r="AG235" s="1" t="str">
        <f t="shared" si="76"/>
        <v>Other</v>
      </c>
      <c r="AH235" s="81" t="str">
        <f t="shared" si="77"/>
        <v>"%USERPROFILE%\Documents\GitHub\eaglep3\Utilities\RefineRTDCRunTimes.py" --tripid 59-15 --locoid 4050 --swversion DE.1.0.9.0 --startMP 204:154403 --initTime 2017-05-15T22:24:37 --startdatetime 2017-05-15T22:28:03 --delay 1 --endMP 204:233401 --enddatetime 2017-05-15T22:48:08 --enforcementcount 0 &gt;&gt;C:\Users\stu\Documents\GitHub\eaglep3-reporting\EC\2017-05-15-refined-times.txt</v>
      </c>
      <c r="AI235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{"issue":{"subject":"","project_id":79,"tracker_id":40,"status_id":1,"priority_id":2,"assigned_to_id":23,"start_date":"2017-05-15","description":"","custom_fields":[{"id":1,"name":"Subdivision","value":"Other"},{"id":4,"name":"Milepost","value":"23.3401"},{"id":17,"name":"Train ID","value":"59-15"},{"id":16,"name":"Locomotive ID","value":"4050"},{"id":130,"name":"Impact","value":""},{"id":150,"name":"Time of Event (Mountain Time)","value":"22:48:08"},{"id":151,"name":"Denver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79"/>
        <v>start /low /b %USERPROFILE%\Documents\GitHub\eaglep3\Utilities\DownloadLogsFromS3.py --loco 4050 --day 2017-05-15</v>
      </c>
      <c r="AN235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626</v>
      </c>
      <c r="B236" s="7">
        <v>4050</v>
      </c>
      <c r="C236" s="21" t="s">
        <v>206</v>
      </c>
      <c r="D236" s="21" t="s">
        <v>941</v>
      </c>
      <c r="E236" s="13">
        <v>42870.840798611112</v>
      </c>
      <c r="F236" s="13">
        <v>42870.8593287037</v>
      </c>
      <c r="G236" s="7">
        <v>3</v>
      </c>
      <c r="H236" s="21" t="s">
        <v>539</v>
      </c>
      <c r="I236" s="13">
        <v>42870.886481481481</v>
      </c>
      <c r="J236" s="7">
        <v>0</v>
      </c>
      <c r="K236" s="92" t="str">
        <f t="shared" si="65"/>
        <v>4049/4050</v>
      </c>
      <c r="L236" s="21" t="str">
        <f>VLOOKUP(A236,'Trips&amp;Operators'!$C$1:$G$99999,5,FALSE)</f>
        <v>WILLIAMS DONTE</v>
      </c>
      <c r="M236" s="6">
        <f t="shared" si="66"/>
        <v>2.715277778042946E-2</v>
      </c>
      <c r="N236" s="7">
        <f t="shared" si="81"/>
        <v>39.100000003818423</v>
      </c>
      <c r="O236" s="7"/>
      <c r="P236" s="7"/>
      <c r="Q236" s="22"/>
      <c r="R236" s="190"/>
      <c r="S236" s="196">
        <f t="shared" si="82"/>
        <v>0</v>
      </c>
      <c r="T236" s="190" t="e">
        <f t="shared" si="67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68"/>
        <v>https://d0f6bd738d7f1b3e5a7ca70fe4ff75f0.us-east-1.aws.found.io/app/kibana#/discover/Steve-Slow-Train-Analysis-(2080s-and-2083s)?_g=(refreshInterval:(display:Off,pause:!f,section:0,value:0),time:(from:'2017-05-15T19:10:45-0600',mode:absolute,to:'2017-05-15T22:16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92" t="str">
        <f t="shared" si="69"/>
        <v>N</v>
      </c>
      <c r="X236" s="192" t="e">
        <f t="shared" si="83"/>
        <v>#VALUE!</v>
      </c>
      <c r="Y236" s="192">
        <f t="shared" si="70"/>
        <v>3.6299999999999999E-2</v>
      </c>
      <c r="Z236" s="192">
        <f t="shared" si="71"/>
        <v>23.330200000000001</v>
      </c>
      <c r="AA236" s="192">
        <f t="shared" si="72"/>
        <v>23.293900000000001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73"/>
        <v>59-15</v>
      </c>
      <c r="AE236" s="80" t="str">
        <f t="shared" si="74"/>
        <v>aws s3 cp s3://rtdc.mdm.uploadarchive.raw/RTDC4050/ "%USERPROFILE%\AppData\Local\Temp\OnboardLogs"\RTDC4050\2017-05-15 --exclude "*" --recursive --include "*20170515*" &amp; "%USERPROFILE%\Documents\GitHub\mrs-test-scripts\Headless Mode &amp; Sideloading\WalkAndUnGZ.bat" "%USERPROFILE%\AppData\Local\Temp\OnboardLogs"\RTDC4050\2017-05-15 &amp; 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</v>
      </c>
      <c r="AF236" s="77" t="str">
        <f t="shared" si="75"/>
        <v>"C:\Program Files (x86)\AstroGrep\AstroGrep.exe" /e /r /s /spath="%USERPROFILE%\AppData\Local\Temp\OnboardLogs" /stypes="app*4050*20170516*" /stext=" 03:.+((SYSTEM_STATE.+slice.+state.+changed )|(ment ac)|(multiple cpu faults)|(system.+state.+changed )|(\[timeout)|(PRM\|1\|D)|(kpr)|(kdp)|(train st.+moving)|(\|lc)|(penalty))"</v>
      </c>
      <c r="AG236" s="1" t="str">
        <f t="shared" si="76"/>
        <v>Other</v>
      </c>
      <c r="AH236" s="81" t="str">
        <f t="shared" si="77"/>
        <v>"%USERPROFILE%\Documents\GitHub\eaglep3\Utilities\RefineRTDCRunTimes.py" --tripid 59-15 --locoid 4050 --swversion DE.1.0.9.0 --startMP 204:363 --initTime 2017-05-15T20:10:45 --startdatetime 2017-05-15T20:37:26 --delay 3 --endMP 204:233302 --enddatetime 2017-05-15T21:16:32 --enforcementcount 0 &gt;&gt;C:\Users\stu\Documents\GitHub\eaglep3-reporting\EC\2017-05-15-refined-times.txt</v>
      </c>
      <c r="AI236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{"issue":{"subject":"","project_id":79,"tracker_id":40,"status_id":1,"priority_id":2,"assigned_to_id":23,"start_date":"2017-05-15","description":"","custom_fields":[{"id":1,"name":"Subdivision","value":"Other"},{"id":4,"name":"Milepost","value":"23.3302"},{"id":17,"name":"Train ID","value":"59-15"},{"id":16,"name":"Locomotive ID","value":"4050"},{"id":130,"name":"Impact","value":""},{"id":150,"name":"Time of Event (Mountain Time)","value":"21:16:32"},{"id":151,"name":"Denver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79"/>
        <v>start /low /b %USERPROFILE%\Documents\GitHub\eaglep3\Utilities\DownloadLogsFromS3.py --loco 4050 --day 2017-05-15</v>
      </c>
      <c r="AN236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03:16:32"},{"id":29,"name":"Sharepoint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627</v>
      </c>
      <c r="B237" s="7">
        <v>4049</v>
      </c>
      <c r="C237" s="21" t="s">
        <v>206</v>
      </c>
      <c r="D237" s="21" t="s">
        <v>942</v>
      </c>
      <c r="E237" s="13">
        <v>42871.076620370368</v>
      </c>
      <c r="F237" s="13">
        <v>42871.110081018516</v>
      </c>
      <c r="G237" s="7">
        <v>1</v>
      </c>
      <c r="H237" s="21" t="s">
        <v>943</v>
      </c>
      <c r="I237" s="13">
        <v>42871.110254629632</v>
      </c>
      <c r="J237" s="7">
        <v>0</v>
      </c>
      <c r="K237" s="92" t="str">
        <f t="shared" si="65"/>
        <v>4049/4050</v>
      </c>
      <c r="L237" s="21" t="str">
        <f>VLOOKUP(A237,'Trips&amp;Operators'!$C$1:$G$99999,5,FALSE)</f>
        <v>WILLIAMS DONTE</v>
      </c>
      <c r="M237" s="6">
        <f t="shared" si="66"/>
        <v>1.7361111531499773E-4</v>
      </c>
      <c r="N237" s="7">
        <f t="shared" si="81"/>
        <v>0.25000000605359674</v>
      </c>
      <c r="O237" s="7"/>
      <c r="P237" s="7"/>
      <c r="Q237" s="22"/>
      <c r="R237" s="190"/>
      <c r="S237" s="196">
        <f t="shared" si="82"/>
        <v>0</v>
      </c>
      <c r="T237" s="190" t="e">
        <f t="shared" si="67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68"/>
        <v>https://d0f6bd738d7f1b3e5a7ca70fe4ff75f0.us-east-1.aws.found.io/app/kibana#/discover/Steve-Slow-Train-Analysis-(2080s-and-2083s)?_g=(refreshInterval:(display:Off,pause:!f,section:0,value:0),time:(from:'2017-05-16T00:50:20-0600',mode:absolute,to:'2017-05-16T03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7" s="192" t="str">
        <f t="shared" si="69"/>
        <v>N</v>
      </c>
      <c r="X237" s="192" t="e">
        <f t="shared" si="83"/>
        <v>#VALUE!</v>
      </c>
      <c r="Y237" s="192">
        <f t="shared" si="70"/>
        <v>23.275600000000001</v>
      </c>
      <c r="Z237" s="192">
        <f t="shared" si="71"/>
        <v>0.1193</v>
      </c>
      <c r="AA237" s="192">
        <f t="shared" si="72"/>
        <v>23.156300000000002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73"/>
        <v>60-15</v>
      </c>
      <c r="AE237" s="80" t="str">
        <f t="shared" si="74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37" s="77" t="str">
        <f t="shared" si="75"/>
        <v>"C:\Program Files (x86)\AstroGrep\AstroGrep.exe" /e /r /s /spath="%USERPROFILE%\AppData\Local\Temp\OnboardLogs" /stypes="app*4049*20170516*" /stext=" 08:.+((SYSTEM_STATE.+slice.+state.+changed )|(ment ac)|(multiple cpu faults)|(system.+state.+changed )|(\[timeout)|(PRM\|1\|D)|(kpr)|(kdp)|(train st.+moving)|(\|lc)|(penalty))"</v>
      </c>
      <c r="AG237" s="1" t="str">
        <f t="shared" si="76"/>
        <v>Other</v>
      </c>
      <c r="AH237" s="81" t="str">
        <f t="shared" si="77"/>
        <v>"%USERPROFILE%\Documents\GitHub\eaglep3\Utilities\RefineRTDCRunTimes.py" --tripid 60-15 --locoid 4049 --swversion DE.1.0.9.0 --startMP 204:232756 --initTime 2017-05-16T01:50:20 --startdatetime 2017-05-16T02:38:31 --delay 1 --endMP 204:1193 --enddatetime 2017-05-16T02:38:46 --enforcementcount 0 &gt;&gt;C:\Users\stu\Documents\GitHub\eaglep3-reporting\EC\2017-05-15-refined-times.txt</v>
      </c>
      <c r="AI237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{"issue":{"subject":"","project_id":79,"tracker_id":40,"status_id":1,"priority_id":2,"assigned_to_id":23,"start_date":"2017-05-16","description":"","custom_fields":[{"id":1,"name":"Subdivision","value":"Other"},{"id":4,"name":"Milepost","value":"0.1193"},{"id":17,"name":"Train ID","value":"60-15"},{"id":16,"name":"Locomotive ID","value":"4049"},{"id":130,"name":"Impact","value":""},{"id":150,"name":"Time of Event (Mountain Time)","value":"02:38:46"},{"id":151,"name":"Denver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79"/>
        <v>start /low /b %USERPROFILE%\Documents\GitHub\eaglep3\Utilities\DownloadLogsFromS3.py --loco 4049 --day 2017-05-16</v>
      </c>
      <c r="AN237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627</v>
      </c>
      <c r="B238" s="7">
        <v>4049</v>
      </c>
      <c r="C238" s="21" t="s">
        <v>206</v>
      </c>
      <c r="D238" s="21" t="s">
        <v>839</v>
      </c>
      <c r="E238" s="13">
        <v>42870.900601851848</v>
      </c>
      <c r="F238" s="13">
        <v>42870.917928240742</v>
      </c>
      <c r="G238" s="7">
        <v>3</v>
      </c>
      <c r="H238" s="21" t="s">
        <v>944</v>
      </c>
      <c r="I238" s="13">
        <v>42870.932500000003</v>
      </c>
      <c r="J238" s="7">
        <v>0</v>
      </c>
      <c r="K238" s="92" t="str">
        <f t="shared" si="65"/>
        <v>4049/4050</v>
      </c>
      <c r="L238" s="21" t="str">
        <f>VLOOKUP(A238,'Trips&amp;Operators'!$C$1:$G$99999,5,FALSE)</f>
        <v>WILLIAMS DONTE</v>
      </c>
      <c r="M238" s="6">
        <f t="shared" si="66"/>
        <v>1.4571759260434192E-2</v>
      </c>
      <c r="N238" s="7">
        <f t="shared" si="81"/>
        <v>20.983333335025236</v>
      </c>
      <c r="O238" s="7"/>
      <c r="P238" s="7"/>
      <c r="Q238" s="22"/>
      <c r="R238" s="190"/>
      <c r="S238" s="196">
        <f t="shared" si="82"/>
        <v>0</v>
      </c>
      <c r="T238" s="190" t="e">
        <f t="shared" si="67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68"/>
        <v>https://d0f6bd738d7f1b3e5a7ca70fe4ff75f0.us-east-1.aws.found.io/app/kibana#/discover/Steve-Slow-Train-Analysis-(2080s-and-2083s)?_g=(refreshInterval:(display:Off,pause:!f,section:0,value:0),time:(from:'2017-05-15T20:36:52-0600',mode:absolute,to:'2017-05-15T23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8" s="192" t="str">
        <f t="shared" si="69"/>
        <v>N</v>
      </c>
      <c r="X238" s="192" t="e">
        <f t="shared" si="83"/>
        <v>#VALUE!</v>
      </c>
      <c r="Y238" s="192">
        <f t="shared" si="70"/>
        <v>23.2987</v>
      </c>
      <c r="Z238" s="192">
        <f t="shared" si="71"/>
        <v>15.413600000000001</v>
      </c>
      <c r="AA238" s="192">
        <f t="shared" si="72"/>
        <v>7.8850999999999996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73"/>
        <v>60-15</v>
      </c>
      <c r="AE238" s="80" t="str">
        <f t="shared" si="74"/>
        <v>aws s3 cp s3://rtdc.mdm.uploadarchive.raw/RTDC4049/ "%USERPROFILE%\AppData\Local\Temp\OnboardLogs"\RTDC4049\2017-05-15 --exclude "*" --recursive --include "*20170515*" &amp; "%USERPROFILE%\Documents\GitHub\mrs-test-scripts\Headless Mode &amp; Sideloading\WalkAndUnGZ.bat" "%USERPROFILE%\AppData\Local\Temp\OnboardLogs"\RTDC4049\2017-05-15 &amp; 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</v>
      </c>
      <c r="AF238" s="77" t="str">
        <f t="shared" si="75"/>
        <v>"C:\Program Files (x86)\AstroGrep\AstroGrep.exe" /e /r /s /spath="%USERPROFILE%\AppData\Local\Temp\OnboardLogs" /stypes="app*4049*20170516*" /stext=" 04:.+((SYSTEM_STATE.+slice.+state.+changed )|(ment ac)|(multiple cpu faults)|(system.+state.+changed )|(\[timeout)|(PRM\|1\|D)|(kpr)|(kdp)|(train st.+moving)|(\|lc)|(penalty))"</v>
      </c>
      <c r="AG238" s="1" t="str">
        <f t="shared" si="76"/>
        <v>Other</v>
      </c>
      <c r="AH238" s="81" t="str">
        <f t="shared" si="77"/>
        <v>"%USERPROFILE%\Documents\GitHub\eaglep3\Utilities\RefineRTDCRunTimes.py" --tripid 60-15 --locoid 4049 --swversion DE.1.0.9.0 --startMP 204:232987 --initTime 2017-05-15T21:36:52 --startdatetime 2017-05-15T22:01:49 --delay 3 --endMP 204:154136 --enddatetime 2017-05-15T22:22:48 --enforcementcount 0 &gt;&gt;C:\Users\stu\Documents\GitHub\eaglep3-reporting\EC\2017-05-15-refined-times.txt</v>
      </c>
      <c r="AI238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{"issue":{"subject":"","project_id":79,"tracker_id":40,"status_id":1,"priority_id":2,"assigned_to_id":23,"start_date":"2017-05-15","description":"","custom_fields":[{"id":1,"name":"Subdivision","value":"Other"},{"id":4,"name":"Milepost","value":"15.4136"},{"id":17,"name":"Train ID","value":"60-15"},{"id":16,"name":"Locomotive ID","value":"4049"},{"id":130,"name":"Impact","value":""},{"id":150,"name":"Time of Event (Mountain Time)","value":"22:22:48"},{"id":151,"name":"Denver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79"/>
        <v>start /low /b %USERPROFILE%\Documents\GitHub\eaglep3\Utilities\DownloadLogsFromS3.py --loco 4049 --day 2017-05-15</v>
      </c>
      <c r="AN238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04:22:48"},{"id":29,"name":"Sharepoint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627</v>
      </c>
      <c r="B239" s="7">
        <v>4049</v>
      </c>
      <c r="C239" s="21" t="s">
        <v>206</v>
      </c>
      <c r="D239" s="21" t="s">
        <v>565</v>
      </c>
      <c r="E239" s="13">
        <v>42870.991469907407</v>
      </c>
      <c r="F239" s="13">
        <v>42871.020624999997</v>
      </c>
      <c r="G239" s="7">
        <v>2</v>
      </c>
      <c r="H239" s="21" t="s">
        <v>945</v>
      </c>
      <c r="I239" s="13">
        <v>42871.029710648145</v>
      </c>
      <c r="J239" s="7">
        <v>0</v>
      </c>
      <c r="K239" s="92" t="str">
        <f t="shared" si="65"/>
        <v>4049/4050</v>
      </c>
      <c r="L239" s="21" t="str">
        <f>VLOOKUP(A239,'Trips&amp;Operators'!$C$1:$G$99999,5,FALSE)</f>
        <v>WILLIAMS DONTE</v>
      </c>
      <c r="M239" s="6">
        <f t="shared" si="66"/>
        <v>9.0856481474475004E-3</v>
      </c>
      <c r="N239" s="7">
        <f t="shared" si="81"/>
        <v>13.083333332324401</v>
      </c>
      <c r="O239" s="7"/>
      <c r="P239" s="7"/>
      <c r="Q239" s="22"/>
      <c r="R239" s="190"/>
      <c r="S239" s="196">
        <f t="shared" si="82"/>
        <v>0</v>
      </c>
      <c r="T239" s="190" t="e">
        <f t="shared" si="67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68"/>
        <v>https://d0f6bd738d7f1b3e5a7ca70fe4ff75f0.us-east-1.aws.found.io/app/kibana#/discover/Steve-Slow-Train-Analysis-(2080s-and-2083s)?_g=(refreshInterval:(display:Off,pause:!f,section:0,value:0),time:(from:'2017-05-15T22:47:43-0600',mode:absolute,to:'2017-05-16T01:42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39" s="192" t="str">
        <f t="shared" si="69"/>
        <v>N</v>
      </c>
      <c r="X239" s="192" t="e">
        <f t="shared" si="83"/>
        <v>#VALUE!</v>
      </c>
      <c r="Y239" s="192">
        <f t="shared" si="70"/>
        <v>23.305299999999999</v>
      </c>
      <c r="Z239" s="192">
        <f t="shared" si="71"/>
        <v>15.4015</v>
      </c>
      <c r="AA239" s="192">
        <f t="shared" si="72"/>
        <v>7.9037999999999986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73"/>
        <v>60-15</v>
      </c>
      <c r="AE239" s="80" t="str">
        <f t="shared" si="74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39" s="77" t="str">
        <f t="shared" si="75"/>
        <v>"C:\Program Files (x86)\AstroGrep\AstroGrep.exe" /e /r /s /spath="%USERPROFILE%\AppData\Local\Temp\OnboardLogs" /stypes="app*4049*20170516*" /stext=" 06:.+((SYSTEM_STATE.+slice.+state.+changed )|(ment ac)|(multiple cpu faults)|(system.+state.+changed )|(\[timeout)|(PRM\|1\|D)|(kpr)|(kdp)|(train st.+moving)|(\|lc)|(penalty))"</v>
      </c>
      <c r="AG239" s="1" t="str">
        <f t="shared" si="76"/>
        <v>Other</v>
      </c>
      <c r="AH239" s="81" t="str">
        <f t="shared" si="77"/>
        <v>"%USERPROFILE%\Documents\GitHub\eaglep3\Utilities\RefineRTDCRunTimes.py" --tripid 60-15 --locoid 4049 --swversion DE.1.0.9.0 --startMP 204:233053 --initTime 2017-05-15T23:47:43 --startdatetime 2017-05-16T00:29:42 --delay 2 --endMP 204:154015 --enddatetime 2017-05-16T00:42:47 --enforcementcount 0 &gt;&gt;C:\Users\stu\Documents\GitHub\eaglep3-reporting\EC\2017-05-15-refined-times.txt</v>
      </c>
      <c r="AI239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{"issue":{"subject":"","project_id":79,"tracker_id":40,"status_id":1,"priority_id":2,"assigned_to_id":23,"start_date":"2017-05-16","description":"","custom_fields":[{"id":1,"name":"Subdivision","value":"Other"},{"id":4,"name":"Milepost","value":"15.4015"},{"id":17,"name":"Train ID","value":"60-15"},{"id":16,"name":"Locomotive ID","value":"4049"},{"id":130,"name":"Impact","value":""},{"id":150,"name":"Time of Event (Mountain Time)","value":"00:42:47"},{"id":151,"name":"Denver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79"/>
        <v>start /low /b %USERPROFILE%\Documents\GitHub\eaglep3\Utilities\DownloadLogsFromS3.py --loco 4049 --day 2017-05-16</v>
      </c>
      <c r="AN239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06:42:47"},{"id":29,"name":"Sharepoint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627</v>
      </c>
      <c r="B240" s="7">
        <v>4049</v>
      </c>
      <c r="C240" s="21" t="s">
        <v>206</v>
      </c>
      <c r="D240" s="21" t="s">
        <v>946</v>
      </c>
      <c r="E240" s="13">
        <v>42871.039988425924</v>
      </c>
      <c r="F240" s="13">
        <v>42871.077881944446</v>
      </c>
      <c r="G240" s="7">
        <v>1</v>
      </c>
      <c r="H240" s="21" t="s">
        <v>947</v>
      </c>
      <c r="I240" s="13">
        <v>42871.104942129627</v>
      </c>
      <c r="J240" s="7">
        <v>0</v>
      </c>
      <c r="K240" s="92" t="str">
        <f t="shared" si="65"/>
        <v>4049/4050</v>
      </c>
      <c r="L240" s="21" t="str">
        <f>VLOOKUP(A240,'Trips&amp;Operators'!$C$1:$G$99999,5,FALSE)</f>
        <v>WILLIAMS DONTE</v>
      </c>
      <c r="M240" s="6">
        <f t="shared" si="66"/>
        <v>2.7060185180744156E-2</v>
      </c>
      <c r="N240" s="7">
        <f t="shared" si="81"/>
        <v>38.966666660271585</v>
      </c>
      <c r="O240" s="7"/>
      <c r="P240" s="7"/>
      <c r="Q240" s="22"/>
      <c r="R240" s="190"/>
      <c r="S240" s="196">
        <f t="shared" si="82"/>
        <v>0</v>
      </c>
      <c r="T240" s="190" t="e">
        <f t="shared" si="67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68"/>
        <v>https://d0f6bd738d7f1b3e5a7ca70fe4ff75f0.us-east-1.aws.found.io/app/kibana#/discover/Steve-Slow-Train-Analysis-(2080s-and-2083s)?_g=(refreshInterval:(display:Off,pause:!f,section:0,value:0),time:(from:'2017-05-15T23:57:35-0600',mode:absolute,to:'2017-05-16T03:31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0" s="192" t="str">
        <f t="shared" si="69"/>
        <v>N</v>
      </c>
      <c r="X240" s="192" t="e">
        <f t="shared" si="83"/>
        <v>#VALUE!</v>
      </c>
      <c r="Y240" s="192">
        <f t="shared" si="70"/>
        <v>23.310500000000001</v>
      </c>
      <c r="Z240" s="192">
        <f t="shared" si="71"/>
        <v>15.4626</v>
      </c>
      <c r="AA240" s="192">
        <f t="shared" si="72"/>
        <v>7.847900000000001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73"/>
        <v>60-15</v>
      </c>
      <c r="AE240" s="80" t="str">
        <f t="shared" si="74"/>
        <v>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 &amp; aws s3 cp s3://rtdc.mdm.uploadarchive.raw/RTDC4049/ "%USERPROFILE%\AppData\Local\Temp\OnboardLogs"\RTDC4049\2017-05-17 --exclude "*" --recursive --include "*20170517*" &amp; "%USERPROFILE%\Documents\GitHub\mrs-test-scripts\Headless Mode &amp; Sideloading\WalkAndUnGZ.bat" "%USERPROFILE%\AppData\Local\Temp\OnboardLogs"\RTDC4049\2017-05-17</v>
      </c>
      <c r="AF240" s="77" t="str">
        <f t="shared" si="75"/>
        <v>"C:\Program Files (x86)\AstroGrep\AstroGrep.exe" /e /r /s /spath="%USERPROFILE%\AppData\Local\Temp\OnboardLogs" /stypes="app*4049*20170516*" /stext=" 08:.+((SYSTEM_STATE.+slice.+state.+changed )|(ment ac)|(multiple cpu faults)|(system.+state.+changed )|(\[timeout)|(PRM\|1\|D)|(kpr)|(kdp)|(train st.+moving)|(\|lc)|(penalty))"</v>
      </c>
      <c r="AG240" s="1" t="str">
        <f t="shared" si="76"/>
        <v>Other</v>
      </c>
      <c r="AH240" s="81" t="str">
        <f t="shared" si="77"/>
        <v>"%USERPROFILE%\Documents\GitHub\eaglep3\Utilities\RefineRTDCRunTimes.py" --tripid 60-15 --locoid 4049 --swversion DE.1.0.9.0 --startMP 204:233105 --initTime 2017-05-16T00:57:35 --startdatetime 2017-05-16T01:52:09 --delay 1 --endMP 204:154626 --enddatetime 2017-05-16T02:31:07 --enforcementcount 0 &gt;&gt;C:\Users\stu\Documents\GitHub\eaglep3-reporting\EC\2017-05-15-refined-times.txt</v>
      </c>
      <c r="AI240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{"issue":{"subject":"","project_id":79,"tracker_id":40,"status_id":1,"priority_id":2,"assigned_to_id":23,"start_date":"2017-05-16","description":"","custom_fields":[{"id":1,"name":"Subdivision","value":"Other"},{"id":4,"name":"Milepost","value":"15.4626"},{"id":17,"name":"Train ID","value":"60-15"},{"id":16,"name":"Locomotive ID","value":"4049"},{"id":130,"name":"Impact","value":""},{"id":150,"name":"Time of Event (Mountain Time)","value":"02:31:07"},{"id":151,"name":"Denver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79"/>
        <v>start /low /b %USERPROFILE%\Documents\GitHub\eaglep3\Utilities\DownloadLogsFromS3.py --loco 4049 --day 2017-05-16</v>
      </c>
      <c r="AN240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08:31:07"},{"id":29,"name":"Sharepoint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627</v>
      </c>
      <c r="B241" s="7">
        <v>4049</v>
      </c>
      <c r="C241" s="21" t="s">
        <v>206</v>
      </c>
      <c r="D241" s="21" t="s">
        <v>899</v>
      </c>
      <c r="E241" s="13">
        <v>42870.956365740742</v>
      </c>
      <c r="F241" s="13">
        <v>42870.978344907409</v>
      </c>
      <c r="G241" s="7">
        <v>1</v>
      </c>
      <c r="H241" s="21" t="s">
        <v>948</v>
      </c>
      <c r="I241" s="13">
        <v>42870.99015046296</v>
      </c>
      <c r="J241" s="7">
        <v>0</v>
      </c>
      <c r="K241" s="92" t="str">
        <f t="shared" si="65"/>
        <v>4049/4050</v>
      </c>
      <c r="L241" s="21" t="str">
        <f>VLOOKUP(A241,'Trips&amp;Operators'!$C$1:$G$99999,5,FALSE)</f>
        <v>WILLIAMS DONTE</v>
      </c>
      <c r="M241" s="6">
        <f t="shared" si="66"/>
        <v>1.1805555550381541E-2</v>
      </c>
      <c r="N241" s="7">
        <f t="shared" si="81"/>
        <v>16.999999992549419</v>
      </c>
      <c r="O241" s="7"/>
      <c r="P241" s="7"/>
      <c r="Q241" s="22"/>
      <c r="R241" s="190"/>
      <c r="S241" s="196">
        <f t="shared" si="82"/>
        <v>0</v>
      </c>
      <c r="T241" s="190" t="e">
        <f t="shared" si="67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68"/>
        <v>https://d0f6bd738d7f1b3e5a7ca70fe4ff75f0.us-east-1.aws.found.io/app/kibana#/discover/Steve-Slow-Train-Analysis-(2080s-and-2083s)?_g=(refreshInterval:(display:Off,pause:!f,section:0,value:0),time:(from:'2017-05-15T21:57:10-0600',mode:absolute,to:'2017-05-16T00:45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41" s="192" t="str">
        <f t="shared" si="69"/>
        <v>N</v>
      </c>
      <c r="X241" s="192" t="e">
        <f t="shared" si="83"/>
        <v>#VALUE!</v>
      </c>
      <c r="Y241" s="192">
        <f t="shared" si="70"/>
        <v>23.311299999999999</v>
      </c>
      <c r="Z241" s="192">
        <f t="shared" si="71"/>
        <v>15.425000000000001</v>
      </c>
      <c r="AA241" s="192">
        <f t="shared" si="72"/>
        <v>7.8862999999999985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73"/>
        <v>60-15</v>
      </c>
      <c r="AE241" s="80" t="str">
        <f t="shared" si="74"/>
        <v>aws s3 cp s3://rtdc.mdm.uploadarchive.raw/RTDC4049/ "%USERPROFILE%\AppData\Local\Temp\OnboardLogs"\RTDC4049\2017-05-15 --exclude "*" --recursive --include "*20170515*" &amp; "%USERPROFILE%\Documents\GitHub\mrs-test-scripts\Headless Mode &amp; Sideloading\WalkAndUnGZ.bat" "%USERPROFILE%\AppData\Local\Temp\OnboardLogs"\RTDC4049\2017-05-15 &amp; aws s3 cp s3://rtdc.mdm.uploadarchive.raw/RTDC4049/ "%USERPROFILE%\AppData\Local\Temp\OnboardLogs"\RTDC4049\2017-05-16 --exclude "*" --recursive --include "*20170516*" &amp; "%USERPROFILE%\Documents\GitHub\mrs-test-scripts\Headless Mode &amp; Sideloading\WalkAndUnGZ.bat" "%USERPROFILE%\AppData\Local\Temp\OnboardLogs"\RTDC4049\2017-05-16</v>
      </c>
      <c r="AF241" s="77" t="str">
        <f t="shared" si="75"/>
        <v>"C:\Program Files (x86)\AstroGrep\AstroGrep.exe" /e /r /s /spath="%USERPROFILE%\AppData\Local\Temp\OnboardLogs" /stypes="app*4049*20170516*" /stext=" 05:.+((SYSTEM_STATE.+slice.+state.+changed )|(ment ac)|(multiple cpu faults)|(system.+state.+changed )|(\[timeout)|(PRM\|1\|D)|(kpr)|(kdp)|(train st.+moving)|(\|lc)|(penalty))"</v>
      </c>
      <c r="AG241" s="1" t="str">
        <f t="shared" si="76"/>
        <v>Other</v>
      </c>
      <c r="AH241" s="81" t="str">
        <f t="shared" si="77"/>
        <v>"%USERPROFILE%\Documents\GitHub\eaglep3\Utilities\RefineRTDCRunTimes.py" --tripid 60-15 --locoid 4049 --swversion DE.1.0.9.0 --startMP 204:233113 --initTime 2017-05-15T22:57:10 --startdatetime 2017-05-15T23:28:49 --delay 1 --endMP 204:154250 --enddatetime 2017-05-15T23:45:49 --enforcementcount 0 &gt;&gt;C:\Users\stu\Documents\GitHub\eaglep3-reporting\EC\2017-05-15-refined-times.txt</v>
      </c>
      <c r="AI241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{"issue":{"subject":"","project_id":79,"tracker_id":40,"status_id":1,"priority_id":2,"assigned_to_id":23,"start_date":"2017-05-15","description":"","custom_fields":[{"id":1,"name":"Subdivision","value":"Other"},{"id":4,"name":"Milepost","value":"15.425"},{"id":17,"name":"Train ID","value":"60-15"},{"id":16,"name":"Locomotive ID","value":"4049"},{"id":130,"name":"Impact","value":""},{"id":150,"name":"Time of Event (Mountain Time)","value":"23:45:49"},{"id":151,"name":"Denver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79"/>
        <v>start /low /b %USERPROFILE%\Documents\GitHub\eaglep3\Utilities\DownloadLogsFromS3.py --loco 4049 --day 2017-05-15</v>
      </c>
      <c r="AN241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05:45:49"},{"id":29,"name":"Sharepoint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627</v>
      </c>
      <c r="B242" s="7">
        <v>4050</v>
      </c>
      <c r="C242" s="21" t="s">
        <v>206</v>
      </c>
      <c r="D242" s="21" t="s">
        <v>949</v>
      </c>
      <c r="E242" s="13">
        <v>42871.108136574076</v>
      </c>
      <c r="F242" s="13">
        <v>42871.110081018516</v>
      </c>
      <c r="G242" s="7">
        <v>1</v>
      </c>
      <c r="H242" s="21" t="s">
        <v>950</v>
      </c>
      <c r="I242" s="13">
        <v>42871.110254629632</v>
      </c>
      <c r="J242" s="7">
        <v>0</v>
      </c>
      <c r="K242" s="92" t="str">
        <f t="shared" si="65"/>
        <v>4049/4050</v>
      </c>
      <c r="L242" s="21" t="str">
        <f>VLOOKUP(A242,'Trips&amp;Operators'!$C$1:$G$99999,5,FALSE)</f>
        <v>WILLIAMS DONTE</v>
      </c>
      <c r="M242" s="6">
        <f t="shared" si="66"/>
        <v>1.7361111531499773E-4</v>
      </c>
      <c r="N242" s="7">
        <f t="shared" si="81"/>
        <v>0.25000000605359674</v>
      </c>
      <c r="O242" s="7"/>
      <c r="P242" s="7"/>
      <c r="Q242" s="22"/>
      <c r="R242" s="190"/>
      <c r="S242" s="196">
        <f t="shared" si="82"/>
        <v>0</v>
      </c>
      <c r="T242" s="190" t="e">
        <f t="shared" si="67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68"/>
        <v>https://d0f6bd738d7f1b3e5a7ca70fe4ff75f0.us-east-1.aws.found.io/app/kibana#/discover/Steve-Slow-Train-Analysis-(2080s-and-2083s)?_g=(refreshInterval:(display:Off,pause:!f,section:0,value:0),time:(from:'2017-05-16T01:35:43-0600',mode:absolute,to:'2017-05-16T03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2" s="192" t="str">
        <f t="shared" si="69"/>
        <v>Y</v>
      </c>
      <c r="X242" s="192" t="e">
        <f t="shared" si="83"/>
        <v>#VALUE!</v>
      </c>
      <c r="Y242" s="192">
        <f t="shared" si="70"/>
        <v>0.1497</v>
      </c>
      <c r="Z242" s="192">
        <f t="shared" si="71"/>
        <v>0.189</v>
      </c>
      <c r="AA242" s="192">
        <f t="shared" si="72"/>
        <v>3.9300000000000002E-2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73"/>
        <v>60-15</v>
      </c>
      <c r="AE242" s="80" t="str">
        <f t="shared" si="74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42" s="77" t="str">
        <f t="shared" si="75"/>
        <v>"C:\Program Files (x86)\AstroGrep\AstroGrep.exe" /e /r /s /spath="%USERPROFILE%\AppData\Local\Temp\OnboardLogs" /stypes="app*4050*20170516*" /stext=" 08:.+((SYSTEM_STATE.+slice.+state.+changed )|(ment ac)|(multiple cpu faults)|(system.+state.+changed )|(\[timeout)|(PRM\|1\|D)|(kpr)|(kdp)|(train st.+moving)|(\|lc)|(penalty))"</v>
      </c>
      <c r="AG242" s="1" t="str">
        <f t="shared" si="76"/>
        <v>Other</v>
      </c>
      <c r="AH242" s="81" t="str">
        <f t="shared" si="77"/>
        <v>"%USERPROFILE%\Documents\GitHub\eaglep3\Utilities\RefineRTDCRunTimes.py" --tripid 60-15 --locoid 4050 --swversion DE.1.0.9.0 --startMP 204:1497 --initTime 2017-05-16T02:35:43 --startdatetime 2017-05-16T02:38:31 --delay 1 --endMP 204:1890 --enddatetime 2017-05-16T02:38:46 --enforcementcount 0 &gt;&gt;C:\Users\stu\Documents\GitHub\eaglep3-reporting\EC\2017-05-15-refined-times.txt</v>
      </c>
      <c r="AI242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{"issue":{"subject":"","project_id":79,"tracker_id":40,"status_id":1,"priority_id":2,"assigned_to_id":23,"start_date":"2017-05-16","description":"","custom_fields":[{"id":1,"name":"Subdivision","value":"Other"},{"id":4,"name":"Milepost","value":"0.189"},{"id":17,"name":"Train ID","value":"60-15"},{"id":16,"name":"Locomotive ID","value":"4050"},{"id":130,"name":"Impact","value":""},{"id":150,"name":"Time of Event (Mountain Time)","value":"02:38:46"},{"id":151,"name":"Denver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79"/>
        <v>start /low /b %USERPROFILE%\Documents\GitHub\eaglep3\Utilities\DownloadLogsFromS3.py --loco 4050 --day 2017-05-16</v>
      </c>
      <c r="AN242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627</v>
      </c>
      <c r="B243" s="7">
        <v>4050</v>
      </c>
      <c r="C243" s="21" t="s">
        <v>206</v>
      </c>
      <c r="D243" s="21" t="s">
        <v>951</v>
      </c>
      <c r="E243" s="13">
        <v>42871.013298611113</v>
      </c>
      <c r="F243" s="13">
        <v>42871.041817129626</v>
      </c>
      <c r="G243" s="7">
        <v>1</v>
      </c>
      <c r="H243" s="21" t="s">
        <v>568</v>
      </c>
      <c r="I243" s="13">
        <v>42871.055601851855</v>
      </c>
      <c r="J243" s="7">
        <v>0</v>
      </c>
      <c r="K243" s="92" t="str">
        <f t="shared" si="65"/>
        <v>4049/4050</v>
      </c>
      <c r="L243" s="21" t="str">
        <f>VLOOKUP(A243,'Trips&amp;Operators'!$C$1:$G$99999,5,FALSE)</f>
        <v>WILLIAMS DONTE</v>
      </c>
      <c r="M243" s="6">
        <f t="shared" si="66"/>
        <v>1.3784722228592727E-2</v>
      </c>
      <c r="N243" s="7">
        <f t="shared" si="81"/>
        <v>19.850000009173527</v>
      </c>
      <c r="O243" s="7"/>
      <c r="P243" s="7"/>
      <c r="Q243" s="22"/>
      <c r="R243" s="190"/>
      <c r="S243" s="196">
        <f t="shared" si="82"/>
        <v>0</v>
      </c>
      <c r="T243" s="190" t="e">
        <f t="shared" si="67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68"/>
        <v>https://d0f6bd738d7f1b3e5a7ca70fe4ff75f0.us-east-1.aws.found.io/app/kibana#/discover/Steve-Slow-Train-Analysis-(2080s-and-2083s)?_g=(refreshInterval:(display:Off,pause:!f,section:0,value:0),time:(from:'2017-05-15T23:19:09-0600',mode:absolute,to:'2017-05-16T02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3" s="192" t="str">
        <f t="shared" si="69"/>
        <v>N</v>
      </c>
      <c r="X243" s="192" t="e">
        <f t="shared" si="83"/>
        <v>#VALUE!</v>
      </c>
      <c r="Y243" s="192">
        <f t="shared" si="70"/>
        <v>15.428000000000001</v>
      </c>
      <c r="Z243" s="192">
        <f t="shared" si="71"/>
        <v>23.339700000000001</v>
      </c>
      <c r="AA243" s="192">
        <f t="shared" si="72"/>
        <v>7.9116999999999997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73"/>
        <v>60-15</v>
      </c>
      <c r="AE243" s="80" t="str">
        <f t="shared" si="74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43" s="77" t="str">
        <f t="shared" si="75"/>
        <v>"C:\Program Files (x86)\AstroGrep\AstroGrep.exe" /e /r /s /spath="%USERPROFILE%\AppData\Local\Temp\OnboardLogs" /stypes="app*4050*20170516*" /stext=" 07:.+((SYSTEM_STATE.+slice.+state.+changed )|(ment ac)|(multiple cpu faults)|(system.+state.+changed )|(\[timeout)|(PRM\|1\|D)|(kpr)|(kdp)|(train st.+moving)|(\|lc)|(penalty))"</v>
      </c>
      <c r="AG243" s="1" t="str">
        <f t="shared" si="76"/>
        <v>Other</v>
      </c>
      <c r="AH243" s="81" t="str">
        <f t="shared" si="77"/>
        <v>"%USERPROFILE%\Documents\GitHub\eaglep3\Utilities\RefineRTDCRunTimes.py" --tripid 60-15 --locoid 4050 --swversion DE.1.0.9.0 --startMP 204:154280 --initTime 2017-05-16T00:19:09 --startdatetime 2017-05-16T01:00:13 --delay 1 --endMP 204:233397 --enddatetime 2017-05-16T01:20:04 --enforcementcount 0 &gt;&gt;C:\Users\stu\Documents\GitHub\eaglep3-reporting\EC\2017-05-15-refined-times.txt</v>
      </c>
      <c r="AI243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{"issue":{"subject":"","project_id":79,"tracker_id":40,"status_id":1,"priority_id":2,"assigned_to_id":23,"start_date":"2017-05-16","description":"","custom_fields":[{"id":1,"name":"Subdivision","value":"Other"},{"id":4,"name":"Milepost","value":"23.3397"},{"id":17,"name":"Train ID","value":"60-15"},{"id":16,"name":"Locomotive ID","value":"4050"},{"id":130,"name":"Impact","value":""},{"id":150,"name":"Time of Event (Mountain Time)","value":"01:20:04"},{"id":151,"name":"Denver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79"/>
        <v>start /low /b %USERPROFILE%\Documents\GitHub\eaglep3\Utilities\DownloadLogsFromS3.py --loco 4050 --day 2017-05-16</v>
      </c>
      <c r="AN243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07:20:04"},{"id":29,"name":"Sharepoint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627</v>
      </c>
      <c r="B244" s="7">
        <v>4050</v>
      </c>
      <c r="C244" s="21" t="s">
        <v>206</v>
      </c>
      <c r="D244" s="21" t="s">
        <v>952</v>
      </c>
      <c r="E244" s="13">
        <v>42870.970254629632</v>
      </c>
      <c r="F244" s="13">
        <v>42871.00240740741</v>
      </c>
      <c r="G244" s="7">
        <v>2</v>
      </c>
      <c r="H244" s="21" t="s">
        <v>866</v>
      </c>
      <c r="I244" s="13">
        <v>42871.011967592596</v>
      </c>
      <c r="J244" s="7">
        <v>0</v>
      </c>
      <c r="K244" s="92" t="str">
        <f t="shared" si="65"/>
        <v>4049/4050</v>
      </c>
      <c r="L244" s="21" t="str">
        <f>VLOOKUP(A244,'Trips&amp;Operators'!$C$1:$G$99999,5,FALSE)</f>
        <v>WILLIAMS DONTE</v>
      </c>
      <c r="M244" s="6">
        <f t="shared" si="66"/>
        <v>9.560185186273884E-3</v>
      </c>
      <c r="N244" s="7">
        <f t="shared" si="81"/>
        <v>13.766666668234393</v>
      </c>
      <c r="O244" s="7"/>
      <c r="P244" s="7"/>
      <c r="Q244" s="22"/>
      <c r="R244" s="190"/>
      <c r="S244" s="196">
        <f t="shared" si="82"/>
        <v>0</v>
      </c>
      <c r="T244" s="190" t="e">
        <f t="shared" si="67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68"/>
        <v>https://d0f6bd738d7f1b3e5a7ca70fe4ff75f0.us-east-1.aws.found.io/app/kibana#/discover/Steve-Slow-Train-Analysis-(2080s-and-2083s)?_g=(refreshInterval:(display:Off,pause:!f,section:0,value:0),time:(from:'2017-05-15T22:17:10-0600',mode:absolute,to:'2017-05-16T01:17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4" s="192" t="str">
        <f t="shared" si="69"/>
        <v>N</v>
      </c>
      <c r="X244" s="192" t="e">
        <f t="shared" si="83"/>
        <v>#VALUE!</v>
      </c>
      <c r="Y244" s="192">
        <f t="shared" si="70"/>
        <v>15.451599999999999</v>
      </c>
      <c r="Z244" s="192">
        <f t="shared" si="71"/>
        <v>23.338699999999999</v>
      </c>
      <c r="AA244" s="192">
        <f t="shared" si="72"/>
        <v>7.8871000000000002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73"/>
        <v>60-15</v>
      </c>
      <c r="AE244" s="80" t="str">
        <f t="shared" si="74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44" s="77" t="str">
        <f t="shared" si="75"/>
        <v>"C:\Program Files (x86)\AstroGrep\AstroGrep.exe" /e /r /s /spath="%USERPROFILE%\AppData\Local\Temp\OnboardLogs" /stypes="app*4050*20170516*" /stext=" 06:.+((SYSTEM_STATE.+slice.+state.+changed )|(ment ac)|(multiple cpu faults)|(system.+state.+changed )|(\[timeout)|(PRM\|1\|D)|(kpr)|(kdp)|(train st.+moving)|(\|lc)|(penalty))"</v>
      </c>
      <c r="AG244" s="1" t="str">
        <f t="shared" si="76"/>
        <v>Other</v>
      </c>
      <c r="AH244" s="81" t="str">
        <f t="shared" si="77"/>
        <v>"%USERPROFILE%\Documents\GitHub\eaglep3\Utilities\RefineRTDCRunTimes.py" --tripid 60-15 --locoid 4050 --swversion DE.1.0.9.0 --startMP 204:154516 --initTime 2017-05-15T23:17:10 --startdatetime 2017-05-16T00:03:28 --delay 2 --endMP 204:233387 --enddatetime 2017-05-16T00:17:14 --enforcementcount 0 &gt;&gt;C:\Users\stu\Documents\GitHub\eaglep3-reporting\EC\2017-05-15-refined-times.txt</v>
      </c>
      <c r="AI244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{"issue":{"subject":"","project_id":79,"tracker_id":40,"status_id":1,"priority_id":2,"assigned_to_id":23,"start_date":"2017-05-16","description":"","custom_fields":[{"id":1,"name":"Subdivision","value":"Other"},{"id":4,"name":"Milepost","value":"23.3387"},{"id":17,"name":"Train ID","value":"60-15"},{"id":16,"name":"Locomotive ID","value":"4050"},{"id":130,"name":"Impact","value":""},{"id":150,"name":"Time of Event (Mountain Time)","value":"00:17:14"},{"id":151,"name":"Denver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79"/>
        <v>start /low /b %USERPROFILE%\Documents\GitHub\eaglep3\Utilities\DownloadLogsFromS3.py --loco 4050 --day 2017-05-16</v>
      </c>
      <c r="AN244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06:17:14"},{"id":29,"name":"Sharepoint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627</v>
      </c>
      <c r="B245" s="7">
        <v>4050</v>
      </c>
      <c r="C245" s="21" t="s">
        <v>206</v>
      </c>
      <c r="D245" s="21" t="s">
        <v>953</v>
      </c>
      <c r="E245" s="13">
        <v>42871.057025462964</v>
      </c>
      <c r="F245" s="13">
        <v>42871.077881944446</v>
      </c>
      <c r="G245" s="7">
        <v>1</v>
      </c>
      <c r="H245" s="21" t="s">
        <v>954</v>
      </c>
      <c r="I245" s="13">
        <v>42871.104942129627</v>
      </c>
      <c r="J245" s="7">
        <v>0</v>
      </c>
      <c r="K245" s="92" t="str">
        <f t="shared" si="65"/>
        <v>4049/4050</v>
      </c>
      <c r="L245" s="21" t="str">
        <f>VLOOKUP(A245,'Trips&amp;Operators'!$C$1:$G$99999,5,FALSE)</f>
        <v>WILLIAMS DONTE</v>
      </c>
      <c r="M245" s="6">
        <f t="shared" si="66"/>
        <v>2.7060185180744156E-2</v>
      </c>
      <c r="N245" s="7">
        <f t="shared" si="81"/>
        <v>38.966666660271585</v>
      </c>
      <c r="O245" s="7"/>
      <c r="P245" s="7"/>
      <c r="Q245" s="22"/>
      <c r="R245" s="190"/>
      <c r="S245" s="196">
        <f t="shared" si="82"/>
        <v>0</v>
      </c>
      <c r="T245" s="190" t="e">
        <f t="shared" si="67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68"/>
        <v>https://d0f6bd738d7f1b3e5a7ca70fe4ff75f0.us-east-1.aws.found.io/app/kibana#/discover/Steve-Slow-Train-Analysis-(2080s-and-2083s)?_g=(refreshInterval:(display:Off,pause:!f,section:0,value:0),time:(from:'2017-05-16T00:22:07-0600',mode:absolute,to:'2017-05-16T03:31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45" s="192" t="str">
        <f t="shared" si="69"/>
        <v>N</v>
      </c>
      <c r="X245" s="192" t="e">
        <f t="shared" si="83"/>
        <v>#VALUE!</v>
      </c>
      <c r="Y245" s="192">
        <f t="shared" si="70"/>
        <v>15.5022</v>
      </c>
      <c r="Z245" s="192">
        <f t="shared" si="71"/>
        <v>23.308599999999998</v>
      </c>
      <c r="AA245" s="192">
        <f t="shared" si="72"/>
        <v>7.8063999999999982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73"/>
        <v>60-15</v>
      </c>
      <c r="AE245" s="80" t="str">
        <f t="shared" si="74"/>
        <v>aws s3 cp s3://rtdc.mdm.uploadarchive.raw/RTDC4050/ "%USERPROFILE%\AppData\Local\Temp\OnboardLogs"\RTDC4050\2017-05-16 --exclude "*" --recursive --include "*20170516*" &amp; "%USERPROFILE%\Documents\GitHub\mrs-test-scripts\Headless Mode &amp; Sideloading\WalkAndUnGZ.bat" "%USERPROFILE%\AppData\Local\Temp\OnboardLogs"\RTDC4050\2017-05-16 &amp; aws s3 cp s3://rtdc.mdm.uploadarchive.raw/RTDC4050/ "%USERPROFILE%\AppData\Local\Temp\OnboardLogs"\RTDC4050\2017-05-17 --exclude "*" --recursive --include "*20170517*" &amp; "%USERPROFILE%\Documents\GitHub\mrs-test-scripts\Headless Mode &amp; Sideloading\WalkAndUnGZ.bat" "%USERPROFILE%\AppData\Local\Temp\OnboardLogs"\RTDC4050\2017-05-17</v>
      </c>
      <c r="AF245" s="77" t="str">
        <f t="shared" si="75"/>
        <v>"C:\Program Files (x86)\AstroGrep\AstroGrep.exe" /e /r /s /spath="%USERPROFILE%\AppData\Local\Temp\OnboardLogs" /stypes="app*4050*20170516*" /stext=" 08:.+((SYSTEM_STATE.+slice.+state.+changed )|(ment ac)|(multiple cpu faults)|(system.+state.+changed )|(\[timeout)|(PRM\|1\|D)|(kpr)|(kdp)|(train st.+moving)|(\|lc)|(penalty))"</v>
      </c>
      <c r="AG245" s="1" t="str">
        <f t="shared" si="76"/>
        <v>Other</v>
      </c>
      <c r="AH245" s="81" t="str">
        <f t="shared" si="77"/>
        <v>"%USERPROFILE%\Documents\GitHub\eaglep3\Utilities\RefineRTDCRunTimes.py" --tripid 60-15 --locoid 4050 --swversion DE.1.0.9.0 --startMP 204:155022 --initTime 2017-05-16T01:22:07 --startdatetime 2017-05-16T01:52:09 --delay 1 --endMP 204:233086 --enddatetime 2017-05-16T02:31:07 --enforcementcount 0 &gt;&gt;C:\Users\stu\Documents\GitHub\eaglep3-reporting\EC\2017-05-15-refined-times.txt</v>
      </c>
      <c r="AI245" s="99" t="str">
        <f t="shared" si="78"/>
        <v>echo {"issue":{"subject":"","project_id":79,"tracker_id":40,"status_id":1,"priority_id":2,"assigned_to_id":23,"start_date":"2017-05-16","description":"","custom_fields":[{"id":1,"name":"Subdivision","value":"Other"},{"id":4,"name":"Milepost","value":"23.3086"},{"id":17,"name":"Train ID","value":"60-15"},{"id":16,"name":"Locomotive ID","value":"4050"},{"id":130,"name":"Impact","value":""},{"id":150,"name":"Time of Event (Mountain Time)","value":"02:31:07"},{"id":151,"name":"Denver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79"/>
        <v>start /low /b %USERPROFILE%\Documents\GitHub\eaglep3\Utilities\DownloadLogsFromS3.py --loco 4050 --day 2017-05-16</v>
      </c>
      <c r="AN245" s="154" t="str">
        <f t="shared" si="80"/>
        <v>echo {"issue":{"subject":"","project_id":30,"tracker_id":4,"status_id":1,"priority_id":1,"assigned_to_id":10,"start_date":"2017-05-16","description":"","custom_fields":[{"id":30,"name":"Category","value":"Issue"},{"id":3,"name":"Functional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UTC","value":"2017-05-16 08:31:07"},{"id":29,"name":"Sharepoint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609</v>
      </c>
      <c r="B246" s="7">
        <v>4029</v>
      </c>
      <c r="C246" s="21" t="s">
        <v>206</v>
      </c>
      <c r="D246" s="21" t="s">
        <v>955</v>
      </c>
      <c r="E246" s="13">
        <v>42870.653124999997</v>
      </c>
      <c r="F246" s="13">
        <v>42870.654687499999</v>
      </c>
      <c r="G246" s="7">
        <v>1</v>
      </c>
      <c r="H246" s="21" t="s">
        <v>359</v>
      </c>
      <c r="I246" s="13">
        <v>42870.6559375</v>
      </c>
      <c r="J246" s="7">
        <v>0</v>
      </c>
      <c r="K246" s="92" t="str">
        <f t="shared" si="65"/>
        <v>4029/4030</v>
      </c>
      <c r="L246" s="21" t="str">
        <f>VLOOKUP(A246,'Trips&amp;Operators'!$C$1:$G$99999,5,FALSE)</f>
        <v>ACKERMAN JARED</v>
      </c>
      <c r="M246" s="6">
        <f t="shared" si="66"/>
        <v>1.2500000011641532E-3</v>
      </c>
      <c r="N246" s="7">
        <f t="shared" si="81"/>
        <v>1.8000000016763806</v>
      </c>
      <c r="O246" s="7"/>
      <c r="P246" s="7"/>
      <c r="Q246" s="22"/>
      <c r="R246" s="190"/>
      <c r="S246" s="196">
        <f t="shared" si="82"/>
        <v>0</v>
      </c>
      <c r="T246" s="190" t="e">
        <f t="shared" si="67"/>
        <v>#VALUE!</v>
      </c>
      <c r="U246" s="190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1" t="str">
        <f t="shared" si="68"/>
        <v>https://d0f6bd738d7f1b3e5a7ca70fe4ff75f0.us-east-1.aws.found.io/app/kibana#/discover/Steve-Slow-Train-Analysis-(2080s-and-2083s)?_g=(refreshInterval:(display:Off,pause:!f,section:0,value:0),time:(from:'2017-05-15T14:40:30-0600',mode:absolute,to:'2017-05-15T16:44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6" s="192" t="str">
        <f t="shared" si="69"/>
        <v>Y</v>
      </c>
      <c r="X246" s="192" t="e">
        <f t="shared" si="83"/>
        <v>#VALUE!</v>
      </c>
      <c r="Y246" s="192">
        <f t="shared" si="70"/>
        <v>0.31690000000000002</v>
      </c>
      <c r="Z246" s="192">
        <f t="shared" si="71"/>
        <v>1.49E-2</v>
      </c>
      <c r="AA246" s="192">
        <f t="shared" si="72"/>
        <v>0.30199999999999999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73"/>
        <v>65-15</v>
      </c>
      <c r="AE246" s="80" t="str">
        <f t="shared" si="74"/>
        <v>aws s3 cp s3://rtdc.mdm.uploadarchive.raw/RTDC4029/ "%USERPROFILE%\AppData\Local\Temp\OnboardLogs"\RTDC4029\2017-05-15 --exclude "*" --recursive --include "*20170515*" &amp; "%USERPROFILE%\Documents\GitHub\mrs-test-scripts\Headless Mode &amp; Sideloading\WalkAndUnGZ.bat" "%USERPROFILE%\AppData\Local\Temp\OnboardLogs"\RTDC4029\2017-05-15 &amp; aws s3 cp s3://rtdc.mdm.uploadarchive.raw/RTDC4029/ "%USERPROFILE%\AppData\Local\Temp\OnboardLogs"\RTDC4029\2017-05-16 --exclude "*" --recursive --include "*20170516*" &amp; "%USERPROFILE%\Documents\GitHub\mrs-test-scripts\Headless Mode &amp; Sideloading\WalkAndUnGZ.bat" "%USERPROFILE%\AppData\Local\Temp\OnboardLogs"\RTDC4029\2017-05-16</v>
      </c>
      <c r="AF246" s="77" t="str">
        <f t="shared" si="75"/>
        <v>"C:\Program Files (x86)\AstroGrep\AstroGrep.exe" /e /r /s /spath="%USERPROFILE%\AppData\Local\Temp\OnboardLogs" /stypes="app*4029*20170515*" /stext=" 21:.+((SYSTEM_STATE.+slice.+state.+changed )|(ment ac)|(multiple cpu faults)|(system.+state.+changed )|(\[timeout)|(PRM\|1\|D)|(kpr)|(kdp)|(train st.+moving)|(\|lc)|(penalty))"</v>
      </c>
      <c r="AG246" s="1" t="str">
        <f t="shared" si="76"/>
        <v>Other</v>
      </c>
      <c r="AH246" s="81" t="str">
        <f t="shared" si="77"/>
        <v>"%USERPROFILE%\Documents\GitHub\eaglep3\Utilities\RefineRTDCRunTimes.py" --tripid 65-15 --locoid 4029 --swversion DE.1.0.9.0 --startMP 204:3169 --initTime 2017-05-15T15:40:30 --startdatetime 2017-05-15T15:42:45 --delay 1 --endMP 204:149 --enddatetime 2017-05-15T15:44:33 --enforcementcount 0 &gt;&gt;C:\Users\stu\Documents\GitHub\eaglep3-reporting\EC\2017-05-15-refined-times.txt</v>
      </c>
      <c r="AI246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{"issue":{"subject":"","project_id":79,"tracker_id":40,"status_id":1,"priority_id":2,"assigned_to_id":23,"start_date":"2017-05-15","description":"","custom_fields":[{"id":1,"name":"Subdivision","value":"Other"},{"id":4,"name":"Milepost","value":"0.0149"},{"id":17,"name":"Train ID","value":"65-15"},{"id":16,"name":"Locomotive ID","value":"4029"},{"id":130,"name":"Impact","value":""},{"id":150,"name":"Time of Event (Mountain Time)","value":"15:44:33"},{"id":151,"name":"Denver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79"/>
        <v>start /low /b %USERPROFILE%\Documents\GitHub\eaglep3\Utilities\DownloadLogsFromS3.py --loco 4029 --day 2017-05-15</v>
      </c>
      <c r="AN246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21:44:33"},{"id":29,"name":"Sharepoint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609</v>
      </c>
      <c r="B247" s="7">
        <v>4030</v>
      </c>
      <c r="C247" s="21" t="s">
        <v>206</v>
      </c>
      <c r="D247" s="21" t="s">
        <v>956</v>
      </c>
      <c r="E247" s="13">
        <v>42870.621331018519</v>
      </c>
      <c r="F247" s="13">
        <v>42870.654687499999</v>
      </c>
      <c r="G247" s="7">
        <v>1</v>
      </c>
      <c r="H247" s="21" t="s">
        <v>957</v>
      </c>
      <c r="I247" s="13">
        <v>42870.6559375</v>
      </c>
      <c r="J247" s="7">
        <v>0</v>
      </c>
      <c r="K247" s="92" t="str">
        <f t="shared" si="65"/>
        <v>4029/4030</v>
      </c>
      <c r="L247" s="21" t="str">
        <f>VLOOKUP(A247,'Trips&amp;Operators'!$C$1:$G$99999,5,FALSE)</f>
        <v>ACKERMAN JARED</v>
      </c>
      <c r="M247" s="6">
        <f t="shared" si="66"/>
        <v>1.2500000011641532E-3</v>
      </c>
      <c r="N247" s="7">
        <f t="shared" si="81"/>
        <v>1.8000000016763806</v>
      </c>
      <c r="O247" s="7"/>
      <c r="P247" s="7"/>
      <c r="Q247" s="22"/>
      <c r="R247" s="190"/>
      <c r="S247" s="196">
        <f t="shared" si="82"/>
        <v>0</v>
      </c>
      <c r="T247" s="190" t="e">
        <f t="shared" si="67"/>
        <v>#VALUE!</v>
      </c>
      <c r="U247" s="190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91" t="str">
        <f t="shared" si="68"/>
        <v>https://d0f6bd738d7f1b3e5a7ca70fe4ff75f0.us-east-1.aws.found.io/app/kibana#/discover/Steve-Slow-Train-Analysis-(2080s-and-2083s)?_g=(refreshInterval:(display:Off,pause:!f,section:0,value:0),time:(from:'2017-05-15T13:54:43-0600',mode:absolute,to:'2017-05-15T16:44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7" s="192" t="str">
        <f t="shared" si="69"/>
        <v>Y</v>
      </c>
      <c r="X247" s="192" t="e">
        <f t="shared" si="83"/>
        <v>#VALUE!</v>
      </c>
      <c r="Y247" s="192">
        <f t="shared" si="70"/>
        <v>0.14940000000000001</v>
      </c>
      <c r="Z247" s="192">
        <f t="shared" si="71"/>
        <v>0.1797</v>
      </c>
      <c r="AA247" s="192">
        <f t="shared" si="72"/>
        <v>3.0299999999999994E-2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73"/>
        <v>65-15</v>
      </c>
      <c r="AE247" s="80" t="str">
        <f t="shared" si="74"/>
        <v>aws s3 cp s3://rtdc.mdm.uploadarchive.raw/RTDC4030/ "%USERPROFILE%\AppData\Local\Temp\OnboardLogs"\RTDC4030\2017-05-15 --exclude "*" --recursive --include "*20170515*" &amp; "%USERPROFILE%\Documents\GitHub\mrs-test-scripts\Headless Mode &amp; Sideloading\WalkAndUnGZ.bat" "%USERPROFILE%\AppData\Local\Temp\OnboardLogs"\RTDC4030\2017-05-15 &amp; aws s3 cp s3://rtdc.mdm.uploadarchive.raw/RTDC4030/ "%USERPROFILE%\AppData\Local\Temp\OnboardLogs"\RTDC4030\2017-05-16 --exclude "*" --recursive --include "*20170516*" &amp; "%USERPROFILE%\Documents\GitHub\mrs-test-scripts\Headless Mode &amp; Sideloading\WalkAndUnGZ.bat" "%USERPROFILE%\AppData\Local\Temp\OnboardLogs"\RTDC4030\2017-05-16</v>
      </c>
      <c r="AF247" s="77" t="str">
        <f t="shared" si="75"/>
        <v>"C:\Program Files (x86)\AstroGrep\AstroGrep.exe" /e /r /s /spath="%USERPROFILE%\AppData\Local\Temp\OnboardLogs" /stypes="app*4030*20170515*" /stext=" 21:.+((SYSTEM_STATE.+slice.+state.+changed )|(ment ac)|(multiple cpu faults)|(system.+state.+changed )|(\[timeout)|(PRM\|1\|D)|(kpr)|(kdp)|(train st.+moving)|(\|lc)|(penalty))"</v>
      </c>
      <c r="AG247" s="1" t="str">
        <f t="shared" si="76"/>
        <v>Other</v>
      </c>
      <c r="AH247" s="81" t="str">
        <f t="shared" si="77"/>
        <v>"%USERPROFILE%\Documents\GitHub\eaglep3\Utilities\RefineRTDCRunTimes.py" --tripid 65-15 --locoid 4030 --swversion DE.1.0.9.0 --startMP 204:1494 --initTime 2017-05-15T14:54:43 --startdatetime 2017-05-15T15:42:45 --delay 1 --endMP 204:1797 --enddatetime 2017-05-15T15:44:33 --enforcementcount 0 &gt;&gt;C:\Users\stu\Documents\GitHub\eaglep3-reporting\EC\2017-05-15-refined-times.txt</v>
      </c>
      <c r="AI247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{"issue":{"subject":"","project_id":79,"tracker_id":40,"status_id":1,"priority_id":2,"assigned_to_id":23,"start_date":"2017-05-15","description":"","custom_fields":[{"id":1,"name":"Subdivision","value":"Other"},{"id":4,"name":"Milepost","value":"0.1797"},{"id":17,"name":"Train ID","value":"65-15"},{"id":16,"name":"Locomotive ID","value":"4030"},{"id":130,"name":"Impact","value":""},{"id":150,"name":"Time of Event (Mountain Time)","value":"15:44:33"},{"id":151,"name":"Denver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79"/>
        <v>start /low /b %USERPROFILE%\Documents\GitHub\eaglep3\Utilities\DownloadLogsFromS3.py --loco 4030 --day 2017-05-15</v>
      </c>
      <c r="AN247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21:44:33"},{"id":29,"name":"Sharepoint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 s="32" t="s">
        <v>767</v>
      </c>
      <c r="B248" s="7">
        <v>4010</v>
      </c>
      <c r="C248" s="21" t="s">
        <v>206</v>
      </c>
      <c r="D248" s="21" t="s">
        <v>958</v>
      </c>
      <c r="E248" s="13">
        <v>42870.724039351851</v>
      </c>
      <c r="F248" s="13">
        <v>42870.735648148147</v>
      </c>
      <c r="G248" s="7">
        <v>3</v>
      </c>
      <c r="H248" s="21" t="s">
        <v>959</v>
      </c>
      <c r="I248" s="13">
        <v>42870.745405092595</v>
      </c>
      <c r="J248" s="7">
        <v>0</v>
      </c>
      <c r="K248" s="92" t="str">
        <f t="shared" si="65"/>
        <v>4009/4010</v>
      </c>
      <c r="L248" s="21" t="str">
        <f>VLOOKUP(A248,'Trips&amp;Operators'!$C$1:$G$99999,5,FALSE)</f>
        <v>DAVIDSON DAVID</v>
      </c>
      <c r="M248" s="6">
        <f t="shared" si="66"/>
        <v>9.7569444478722289E-3</v>
      </c>
      <c r="N248" s="7">
        <f t="shared" si="81"/>
        <v>14.05000000493601</v>
      </c>
      <c r="O248" s="7"/>
      <c r="P248" s="7"/>
      <c r="Q248" s="22"/>
      <c r="R248" s="190"/>
      <c r="S248" s="196">
        <f t="shared" si="82"/>
        <v>0</v>
      </c>
      <c r="T248" s="190" t="e">
        <f t="shared" si="67"/>
        <v>#VALUE!</v>
      </c>
      <c r="U248" s="190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91" t="str">
        <f t="shared" si="68"/>
        <v>https://d0f6bd738d7f1b3e5a7ca70fe4ff75f0.us-east-1.aws.found.io/app/kibana#/discover/Steve-Slow-Train-Analysis-(2080s-and-2083s)?_g=(refreshInterval:(display:Off,pause:!f,section:0,value:0),time:(from:'2017-05-15T16:22:37-0600',mode:absolute,to:'2017-05-15T18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48" s="192" t="str">
        <f t="shared" si="69"/>
        <v>Y</v>
      </c>
      <c r="X248" s="192" t="e">
        <f t="shared" si="83"/>
        <v>#VALUE!</v>
      </c>
      <c r="Y248" s="192">
        <f t="shared" si="70"/>
        <v>0.1479</v>
      </c>
      <c r="Z248" s="192">
        <f t="shared" si="71"/>
        <v>2.331</v>
      </c>
      <c r="AA248" s="192">
        <f t="shared" si="72"/>
        <v>2.1831</v>
      </c>
      <c r="AB248" s="57" t="e">
        <f>VLOOKUP(A248,Enforcements!$C$7:$K$13,8,0)</f>
        <v>#N/A</v>
      </c>
      <c r="AC248" s="53" t="e">
        <f>VLOOKUP(A248,Enforcements!$C$7:$E$13,3,0)</f>
        <v>#N/A</v>
      </c>
      <c r="AD248" s="54" t="str">
        <f t="shared" si="73"/>
        <v>67-15</v>
      </c>
      <c r="AE248" s="80" t="str">
        <f t="shared" si="74"/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AF248" s="77" t="str">
        <f t="shared" si="75"/>
        <v>"C:\Program Files (x86)\AstroGrep\AstroGrep.exe" /e /r /s /spath="%USERPROFILE%\AppData\Local\Temp\OnboardLogs" /stypes="app*4010*20170515*" /stext=" 23:.+((SYSTEM_STATE.+slice.+state.+changed )|(ment ac)|(multiple cpu faults)|(system.+state.+changed )|(\[timeout)|(PRM\|1\|D)|(kpr)|(kdp)|(train st.+moving)|(\|lc)|(penalty))"</v>
      </c>
      <c r="AG248" s="1" t="str">
        <f t="shared" si="76"/>
        <v>Other</v>
      </c>
      <c r="AH248" s="81" t="str">
        <f t="shared" si="77"/>
        <v>"%USERPROFILE%\Documents\GitHub\eaglep3\Utilities\RefineRTDCRunTimes.py" --tripid 67-15 --locoid 4010 --swversion DE.1.0.9.0 --startMP 204:1479 --initTime 2017-05-15T17:22:37 --startdatetime 2017-05-15T17:39:20 --delay 3 --endMP 300:23310 --enddatetime 2017-05-15T17:53:23 --enforcementcount 0 &gt;&gt;C:\Users\stu\Documents\GitHub\eaglep3-reporting\EC\2017-05-15-refined-times.txt</v>
      </c>
      <c r="AI248" s="99" t="str">
        <f t="shared" si="78"/>
        <v>echo {"issue":{"subject":"","project_id":79,"tracker_id":40,"status_id":1,"priority_id":2,"assigned_to_id":23,"start_date":"2017-05-15","description":"","custom_fields":[{"id":1,"name":"Subdivision","value":"Other"},{"id":4,"name":"Milepost","value":"2.331"},{"id":17,"name":"Train ID","value":"67-15"},{"id":16,"name":"Locomotive ID","value":"4010"},{"id":130,"name":"Impact","value":""},{"id":150,"name":"Time of Event (Mountain Time)","value":"17:53:23"},{"id":151,"name":"Denver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5" t="str">
        <f t="shared" si="79"/>
        <v>start /low /b %USERPROFILE%\Documents\GitHub\eaglep3\Utilities\DownloadLogsFromS3.py --loco 4010 --day 2017-05-15</v>
      </c>
      <c r="AN248" s="154" t="str">
        <f t="shared" si="80"/>
        <v>echo {"issue":{"subject":"","project_id":30,"tracker_id":4,"status_id":1,"priority_id":1,"assigned_to_id":10,"start_date":"2017-05-15","description":"","custom_fields":[{"id":30,"name":"Category","value":"Issue"},{"id":3,"name":"Functional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UTC","value":"2017-05-15 23:53:23"},{"id":29,"name":"Sharepoint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</sheetData>
  <autoFilter ref="A12:AG270">
    <sortState ref="A13:AG271">
      <sortCondition ref="AG13:AG249"/>
      <sortCondition ref="AD13:AD249"/>
    </sortState>
  </autoFilter>
  <sortState ref="A13:AH200">
    <sortCondition ref="AG13:AG200"/>
    <sortCondition ref="AD13:AD200"/>
  </sortState>
  <mergeCells count="1">
    <mergeCell ref="A11:P11"/>
  </mergeCells>
  <conditionalFormatting sqref="W11:W12 W271:X1048576 W13:X248">
    <cfRule type="cellIs" dxfId="10" priority="401" operator="equal">
      <formula>"Y"</formula>
    </cfRule>
  </conditionalFormatting>
  <conditionalFormatting sqref="X271:X1048576 X13:X248">
    <cfRule type="cellIs" dxfId="9" priority="384" operator="greaterThan">
      <formula>1</formula>
    </cfRule>
  </conditionalFormatting>
  <conditionalFormatting sqref="X271:X1048576 X12:X248">
    <cfRule type="cellIs" dxfId="8" priority="381" operator="equal">
      <formula>0</formula>
    </cfRule>
  </conditionalFormatting>
  <conditionalFormatting sqref="A13:S248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AK13:AK248</xm:sqref>
        </x14:dataValidation>
        <x14:dataValidation type="list" allowBlank="1" showInputMessage="1" showErrorMessage="1">
          <x14:formula1>
            <xm:f>'Redmine List Values'!$C$2:$C$15</xm:f>
          </x14:formula1>
          <xm:sqref>AL13:AL248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COUNTIF($O$7:$O$289,"=Y")</f>
        <v>5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COUNTA($O$7:$O$289)-O2</f>
        <v>56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- 2017-05-15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199</v>
      </c>
    </row>
    <row r="7" spans="1:32" s="1" customFormat="1" x14ac:dyDescent="0.25">
      <c r="A7" s="31">
        <v>42870.275439814817</v>
      </c>
      <c r="B7" s="30" t="s">
        <v>435</v>
      </c>
      <c r="C7" s="30" t="s">
        <v>581</v>
      </c>
      <c r="D7" s="30" t="s">
        <v>49</v>
      </c>
      <c r="E7" s="30" t="s">
        <v>191</v>
      </c>
      <c r="F7" s="42">
        <v>0</v>
      </c>
      <c r="G7" s="42">
        <v>189</v>
      </c>
      <c r="H7" s="42">
        <v>27008</v>
      </c>
      <c r="I7" s="42">
        <v>27239</v>
      </c>
      <c r="J7" s="30" t="s">
        <v>192</v>
      </c>
      <c r="K7" s="42">
        <v>27053</v>
      </c>
      <c r="L7" s="134" t="s">
        <v>50</v>
      </c>
      <c r="M7" s="135">
        <f t="shared" ref="M7:M38" si="0">CONVERT((I7-K7)/10000,"mi","ft")*IF(L7="Increasing Mileposts (1)",-1,1)</f>
        <v>-98.207999999999998</v>
      </c>
      <c r="N7" s="136" t="str">
        <f>VLOOKUP(C7,'Trips&amp;Operators'!$C$1:$G$99999,5,FALSE)</f>
        <v>MACDONALD THOMAS</v>
      </c>
      <c r="O7" s="207" t="s">
        <v>184</v>
      </c>
      <c r="P7" s="137" t="s">
        <v>498</v>
      </c>
      <c r="Q7" s="30"/>
      <c r="R7" s="84" t="str">
        <f>IF(VLOOKUP(C7,'Train Runs'!$A$13:$AE$9929,1,1)=C7,VLOOKUP(C7,'Train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7" s="87" t="str">
        <f>VLOOKUP(C7,'Train Runs'!$A$13:$AE$9929,22,0)</f>
        <v>https://d0f6bd738d7f1b3e5a7ca70fe4ff75f0.us-east-1.aws.found.io/app/kibana#/discover/Steve-Slow-Train-Analysis-(2080s-and-2083s)?_g=(refreshInterval:(display:Off,pause:!f,section:0,value:0),time:(from:'2017-05-15T05:26:29-0600',mode:absolute,to:'2017-05-15T08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/stypes="*4026*201705151*" /stext=" 12:.+((SYSTEM_STATE.+slice.+state.+changed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4026</v>
      </c>
      <c r="V7" s="31">
        <f t="shared" ref="V7:V38" si="3">A7-utc_offset/24</f>
        <v>42870.525439814817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arrival","project_id":79,"tracker_id":40,"status_id":1,"priority_id":2,"assigned_to_id":23,"start_date":"2017-05-15","description":"","custom_fields":[{"id":1,"name":"Subdivision","value":"EC"},{"id":4,"name":"Milepost","value":"2.7053"},{"id":17,"name":"Train ID","value":"123-15"},{"id":16,"name":"Locomotive ID","value":"4026"},{"id":130,"name":"Impact","value":""},{"id":150,"name":"Time of Event (Mountain Time)","value":"06:36:38"},{"id":151,"name":"Denver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/cygdrive/c/Users/stu/AppData/Local/Temp/OnboardLogs/RTDC4026 --include="*4026*201705151*"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"%USERPROFILE%\AppData\Local\Temp\OnboardLogs"\RTDC4026\*4026*201705151* &gt;&gt; 2017-05-15-SliceDisagreementCheck.txt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4026 --day 2017-05-15</v>
      </c>
    </row>
    <row r="8" spans="1:32" s="1" customFormat="1" x14ac:dyDescent="0.25">
      <c r="A8" s="31">
        <v>42870.501238425924</v>
      </c>
      <c r="B8" s="30" t="s">
        <v>344</v>
      </c>
      <c r="C8" s="30" t="s">
        <v>594</v>
      </c>
      <c r="D8" s="30" t="s">
        <v>49</v>
      </c>
      <c r="E8" s="30" t="s">
        <v>191</v>
      </c>
      <c r="F8" s="42">
        <v>0</v>
      </c>
      <c r="G8" s="42">
        <v>151</v>
      </c>
      <c r="H8" s="42">
        <v>27388</v>
      </c>
      <c r="I8" s="42">
        <v>27225</v>
      </c>
      <c r="J8" s="30" t="s">
        <v>192</v>
      </c>
      <c r="K8" s="42">
        <v>27350</v>
      </c>
      <c r="L8" s="134" t="s">
        <v>51</v>
      </c>
      <c r="M8" s="135">
        <f t="shared" si="0"/>
        <v>-66</v>
      </c>
      <c r="N8" s="136" t="str">
        <f>VLOOKUP(C8,'Trips&amp;Operators'!$C$1:$G$99999,5,FALSE)</f>
        <v>DAVIS WENDY</v>
      </c>
      <c r="O8" s="207" t="s">
        <v>184</v>
      </c>
      <c r="P8" s="137" t="s">
        <v>498</v>
      </c>
      <c r="Q8" s="30"/>
      <c r="R8" s="84" t="str">
        <f>IF(VLOOKUP(C8,'Train Runs'!$A$13:$AE$9929,1,1)=C8,VLOOKUP(C8,'Train Runs'!$A$13:$AE$9929,31,1),NA())</f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S8" s="87" t="str">
        <f>VLOOKUP(C8,'Train Runs'!$A$13:$AE$9929,22,0)</f>
        <v>https://d0f6bd738d7f1b3e5a7ca70fe4ff75f0.us-east-1.aws.found.io/app/kibana#/discover/Steve-Slow-Train-Analysis-(2080s-and-2083s)?_g=(refreshInterval:(display:Off,pause:!f,section:0,value:0),time:(from:'2017-05-15T10:19:24-0600',mode:absolute,to:'2017-05-15T13:09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8" s="89" t="str">
        <f t="shared" si="1"/>
        <v>"C:\Program Files (x86)\AstroGrep\AstroGrep.exe" /e /r /s /spath="%USERPROFILE%\AppData\Local\Temp\OnboardLogs" /stypes="*4027*201705151*"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4027</v>
      </c>
      <c r="V8" s="31">
        <f t="shared" si="3"/>
        <v>42870.751238425924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arrival","project_id":79,"tracker_id":40,"status_id":1,"priority_id":2,"assigned_to_id":23,"start_date":"2017-05-15","description":"","custom_fields":[{"id":1,"name":"Subdivision","value":"EC"},{"id":4,"name":"Milepost","value":"2.735"},{"id":17,"name":"Train ID","value":"156-15"},{"id":16,"name":"Locomotive ID","value":"4027"},{"id":130,"name":"Impact","value":""},{"id":150,"name":"Time of Event (Mountain Time)","value":"12:01:47"},{"id":151,"name":"Denver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/cygdrive/c/Users/stu/AppData/Local/Temp/OnboardLogs/RTDC4027 --include="*4027*201705151*"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"%USERPROFILE%\AppData\Local\Temp\OnboardLogs"\RTDC4027\*4027*201705151* &gt;&gt; 2017-05-15-SliceDisagreementCheck.txt</v>
      </c>
      <c r="AE8" s="148" t="str">
        <f t="shared" ref="AE8:AE67" si="9">"start /low /b "&amp;dls3logs&amp;" --loco "&amp;U8&amp;" --day "&amp;TEXT(V8,"YYYY-MM-DD")</f>
        <v>start /low /b %USERPROFILE%\Documents\GitHub\eaglep3\Utilities\DownloadLogsFromS3.py --loco 4027 --day 2017-05-15</v>
      </c>
    </row>
    <row r="9" spans="1:32" s="1" customFormat="1" x14ac:dyDescent="0.25">
      <c r="A9" s="31">
        <v>42870.593043981484</v>
      </c>
      <c r="B9" s="30" t="s">
        <v>379</v>
      </c>
      <c r="C9" s="30" t="s">
        <v>603</v>
      </c>
      <c r="D9" s="30" t="s">
        <v>49</v>
      </c>
      <c r="E9" s="30" t="s">
        <v>191</v>
      </c>
      <c r="F9" s="42">
        <v>0</v>
      </c>
      <c r="G9" s="42">
        <v>113</v>
      </c>
      <c r="H9" s="42">
        <v>27355</v>
      </c>
      <c r="I9" s="42">
        <v>27224</v>
      </c>
      <c r="J9" s="30" t="s">
        <v>192</v>
      </c>
      <c r="K9" s="42">
        <v>27350</v>
      </c>
      <c r="L9" s="134" t="s">
        <v>51</v>
      </c>
      <c r="M9" s="135">
        <f t="shared" si="0"/>
        <v>-66.528000000000006</v>
      </c>
      <c r="N9" s="136" t="str">
        <f>VLOOKUP(C9,'Trips&amp;Operators'!$C$1:$G$99999,5,FALSE)</f>
        <v>PERKINS DARREN</v>
      </c>
      <c r="O9" s="207" t="s">
        <v>184</v>
      </c>
      <c r="P9" s="137" t="s">
        <v>498</v>
      </c>
      <c r="Q9" s="30"/>
      <c r="R9" s="84" t="str">
        <f>IF(VLOOKUP(C9,'Train Runs'!$A$13:$AE$9929,1,1)=C9,VLOOKUP(C9,'Train Runs'!$A$13:$AE$9929,31,1),NA())</f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S9" s="87" t="str">
        <f>VLOOKUP(C9,'Train Runs'!$A$13:$AE$9929,22,0)</f>
        <v>https://d0f6bd738d7f1b3e5a7ca70fe4ff75f0.us-east-1.aws.found.io/app/kibana#/discover/Steve-Slow-Train-Analysis-(2080s-and-2083s)?_g=(refreshInterval:(display:Off,pause:!f,section:0,value:0),time:(from:'2017-05-15T12:24:03-0600',mode:absolute,to:'2017-05-15T15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9" s="89" t="str">
        <f t="shared" si="1"/>
        <v>"C:\Program Files (x86)\AstroGrep\AstroGrep.exe" /e /r /s /spath="%USERPROFILE%\AppData\Local\Temp\OnboardLogs" /stypes="*4041*201705152*"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4041</v>
      </c>
      <c r="V9" s="31">
        <f t="shared" si="3"/>
        <v>42870.843043981484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arrival","project_id":79,"tracker_id":40,"status_id":1,"priority_id":2,"assigned_to_id":23,"start_date":"2017-05-15","description":"","custom_fields":[{"id":1,"name":"Subdivision","value":"EC"},{"id":4,"name":"Milepost","value":"2.735"},{"id":17,"name":"Train ID","value":"174-15"},{"id":16,"name":"Locomotive ID","value":"4041"},{"id":130,"name":"Impact","value":""},{"id":150,"name":"Time of Event (Mountain Time)","value":"14:13:59"},{"id":151,"name":"Denver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/cygdrive/c/Users/stu/AppData/Local/Temp/OnboardLogs/RTDC4041 --include="*4041*201705152*"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"%USERPROFILE%\AppData\Local\Temp\OnboardLogs"\RTDC4041\*4041*201705152* &gt;&gt; 2017-05-15-SliceDisagreementCheck.txt</v>
      </c>
      <c r="AE9" s="148" t="str">
        <f t="shared" si="9"/>
        <v>start /low /b %USERPROFILE%\Documents\GitHub\eaglep3\Utilities\DownloadLogsFromS3.py --loco 4041 --day 2017-05-15</v>
      </c>
    </row>
    <row r="10" spans="1:32" s="1" customFormat="1" x14ac:dyDescent="0.25">
      <c r="A10" s="31">
        <v>42870.662372685183</v>
      </c>
      <c r="B10" s="30" t="s">
        <v>343</v>
      </c>
      <c r="C10" s="30" t="s">
        <v>610</v>
      </c>
      <c r="D10" s="30" t="s">
        <v>98</v>
      </c>
      <c r="E10" s="30" t="s">
        <v>191</v>
      </c>
      <c r="F10" s="42">
        <v>310</v>
      </c>
      <c r="G10" s="42">
        <v>365</v>
      </c>
      <c r="H10" s="42">
        <v>33244</v>
      </c>
      <c r="I10" s="42">
        <v>34481</v>
      </c>
      <c r="J10" s="30" t="s">
        <v>192</v>
      </c>
      <c r="K10" s="42">
        <v>33137</v>
      </c>
      <c r="L10" s="134" t="s">
        <v>50</v>
      </c>
      <c r="M10" s="135">
        <f t="shared" si="0"/>
        <v>-709.63199999999995</v>
      </c>
      <c r="N10" s="136" t="str">
        <f>VLOOKUP(C10,'Trips&amp;Operators'!$C$1:$G$99999,5,FALSE)</f>
        <v>THOMPSON LESTER</v>
      </c>
      <c r="O10" s="207" t="s">
        <v>184</v>
      </c>
      <c r="P10" s="137" t="s">
        <v>498</v>
      </c>
      <c r="Q10" s="30"/>
      <c r="R10" s="84" t="str">
        <f>IF(VLOOKUP(C10,'Train Runs'!$A$13:$AE$9929,1,1)=C10,VLOOKUP(C10,'Train Runs'!$A$13:$AE$9929,31,1),NA())</f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S10" s="87" t="str">
        <f>VLOOKUP(C10,'Train Runs'!$A$13:$AE$9929,22,0)</f>
        <v>https://d0f6bd738d7f1b3e5a7ca70fe4ff75f0.us-east-1.aws.found.io/app/kibana#/discover/Steve-Slow-Train-Analysis-(2080s-and-2083s)?_g=(refreshInterval:(display:Off,pause:!f,section:0,value:0),time:(from:'2017-05-15T14:40:22-0600',mode:absolute,to:'2017-05-15T17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0" s="89" t="str">
        <f t="shared" si="1"/>
        <v>"C:\Program Files (x86)\AstroGrep\AstroGrep.exe" /e /r /s /spath="%USERPROFILE%\AppData\Local\Temp\OnboardLogs" /stypes="*4028*201705152*"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4028</v>
      </c>
      <c r="V10" s="31">
        <f t="shared" si="3"/>
        <v>42870.912372685183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arrival","project_id":79,"tracker_id":40,"status_id":1,"priority_id":2,"assigned_to_id":23,"start_date":"2017-05-15","description":"","custom_fields":[{"id":1,"name":"Subdivision","value":"EC"},{"id":4,"name":"Milepost","value":"3.3137"},{"id":17,"name":"Train ID","value":"197-15"},{"id":16,"name":"Locomotive ID","value":"4028"},{"id":130,"name":"Impact","value":""},{"id":150,"name":"Time of Event (Mountain Time)","value":"15:53:49"},{"id":151,"name":"Denver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/cygdrive/c/Users/stu/AppData/Local/Temp/OnboardLogs/RTDC4028 --include="*4028*201705152*"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"%USERPROFILE%\AppData\Local\Temp\OnboardLogs"\RTDC4028\*4028*201705152* &gt;&gt; 2017-05-15-SliceDisagreementCheck.txt</v>
      </c>
      <c r="AE10" s="148" t="str">
        <f t="shared" si="9"/>
        <v>start /low /b %USERPROFILE%\Documents\GitHub\eaglep3\Utilities\DownloadLogsFromS3.py --loco 4028 --day 2017-05-15</v>
      </c>
    </row>
    <row r="11" spans="1:32" s="1" customFormat="1" x14ac:dyDescent="0.25">
      <c r="A11" s="31">
        <v>42870.589270833334</v>
      </c>
      <c r="B11" s="30" t="s">
        <v>343</v>
      </c>
      <c r="C11" s="30" t="s">
        <v>604</v>
      </c>
      <c r="D11" s="30" t="s">
        <v>98</v>
      </c>
      <c r="E11" s="30" t="s">
        <v>191</v>
      </c>
      <c r="F11" s="42">
        <v>360</v>
      </c>
      <c r="G11" s="42">
        <v>411</v>
      </c>
      <c r="H11" s="42">
        <v>33151</v>
      </c>
      <c r="I11" s="42">
        <v>34147</v>
      </c>
      <c r="J11" s="30" t="s">
        <v>192</v>
      </c>
      <c r="K11" s="42">
        <v>33137</v>
      </c>
      <c r="L11" s="134" t="s">
        <v>50</v>
      </c>
      <c r="M11" s="135">
        <f t="shared" si="0"/>
        <v>-533.28</v>
      </c>
      <c r="N11" s="136" t="str">
        <f>VLOOKUP(C11,'Trips&amp;Operators'!$C$1:$G$99999,5,FALSE)</f>
        <v>THOMPSON LESTER</v>
      </c>
      <c r="O11" s="207" t="s">
        <v>184</v>
      </c>
      <c r="P11" s="137" t="s">
        <v>498</v>
      </c>
      <c r="Q11" s="30"/>
      <c r="R11" s="84" t="str">
        <f>IF(VLOOKUP(C11,'Train Runs'!$A$13:$AE$9929,1,1)=C11,VLOOKUP(C11,'Train Runs'!$A$13:$AE$9929,31,1),NA())</f>
        <v>aws s3 cp s3://rtdc.mdm.uploadarchive.raw/RTDC4028/ "%USERPROFILE%\AppData\Local\Temp\OnboardLogs"\RTDC4028\2017-05-15 --exclude "*" --recursive --include "*20170515*" &amp; "%USERPROFILE%\Documents\GitHub\mrs-test-scripts\Headless Mode &amp; Sideloading\WalkAndUnGZ.bat" "%USERPROFILE%\AppData\Local\Temp\OnboardLogs"\RTDC4028\2017-05-15 &amp; aws s3 cp s3://rtdc.mdm.uploadarchive.raw/RTDC4028/ "%USERPROFILE%\AppData\Local\Temp\OnboardLogs"\RTDC4028\2017-05-16 --exclude "*" --recursive --include "*20170516*" &amp; "%USERPROFILE%\Documents\GitHub\mrs-test-scripts\Headless Mode &amp; Sideloading\WalkAndUnGZ.bat" "%USERPROFILE%\AppData\Local\Temp\OnboardLogs"\RTDC4028\2017-05-16</v>
      </c>
      <c r="S11" s="87" t="str">
        <f>VLOOKUP(C11,'Train Runs'!$A$13:$AE$9929,22,0)</f>
        <v>https://d0f6bd738d7f1b3e5a7ca70fe4ff75f0.us-east-1.aws.found.io/app/kibana#/discover/Steve-Slow-Train-Analysis-(2080s-and-2083s)?_g=(refreshInterval:(display:Off,pause:!f,section:0,value:0),time:(from:'2017-05-15T12:56:46-0600',mode:absolute,to:'2017-05-15T15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9" t="str">
        <f t="shared" si="1"/>
        <v>"C:\Program Files (x86)\AstroGrep\AstroGrep.exe" /e /r /s /spath="%USERPROFILE%\AppData\Local\Temp\OnboardLogs" /stypes="*4028*201705152*" /stext=" 20:.+((SYSTEM_STATE.+slice.+state.+changed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42870.839270833334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arrival","project_id":79,"tracker_id":40,"status_id":1,"priority_id":2,"assigned_to_id":23,"start_date":"2017-05-15","description":"","custom_fields":[{"id":1,"name":"Subdivision","value":"EC"},{"id":4,"name":"Milepost","value":"3.3137"},{"id":17,"name":"Train ID","value":"183-15"},{"id":16,"name":"Locomotive ID","value":"4028"},{"id":130,"name":"Impact","value":""},{"id":150,"name":"Time of Event (Mountain Time)","value":"14:08:33"},{"id":151,"name":"Denver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/cygdrive/c/Users/stu/AppData/Local/Temp/OnboardLogs/RTDC4028 --include="*4028*201705152*"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"%USERPROFILE%\AppData\Local\Temp\OnboardLogs"\RTDC4028\*4028*201705152* &gt;&gt; 2017-05-15-SliceDisagreementCheck.txt</v>
      </c>
      <c r="AE11" s="148" t="str">
        <f t="shared" si="9"/>
        <v>start /low /b %USERPROFILE%\Documents\GitHub\eaglep3\Utilities\DownloadLogsFromS3.py --loco 4028 --day 2017-05-15</v>
      </c>
    </row>
    <row r="12" spans="1:32" s="1" customFormat="1" x14ac:dyDescent="0.25">
      <c r="A12" s="31">
        <v>42870.998136574075</v>
      </c>
      <c r="B12" s="30" t="s">
        <v>436</v>
      </c>
      <c r="C12" s="30" t="s">
        <v>628</v>
      </c>
      <c r="D12" s="30" t="s">
        <v>49</v>
      </c>
      <c r="E12" s="30" t="s">
        <v>191</v>
      </c>
      <c r="F12" s="42">
        <v>0</v>
      </c>
      <c r="G12" s="42">
        <v>209</v>
      </c>
      <c r="H12" s="42">
        <v>33313</v>
      </c>
      <c r="I12" s="42">
        <v>33101</v>
      </c>
      <c r="J12" s="30" t="s">
        <v>192</v>
      </c>
      <c r="K12" s="42">
        <v>33257</v>
      </c>
      <c r="L12" s="134" t="s">
        <v>51</v>
      </c>
      <c r="M12" s="135">
        <f t="shared" si="0"/>
        <v>-82.367999999999995</v>
      </c>
      <c r="N12" s="136" t="str">
        <f>VLOOKUP(C12,'Trips&amp;Operators'!$C$1:$G$99999,5,FALSE)</f>
        <v>BIRENBAUM THOMAS</v>
      </c>
      <c r="O12" s="207" t="s">
        <v>184</v>
      </c>
      <c r="P12" s="137" t="s">
        <v>498</v>
      </c>
      <c r="Q12" s="30"/>
      <c r="R12" s="84" t="str">
        <f>IF(VLOOKUP(C12,'Train Runs'!$A$13:$AE$9929,1,1)=C12,VLOOKUP(C12,'Train Runs'!$A$13:$AE$9929,31,1),NA())</f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S12" s="87" t="str">
        <f>VLOOKUP(C12,'Train Runs'!$A$13:$AE$9929,22,0)</f>
        <v>https://d0f6bd738d7f1b3e5a7ca70fe4ff75f0.us-east-1.aws.found.io/app/kibana#/discover/Steve-Slow-Train-Analysis-(2080s-and-2083s)?_g=(refreshInterval:(display:Off,pause:!f,section:0,value:0),time:(from:'2017-05-15T22:21:28-0600',mode:absolute,to:'2017-05-16T01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2" s="89" t="str">
        <f t="shared" si="1"/>
        <v>"C:\Program Files (x86)\AstroGrep\AstroGrep.exe" /e /r /s /spath="%USERPROFILE%\AppData\Local\Temp\OnboardLogs" /stypes="*4015*201705160*" /stext=" 05:.+((SYSTEM_STATE.+slice.+state.+changed )|(ment ac)|(multiple cpu faults)|(system.+state.+changed )|(\[timeout)|(PRM\|1\|D)|(kpr)|(kdp)|(train st.+moving)|(\|lc)|(penalty))"</v>
      </c>
      <c r="U12" s="9" t="str">
        <f t="shared" si="2"/>
        <v>4015</v>
      </c>
      <c r="V12" s="31">
        <f t="shared" si="3"/>
        <v>42871.248136574075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arrival","project_id":79,"tracker_id":40,"status_id":1,"priority_id":2,"assigned_to_id":23,"start_date":"2017-05-15","description":"","custom_fields":[{"id":1,"name":"Subdivision","value":"EC"},{"id":4,"name":"Milepost","value":"3.3257"},{"id":17,"name":"Train ID","value":"236-15"},{"id":16,"name":"Locomotive ID","value":"4015"},{"id":130,"name":"Impact","value":""},{"id":150,"name":"Time of Event (Mountain Time)","value":"23:57:19"},{"id":151,"name":"Denver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/cygdrive/c/Users/stu/AppData/Local/Temp/OnboardLogs/RTDC4015 --include="*4015*201705160*"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"%USERPROFILE%\AppData\Local\Temp\OnboardLogs"\RTDC4015\*4015*201705160* &gt;&gt; 2017-05-15-SliceDisagreementCheck.txt</v>
      </c>
      <c r="AE12" s="148" t="str">
        <f t="shared" si="9"/>
        <v>start /low /b %USERPROFILE%\Documents\GitHub\eaglep3\Utilities\DownloadLogsFromS3.py --loco 4015 --day 2017-05-16</v>
      </c>
    </row>
    <row r="13" spans="1:32" s="1" customFormat="1" x14ac:dyDescent="0.25">
      <c r="A13" s="31">
        <v>42870.558587962965</v>
      </c>
      <c r="B13" s="30" t="s">
        <v>376</v>
      </c>
      <c r="C13" s="30" t="s">
        <v>600</v>
      </c>
      <c r="D13" s="30" t="s">
        <v>49</v>
      </c>
      <c r="E13" s="30" t="s">
        <v>191</v>
      </c>
      <c r="F13" s="42">
        <v>0</v>
      </c>
      <c r="G13" s="42">
        <v>566</v>
      </c>
      <c r="H13" s="42">
        <v>48721</v>
      </c>
      <c r="I13" s="42">
        <v>46318</v>
      </c>
      <c r="J13" s="30" t="s">
        <v>192</v>
      </c>
      <c r="K13" s="42">
        <v>48048</v>
      </c>
      <c r="L13" s="134" t="s">
        <v>51</v>
      </c>
      <c r="M13" s="135">
        <f t="shared" si="0"/>
        <v>-913.44</v>
      </c>
      <c r="N13" s="136" t="str">
        <f>VLOOKUP(C13,'Trips&amp;Operators'!$C$1:$G$99999,5,FALSE)</f>
        <v>LALONDE GREGORY</v>
      </c>
      <c r="O13" s="207" t="s">
        <v>184</v>
      </c>
      <c r="P13" s="137" t="s">
        <v>498</v>
      </c>
      <c r="Q13" s="30"/>
      <c r="R13" s="84" t="str">
        <f>IF(VLOOKUP(C13,'Train Runs'!$A$13:$AE$9929,1,1)=C13,VLOOKUP(C13,'Train Runs'!$A$13:$AE$9929,31,1),NA())</f>
        <v>aws s3 cp s3://rtdc.mdm.uploadarchive.raw/RTDC4051/ "%USERPROFILE%\AppData\Local\Temp\OnboardLogs"\RTDC4051\2017-05-15 --exclude "*" --recursive --include "*20170515*" &amp; "%USERPROFILE%\Documents\GitHub\mrs-test-scripts\Headless Mode &amp; Sideloading\WalkAndUnGZ.bat" "%USERPROFILE%\AppData\Local\Temp\OnboardLogs"\RTDC4051\2017-05-15 &amp; aws s3 cp s3://rtdc.mdm.uploadarchive.raw/RTDC4051/ "%USERPROFILE%\AppData\Local\Temp\OnboardLogs"\RTDC4051\2017-05-16 --exclude "*" --recursive --include "*20170516*" &amp; "%USERPROFILE%\Documents\GitHub\mrs-test-scripts\Headless Mode &amp; Sideloading\WalkAndUnGZ.bat" "%USERPROFILE%\AppData\Local\Temp\OnboardLogs"\RTDC4051\2017-05-16</v>
      </c>
      <c r="S13" s="87" t="str">
        <f>VLOOKUP(C13,'Train Runs'!$A$13:$AE$9929,22,0)</f>
        <v>https://d0f6bd738d7f1b3e5a7ca70fe4ff75f0.us-east-1.aws.found.io/app/kibana#/discover/Steve-Slow-Train-Analysis-(2080s-and-2083s)?_g=(refreshInterval:(display:Off,pause:!f,section:0,value:0),time:(from:'2017-05-15T11:38:24-0600',mode:absolute,to:'2017-05-15T14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3" s="89" t="str">
        <f t="shared" si="1"/>
        <v>"C:\Program Files (x86)\AstroGrep\AstroGrep.exe" /e /r /s /spath="%USERPROFILE%\AppData\Local\Temp\OnboardLogs" /stypes="*4051*201705151*"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4051</v>
      </c>
      <c r="V13" s="31">
        <f t="shared" si="3"/>
        <v>42870.808587962965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arrival","project_id":79,"tracker_id":40,"status_id":1,"priority_id":2,"assigned_to_id":23,"start_date":"2017-05-15","description":"","custom_fields":[{"id":1,"name":"Subdivision","value":"EC"},{"id":4,"name":"Milepost","value":"4.8048"},{"id":17,"name":"Train ID","value":"168-15"},{"id":16,"name":"Locomotive ID","value":"4051"},{"id":130,"name":"Impact","value":""},{"id":150,"name":"Time of Event (Mountain Time)","value":"13:24:22"},{"id":151,"name":"Denver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/cygdrive/c/Users/stu/AppData/Local/Temp/OnboardLogs/RTDC4051 --include="*4051*201705151*"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"%USERPROFILE%\AppData\Local\Temp\OnboardLogs"\RTDC4051\*4051*201705151* &gt;&gt; 2017-05-15-SliceDisagreementCheck.txt</v>
      </c>
      <c r="AE13" s="148" t="str">
        <f t="shared" si="9"/>
        <v>start /low /b %USERPROFILE%\Documents\GitHub\eaglep3\Utilities\DownloadLogsFromS3.py --loco 4051 --day 2017-05-15</v>
      </c>
    </row>
    <row r="14" spans="1:32" x14ac:dyDescent="0.25">
      <c r="A14" s="31">
        <v>42870.589039351849</v>
      </c>
      <c r="B14" s="30" t="s">
        <v>379</v>
      </c>
      <c r="C14" s="30" t="s">
        <v>603</v>
      </c>
      <c r="D14" s="30" t="s">
        <v>49</v>
      </c>
      <c r="E14" s="30" t="s">
        <v>191</v>
      </c>
      <c r="F14" s="42">
        <v>490</v>
      </c>
      <c r="G14" s="42">
        <v>546</v>
      </c>
      <c r="H14" s="42">
        <v>49181</v>
      </c>
      <c r="I14" s="42">
        <v>47228</v>
      </c>
      <c r="J14" s="30" t="s">
        <v>192</v>
      </c>
      <c r="K14" s="42">
        <v>48048</v>
      </c>
      <c r="L14" s="134" t="s">
        <v>51</v>
      </c>
      <c r="M14" s="135">
        <f t="shared" si="0"/>
        <v>-432.96</v>
      </c>
      <c r="N14" s="136" t="str">
        <f>VLOOKUP(C14,'Trips&amp;Operators'!$C$1:$G$99999,5,FALSE)</f>
        <v>PERKINS DARREN</v>
      </c>
      <c r="O14" s="207" t="s">
        <v>184</v>
      </c>
      <c r="P14" s="137" t="s">
        <v>498</v>
      </c>
      <c r="Q14" s="30"/>
      <c r="R14" s="84" t="str">
        <f>IF(VLOOKUP(C14,'Train Runs'!$A$13:$AE$9929,1,1)=C14,VLOOKUP(C14,'Train Runs'!$A$13:$AE$9929,31,1),NA())</f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S14" s="87" t="str">
        <f>VLOOKUP(C14,'Train Runs'!$A$13:$AE$9929,22,0)</f>
        <v>https://d0f6bd738d7f1b3e5a7ca70fe4ff75f0.us-east-1.aws.found.io/app/kibana#/discover/Steve-Slow-Train-Analysis-(2080s-and-2083s)?_g=(refreshInterval:(display:Off,pause:!f,section:0,value:0),time:(from:'2017-05-15T12:24:03-0600',mode:absolute,to:'2017-05-15T15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89" t="str">
        <f t="shared" si="1"/>
        <v>"C:\Program Files (x86)\AstroGrep\AstroGrep.exe" /e /r /s /spath="%USERPROFILE%\AppData\Local\Temp\OnboardLogs" /stypes="*4041*201705152*"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4041</v>
      </c>
      <c r="V14" s="31">
        <f t="shared" si="3"/>
        <v>42870.839039351849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arrival","project_id":79,"tracker_id":40,"status_id":1,"priority_id":2,"assigned_to_id":23,"start_date":"2017-05-15","description":"","custom_fields":[{"id":1,"name":"Subdivision","value":"EC"},{"id":4,"name":"Milepost","value":"4.8048"},{"id":17,"name":"Train ID","value":"174-15"},{"id":16,"name":"Locomotive ID","value":"4041"},{"id":130,"name":"Impact","value":""},{"id":150,"name":"Time of Event (Mountain Time)","value":"14:08:13"},{"id":151,"name":"Denver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/cygdrive/c/Users/stu/AppData/Local/Temp/OnboardLogs/RTDC4041 --include="*4041*201705152*"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"%USERPROFILE%\AppData\Local\Temp\OnboardLogs"\RTDC4041\*4041*201705152* &gt;&gt; 2017-05-15-SliceDisagreementCheck.txt</v>
      </c>
      <c r="AE14" s="148" t="str">
        <f t="shared" si="9"/>
        <v>start /low /b %USERPROFILE%\Documents\GitHub\eaglep3\Utilities\DownloadLogsFromS3.py --loco 4041 --day 2017-05-15</v>
      </c>
      <c r="AF14" s="1"/>
    </row>
    <row r="15" spans="1:32" x14ac:dyDescent="0.25">
      <c r="A15" s="31">
        <v>42870.57104166667</v>
      </c>
      <c r="B15" s="30" t="s">
        <v>435</v>
      </c>
      <c r="C15" s="30" t="s">
        <v>601</v>
      </c>
      <c r="D15" s="30" t="s">
        <v>49</v>
      </c>
      <c r="E15" s="30" t="s">
        <v>191</v>
      </c>
      <c r="F15" s="42">
        <v>0</v>
      </c>
      <c r="G15" s="42">
        <v>231</v>
      </c>
      <c r="H15" s="42">
        <v>57862</v>
      </c>
      <c r="I15" s="42">
        <v>58388</v>
      </c>
      <c r="J15" s="30" t="s">
        <v>192</v>
      </c>
      <c r="K15" s="42">
        <v>58118</v>
      </c>
      <c r="L15" s="134" t="s">
        <v>50</v>
      </c>
      <c r="M15" s="135">
        <f t="shared" si="0"/>
        <v>-142.56</v>
      </c>
      <c r="N15" s="136" t="str">
        <f>VLOOKUP(C15,'Trips&amp;Operators'!$C$1:$G$99999,5,FALSE)</f>
        <v>ROMERO CHAD</v>
      </c>
      <c r="O15" s="207" t="s">
        <v>184</v>
      </c>
      <c r="P15" s="137" t="s">
        <v>498</v>
      </c>
      <c r="Q15" s="30"/>
      <c r="R15" s="84" t="str">
        <f>IF(VLOOKUP(C15,'Train Runs'!$A$13:$AE$9929,1,1)=C15,VLOOKUP(C15,'Train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15" s="87" t="str">
        <f>VLOOKUP(C15,'Train Runs'!$A$13:$AE$9929,22,0)</f>
        <v>https://d0f6bd738d7f1b3e5a7ca70fe4ff75f0.us-east-1.aws.found.io/app/kibana#/discover/Steve-Slow-Train-Analysis-(2080s-and-2083s)?_g=(refreshInterval:(display:Off,pause:!f,section:0,value:0),time:(from:'2017-05-15T12:24:08-0600',mode:absolute,to:'2017-05-15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5" s="89" t="str">
        <f t="shared" si="1"/>
        <v>"C:\Program Files (x86)\AstroGrep\AstroGrep.exe" /e /r /s /spath="%USERPROFILE%\AppData\Local\Temp\OnboardLogs" /stypes="*4026*201705151*" /stext=" 19:.+((SYSTEM_STATE.+slice.+state.+changed )|(ment ac)|(multiple cpu faults)|(system.+state.+changed )|(\[timeout)|(PRM\|1\|D)|(kpr)|(kdp)|(train st.+moving)|(\|lc)|(penalty))"</v>
      </c>
      <c r="U15" s="9" t="str">
        <f t="shared" si="2"/>
        <v>4026</v>
      </c>
      <c r="V15" s="31">
        <f t="shared" si="3"/>
        <v>42870.82104166667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arrival","project_id":79,"tracker_id":40,"status_id":1,"priority_id":2,"assigned_to_id":23,"start_date":"2017-05-15","description":"","custom_fields":[{"id":1,"name":"Subdivision","value":"EC"},{"id":4,"name":"Milepost","value":"5.8118"},{"id":17,"name":"Train ID","value":"179-15"},{"id":16,"name":"Locomotive ID","value":"4026"},{"id":130,"name":"Impact","value":""},{"id":150,"name":"Time of Event (Mountain Time)","value":"13:42:18"},{"id":151,"name":"Denver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/cygdrive/c/Users/stu/AppData/Local/Temp/OnboardLogs/RTDC4026 --include="*4026*201705151*"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"%USERPROFILE%\AppData\Local\Temp\OnboardLogs"\RTDC4026\*4026*201705151* &gt;&gt; 2017-05-15-SliceDisagreementCheck.txt</v>
      </c>
      <c r="AE15" s="148" t="str">
        <f t="shared" si="9"/>
        <v>start /low /b %USERPROFILE%\Documents\GitHub\eaglep3\Utilities\DownloadLogsFromS3.py --loco 4026 --day 2017-05-15</v>
      </c>
      <c r="AF15" s="1"/>
    </row>
    <row r="16" spans="1:32" x14ac:dyDescent="0.25">
      <c r="A16" s="31">
        <v>42870.61928240741</v>
      </c>
      <c r="B16" s="30" t="s">
        <v>434</v>
      </c>
      <c r="C16" s="30" t="s">
        <v>606</v>
      </c>
      <c r="D16" s="30" t="s">
        <v>49</v>
      </c>
      <c r="E16" s="30" t="s">
        <v>191</v>
      </c>
      <c r="F16" s="42">
        <v>380</v>
      </c>
      <c r="G16" s="42">
        <v>438</v>
      </c>
      <c r="H16" s="42">
        <v>59203</v>
      </c>
      <c r="I16" s="42">
        <v>58013</v>
      </c>
      <c r="J16" s="30" t="s">
        <v>192</v>
      </c>
      <c r="K16" s="42">
        <v>58301</v>
      </c>
      <c r="L16" s="134" t="s">
        <v>51</v>
      </c>
      <c r="M16" s="135">
        <f t="shared" si="0"/>
        <v>-152.06399999999999</v>
      </c>
      <c r="N16" s="136" t="str">
        <f>VLOOKUP(C16,'Trips&amp;Operators'!$C$1:$G$99999,5,FALSE)</f>
        <v>ROMERO CHAD</v>
      </c>
      <c r="O16" s="207" t="s">
        <v>184</v>
      </c>
      <c r="P16" s="137" t="s">
        <v>498</v>
      </c>
      <c r="Q16" s="30"/>
      <c r="R16" s="84" t="str">
        <f>IF(VLOOKUP(C16,'Train Runs'!$A$13:$AE$9929,1,1)=C16,VLOOKUP(C16,'Train Runs'!$A$13:$AE$9929,31,1),NA())</f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S16" s="87" t="str">
        <f>VLOOKUP(C16,'Train Runs'!$A$13:$AE$9929,22,0)</f>
        <v>https://d0f6bd738d7f1b3e5a7ca70fe4ff75f0.us-east-1.aws.found.io/app/kibana#/discover/Steve-Slow-Train-Analysis-(2080s-and-2083s)?_g=(refreshInterval:(display:Off,pause:!f,section:0,value:0),time:(from:'2017-05-15T13:07:53-0600',mode:absolute,to:'2017-05-15T16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6" s="89" t="str">
        <f t="shared" si="1"/>
        <v>"C:\Program Files (x86)\AstroGrep\AstroGrep.exe" /e /r /s /spath="%USERPROFILE%\AppData\Local\Temp\OnboardLogs" /stypes="*4025*201705152*" /stext=" 20:.+((SYSTEM_STATE.+slice.+state.+changed )|(ment ac)|(multiple cpu faults)|(system.+state.+changed )|(\[timeout)|(PRM\|1\|D)|(kpr)|(kdp)|(train st.+moving)|(\|lc)|(penalty))"</v>
      </c>
      <c r="U16" s="9" t="str">
        <f t="shared" si="2"/>
        <v>4025</v>
      </c>
      <c r="V16" s="31">
        <f t="shared" si="3"/>
        <v>42870.86928240741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arrival","project_id":79,"tracker_id":40,"status_id":1,"priority_id":2,"assigned_to_id":23,"start_date":"2017-05-15","description":"","custom_fields":[{"id":1,"name":"Subdivision","value":"EC"},{"id":4,"name":"Milepost","value":"5.8301"},{"id":17,"name":"Train ID","value":"180-15"},{"id":16,"name":"Locomotive ID","value":"4025"},{"id":130,"name":"Impact","value":""},{"id":150,"name":"Time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/cygdrive/c/Users/stu/AppData/Local/Temp/OnboardLogs/RTDC4025 --include="*4025*201705152*"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"%USERPROFILE%\AppData\Local\Temp\OnboardLogs"\RTDC4025\*4025*201705152* &gt;&gt; 2017-05-15-SliceDisagreementCheck.txt</v>
      </c>
      <c r="AE16" s="148" t="str">
        <f t="shared" si="9"/>
        <v>start /low /b %USERPROFILE%\Documents\GitHub\eaglep3\Utilities\DownloadLogsFromS3.py --loco 4025 --day 2017-05-15</v>
      </c>
      <c r="AF16" s="1"/>
    </row>
    <row r="17" spans="1:32" x14ac:dyDescent="0.25">
      <c r="A17" s="31">
        <v>42870.571458333332</v>
      </c>
      <c r="B17" s="30" t="s">
        <v>435</v>
      </c>
      <c r="C17" s="30" t="s">
        <v>601</v>
      </c>
      <c r="D17" s="30" t="s">
        <v>49</v>
      </c>
      <c r="E17" s="30" t="s">
        <v>191</v>
      </c>
      <c r="F17" s="42">
        <v>10</v>
      </c>
      <c r="G17" s="42">
        <v>70</v>
      </c>
      <c r="H17" s="42">
        <v>58466</v>
      </c>
      <c r="I17" s="42">
        <v>58618</v>
      </c>
      <c r="J17" s="30" t="s">
        <v>192</v>
      </c>
      <c r="K17" s="42">
        <v>58783</v>
      </c>
      <c r="L17" s="134" t="s">
        <v>50</v>
      </c>
      <c r="M17" s="135">
        <f t="shared" si="0"/>
        <v>87.12</v>
      </c>
      <c r="N17" s="136" t="str">
        <f>VLOOKUP(C17,'Trips&amp;Operators'!$C$1:$G$99999,5,FALSE)</f>
        <v>ROMERO CHAD</v>
      </c>
      <c r="O17" s="207" t="s">
        <v>184</v>
      </c>
      <c r="P17" s="137" t="s">
        <v>498</v>
      </c>
      <c r="Q17" s="30"/>
      <c r="R17" s="84" t="str">
        <f>IF(VLOOKUP(C17,'Train Runs'!$A$13:$AE$9929,1,1)=C17,VLOOKUP(C17,'Train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17" s="87" t="str">
        <f>VLOOKUP(C17,'Train Runs'!$A$13:$AE$9929,22,0)</f>
        <v>https://d0f6bd738d7f1b3e5a7ca70fe4ff75f0.us-east-1.aws.found.io/app/kibana#/discover/Steve-Slow-Train-Analysis-(2080s-and-2083s)?_g=(refreshInterval:(display:Off,pause:!f,section:0,value:0),time:(from:'2017-05-15T12:24:08-0600',mode:absolute,to:'2017-05-15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7" s="89" t="str">
        <f t="shared" si="1"/>
        <v>"C:\Program Files (x86)\AstroGrep\AstroGrep.exe" /e /r /s /spath="%USERPROFILE%\AppData\Local\Temp\OnboardLogs" /stypes="*4026*201705151*"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4026</v>
      </c>
      <c r="V17" s="31">
        <f t="shared" si="3"/>
        <v>42870.821458333332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arrival","project_id":79,"tracker_id":40,"status_id":1,"priority_id":2,"assigned_to_id":23,"start_date":"2017-05-15","description":"","custom_fields":[{"id":1,"name":"Subdivision","value":"EC"},{"id":4,"name":"Milepost","value":"5.8783"},{"id":17,"name":"Train ID","value":"179-15"},{"id":16,"name":"Locomotive ID","value":"4026"},{"id":130,"name":"Impact","value":""},{"id":150,"name":"Time of Event (Mountain Time)","value":"13:42:54"},{"id":151,"name":"Denver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/cygdrive/c/Users/stu/AppData/Local/Temp/OnboardLogs/RTDC4026 --include="*4026*201705151*"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"%USERPROFILE%\AppData\Local\Temp\OnboardLogs"\RTDC4026\*4026*201705151* &gt;&gt; 2017-05-15-SliceDisagreementCheck.txt</v>
      </c>
      <c r="AE17" s="148" t="str">
        <f t="shared" si="9"/>
        <v>start /low /b %USERPROFILE%\Documents\GitHub\eaglep3\Utilities\DownloadLogsFromS3.py --loco 4026 --day 2017-05-15</v>
      </c>
      <c r="AF17" s="1"/>
    </row>
    <row r="18" spans="1:32" x14ac:dyDescent="0.25">
      <c r="A18" s="31">
        <v>42870.457013888888</v>
      </c>
      <c r="B18" s="30" t="s">
        <v>501</v>
      </c>
      <c r="C18" s="30" t="s">
        <v>591</v>
      </c>
      <c r="D18" s="30" t="s">
        <v>49</v>
      </c>
      <c r="E18" s="30" t="s">
        <v>191</v>
      </c>
      <c r="F18" s="42">
        <v>0</v>
      </c>
      <c r="G18" s="42">
        <v>495</v>
      </c>
      <c r="H18" s="42">
        <v>62328</v>
      </c>
      <c r="I18" s="42">
        <v>63502</v>
      </c>
      <c r="J18" s="30" t="s">
        <v>192</v>
      </c>
      <c r="K18" s="42">
        <v>63069</v>
      </c>
      <c r="L18" s="134" t="s">
        <v>50</v>
      </c>
      <c r="M18" s="135">
        <f t="shared" si="0"/>
        <v>-228.624</v>
      </c>
      <c r="N18" s="136" t="str">
        <f>VLOOKUP(C18,'Trips&amp;Operators'!$C$1:$G$99999,5,FALSE)</f>
        <v>ROBINSON KADDIBA</v>
      </c>
      <c r="O18" s="207" t="s">
        <v>184</v>
      </c>
      <c r="P18" s="137" t="s">
        <v>498</v>
      </c>
      <c r="Q18" s="30"/>
      <c r="R18" s="84" t="str">
        <f>IF(VLOOKUP(C18,'Train Runs'!$A$13:$AE$9929,1,1)=C18,VLOOKUP(C18,'Train Runs'!$A$13:$AE$9929,31,1),NA())</f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S18" s="87" t="str">
        <f>VLOOKUP(C18,'Train Runs'!$A$13:$AE$9929,22,0)</f>
        <v>https://d0f6bd738d7f1b3e5a7ca70fe4ff75f0.us-east-1.aws.found.io/app/kibana#/discover/Steve-Slow-Train-Analysis-(2080s-and-2083s)?_g=(refreshInterval:(display:Off,pause:!f,section:0,value:0),time:(from:'2017-05-15T09:41:03-0600',mode:absolute,to:'2017-05-15T12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18" s="89" t="str">
        <f t="shared" si="1"/>
        <v>"C:\Program Files (x86)\AstroGrep\AstroGrep.exe" /e /r /s /spath="%USERPROFILE%\AppData\Local\Temp\OnboardLogs" /stypes="*4010*201705151*" /stext=" 16:.+((SYSTEM_STATE.+slice.+state.+changed )|(ment ac)|(multiple cpu faults)|(system.+state.+changed )|(\[timeout)|(PRM\|1\|D)|(kpr)|(kdp)|(train st.+moving)|(\|lc)|(penalty))"</v>
      </c>
      <c r="U18" s="9" t="str">
        <f t="shared" si="2"/>
        <v>4010</v>
      </c>
      <c r="V18" s="31">
        <f t="shared" si="3"/>
        <v>42870.707013888888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arrival","project_id":79,"tracker_id":40,"status_id":1,"priority_id":2,"assigned_to_id":23,"start_date":"2017-05-15","description":"","custom_fields":[{"id":1,"name":"Subdivision","value":"EC"},{"id":4,"name":"Milepost","value":"6.3069"},{"id":17,"name":"Train ID","value":"157-15"},{"id":16,"name":"Locomotive ID","value":"4010"},{"id":130,"name":"Impact","value":""},{"id":150,"name":"Time of Event (Mountain Time)","value":"10:58:06"},{"id":151,"name":"Denver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/cygdrive/c/Users/stu/AppData/Local/Temp/OnboardLogs/RTDC4010 --include="*4010*201705151*"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"%USERPROFILE%\AppData\Local\Temp\OnboardLogs"\RTDC4010\*4010*201705151* &gt;&gt; 2017-05-15-SliceDisagreementCheck.txt</v>
      </c>
      <c r="AE18" s="148" t="str">
        <f t="shared" si="9"/>
        <v>start /low /b %USERPROFILE%\Documents\GitHub\eaglep3\Utilities\DownloadLogsFromS3.py --loco 4010 --day 2017-05-15</v>
      </c>
      <c r="AF18" s="1"/>
    </row>
    <row r="19" spans="1:32" x14ac:dyDescent="0.25">
      <c r="A19" s="31">
        <v>42870.710092592592</v>
      </c>
      <c r="B19" s="30" t="s">
        <v>440</v>
      </c>
      <c r="C19" s="30" t="s">
        <v>615</v>
      </c>
      <c r="D19" s="30" t="s">
        <v>49</v>
      </c>
      <c r="E19" s="30" t="s">
        <v>191</v>
      </c>
      <c r="F19" s="42">
        <v>400</v>
      </c>
      <c r="G19" s="42">
        <v>491</v>
      </c>
      <c r="H19" s="42">
        <v>61679</v>
      </c>
      <c r="I19" s="42">
        <v>63138</v>
      </c>
      <c r="J19" s="30" t="s">
        <v>192</v>
      </c>
      <c r="K19" s="42">
        <v>63069</v>
      </c>
      <c r="L19" s="134" t="s">
        <v>50</v>
      </c>
      <c r="M19" s="135">
        <f t="shared" si="0"/>
        <v>-36.432000000000002</v>
      </c>
      <c r="N19" s="136" t="str">
        <f>VLOOKUP(C19,'Trips&amp;Operators'!$C$1:$G$99999,5,FALSE)</f>
        <v>CLARK KATHLEEN</v>
      </c>
      <c r="O19" s="207" t="s">
        <v>184</v>
      </c>
      <c r="P19" s="137" t="s">
        <v>498</v>
      </c>
      <c r="Q19" s="30"/>
      <c r="R19" s="84" t="str">
        <f>IF(VLOOKUP(C19,'Train Runs'!$A$13:$AE$9929,1,1)=C19,VLOOKUP(C19,'Train Runs'!$A$13:$AE$9929,31,1),NA())</f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S19" s="87" t="str">
        <f>VLOOKUP(C19,'Train Runs'!$A$13:$AE$9929,22,0)</f>
        <v>https://d0f6bd738d7f1b3e5a7ca70fe4ff75f0.us-east-1.aws.found.io/app/kibana#/discover/Steve-Slow-Train-Analysis-(2080s-and-2083s)?_g=(refreshInterval:(display:Off,pause:!f,section:0,value:0),time:(from:'2017-05-15T15:42:02-0600',mode:absolute,to:'2017-05-15T18:27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9" s="89" t="str">
        <f t="shared" si="1"/>
        <v>"C:\Program Files (x86)\AstroGrep\AstroGrep.exe" /e /r /s /spath="%USERPROFILE%\AppData\Local\Temp\OnboardLogs" /stypes="*4016*201705152*" /stext=" 23:.+((SYSTEM_STATE.+slice.+state.+changed )|(ment ac)|(multiple cpu faults)|(system.+state.+changed )|(\[timeout)|(PRM\|1\|D)|(kpr)|(kdp)|(train st.+moving)|(\|lc)|(penalty))"</v>
      </c>
      <c r="U19" s="9" t="str">
        <f t="shared" si="2"/>
        <v>4016</v>
      </c>
      <c r="V19" s="31">
        <f t="shared" si="3"/>
        <v>42870.960092592592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arrival","project_id":79,"tracker_id":40,"status_id":1,"priority_id":2,"assigned_to_id":23,"start_date":"2017-05-15","description":"","custom_fields":[{"id":1,"name":"Subdivision","value":"EC"},{"id":4,"name":"Milepost","value":"6.3069"},{"id":17,"name":"Train ID","value":"205-15"},{"id":16,"name":"Locomotive ID","value":"4016"},{"id":130,"name":"Impact","value":""},{"id":150,"name":"Time of Event (Mountain Time)","value":"17:02:32"},{"id":151,"name":"Denver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/cygdrive/c/Users/stu/AppData/Local/Temp/OnboardLogs/RTDC4016 --include="*4016*201705152*"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"%USERPROFILE%\AppData\Local\Temp\OnboardLogs"\RTDC4016\*4016*201705152* &gt;&gt; 2017-05-15-SliceDisagreementCheck.txt</v>
      </c>
      <c r="AE19" s="148" t="str">
        <f t="shared" si="9"/>
        <v>start /low /b %USERPROFILE%\Documents\GitHub\eaglep3\Utilities\DownloadLogsFromS3.py --loco 4016 --day 2017-05-15</v>
      </c>
      <c r="AF19" s="1"/>
    </row>
    <row r="20" spans="1:32" x14ac:dyDescent="0.25">
      <c r="A20" s="31">
        <v>42870.762743055559</v>
      </c>
      <c r="B20" s="30" t="s">
        <v>434</v>
      </c>
      <c r="C20" s="30" t="s">
        <v>619</v>
      </c>
      <c r="D20" s="30" t="s">
        <v>49</v>
      </c>
      <c r="E20" s="30" t="s">
        <v>191</v>
      </c>
      <c r="F20" s="42">
        <v>0</v>
      </c>
      <c r="G20" s="42">
        <v>682</v>
      </c>
      <c r="H20" s="42">
        <v>67206</v>
      </c>
      <c r="I20" s="42">
        <v>64901</v>
      </c>
      <c r="J20" s="30" t="s">
        <v>192</v>
      </c>
      <c r="K20" s="42">
        <v>63309</v>
      </c>
      <c r="L20" s="134" t="s">
        <v>51</v>
      </c>
      <c r="M20" s="135">
        <f t="shared" si="0"/>
        <v>840.57600000000002</v>
      </c>
      <c r="N20" s="136" t="str">
        <f>VLOOKUP(C20,'Trips&amp;Operators'!$C$1:$G$99999,5,FALSE)</f>
        <v>ROMERO CHAD</v>
      </c>
      <c r="O20" s="207" t="s">
        <v>184</v>
      </c>
      <c r="P20" s="137" t="s">
        <v>498</v>
      </c>
      <c r="Q20" s="30"/>
      <c r="R20" s="84" t="str">
        <f>IF(VLOOKUP(C20,'Train Runs'!$A$13:$AE$9929,1,1)=C20,VLOOKUP(C20,'Train Runs'!$A$13:$AE$9929,31,1),NA())</f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S20" s="87" t="str">
        <f>VLOOKUP(C20,'Train Runs'!$A$13:$AE$9929,22,0)</f>
        <v>https://d0f6bd738d7f1b3e5a7ca70fe4ff75f0.us-east-1.aws.found.io/app/kibana#/discover/Steve-Slow-Train-Analysis-(2080s-and-2083s)?_g=(refreshInterval:(display:Off,pause:!f,section:0,value:0),time:(from:'2017-05-15T16:38:28-0600',mode:absolute,to:'2017-05-15T19:34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20" s="89" t="str">
        <f t="shared" si="1"/>
        <v>"C:\Program Files (x86)\AstroGrep\AstroGrep.exe" /e /r /s /spath="%USERPROFILE%\AppData\Local\Temp\OnboardLogs" /stypes="*4025*201705160*" /stext=" 00:.+((SYSTEM_STATE.+slice.+state.+changed )|(ment ac)|(multiple cpu faults)|(system.+state.+changed )|(\[timeout)|(PRM\|1\|D)|(kpr)|(kdp)|(train st.+moving)|(\|lc)|(penalty))"</v>
      </c>
      <c r="U20" s="9" t="str">
        <f t="shared" si="2"/>
        <v>4025</v>
      </c>
      <c r="V20" s="31">
        <f t="shared" si="3"/>
        <v>42871.012743055559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arrival","project_id":79,"tracker_id":40,"status_id":1,"priority_id":2,"assigned_to_id":23,"start_date":"2017-05-15","description":"","custom_fields":[{"id":1,"name":"Subdivision","value":"EC"},{"id":4,"name":"Milepost","value":"6.3309"},{"id":17,"name":"Train ID","value":"208-15"},{"id":16,"name":"Locomotive ID","value":"4025"},{"id":130,"name":"Impact","value":""},{"id":150,"name":"Time of Event (Mountain Time)","value":"18:18:21"},{"id":151,"name":"Denver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/cygdrive/c/Users/stu/AppData/Local/Temp/OnboardLogs/RTDC4025 --include="*4025*201705160*"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"%USERPROFILE%\AppData\Local\Temp\OnboardLogs"\RTDC4025\*4025*201705160* &gt;&gt; 2017-05-15-SliceDisagreementCheck.txt</v>
      </c>
      <c r="AE20" s="148" t="str">
        <f t="shared" si="9"/>
        <v>start /low /b %USERPROFILE%\Documents\GitHub\eaglep3\Utilities\DownloadLogsFromS3.py --loco 4025 --day 2017-05-16</v>
      </c>
      <c r="AF20" s="1"/>
    </row>
    <row r="21" spans="1:32" x14ac:dyDescent="0.25">
      <c r="A21" s="31">
        <v>42870.416851851849</v>
      </c>
      <c r="B21" s="30" t="s">
        <v>344</v>
      </c>
      <c r="C21" s="30" t="s">
        <v>587</v>
      </c>
      <c r="D21" s="30" t="s">
        <v>49</v>
      </c>
      <c r="E21" s="30" t="s">
        <v>191</v>
      </c>
      <c r="F21" s="42">
        <v>490</v>
      </c>
      <c r="G21" s="42">
        <v>561</v>
      </c>
      <c r="H21" s="42">
        <v>104714</v>
      </c>
      <c r="I21" s="42">
        <v>102888</v>
      </c>
      <c r="J21" s="30" t="s">
        <v>192</v>
      </c>
      <c r="K21" s="42">
        <v>103800</v>
      </c>
      <c r="L21" s="134" t="s">
        <v>51</v>
      </c>
      <c r="M21" s="135">
        <f t="shared" si="0"/>
        <v>-481.536</v>
      </c>
      <c r="N21" s="136" t="str">
        <f>VLOOKUP(C21,'Trips&amp;Operators'!$C$1:$G$99999,5,FALSE)</f>
        <v>MAYBERRY BILL</v>
      </c>
      <c r="O21" s="207" t="s">
        <v>184</v>
      </c>
      <c r="P21" s="137" t="s">
        <v>498</v>
      </c>
      <c r="Q21" s="30"/>
      <c r="R21" s="84" t="str">
        <f>IF(VLOOKUP(C21,'Train Runs'!$A$13:$AE$9929,1,1)=C21,VLOOKUP(C21,'Train Runs'!$A$13:$AE$9929,31,1),NA())</f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S21" s="87" t="str">
        <f>VLOOKUP(C21,'Train Runs'!$A$13:$AE$9929,22,0)</f>
        <v>https://d0f6bd738d7f1b3e5a7ca70fe4ff75f0.us-east-1.aws.found.io/app/kibana#/discover/Steve-Slow-Train-Analysis-(2080s-and-2083s)?_g=(refreshInterval:(display:Off,pause:!f,section:0,value:0),time:(from:'2017-05-15T08:28:38-0600',mode:absolute,to:'2017-05-15T11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1" s="89" t="str">
        <f t="shared" si="1"/>
        <v>"C:\Program Files (x86)\AstroGrep\AstroGrep.exe" /e /r /s /spath="%USERPROFILE%\AppData\Local\Temp\OnboardLogs" /stypes="*4027*201705151*"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4027</v>
      </c>
      <c r="V21" s="31">
        <f t="shared" si="3"/>
        <v>42870.666851851849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arrival","project_id":79,"tracker_id":40,"status_id":1,"priority_id":2,"assigned_to_id":23,"start_date":"2017-05-15","description":"","custom_fields":[{"id":1,"name":"Subdivision","value":"EC"},{"id":4,"name":"Milepost","value":"10.38"},{"id":17,"name":"Train ID","value":"142-15"},{"id":16,"name":"Locomotive ID","value":"4027"},{"id":130,"name":"Impact","value":""},{"id":150,"name":"Time of Event (Mountain Time)","value":"10:00:16"},{"id":151,"name":"Denver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/cygdrive/c/Users/stu/AppData/Local/Temp/OnboardLogs/RTDC4027 --include="*4027*201705151*"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"%USERPROFILE%\AppData\Local\Temp\OnboardLogs"\RTDC4027\*4027*201705151* &gt;&gt; 2017-05-15-SliceDisagreementCheck.txt</v>
      </c>
      <c r="AE21" s="148" t="str">
        <f t="shared" si="9"/>
        <v>start /low /b %USERPROFILE%\Documents\GitHub\eaglep3\Utilities\DownloadLogsFromS3.py --loco 4027 --day 2017-05-15</v>
      </c>
      <c r="AF21" s="1"/>
    </row>
    <row r="22" spans="1:32" x14ac:dyDescent="0.25">
      <c r="A22" s="31">
        <v>42870.50104166667</v>
      </c>
      <c r="B22" s="30" t="s">
        <v>499</v>
      </c>
      <c r="C22" s="30" t="s">
        <v>593</v>
      </c>
      <c r="D22" s="30" t="s">
        <v>49</v>
      </c>
      <c r="E22" s="30" t="s">
        <v>191</v>
      </c>
      <c r="F22" s="42">
        <v>360</v>
      </c>
      <c r="G22" s="42">
        <v>412</v>
      </c>
      <c r="H22" s="42">
        <v>110249</v>
      </c>
      <c r="I22" s="42">
        <v>109017</v>
      </c>
      <c r="J22" s="30" t="s">
        <v>192</v>
      </c>
      <c r="K22" s="42">
        <v>109135</v>
      </c>
      <c r="L22" s="134" t="s">
        <v>51</v>
      </c>
      <c r="M22" s="135">
        <f t="shared" si="0"/>
        <v>-62.304000000000002</v>
      </c>
      <c r="N22" s="136" t="str">
        <f>VLOOKUP(C22,'Trips&amp;Operators'!$C$1:$G$99999,5,FALSE)</f>
        <v>ROBINSON KADDIBA</v>
      </c>
      <c r="O22" s="207" t="s">
        <v>184</v>
      </c>
      <c r="P22" s="137" t="s">
        <v>498</v>
      </c>
      <c r="Q22" s="30"/>
      <c r="R22" s="84" t="str">
        <f>IF(VLOOKUP(C22,'Train Runs'!$A$13:$AE$9929,1,1)=C22,VLOOKUP(C22,'Train Runs'!$A$13:$AE$9929,31,1),NA())</f>
        <v>aws s3 cp s3://rtdc.mdm.uploadarchive.raw/RTDC4009/ "%USERPROFILE%\AppData\Local\Temp\OnboardLogs"\RTDC4009\2017-05-15 --exclude "*" --recursive --include "*20170515*" &amp; "%USERPROFILE%\Documents\GitHub\mrs-test-scripts\Headless Mode &amp; Sideloading\WalkAndUnGZ.bat" "%USERPROFILE%\AppData\Local\Temp\OnboardLogs"\RTDC4009\2017-05-15 &amp; aws s3 cp s3://rtdc.mdm.uploadarchive.raw/RTDC4009/ "%USERPROFILE%\AppData\Local\Temp\OnboardLogs"\RTDC4009\2017-05-16 --exclude "*" --recursive --include "*20170516*" &amp; "%USERPROFILE%\Documents\GitHub\mrs-test-scripts\Headless Mode &amp; Sideloading\WalkAndUnGZ.bat" "%USERPROFILE%\AppData\Local\Temp\OnboardLogs"\RTDC4009\2017-05-16</v>
      </c>
      <c r="S22" s="87" t="str">
        <f>VLOOKUP(C22,'Train Runs'!$A$13:$AE$9929,22,0)</f>
        <v>https://d0f6bd738d7f1b3e5a7ca70fe4ff75f0.us-east-1.aws.found.io/app/kibana#/discover/Steve-Slow-Train-Analysis-(2080s-and-2083s)?_g=(refreshInterval:(display:Off,pause:!f,section:0,value:0),time:(from:'2017-05-15T10:39:26-0600',mode:absolute,to:'2017-05-15T13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2" s="89" t="str">
        <f t="shared" si="1"/>
        <v>"C:\Program Files (x86)\AstroGrep\AstroGrep.exe" /e /r /s /spath="%USERPROFILE%\AppData\Local\Temp\OnboardLogs" /stypes="*4009*201705151*"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4009</v>
      </c>
      <c r="V22" s="31">
        <f t="shared" si="3"/>
        <v>42870.75104166667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{"issue":{"subject":"Early arrival","project_id":79,"tracker_id":40,"status_id":1,"priority_id":2,"assigned_to_id":23,"start_date":"2017-05-15","description":"","custom_fields":[{"id":1,"name":"Subdivision","value":"EC"},{"id":4,"name":"Milepost","value":"10.9135"},{"id":17,"name":"Train ID","value":"158-15"},{"id":16,"name":"Locomotive ID","value":"4009"},{"id":130,"name":"Impact","value":""},{"id":150,"name":"Time of Event (Mountain Time)","value":"12:01:30"},{"id":151,"name":"Denver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/cygdrive/c/Users/stu/AppData/Local/Temp/OnboardLogs/RTDC4009 --include="*4009*201705151*"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"%USERPROFILE%\AppData\Local\Temp\OnboardLogs"\RTDC4009\*4009*201705151* &gt;&gt; 2017-05-15-SliceDisagreementCheck.txt</v>
      </c>
      <c r="AE22" s="148" t="str">
        <f t="shared" si="9"/>
        <v>start /low /b %USERPROFILE%\Documents\GitHub\eaglep3\Utilities\DownloadLogsFromS3.py --loco 4009 --day 2017-05-15</v>
      </c>
      <c r="AF22" s="1"/>
    </row>
    <row r="23" spans="1:32" x14ac:dyDescent="0.25">
      <c r="A23" s="31">
        <v>42870.833865740744</v>
      </c>
      <c r="B23" s="30" t="s">
        <v>436</v>
      </c>
      <c r="C23" s="30" t="s">
        <v>623</v>
      </c>
      <c r="D23" s="30" t="s">
        <v>49</v>
      </c>
      <c r="E23" s="30" t="s">
        <v>204</v>
      </c>
      <c r="F23" s="42">
        <v>200</v>
      </c>
      <c r="G23" s="42">
        <v>336</v>
      </c>
      <c r="H23" s="42">
        <v>7075</v>
      </c>
      <c r="I23" s="42">
        <v>6255</v>
      </c>
      <c r="J23" s="30" t="s">
        <v>205</v>
      </c>
      <c r="K23" s="42">
        <v>5457</v>
      </c>
      <c r="L23" s="134" t="s">
        <v>51</v>
      </c>
      <c r="M23" s="135">
        <f t="shared" si="0"/>
        <v>421.34399999999999</v>
      </c>
      <c r="N23" s="136" t="str">
        <f>VLOOKUP(C23,'Trips&amp;Operators'!$C$1:$G$99999,5,FALSE)</f>
        <v>BIRENBAUM THOMAS</v>
      </c>
      <c r="O23" s="207" t="s">
        <v>184</v>
      </c>
      <c r="P23" s="137"/>
      <c r="Q23" s="30"/>
      <c r="R23" s="84" t="str">
        <f>IF(VLOOKUP(C23,'Train Runs'!$A$13:$AE$9929,1,1)=C23,VLOOKUP(C23,'Train Runs'!$A$13:$AE$9929,31,1),NA())</f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S23" s="87" t="str">
        <f>VLOOKUP(C23,'Train Runs'!$A$13:$AE$9929,22,0)</f>
        <v>https://d0f6bd738d7f1b3e5a7ca70fe4ff75f0.us-east-1.aws.found.io/app/kibana#/discover/Steve-Slow-Train-Analysis-(2080s-and-2083s)?_g=(refreshInterval:(display:Off,pause:!f,section:0,value:0),time:(from:'2017-05-15T18:21:40-0600',mode:absolute,to:'2017-05-15T21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3" s="89" t="str">
        <f t="shared" si="1"/>
        <v>"C:\Program Files (x86)\AstroGrep\AstroGrep.exe" /e /r /s /spath="%USERPROFILE%\AppData\Local\Temp\OnboardLogs" /stypes="*4015*201705160*" /stext=" 02:.+((SYSTEM_STATE.+slice.+state.+changed )|(ment ac)|(multiple cpu faults)|(system.+state.+changed )|(\[timeout)|(PRM\|1\|D)|(kpr)|(kdp)|(train st.+moving)|(\|lc)|(penalty))"</v>
      </c>
      <c r="U23" s="9" t="str">
        <f t="shared" si="2"/>
        <v>4015</v>
      </c>
      <c r="V23" s="31">
        <f t="shared" si="3"/>
        <v>42871.083865740744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{"issue":{"subject":"","project_id":79,"tracker_id":40,"status_id":1,"priority_id":2,"assigned_to_id":23,"start_date":"2017-05-15","description":"","custom_fields":[{"id":1,"name":"Subdivision","value":"EC"},{"id":4,"name":"Milepost","value":"0.5457"},{"id":17,"name":"Train ID","value":"220-15"},{"id":16,"name":"Locomotive ID","value":"4015"},{"id":130,"name":"Impact","value":""},{"id":150,"name":"Time of Event (Mountain Time)","value":"20:00:46"},{"id":151,"name":"Denver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/cygdrive/c/Users/stu/AppData/Local/Temp/OnboardLogs/RTDC4015 --include="*4015*201705160*"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"%USERPROFILE%\AppData\Local\Temp\OnboardLogs"\RTDC4015\*4015*201705160* &gt;&gt; 2017-05-15-SliceDisagreementCheck.txt</v>
      </c>
      <c r="AE23" s="148" t="str">
        <f t="shared" si="9"/>
        <v>start /low /b %USERPROFILE%\Documents\GitHub\eaglep3\Utilities\DownloadLogsFromS3.py --loco 4015 --day 2017-05-16</v>
      </c>
      <c r="AF23" s="1"/>
    </row>
    <row r="24" spans="1:32" x14ac:dyDescent="0.25">
      <c r="A24" s="31">
        <v>42870.523634259262</v>
      </c>
      <c r="B24" s="30" t="s">
        <v>501</v>
      </c>
      <c r="C24" s="30" t="s">
        <v>597</v>
      </c>
      <c r="D24" s="30" t="s">
        <v>98</v>
      </c>
      <c r="E24" s="30" t="s">
        <v>204</v>
      </c>
      <c r="F24" s="42">
        <v>400</v>
      </c>
      <c r="G24" s="42">
        <v>450</v>
      </c>
      <c r="H24" s="42">
        <v>7333</v>
      </c>
      <c r="I24" s="42">
        <v>8866</v>
      </c>
      <c r="J24" s="30" t="s">
        <v>205</v>
      </c>
      <c r="K24" s="42">
        <v>5457</v>
      </c>
      <c r="L24" s="134" t="s">
        <v>50</v>
      </c>
      <c r="M24" s="135">
        <f t="shared" si="0"/>
        <v>-1799.952</v>
      </c>
      <c r="N24" s="136" t="str">
        <f>VLOOKUP(C24,'Trips&amp;Operators'!$C$1:$G$99999,5,FALSE)</f>
        <v>BRANDNER MELINDA</v>
      </c>
      <c r="O24" s="207" t="s">
        <v>184</v>
      </c>
      <c r="P24" s="137"/>
      <c r="Q24" s="30"/>
      <c r="R24" s="84" t="str">
        <f>IF(VLOOKUP(C24,'Train Runs'!$A$13:$AE$9929,1,1)=C24,VLOOKUP(C24,'Train Runs'!$A$13:$AE$9929,31,1),NA())</f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S24" s="87" t="str">
        <f>VLOOKUP(C24,'Train Runs'!$A$13:$AE$9929,22,0)</f>
        <v>https://d0f6bd738d7f1b3e5a7ca70fe4ff75f0.us-east-1.aws.found.io/app/kibana#/discover/Steve-Slow-Train-Analysis-(2080s-and-2083s)?_g=(refreshInterval:(display:Off,pause:!f,section:0,value:0),time:(from:'2017-05-15T11:28:04-0600',mode:absolute,to:'2017-05-15T14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4" s="89" t="str">
        <f t="shared" si="1"/>
        <v>"C:\Program Files (x86)\AstroGrep\AstroGrep.exe" /e /r /s /spath="%USERPROFILE%\AppData\Local\Temp\OnboardLogs" /stypes="*4010*201705151*" /stext=" 18:.+((SYSTEM_STATE.+slice.+state.+changed )|(ment ac)|(multiple cpu faults)|(system.+state.+changed )|(\[timeout)|(PRM\|1\|D)|(kpr)|(kdp)|(train st.+moving)|(\|lc)|(penalty))"</v>
      </c>
      <c r="U24" s="9" t="str">
        <f t="shared" si="2"/>
        <v>4010</v>
      </c>
      <c r="V24" s="31">
        <f t="shared" si="3"/>
        <v>42870.773634259262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{"issue":{"subject":"","project_id":79,"tracker_id":40,"status_id":1,"priority_id":2,"assigned_to_id":23,"start_date":"2017-05-15","description":"","custom_fields":[{"id":1,"name":"Subdivision","value":"EC"},{"id":4,"name":"Milepost","value":"0.5457"},{"id":17,"name":"Train ID","value":"171-15"},{"id":16,"name":"Locomotive ID","value":"4010"},{"id":130,"name":"Impact","value":""},{"id":150,"name":"Time of Event (Mountain Time)","value":"12:34:02"},{"id":151,"name":"Denver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/cygdrive/c/Users/stu/AppData/Local/Temp/OnboardLogs/RTDC4010 --include="*4010*201705151*"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"%USERPROFILE%\AppData\Local\Temp\OnboardLogs"\RTDC4010\*4010*201705151* &gt;&gt; 2017-05-15-SliceDisagreementCheck.txt</v>
      </c>
      <c r="AE24" s="148" t="str">
        <f t="shared" si="9"/>
        <v>start /low /b %USERPROFILE%\Documents\GitHub\eaglep3\Utilities\DownloadLogsFromS3.py --loco 4010 --day 2017-05-15</v>
      </c>
      <c r="AF24" s="1"/>
    </row>
    <row r="25" spans="1:32" x14ac:dyDescent="0.25">
      <c r="A25" s="31">
        <v>42870.594224537039</v>
      </c>
      <c r="B25" s="30" t="s">
        <v>379</v>
      </c>
      <c r="C25" s="30" t="s">
        <v>603</v>
      </c>
      <c r="D25" s="30" t="s">
        <v>49</v>
      </c>
      <c r="E25" s="30" t="s">
        <v>204</v>
      </c>
      <c r="F25" s="42">
        <v>300</v>
      </c>
      <c r="G25" s="42">
        <v>398</v>
      </c>
      <c r="H25" s="42">
        <v>23070</v>
      </c>
      <c r="I25" s="42">
        <v>22032</v>
      </c>
      <c r="J25" s="30" t="s">
        <v>205</v>
      </c>
      <c r="K25" s="42">
        <v>21848</v>
      </c>
      <c r="L25" s="134" t="s">
        <v>51</v>
      </c>
      <c r="M25" s="135">
        <f t="shared" si="0"/>
        <v>97.152000000000001</v>
      </c>
      <c r="N25" s="136" t="str">
        <f>VLOOKUP(C25,'Trips&amp;Operators'!$C$1:$G$99999,5,FALSE)</f>
        <v>PERKINS DARREN</v>
      </c>
      <c r="O25" s="207" t="s">
        <v>184</v>
      </c>
      <c r="P25" s="137"/>
      <c r="Q25" s="30"/>
      <c r="R25" s="84" t="str">
        <f>IF(VLOOKUP(C25,'Train Runs'!$A$13:$AE$9929,1,1)=C25,VLOOKUP(C25,'Train Runs'!$A$13:$AE$9929,31,1),NA())</f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S25" s="87" t="str">
        <f>VLOOKUP(C25,'Train Runs'!$A$13:$AE$9929,22,0)</f>
        <v>https://d0f6bd738d7f1b3e5a7ca70fe4ff75f0.us-east-1.aws.found.io/app/kibana#/discover/Steve-Slow-Train-Analysis-(2080s-and-2083s)?_g=(refreshInterval:(display:Off,pause:!f,section:0,value:0),time:(from:'2017-05-15T12:24:03-0600',mode:absolute,to:'2017-05-15T15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9" t="str">
        <f t="shared" si="1"/>
        <v>"C:\Program Files (x86)\AstroGrep\AstroGrep.exe" /e /r /s /spath="%USERPROFILE%\AppData\Local\Temp\OnboardLogs" /stypes="*4041*201705152*" /stext=" 20:.+((SYSTEM_STATE.+slice.+state.+changed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42870.844224537039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{"issue":{"subject":"","project_id":79,"tracker_id":40,"status_id":1,"priority_id":2,"assigned_to_id":23,"start_date":"2017-05-15","description":"","custom_fields":[{"id":1,"name":"Subdivision","value":"EC"},{"id":4,"name":"Milepost","value":"2.1848"},{"id":17,"name":"Train ID","value":"174-15"},{"id":16,"name":"Locomotive ID","value":"4041"},{"id":130,"name":"Impact","value":""},{"id":150,"name":"Time of Event (Mountain Time)","value":"14:15:41"},{"id":151,"name":"Denver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/cygdrive/c/Users/stu/AppData/Local/Temp/OnboardLogs/RTDC4041 --include="*4041*201705152*"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"%USERPROFILE%\AppData\Local\Temp\OnboardLogs"\RTDC4041\*4041*201705152* &gt;&gt; 2017-05-15-SliceDisagreementCheck.txt</v>
      </c>
      <c r="AE25" s="148" t="str">
        <f t="shared" si="9"/>
        <v>start /low /b %USERPROFILE%\Documents\GitHub\eaglep3\Utilities\DownloadLogsFromS3.py --loco 4041 --day 2017-05-15</v>
      </c>
      <c r="AF25" s="1"/>
    </row>
    <row r="26" spans="1:32" x14ac:dyDescent="0.25">
      <c r="A26" s="31">
        <v>42870.212083333332</v>
      </c>
      <c r="B26" s="30" t="s">
        <v>435</v>
      </c>
      <c r="C26" s="30" t="s">
        <v>576</v>
      </c>
      <c r="D26" s="30" t="s">
        <v>49</v>
      </c>
      <c r="E26" s="30" t="s">
        <v>204</v>
      </c>
      <c r="F26" s="42">
        <v>400</v>
      </c>
      <c r="G26" s="42">
        <v>490</v>
      </c>
      <c r="H26" s="42">
        <v>116056</v>
      </c>
      <c r="I26" s="42">
        <v>117277</v>
      </c>
      <c r="J26" s="30" t="s">
        <v>205</v>
      </c>
      <c r="K26" s="42">
        <v>116838</v>
      </c>
      <c r="L26" s="134" t="s">
        <v>50</v>
      </c>
      <c r="M26" s="135">
        <f t="shared" si="0"/>
        <v>-231.792</v>
      </c>
      <c r="N26" s="136" t="str">
        <f>VLOOKUP(C26,'Trips&amp;Operators'!$C$1:$G$99999,5,FALSE)</f>
        <v>MACDONALD THOMAS</v>
      </c>
      <c r="O26" s="207" t="s">
        <v>184</v>
      </c>
      <c r="P26" s="137"/>
      <c r="Q26" s="30"/>
      <c r="R26" s="84" t="str">
        <f>IF(VLOOKUP(C26,'Train Runs'!$A$13:$AE$9929,1,1)=C26,VLOOKUP(C26,'Train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26" s="87" t="str">
        <f>VLOOKUP(C26,'Train Runs'!$A$13:$AE$9929,22,0)</f>
        <v>https://d0f6bd738d7f1b3e5a7ca70fe4ff75f0.us-east-1.aws.found.io/app/kibana#/discover/Steve-Slow-Train-Analysis-(2080s-and-2083s)?_g=(refreshInterval:(display:Off,pause:!f,section:0,value:0),time:(from:'2017-05-15T03:36:37-0600',mode:absolute,to:'2017-05-15T06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6" s="89" t="str">
        <f t="shared" si="1"/>
        <v>"C:\Program Files (x86)\AstroGrep\AstroGrep.exe" /e /r /s /spath="%USERPROFILE%\AppData\Local\Temp\OnboardLogs" /stypes="*4026*201705151*" /stext=" 11:.+((SYSTEM_STATE.+slice.+state.+changed )|(ment ac)|(multiple cpu faults)|(system.+state.+changed )|(\[timeout)|(PRM\|1\|D)|(kpr)|(kdp)|(train st.+moving)|(\|lc)|(penalty))"</v>
      </c>
      <c r="U26" s="9" t="str">
        <f t="shared" si="2"/>
        <v>4026</v>
      </c>
      <c r="V26" s="31">
        <f t="shared" si="3"/>
        <v>42870.462083333332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{"issue":{"subject":"","project_id":79,"tracker_id":40,"status_id":1,"priority_id":2,"assigned_to_id":23,"start_date":"2017-05-15","description":"","custom_fields":[{"id":1,"name":"Subdivision","value":"EC"},{"id":4,"name":"Milepost","value":"11.6838"},{"id":17,"name":"Train ID","value":"109-15"},{"id":16,"name":"Locomotive ID","value":"4026"},{"id":130,"name":"Impact","value":""},{"id":150,"name":"Time of Event (Mountain Time)","value":"05:05:24"},{"id":151,"name":"Denver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/cygdrive/c/Users/stu/AppData/Local/Temp/OnboardLogs/RTDC4026 --include="*4026*201705151*"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"%USERPROFILE%\AppData\Local\Temp\OnboardLogs"\RTDC4026\*4026*201705151* &gt;&gt; 2017-05-15-SliceDisagreementCheck.txt</v>
      </c>
      <c r="AE26" s="148" t="str">
        <f t="shared" si="9"/>
        <v>start /low /b %USERPROFILE%\Documents\GitHub\eaglep3\Utilities\DownloadLogsFromS3.py --loco 4026 --day 2017-05-15</v>
      </c>
      <c r="AF26" s="1"/>
    </row>
    <row r="27" spans="1:32" x14ac:dyDescent="0.25">
      <c r="A27" s="31">
        <v>42870.699594907404</v>
      </c>
      <c r="B27" s="30" t="s">
        <v>344</v>
      </c>
      <c r="C27" s="30" t="s">
        <v>612</v>
      </c>
      <c r="D27" s="30" t="s">
        <v>49</v>
      </c>
      <c r="E27" s="30" t="s">
        <v>204</v>
      </c>
      <c r="F27" s="42">
        <v>600</v>
      </c>
      <c r="G27" s="42">
        <v>651</v>
      </c>
      <c r="H27" s="42">
        <v>191824</v>
      </c>
      <c r="I27" s="42">
        <v>189648</v>
      </c>
      <c r="J27" s="30" t="s">
        <v>205</v>
      </c>
      <c r="K27" s="42">
        <v>191104</v>
      </c>
      <c r="L27" s="134" t="s">
        <v>51</v>
      </c>
      <c r="M27" s="135">
        <f t="shared" si="0"/>
        <v>-768.76800000000003</v>
      </c>
      <c r="N27" s="136" t="str">
        <f>VLOOKUP(C27,'Trips&amp;Operators'!$C$1:$G$99999,5,FALSE)</f>
        <v>THOMPSON LESTER</v>
      </c>
      <c r="O27" s="207" t="s">
        <v>184</v>
      </c>
      <c r="P27" s="137"/>
      <c r="Q27" s="30"/>
      <c r="R27" s="84" t="str">
        <f>IF(VLOOKUP(C27,'Train Runs'!$A$13:$AE$9929,1,1)=C27,VLOOKUP(C27,'Train Runs'!$A$13:$AE$9929,31,1),NA())</f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S27" s="87" t="str">
        <f>VLOOKUP(C27,'Train Runs'!$A$13:$AE$9929,22,0)</f>
        <v>https://d0f6bd738d7f1b3e5a7ca70fe4ff75f0.us-east-1.aws.found.io/app/kibana#/discover/Steve-Slow-Train-Analysis-(2080s-and-2083s)?_g=(refreshInterval:(display:Off,pause:!f,section:0,value:0),time:(from:'2017-05-15T15:33:27-0600',mode:absolute,to:'2017-05-15T18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89" t="str">
        <f t="shared" si="1"/>
        <v>"C:\Program Files (x86)\AstroGrep\AstroGrep.exe" /e /r /s /spath="%USERPROFILE%\AppData\Local\Temp\OnboardLogs" /stypes="*4027*201705152*" /stext=" 22:.+((SYSTEM_STATE.+slice.+state.+changed )|(ment ac)|(multiple cpu faults)|(system.+state.+changed )|(\[timeout)|(PRM\|1\|D)|(kpr)|(kdp)|(train st.+moving)|(\|lc)|(penalty))"</v>
      </c>
      <c r="U27" s="9" t="str">
        <f t="shared" si="2"/>
        <v>4027</v>
      </c>
      <c r="V27" s="31">
        <f t="shared" si="3"/>
        <v>42870.949594907404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{"issue":{"subject":"","project_id":79,"tracker_id":40,"status_id":1,"priority_id":2,"assigned_to_id":23,"start_date":"2017-05-15","description":"","custom_fields":[{"id":1,"name":"Subdivision","value":"EC"},{"id":4,"name":"Milepost","value":"19.1104"},{"id":17,"name":"Train ID","value":"198-15"},{"id":16,"name":"Locomotive ID","value":"4027"},{"id":130,"name":"Impact","value":""},{"id":150,"name":"Time of Event (Mountain Time)","value":"16:47:25"},{"id":151,"name":"Denver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/cygdrive/c/Users/stu/AppData/Local/Temp/OnboardLogs/RTDC4027 --include="*4027*201705152*"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"%USERPROFILE%\AppData\Local\Temp\OnboardLogs"\RTDC4027\*4027*201705152* &gt;&gt; 2017-05-15-SliceDisagreementCheck.txt</v>
      </c>
      <c r="AE27" s="148" t="str">
        <f t="shared" si="9"/>
        <v>start /low /b %USERPROFILE%\Documents\GitHub\eaglep3\Utilities\DownloadLogsFromS3.py --loco 4027 --day 2017-05-15</v>
      </c>
      <c r="AF27" s="1"/>
    </row>
    <row r="28" spans="1:32" x14ac:dyDescent="0.25">
      <c r="A28" s="31">
        <v>42870.558865740742</v>
      </c>
      <c r="B28" s="30" t="s">
        <v>344</v>
      </c>
      <c r="C28" s="30" t="s">
        <v>598</v>
      </c>
      <c r="D28" s="30" t="s">
        <v>49</v>
      </c>
      <c r="E28" s="30" t="s">
        <v>374</v>
      </c>
      <c r="F28" s="42">
        <v>0</v>
      </c>
      <c r="G28" s="42">
        <v>757</v>
      </c>
      <c r="H28" s="42">
        <v>141511</v>
      </c>
      <c r="I28" s="42">
        <v>138218</v>
      </c>
      <c r="J28" s="30" t="s">
        <v>375</v>
      </c>
      <c r="K28" s="42">
        <v>138851</v>
      </c>
      <c r="L28" s="134" t="s">
        <v>51</v>
      </c>
      <c r="M28" s="135">
        <f t="shared" si="0"/>
        <v>-334.22399999999993</v>
      </c>
      <c r="N28" s="136" t="str">
        <f>VLOOKUP(C28,'Trips&amp;Operators'!$C$1:$G$99999,5,FALSE)</f>
        <v>THOMPSON LESTER</v>
      </c>
      <c r="O28" s="207" t="s">
        <v>377</v>
      </c>
      <c r="P28" s="137" t="s">
        <v>497</v>
      </c>
      <c r="Q28" s="30"/>
      <c r="R28" s="84" t="str">
        <f>IF(VLOOKUP(C28,'Train Runs'!$A$13:$AE$9929,1,1)=C28,VLOOKUP(C28,'Train Runs'!$A$13:$AE$9929,31,1),NA())</f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S28" s="87" t="str">
        <f>VLOOKUP(C28,'Train Runs'!$A$13:$AE$9929,22,0)</f>
        <v>https://d0f6bd738d7f1b3e5a7ca70fe4ff75f0.us-east-1.aws.found.io/app/kibana#/discover/Steve-Slow-Train-Analysis-(2080s-and-2083s)?_g=(refreshInterval:(display:Off,pause:!f,section:0,value:0),time:(from:'2017-05-15T12:04:21-0600',mode:absolute,to:'2017-05-15T14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8" s="89" t="str">
        <f t="shared" si="1"/>
        <v>"C:\Program Files (x86)\AstroGrep\AstroGrep.exe" /e /r /s /spath="%USERPROFILE%\AppData\Local\Temp\OnboardLogs" /stypes="*4027*201705151*"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4027</v>
      </c>
      <c r="V28" s="31">
        <f t="shared" si="3"/>
        <v>42870.808865740742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drop","project_id":79,"tracker_id":40,"status_id":1,"priority_id":2,"assigned_to_id":23,"start_date":"2017-05-15","description":"","custom_fields":[{"id":1,"name":"Subdivision","value":"EC"},{"id":4,"name":"Milepost","value":"13.8851"},{"id":17,"name":"Train ID","value":"170-15"},{"id":16,"name":"Locomotive ID","value":"4027"},{"id":130,"name":"Impact","value":""},{"id":150,"name":"Time of Event (Mountain Time)","value":"13:24:46"},{"id":151,"name":"Denver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/cygdrive/c/Users/stu/AppData/Local/Temp/OnboardLogs/RTDC4027 --include="*4027*201705151*"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"%USERPROFILE%\AppData\Local\Temp\OnboardLogs"\RTDC4027\*4027*201705151* &gt;&gt; 2017-05-15-SliceDisagreementCheck.txt</v>
      </c>
      <c r="AE28" s="148" t="str">
        <f t="shared" si="9"/>
        <v>start /low /b %USERPROFILE%\Documents\GitHub\eaglep3\Utilities\DownloadLogsFromS3.py --loco 4027 --day 2017-05-15</v>
      </c>
      <c r="AF28" s="1"/>
    </row>
    <row r="29" spans="1:32" x14ac:dyDescent="0.25">
      <c r="A29" s="31">
        <v>42870.66265046296</v>
      </c>
      <c r="B29" s="30" t="s">
        <v>386</v>
      </c>
      <c r="C29" s="30" t="s">
        <v>611</v>
      </c>
      <c r="D29" s="30" t="s">
        <v>49</v>
      </c>
      <c r="E29" s="30" t="s">
        <v>374</v>
      </c>
      <c r="F29" s="42">
        <v>0</v>
      </c>
      <c r="G29" s="42">
        <v>739</v>
      </c>
      <c r="H29" s="42">
        <v>139076</v>
      </c>
      <c r="I29" s="42">
        <v>135837</v>
      </c>
      <c r="J29" s="30" t="s">
        <v>375</v>
      </c>
      <c r="K29" s="42">
        <v>138851</v>
      </c>
      <c r="L29" s="134" t="s">
        <v>51</v>
      </c>
      <c r="M29" s="135">
        <f t="shared" si="0"/>
        <v>-1591.3920000000001</v>
      </c>
      <c r="N29" s="136" t="str">
        <f>VLOOKUP(C29,'Trips&amp;Operators'!$C$1:$G$99999,5,FALSE)</f>
        <v>DAVIS MICHAEL</v>
      </c>
      <c r="O29" s="207" t="s">
        <v>377</v>
      </c>
      <c r="P29" s="137" t="s">
        <v>497</v>
      </c>
      <c r="Q29" s="30"/>
      <c r="R29" s="84" t="str">
        <f>IF(VLOOKUP(C29,'Train Runs'!$A$13:$AE$9929,1,1)=C29,VLOOKUP(C29,'Train Runs'!$A$13:$AE$9929,31,1),NA())</f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S29" s="87" t="str">
        <f>VLOOKUP(C29,'Train Runs'!$A$13:$AE$9929,22,0)</f>
        <v>https://d0f6bd738d7f1b3e5a7ca70fe4ff75f0.us-east-1.aws.found.io/app/kibana#/discover/Steve-Slow-Train-Analysis-(2080s-and-2083s)?_g=(refreshInterval:(display:Off,pause:!f,section:0,value:0),time:(from:'2017-05-15T14:37:42-0600',mode:absolute,to:'2017-05-15T17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9" s="89" t="str">
        <f t="shared" si="1"/>
        <v>"C:\Program Files (x86)\AstroGrep\AstroGrep.exe" /e /r /s /spath="%USERPROFILE%\AppData\Local\Temp\OnboardLogs" /stypes="*4021*201705152*" /stext=" 21:.+((SYSTEM_STATE.+slice.+state.+changed )|(ment ac)|(multiple cpu faults)|(system.+state.+changed )|(\[timeout)|(PRM\|1\|D)|(kpr)|(kdp)|(train st.+moving)|(\|lc)|(penalty))"</v>
      </c>
      <c r="U29" s="9" t="str">
        <f t="shared" si="2"/>
        <v>4021</v>
      </c>
      <c r="V29" s="31">
        <f t="shared" si="3"/>
        <v>42870.91265046296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{"issue":{"subject":"Wi-MAX data drop","project_id":79,"tracker_id":40,"status_id":1,"priority_id":2,"assigned_to_id":23,"start_date":"2017-05-15","description":"","custom_fields":[{"id":1,"name":"Subdivision","value":"EC"},{"id":4,"name":"Milepost","value":"13.8851"},{"id":17,"name":"Train ID","value":"190-15"},{"id":16,"name":"Locomotive ID","value":"4021"},{"id":130,"name":"Impact","value":""},{"id":150,"name":"Time of Event (Mountain Time)","value":"15:54:13"},{"id":151,"name":"Denver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/cygdrive/c/Users/stu/AppData/Local/Temp/OnboardLogs/RTDC4021 --include="*4021*201705152*"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"%USERPROFILE%\AppData\Local\Temp\OnboardLogs"\RTDC4021\*4021*201705152* &gt;&gt; 2017-05-15-SliceDisagreementCheck.txt</v>
      </c>
      <c r="AE29" s="148" t="str">
        <f t="shared" si="9"/>
        <v>start /low /b %USERPROFILE%\Documents\GitHub\eaglep3\Utilities\DownloadLogsFromS3.py --loco 4021 --day 2017-05-15</v>
      </c>
      <c r="AF29" s="1"/>
    </row>
    <row r="30" spans="1:32" x14ac:dyDescent="0.25">
      <c r="A30" s="31">
        <v>42870.260821759257</v>
      </c>
      <c r="B30" s="30" t="s">
        <v>344</v>
      </c>
      <c r="C30" s="30" t="s">
        <v>579</v>
      </c>
      <c r="D30" s="30" t="s">
        <v>49</v>
      </c>
      <c r="E30" s="30" t="s">
        <v>374</v>
      </c>
      <c r="F30" s="42">
        <v>0</v>
      </c>
      <c r="G30" s="42">
        <v>444</v>
      </c>
      <c r="H30" s="42">
        <v>202156</v>
      </c>
      <c r="I30" s="42">
        <v>200849</v>
      </c>
      <c r="J30" s="30" t="s">
        <v>375</v>
      </c>
      <c r="K30" s="42">
        <v>198256</v>
      </c>
      <c r="L30" s="134" t="s">
        <v>51</v>
      </c>
      <c r="M30" s="135">
        <f t="shared" si="0"/>
        <v>1369.1039999999998</v>
      </c>
      <c r="N30" s="136" t="str">
        <f>VLOOKUP(C30,'Trips&amp;Operators'!$C$1:$G$99999,5,FALSE)</f>
        <v>SANTIZO D. EDY</v>
      </c>
      <c r="O30" s="207" t="s">
        <v>377</v>
      </c>
      <c r="P30" s="137" t="s">
        <v>1050</v>
      </c>
      <c r="Q30" s="30"/>
      <c r="R30" s="84" t="str">
        <f>IF(VLOOKUP(C30,'Train Runs'!$A$13:$AE$9929,1,1)=C30,VLOOKUP(C30,'Train Runs'!$A$13:$AE$9929,31,1),NA())</f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S30" s="87" t="str">
        <f>VLOOKUP(C30,'Train Runs'!$A$13:$AE$9929,22,0)</f>
        <v>https://d0f6bd738d7f1b3e5a7ca70fe4ff75f0.us-east-1.aws.found.io/app/kibana#/discover/Steve-Slow-Train-Analysis-(2080s-and-2083s)?_g=(refreshInterval:(display:Off,pause:!f,section:0,value:0),time:(from:'2017-05-15T04:53:32-0600',mode:absolute,to:'2017-05-15T07:53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0" s="89" t="str">
        <f t="shared" si="1"/>
        <v>"C:\Program Files (x86)\AstroGrep\AstroGrep.exe" /e /r /s /spath="%USERPROFILE%\AppData\Local\Temp\OnboardLogs" /stypes="*4027*201705151*"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4027</v>
      </c>
      <c r="V30" s="31">
        <f t="shared" si="3"/>
        <v>42870.510821759257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{"issue":{"subject":"Minor onboard in-route failure","project_id":79,"tracker_id":40,"status_id":1,"priority_id":2,"assigned_to_id":23,"start_date":"2017-05-15","description":"","custom_fields":[{"id":1,"name":"Subdivision","value":"EC"},{"id":4,"name":"Milepost","value":"19.8256"},{"id":17,"name":"Train ID","value":"114-15"},{"id":16,"name":"Locomotive ID","value":"4027"},{"id":130,"name":"Impact","value":""},{"id":150,"name":"Time of Event (Mountain Time)","value":"06:15:35"},{"id":151,"name":"Denver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/cygdrive/c/Users/stu/AppData/Local/Temp/OnboardLogs/RTDC4027 --include="*4027*201705151*"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"%USERPROFILE%\AppData\Local\Temp\OnboardLogs"\RTDC4027\*4027*201705151* &gt;&gt; 2017-05-15-SliceDisagreementCheck.txt</v>
      </c>
      <c r="AE30" s="148" t="str">
        <f t="shared" si="9"/>
        <v>start /low /b %USERPROFILE%\Documents\GitHub\eaglep3\Utilities\DownloadLogsFromS3.py --loco 4027 --day 2017-05-15</v>
      </c>
      <c r="AF30" s="1"/>
    </row>
    <row r="31" spans="1:32" x14ac:dyDescent="0.25">
      <c r="A31" s="31">
        <v>42870.551400462966</v>
      </c>
      <c r="B31" s="30" t="s">
        <v>344</v>
      </c>
      <c r="C31" s="30" t="s">
        <v>598</v>
      </c>
      <c r="D31" s="30" t="s">
        <v>49</v>
      </c>
      <c r="E31" s="30" t="s">
        <v>455</v>
      </c>
      <c r="F31" s="42">
        <v>0</v>
      </c>
      <c r="G31" s="42">
        <v>507</v>
      </c>
      <c r="H31" s="42">
        <v>222804</v>
      </c>
      <c r="I31" s="42">
        <v>220541</v>
      </c>
      <c r="J31" s="30" t="s">
        <v>456</v>
      </c>
      <c r="K31" s="42">
        <v>219875</v>
      </c>
      <c r="L31" s="134" t="s">
        <v>51</v>
      </c>
      <c r="M31" s="135">
        <f t="shared" si="0"/>
        <v>351.64800000000002</v>
      </c>
      <c r="N31" s="136" t="str">
        <f>VLOOKUP(C31,'Trips&amp;Operators'!$C$1:$G$99999,5,FALSE)</f>
        <v>THOMPSON LESTER</v>
      </c>
      <c r="O31" s="207" t="s">
        <v>377</v>
      </c>
      <c r="P31" s="137" t="s">
        <v>497</v>
      </c>
      <c r="Q31" s="30"/>
      <c r="R31" s="84" t="str">
        <f>IF(VLOOKUP(C31,'Train Runs'!$A$13:$AE$9929,1,1)=C31,VLOOKUP(C31,'Train Runs'!$A$13:$AE$9929,31,1),NA())</f>
        <v>aws s3 cp s3://rtdc.mdm.uploadarchive.raw/RTDC4027/ "%USERPROFILE%\AppData\Local\Temp\OnboardLogs"\RTDC4027\2017-05-15 --exclude "*" --recursive --include "*20170515*" &amp; "%USERPROFILE%\Documents\GitHub\mrs-test-scripts\Headless Mode &amp; Sideloading\WalkAndUnGZ.bat" "%USERPROFILE%\AppData\Local\Temp\OnboardLogs"\RTDC4027\2017-05-15 &amp; aws s3 cp s3://rtdc.mdm.uploadarchive.raw/RTDC4027/ "%USERPROFILE%\AppData\Local\Temp\OnboardLogs"\RTDC4027\2017-05-16 --exclude "*" --recursive --include "*20170516*" &amp; "%USERPROFILE%\Documents\GitHub\mrs-test-scripts\Headless Mode &amp; Sideloading\WalkAndUnGZ.bat" "%USERPROFILE%\AppData\Local\Temp\OnboardLogs"\RTDC4027\2017-05-16</v>
      </c>
      <c r="S31" s="87" t="str">
        <f>VLOOKUP(C31,'Train Runs'!$A$13:$AE$9929,22,0)</f>
        <v>https://d0f6bd738d7f1b3e5a7ca70fe4ff75f0.us-east-1.aws.found.io/app/kibana#/discover/Steve-Slow-Train-Analysis-(2080s-and-2083s)?_g=(refreshInterval:(display:Off,pause:!f,section:0,value:0),time:(from:'2017-05-15T12:04:21-0600',mode:absolute,to:'2017-05-15T14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89" t="str">
        <f t="shared" si="1"/>
        <v>"C:\Program Files (x86)\AstroGrep\AstroGrep.exe" /e /r /s /spath="%USERPROFILE%\AppData\Local\Temp\OnboardLogs" /stypes="*4027*201705151*"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4027</v>
      </c>
      <c r="V31" s="31">
        <f t="shared" si="3"/>
        <v>42870.801400462966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{"issue":{"subject":"Wi-MAX data drop","project_id":79,"tracker_id":40,"status_id":1,"priority_id":2,"assigned_to_id":23,"start_date":"2017-05-15","description":"","custom_fields":[{"id":1,"name":"Subdivision","value":"EC"},{"id":4,"name":"Milepost","value":"21.9875"},{"id":17,"name":"Train ID","value":"170-15"},{"id":16,"name":"Locomotive ID","value":"4027"},{"id":130,"name":"Impact","value":""},{"id":150,"name":"Time of Event (Mountain Time)","value":"13:14:01"},{"id":151,"name":"Denver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/cygdrive/c/Users/stu/AppData/Local/Temp/OnboardLogs/RTDC4027 --include="*4027*201705151*"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"%USERPROFILE%\AppData\Local\Temp\OnboardLogs"\RTDC4027\*4027*201705151* &gt;&gt; 2017-05-15-SliceDisagreementCheck.txt</v>
      </c>
      <c r="AE31" s="148" t="str">
        <f t="shared" si="9"/>
        <v>start /low /b %USERPROFILE%\Documents\GitHub\eaglep3\Utilities\DownloadLogsFromS3.py --loco 4027 --day 2017-05-15</v>
      </c>
      <c r="AF31" s="1"/>
    </row>
    <row r="32" spans="1:32" x14ac:dyDescent="0.25">
      <c r="A32" s="31">
        <v>42870.399641203701</v>
      </c>
      <c r="B32" s="30" t="s">
        <v>436</v>
      </c>
      <c r="C32" s="30" t="s">
        <v>586</v>
      </c>
      <c r="D32" s="30" t="s">
        <v>49</v>
      </c>
      <c r="E32" s="30" t="s">
        <v>185</v>
      </c>
      <c r="F32" s="42">
        <v>0</v>
      </c>
      <c r="G32" s="42">
        <v>49</v>
      </c>
      <c r="H32" s="42">
        <v>189</v>
      </c>
      <c r="I32" s="42">
        <v>130</v>
      </c>
      <c r="J32" s="30" t="s">
        <v>186</v>
      </c>
      <c r="K32" s="42">
        <v>1</v>
      </c>
      <c r="L32" s="134" t="s">
        <v>51</v>
      </c>
      <c r="M32" s="135">
        <f t="shared" si="0"/>
        <v>68.111999999999995</v>
      </c>
      <c r="N32" s="136" t="str">
        <f>VLOOKUP(C32,'Trips&amp;Operators'!$C$1:$G$99999,5,FALSE)</f>
        <v>BONDS REYNALDO</v>
      </c>
      <c r="O32" s="207" t="s">
        <v>184</v>
      </c>
      <c r="P32" s="137"/>
      <c r="Q32" s="30"/>
      <c r="R32" s="84" t="str">
        <f>IF(VLOOKUP(C32,'Train Runs'!$A$13:$AE$9929,1,1)=C32,VLOOKUP(C32,'Train Runs'!$A$13:$AE$9929,31,1),NA())</f>
        <v>aws s3 cp s3://rtdc.mdm.uploadarchive.raw/RTDC4015/ "%USERPROFILE%\AppData\Local\Temp\OnboardLogs"\RTDC4015\2017-05-15 --exclude "*" --recursive --include "*20170515*" &amp; "%USERPROFILE%\Documents\GitHub\mrs-test-scripts\Headless Mode &amp; Sideloading\WalkAndUnGZ.bat" "%USERPROFILE%\AppData\Local\Temp\OnboardLogs"\RTDC4015\2017-05-15 &amp; aws s3 cp s3://rtdc.mdm.uploadarchive.raw/RTDC4015/ "%USERPROFILE%\AppData\Local\Temp\OnboardLogs"\RTDC4015\2017-05-16 --exclude "*" --recursive --include "*20170516*" &amp; "%USERPROFILE%\Documents\GitHub\mrs-test-scripts\Headless Mode &amp; Sideloading\WalkAndUnGZ.bat" "%USERPROFILE%\AppData\Local\Temp\OnboardLogs"\RTDC4015\2017-05-16</v>
      </c>
      <c r="S32" s="87" t="str">
        <f>VLOOKUP(C32,'Train Runs'!$A$13:$AE$9929,22,0)</f>
        <v>https://d0f6bd738d7f1b3e5a7ca70fe4ff75f0.us-east-1.aws.found.io/app/kibana#/discover/Steve-Slow-Train-Analysis-(2080s-and-2083s)?_g=(refreshInterval:(display:Off,pause:!f,section:0,value:0),time:(from:'2017-05-15T07:51:10-0600',mode:absolute,to:'2017-05-15T10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32" s="89" t="str">
        <f t="shared" si="1"/>
        <v>"C:\Program Files (x86)\AstroGrep\AstroGrep.exe" /e /r /s /spath="%USERPROFILE%\AppData\Local\Temp\OnboardLogs" /stypes="*4015*201705151*" /stext=" 15:.+((SYSTEM_STATE.+slice.+state.+changed )|(ment ac)|(multiple cpu faults)|(system.+state.+changed )|(\[timeout)|(PRM\|1\|D)|(kpr)|(kdp)|(train st.+moving)|(\|lc)|(penalty))"</v>
      </c>
      <c r="U32" s="9" t="str">
        <f t="shared" si="2"/>
        <v>4015</v>
      </c>
      <c r="V32" s="31">
        <f t="shared" si="3"/>
        <v>42870.649641203701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{"issue":{"subject":"","project_id":79,"tracker_id":40,"status_id":1,"priority_id":2,"assigned_to_id":23,"start_date":"2017-05-15","description":"","custom_fields":[{"id":1,"name":"Subdivision","value":"EC"},{"id":4,"name":"Milepost","value":"0.0001"},{"id":17,"name":"Train ID","value":"136-15"},{"id":16,"name":"Locomotive ID","value":"4015"},{"id":130,"name":"Impact","value":""},{"id":150,"name":"Time of Event (Mountain Time)","value":"09:35:29"},{"id":151,"name":"Denver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/cygdrive/c/Users/stu/AppData/Local/Temp/OnboardLogs/RTDC4015 --include="*4015*201705151*"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"%USERPROFILE%\AppData\Local\Temp\OnboardLogs"\RTDC4015\*4015*201705151* &gt;&gt; 2017-05-15-SliceDisagreementCheck.txt</v>
      </c>
      <c r="AE32" s="148" t="str">
        <f t="shared" si="9"/>
        <v>start /low /b %USERPROFILE%\Documents\GitHub\eaglep3\Utilities\DownloadLogsFromS3.py --loco 4015 --day 2017-05-15</v>
      </c>
      <c r="AF32" s="1"/>
    </row>
    <row r="33" spans="1:32" x14ac:dyDescent="0.25">
      <c r="A33" s="31">
        <v>42870.6091087963</v>
      </c>
      <c r="B33" s="30" t="s">
        <v>386</v>
      </c>
      <c r="C33" s="30" t="s">
        <v>605</v>
      </c>
      <c r="D33" s="30" t="s">
        <v>49</v>
      </c>
      <c r="E33" s="30" t="s">
        <v>185</v>
      </c>
      <c r="F33" s="42">
        <v>0</v>
      </c>
      <c r="G33" s="42">
        <v>43</v>
      </c>
      <c r="H33" s="42">
        <v>136</v>
      </c>
      <c r="I33" s="42">
        <v>103</v>
      </c>
      <c r="J33" s="30" t="s">
        <v>186</v>
      </c>
      <c r="K33" s="42">
        <v>1</v>
      </c>
      <c r="L33" s="134" t="s">
        <v>51</v>
      </c>
      <c r="M33" s="135">
        <f t="shared" si="0"/>
        <v>53.856000000000002</v>
      </c>
      <c r="N33" s="136" t="str">
        <f>VLOOKUP(C33,'Trips&amp;Operators'!$C$1:$G$99999,5,FALSE)</f>
        <v>DAVIS MICHAEL</v>
      </c>
      <c r="O33" s="207" t="s">
        <v>184</v>
      </c>
      <c r="P33" s="137"/>
      <c r="Q33" s="30"/>
      <c r="R33" s="84" t="str">
        <f>IF(VLOOKUP(C33,'Train Runs'!$A$13:$AE$9929,1,1)=C33,VLOOKUP(C33,'Train Runs'!$A$13:$AE$9929,31,1),NA())</f>
        <v>aws s3 cp s3://rtdc.mdm.uploadarchive.raw/RTDC4021/ "%USERPROFILE%\AppData\Local\Temp\OnboardLogs"\RTDC4021\2017-05-15 --exclude "*" --recursive --include "*20170515*" &amp; "%USERPROFILE%\Documents\GitHub\mrs-test-scripts\Headless Mode &amp; Sideloading\WalkAndUnGZ.bat" "%USERPROFILE%\AppData\Local\Temp\OnboardLogs"\RTDC4021\2017-05-15 &amp; aws s3 cp s3://rtdc.mdm.uploadarchive.raw/RTDC4021/ "%USERPROFILE%\AppData\Local\Temp\OnboardLogs"\RTDC4021\2017-05-16 --exclude "*" --recursive --include "*20170516*" &amp; "%USERPROFILE%\Documents\GitHub\mrs-test-scripts\Headless Mode &amp; Sideloading\WalkAndUnGZ.bat" "%USERPROFILE%\AppData\Local\Temp\OnboardLogs"\RTDC4021\2017-05-16</v>
      </c>
      <c r="S33" s="87" t="str">
        <f>VLOOKUP(C33,'Train Runs'!$A$13:$AE$9929,22,0)</f>
        <v>https://d0f6bd738d7f1b3e5a7ca70fe4ff75f0.us-east-1.aws.found.io/app/kibana#/discover/Steve-Slow-Train-Analysis-(2080s-and-2083s)?_g=(refreshInterval:(display:Off,pause:!f,section:0,value:0),time:(from:'2017-05-15T12:53:08-0600',mode:absolute,to:'2017-05-15T15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3" s="89" t="str">
        <f t="shared" si="1"/>
        <v>"C:\Program Files (x86)\AstroGrep\AstroGrep.exe" /e /r /s /spath="%USERPROFILE%\AppData\Local\Temp\OnboardLogs" /stypes="*4021*201705152*" /stext=" 20:.+((SYSTEM_STATE.+slice.+state.+changed )|(ment ac)|(multiple cpu faults)|(system.+state.+changed )|(\[timeout)|(PRM\|1\|D)|(kpr)|(kdp)|(train st.+moving)|(\|lc)|(penalty))"</v>
      </c>
      <c r="U33" s="9" t="str">
        <f t="shared" si="2"/>
        <v>4021</v>
      </c>
      <c r="V33" s="31">
        <f t="shared" si="3"/>
        <v>42870.8591087963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{"issue":{"subject":"","project_id":79,"tracker_id":40,"status_id":1,"priority_id":2,"assigned_to_id":23,"start_date":"2017-05-15","description":"","custom_fields":[{"id":1,"name":"Subdivision","value":"EC"},{"id":4,"name":"Milepost","value":"0.0001"},{"id":17,"name":"Train ID","value":"176-15"},{"id":16,"name":"Locomotive ID","value":"4021"},{"id":130,"name":"Impact","value":""},{"id":150,"name":"Time of Event (Mountain Time)","value":"14:37:07"},{"id":151,"name":"Denver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/cygdrive/c/Users/stu/AppData/Local/Temp/OnboardLogs/RTDC4021 --include="*4021*201705152*"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"%USERPROFILE%\AppData\Local\Temp\OnboardLogs"\RTDC4021\*4021*201705152* &gt;&gt; 2017-05-15-SliceDisagreementCheck.txt</v>
      </c>
      <c r="AE33" s="148" t="str">
        <f t="shared" si="9"/>
        <v>start /low /b %USERPROFILE%\Documents\GitHub\eaglep3\Utilities\DownloadLogsFromS3.py --loco 4021 --day 2017-05-15</v>
      </c>
      <c r="AF33" s="1"/>
    </row>
    <row r="34" spans="1:32" x14ac:dyDescent="0.25">
      <c r="A34" s="31">
        <v>42870.700636574074</v>
      </c>
      <c r="B34" s="30" t="s">
        <v>434</v>
      </c>
      <c r="C34" s="30" t="s">
        <v>613</v>
      </c>
      <c r="D34" s="30" t="s">
        <v>49</v>
      </c>
      <c r="E34" s="30" t="s">
        <v>185</v>
      </c>
      <c r="F34" s="42">
        <v>0</v>
      </c>
      <c r="G34" s="42">
        <v>41</v>
      </c>
      <c r="H34" s="42">
        <v>125</v>
      </c>
      <c r="I34" s="42">
        <v>99</v>
      </c>
      <c r="J34" s="30" t="s">
        <v>186</v>
      </c>
      <c r="K34" s="42">
        <v>1</v>
      </c>
      <c r="L34" s="134" t="s">
        <v>51</v>
      </c>
      <c r="M34" s="135">
        <f t="shared" si="0"/>
        <v>51.744</v>
      </c>
      <c r="N34" s="136" t="str">
        <f>VLOOKUP(C34,'Trips&amp;Operators'!$C$1:$G$99999,5,FALSE)</f>
        <v>ROMERO CHAD</v>
      </c>
      <c r="O34" s="207" t="s">
        <v>184</v>
      </c>
      <c r="P34" s="137"/>
      <c r="Q34" s="30"/>
      <c r="R34" s="84" t="str">
        <f>IF(VLOOKUP(C34,'Train Runs'!$A$13:$AE$9929,1,1)=C34,VLOOKUP(C34,'Train Runs'!$A$13:$AE$9929,31,1),NA())</f>
        <v>aws s3 cp s3://rtdc.mdm.uploadarchive.raw/RTDC4025/ "%USERPROFILE%\AppData\Local\Temp\OnboardLogs"\RTDC4025\2017-05-15 --exclude "*" --recursive --include "*20170515*" &amp; "%USERPROFILE%\Documents\GitHub\mrs-test-scripts\Headless Mode &amp; Sideloading\WalkAndUnGZ.bat" "%USERPROFILE%\AppData\Local\Temp\OnboardLogs"\RTDC4025\2017-05-15 &amp; aws s3 cp s3://rtdc.mdm.uploadarchive.raw/RTDC4025/ "%USERPROFILE%\AppData\Local\Temp\OnboardLogs"\RTDC4025\2017-05-16 --exclude "*" --recursive --include "*20170516*" &amp; "%USERPROFILE%\Documents\GitHub\mrs-test-scripts\Headless Mode &amp; Sideloading\WalkAndUnGZ.bat" "%USERPROFILE%\AppData\Local\Temp\OnboardLogs"\RTDC4025\2017-05-16</v>
      </c>
      <c r="S34" s="87" t="str">
        <f>VLOOKUP(C34,'Train Runs'!$A$13:$AE$9929,22,0)</f>
        <v>https://d0f6bd738d7f1b3e5a7ca70fe4ff75f0.us-east-1.aws.found.io/app/kibana#/discover/Steve-Slow-Train-Analysis-(2080s-and-2083s)?_g=(refreshInterval:(display:Off,pause:!f,section:0,value:0),time:(from:'2017-05-15T14:52:35-0600',mode:absolute,to:'2017-05-15T17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89" t="str">
        <f t="shared" si="1"/>
        <v>"C:\Program Files (x86)\AstroGrep\AstroGrep.exe" /e /r /s /spath="%USERPROFILE%\AppData\Local\Temp\OnboardLogs" /stypes="*4025*201705152*"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4025</v>
      </c>
      <c r="V34" s="31">
        <f t="shared" si="3"/>
        <v>42870.950636574074</v>
      </c>
      <c r="W34" s="45" t="str">
        <f t="shared" si="4"/>
        <v>EC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{"issue":{"subject":"","project_id":79,"tracker_id":40,"status_id":1,"priority_id":2,"assigned_to_id":23,"start_date":"2017-05-15","description":"","custom_fields":[{"id":1,"name":"Subdivision","value":"EC"},{"id":4,"name":"Milepost","value":"0.0001"},{"id":17,"name":"Train ID","value":"194-15"},{"id":16,"name":"Locomotive ID","value":"4025"},{"id":130,"name":"Impact","value":""},{"id":150,"name":"Time of Event (Mountain Time)","value":"16:48:55"},{"id":151,"name":"Denver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/cygdrive/c/Users/stu/AppData/Local/Temp/OnboardLogs/RTDC4025 --include="*4025*201705152*"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"%USERPROFILE%\AppData\Local\Temp\OnboardLogs"\RTDC4025\*4025*201705152* &gt;&gt; 2017-05-15-SliceDisagreementCheck.txt</v>
      </c>
      <c r="AE34" s="148" t="str">
        <f t="shared" si="9"/>
        <v>start /low /b %USERPROFILE%\Documents\GitHub\eaglep3\Utilities\DownloadLogsFromS3.py --loco 4025 --day 2017-05-15</v>
      </c>
      <c r="AF34" s="1"/>
    </row>
    <row r="35" spans="1:32" x14ac:dyDescent="0.25">
      <c r="A35" s="31">
        <v>42870.746458333335</v>
      </c>
      <c r="B35" s="30" t="s">
        <v>379</v>
      </c>
      <c r="C35" s="30" t="s">
        <v>617</v>
      </c>
      <c r="D35" s="30" t="s">
        <v>49</v>
      </c>
      <c r="E35" s="30" t="s">
        <v>185</v>
      </c>
      <c r="F35" s="42">
        <v>0</v>
      </c>
      <c r="G35" s="42">
        <v>102</v>
      </c>
      <c r="H35" s="42">
        <v>378</v>
      </c>
      <c r="I35" s="42">
        <v>267</v>
      </c>
      <c r="J35" s="30" t="s">
        <v>186</v>
      </c>
      <c r="K35" s="42">
        <v>1</v>
      </c>
      <c r="L35" s="134" t="s">
        <v>51</v>
      </c>
      <c r="M35" s="135">
        <f t="shared" si="0"/>
        <v>140.44800000000001</v>
      </c>
      <c r="N35" s="136" t="str">
        <f>VLOOKUP(C35,'Trips&amp;Operators'!$C$1:$G$99999,5,FALSE)</f>
        <v>PERKINS DARREN</v>
      </c>
      <c r="O35" s="207" t="s">
        <v>184</v>
      </c>
      <c r="P35" s="137"/>
      <c r="Q35" s="30"/>
      <c r="R35" s="84" t="str">
        <f>IF(VLOOKUP(C35,'Train Runs'!$A$13:$AE$9929,1,1)=C35,VLOOKUP(C35,'Train Runs'!$A$13:$AE$9929,31,1),NA())</f>
        <v>aws s3 cp s3://rtdc.mdm.uploadarchive.raw/RTDC4041/ "%USERPROFILE%\AppData\Local\Temp\OnboardLogs"\RTDC4041\2017-05-15 --exclude "*" --recursive --include "*20170515*" &amp; "%USERPROFILE%\Documents\GitHub\mrs-test-scripts\Headless Mode &amp; Sideloading\WalkAndUnGZ.bat" "%USERPROFILE%\AppData\Local\Temp\OnboardLogs"\RTDC4041\2017-05-15 &amp; aws s3 cp s3://rtdc.mdm.uploadarchive.raw/RTDC4041/ "%USERPROFILE%\AppData\Local\Temp\OnboardLogs"\RTDC4041\2017-05-16 --exclude "*" --recursive --include "*20170516*" &amp; "%USERPROFILE%\Documents\GitHub\mrs-test-scripts\Headless Mode &amp; Sideloading\WalkAndUnGZ.bat" "%USERPROFILE%\AppData\Local\Temp\OnboardLogs"\RTDC4041\2017-05-16</v>
      </c>
      <c r="S35" s="87" t="str">
        <f>VLOOKUP(C35,'Train Runs'!$A$13:$AE$9929,22,0)</f>
        <v>https://d0f6bd738d7f1b3e5a7ca70fe4ff75f0.us-east-1.aws.found.io/app/kibana#/discover/Steve-Slow-Train-Analysis-(2080s-and-2083s)?_g=(refreshInterval:(display:Off,pause:!f,section:0,value:0),time:(from:'2017-05-15T16:00:42-0600',mode:absolute,to:'2017-05-15T18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5" s="89" t="str">
        <f t="shared" si="1"/>
        <v>"C:\Program Files (x86)\AstroGrep\AstroGrep.exe" /e /r /s /spath="%USERPROFILE%\AppData\Local\Temp\OnboardLogs" /stypes="*4041*201705152*"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4041</v>
      </c>
      <c r="V35" s="31">
        <f t="shared" si="3"/>
        <v>42870.996458333335</v>
      </c>
      <c r="W35" s="45" t="str">
        <f t="shared" si="4"/>
        <v>EC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{"issue":{"subject":"","project_id":79,"tracker_id":40,"status_id":1,"priority_id":2,"assigned_to_id":23,"start_date":"2017-05-15","description":"","custom_fields":[{"id":1,"name":"Subdivision","value":"EC"},{"id":4,"name":"Milepost","value":"0.0001"},{"id":17,"name":"Train ID","value":"202-15"},{"id":16,"name":"Locomotive ID","value":"4041"},{"id":130,"name":"Impact","value":""},{"id":150,"name":"Time of Event (Mountain Time)","value":"17:54:54"},{"id":151,"name":"Denver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/cygdrive/c/Users/stu/AppData/Local/Temp/OnboardLogs/RTDC4041 --include="*4041*201705152*"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"%USERPROFILE%\AppData\Local\Temp\OnboardLogs"\RTDC4041\*4041*201705152* &gt;&gt; 2017-05-15-SliceDisagreementCheck.txt</v>
      </c>
      <c r="AE35" s="148" t="str">
        <f t="shared" si="9"/>
        <v>start /low /b %USERPROFILE%\Documents\GitHub\eaglep3\Utilities\DownloadLogsFromS3.py --loco 4041 --day 2017-05-15</v>
      </c>
      <c r="AF35" s="1"/>
    </row>
    <row r="36" spans="1:32" x14ac:dyDescent="0.25">
      <c r="A36" s="31">
        <v>42870.482974537037</v>
      </c>
      <c r="B36" s="30" t="s">
        <v>370</v>
      </c>
      <c r="C36" s="30" t="s">
        <v>592</v>
      </c>
      <c r="D36" s="30" t="s">
        <v>49</v>
      </c>
      <c r="E36" s="30" t="s">
        <v>185</v>
      </c>
      <c r="F36" s="42">
        <v>0</v>
      </c>
      <c r="G36" s="42">
        <v>105</v>
      </c>
      <c r="H36" s="42">
        <v>233015</v>
      </c>
      <c r="I36" s="42">
        <v>233147</v>
      </c>
      <c r="J36" s="30" t="s">
        <v>186</v>
      </c>
      <c r="K36" s="42">
        <v>233491</v>
      </c>
      <c r="L36" s="134" t="s">
        <v>50</v>
      </c>
      <c r="M36" s="135">
        <f t="shared" si="0"/>
        <v>181.63200000000001</v>
      </c>
      <c r="N36" s="136" t="str">
        <f>VLOOKUP(C36,'Trips&amp;Operators'!$C$1:$G$99999,5,FALSE)</f>
        <v>PERKINS DARREN</v>
      </c>
      <c r="O36" s="207" t="s">
        <v>184</v>
      </c>
      <c r="P36" s="137"/>
      <c r="Q36" s="30"/>
      <c r="R36" s="84" t="str">
        <f>IF(VLOOKUP(C36,'Train Runs'!$A$13:$AE$9929,1,1)=C36,VLOOKUP(C36,'Train Runs'!$A$13:$AE$9929,31,1),NA())</f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S36" s="87" t="str">
        <f>VLOOKUP(C36,'Train Runs'!$A$13:$AE$9929,22,0)</f>
        <v>https://d0f6bd738d7f1b3e5a7ca70fe4ff75f0.us-east-1.aws.found.io/app/kibana#/discover/Steve-Slow-Train-Analysis-(2080s-and-2083s)?_g=(refreshInterval:(display:Off,pause:!f,section:0,value:0),time:(from:'2017-05-15T09:52:31-0600',mode:absolute,to:'2017-05-15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6" s="89" t="str">
        <f t="shared" si="1"/>
        <v>"C:\Program Files (x86)\AstroGrep\AstroGrep.exe" /e /r /s /spath="%USERPROFILE%\AppData\Local\Temp\OnboardLogs" /stypes="*4042*201705151*" /stext=" 17:.+((SYSTEM_STATE.+slice.+state.+changed )|(ment ac)|(multiple cpu faults)|(system.+state.+changed )|(\[timeout)|(PRM\|1\|D)|(kpr)|(kdp)|(train st.+moving)|(\|lc)|(penalty))"</v>
      </c>
      <c r="U36" s="9" t="str">
        <f t="shared" si="2"/>
        <v>4042</v>
      </c>
      <c r="V36" s="31">
        <f t="shared" si="3"/>
        <v>42870.732974537037</v>
      </c>
      <c r="W36" s="45" t="str">
        <f t="shared" si="4"/>
        <v>EC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ID","value":"159-15"},{"id":16,"name":"Locomotive ID","value":"4042"},{"id":130,"name":"Impact","value":""},{"id":150,"name":"Time of Event (Mountain Time)","value":"11:35:29"},{"id":151,"name":"Denver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/cygdrive/c/Users/stu/AppData/Local/Temp/OnboardLogs/RTDC4042 --include="*4042*201705151*"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"%USERPROFILE%\AppData\Local\Temp\OnboardLogs"\RTDC4042\*4042*201705151* &gt;&gt; 2017-05-15-SliceDisagreementCheck.txt</v>
      </c>
      <c r="AE36" s="148" t="str">
        <f t="shared" si="9"/>
        <v>start /low /b %USERPROFILE%\Documents\GitHub\eaglep3\Utilities\DownloadLogsFromS3.py --loco 4042 --day 2017-05-15</v>
      </c>
      <c r="AF36" s="1"/>
    </row>
    <row r="37" spans="1:32" x14ac:dyDescent="0.25">
      <c r="A37" s="31">
        <v>42870.483449074076</v>
      </c>
      <c r="B37" s="30" t="s">
        <v>370</v>
      </c>
      <c r="C37" s="30" t="s">
        <v>592</v>
      </c>
      <c r="D37" s="30" t="s">
        <v>49</v>
      </c>
      <c r="E37" s="30" t="s">
        <v>185</v>
      </c>
      <c r="F37" s="42">
        <v>0</v>
      </c>
      <c r="G37" s="42">
        <v>44</v>
      </c>
      <c r="H37" s="42">
        <v>233295</v>
      </c>
      <c r="I37" s="42">
        <v>233332</v>
      </c>
      <c r="J37" s="30" t="s">
        <v>186</v>
      </c>
      <c r="K37" s="42">
        <v>233491</v>
      </c>
      <c r="L37" s="134" t="s">
        <v>50</v>
      </c>
      <c r="M37" s="135">
        <f t="shared" si="0"/>
        <v>83.951999999999998</v>
      </c>
      <c r="N37" s="136" t="str">
        <f>VLOOKUP(C37,'Trips&amp;Operators'!$C$1:$G$99999,5,FALSE)</f>
        <v>PERKINS DARREN</v>
      </c>
      <c r="O37" s="207" t="s">
        <v>184</v>
      </c>
      <c r="P37" s="137"/>
      <c r="Q37" s="30"/>
      <c r="R37" s="84" t="str">
        <f>IF(VLOOKUP(C37,'Train Runs'!$A$13:$AE$9929,1,1)=C37,VLOOKUP(C37,'Train Runs'!$A$13:$AE$9929,31,1),NA())</f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S37" s="87" t="str">
        <f>VLOOKUP(C37,'Train Runs'!$A$13:$AE$9929,22,0)</f>
        <v>https://d0f6bd738d7f1b3e5a7ca70fe4ff75f0.us-east-1.aws.found.io/app/kibana#/discover/Steve-Slow-Train-Analysis-(2080s-and-2083s)?_g=(refreshInterval:(display:Off,pause:!f,section:0,value:0),time:(from:'2017-05-15T09:52:31-0600',mode:absolute,to:'2017-05-15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7" s="89" t="str">
        <f t="shared" si="1"/>
        <v>"C:\Program Files (x86)\AstroGrep\AstroGrep.exe" /e /r /s /spath="%USERPROFILE%\AppData\Local\Temp\OnboardLogs" /stypes="*4042*201705151*" /stext=" 17:.+((SYSTEM_STATE.+slice.+state.+changed )|(ment ac)|(multiple cpu faults)|(system.+state.+changed )|(\[timeout)|(PRM\|1\|D)|(kpr)|(kdp)|(train st.+moving)|(\|lc)|(penalty))"</v>
      </c>
      <c r="U37" s="9" t="str">
        <f t="shared" si="2"/>
        <v>4042</v>
      </c>
      <c r="V37" s="31">
        <f t="shared" si="3"/>
        <v>42870.733449074076</v>
      </c>
      <c r="W37" s="45" t="str">
        <f t="shared" si="4"/>
        <v>EC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ID","value":"159-15"},{"id":16,"name":"Locomotive ID","value":"4042"},{"id":130,"name":"Impact","value":""},{"id":150,"name":"Time of Event (Mountain Time)","value":"11:36:10"},{"id":151,"name":"Denver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/cygdrive/c/Users/stu/AppData/Local/Temp/OnboardLogs/RTDC4042 --include="*4042*201705151*"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"%USERPROFILE%\AppData\Local\Temp\OnboardLogs"\RTDC4042\*4042*201705151* &gt;&gt; 2017-05-15-SliceDisagreementCheck.txt</v>
      </c>
      <c r="AE37" s="148" t="str">
        <f t="shared" si="9"/>
        <v>start /low /b %USERPROFILE%\Documents\GitHub\eaglep3\Utilities\DownloadLogsFromS3.py --loco 4042 --day 2017-05-15</v>
      </c>
      <c r="AF37" s="1"/>
    </row>
    <row r="38" spans="1:32" x14ac:dyDescent="0.25">
      <c r="A38" s="31">
        <v>42870.510740740741</v>
      </c>
      <c r="B38" s="30" t="s">
        <v>440</v>
      </c>
      <c r="C38" s="30" t="s">
        <v>595</v>
      </c>
      <c r="D38" s="30" t="s">
        <v>49</v>
      </c>
      <c r="E38" s="30" t="s">
        <v>185</v>
      </c>
      <c r="F38" s="42">
        <v>0</v>
      </c>
      <c r="G38" s="42">
        <v>66</v>
      </c>
      <c r="H38" s="42">
        <v>233241</v>
      </c>
      <c r="I38" s="42">
        <v>233299</v>
      </c>
      <c r="J38" s="30" t="s">
        <v>186</v>
      </c>
      <c r="K38" s="42">
        <v>233491</v>
      </c>
      <c r="L38" s="134" t="s">
        <v>50</v>
      </c>
      <c r="M38" s="135">
        <f t="shared" si="0"/>
        <v>101.376</v>
      </c>
      <c r="N38" s="136" t="str">
        <f>VLOOKUP(C38,'Trips&amp;Operators'!$C$1:$G$99999,5,FALSE)</f>
        <v>CLARK KATHLEEN</v>
      </c>
      <c r="O38" s="207" t="s">
        <v>184</v>
      </c>
      <c r="P38" s="137"/>
      <c r="Q38" s="30"/>
      <c r="R38" s="84" t="str">
        <f>IF(VLOOKUP(C38,'Train Runs'!$A$13:$AE$9929,1,1)=C38,VLOOKUP(C38,'Train Runs'!$A$13:$AE$9929,31,1),NA())</f>
        <v>aws s3 cp s3://rtdc.mdm.uploadarchive.raw/RTDC4016/ "%USERPROFILE%\AppData\Local\Temp\OnboardLogs"\RTDC4016\2017-05-15 --exclude "*" --recursive --include "*20170515*" &amp; "%USERPROFILE%\Documents\GitHub\mrs-test-scripts\Headless Mode &amp; Sideloading\WalkAndUnGZ.bat" "%USERPROFILE%\AppData\Local\Temp\OnboardLogs"\RTDC4016\2017-05-15 &amp; aws s3 cp s3://rtdc.mdm.uploadarchive.raw/RTDC4016/ "%USERPROFILE%\AppData\Local\Temp\OnboardLogs"\RTDC4016\2017-05-16 --exclude "*" --recursive --include "*20170516*" &amp; "%USERPROFILE%\Documents\GitHub\mrs-test-scripts\Headless Mode &amp; Sideloading\WalkAndUnGZ.bat" "%USERPROFILE%\AppData\Local\Temp\OnboardLogs"\RTDC4016\2017-05-16</v>
      </c>
      <c r="S38" s="87" t="str">
        <f>VLOOKUP(C38,'Train Runs'!$A$13:$AE$9929,22,0)</f>
        <v>https://d0f6bd738d7f1b3e5a7ca70fe4ff75f0.us-east-1.aws.found.io/app/kibana#/discover/Steve-Slow-Train-Analysis-(2080s-and-2083s)?_g=(refreshInterval:(display:Off,pause:!f,section:0,value:0),time:(from:'2017-05-15T10:29:14-0600',mode:absolute,to:'2017-05-15T13:15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38" s="89" t="str">
        <f t="shared" si="1"/>
        <v>"C:\Program Files (x86)\AstroGrep\AstroGrep.exe" /e /r /s /spath="%USERPROFILE%\AppData\Local\Temp\OnboardLogs" /stypes="*4016*201705151*"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4016</v>
      </c>
      <c r="V38" s="31">
        <f t="shared" si="3"/>
        <v>42870.760740740741</v>
      </c>
      <c r="W38" s="45" t="str">
        <f t="shared" si="4"/>
        <v>EC</v>
      </c>
      <c r="X38" s="45" t="str">
        <f t="shared" si="5"/>
        <v>KEEP</v>
      </c>
      <c r="Y38" s="99" t="str">
        <f t="shared" si="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ID","value":"163-15"},{"id":16,"name":"Locomotive ID","value":"4016"},{"id":130,"name":"Impact","value":""},{"id":150,"name":"Time of Event (Mountain Time)","value":"12:15:28"},{"id":151,"name":"Denver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/cygdrive/c/Users/stu/AppData/Local/Temp/OnboardLogs/RTDC4016 --include="*4016*201705151*"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"%USERPROFILE%\AppData\Local\Temp\OnboardLogs"\RTDC4016\*4016*201705151* &gt;&gt; 2017-05-15-SliceDisagreementCheck.txt</v>
      </c>
      <c r="AE38" s="148" t="str">
        <f t="shared" si="9"/>
        <v>start /low /b %USERPROFILE%\Documents\GitHub\eaglep3\Utilities\DownloadLogsFromS3.py --loco 4016 --day 2017-05-15</v>
      </c>
      <c r="AF38" s="1"/>
    </row>
    <row r="39" spans="1:32" x14ac:dyDescent="0.25">
      <c r="A39" s="31">
        <v>42870.514965277776</v>
      </c>
      <c r="B39" s="30" t="s">
        <v>435</v>
      </c>
      <c r="C39" s="30" t="s">
        <v>596</v>
      </c>
      <c r="D39" s="30" t="s">
        <v>49</v>
      </c>
      <c r="E39" s="30" t="s">
        <v>185</v>
      </c>
      <c r="F39" s="42">
        <v>0</v>
      </c>
      <c r="G39" s="42">
        <v>28</v>
      </c>
      <c r="H39" s="42">
        <v>233397</v>
      </c>
      <c r="I39" s="42">
        <v>233417</v>
      </c>
      <c r="J39" s="30" t="s">
        <v>186</v>
      </c>
      <c r="K39" s="42">
        <v>233491</v>
      </c>
      <c r="L39" s="134" t="s">
        <v>50</v>
      </c>
      <c r="M39" s="135">
        <f t="shared" ref="M39:M67" si="10">CONVERT((I39-K39)/10000,"mi","ft")*IF(L39="Increasing Mileposts (1)",-1,1)</f>
        <v>39.072000000000003</v>
      </c>
      <c r="N39" s="136" t="str">
        <f>VLOOKUP(C39,'Trips&amp;Operators'!$C$1:$G$99999,5,FALSE)</f>
        <v>ROMERO CHAD</v>
      </c>
      <c r="O39" s="207" t="s">
        <v>184</v>
      </c>
      <c r="P39" s="137"/>
      <c r="Q39" s="30"/>
      <c r="R39" s="84" t="str">
        <f>IF(VLOOKUP(C39,'Train Runs'!$A$13:$AE$9929,1,1)=C39,VLOOKUP(C39,'Train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39" s="87" t="str">
        <f>VLOOKUP(C39,'Train Runs'!$A$13:$AE$9929,22,0)</f>
        <v>https://d0f6bd738d7f1b3e5a7ca70fe4ff75f0.us-east-1.aws.found.io/app/kibana#/discover/Steve-Slow-Train-Analysis-(2080s-and-2083s)?_g=(refreshInterval:(display:Off,pause:!f,section:0,value:0),time:(from:'2017-05-15T10:42:35-0600',mode:absolute,to:'2017-05-15T13:21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9" s="89" t="str">
        <f t="shared" ref="T39:T67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/stypes="*4026*201705151*" /stext=" 18:.+((SYSTEM_STATE.+slice.+state.+changed )|(ment ac)|(multiple cpu faults)|(system.+state.+changed )|(\[timeout)|(PRM\|1\|D)|(kpr)|(kdp)|(train st.+moving)|(\|lc)|(penalty))"</v>
      </c>
      <c r="U39" s="9" t="str">
        <f t="shared" ref="U39:U67" si="12">MID(B39,13,4)</f>
        <v>4026</v>
      </c>
      <c r="V39" s="31">
        <f t="shared" ref="V39:V67" si="13">A39-utc_offset/24</f>
        <v>42870.764965277776</v>
      </c>
      <c r="W39" s="45" t="str">
        <f t="shared" ref="W39:W67" si="14">IFERROR(IF(VALUE(LEFT(IF(LEN(C39)=6,"0"&amp;C39,C39),2))&lt;=2,"EC",IF(OR(VALUE(LEFT(IF(LEN(C39)=6,"0"&amp;C39,C39),2))=8,VALUE(LEFT(IF(LEN(C39)=6,"0"&amp;C39,C39),2))=18),"NW","Other")),"Other")</f>
        <v>EC</v>
      </c>
      <c r="X39" s="45" t="str">
        <f t="shared" ref="X39:X67" si="15">IF(AND(E39="TRACK WARRANT AUTHORITY",G39&lt;10),"OMIT","KEEP")</f>
        <v>KEEP</v>
      </c>
      <c r="Y39" s="99" t="str">
        <f t="shared" ref="Y39:Y67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ID","value":"165-15"},{"id":16,"name":"Locomotive ID","value":"4026"},{"id":130,"name":"Impact","value":""},{"id":150,"name":"Time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ref="AC39:AC67" si="17">"grep -hrE -A400 ""Enforcement Action"" "&amp;"/cygdrive/c/Users/stu/AppData/Local/Temp/OnboardLogs"&amp;"/RTDC"&amp;U39&amp;"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/cygdrive/c/Users/stu/AppData/Local/Temp/OnboardLogs/RTDC4026 --include="*4026*201705151*"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"%USERPROFILE%\AppData\Local\Temp\OnboardLogs"\RTDC4026\*4026*201705151* &gt;&gt; 2017-05-15-SliceDisagreementCheck.txt</v>
      </c>
      <c r="AE39" s="148" t="str">
        <f t="shared" si="9"/>
        <v>start /low /b %USERPROFILE%\Documents\GitHub\eaglep3\Utilities\DownloadLogsFromS3.py --loco 4026 --day 2017-05-15</v>
      </c>
      <c r="AF39" s="1"/>
    </row>
    <row r="40" spans="1:32" x14ac:dyDescent="0.25">
      <c r="A40" s="31">
        <v>42870.548854166664</v>
      </c>
      <c r="B40" s="30" t="s">
        <v>501</v>
      </c>
      <c r="C40" s="30" t="s">
        <v>597</v>
      </c>
      <c r="D40" s="30" t="s">
        <v>49</v>
      </c>
      <c r="E40" s="30" t="s">
        <v>185</v>
      </c>
      <c r="F40" s="42">
        <v>0</v>
      </c>
      <c r="G40" s="42">
        <v>37</v>
      </c>
      <c r="H40" s="42">
        <v>233383</v>
      </c>
      <c r="I40" s="42">
        <v>233408</v>
      </c>
      <c r="J40" s="30" t="s">
        <v>186</v>
      </c>
      <c r="K40" s="42">
        <v>233491</v>
      </c>
      <c r="L40" s="134" t="s">
        <v>50</v>
      </c>
      <c r="M40" s="135">
        <f t="shared" si="10"/>
        <v>43.823999999999998</v>
      </c>
      <c r="N40" s="136" t="str">
        <f>VLOOKUP(C40,'Trips&amp;Operators'!$C$1:$G$99999,5,FALSE)</f>
        <v>BRANDNER MELINDA</v>
      </c>
      <c r="O40" s="207" t="s">
        <v>184</v>
      </c>
      <c r="P40" s="137"/>
      <c r="Q40" s="30"/>
      <c r="R40" s="84" t="str">
        <f>IF(VLOOKUP(C40,'Train Runs'!$A$13:$AE$9929,1,1)=C40,VLOOKUP(C40,'Train Runs'!$A$13:$AE$9929,31,1),NA())</f>
        <v>aws s3 cp s3://rtdc.mdm.uploadarchive.raw/RTDC4010/ "%USERPROFILE%\AppData\Local\Temp\OnboardLogs"\RTDC4010\2017-05-15 --exclude "*" --recursive --include "*20170515*" &amp; "%USERPROFILE%\Documents\GitHub\mrs-test-scripts\Headless Mode &amp; Sideloading\WalkAndUnGZ.bat" "%USERPROFILE%\AppData\Local\Temp\OnboardLogs"\RTDC4010\2017-05-15 &amp; aws s3 cp s3://rtdc.mdm.uploadarchive.raw/RTDC4010/ "%USERPROFILE%\AppData\Local\Temp\OnboardLogs"\RTDC4010\2017-05-16 --exclude "*" --recursive --include "*20170516*" &amp; "%USERPROFILE%\Documents\GitHub\mrs-test-scripts\Headless Mode &amp; Sideloading\WalkAndUnGZ.bat" "%USERPROFILE%\AppData\Local\Temp\OnboardLogs"\RTDC4010\2017-05-16</v>
      </c>
      <c r="S40" s="87" t="str">
        <f>VLOOKUP(C40,'Train Runs'!$A$13:$AE$9929,22,0)</f>
        <v>https://d0f6bd738d7f1b3e5a7ca70fe4ff75f0.us-east-1.aws.found.io/app/kibana#/discover/Steve-Slow-Train-Analysis-(2080s-and-2083s)?_g=(refreshInterval:(display:Off,pause:!f,section:0,value:0),time:(from:'2017-05-15T11:28:04-0600',mode:absolute,to:'2017-05-15T14:10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0" s="89" t="str">
        <f t="shared" si="11"/>
        <v>"C:\Program Files (x86)\AstroGrep\AstroGrep.exe" /e /r /s /spath="%USERPROFILE%\AppData\Local\Temp\OnboardLogs" /stypes="*4010*201705151*" /stext=" 19:.+((SYSTEM_STATE.+slice.+state.+changed )|(ment ac)|(multiple cpu faults)|(system.+state.+changed )|(\[timeout)|(PRM\|1\|D)|(kpr)|(kdp)|(train st.+moving)|(\|lc)|(penalty))"</v>
      </c>
      <c r="U40" s="9" t="str">
        <f t="shared" si="12"/>
        <v>4010</v>
      </c>
      <c r="V40" s="31">
        <f t="shared" si="13"/>
        <v>42870.798854166664</v>
      </c>
      <c r="W40" s="45" t="str">
        <f t="shared" si="14"/>
        <v>EC</v>
      </c>
      <c r="X40" s="45" t="str">
        <f t="shared" si="15"/>
        <v>KEEP</v>
      </c>
      <c r="Y40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ID","value":"171-15"},{"id":16,"name":"Locomotive ID","value":"4010"},{"id":130,"name":"Impact","value":""},{"id":150,"name":"Time of Event (Mountain Time)","value":"13:10:21"},{"id":151,"name":"Denver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17"/>
        <v>grep -hrE -A400 "Enforcement Action" /cygdrive/c/Users/stu/AppData/Local/Temp/OnboardLogs/RTDC4010 --include="*4010*201705151*"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"%USERPROFILE%\AppData\Local\Temp\OnboardLogs"\RTDC4010\*4010*201705151* &gt;&gt; 2017-05-15-SliceDisagreementCheck.txt</v>
      </c>
      <c r="AE40" s="148" t="str">
        <f t="shared" si="9"/>
        <v>start /low /b %USERPROFILE%\Documents\GitHub\eaglep3\Utilities\DownloadLogsFromS3.py --loco 4010 --day 2017-05-15</v>
      </c>
      <c r="AF40" s="1"/>
    </row>
    <row r="41" spans="1:32" x14ac:dyDescent="0.25">
      <c r="A41" s="31">
        <v>42870.556608796294</v>
      </c>
      <c r="B41" s="30" t="s">
        <v>370</v>
      </c>
      <c r="C41" s="30" t="s">
        <v>599</v>
      </c>
      <c r="D41" s="30" t="s">
        <v>49</v>
      </c>
      <c r="E41" s="30" t="s">
        <v>185</v>
      </c>
      <c r="F41" s="42">
        <v>0</v>
      </c>
      <c r="G41" s="42">
        <v>100</v>
      </c>
      <c r="H41" s="42">
        <v>233102</v>
      </c>
      <c r="I41" s="42">
        <v>233227</v>
      </c>
      <c r="J41" s="30" t="s">
        <v>186</v>
      </c>
      <c r="K41" s="42">
        <v>233491</v>
      </c>
      <c r="L41" s="134" t="s">
        <v>50</v>
      </c>
      <c r="M41" s="135">
        <f t="shared" si="10"/>
        <v>139.392</v>
      </c>
      <c r="N41" s="136" t="str">
        <f>VLOOKUP(C41,'Trips&amp;Operators'!$C$1:$G$99999,5,FALSE)</f>
        <v>PERKINS DARREN</v>
      </c>
      <c r="O41" s="207" t="s">
        <v>184</v>
      </c>
      <c r="P41" s="137"/>
      <c r="Q41" s="30"/>
      <c r="R41" s="84" t="str">
        <f>IF(VLOOKUP(C41,'Train Runs'!$A$13:$AE$9929,1,1)=C41,VLOOKUP(C41,'Train Runs'!$A$13:$AE$9929,31,1),NA())</f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S41" s="87" t="str">
        <f>VLOOKUP(C41,'Train Runs'!$A$13:$AE$9929,22,0)</f>
        <v>https://d0f6bd738d7f1b3e5a7ca70fe4ff75f0.us-east-1.aws.found.io/app/kibana#/discover/Steve-Slow-Train-Analysis-(2080s-and-2083s)?_g=(refreshInterval:(display:Off,pause:!f,section:0,value:0),time:(from:'2017-05-15T11:36:49-0600',mode:absolute,to:'2017-05-15T14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1" s="89" t="str">
        <f t="shared" si="11"/>
        <v>"C:\Program Files (x86)\AstroGrep\AstroGrep.exe" /e /r /s /spath="%USERPROFILE%\AppData\Local\Temp\OnboardLogs" /stypes="*4042*201705151*" /stext=" 19:.+((SYSTEM_STATE.+slice.+state.+changed )|(ment ac)|(multiple cpu faults)|(system.+state.+changed )|(\[timeout)|(PRM\|1\|D)|(kpr)|(kdp)|(train st.+moving)|(\|lc)|(penalty))"</v>
      </c>
      <c r="U41" s="9" t="str">
        <f t="shared" si="12"/>
        <v>4042</v>
      </c>
      <c r="V41" s="31">
        <f t="shared" si="13"/>
        <v>42870.806608796294</v>
      </c>
      <c r="W41" s="45" t="str">
        <f t="shared" si="14"/>
        <v>EC</v>
      </c>
      <c r="X41" s="45" t="str">
        <f t="shared" si="15"/>
        <v>KEEP</v>
      </c>
      <c r="Y41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ID","value":"173-15"},{"id":16,"name":"Locomotive ID","value":"4042"},{"id":130,"name":"Impact","value":""},{"id":150,"name":"Time of Event (Mountain Time)","value":"13:21:31"},{"id":151,"name":"Denver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17"/>
        <v>grep -hrE -A400 "Enforcement Action" /cygdrive/c/Users/stu/AppData/Local/Temp/OnboardLogs/RTDC4042 --include="*4042*201705151*"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"%USERPROFILE%\AppData\Local\Temp\OnboardLogs"\RTDC4042\*4042*201705151* &gt;&gt; 2017-05-15-SliceDisagreementCheck.txt</v>
      </c>
      <c r="AE41" s="148" t="str">
        <f t="shared" si="9"/>
        <v>start /low /b %USERPROFILE%\Documents\GitHub\eaglep3\Utilities\DownloadLogsFromS3.py --loco 4042 --day 2017-05-15</v>
      </c>
      <c r="AF41" s="1"/>
    </row>
    <row r="42" spans="1:32" x14ac:dyDescent="0.25">
      <c r="A42" s="31">
        <v>42870.58766203704</v>
      </c>
      <c r="B42" s="30" t="s">
        <v>435</v>
      </c>
      <c r="C42" s="30" t="s">
        <v>601</v>
      </c>
      <c r="D42" s="30" t="s">
        <v>49</v>
      </c>
      <c r="E42" s="30" t="s">
        <v>185</v>
      </c>
      <c r="F42" s="42">
        <v>0</v>
      </c>
      <c r="G42" s="42">
        <v>31</v>
      </c>
      <c r="H42" s="42">
        <v>233401</v>
      </c>
      <c r="I42" s="42">
        <v>233430</v>
      </c>
      <c r="J42" s="30" t="s">
        <v>186</v>
      </c>
      <c r="K42" s="42">
        <v>233491</v>
      </c>
      <c r="L42" s="134" t="s">
        <v>50</v>
      </c>
      <c r="M42" s="135">
        <f t="shared" si="10"/>
        <v>32.207999999999998</v>
      </c>
      <c r="N42" s="136" t="str">
        <f>VLOOKUP(C42,'Trips&amp;Operators'!$C$1:$G$99999,5,FALSE)</f>
        <v>ROMERO CHAD</v>
      </c>
      <c r="O42" s="207" t="s">
        <v>184</v>
      </c>
      <c r="P42" s="137"/>
      <c r="Q42" s="30"/>
      <c r="R42" s="84" t="str">
        <f>IF(VLOOKUP(C42,'Train Runs'!$A$13:$AE$9929,1,1)=C42,VLOOKUP(C42,'Train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42" s="87" t="str">
        <f>VLOOKUP(C42,'Train Runs'!$A$13:$AE$9929,22,0)</f>
        <v>https://d0f6bd738d7f1b3e5a7ca70fe4ff75f0.us-east-1.aws.found.io/app/kibana#/discover/Steve-Slow-Train-Analysis-(2080s-and-2083s)?_g=(refreshInterval:(display:Off,pause:!f,section:0,value:0),time:(from:'2017-05-15T12:24:08-0600',mode:absolute,to:'2017-05-15T15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2" s="89" t="str">
        <f t="shared" si="11"/>
        <v>"C:\Program Files (x86)\AstroGrep\AstroGrep.exe" /e /r /s /spath="%USERPROFILE%\AppData\Local\Temp\OnboardLogs" /stypes="*4026*201705152*" /stext=" 20:.+((SYSTEM_STATE.+slice.+state.+changed )|(ment ac)|(multiple cpu faults)|(system.+state.+changed )|(\[timeout)|(PRM\|1\|D)|(kpr)|(kdp)|(train st.+moving)|(\|lc)|(penalty))"</v>
      </c>
      <c r="U42" s="9" t="str">
        <f t="shared" si="12"/>
        <v>4026</v>
      </c>
      <c r="V42" s="31">
        <f t="shared" si="13"/>
        <v>42870.83766203704</v>
      </c>
      <c r="W42" s="45" t="str">
        <f t="shared" si="14"/>
        <v>EC</v>
      </c>
      <c r="X42" s="45" t="str">
        <f t="shared" si="15"/>
        <v>KEEP</v>
      </c>
      <c r="Y42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ID","value":"179-15"},{"id":16,"name":"Locomotive ID","value":"4026"},{"id":130,"name":"Impact","value":""},{"id":150,"name":"Time of Event (Mountain Time)","value":"14:06:14"},{"id":151,"name":"Denver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17"/>
        <v>grep -hrE -A400 "Enforcement Action" /cygdrive/c/Users/stu/AppData/Local/Temp/OnboardLogs/RTDC4026 --include="*4026*201705152*"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"%USERPROFILE%\AppData\Local\Temp\OnboardLogs"\RTDC4026\*4026*201705152* &gt;&gt; 2017-05-15-SliceDisagreementCheck.txt</v>
      </c>
      <c r="AE42" s="148" t="str">
        <f t="shared" si="9"/>
        <v>start /low /b %USERPROFILE%\Documents\GitHub\eaglep3\Utilities\DownloadLogsFromS3.py --loco 4026 --day 2017-05-15</v>
      </c>
      <c r="AF42" s="1"/>
    </row>
    <row r="43" spans="1:32" x14ac:dyDescent="0.25">
      <c r="A43" s="31">
        <v>42870.702361111114</v>
      </c>
      <c r="B43" s="30" t="s">
        <v>370</v>
      </c>
      <c r="C43" s="30" t="s">
        <v>614</v>
      </c>
      <c r="D43" s="30" t="s">
        <v>49</v>
      </c>
      <c r="E43" s="30" t="s">
        <v>185</v>
      </c>
      <c r="F43" s="42">
        <v>0</v>
      </c>
      <c r="G43" s="42">
        <v>100</v>
      </c>
      <c r="H43" s="42">
        <v>233091</v>
      </c>
      <c r="I43" s="42">
        <v>233204</v>
      </c>
      <c r="J43" s="30" t="s">
        <v>186</v>
      </c>
      <c r="K43" s="42">
        <v>233491</v>
      </c>
      <c r="L43" s="134" t="s">
        <v>50</v>
      </c>
      <c r="M43" s="135">
        <f t="shared" si="10"/>
        <v>151.536</v>
      </c>
      <c r="N43" s="136" t="str">
        <f>VLOOKUP(C43,'Trips&amp;Operators'!$C$1:$G$99999,5,FALSE)</f>
        <v>PERKINS DARREN</v>
      </c>
      <c r="O43" s="207" t="s">
        <v>184</v>
      </c>
      <c r="P43" s="137"/>
      <c r="Q43" s="30"/>
      <c r="R43" s="84" t="str">
        <f>IF(VLOOKUP(C43,'Train Runs'!$A$13:$AE$9929,1,1)=C43,VLOOKUP(C43,'Train Runs'!$A$13:$AE$9929,31,1),NA())</f>
        <v>aws s3 cp s3://rtdc.mdm.uploadarchive.raw/RTDC4042/ "%USERPROFILE%\AppData\Local\Temp\OnboardLogs"\RTDC4042\2017-05-15 --exclude "*" --recursive --include "*20170515*" &amp; "%USERPROFILE%\Documents\GitHub\mrs-test-scripts\Headless Mode &amp; Sideloading\WalkAndUnGZ.bat" "%USERPROFILE%\AppData\Local\Temp\OnboardLogs"\RTDC4042\2017-05-15 &amp; aws s3 cp s3://rtdc.mdm.uploadarchive.raw/RTDC4042/ "%USERPROFILE%\AppData\Local\Temp\OnboardLogs"\RTDC4042\2017-05-16 --exclude "*" --recursive --include "*20170516*" &amp; "%USERPROFILE%\Documents\GitHub\mrs-test-scripts\Headless Mode &amp; Sideloading\WalkAndUnGZ.bat" "%USERPROFILE%\AppData\Local\Temp\OnboardLogs"\RTDC4042\2017-05-16</v>
      </c>
      <c r="S43" s="87" t="str">
        <f>VLOOKUP(C43,'Train Runs'!$A$13:$AE$9929,22,0)</f>
        <v>https://d0f6bd738d7f1b3e5a7ca70fe4ff75f0.us-east-1.aws.found.io/app/kibana#/discover/Steve-Slow-Train-Analysis-(2080s-and-2083s)?_g=(refreshInterval:(display:Off,pause:!f,section:0,value:0),time:(from:'2017-05-15T15:08:47-0600',mode:absolute,to:'2017-05-15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43" s="89" t="str">
        <f t="shared" si="11"/>
        <v>"C:\Program Files (x86)\AstroGrep\AstroGrep.exe" /e /r /s /spath="%USERPROFILE%\AppData\Local\Temp\OnboardLogs" /stypes="*4042*201705152*" /stext=" 22:.+((SYSTEM_STATE.+slice.+state.+changed )|(ment ac)|(multiple cpu faults)|(system.+state.+changed )|(\[timeout)|(PRM\|1\|D)|(kpr)|(kdp)|(train st.+moving)|(\|lc)|(penalty))"</v>
      </c>
      <c r="U43" s="9" t="str">
        <f t="shared" si="12"/>
        <v>4042</v>
      </c>
      <c r="V43" s="31">
        <f t="shared" si="13"/>
        <v>42870.952361111114</v>
      </c>
      <c r="W43" s="45" t="str">
        <f t="shared" si="14"/>
        <v>EC</v>
      </c>
      <c r="X43" s="45" t="str">
        <f t="shared" si="15"/>
        <v>KEEP</v>
      </c>
      <c r="Y43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ID","value":"201-15"},{"id":16,"name":"Locomotive ID","value":"4042"},{"id":130,"name":"Impact","value":""},{"id":150,"name":"Time of Event (Mountain Time)","value":"16:51:24"},{"id":151,"name":"Denver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17"/>
        <v>grep -hrE -A400 "Enforcement Action" /cygdrive/c/Users/stu/AppData/Local/Temp/OnboardLogs/RTDC4042 --include="*4042*201705152*"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"%USERPROFILE%\AppData\Local\Temp\OnboardLogs"\RTDC4042\*4042*201705152* &gt;&gt; 2017-05-15-SliceDisagreementCheck.txt</v>
      </c>
      <c r="AE43" s="148" t="str">
        <f t="shared" si="9"/>
        <v>start /low /b %USERPROFILE%\Documents\GitHub\eaglep3\Utilities\DownloadLogsFromS3.py --loco 4042 --day 2017-05-15</v>
      </c>
      <c r="AF43" s="1"/>
    </row>
    <row r="44" spans="1:32" x14ac:dyDescent="0.25">
      <c r="A44" s="31">
        <v>42870.734016203707</v>
      </c>
      <c r="B44" s="30" t="s">
        <v>435</v>
      </c>
      <c r="C44" s="30" t="s">
        <v>616</v>
      </c>
      <c r="D44" s="30" t="s">
        <v>49</v>
      </c>
      <c r="E44" s="30" t="s">
        <v>185</v>
      </c>
      <c r="F44" s="42">
        <v>0</v>
      </c>
      <c r="G44" s="42">
        <v>34</v>
      </c>
      <c r="H44" s="42">
        <v>233378</v>
      </c>
      <c r="I44" s="42">
        <v>233403</v>
      </c>
      <c r="J44" s="30" t="s">
        <v>186</v>
      </c>
      <c r="K44" s="42">
        <v>233491</v>
      </c>
      <c r="L44" s="134" t="s">
        <v>50</v>
      </c>
      <c r="M44" s="135">
        <f t="shared" si="10"/>
        <v>46.463999999999999</v>
      </c>
      <c r="N44" s="136" t="str">
        <f>VLOOKUP(C44,'Trips&amp;Operators'!$C$1:$G$99999,5,FALSE)</f>
        <v>ROMERO CHAD</v>
      </c>
      <c r="O44" s="207" t="s">
        <v>184</v>
      </c>
      <c r="P44" s="137"/>
      <c r="Q44" s="30"/>
      <c r="R44" s="84" t="str">
        <f>IF(VLOOKUP(C44,'Train Runs'!$A$13:$AE$9929,1,1)=C44,VLOOKUP(C44,'Train Runs'!$A$13:$AE$9929,31,1),NA())</f>
        <v>aws s3 cp s3://rtdc.mdm.uploadarchive.raw/RTDC4026/ "%USERPROFILE%\AppData\Local\Temp\OnboardLogs"\RTDC4026\2017-05-15 --exclude "*" --recursive --include "*20170515*" &amp; "%USERPROFILE%\Documents\GitHub\mrs-test-scripts\Headless Mode &amp; Sideloading\WalkAndUnGZ.bat" "%USERPROFILE%\AppData\Local\Temp\OnboardLogs"\RTDC4026\2017-05-15 &amp; aws s3 cp s3://rtdc.mdm.uploadarchive.raw/RTDC4026/ "%USERPROFILE%\AppData\Local\Temp\OnboardLogs"\RTDC4026\2017-05-16 --exclude "*" --recursive --include "*20170516*" &amp; "%USERPROFILE%\Documents\GitHub\mrs-test-scripts\Headless Mode &amp; Sideloading\WalkAndUnGZ.bat" "%USERPROFILE%\AppData\Local\Temp\OnboardLogs"\RTDC4026\2017-05-16</v>
      </c>
      <c r="S44" s="87" t="str">
        <f>VLOOKUP(C44,'Train Runs'!$A$13:$AE$9929,22,0)</f>
        <v>https://d0f6bd738d7f1b3e5a7ca70fe4ff75f0.us-east-1.aws.found.io/app/kibana#/discover/Steve-Slow-Train-Analysis-(2080s-and-2083s)?_g=(refreshInterval:(display:Off,pause:!f,section:0,value:0),time:(from:'2017-05-15T15:51:43-0600',mode:absolute,to:'2017-05-15T18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4" s="89" t="str">
        <f t="shared" si="11"/>
        <v>"C:\Program Files (x86)\AstroGrep\AstroGrep.exe" /e /r /s /spath="%USERPROFILE%\AppData\Local\Temp\OnboardLogs" /stypes="*4026*201705152*" /stext=" 23:.+((SYSTEM_STATE.+slice.+state.+changed )|(ment ac)|(multiple cpu faults)|(system.+state.+changed )|(\[timeout)|(PRM\|1\|D)|(kpr)|(kdp)|(train st.+moving)|(\|lc)|(penalty))"</v>
      </c>
      <c r="U44" s="9" t="str">
        <f t="shared" si="12"/>
        <v>4026</v>
      </c>
      <c r="V44" s="31">
        <f t="shared" si="13"/>
        <v>42870.984016203707</v>
      </c>
      <c r="W44" s="45" t="str">
        <f t="shared" si="14"/>
        <v>EC</v>
      </c>
      <c r="X44" s="45" t="str">
        <f t="shared" si="15"/>
        <v>KEEP</v>
      </c>
      <c r="Y44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ID","value":"207-15"},{"id":16,"name":"Locomotive ID","value":"4026"},{"id":130,"name":"Impact","value":""},{"id":150,"name":"Time of Event (Mountain Time)","value":"17:36:59"},{"id":151,"name":"Denver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17"/>
        <v>grep -hrE -A400 "Enforcement Action" /cygdrive/c/Users/stu/AppData/Local/Temp/OnboardLogs/RTDC4026 --include="*4026*201705152*"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"%USERPROFILE%\AppData\Local\Temp\OnboardLogs"\RTDC4026\*4026*201705152* &gt;&gt; 2017-05-15-SliceDisagreementCheck.txt</v>
      </c>
      <c r="AE44" s="148" t="str">
        <f t="shared" si="9"/>
        <v>start /low /b %USERPROFILE%\Documents\GitHub\eaglep3\Utilities\DownloadLogsFromS3.py --loco 4026 --day 2017-05-15</v>
      </c>
      <c r="AF44" s="1"/>
    </row>
    <row r="45" spans="1:32" x14ac:dyDescent="0.25">
      <c r="A45" s="31">
        <v>42870.78528935185</v>
      </c>
      <c r="B45" s="30" t="s">
        <v>345</v>
      </c>
      <c r="C45" s="30" t="s">
        <v>620</v>
      </c>
      <c r="D45" s="30" t="s">
        <v>49</v>
      </c>
      <c r="E45" s="30" t="s">
        <v>185</v>
      </c>
      <c r="F45" s="42">
        <v>0</v>
      </c>
      <c r="G45" s="42">
        <v>20</v>
      </c>
      <c r="H45" s="42">
        <v>233455</v>
      </c>
      <c r="I45" s="42">
        <v>233474</v>
      </c>
      <c r="J45" s="30" t="s">
        <v>186</v>
      </c>
      <c r="K45" s="42">
        <v>233491</v>
      </c>
      <c r="L45" s="134" t="s">
        <v>50</v>
      </c>
      <c r="M45" s="135">
        <f t="shared" si="10"/>
        <v>8.9760000000000009</v>
      </c>
      <c r="N45" s="136" t="str">
        <f>VLOOKUP(C45,'Trips&amp;Operators'!$C$1:$G$99999,5,FALSE)</f>
        <v>LAMAR NEKESHA</v>
      </c>
      <c r="O45" s="207" t="s">
        <v>184</v>
      </c>
      <c r="P45" s="137"/>
      <c r="Q45" s="30"/>
      <c r="R45" s="84" t="str">
        <f>IF(VLOOKUP(C45,'Train Runs'!$A$13:$AE$9929,1,1)=C45,VLOOKUP(C45,'Train Runs'!$A$13:$AE$9929,31,1),NA())</f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S45" s="87" t="str">
        <f>VLOOKUP(C45,'Train Runs'!$A$13:$AE$9929,22,0)</f>
        <v>https://d0f6bd738d7f1b3e5a7ca70fe4ff75f0.us-east-1.aws.found.io/app/kibana#/discover/Steve-Slow-Train-Analysis-(2080s-and-2083s)?_g=(refreshInterval:(display:Off,pause:!f,section:0,value:0),time:(from:'2017-05-15T17:11:37-0600',mode:absolute,to:'2017-05-15T19:50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5" s="89" t="str">
        <f t="shared" si="11"/>
        <v>"C:\Program Files (x86)\AstroGrep\AstroGrep.exe" /e /r /s /spath="%USERPROFILE%\AppData\Local\Temp\OnboardLogs" /stypes="*4022*201705160*" /stext=" 00:.+((SYSTEM_STATE.+slice.+state.+changed )|(ment ac)|(multiple cpu faults)|(system.+state.+changed )|(\[timeout)|(PRM\|1\|D)|(kpr)|(kdp)|(train st.+moving)|(\|lc)|(penalty))"</v>
      </c>
      <c r="U45" s="9" t="str">
        <f t="shared" si="12"/>
        <v>4022</v>
      </c>
      <c r="V45" s="31">
        <f t="shared" si="13"/>
        <v>42871.03528935185</v>
      </c>
      <c r="W45" s="45" t="str">
        <f t="shared" si="14"/>
        <v>EC</v>
      </c>
      <c r="X45" s="45" t="str">
        <f t="shared" si="15"/>
        <v>KEEP</v>
      </c>
      <c r="Y45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ID","value":"217-15"},{"id":16,"name":"Locomotive ID","value":"4022"},{"id":130,"name":"Impact","value":""},{"id":150,"name":"Time of Event (Mountain Time)","value":"18:50:49"},{"id":151,"name":"Denver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17"/>
        <v>grep -hrE -A400 "Enforcement Action" /cygdrive/c/Users/stu/AppData/Local/Temp/OnboardLogs/RTDC4022 --include="*4022*201705160*"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"%USERPROFILE%\AppData\Local\Temp\OnboardLogs"\RTDC4022\*4022*201705160* &gt;&gt; 2017-05-15-SliceDisagreementCheck.txt</v>
      </c>
      <c r="AE45" s="148" t="str">
        <f t="shared" si="9"/>
        <v>start /low /b %USERPROFILE%\Documents\GitHub\eaglep3\Utilities\DownloadLogsFromS3.py --loco 4022 --day 2017-05-16</v>
      </c>
      <c r="AF45" s="1"/>
    </row>
    <row r="46" spans="1:32" x14ac:dyDescent="0.25">
      <c r="A46" s="31">
        <v>42870.859097222223</v>
      </c>
      <c r="B46" s="30" t="s">
        <v>345</v>
      </c>
      <c r="C46" s="30" t="s">
        <v>624</v>
      </c>
      <c r="D46" s="30" t="s">
        <v>49</v>
      </c>
      <c r="E46" s="30" t="s">
        <v>185</v>
      </c>
      <c r="F46" s="42">
        <v>0</v>
      </c>
      <c r="G46" s="42">
        <v>61</v>
      </c>
      <c r="H46" s="42">
        <v>233259</v>
      </c>
      <c r="I46" s="42">
        <v>233324</v>
      </c>
      <c r="J46" s="30" t="s">
        <v>186</v>
      </c>
      <c r="K46" s="42">
        <v>233491</v>
      </c>
      <c r="L46" s="134" t="s">
        <v>50</v>
      </c>
      <c r="M46" s="135">
        <f t="shared" si="10"/>
        <v>88.176000000000002</v>
      </c>
      <c r="N46" s="136" t="str">
        <f>VLOOKUP(C46,'Trips&amp;Operators'!$C$1:$G$99999,5,FALSE)</f>
        <v>LAMAR NEKESHA</v>
      </c>
      <c r="O46" s="207" t="s">
        <v>184</v>
      </c>
      <c r="P46" s="137"/>
      <c r="Q46" s="30"/>
      <c r="R46" s="84" t="str">
        <f>IF(VLOOKUP(C46,'Train Runs'!$A$13:$AE$9929,1,1)=C46,VLOOKUP(C46,'Train Runs'!$A$13:$AE$9929,31,1),NA())</f>
        <v>aws s3 cp s3://rtdc.mdm.uploadarchive.raw/RTDC4022/ "%USERPROFILE%\AppData\Local\Temp\OnboardLogs"\RTDC4022\2017-05-15 --exclude "*" --recursive --include "*20170515*" &amp; "%USERPROFILE%\Documents\GitHub\mrs-test-scripts\Headless Mode &amp; Sideloading\WalkAndUnGZ.bat" "%USERPROFILE%\AppData\Local\Temp\OnboardLogs"\RTDC4022\2017-05-15 &amp; aws s3 cp s3://rtdc.mdm.uploadarchive.raw/RTDC4022/ "%USERPROFILE%\AppData\Local\Temp\OnboardLogs"\RTDC4022\2017-05-16 --exclude "*" --recursive --include "*20170516*" &amp; "%USERPROFILE%\Documents\GitHub\mrs-test-scripts\Headless Mode &amp; Sideloading\WalkAndUnGZ.bat" "%USERPROFILE%\AppData\Local\Temp\OnboardLogs"\RTDC4022\2017-05-16</v>
      </c>
      <c r="S46" s="87" t="str">
        <f>VLOOKUP(C46,'Train Runs'!$A$13:$AE$9929,22,0)</f>
        <v>https://d0f6bd738d7f1b3e5a7ca70fe4ff75f0.us-east-1.aws.found.io/app/kibana#/discover/Steve-Slow-Train-Analysis-(2080s-and-2083s)?_g=(refreshInterval:(display:Off,pause:!f,section:0,value:0),time:(from:'2017-05-15T18:53:37-0600',mode:absolute,to:'2017-05-15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46" s="89" t="str">
        <f t="shared" si="11"/>
        <v>"C:\Program Files (x86)\AstroGrep\AstroGrep.exe" /e /r /s /spath="%USERPROFILE%\AppData\Local\Temp\OnboardLogs" /stypes="*4022*201705160*" /stext=" 02:.+((SYSTEM_STATE.+slice.+state.+changed )|(ment ac)|(multiple cpu faults)|(system.+state.+changed )|(\[timeout)|(PRM\|1\|D)|(kpr)|(kdp)|(train st.+moving)|(\|lc)|(penalty))"</v>
      </c>
      <c r="U46" s="9" t="str">
        <f t="shared" si="12"/>
        <v>4022</v>
      </c>
      <c r="V46" s="31">
        <f t="shared" si="13"/>
        <v>42871.109097222223</v>
      </c>
      <c r="W46" s="45" t="str">
        <f t="shared" si="14"/>
        <v>EC</v>
      </c>
      <c r="X46" s="45" t="str">
        <f t="shared" si="15"/>
        <v>KEEP</v>
      </c>
      <c r="Y46" s="99" t="str">
        <f t="shared" si="16"/>
        <v>echo {"issue":{"subject":"","project_id":79,"tracker_id":40,"status_id":1,"priority_id":2,"assigned_to_id":23,"start_date":"2017-05-15","description":"","custom_fields":[{"id":1,"name":"Subdivision","value":"EC"},{"id":4,"name":"Milepost","value":"23.3491"},{"id":17,"name":"Train ID","value":"225-15"},{"id":16,"name":"Locomotive ID","value":"4022"},{"id":130,"name":"Impact","value":""},{"id":150,"name":"Time of Event (Mountain Time)","value":"20:37:06"},{"id":151,"name":"Denver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62"/>
      <c r="AA46" s="47"/>
      <c r="AB46" s="47"/>
      <c r="AC46" s="118" t="str">
        <f t="shared" si="17"/>
        <v>grep -hrE -A400 "Enforcement Action" /cygdrive/c/Users/stu/AppData/Local/Temp/OnboardLogs/RTDC4022 --include="*4022*201705160*"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"%USERPROFILE%\AppData\Local\Temp\OnboardLogs"\RTDC4022\*4022*201705160* &gt;&gt; 2017-05-15-SliceDisagreementCheck.txt</v>
      </c>
      <c r="AE46" s="148" t="str">
        <f t="shared" si="9"/>
        <v>start /low /b %USERPROFILE%\Documents\GitHub\eaglep3\Utilities\DownloadLogsFromS3.py --loco 4022 --day 2017-05-16</v>
      </c>
      <c r="AF46" s="1"/>
    </row>
    <row r="47" spans="1:32" x14ac:dyDescent="0.25">
      <c r="A47" s="31">
        <v>42870.790196759262</v>
      </c>
      <c r="B47" s="30" t="s">
        <v>398</v>
      </c>
      <c r="C47" s="30" t="s">
        <v>621</v>
      </c>
      <c r="D47" s="30" t="s">
        <v>49</v>
      </c>
      <c r="E47" s="30" t="s">
        <v>374</v>
      </c>
      <c r="F47" s="42">
        <v>0</v>
      </c>
      <c r="G47" s="42">
        <v>318</v>
      </c>
      <c r="H47" s="42">
        <v>37236</v>
      </c>
      <c r="I47" s="42">
        <v>38151</v>
      </c>
      <c r="J47" s="30" t="s">
        <v>375</v>
      </c>
      <c r="K47" s="42">
        <v>37575</v>
      </c>
      <c r="L47" s="134" t="s">
        <v>50</v>
      </c>
      <c r="M47" s="135">
        <f t="shared" si="10"/>
        <v>-304.12799999999999</v>
      </c>
      <c r="N47" s="136" t="str">
        <f>VLOOKUP(C47,'Trips&amp;Operators'!$C$1:$G$99999,5,FALSE)</f>
        <v>NEWELL JAMES</v>
      </c>
      <c r="O47" s="207" t="s">
        <v>377</v>
      </c>
      <c r="P47" s="137" t="s">
        <v>497</v>
      </c>
      <c r="Q47" s="30"/>
      <c r="R47" s="84" t="e">
        <f>IF(VLOOKUP(C47,'Train Runs'!$A$13:$AE$9929,1,1)=C47,VLOOKUP(C47,'Train Runs'!$A$13:$AE$9929,31,1),NA())</f>
        <v>#N/A</v>
      </c>
      <c r="S47" s="87" t="str">
        <f>VLOOKUP(C47,'Train Runs'!$A$13:$AE$9929,22,0)</f>
        <v>https://d0f6bd738d7f1b3e5a7ca70fe4ff75f0.us-east-1.aws.found.io/app/kibana#/discover/Steve-Slow-Train-Analysis-(2080s-and-2083s)?_g=(refreshInterval:(display:Off,pause:!f,section:0,value:0),time:(from:'2017-05-15T17:29:56-0600',mode:absolute,to:'2017-05-15T20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7" s="89" t="str">
        <f t="shared" si="11"/>
        <v>"C:\Program Files (x86)\AstroGrep\AstroGrep.exe" /e /r /s /spath="%USERPROFILE%\AppData\Local\Temp\OnboardLogs" /stypes="*4014*201705160*" /stext=" 00:.+((SYSTEM_STATE.+slice.+state.+changed )|(ment ac)|(multiple cpu faults)|(system.+state.+changed )|(\[timeout)|(PRM\|1\|D)|(kpr)|(kdp)|(train st.+moving)|(\|lc)|(penalty))"</v>
      </c>
      <c r="U47" s="9" t="str">
        <f t="shared" si="12"/>
        <v>4014</v>
      </c>
      <c r="V47" s="31">
        <f t="shared" si="13"/>
        <v>42871.040196759262</v>
      </c>
      <c r="W47" s="45" t="str">
        <f t="shared" si="14"/>
        <v>NW</v>
      </c>
      <c r="X47" s="45" t="str">
        <f t="shared" si="15"/>
        <v>KEEP</v>
      </c>
      <c r="Y47" s="99" t="str">
        <f t="shared" si="16"/>
        <v>echo {"issue":{"subject":"Wi-MAX data drop","project_id":79,"tracker_id":40,"status_id":1,"priority_id":2,"assigned_to_id":23,"start_date":"2017-05-15","description":"","custom_fields":[{"id":1,"name":"Subdivision","value":"NW"},{"id":4,"name":"Milepost","value":"3.7575"},{"id":17,"name":"Train ID","value":"839-15"},{"id":16,"name":"Locomotive ID","value":"4014"},{"id":130,"name":"Impact","value":""},{"id":150,"name":"Time of Event (Mountain Time)","value":"18:57:53"},{"id":151,"name":"Denver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62"/>
      <c r="AA47" s="47"/>
      <c r="AB47" s="47"/>
      <c r="AC47" s="118" t="str">
        <f t="shared" si="17"/>
        <v>grep -hrE -A400 "Enforcement Action" /cygdrive/c/Users/stu/AppData/Local/Temp/OnboardLogs/RTDC4014 --include="*4014*201705160*"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"%USERPROFILE%\AppData\Local\Temp\OnboardLogs"\RTDC4014\*4014*201705160* &gt;&gt; 2017-05-15-SliceDisagreementCheck.txt</v>
      </c>
      <c r="AE47" s="148" t="str">
        <f t="shared" si="9"/>
        <v>start /low /b %USERPROFILE%\Documents\GitHub\eaglep3\Utilities\DownloadLogsFromS3.py --loco 4014 --day 2017-05-16</v>
      </c>
      <c r="AF47" s="1"/>
    </row>
    <row r="48" spans="1:32" x14ac:dyDescent="0.25">
      <c r="A48" s="31">
        <v>42870.267488425925</v>
      </c>
      <c r="B48" s="30" t="s">
        <v>391</v>
      </c>
      <c r="C48" s="30" t="s">
        <v>580</v>
      </c>
      <c r="D48" s="30" t="s">
        <v>49</v>
      </c>
      <c r="E48" s="30" t="s">
        <v>185</v>
      </c>
      <c r="F48" s="42">
        <v>0</v>
      </c>
      <c r="G48" s="42">
        <v>76</v>
      </c>
      <c r="H48" s="42">
        <v>839</v>
      </c>
      <c r="I48" s="42">
        <v>771</v>
      </c>
      <c r="J48" s="30" t="s">
        <v>186</v>
      </c>
      <c r="K48" s="42">
        <v>575</v>
      </c>
      <c r="L48" s="134" t="s">
        <v>51</v>
      </c>
      <c r="M48" s="135">
        <f t="shared" si="10"/>
        <v>103.488</v>
      </c>
      <c r="N48" s="136" t="str">
        <f>VLOOKUP(C48,'Trips&amp;Operators'!$C$1:$G$99999,5,FALSE)</f>
        <v>DAVIS WENDY</v>
      </c>
      <c r="O48" s="207" t="s">
        <v>184</v>
      </c>
      <c r="P48" s="137"/>
      <c r="Q48" s="30"/>
      <c r="R48" s="84" t="str">
        <f>IF(VLOOKUP(C48,'Train Runs'!$A$13:$AE$9929,1,1)=C48,VLOOKUP(C48,'Train Runs'!$A$13:$AE$9929,31,1),NA())</f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S48" s="87" t="str">
        <f>VLOOKUP(C48,'Train Runs'!$A$13:$AE$9929,22,0)</f>
        <v>https://d0f6bd738d7f1b3e5a7ca70fe4ff75f0.us-east-1.aws.found.io/app/kibana#/discover/Steve-Slow-Train-Analysis-(2080s-and-2083s)?_g=(refreshInterval:(display:Off,pause:!f,section:0,value:0),time:(from:'2017-05-15T05:07:47-0600',mode:absolute,to:'2017-05-15T07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8" s="89" t="str">
        <f t="shared" si="11"/>
        <v>"C:\Program Files (x86)\AstroGrep\AstroGrep.exe" /e /r /s /spath="%USERPROFILE%\AppData\Local\Temp\OnboardLogs" /stypes="*4013*201705151*" /stext=" 12:.+((SYSTEM_STATE.+slice.+state.+changed )|(ment ac)|(multiple cpu faults)|(system.+state.+changed )|(\[timeout)|(PRM\|1\|D)|(kpr)|(kdp)|(train st.+moving)|(\|lc)|(penalty))"</v>
      </c>
      <c r="U48" s="9" t="str">
        <f t="shared" si="12"/>
        <v>4013</v>
      </c>
      <c r="V48" s="31">
        <f t="shared" si="13"/>
        <v>42870.517488425925</v>
      </c>
      <c r="W48" s="45" t="str">
        <f t="shared" si="14"/>
        <v>NW</v>
      </c>
      <c r="X48" s="45" t="str">
        <f t="shared" si="15"/>
        <v>KEEP</v>
      </c>
      <c r="Y48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ID","value":"802-15"},{"id":16,"name":"Locomotive ID","value":"4013"},{"id":130,"name":"Impact","value":""},{"id":150,"name":"Time of Event (Mountain Time)","value":"06:25:11"},{"id":151,"name":"Denver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62"/>
      <c r="AA48" s="47"/>
      <c r="AB48" s="47"/>
      <c r="AC48" s="118" t="str">
        <f t="shared" si="17"/>
        <v>grep -hrE -A400 "Enforcement Action" /cygdrive/c/Users/stu/AppData/Local/Temp/OnboardLogs/RTDC4013 --include="*4013*201705151*"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"%USERPROFILE%\AppData\Local\Temp\OnboardLogs"\RTDC4013\*4013*201705151* &gt;&gt; 2017-05-15-SliceDisagreementCheck.txt</v>
      </c>
      <c r="AE48" s="148" t="str">
        <f t="shared" si="9"/>
        <v>start /low /b %USERPROFILE%\Documents\GitHub\eaglep3\Utilities\DownloadLogsFromS3.py --loco 4013 --day 2017-05-15</v>
      </c>
      <c r="AF48" s="1"/>
    </row>
    <row r="49" spans="1:32" x14ac:dyDescent="0.25">
      <c r="A49" s="31">
        <v>42870.26835648148</v>
      </c>
      <c r="B49" s="30" t="s">
        <v>391</v>
      </c>
      <c r="C49" s="30" t="s">
        <v>580</v>
      </c>
      <c r="D49" s="30" t="s">
        <v>49</v>
      </c>
      <c r="E49" s="30" t="s">
        <v>185</v>
      </c>
      <c r="F49" s="42">
        <v>0</v>
      </c>
      <c r="G49" s="42">
        <v>23</v>
      </c>
      <c r="H49" s="42">
        <v>677</v>
      </c>
      <c r="I49" s="42">
        <v>647</v>
      </c>
      <c r="J49" s="30" t="s">
        <v>186</v>
      </c>
      <c r="K49" s="42">
        <v>575</v>
      </c>
      <c r="L49" s="134" t="s">
        <v>51</v>
      </c>
      <c r="M49" s="135">
        <f t="shared" si="10"/>
        <v>38.015999999999998</v>
      </c>
      <c r="N49" s="136" t="str">
        <f>VLOOKUP(C49,'Trips&amp;Operators'!$C$1:$G$99999,5,FALSE)</f>
        <v>DAVIS WENDY</v>
      </c>
      <c r="O49" s="207" t="s">
        <v>184</v>
      </c>
      <c r="P49" s="137"/>
      <c r="Q49" s="30"/>
      <c r="R49" s="84" t="str">
        <f>IF(VLOOKUP(C49,'Train Runs'!$A$13:$AE$9929,1,1)=C49,VLOOKUP(C49,'Train Runs'!$A$13:$AE$9929,31,1),NA())</f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S49" s="87" t="str">
        <f>VLOOKUP(C49,'Train Runs'!$A$13:$AE$9929,22,0)</f>
        <v>https://d0f6bd738d7f1b3e5a7ca70fe4ff75f0.us-east-1.aws.found.io/app/kibana#/discover/Steve-Slow-Train-Analysis-(2080s-and-2083s)?_g=(refreshInterval:(display:Off,pause:!f,section:0,value:0),time:(from:'2017-05-15T05:07:47-0600',mode:absolute,to:'2017-05-15T07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89" t="str">
        <f t="shared" si="11"/>
        <v>"C:\Program Files (x86)\AstroGrep\AstroGrep.exe" /e /r /s /spath="%USERPROFILE%\AppData\Local\Temp\OnboardLogs" /stypes="*4013*201705151*" /stext=" 12:.+((SYSTEM_STATE.+slice.+state.+changed )|(ment ac)|(multiple cpu faults)|(system.+state.+changed )|(\[timeout)|(PRM\|1\|D)|(kpr)|(kdp)|(train st.+moving)|(\|lc)|(penalty))"</v>
      </c>
      <c r="U49" s="9" t="str">
        <f t="shared" si="12"/>
        <v>4013</v>
      </c>
      <c r="V49" s="31">
        <f t="shared" si="13"/>
        <v>42870.51835648148</v>
      </c>
      <c r="W49" s="45" t="str">
        <f t="shared" si="14"/>
        <v>NW</v>
      </c>
      <c r="X49" s="45" t="str">
        <f t="shared" si="15"/>
        <v>KEEP</v>
      </c>
      <c r="Y49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ID","value":"802-15"},{"id":16,"name":"Locomotive ID","value":"4013"},{"id":130,"name":"Impact","value":""},{"id":150,"name":"Time of Event (Mountain Time)","value":"06:26:26"},{"id":151,"name":"Denver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62"/>
      <c r="AA49" s="47"/>
      <c r="AB49" s="47"/>
      <c r="AC49" s="118" t="str">
        <f t="shared" si="17"/>
        <v>grep -hrE -A400 "Enforcement Action" /cygdrive/c/Users/stu/AppData/Local/Temp/OnboardLogs/RTDC4013 --include="*4013*201705151*"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"%USERPROFILE%\AppData\Local\Temp\OnboardLogs"\RTDC4013\*4013*201705151* &gt;&gt; 2017-05-15-SliceDisagreementCheck.txt</v>
      </c>
      <c r="AE49" s="148" t="str">
        <f t="shared" si="9"/>
        <v>start /low /b %USERPROFILE%\Documents\GitHub\eaglep3\Utilities\DownloadLogsFromS3.py --loco 4013 --day 2017-05-15</v>
      </c>
      <c r="AF49" s="1"/>
    </row>
    <row r="50" spans="1:32" x14ac:dyDescent="0.25">
      <c r="A50" s="31">
        <v>42870.309270833335</v>
      </c>
      <c r="B50" s="30" t="s">
        <v>391</v>
      </c>
      <c r="C50" s="30" t="s">
        <v>583</v>
      </c>
      <c r="D50" s="30" t="s">
        <v>49</v>
      </c>
      <c r="E50" s="30" t="s">
        <v>185</v>
      </c>
      <c r="F50" s="42">
        <v>0</v>
      </c>
      <c r="G50" s="42">
        <v>64</v>
      </c>
      <c r="H50" s="42">
        <v>773</v>
      </c>
      <c r="I50" s="42">
        <v>731</v>
      </c>
      <c r="J50" s="30" t="s">
        <v>186</v>
      </c>
      <c r="K50" s="42">
        <v>575</v>
      </c>
      <c r="L50" s="134" t="s">
        <v>51</v>
      </c>
      <c r="M50" s="135">
        <f t="shared" si="10"/>
        <v>82.367999999999995</v>
      </c>
      <c r="N50" s="136" t="str">
        <f>VLOOKUP(C50,'Trips&amp;Operators'!$C$1:$G$99999,5,FALSE)</f>
        <v>DAVIS WENDY</v>
      </c>
      <c r="O50" s="207" t="s">
        <v>184</v>
      </c>
      <c r="P50" s="137"/>
      <c r="Q50" s="30"/>
      <c r="R50" s="84" t="str">
        <f>IF(VLOOKUP(C50,'Train Runs'!$A$13:$AE$9929,1,1)=C50,VLOOKUP(C50,'Train Runs'!$A$13:$AE$9929,31,1),NA())</f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S50" s="87" t="str">
        <f>VLOOKUP(C50,'Train Runs'!$A$13:$AE$9929,22,0)</f>
        <v>https://d0f6bd738d7f1b3e5a7ca70fe4ff75f0.us-east-1.aws.found.io/app/kibana#/discover/Steve-Slow-Train-Analysis-(2080s-and-2083s)?_g=(refreshInterval:(display:Off,pause:!f,section:0,value:0),time:(from:'2017-05-15T06:06:37-0600',mode:absolute,to:'2017-05-15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0" s="89" t="str">
        <f t="shared" si="11"/>
        <v>"C:\Program Files (x86)\AstroGrep\AstroGrep.exe" /e /r /s /spath="%USERPROFILE%\AppData\Local\Temp\OnboardLogs" /stypes="*4013*201705151*" /stext=" 13:.+((SYSTEM_STATE.+slice.+state.+changed )|(ment ac)|(multiple cpu faults)|(system.+state.+changed )|(\[timeout)|(PRM\|1\|D)|(kpr)|(kdp)|(train st.+moving)|(\|lc)|(penalty))"</v>
      </c>
      <c r="U50" s="9" t="str">
        <f t="shared" si="12"/>
        <v>4013</v>
      </c>
      <c r="V50" s="31">
        <f t="shared" si="13"/>
        <v>42870.559270833335</v>
      </c>
      <c r="W50" s="45" t="str">
        <f t="shared" si="14"/>
        <v>NW</v>
      </c>
      <c r="X50" s="45" t="str">
        <f t="shared" si="15"/>
        <v>KEEP</v>
      </c>
      <c r="Y50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ID","value":"806-15"},{"id":16,"name":"Locomotive ID","value":"4013"},{"id":130,"name":"Impact","value":""},{"id":150,"name":"Time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62"/>
      <c r="AA50" s="47"/>
      <c r="AB50" s="47"/>
      <c r="AC50" s="118" t="str">
        <f t="shared" si="17"/>
        <v>grep -hrE -A400 "Enforcement Action" /cygdrive/c/Users/stu/AppData/Local/Temp/OnboardLogs/RTDC4013 --include="*4013*201705151*"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"%USERPROFILE%\AppData\Local\Temp\OnboardLogs"\RTDC4013\*4013*201705151* &gt;&gt; 2017-05-15-SliceDisagreementCheck.txt</v>
      </c>
      <c r="AE50" s="148" t="str">
        <f t="shared" si="9"/>
        <v>start /low /b %USERPROFILE%\Documents\GitHub\eaglep3\Utilities\DownloadLogsFromS3.py --loco 4013 --day 2017-05-15</v>
      </c>
      <c r="AF50" s="1"/>
    </row>
    <row r="51" spans="1:32" x14ac:dyDescent="0.25">
      <c r="A51" s="31">
        <v>42870.310046296298</v>
      </c>
      <c r="B51" s="30" t="s">
        <v>391</v>
      </c>
      <c r="C51" s="30" t="s">
        <v>583</v>
      </c>
      <c r="D51" s="30" t="s">
        <v>49</v>
      </c>
      <c r="E51" s="30" t="s">
        <v>185</v>
      </c>
      <c r="F51" s="42">
        <v>0</v>
      </c>
      <c r="G51" s="42">
        <v>23</v>
      </c>
      <c r="H51" s="42">
        <v>712</v>
      </c>
      <c r="I51" s="42">
        <v>684</v>
      </c>
      <c r="J51" s="30" t="s">
        <v>186</v>
      </c>
      <c r="K51" s="42">
        <v>575</v>
      </c>
      <c r="L51" s="134" t="s">
        <v>51</v>
      </c>
      <c r="M51" s="135">
        <f t="shared" si="10"/>
        <v>57.552</v>
      </c>
      <c r="N51" s="136" t="str">
        <f>VLOOKUP(C51,'Trips&amp;Operators'!$C$1:$G$99999,5,FALSE)</f>
        <v>DAVIS WENDY</v>
      </c>
      <c r="O51" s="207" t="s">
        <v>184</v>
      </c>
      <c r="P51" s="137"/>
      <c r="Q51" s="30"/>
      <c r="R51" s="84" t="str">
        <f>IF(VLOOKUP(C51,'Train Runs'!$A$13:$AE$9929,1,1)=C51,VLOOKUP(C51,'Train Runs'!$A$13:$AE$9929,31,1),NA())</f>
        <v>aws s3 cp s3://rtdc.mdm.uploadarchive.raw/RTDC4013/ "%USERPROFILE%\AppData\Local\Temp\OnboardLogs"\RTDC4013\2017-05-15 --exclude "*" --recursive --include "*20170515*" &amp; "%USERPROFILE%\Documents\GitHub\mrs-test-scripts\Headless Mode &amp; Sideloading\WalkAndUnGZ.bat" "%USERPROFILE%\AppData\Local\Temp\OnboardLogs"\RTDC4013\2017-05-15 &amp; aws s3 cp s3://rtdc.mdm.uploadarchive.raw/RTDC4013/ "%USERPROFILE%\AppData\Local\Temp\OnboardLogs"\RTDC4013\2017-05-16 --exclude "*" --recursive --include "*20170516*" &amp; "%USERPROFILE%\Documents\GitHub\mrs-test-scripts\Headless Mode &amp; Sideloading\WalkAndUnGZ.bat" "%USERPROFILE%\AppData\Local\Temp\OnboardLogs"\RTDC4013\2017-05-16</v>
      </c>
      <c r="S51" s="87" t="str">
        <f>VLOOKUP(C51,'Train Runs'!$A$13:$AE$9929,22,0)</f>
        <v>https://d0f6bd738d7f1b3e5a7ca70fe4ff75f0.us-east-1.aws.found.io/app/kibana#/discover/Steve-Slow-Train-Analysis-(2080s-and-2083s)?_g=(refreshInterval:(display:Off,pause:!f,section:0,value:0),time:(from:'2017-05-15T06:06:37-0600',mode:absolute,to:'2017-05-15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1" s="89" t="str">
        <f t="shared" si="11"/>
        <v>"C:\Program Files (x86)\AstroGrep\AstroGrep.exe" /e /r /s /spath="%USERPROFILE%\AppData\Local\Temp\OnboardLogs" /stypes="*4013*201705151*" /stext=" 13:.+((SYSTEM_STATE.+slice.+state.+changed )|(ment ac)|(multiple cpu faults)|(system.+state.+changed )|(\[timeout)|(PRM\|1\|D)|(kpr)|(kdp)|(train st.+moving)|(\|lc)|(penalty))"</v>
      </c>
      <c r="U51" s="9" t="str">
        <f t="shared" si="12"/>
        <v>4013</v>
      </c>
      <c r="V51" s="31">
        <f t="shared" si="13"/>
        <v>42870.560046296298</v>
      </c>
      <c r="W51" s="45" t="str">
        <f t="shared" si="14"/>
        <v>NW</v>
      </c>
      <c r="X51" s="45" t="str">
        <f t="shared" si="15"/>
        <v>KEEP</v>
      </c>
      <c r="Y51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ID","value":"806-15"},{"id":16,"name":"Locomotive ID","value":"4013"},{"id":130,"name":"Impact","value":""},{"id":150,"name":"Time of Event (Mountain Time)","value":"07:26:28"},{"id":151,"name":"Denver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62"/>
      <c r="AA51" s="47"/>
      <c r="AB51" s="47"/>
      <c r="AC51" s="118" t="str">
        <f t="shared" si="17"/>
        <v>grep -hrE -A400 "Enforcement Action" /cygdrive/c/Users/stu/AppData/Local/Temp/OnboardLogs/RTDC4013 --include="*4013*201705151*"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"%USERPROFILE%\AppData\Local\Temp\OnboardLogs"\RTDC4013\*4013*201705151* &gt;&gt; 2017-05-15-SliceDisagreementCheck.txt</v>
      </c>
      <c r="AE51" s="148" t="str">
        <f t="shared" si="9"/>
        <v>start /low /b %USERPROFILE%\Documents\GitHub\eaglep3\Utilities\DownloadLogsFromS3.py --loco 4013 --day 2017-05-15</v>
      </c>
      <c r="AF51" s="1"/>
    </row>
    <row r="52" spans="1:32" x14ac:dyDescent="0.25">
      <c r="A52" s="31">
        <v>42870.35083333333</v>
      </c>
      <c r="B52" s="30" t="s">
        <v>391</v>
      </c>
      <c r="C52" s="30" t="s">
        <v>585</v>
      </c>
      <c r="D52" s="30" t="s">
        <v>49</v>
      </c>
      <c r="E52" s="30" t="s">
        <v>185</v>
      </c>
      <c r="F52" s="42">
        <v>0</v>
      </c>
      <c r="G52" s="42">
        <v>72</v>
      </c>
      <c r="H52" s="42">
        <v>824</v>
      </c>
      <c r="I52" s="42">
        <v>745</v>
      </c>
      <c r="J52" s="30" t="s">
        <v>186</v>
      </c>
      <c r="K52" s="42">
        <v>575</v>
      </c>
      <c r="L52" s="134" t="s">
        <v>51</v>
      </c>
      <c r="M52" s="135">
        <f t="shared" si="10"/>
        <v>89.76</v>
      </c>
      <c r="N52" s="136" t="str">
        <f>VLOOKUP(C52,'Trips&amp;Operators'!$C$1:$G$99999,5,FALSE)</f>
        <v>DAVIS WENDY</v>
      </c>
      <c r="O52" s="207" t="s">
        <v>184</v>
      </c>
      <c r="P52" s="137"/>
      <c r="Q52" s="30"/>
      <c r="R52" s="84" t="e">
        <f>IF(VLOOKUP(C52,'Train Runs'!$A$13:$AE$9929,1,1)=C52,VLOOKUP(C52,'Train Runs'!$A$13:$AE$9929,31,1),NA())</f>
        <v>#N/A</v>
      </c>
      <c r="S52" s="87" t="str">
        <f>VLOOKUP(C52,'Train Runs'!$A$13:$AE$9929,22,0)</f>
        <v>https://d0f6bd738d7f1b3e5a7ca70fe4ff75f0.us-east-1.aws.found.io/app/kibana#/discover/Steve-Slow-Train-Analysis-(2080s-and-2083s)?_g=(refreshInterval:(display:Off,pause:!f,section:0,value:0),time:(from:'2017-05-15T07:06:00-0600',mode:absolute,to:'2017-05-15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2" s="89" t="str">
        <f t="shared" si="11"/>
        <v>"C:\Program Files (x86)\AstroGrep\AstroGrep.exe" /e /r /s /spath="%USERPROFILE%\AppData\Local\Temp\OnboardLogs" /stypes="*4013*201705151*" /stext=" 14:.+((SYSTEM_STATE.+slice.+state.+changed )|(ment ac)|(multiple cpu faults)|(system.+state.+changed )|(\[timeout)|(PRM\|1\|D)|(kpr)|(kdp)|(train st.+moving)|(\|lc)|(penalty))"</v>
      </c>
      <c r="U52" s="9" t="str">
        <f t="shared" si="12"/>
        <v>4013</v>
      </c>
      <c r="V52" s="31">
        <f t="shared" si="13"/>
        <v>42870.60083333333</v>
      </c>
      <c r="W52" s="45" t="str">
        <f t="shared" si="14"/>
        <v>NW</v>
      </c>
      <c r="X52" s="45" t="str">
        <f t="shared" si="15"/>
        <v>KEEP</v>
      </c>
      <c r="Y52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ID","value":"810-15"},{"id":16,"name":"Locomotive ID","value":"4013"},{"id":130,"name":"Impact","value":""},{"id":150,"name":"Time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62"/>
      <c r="AA52" s="47"/>
      <c r="AB52" s="47"/>
      <c r="AC52" s="118" t="str">
        <f t="shared" si="17"/>
        <v>grep -hrE -A400 "Enforcement Action" /cygdrive/c/Users/stu/AppData/Local/Temp/OnboardLogs/RTDC4013 --include="*4013*201705151*"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"%USERPROFILE%\AppData\Local\Temp\OnboardLogs"\RTDC4013\*4013*201705151* &gt;&gt; 2017-05-15-SliceDisagreementCheck.txt</v>
      </c>
      <c r="AE52" s="148" t="str">
        <f t="shared" si="9"/>
        <v>start /low /b %USERPROFILE%\Documents\GitHub\eaglep3\Utilities\DownloadLogsFromS3.py --loco 4013 --day 2017-05-15</v>
      </c>
      <c r="AF52" s="1"/>
    </row>
    <row r="53" spans="1:32" x14ac:dyDescent="0.25">
      <c r="A53" s="31">
        <v>42870.454421296294</v>
      </c>
      <c r="B53" s="30" t="s">
        <v>500</v>
      </c>
      <c r="C53" s="30" t="s">
        <v>590</v>
      </c>
      <c r="D53" s="30" t="s">
        <v>49</v>
      </c>
      <c r="E53" s="30" t="s">
        <v>185</v>
      </c>
      <c r="F53" s="42">
        <v>0</v>
      </c>
      <c r="G53" s="42">
        <v>59</v>
      </c>
      <c r="H53" s="42">
        <v>764</v>
      </c>
      <c r="I53" s="42">
        <v>720</v>
      </c>
      <c r="J53" s="30" t="s">
        <v>186</v>
      </c>
      <c r="K53" s="42">
        <v>575</v>
      </c>
      <c r="L53" s="134" t="s">
        <v>51</v>
      </c>
      <c r="M53" s="135">
        <f t="shared" si="10"/>
        <v>76.56</v>
      </c>
      <c r="N53" s="136" t="str">
        <f>VLOOKUP(C53,'Trips&amp;Operators'!$C$1:$G$99999,5,FALSE)</f>
        <v>YANAI IAN</v>
      </c>
      <c r="O53" s="207" t="s">
        <v>184</v>
      </c>
      <c r="P53" s="137"/>
      <c r="Q53" s="30"/>
      <c r="R53" s="84" t="e">
        <f>IF(VLOOKUP(C53,'Train Runs'!$A$13:$AE$9929,1,1)=C53,VLOOKUP(C53,'Train Runs'!$A$13:$AE$9929,31,1),NA())</f>
        <v>#N/A</v>
      </c>
      <c r="S53" s="87" t="str">
        <f>VLOOKUP(C53,'Train Runs'!$A$13:$AE$9929,22,0)</f>
        <v>https://d0f6bd738d7f1b3e5a7ca70fe4ff75f0.us-east-1.aws.found.io/app/kibana#/discover/Steve-Slow-Train-Analysis-(2080s-and-2083s)?_g=(refreshInterval:(display:Off,pause:!f,section:0,value:0),time:(from:'2017-05-15T09:35:43-0600',mode:absolute,to:'2017-05-15T11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3" s="89" t="str">
        <f t="shared" si="11"/>
        <v>"C:\Program Files (x86)\AstroGrep\AstroGrep.exe" /e /r /s /spath="%USERPROFILE%\AppData\Local\Temp\OnboardLogs" /stypes="*4031*201705151*" /stext=" 16:.+((SYSTEM_STATE.+slice.+state.+changed )|(ment ac)|(multiple cpu faults)|(system.+state.+changed )|(\[timeout)|(PRM\|1\|D)|(kpr)|(kdp)|(train st.+moving)|(\|lc)|(penalty))"</v>
      </c>
      <c r="U53" s="9" t="str">
        <f t="shared" si="12"/>
        <v>4031</v>
      </c>
      <c r="V53" s="31">
        <f t="shared" si="13"/>
        <v>42870.704421296294</v>
      </c>
      <c r="W53" s="45" t="str">
        <f t="shared" si="14"/>
        <v>NW</v>
      </c>
      <c r="X53" s="45" t="str">
        <f t="shared" si="15"/>
        <v>KEEP</v>
      </c>
      <c r="Y53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ID","value":"816-15"},{"id":16,"name":"Locomotive ID","value":"4031"},{"id":130,"name":"Impact","value":""},{"id":150,"name":"Time of Event (Mountain Time)","value":"10:54:22"},{"id":151,"name":"Denver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62"/>
      <c r="AA53" s="47"/>
      <c r="AB53" s="47"/>
      <c r="AC53" s="118" t="str">
        <f t="shared" si="17"/>
        <v>grep -hrE -A400 "Enforcement Action" /cygdrive/c/Users/stu/AppData/Local/Temp/OnboardLogs/RTDC4031 --include="*4031*201705151*"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"%USERPROFILE%\AppData\Local\Temp\OnboardLogs"\RTDC4031\*4031*201705151* &gt;&gt; 2017-05-15-SliceDisagreementCheck.txt</v>
      </c>
      <c r="AE53" s="148" t="str">
        <f t="shared" si="9"/>
        <v>start /low /b %USERPROFILE%\Documents\GitHub\eaglep3\Utilities\DownloadLogsFromS3.py --loco 4031 --day 2017-05-15</v>
      </c>
      <c r="AF53" s="1"/>
    </row>
    <row r="54" spans="1:32" x14ac:dyDescent="0.25">
      <c r="A54" s="31">
        <v>42870.57949074074</v>
      </c>
      <c r="B54" s="30" t="s">
        <v>500</v>
      </c>
      <c r="C54" s="30" t="s">
        <v>602</v>
      </c>
      <c r="D54" s="30" t="s">
        <v>49</v>
      </c>
      <c r="E54" s="30" t="s">
        <v>185</v>
      </c>
      <c r="F54" s="42">
        <v>0</v>
      </c>
      <c r="G54" s="42">
        <v>34</v>
      </c>
      <c r="H54" s="42">
        <v>682</v>
      </c>
      <c r="I54" s="42">
        <v>659</v>
      </c>
      <c r="J54" s="30" t="s">
        <v>186</v>
      </c>
      <c r="K54" s="42">
        <v>575</v>
      </c>
      <c r="L54" s="134" t="s">
        <v>51</v>
      </c>
      <c r="M54" s="135">
        <f t="shared" si="10"/>
        <v>44.351999999999997</v>
      </c>
      <c r="N54" s="136" t="str">
        <f>VLOOKUP(C54,'Trips&amp;Operators'!$C$1:$G$99999,5,FALSE)</f>
        <v>LEVIN SCOTT</v>
      </c>
      <c r="O54" s="207" t="s">
        <v>184</v>
      </c>
      <c r="P54" s="137"/>
      <c r="Q54" s="30"/>
      <c r="R54" s="84" t="e">
        <f>IF(VLOOKUP(C54,'Train Runs'!$A$13:$AE$9929,1,1)=C54,VLOOKUP(C54,'Train Runs'!$A$13:$AE$9929,31,1),NA())</f>
        <v>#N/A</v>
      </c>
      <c r="S54" s="87" t="str">
        <f>VLOOKUP(C54,'Train Runs'!$A$13:$AE$9929,22,0)</f>
        <v>https://d0f6bd738d7f1b3e5a7ca70fe4ff75f0.us-east-1.aws.found.io/app/kibana#/discover/Steve-Slow-Train-Analysis-(2080s-and-2083s)?_g=(refreshInterval:(display:Off,pause:!f,section:0,value:0),time:(from:'2017-05-15T12:36:10-0600',mode:absolute,to:'2017-05-15T14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4" s="89" t="str">
        <f t="shared" si="11"/>
        <v>"C:\Program Files (x86)\AstroGrep\AstroGrep.exe" /e /r /s /spath="%USERPROFILE%\AppData\Local\Temp\OnboardLogs" /stypes="*4031*201705151*" /stext=" 19:.+((SYSTEM_STATE.+slice.+state.+changed )|(ment ac)|(multiple cpu faults)|(system.+state.+changed )|(\[timeout)|(PRM\|1\|D)|(kpr)|(kdp)|(train st.+moving)|(\|lc)|(penalty))"</v>
      </c>
      <c r="U54" s="9" t="str">
        <f t="shared" si="12"/>
        <v>4031</v>
      </c>
      <c r="V54" s="31">
        <f t="shared" si="13"/>
        <v>42870.82949074074</v>
      </c>
      <c r="W54" s="45" t="str">
        <f t="shared" si="14"/>
        <v>NW</v>
      </c>
      <c r="X54" s="45" t="str">
        <f t="shared" si="15"/>
        <v>KEEP</v>
      </c>
      <c r="Y54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ID","value":"822-15"},{"id":16,"name":"Locomotive ID","value":"4031"},{"id":130,"name":"Impact","value":""},{"id":150,"name":"Time of Event (Mountain Time)","value":"13:54:28"},{"id":151,"name":"Denver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162"/>
      <c r="AA54" s="47"/>
      <c r="AB54" s="47"/>
      <c r="AC54" s="118" t="str">
        <f t="shared" si="17"/>
        <v>grep -hrE -A400 "Enforcement Action" /cygdrive/c/Users/stu/AppData/Local/Temp/OnboardLogs/RTDC4031 --include="*4031*201705151*" | grep -E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"%USERPROFILE%\AppData\Local\Temp\OnboardLogs"\RTDC4031\*4031*201705151* &gt;&gt; 2017-05-15-SliceDisagreementCheck.txt</v>
      </c>
      <c r="AE54" s="148" t="str">
        <f t="shared" si="9"/>
        <v>start /low /b %USERPROFILE%\Documents\GitHub\eaglep3\Utilities\DownloadLogsFromS3.py --loco 4031 --day 2017-05-15</v>
      </c>
      <c r="AF54" s="1"/>
    </row>
    <row r="55" spans="1:32" x14ac:dyDescent="0.25">
      <c r="A55" s="31">
        <v>42870.621134259258</v>
      </c>
      <c r="B55" s="30" t="s">
        <v>500</v>
      </c>
      <c r="C55" s="30" t="s">
        <v>607</v>
      </c>
      <c r="D55" s="30" t="s">
        <v>49</v>
      </c>
      <c r="E55" s="30" t="s">
        <v>185</v>
      </c>
      <c r="F55" s="42">
        <v>0</v>
      </c>
      <c r="G55" s="42">
        <v>41</v>
      </c>
      <c r="H55" s="42">
        <v>696</v>
      </c>
      <c r="I55" s="42">
        <v>663</v>
      </c>
      <c r="J55" s="30" t="s">
        <v>186</v>
      </c>
      <c r="K55" s="42">
        <v>575</v>
      </c>
      <c r="L55" s="134" t="s">
        <v>51</v>
      </c>
      <c r="M55" s="135">
        <f t="shared" si="10"/>
        <v>46.463999999999999</v>
      </c>
      <c r="N55" s="136" t="str">
        <f>VLOOKUP(C55,'Trips&amp;Operators'!$C$1:$G$99999,5,FALSE)</f>
        <v>LEVIN SCOTT</v>
      </c>
      <c r="O55" s="207" t="s">
        <v>184</v>
      </c>
      <c r="P55" s="137"/>
      <c r="Q55" s="30"/>
      <c r="R55" s="84" t="e">
        <f>IF(VLOOKUP(C55,'Train Runs'!$A$13:$AE$9929,1,1)=C55,VLOOKUP(C55,'Train Runs'!$A$13:$AE$9929,31,1),NA())</f>
        <v>#N/A</v>
      </c>
      <c r="S55" s="87" t="str">
        <f>VLOOKUP(C55,'Train Runs'!$A$13:$AE$9929,22,0)</f>
        <v>https://d0f6bd738d7f1b3e5a7ca70fe4ff75f0.us-east-1.aws.found.io/app/kibana#/discover/Steve-Slow-Train-Analysis-(2080s-and-2083s)?_g=(refreshInterval:(display:Off,pause:!f,section:0,value:0),time:(from:'2017-05-15T13:36:03-0600',mode:absolute,to:'2017-05-15T15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5" s="89" t="str">
        <f t="shared" si="11"/>
        <v>"C:\Program Files (x86)\AstroGrep\AstroGrep.exe" /e /r /s /spath="%USERPROFILE%\AppData\Local\Temp\OnboardLogs" /stypes="*4031*201705152*" /stext=" 20:.+((SYSTEM_STATE.+slice.+state.+changed )|(ment ac)|(multiple cpu faults)|(system.+state.+changed )|(\[timeout)|(PRM\|1\|D)|(kpr)|(kdp)|(train st.+moving)|(\|lc)|(penalty))"</v>
      </c>
      <c r="U55" s="9" t="str">
        <f t="shared" si="12"/>
        <v>4031</v>
      </c>
      <c r="V55" s="31">
        <f t="shared" si="13"/>
        <v>42870.871134259258</v>
      </c>
      <c r="W55" s="45" t="str">
        <f t="shared" si="14"/>
        <v>NW</v>
      </c>
      <c r="X55" s="45" t="str">
        <f t="shared" si="15"/>
        <v>KEEP</v>
      </c>
      <c r="Y55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ID","value":"824-15"},{"id":16,"name":"Locomotive ID","value":"4031"},{"id":130,"name":"Impact","value":""},{"id":150,"name":"Time of Event (Mountain Time)","value":"14:54:26"},{"id":151,"name":"Denver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162"/>
      <c r="AA55" s="47"/>
      <c r="AB55" s="47"/>
      <c r="AC55" s="118" t="str">
        <f t="shared" si="17"/>
        <v>grep -hrE -A400 "Enforcement Action" /cygdrive/c/Users/stu/AppData/Local/Temp/OnboardLogs/RTDC4031 --include="*4031*201705152*" | grep -E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"%USERPROFILE%\AppData\Local\Temp\OnboardLogs"\RTDC4031\*4031*201705152* &gt;&gt; 2017-05-15-SliceDisagreementCheck.txt</v>
      </c>
      <c r="AE55" s="148" t="str">
        <f t="shared" si="9"/>
        <v>start /low /b %USERPROFILE%\Documents\GitHub\eaglep3\Utilities\DownloadLogsFromS3.py --loco 4031 --day 2017-05-15</v>
      </c>
      <c r="AF55" s="1"/>
    </row>
    <row r="56" spans="1:32" x14ac:dyDescent="0.25">
      <c r="A56" s="31">
        <v>42870.831400462965</v>
      </c>
      <c r="B56" s="30" t="s">
        <v>500</v>
      </c>
      <c r="C56" s="30" t="s">
        <v>622</v>
      </c>
      <c r="D56" s="30" t="s">
        <v>49</v>
      </c>
      <c r="E56" s="30" t="s">
        <v>185</v>
      </c>
      <c r="F56" s="42">
        <v>0</v>
      </c>
      <c r="G56" s="42">
        <v>32</v>
      </c>
      <c r="H56" s="42">
        <v>668</v>
      </c>
      <c r="I56" s="42">
        <v>635</v>
      </c>
      <c r="J56" s="30" t="s">
        <v>186</v>
      </c>
      <c r="K56" s="42">
        <v>575</v>
      </c>
      <c r="L56" s="134" t="s">
        <v>51</v>
      </c>
      <c r="M56" s="135">
        <f t="shared" si="10"/>
        <v>31.68</v>
      </c>
      <c r="N56" s="136" t="str">
        <f>VLOOKUP(C56,'Trips&amp;Operators'!$C$1:$G$99999,5,FALSE)</f>
        <v>LEVIN SCOTT</v>
      </c>
      <c r="O56" s="207" t="s">
        <v>184</v>
      </c>
      <c r="P56" s="137"/>
      <c r="Q56" s="30"/>
      <c r="R56" s="84" t="e">
        <f>IF(VLOOKUP(C56,'Train Runs'!$A$13:$AE$9929,1,1)=C56,VLOOKUP(C56,'Train Runs'!$A$13:$AE$9929,31,1),NA())</f>
        <v>#N/A</v>
      </c>
      <c r="S56" s="87" t="str">
        <f>VLOOKUP(C56,'Train Runs'!$A$13:$AE$9929,22,0)</f>
        <v>https://d0f6bd738d7f1b3e5a7ca70fe4ff75f0.us-east-1.aws.found.io/app/kibana#/discover/Steve-Slow-Train-Analysis-(2080s-and-2083s)?_g=(refreshInterval:(display:Off,pause:!f,section:0,value:0),time:(from:'2017-05-15T18:36:10-0600',mode:absolute,to:'2017-05-15T20:57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56" s="89" t="str">
        <f t="shared" si="11"/>
        <v>"C:\Program Files (x86)\AstroGrep\AstroGrep.exe" /e /r /s /spath="%USERPROFILE%\AppData\Local\Temp\OnboardLogs" /stypes="*4031*201705160*" /stext=" 01:.+((SYSTEM_STATE.+slice.+state.+changed )|(ment ac)|(multiple cpu faults)|(system.+state.+changed )|(\[timeout)|(PRM\|1\|D)|(kpr)|(kdp)|(train st.+moving)|(\|lc)|(penalty))"</v>
      </c>
      <c r="U56" s="9" t="str">
        <f t="shared" si="12"/>
        <v>4031</v>
      </c>
      <c r="V56" s="31">
        <f t="shared" si="13"/>
        <v>42871.081400462965</v>
      </c>
      <c r="W56" s="45" t="str">
        <f t="shared" si="14"/>
        <v>NW</v>
      </c>
      <c r="X56" s="45" t="str">
        <f t="shared" si="15"/>
        <v>KEEP</v>
      </c>
      <c r="Y56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{"issue":{"subject":"","project_id":79,"tracker_id":40,"status_id":1,"priority_id":2,"assigned_to_id":23,"start_date":"2017-05-15","description":"","custom_fields":[{"id":1,"name":"Subdivision","value":"NW"},{"id":4,"name":"Milepost","value":"0.0575"},{"id":17,"name":"Train ID","value":"840-15"},{"id":16,"name":"Locomotive ID","value":"4031"},{"id":130,"name":"Impact","value":""},{"id":150,"name":"Time of Event (Mountain Time)","value":"19:57:13"},{"id":151,"name":"Denver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162"/>
      <c r="AA56" s="47"/>
      <c r="AB56" s="47"/>
      <c r="AC56" s="118" t="str">
        <f t="shared" si="17"/>
        <v>grep -hrE -A400 "Enforcement Action" /cygdrive/c/Users/stu/AppData/Local/Temp/OnboardLogs/RTDC4031 --include="*4031*201705160*" | grep -E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"%USERPROFILE%\AppData\Local\Temp\OnboardLogs"\RTDC4031\*4031*201705160* &gt;&gt; 2017-05-15-SliceDisagreementCheck.txt</v>
      </c>
      <c r="AE56" s="148" t="str">
        <f t="shared" si="9"/>
        <v>start /low /b %USERPROFILE%\Documents\GitHub\eaglep3\Utilities\DownloadLogsFromS3.py --loco 4031 --day 2017-05-16</v>
      </c>
      <c r="AF56" s="1"/>
    </row>
    <row r="57" spans="1:32" x14ac:dyDescent="0.25">
      <c r="A57" s="31">
        <v>42870.254004629627</v>
      </c>
      <c r="B57" s="30" t="s">
        <v>398</v>
      </c>
      <c r="C57" s="30" t="s">
        <v>578</v>
      </c>
      <c r="D57" s="30" t="s">
        <v>98</v>
      </c>
      <c r="E57" s="30" t="s">
        <v>185</v>
      </c>
      <c r="F57" s="42">
        <v>0</v>
      </c>
      <c r="G57" s="42">
        <v>9</v>
      </c>
      <c r="H57" s="42">
        <v>59048</v>
      </c>
      <c r="I57" s="42">
        <v>0</v>
      </c>
      <c r="J57" s="30" t="s">
        <v>186</v>
      </c>
      <c r="K57" s="42">
        <v>59048</v>
      </c>
      <c r="L57" s="134" t="s">
        <v>50</v>
      </c>
      <c r="M57" s="135">
        <f t="shared" si="10"/>
        <v>31177.344000000001</v>
      </c>
      <c r="N57" s="136" t="str">
        <f>VLOOKUP(C57,'Trips&amp;Operators'!$C$1:$G$99999,5,FALSE)</f>
        <v>DAVIS WENDY</v>
      </c>
      <c r="O57" s="207" t="s">
        <v>184</v>
      </c>
      <c r="P57" s="137"/>
      <c r="Q57" s="30"/>
      <c r="R57" s="84" t="str">
        <f>IF(VLOOKUP(C57,'Train Runs'!$A$13:$AE$9929,1,1)=C57,VLOOKUP(C57,'Train Runs'!$A$13:$AE$9929,31,1),NA())</f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S57" s="87" t="str">
        <f>VLOOKUP(C57,'Train Runs'!$A$13:$AE$9929,22,0)</f>
        <v>https://d0f6bd738d7f1b3e5a7ca70fe4ff75f0.us-east-1.aws.found.io/app/kibana#/discover/Steve-Slow-Train-Analysis-(2080s-and-2083s)?_g=(refreshInterval:(display:Off,pause:!f,section:0,value:0),time:(from:'2017-05-15T04:48:12-0600',mode:absolute,to:'2017-05-15T07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7" s="89" t="str">
        <f t="shared" si="11"/>
        <v>"C:\Program Files (x86)\AstroGrep\AstroGrep.exe" /e /r /s /spath="%USERPROFILE%\AppData\Local\Temp\OnboardLogs" /stypes="*4014*201705151*" /stext=" 12:.+((SYSTEM_STATE.+slice.+state.+changed )|(ment ac)|(multiple cpu faults)|(system.+state.+changed )|(\[timeout)|(PRM\|1\|D)|(kpr)|(kdp)|(train st.+moving)|(\|lc)|(penalty))"</v>
      </c>
      <c r="U57" s="9" t="str">
        <f t="shared" si="12"/>
        <v>4014</v>
      </c>
      <c r="V57" s="31">
        <f t="shared" si="13"/>
        <v>42870.504004629627</v>
      </c>
      <c r="W57" s="45" t="str">
        <f t="shared" si="14"/>
        <v>NW</v>
      </c>
      <c r="X57" s="45" t="str">
        <f t="shared" si="15"/>
        <v>OMIT</v>
      </c>
      <c r="Y57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{"issue":{"subject":"","project_id":79,"tracker_id":40,"status_id":1,"priority_id":2,"assigned_to_id":23,"start_date":"2017-05-15","description":"","custom_fields":[{"id":1,"name":"Subdivision","value":"NW"},{"id":4,"name":"Milepost","value":"5.9048"},{"id":17,"name":"Train ID","value":"801-15"},{"id":16,"name":"Locomotive ID","value":"4014"},{"id":130,"name":"Impact","value":""},{"id":150,"name":"Time of Event (Mountain Time)","value":"06:05:46"},{"id":151,"name":"Denver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162"/>
      <c r="AA57" s="47"/>
      <c r="AB57" s="47"/>
      <c r="AC57" s="118" t="str">
        <f t="shared" si="17"/>
        <v>grep -hrE -A400 "Enforcement Action" /cygdrive/c/Users/stu/AppData/Local/Temp/OnboardLogs/RTDC4014 --include="*4014*201705151*" | grep -E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"%USERPROFILE%\AppData\Local\Temp\OnboardLogs"\RTDC4014\*4014*201705151* &gt;&gt; 2017-05-15-SliceDisagreementCheck.txt</v>
      </c>
      <c r="AE57" s="148" t="str">
        <f t="shared" si="9"/>
        <v>start /low /b %USERPROFILE%\Documents\GitHub\eaglep3\Utilities\DownloadLogsFromS3.py --loco 4014 --day 2017-05-15</v>
      </c>
      <c r="AF57" s="1"/>
    </row>
    <row r="58" spans="1:32" x14ac:dyDescent="0.25">
      <c r="A58" s="31">
        <v>42870.294502314813</v>
      </c>
      <c r="B58" s="30" t="s">
        <v>398</v>
      </c>
      <c r="C58" s="30" t="s">
        <v>582</v>
      </c>
      <c r="D58" s="30" t="s">
        <v>49</v>
      </c>
      <c r="E58" s="30" t="s">
        <v>185</v>
      </c>
      <c r="F58" s="42">
        <v>0</v>
      </c>
      <c r="G58" s="42">
        <v>59</v>
      </c>
      <c r="H58" s="42">
        <v>58852</v>
      </c>
      <c r="I58" s="42">
        <v>58903</v>
      </c>
      <c r="J58" s="30" t="s">
        <v>186</v>
      </c>
      <c r="K58" s="42">
        <v>59048</v>
      </c>
      <c r="L58" s="134" t="s">
        <v>50</v>
      </c>
      <c r="M58" s="135">
        <f t="shared" si="10"/>
        <v>76.56</v>
      </c>
      <c r="N58" s="136" t="str">
        <f>VLOOKUP(C58,'Trips&amp;Operators'!$C$1:$G$99999,5,FALSE)</f>
        <v>DAVIS WENDY</v>
      </c>
      <c r="O58" s="207" t="s">
        <v>184</v>
      </c>
      <c r="P58" s="137"/>
      <c r="Q58" s="30"/>
      <c r="R58" s="84" t="str">
        <f>IF(VLOOKUP(C58,'Train Runs'!$A$13:$AE$9929,1,1)=C58,VLOOKUP(C58,'Train Runs'!$A$13:$AE$9929,31,1),NA())</f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S58" s="87" t="str">
        <f>VLOOKUP(C58,'Train Runs'!$A$13:$AE$9929,22,0)</f>
        <v>https://d0f6bd738d7f1b3e5a7ca70fe4ff75f0.us-east-1.aws.found.io/app/kibana#/discover/Steve-Slow-Train-Analysis-(2080s-and-2083s)?_g=(refreshInterval:(display:Off,pause:!f,section:0,value:0),time:(from:'2017-05-15T05:47:02-0600',mode:absolute,to:'2017-05-15T08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8" s="89" t="str">
        <f t="shared" si="11"/>
        <v>"C:\Program Files (x86)\AstroGrep\AstroGrep.exe" /e /r /s /spath="%USERPROFILE%\AppData\Local\Temp\OnboardLogs" /stypes="*4014*201705151*" /stext=" 13:.+((SYSTEM_STATE.+slice.+state.+changed )|(ment ac)|(multiple cpu faults)|(system.+state.+changed )|(\[timeout)|(PRM\|1\|D)|(kpr)|(kdp)|(train st.+moving)|(\|lc)|(penalty))"</v>
      </c>
      <c r="U58" s="9" t="str">
        <f t="shared" si="12"/>
        <v>4014</v>
      </c>
      <c r="V58" s="31">
        <f t="shared" si="13"/>
        <v>42870.544502314813</v>
      </c>
      <c r="W58" s="45" t="str">
        <f t="shared" si="14"/>
        <v>NW</v>
      </c>
      <c r="X58" s="45" t="str">
        <f t="shared" si="15"/>
        <v>KEEP</v>
      </c>
      <c r="Y58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{"issue":{"subject":"","project_id":79,"tracker_id":40,"status_id":1,"priority_id":2,"assigned_to_id":23,"start_date":"2017-05-15","description":"","custom_fields":[{"id":1,"name":"Subdivision","value":"NW"},{"id":4,"name":"Milepost","value":"5.9048"},{"id":17,"name":"Train ID","value":"805-15"},{"id":16,"name":"Locomotive ID","value":"4014"},{"id":130,"name":"Impact","value":""},{"id":150,"name":"Time of Event (Mountain Time)","value":"07:04:05"},{"id":151,"name":"Denver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162"/>
      <c r="AA58" s="47"/>
      <c r="AB58" s="47"/>
      <c r="AC58" s="118" t="str">
        <f t="shared" si="17"/>
        <v>grep -hrE -A400 "Enforcement Action" /cygdrive/c/Users/stu/AppData/Local/Temp/OnboardLogs/RTDC4014 --include="*4014*201705151*" | grep -E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"%USERPROFILE%\AppData\Local\Temp\OnboardLogs"\RTDC4014\*4014*201705151* &gt;&gt; 2017-05-15-SliceDisagreementCheck.txt</v>
      </c>
      <c r="AE58" s="148" t="str">
        <f t="shared" si="9"/>
        <v>start /low /b %USERPROFILE%\Documents\GitHub\eaglep3\Utilities\DownloadLogsFromS3.py --loco 4014 --day 2017-05-15</v>
      </c>
      <c r="AF58" s="1"/>
    </row>
    <row r="59" spans="1:32" x14ac:dyDescent="0.25">
      <c r="A59" s="31">
        <v>42870.295358796298</v>
      </c>
      <c r="B59" s="30" t="s">
        <v>398</v>
      </c>
      <c r="C59" s="30" t="s">
        <v>582</v>
      </c>
      <c r="D59" s="30" t="s">
        <v>98</v>
      </c>
      <c r="E59" s="30" t="s">
        <v>185</v>
      </c>
      <c r="F59" s="42">
        <v>0</v>
      </c>
      <c r="G59" s="42">
        <v>3</v>
      </c>
      <c r="H59" s="42">
        <v>59048</v>
      </c>
      <c r="I59" s="42">
        <v>0</v>
      </c>
      <c r="J59" s="30" t="s">
        <v>186</v>
      </c>
      <c r="K59" s="42">
        <v>59048</v>
      </c>
      <c r="L59" s="134" t="s">
        <v>50</v>
      </c>
      <c r="M59" s="135">
        <f t="shared" si="10"/>
        <v>31177.344000000001</v>
      </c>
      <c r="N59" s="136" t="str">
        <f>VLOOKUP(C59,'Trips&amp;Operators'!$C$1:$G$99999,5,FALSE)</f>
        <v>DAVIS WENDY</v>
      </c>
      <c r="O59" s="207" t="s">
        <v>184</v>
      </c>
      <c r="P59" s="137"/>
      <c r="Q59" s="30"/>
      <c r="R59" s="84" t="str">
        <f>IF(VLOOKUP(C59,'Train Runs'!$A$13:$AE$9929,1,1)=C59,VLOOKUP(C59,'Train Runs'!$A$13:$AE$9929,31,1),NA())</f>
        <v>aws s3 cp s3://rtdc.mdm.uploadarchive.raw/RTDC4014/ "%USERPROFILE%\AppData\Local\Temp\OnboardLogs"\RTDC4014\2017-05-15 --exclude "*" --recursive --include "*20170515*" &amp; "%USERPROFILE%\Documents\GitHub\mrs-test-scripts\Headless Mode &amp; Sideloading\WalkAndUnGZ.bat" "%USERPROFILE%\AppData\Local\Temp\OnboardLogs"\RTDC4014\2017-05-15 &amp; aws s3 cp s3://rtdc.mdm.uploadarchive.raw/RTDC4014/ "%USERPROFILE%\AppData\Local\Temp\OnboardLogs"\RTDC4014\2017-05-16 --exclude "*" --recursive --include "*20170516*" &amp; "%USERPROFILE%\Documents\GitHub\mrs-test-scripts\Headless Mode &amp; Sideloading\WalkAndUnGZ.bat" "%USERPROFILE%\AppData\Local\Temp\OnboardLogs"\RTDC4014\2017-05-16</v>
      </c>
      <c r="S59" s="87" t="str">
        <f>VLOOKUP(C59,'Train Runs'!$A$13:$AE$9929,22,0)</f>
        <v>https://d0f6bd738d7f1b3e5a7ca70fe4ff75f0.us-east-1.aws.found.io/app/kibana#/discover/Steve-Slow-Train-Analysis-(2080s-and-2083s)?_g=(refreshInterval:(display:Off,pause:!f,section:0,value:0),time:(from:'2017-05-15T05:47:02-0600',mode:absolute,to:'2017-05-15T08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9" s="89" t="str">
        <f t="shared" si="11"/>
        <v>"C:\Program Files (x86)\AstroGrep\AstroGrep.exe" /e /r /s /spath="%USERPROFILE%\AppData\Local\Temp\OnboardLogs" /stypes="*4014*201705151*" /stext=" 13:.+((SYSTEM_STATE.+slice.+state.+changed )|(ment ac)|(multiple cpu faults)|(system.+state.+changed )|(\[timeout)|(PRM\|1\|D)|(kpr)|(kdp)|(train st.+moving)|(\|lc)|(penalty))"</v>
      </c>
      <c r="U59" s="9" t="str">
        <f t="shared" si="12"/>
        <v>4014</v>
      </c>
      <c r="V59" s="31">
        <f t="shared" si="13"/>
        <v>42870.545358796298</v>
      </c>
      <c r="W59" s="45" t="str">
        <f t="shared" si="14"/>
        <v>NW</v>
      </c>
      <c r="X59" s="45" t="str">
        <f t="shared" si="15"/>
        <v>OMIT</v>
      </c>
      <c r="Y59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{"issue":{"subject":"","project_id":79,"tracker_id":40,"status_id":1,"priority_id":2,"assigned_to_id":23,"start_date":"2017-05-15","description":"","custom_fields":[{"id":1,"name":"Subdivision","value":"NW"},{"id":4,"name":"Milepost","value":"5.9048"},{"id":17,"name":"Train ID","value":"805-15"},{"id":16,"name":"Locomotive ID","value":"4014"},{"id":130,"name":"Impact","value":""},{"id":150,"name":"Time of Event (Mountain Time)","value":"07:05:19"},{"id":151,"name":"Denver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162"/>
      <c r="AA59" s="47"/>
      <c r="AB59" s="47"/>
      <c r="AC59" s="118" t="str">
        <f t="shared" si="17"/>
        <v>grep -hrE -A400 "Enforcement Action" /cygdrive/c/Users/stu/AppData/Local/Temp/OnboardLogs/RTDC4014 --include="*4014*201705151*" | grep -E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"%USERPROFILE%\AppData\Local\Temp\OnboardLogs"\RTDC4014\*4014*201705151* &gt;&gt; 2017-05-15-SliceDisagreementCheck.txt</v>
      </c>
      <c r="AE59" s="148" t="str">
        <f t="shared" si="9"/>
        <v>start /low /b %USERPROFILE%\Documents\GitHub\eaglep3\Utilities\DownloadLogsFromS3.py --loco 4014 --day 2017-05-15</v>
      </c>
      <c r="AF59" s="1"/>
    </row>
    <row r="60" spans="1:32" x14ac:dyDescent="0.25">
      <c r="A60" s="31">
        <v>42870.33666666667</v>
      </c>
      <c r="B60" s="30" t="s">
        <v>398</v>
      </c>
      <c r="C60" s="30" t="s">
        <v>584</v>
      </c>
      <c r="D60" s="30" t="s">
        <v>98</v>
      </c>
      <c r="E60" s="30" t="s">
        <v>185</v>
      </c>
      <c r="F60" s="42">
        <v>0</v>
      </c>
      <c r="G60" s="42">
        <v>3</v>
      </c>
      <c r="H60" s="42">
        <v>59049</v>
      </c>
      <c r="I60" s="42">
        <v>59048</v>
      </c>
      <c r="J60" s="30" t="s">
        <v>186</v>
      </c>
      <c r="K60" s="42">
        <v>59048</v>
      </c>
      <c r="L60" s="134" t="s">
        <v>50</v>
      </c>
      <c r="M60" s="135">
        <f t="shared" si="10"/>
        <v>0</v>
      </c>
      <c r="N60" s="136" t="str">
        <f>VLOOKUP(C60,'Trips&amp;Operators'!$C$1:$G$99999,5,FALSE)</f>
        <v>DAVIS WENDY</v>
      </c>
      <c r="O60" s="207" t="s">
        <v>184</v>
      </c>
      <c r="P60" s="137"/>
      <c r="Q60" s="30"/>
      <c r="R60" s="84" t="e">
        <f>IF(VLOOKUP(C60,'Train Runs'!$A$13:$AE$9929,1,1)=C60,VLOOKUP(C60,'Train Runs'!$A$13:$AE$9929,31,1),NA())</f>
        <v>#N/A</v>
      </c>
      <c r="S60" s="87" t="str">
        <f>VLOOKUP(C60,'Train Runs'!$A$13:$AE$9929,22,0)</f>
        <v>https://d0f6bd738d7f1b3e5a7ca70fe4ff75f0.us-east-1.aws.found.io/app/kibana#/discover/Steve-Slow-Train-Analysis-(2080s-and-2083s)?_g=(refreshInterval:(display:Off,pause:!f,section:0,value:0),time:(from:'2017-05-15T06:47:30-0600',mode:absolute,to:'2017-05-15T09:04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60" s="89" t="str">
        <f t="shared" si="11"/>
        <v>"C:\Program Files (x86)\AstroGrep\AstroGrep.exe" /e /r /s /spath="%USERPROFILE%\AppData\Local\Temp\OnboardLogs" /stypes="*4014*201705151*" /stext=" 14:.+((SYSTEM_STATE.+slice.+state.+changed )|(ment ac)|(multiple cpu faults)|(system.+state.+changed )|(\[timeout)|(PRM\|1\|D)|(kpr)|(kdp)|(train st.+moving)|(\|lc)|(penalty))"</v>
      </c>
      <c r="U60" s="9" t="str">
        <f t="shared" si="12"/>
        <v>4014</v>
      </c>
      <c r="V60" s="31">
        <f t="shared" si="13"/>
        <v>42870.58666666667</v>
      </c>
      <c r="W60" s="45" t="str">
        <f t="shared" si="14"/>
        <v>NW</v>
      </c>
      <c r="X60" s="45" t="str">
        <f t="shared" si="15"/>
        <v>OMIT</v>
      </c>
      <c r="Y60" s="99" t="str">
        <f t="shared" si="16"/>
        <v>echo {"issue":{"subject":"","project_id":79,"tracker_id":40,"status_id":1,"priority_id":2,"assigned_to_id":23,"start_date":"2017-05-15","description":"","custom_fields":[{"id":1,"name":"Subdivision","value":"NW"},{"id":4,"name":"Milepost","value":"5.9048"},{"id":17,"name":"Train ID","value":"809-15"},{"id":16,"name":"Locomotive ID","value":"4014"},{"id":130,"name":"Impact","value":""},{"id":150,"name":"Time of Event (Mountain Time)","value":"08:04:48"},{"id":151,"name":"Denver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162"/>
      <c r="AA60" s="47"/>
      <c r="AB60" s="47"/>
      <c r="AC60" s="118" t="str">
        <f t="shared" si="17"/>
        <v>grep -hrE -A400 "Enforcement Action" /cygdrive/c/Users/stu/AppData/Local/Temp/OnboardLogs/RTDC4014 --include="*4014*201705151*" | grep -E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"%USERPROFILE%\AppData\Local\Temp\OnboardLogs"\RTDC4014\*4014*201705151* &gt;&gt; 2017-05-15-SliceDisagreementCheck.txt</v>
      </c>
      <c r="AE60" s="148" t="str">
        <f t="shared" si="9"/>
        <v>start /low /b %USERPROFILE%\Documents\GitHub\eaglep3\Utilities\DownloadLogsFromS3.py --loco 4014 --day 2017-05-15</v>
      </c>
      <c r="AF60" s="1"/>
    </row>
    <row r="61" spans="1:32" x14ac:dyDescent="0.25">
      <c r="A61" s="31">
        <v>42870.650497685187</v>
      </c>
      <c r="B61" s="30" t="s">
        <v>608</v>
      </c>
      <c r="C61" s="30" t="s">
        <v>609</v>
      </c>
      <c r="D61" s="30" t="s">
        <v>98</v>
      </c>
      <c r="E61" s="30" t="s">
        <v>374</v>
      </c>
      <c r="F61" s="42">
        <v>0</v>
      </c>
      <c r="G61" s="42">
        <v>54</v>
      </c>
      <c r="H61" s="42">
        <v>1769</v>
      </c>
      <c r="I61" s="42">
        <v>1829</v>
      </c>
      <c r="J61" s="30" t="s">
        <v>375</v>
      </c>
      <c r="K61" s="42">
        <v>1692</v>
      </c>
      <c r="L61" s="134" t="s">
        <v>50</v>
      </c>
      <c r="M61" s="135">
        <f t="shared" si="10"/>
        <v>-72.335999999999999</v>
      </c>
      <c r="N61" s="136" t="str">
        <f>VLOOKUP(C61,'Trips&amp;Operators'!$C$1:$G$99999,5,FALSE)</f>
        <v>ACKERMAN JARED</v>
      </c>
      <c r="O61" s="207" t="s">
        <v>184</v>
      </c>
      <c r="P61" s="137"/>
      <c r="Q61" s="30"/>
      <c r="R61" s="84" t="e">
        <f>IF(VLOOKUP(C61,'Train Runs'!$A$13:$AE$9929,1,1)=C61,VLOOKUP(C61,'Train Runs'!$A$13:$AE$9929,31,1),NA())</f>
        <v>#N/A</v>
      </c>
      <c r="S61" s="87" t="str">
        <f>VLOOKUP(C61,'Train Runs'!$A$13:$AE$9929,22,0)</f>
        <v>https://d0f6bd738d7f1b3e5a7ca70fe4ff75f0.us-east-1.aws.found.io/app/kibana#/discover/Steve-Slow-Train-Analysis-(2080s-and-2083s)?_g=(refreshInterval:(display:Off,pause:!f,section:0,value:0),time:(from:'2017-05-15T14:40:30-0600',mode:absolute,to:'2017-05-15T16:44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61" s="89" t="str">
        <f t="shared" si="11"/>
        <v>"C:\Program Files (x86)\AstroGrep\AstroGrep.exe" /e /r /s /spath="%USERPROFILE%\AppData\Local\Temp\OnboardLogs" /stypes="*4030*201705152*" /stext=" 21:.+((SYSTEM_STATE.+slice.+state.+changed )|(ment ac)|(multiple cpu faults)|(system.+state.+changed )|(\[timeout)|(PRM\|1\|D)|(kpr)|(kdp)|(train st.+moving)|(\|lc)|(penalty))"</v>
      </c>
      <c r="U61" s="9" t="str">
        <f t="shared" si="12"/>
        <v>4030</v>
      </c>
      <c r="V61" s="31">
        <f t="shared" si="13"/>
        <v>42870.900497685187</v>
      </c>
      <c r="W61" s="45" t="str">
        <f t="shared" si="14"/>
        <v>Other</v>
      </c>
      <c r="X61" s="45" t="str">
        <f t="shared" si="15"/>
        <v>KEEP</v>
      </c>
      <c r="Y61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{"issue":{"subject":"","project_id":79,"tracker_id":40,"status_id":1,"priority_id":2,"assigned_to_id":23,"start_date":"2017-05-15","description":"","custom_fields":[{"id":1,"name":"Subdivision","value":"Other"},{"id":4,"name":"Milepost","value":"0.1692"},{"id":17,"name":"Train ID","value":"65-15"},{"id":16,"name":"Locomotive ID","value":"4030"},{"id":130,"name":"Impact","value":""},{"id":150,"name":"Time of Event (Mountain Time)","value":"15:36:43"},{"id":151,"name":"Denver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162"/>
      <c r="AA61" s="47"/>
      <c r="AB61" s="47"/>
      <c r="AC61" s="118" t="str">
        <f t="shared" si="17"/>
        <v>grep -hrE -A400 "Enforcement Action" /cygdrive/c/Users/stu/AppData/Local/Temp/OnboardLogs/RTDC4030 --include="*4030*201705152*" | grep -E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"%USERPROFILE%\AppData\Local\Temp\OnboardLogs"\RTDC4030\*4030*201705152* &gt;&gt; 2017-05-15-SliceDisagreementCheck.txt</v>
      </c>
      <c r="AE61" s="148" t="str">
        <f t="shared" si="9"/>
        <v>start /low /b %USERPROFILE%\Documents\GitHub\eaglep3\Utilities\DownloadLogsFromS3.py --loco 4030 --day 2017-05-15</v>
      </c>
      <c r="AF61" s="1"/>
    </row>
    <row r="62" spans="1:32" x14ac:dyDescent="0.25">
      <c r="A62" s="31">
        <v>42870.445775462962</v>
      </c>
      <c r="B62" s="30" t="s">
        <v>588</v>
      </c>
      <c r="C62" s="30" t="s">
        <v>589</v>
      </c>
      <c r="D62" s="30" t="s">
        <v>49</v>
      </c>
      <c r="E62" s="30" t="s">
        <v>185</v>
      </c>
      <c r="F62" s="42">
        <v>0</v>
      </c>
      <c r="G62" s="42">
        <v>125</v>
      </c>
      <c r="H62" s="42">
        <v>1550</v>
      </c>
      <c r="I62" s="42">
        <v>1432</v>
      </c>
      <c r="J62" s="30" t="s">
        <v>186</v>
      </c>
      <c r="K62" s="42">
        <v>826</v>
      </c>
      <c r="L62" s="134" t="s">
        <v>51</v>
      </c>
      <c r="M62" s="135">
        <f t="shared" si="10"/>
        <v>319.96800000000002</v>
      </c>
      <c r="N62" s="136" t="str">
        <f>VLOOKUP(C62,'Trips&amp;Operators'!$C$1:$G$99999,5,FALSE)</f>
        <v>DAVIDSON DAVID</v>
      </c>
      <c r="O62" s="207" t="s">
        <v>184</v>
      </c>
      <c r="P62" s="137"/>
      <c r="Q62" s="30"/>
      <c r="R62" s="84" t="e">
        <f>IF(VLOOKUP(C62,'Train Runs'!$A$13:$AE$9929,1,1)=C62,VLOOKUP(C62,'Train Runs'!$A$13:$AE$9929,31,1),NA())</f>
        <v>#N/A</v>
      </c>
      <c r="S62" s="87" t="str">
        <f>VLOOKUP(C62,'Train Runs'!$A$13:$AE$9929,22,0)</f>
        <v>https://d0f6bd738d7f1b3e5a7ca70fe4ff75f0.us-east-1.aws.found.io/app/kibana#/discover/Steve-Slow-Train-Analysis-(2080s-and-2083s)?_g=(refreshInterval:(display:Off,pause:!f,section:0,value:0),time:(from:'2017-05-15T09:29:38-0600',mode:absolute,to:'2017-05-15T11:41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62" s="89" t="str">
        <f t="shared" si="11"/>
        <v>"C:\Program Files (x86)\AstroGrep\AstroGrep.exe" /e /r /s /spath="%USERPROFILE%\AppData\Local\Temp\OnboardLogs" /stypes="*4049*201705151*" /stext=" 16:.+((SYSTEM_STATE.+slice.+state.+changed )|(ment ac)|(multiple cpu faults)|(system.+state.+changed )|(\[timeout)|(PRM\|1\|D)|(kpr)|(kdp)|(train st.+moving)|(\|lc)|(penalty))"</v>
      </c>
      <c r="U62" s="9" t="str">
        <f t="shared" si="12"/>
        <v>4049</v>
      </c>
      <c r="V62" s="31">
        <f t="shared" si="13"/>
        <v>42870.695775462962</v>
      </c>
      <c r="W62" s="45" t="str">
        <f t="shared" si="14"/>
        <v>Other</v>
      </c>
      <c r="X62" s="45" t="str">
        <f t="shared" si="15"/>
        <v>KEEP</v>
      </c>
      <c r="Y62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{"issue":{"subject":"","project_id":79,"tracker_id":40,"status_id":1,"priority_id":2,"assigned_to_id":23,"start_date":"2017-05-15","description":"","custom_fields":[{"id":1,"name":"Subdivision","value":"Other"},{"id":4,"name":"Milepost","value":"0.0826"},{"id":17,"name":"Train ID","value":"52-15"},{"id":16,"name":"Locomotive ID","value":"4049"},{"id":130,"name":"Impact","value":""},{"id":150,"name":"Time of Event (Mountain Time)","value":"10:41:55"},{"id":151,"name":"Denver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162"/>
      <c r="AA62" s="47"/>
      <c r="AB62" s="47"/>
      <c r="AC62" s="118" t="str">
        <f t="shared" si="17"/>
        <v>grep -hrE -A400 "Enforcement Action" /cygdrive/c/Users/stu/AppData/Local/Temp/OnboardLogs/RTDC4049 --include="*4049*201705151*" | grep -E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"%USERPROFILE%\AppData\Local\Temp\OnboardLogs"\RTDC4049\*4049*201705151* &gt;&gt; 2017-05-15-SliceDisagreementCheck.txt</v>
      </c>
      <c r="AE62" s="148" t="str">
        <f t="shared" si="9"/>
        <v>start /low /b %USERPROFILE%\Documents\GitHub\eaglep3\Utilities\DownloadLogsFromS3.py --loco 4049 --day 2017-05-15</v>
      </c>
      <c r="AF62" s="1"/>
    </row>
    <row r="63" spans="1:32" x14ac:dyDescent="0.25">
      <c r="A63" s="31">
        <v>42870.758055555554</v>
      </c>
      <c r="B63" s="30" t="s">
        <v>509</v>
      </c>
      <c r="C63" s="30" t="s">
        <v>618</v>
      </c>
      <c r="D63" s="30" t="s">
        <v>49</v>
      </c>
      <c r="E63" s="30" t="s">
        <v>185</v>
      </c>
      <c r="F63" s="42">
        <v>0</v>
      </c>
      <c r="G63" s="42">
        <v>36</v>
      </c>
      <c r="H63" s="42">
        <v>965</v>
      </c>
      <c r="I63" s="42">
        <v>939</v>
      </c>
      <c r="J63" s="30" t="s">
        <v>186</v>
      </c>
      <c r="K63" s="42">
        <v>839</v>
      </c>
      <c r="L63" s="134" t="s">
        <v>51</v>
      </c>
      <c r="M63" s="135">
        <f t="shared" si="10"/>
        <v>52.8</v>
      </c>
      <c r="N63" s="136" t="str">
        <f>VLOOKUP(C63,'Trips&amp;Operators'!$C$1:$G$99999,5,FALSE)</f>
        <v>SULLIVAN BRANDON</v>
      </c>
      <c r="O63" s="207" t="s">
        <v>184</v>
      </c>
      <c r="P63" s="137"/>
      <c r="Q63" s="30"/>
      <c r="R63" s="84" t="e">
        <f>IF(VLOOKUP(C63,'Train Runs'!$A$13:$AE$9929,1,1)=C63,VLOOKUP(C63,'Train Runs'!$A$13:$AE$9929,31,1),NA())</f>
        <v>#N/A</v>
      </c>
      <c r="S63" s="87" t="str">
        <f>VLOOKUP(C63,'Train Runs'!$A$13:$AE$9929,22,0)</f>
        <v>https://d0f6bd738d7f1b3e5a7ca70fe4ff75f0.us-east-1.aws.found.io/app/kibana#/discover/Steve-Slow-Train-Analysis-(2080s-and-2083s)?_g=(refreshInterval:(display:Off,pause:!f,section:0,value:0),time:(from:'2017-05-15T16:43:02-0600',mode:absolute,to:'2017-05-15T19:10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63" s="89" t="str">
        <f t="shared" si="11"/>
        <v>"C:\Program Files (x86)\AstroGrep\AstroGrep.exe" /e /r /s /spath="%USERPROFILE%\AppData\Local\Temp\OnboardLogs" /stypes="*4045*201705160*" /stext=" 00:.+((SYSTEM_STATE.+slice.+state.+changed )|(ment ac)|(multiple cpu faults)|(system.+state.+changed )|(\[timeout)|(PRM\|1\|D)|(kpr)|(kdp)|(train st.+moving)|(\|lc)|(penalty))"</v>
      </c>
      <c r="U63" s="9" t="str">
        <f t="shared" si="12"/>
        <v>4045</v>
      </c>
      <c r="V63" s="31">
        <f t="shared" si="13"/>
        <v>42871.008055555554</v>
      </c>
      <c r="W63" s="45" t="str">
        <f t="shared" si="14"/>
        <v>Other</v>
      </c>
      <c r="X63" s="45" t="str">
        <f t="shared" si="15"/>
        <v>KEEP</v>
      </c>
      <c r="Y63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{"issue":{"subject":"","project_id":79,"tracker_id":40,"status_id":1,"priority_id":2,"assigned_to_id":23,"start_date":"2017-05-15","description":"","custom_fields":[{"id":1,"name":"Subdivision","value":"Other"},{"id":4,"name":"Milepost","value":"0.0839"},{"id":17,"name":"Train ID","value":"56-15"},{"id":16,"name":"Locomotive ID","value":"4045"},{"id":130,"name":"Impact","value":""},{"id":150,"name":"Time of Event (Mountain Time)","value":"18:11:36"},{"id":151,"name":"Denver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162"/>
      <c r="AA63" s="47"/>
      <c r="AB63" s="47"/>
      <c r="AC63" s="118" t="str">
        <f t="shared" si="17"/>
        <v>grep -hrE -A400 "Enforcement Action" /cygdrive/c/Users/stu/AppData/Local/Temp/OnboardLogs/RTDC4045 --include="*4045*201705160*" | grep -E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"%USERPROFILE%\AppData\Local\Temp\OnboardLogs"\RTDC4045\*4045*201705160* &gt;&gt; 2017-05-15-SliceDisagreementCheck.txt</v>
      </c>
      <c r="AE63" s="148" t="str">
        <f t="shared" si="9"/>
        <v>start /low /b %USERPROFILE%\Documents\GitHub\eaglep3\Utilities\DownloadLogsFromS3.py --loco 4045 --day 2017-05-16</v>
      </c>
      <c r="AF63" s="1"/>
    </row>
    <row r="64" spans="1:32" x14ac:dyDescent="0.25">
      <c r="A64" s="31">
        <v>42870.213009259256</v>
      </c>
      <c r="B64" s="30" t="s">
        <v>398</v>
      </c>
      <c r="C64" s="30" t="s">
        <v>577</v>
      </c>
      <c r="D64" s="30" t="s">
        <v>98</v>
      </c>
      <c r="E64" s="30" t="s">
        <v>185</v>
      </c>
      <c r="F64" s="42">
        <v>0</v>
      </c>
      <c r="G64" s="42">
        <v>2</v>
      </c>
      <c r="H64" s="42">
        <v>59048</v>
      </c>
      <c r="I64" s="42">
        <v>59048</v>
      </c>
      <c r="J64" s="30" t="s">
        <v>186</v>
      </c>
      <c r="K64" s="42">
        <v>59048</v>
      </c>
      <c r="L64" s="134" t="s">
        <v>50</v>
      </c>
      <c r="M64" s="135">
        <f t="shared" si="10"/>
        <v>0</v>
      </c>
      <c r="N64" s="136" t="str">
        <f>VLOOKUP(C64,'Trips&amp;Operators'!$C$1:$G$99999,5,FALSE)</f>
        <v>DAVIS WENDY</v>
      </c>
      <c r="O64" s="207" t="s">
        <v>184</v>
      </c>
      <c r="P64" s="137"/>
      <c r="Q64" s="30"/>
      <c r="R64" s="84" t="e">
        <f>IF(VLOOKUP(C64,'Train Runs'!$A$13:$AE$9929,1,1)=C64,VLOOKUP(C64,'Train Runs'!$A$13:$AE$9929,31,1),NA())</f>
        <v>#N/A</v>
      </c>
      <c r="S64" s="87" t="str">
        <f>VLOOKUP(C64,'Train Runs'!$A$13:$AE$9929,22,0)</f>
        <v>https://d0f6bd738d7f1b3e5a7ca70fe4ff75f0.us-east-1.aws.found.io/app/kibana#/discover/Steve-Slow-Train-Analysis-(2080s-and-2083s)?_g=(refreshInterval:(display:Off,pause:!f,section:0,value:0),time:(from:'2017-05-15T03:53:12-0600',mode:absolute,to:'2017-05-15T06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64" s="89" t="str">
        <f t="shared" si="11"/>
        <v>"C:\Program Files (x86)\AstroGrep\AstroGrep.exe" /e /r /s /spath="%USERPROFILE%\AppData\Local\Temp\OnboardLogs" /stypes="*4014*201705151*" /stext=" 11:.+((SYSTEM_STATE.+slice.+state.+changed )|(ment ac)|(multiple cpu faults)|(system.+state.+changed )|(\[timeout)|(PRM\|1\|D)|(kpr)|(kdp)|(train st.+moving)|(\|lc)|(penalty))"</v>
      </c>
      <c r="U64" s="9" t="str">
        <f t="shared" si="12"/>
        <v>4014</v>
      </c>
      <c r="V64" s="31">
        <f t="shared" si="13"/>
        <v>42870.463009259256</v>
      </c>
      <c r="W64" s="45" t="str">
        <f t="shared" si="14"/>
        <v>Other</v>
      </c>
      <c r="X64" s="45" t="str">
        <f t="shared" si="15"/>
        <v>OMIT</v>
      </c>
      <c r="Y64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{"issue":{"subject":"","project_id":79,"tracker_id":40,"status_id":1,"priority_id":2,"assigned_to_id":23,"start_date":"2017-05-15","description":"","custom_fields":[{"id":1,"name":"Subdivision","value":"Other"},{"id":4,"name":"Milepost","value":"5.9048"},{"id":17,"name":"Train ID","value":"901-15"},{"id":16,"name":"Locomotive ID","value":"4014"},{"id":130,"name":"Impact","value":""},{"id":150,"name":"Time of Event (Mountain Time)","value":"05:06:44"},{"id":151,"name":"Denver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162"/>
      <c r="AA64" s="47"/>
      <c r="AB64" s="47"/>
      <c r="AC64" s="118" t="str">
        <f t="shared" si="17"/>
        <v>grep -hrE -A400 "Enforcement Action" /cygdrive/c/Users/stu/AppData/Local/Temp/OnboardLogs/RTDC4014 --include="*4014*201705151*" | grep -E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"%USERPROFILE%\AppData\Local\Temp\OnboardLogs"\RTDC4014\*4014*201705151* &gt;&gt; 2017-05-15-SliceDisagreementCheck.txt</v>
      </c>
      <c r="AE64" s="148" t="str">
        <f t="shared" si="9"/>
        <v>start /low /b %USERPROFILE%\Documents\GitHub\eaglep3\Utilities\DownloadLogsFromS3.py --loco 4014 --day 2017-05-15</v>
      </c>
      <c r="AF64" s="1"/>
    </row>
    <row r="65" spans="1:32" x14ac:dyDescent="0.25">
      <c r="A65" s="31">
        <v>42870.886481481481</v>
      </c>
      <c r="B65" s="30" t="s">
        <v>625</v>
      </c>
      <c r="C65" s="30" t="s">
        <v>626</v>
      </c>
      <c r="D65" s="30" t="s">
        <v>49</v>
      </c>
      <c r="E65" s="30" t="s">
        <v>185</v>
      </c>
      <c r="F65" s="42">
        <v>0</v>
      </c>
      <c r="G65" s="42">
        <v>57</v>
      </c>
      <c r="H65" s="42">
        <v>233281</v>
      </c>
      <c r="I65" s="42">
        <v>233340</v>
      </c>
      <c r="J65" s="30" t="s">
        <v>186</v>
      </c>
      <c r="K65" s="42">
        <v>233491</v>
      </c>
      <c r="L65" s="134" t="s">
        <v>50</v>
      </c>
      <c r="M65" s="135">
        <f t="shared" si="10"/>
        <v>79.727999999999994</v>
      </c>
      <c r="N65" s="136" t="str">
        <f>VLOOKUP(C65,'Trips&amp;Operators'!$C$1:$G$99999,5,FALSE)</f>
        <v>WILLIAMS DONTE</v>
      </c>
      <c r="O65" s="207" t="s">
        <v>184</v>
      </c>
      <c r="P65" s="137"/>
      <c r="Q65" s="30"/>
      <c r="R65" s="84" t="e">
        <f>IF(VLOOKUP(C65,'Train Runs'!$A$13:$AE$9929,1,1)=C65,VLOOKUP(C65,'Train Runs'!$A$13:$AE$9929,31,1),NA())</f>
        <v>#N/A</v>
      </c>
      <c r="S65" s="87" t="str">
        <f>VLOOKUP(C65,'Train Runs'!$A$13:$AE$9929,22,0)</f>
        <v>https://d0f6bd738d7f1b3e5a7ca70fe4ff75f0.us-east-1.aws.found.io/app/kibana#/discover/Steve-Slow-Train-Analysis-(2080s-and-2083s)?_g=(refreshInterval:(display:Off,pause:!f,section:0,value:0),time:(from:'2017-05-15T21:24:37-0600',mode:absolute,to:'2017-05-15T23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65" s="89" t="str">
        <f t="shared" si="11"/>
        <v>"C:\Program Files (x86)\AstroGrep\AstroGrep.exe" /e /r /s /spath="%USERPROFILE%\AppData\Local\Temp\OnboardLogs" /stypes="*4050*201705160*" /stext=" 03:.+((SYSTEM_STATE.+slice.+state.+changed )|(ment ac)|(multiple cpu faults)|(system.+state.+changed )|(\[timeout)|(PRM\|1\|D)|(kpr)|(kdp)|(train st.+moving)|(\|lc)|(penalty))"</v>
      </c>
      <c r="U65" s="9" t="str">
        <f t="shared" si="12"/>
        <v>4050</v>
      </c>
      <c r="V65" s="31">
        <f t="shared" si="13"/>
        <v>42871.136481481481</v>
      </c>
      <c r="W65" s="45" t="str">
        <f t="shared" si="14"/>
        <v>Other</v>
      </c>
      <c r="X65" s="45" t="str">
        <f t="shared" si="15"/>
        <v>KEEP</v>
      </c>
      <c r="Y65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{"issue":{"subject":"","project_id":79,"tracker_id":40,"status_id":1,"priority_id":2,"assigned_to_id":23,"start_date":"2017-05-15","description":"","custom_fields":[{"id":1,"name":"Subdivision","value":"Other"},{"id":4,"name":"Milepost","value":"23.3491"},{"id":17,"name":"Train ID","value":"59-15"},{"id":16,"name":"Locomotive ID","value":"4050"},{"id":130,"name":"Impact","value":""},{"id":150,"name":"Time of Event (Mountain Time)","value":"21:16:32"},{"id":151,"name":"Denver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162"/>
      <c r="AA65" s="47"/>
      <c r="AB65" s="47"/>
      <c r="AC65" s="118" t="str">
        <f t="shared" si="17"/>
        <v>grep -hrE -A400 "Enforcement Action" /cygdrive/c/Users/stu/AppData/Local/Temp/OnboardLogs/RTDC4050 --include="*4050*201705160*" | grep -E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"%USERPROFILE%\AppData\Local\Temp\OnboardLogs"\RTDC4050\*4050*201705160* &gt;&gt; 2017-05-15-SliceDisagreementCheck.txt</v>
      </c>
      <c r="AE65" s="148" t="str">
        <f t="shared" si="9"/>
        <v>start /low /b %USERPROFILE%\Documents\GitHub\eaglep3\Utilities\DownloadLogsFromS3.py --loco 4050 --day 2017-05-16</v>
      </c>
      <c r="AF65" s="1"/>
    </row>
    <row r="66" spans="1:32" x14ac:dyDescent="0.25">
      <c r="A66" s="31">
        <v>42870.950092592589</v>
      </c>
      <c r="B66" s="30" t="s">
        <v>625</v>
      </c>
      <c r="C66" s="30" t="s">
        <v>626</v>
      </c>
      <c r="D66" s="30" t="s">
        <v>49</v>
      </c>
      <c r="E66" s="30" t="s">
        <v>185</v>
      </c>
      <c r="F66" s="42">
        <v>0</v>
      </c>
      <c r="G66" s="42">
        <v>10</v>
      </c>
      <c r="H66" s="42">
        <v>233453</v>
      </c>
      <c r="I66" s="42">
        <v>233456</v>
      </c>
      <c r="J66" s="30" t="s">
        <v>186</v>
      </c>
      <c r="K66" s="42">
        <v>233491</v>
      </c>
      <c r="L66" s="134" t="s">
        <v>50</v>
      </c>
      <c r="M66" s="135">
        <f t="shared" si="10"/>
        <v>18.48</v>
      </c>
      <c r="N66" s="136" t="str">
        <f>VLOOKUP(C66,'Trips&amp;Operators'!$C$1:$G$99999,5,FALSE)</f>
        <v>WILLIAMS DONTE</v>
      </c>
      <c r="O66" s="207" t="s">
        <v>184</v>
      </c>
      <c r="P66" s="137"/>
      <c r="Q66" s="30"/>
      <c r="R66" s="84" t="e">
        <f>IF(VLOOKUP(C66,'Train Runs'!$A$13:$AE$9929,1,1)=C66,VLOOKUP(C66,'Train Runs'!$A$13:$AE$9929,31,1),NA())</f>
        <v>#N/A</v>
      </c>
      <c r="S66" s="87" t="str">
        <f>VLOOKUP(C66,'Train Runs'!$A$13:$AE$9929,22,0)</f>
        <v>https://d0f6bd738d7f1b3e5a7ca70fe4ff75f0.us-east-1.aws.found.io/app/kibana#/discover/Steve-Slow-Train-Analysis-(2080s-and-2083s)?_g=(refreshInterval:(display:Off,pause:!f,section:0,value:0),time:(from:'2017-05-15T21:24:37-0600',mode:absolute,to:'2017-05-15T23:48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66" s="89" t="str">
        <f t="shared" si="11"/>
        <v>"C:\Program Files (x86)\AstroGrep\AstroGrep.exe" /e /r /s /spath="%USERPROFILE%\AppData\Local\Temp\OnboardLogs" /stypes="*4050*201705160*" /stext=" 04:.+((SYSTEM_STATE.+slice.+state.+changed )|(ment ac)|(multiple cpu faults)|(system.+state.+changed )|(\[timeout)|(PRM\|1\|D)|(kpr)|(kdp)|(train st.+moving)|(\|lc)|(penalty))"</v>
      </c>
      <c r="U66" s="9" t="str">
        <f t="shared" si="12"/>
        <v>4050</v>
      </c>
      <c r="V66" s="31">
        <f t="shared" si="13"/>
        <v>42871.200092592589</v>
      </c>
      <c r="W66" s="45" t="str">
        <f t="shared" si="14"/>
        <v>Other</v>
      </c>
      <c r="X66" s="45" t="str">
        <f t="shared" si="15"/>
        <v>KEEP</v>
      </c>
      <c r="Y66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{"issue":{"subject":"","project_id":79,"tracker_id":40,"status_id":1,"priority_id":2,"assigned_to_id":23,"start_date":"2017-05-15","description":"","custom_fields":[{"id":1,"name":"Subdivision","value":"Other"},{"id":4,"name":"Milepost","value":"23.3491"},{"id":17,"name":"Train ID","value":"59-15"},{"id":16,"name":"Locomotive ID","value":"4050"},{"id":130,"name":"Impact","value":""},{"id":150,"name":"Time of Event (Mountain Time)","value":"22:48:08"},{"id":151,"name":"Denver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162"/>
      <c r="AA66" s="47"/>
      <c r="AB66" s="47"/>
      <c r="AC66" s="118" t="str">
        <f t="shared" si="17"/>
        <v>grep -hrE -A400 "Enforcement Action" /cygdrive/c/Users/stu/AppData/Local/Temp/OnboardLogs/RTDC4050 --include="*4050*201705160*" | grep -E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"%USERPROFILE%\AppData\Local\Temp\OnboardLogs"\RTDC4050\*4050*201705160* &gt;&gt; 2017-05-15-SliceDisagreementCheck.txt</v>
      </c>
      <c r="AE66" s="148" t="str">
        <f t="shared" si="9"/>
        <v>start /low /b %USERPROFILE%\Documents\GitHub\eaglep3\Utilities\DownloadLogsFromS3.py --loco 4050 --day 2017-05-16</v>
      </c>
      <c r="AF66" s="1"/>
    </row>
    <row r="67" spans="1:32" x14ac:dyDescent="0.25">
      <c r="A67" s="31">
        <v>42870.99015046296</v>
      </c>
      <c r="B67" s="30" t="s">
        <v>625</v>
      </c>
      <c r="C67" s="30" t="s">
        <v>627</v>
      </c>
      <c r="D67" s="30" t="s">
        <v>49</v>
      </c>
      <c r="E67" s="30" t="s">
        <v>185</v>
      </c>
      <c r="F67" s="42">
        <v>0</v>
      </c>
      <c r="G67" s="42">
        <v>21</v>
      </c>
      <c r="H67" s="42">
        <v>233391</v>
      </c>
      <c r="I67" s="42">
        <v>233407</v>
      </c>
      <c r="J67" s="30" t="s">
        <v>186</v>
      </c>
      <c r="K67" s="42">
        <v>233491</v>
      </c>
      <c r="L67" s="134" t="s">
        <v>50</v>
      </c>
      <c r="M67" s="135">
        <f t="shared" si="10"/>
        <v>44.351999999999997</v>
      </c>
      <c r="N67" s="136" t="str">
        <f>VLOOKUP(C67,'Trips&amp;Operators'!$C$1:$G$99999,5,FALSE)</f>
        <v>WILLIAMS DONTE</v>
      </c>
      <c r="O67" s="207" t="s">
        <v>184</v>
      </c>
      <c r="P67" s="137"/>
      <c r="Q67" s="30"/>
      <c r="R67" s="84" t="e">
        <f>IF(VLOOKUP(C67,'Train Runs'!$A$13:$AE$9929,1,1)=C67,VLOOKUP(C67,'Train Runs'!$A$13:$AE$9929,31,1),NA())</f>
        <v>#N/A</v>
      </c>
      <c r="S67" s="87" t="str">
        <f>VLOOKUP(C67,'Train Runs'!$A$13:$AE$9929,22,0)</f>
        <v>https://d0f6bd738d7f1b3e5a7ca70fe4ff75f0.us-east-1.aws.found.io/app/kibana#/discover/Steve-Slow-Train-Analysis-(2080s-and-2083s)?_g=(refreshInterval:(display:Off,pause:!f,section:0,value:0),time:(from:'2017-05-16T00:50:20-0600',mode:absolute,to:'2017-05-16T03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67" s="89" t="str">
        <f t="shared" si="11"/>
        <v>"C:\Program Files (x86)\AstroGrep\AstroGrep.exe" /e /r /s /spath="%USERPROFILE%\AppData\Local\Temp\OnboardLogs" /stypes="*4050*201705160*" /stext=" 05:.+((SYSTEM_STATE.+slice.+state.+changed )|(ment ac)|(multiple cpu faults)|(system.+state.+changed )|(\[timeout)|(PRM\|1\|D)|(kpr)|(kdp)|(train st.+moving)|(\|lc)|(penalty))"</v>
      </c>
      <c r="U67" s="9" t="str">
        <f t="shared" si="12"/>
        <v>4050</v>
      </c>
      <c r="V67" s="31">
        <f t="shared" si="13"/>
        <v>42871.24015046296</v>
      </c>
      <c r="W67" s="45" t="str">
        <f t="shared" si="14"/>
        <v>Other</v>
      </c>
      <c r="X67" s="45" t="str">
        <f t="shared" si="15"/>
        <v>KEEP</v>
      </c>
      <c r="Y67" s="99" t="str">
        <f t="shared" si="16"/>
        <v>echo {"issue":{"subject":"","project_id":79,"tracker_id":40,"status_id":1,"priority_id":2,"assigned_to_id":23,"start_date":"2017-05-15","description":"","custom_fields":[{"id":1,"name":"Subdivision","value":"Other"},{"id":4,"name":"Milepost","value":"23.3491"},{"id":17,"name":"Train ID","value":"60-15"},{"id":16,"name":"Locomotive ID","value":"4050"},{"id":130,"name":"Impact","value":""},{"id":150,"name":"Time of Event (Mountain Time)","value":"23:45:49"},{"id":151,"name":"Denver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162"/>
      <c r="AA67" s="47"/>
      <c r="AB67" s="47"/>
      <c r="AC67" s="118" t="str">
        <f t="shared" si="17"/>
        <v>grep -hrE -A400 "Enforcement Action" /cygdrive/c/Users/stu/AppData/Local/Temp/OnboardLogs/RTDC4050 --include="*4050*201705160*" | grep -E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"%USERPROFILE%\AppData\Local\Temp\OnboardLogs"\RTDC4050\*4050*201705160* &gt;&gt; 2017-05-15-SliceDisagreementCheck.txt</v>
      </c>
      <c r="AE67" s="148" t="str">
        <f t="shared" si="9"/>
        <v>start /low /b %USERPROFILE%\Documents\GitHub\eaglep3\Utilities\DownloadLogsFromS3.py --loco 4050 --day 2017-05-16</v>
      </c>
      <c r="AF67" s="1"/>
    </row>
  </sheetData>
  <autoFilter ref="A6:AC61">
    <sortState ref="A7:AC67">
      <sortCondition ref="W7:W67"/>
      <sortCondition ref="E7:E67"/>
      <sortCondition ref="K7:K67"/>
      <sortCondition ref="F7:F67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7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AA7:AA67</xm:sqref>
        </x14:dataValidation>
        <x14:dataValidation type="list" allowBlank="1" showInputMessage="1" showErrorMessage="1">
          <x14:formula1>
            <xm:f>'Redmine List Values'!$C$2:$C$15</xm:f>
          </x14:formula1>
          <xm:sqref>AB7:AB67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4"/>
  <sheetViews>
    <sheetView workbookViewId="0">
      <selection activeCell="E4" sqref="E4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2017-05-15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201</v>
      </c>
      <c r="B3" s="42" t="str">
        <f>A3&amp;"-"&amp;IF(DAY(Variables!$A$2)&lt;10,0,"")&amp;DAY(Variables!$A$2)</f>
        <v>201-15</v>
      </c>
      <c r="C3" s="138"/>
      <c r="D3" s="156"/>
      <c r="E3" s="30" t="s">
        <v>575</v>
      </c>
      <c r="F3" s="21" t="str">
        <f>VLOOKUP(B3,'Trips&amp;Operators'!$C$2:$E$10000,3,FALSE)</f>
        <v>PERKINS</v>
      </c>
      <c r="G3" s="21" t="str">
        <f>VLOOKUP(B3,'Trips&amp;Operators'!$C$1:$F$10000,4,FALSE)</f>
        <v>DARREN</v>
      </c>
      <c r="H3" s="29" t="str">
        <f>VLOOKUP(B3,'Trips&amp;Operators'!$C$1:$H$10000,5,FALSE)</f>
        <v>PERKINS DARREN</v>
      </c>
      <c r="I3" s="45" t="str">
        <f t="shared" ref="I3:I5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22201-15%22)),sort:!(Time.ISO8601,asc))</v>
      </c>
      <c r="J3" s="30" t="str">
        <f>VLOOKUP(B3,'Train Runs'!$A$13:$A$99926,1,FALSE)</f>
        <v>201-15</v>
      </c>
    </row>
    <row r="4" spans="1:10" x14ac:dyDescent="0.25">
      <c r="A4" s="190">
        <v>202</v>
      </c>
      <c r="B4" s="42" t="str">
        <f>A4&amp;"-"&amp;IF(DAY(Variables!$A$2)&lt;10,0,"")&amp;DAY(Variables!$A$2)</f>
        <v>202-15</v>
      </c>
      <c r="C4" s="138"/>
      <c r="D4" s="156"/>
      <c r="E4" s="30" t="s">
        <v>575</v>
      </c>
      <c r="F4" s="21" t="str">
        <f>VLOOKUP(B4,'Trips&amp;Operators'!$C$2:$E$10000,3,FALSE)</f>
        <v>PERKINS</v>
      </c>
      <c r="G4" s="21" t="str">
        <f>VLOOKUP(B4,'Trips&amp;Operators'!$C$1:$F$10000,4,FALSE)</f>
        <v>DARREN</v>
      </c>
      <c r="H4" s="29" t="str">
        <f>VLOOKUP(B4,'Trips&amp;Operators'!$C$1:$H$10000,5,FALSE)</f>
        <v>PERKINS DARREN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22202-15%22)),sort:!(Time.ISO8601,asc))</v>
      </c>
      <c r="J4" s="30" t="str">
        <f>VLOOKUP(B4,'Train Runs'!$A$13:$A$99926,1,FALSE)</f>
        <v>202-15</v>
      </c>
    </row>
    <row r="5" spans="1:10" x14ac:dyDescent="0.25">
      <c r="A5" s="190"/>
      <c r="B5" s="42" t="str">
        <f>A5&amp;"-"&amp;IF(DAY(Variables!$A$2)&lt;10,0,"")&amp;DAY(Variables!$A$2)</f>
        <v>-15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Runs'!$A$13:$A$99926,1,FALSE)</f>
        <v>#N/A</v>
      </c>
    </row>
    <row r="6" spans="1:10" x14ac:dyDescent="0.25">
      <c r="A6" s="190"/>
      <c r="B6" s="42" t="str">
        <f>A6&amp;"-"&amp;IF(DAY(Variables!$A$2)&lt;10,0,"")&amp;DAY(Variables!$A$2)</f>
        <v>-15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ref="I6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Runs'!$A$13:$A$99926,1,FALSE)</f>
        <v>#N/A</v>
      </c>
    </row>
    <row r="7" spans="1:10" x14ac:dyDescent="0.25">
      <c r="A7" s="190"/>
      <c r="B7" s="42" t="str">
        <f>A7&amp;"-"&amp;IF(DAY(Variables!$A$2)&lt;10,0,"")&amp;DAY(Variables!$A$2)</f>
        <v>-15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Runs'!$A$13:$A$99926,1,FALSE)</f>
        <v>#N/A</v>
      </c>
    </row>
    <row r="8" spans="1:10" x14ac:dyDescent="0.25">
      <c r="A8" s="190"/>
      <c r="B8" s="42" t="str">
        <f>A8&amp;"-"&amp;IF(DAY(Variables!$A$2)&lt;10,0,"")&amp;DAY(Variables!$A$2)</f>
        <v>-15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Runs'!$A$13:$A$99926,1,FALSE)</f>
        <v>#N/A</v>
      </c>
    </row>
    <row r="9" spans="1:10" x14ac:dyDescent="0.25">
      <c r="A9" s="190"/>
      <c r="B9" s="42" t="str">
        <f>A9&amp;"-"&amp;IF(DAY(Variables!$A$2)&lt;10,0,"")&amp;DAY(Variables!$A$2)</f>
        <v>-15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Runs'!$A$13:$A$99926,1,FALSE)</f>
        <v>#N/A</v>
      </c>
    </row>
    <row r="10" spans="1:10" x14ac:dyDescent="0.25">
      <c r="A10" s="190"/>
      <c r="B10" s="42" t="str">
        <f>A10&amp;"-"&amp;IF(DAY(Variables!$A$2)&lt;10,0,"")&amp;DAY(Variables!$A$2)</f>
        <v>-15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Runs'!$A$13:$A$99926,1,FALSE)</f>
        <v>#N/A</v>
      </c>
    </row>
    <row r="11" spans="1:10" x14ac:dyDescent="0.25">
      <c r="A11" s="190"/>
      <c r="B11" s="42" t="str">
        <f>A11&amp;"-"&amp;IF(DAY(Variables!$A$2)&lt;10,0,"")&amp;DAY(Variables!$A$2)</f>
        <v>-15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Runs'!$A$13:$A$99926,1,FALSE)</f>
        <v>#N/A</v>
      </c>
    </row>
    <row r="12" spans="1:10" x14ac:dyDescent="0.25">
      <c r="A12" s="190"/>
      <c r="B12" s="42" t="str">
        <f>A12&amp;"-"&amp;IF(DAY(Variables!$A$2)&lt;10,0,"")&amp;DAY(Variables!$A$2)</f>
        <v>-15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Runs'!$A$13:$A$99926,1,FALSE)</f>
        <v>#N/A</v>
      </c>
    </row>
    <row r="13" spans="1:10" x14ac:dyDescent="0.25">
      <c r="A13" s="190"/>
      <c r="B13" s="42" t="str">
        <f>A13&amp;"-"&amp;IF(DAY(Variables!$A$2)&lt;10,0,"")&amp;DAY(Variables!$A$2)</f>
        <v>-15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Runs'!$A$13:$A$99926,1,FALSE)</f>
        <v>#N/A</v>
      </c>
    </row>
    <row r="14" spans="1:10" x14ac:dyDescent="0.25">
      <c r="A14" s="190"/>
      <c r="B14" s="42" t="str">
        <f>A14&amp;"-"&amp;IF(DAY(Variables!$A$2)&lt;10,0,"")&amp;DAY(Variables!$A$2)</f>
        <v>-15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Runs'!$A$13:$A$99926,1,FALSE)</f>
        <v>#N/A</v>
      </c>
    </row>
    <row r="15" spans="1:10" x14ac:dyDescent="0.25">
      <c r="A15" s="190"/>
      <c r="B15" s="42" t="str">
        <f>A15&amp;"-"&amp;IF(DAY(Variables!$A$2)&lt;10,0,"")&amp;DAY(Variables!$A$2)</f>
        <v>-15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Runs'!$A$13:$A$99926,1,FALSE)</f>
        <v>#N/A</v>
      </c>
    </row>
    <row r="16" spans="1:10" x14ac:dyDescent="0.25">
      <c r="A16" s="190"/>
      <c r="B16" s="42" t="str">
        <f>A16&amp;"-"&amp;IF(DAY(Variables!$A$2)&lt;10,0,"")&amp;DAY(Variables!$A$2)</f>
        <v>-15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Runs'!$A$13:$A$99926,1,FALSE)</f>
        <v>#N/A</v>
      </c>
    </row>
    <row r="17" spans="1:10" x14ac:dyDescent="0.25">
      <c r="A17" s="190"/>
      <c r="B17" s="42" t="str">
        <f>A17&amp;"-"&amp;IF(DAY(Variables!$A$2)&lt;10,0,"")&amp;DAY(Variables!$A$2)</f>
        <v>-15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Runs'!$A$13:$A$99926,1,FALSE)</f>
        <v>#N/A</v>
      </c>
    </row>
    <row r="18" spans="1:10" x14ac:dyDescent="0.25">
      <c r="A18" s="190"/>
      <c r="B18" s="42" t="str">
        <f>A18&amp;"-"&amp;IF(DAY(Variables!$A$2)&lt;10,0,"")&amp;DAY(Variables!$A$2)</f>
        <v>-15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Runs'!$A$13:$A$99926,1,FALSE)</f>
        <v>#N/A</v>
      </c>
    </row>
    <row r="19" spans="1:10" x14ac:dyDescent="0.25">
      <c r="A19" s="190"/>
      <c r="B19" s="42" t="str">
        <f>A19&amp;"-"&amp;IF(DAY(Variables!$A$2)&lt;10,0,"")&amp;DAY(Variables!$A$2)</f>
        <v>-15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Runs'!$A$13:$A$99926,1,FALSE)</f>
        <v>#N/A</v>
      </c>
    </row>
    <row r="20" spans="1:10" x14ac:dyDescent="0.25">
      <c r="A20" s="190"/>
      <c r="B20" s="42" t="str">
        <f>A20&amp;"-"&amp;IF(DAY(Variables!$A$2)&lt;10,0,"")&amp;DAY(Variables!$A$2)</f>
        <v>-15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Runs'!$A$13:$A$99926,1,FALSE)</f>
        <v>#N/A</v>
      </c>
    </row>
    <row r="21" spans="1:10" x14ac:dyDescent="0.25">
      <c r="A21" s="190"/>
      <c r="B21" s="42" t="str">
        <f>A21&amp;"-"&amp;IF(DAY(Variables!$A$2)&lt;10,0,"")&amp;DAY(Variables!$A$2)</f>
        <v>-15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Runs'!$A$13:$A$99926,1,FALSE)</f>
        <v>#N/A</v>
      </c>
    </row>
    <row r="22" spans="1:10" x14ac:dyDescent="0.25">
      <c r="A22" s="190"/>
      <c r="B22" s="42" t="str">
        <f>A22&amp;"-"&amp;IF(DAY(Variables!$A$2)&lt;10,0,"")&amp;DAY(Variables!$A$2)</f>
        <v>-15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Runs'!$A$13:$A$99926,1,FALSE)</f>
        <v>#N/A</v>
      </c>
    </row>
    <row r="23" spans="1:10" x14ac:dyDescent="0.25">
      <c r="A23" s="190"/>
      <c r="B23" s="42" t="str">
        <f>A23&amp;"-"&amp;IF(DAY(Variables!$A$2)&lt;10,0,"")&amp;DAY(Variables!$A$2)</f>
        <v>-15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Runs'!$A$13:$A$99926,1,FALSE)</f>
        <v>#N/A</v>
      </c>
    </row>
    <row r="24" spans="1:10" x14ac:dyDescent="0.25">
      <c r="A24" s="190"/>
      <c r="B24" s="42" t="str">
        <f>A24&amp;"-"&amp;IF(DAY(Variables!$A$2)&lt;10,0,"")&amp;DAY(Variables!$A$2)</f>
        <v>-15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Runs'!$A$13:$A$99926,1,FALSE)</f>
        <v>#N/A</v>
      </c>
    </row>
    <row r="25" spans="1:10" x14ac:dyDescent="0.25">
      <c r="A25" s="190"/>
      <c r="B25" s="42" t="str">
        <f>A25&amp;"-"&amp;IF(DAY(Variables!$A$2)&lt;10,0,"")&amp;DAY(Variables!$A$2)</f>
        <v>-15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Runs'!$A$13:$A$99926,1,FALSE)</f>
        <v>#N/A</v>
      </c>
    </row>
    <row r="26" spans="1:10" x14ac:dyDescent="0.25">
      <c r="A26" s="190"/>
      <c r="B26" s="42" t="str">
        <f>A26&amp;"-"&amp;IF(DAY(Variables!$A$2)&lt;10,0,"")&amp;DAY(Variables!$A$2)</f>
        <v>-15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Runs'!$A$13:$A$99926,1,FALSE)</f>
        <v>#N/A</v>
      </c>
    </row>
    <row r="27" spans="1:10" x14ac:dyDescent="0.25">
      <c r="A27" s="190"/>
      <c r="B27" s="42" t="str">
        <f>A27&amp;"-"&amp;IF(DAY(Variables!$A$2)&lt;10,0,"")&amp;DAY(Variables!$A$2)</f>
        <v>-15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Runs'!$A$13:$A$99926,1,FALSE)</f>
        <v>#N/A</v>
      </c>
    </row>
    <row r="28" spans="1:10" x14ac:dyDescent="0.25">
      <c r="A28" s="190"/>
      <c r="B28" s="42" t="str">
        <f>A28&amp;"-"&amp;IF(DAY(Variables!$A$2)&lt;10,0,"")&amp;DAY(Variables!$A$2)</f>
        <v>-15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Runs'!$A$13:$A$99926,1,FALSE)</f>
        <v>#N/A</v>
      </c>
    </row>
    <row r="29" spans="1:10" x14ac:dyDescent="0.25">
      <c r="A29" s="190"/>
      <c r="B29" s="42" t="str">
        <f>A29&amp;"-"&amp;IF(DAY(Variables!$A$2)&lt;10,0,"")&amp;DAY(Variables!$A$2)</f>
        <v>-15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Runs'!$A$13:$A$99926,1,FALSE)</f>
        <v>#N/A</v>
      </c>
    </row>
    <row r="30" spans="1:10" x14ac:dyDescent="0.25">
      <c r="A30" s="190"/>
      <c r="B30" s="42" t="str">
        <f>A30&amp;"-"&amp;IF(DAY(Variables!$A$2)&lt;10,0,"")&amp;DAY(Variables!$A$2)</f>
        <v>-15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Runs'!$A$13:$A$99926,1,FALSE)</f>
        <v>#N/A</v>
      </c>
    </row>
    <row r="31" spans="1:10" x14ac:dyDescent="0.25">
      <c r="A31" s="190"/>
      <c r="B31" s="42" t="str">
        <f>A31&amp;"-"&amp;IF(DAY(Variables!$A$2)&lt;10,0,"")&amp;DAY(Variables!$A$2)</f>
        <v>-15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Runs'!$A$13:$A$99926,1,FALSE)</f>
        <v>#N/A</v>
      </c>
    </row>
    <row r="32" spans="1:10" x14ac:dyDescent="0.25">
      <c r="A32" s="190"/>
      <c r="B32" s="42" t="str">
        <f>A32&amp;"-"&amp;IF(DAY(Variables!$A$2)&lt;10,0,"")&amp;DAY(Variables!$A$2)</f>
        <v>-15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Runs'!$A$13:$A$99926,1,FALSE)</f>
        <v>#N/A</v>
      </c>
    </row>
    <row r="33" spans="1:10" x14ac:dyDescent="0.25">
      <c r="A33" s="190"/>
      <c r="B33" s="42" t="str">
        <f>A33&amp;"-"&amp;IF(DAY(Variables!$A$2)&lt;10,0,"")&amp;DAY(Variables!$A$2)</f>
        <v>-15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Runs'!$A$13:$A$99926,1,FALSE)</f>
        <v>#N/A</v>
      </c>
    </row>
    <row r="34" spans="1:10" x14ac:dyDescent="0.25">
      <c r="A34" s="190"/>
      <c r="B34" s="42" t="str">
        <f>A34&amp;"-"&amp;IF(DAY(Variables!$A$2)&lt;10,0,"")&amp;DAY(Variables!$A$2)</f>
        <v>-15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Runs'!$A$13:$A$99926,1,FALSE)</f>
        <v>#N/A</v>
      </c>
    </row>
    <row r="35" spans="1:10" x14ac:dyDescent="0.25">
      <c r="A35" s="190"/>
      <c r="B35" s="42" t="str">
        <f>A35&amp;"-"&amp;IF(DAY(Variables!$A$2)&lt;10,0,"")&amp;DAY(Variables!$A$2)</f>
        <v>-15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Runs'!$A$13:$A$99926,1,FALSE)</f>
        <v>#N/A</v>
      </c>
    </row>
    <row r="36" spans="1:10" x14ac:dyDescent="0.25">
      <c r="A36" s="190"/>
      <c r="B36" s="42" t="str">
        <f>A36&amp;"-"&amp;IF(DAY(Variables!$A$2)&lt;10,0,"")&amp;DAY(Variables!$A$2)</f>
        <v>-15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Runs'!$A$13:$A$99926,1,FALSE)</f>
        <v>#N/A</v>
      </c>
    </row>
    <row r="37" spans="1:10" x14ac:dyDescent="0.25">
      <c r="A37" s="190"/>
      <c r="B37" s="42" t="str">
        <f>A37&amp;"-"&amp;IF(DAY(Variables!$A$2)&lt;10,0,"")&amp;DAY(Variables!$A$2)</f>
        <v>-15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Runs'!$A$13:$A$99926,1,FALSE)</f>
        <v>#N/A</v>
      </c>
    </row>
    <row r="38" spans="1:10" x14ac:dyDescent="0.25">
      <c r="A38" s="190"/>
      <c r="B38" s="42" t="str">
        <f>A38&amp;"-"&amp;IF(DAY(Variables!$A$2)&lt;10,0,"")&amp;DAY(Variables!$A$2)</f>
        <v>-15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Runs'!$A$13:$A$99926,1,FALSE)</f>
        <v>#N/A</v>
      </c>
    </row>
    <row r="39" spans="1:10" x14ac:dyDescent="0.25">
      <c r="A39" s="190"/>
      <c r="B39" s="42" t="str">
        <f>A39&amp;"-"&amp;IF(DAY(Variables!$A$2)&lt;10,0,"")&amp;DAY(Variables!$A$2)</f>
        <v>-15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Runs'!$A$13:$A$99926,1,FALSE)</f>
        <v>#N/A</v>
      </c>
    </row>
    <row r="40" spans="1:10" x14ac:dyDescent="0.25">
      <c r="A40" s="190"/>
      <c r="B40" s="42" t="str">
        <f>A40&amp;"-"&amp;IF(DAY(Variables!$A$2)&lt;10,0,"")&amp;DAY(Variables!$A$2)</f>
        <v>-15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Runs'!$A$13:$A$99926,1,FALSE)</f>
        <v>#N/A</v>
      </c>
    </row>
    <row r="41" spans="1:10" x14ac:dyDescent="0.25">
      <c r="A41" s="190"/>
      <c r="B41" s="42" t="str">
        <f>A41&amp;"-"&amp;IF(DAY(Variables!$A$2)&lt;10,0,"")&amp;DAY(Variables!$A$2)</f>
        <v>-15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Runs'!$A$13:$A$99926,1,FALSE)</f>
        <v>#N/A</v>
      </c>
    </row>
    <row r="42" spans="1:10" x14ac:dyDescent="0.25">
      <c r="A42" s="190"/>
      <c r="B42" s="42" t="str">
        <f>A42&amp;"-"&amp;IF(DAY(Variables!$A$2)&lt;10,0,"")&amp;DAY(Variables!$A$2)</f>
        <v>-15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Runs'!$A$13:$A$99926,1,FALSE)</f>
        <v>#N/A</v>
      </c>
    </row>
    <row r="43" spans="1:10" x14ac:dyDescent="0.25">
      <c r="A43" s="190"/>
      <c r="B43" s="42" t="str">
        <f>A43&amp;"-"&amp;IF(DAY(Variables!$A$2)&lt;10,0,"")&amp;DAY(Variables!$A$2)</f>
        <v>-15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Runs'!$A$13:$A$99926,1,FALSE)</f>
        <v>#N/A</v>
      </c>
    </row>
    <row r="44" spans="1:10" x14ac:dyDescent="0.25">
      <c r="A44" s="190"/>
      <c r="B44" s="42" t="str">
        <f>A44&amp;"-"&amp;IF(DAY(Variables!$A$2)&lt;10,0,"")&amp;DAY(Variables!$A$2)</f>
        <v>-15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Runs'!$A$13:$A$99926,1,FALSE)</f>
        <v>#N/A</v>
      </c>
    </row>
    <row r="45" spans="1:10" x14ac:dyDescent="0.25">
      <c r="A45" s="190"/>
      <c r="B45" s="42" t="str">
        <f>A45&amp;"-"&amp;IF(DAY(Variables!$A$2)&lt;10,0,"")&amp;DAY(Variables!$A$2)</f>
        <v>-15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Runs'!$A$13:$A$99926,1,FALSE)</f>
        <v>#N/A</v>
      </c>
    </row>
    <row r="46" spans="1:10" x14ac:dyDescent="0.25">
      <c r="A46" s="190"/>
      <c r="B46" s="42" t="str">
        <f>A46&amp;"-"&amp;IF(DAY(Variables!$A$2)&lt;10,0,"")&amp;DAY(Variables!$A$2)</f>
        <v>-15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Runs'!$A$13:$A$99926,1,FALSE)</f>
        <v>#N/A</v>
      </c>
    </row>
    <row r="47" spans="1:10" x14ac:dyDescent="0.25">
      <c r="A47" s="190"/>
      <c r="B47" s="42" t="str">
        <f>A47&amp;"-"&amp;IF(DAY(Variables!$A$2)&lt;10,0,"")&amp;DAY(Variables!$A$2)</f>
        <v>-15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Runs'!$A$13:$A$99926,1,FALSE)</f>
        <v>#N/A</v>
      </c>
    </row>
    <row r="48" spans="1:10" x14ac:dyDescent="0.25">
      <c r="A48" s="190"/>
      <c r="B48" s="42" t="str">
        <f>A48&amp;"-"&amp;IF(DAY(Variables!$A$2)&lt;10,0,"")&amp;DAY(Variables!$A$2)</f>
        <v>-15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ref="I48:I6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48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Runs'!$A$13:$A$99926,1,FALSE)</f>
        <v>#N/A</v>
      </c>
    </row>
    <row r="49" spans="1:10" x14ac:dyDescent="0.25">
      <c r="A49" s="190"/>
      <c r="B49" s="42" t="str">
        <f>A49&amp;"-"&amp;IF(DAY(Variables!$A$2)&lt;10,0,"")&amp;DAY(Variables!$A$2)</f>
        <v>-15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Runs'!$A$13:$A$99926,1,FALSE)</f>
        <v>#N/A</v>
      </c>
    </row>
    <row r="50" spans="1:10" x14ac:dyDescent="0.25">
      <c r="A50" s="190"/>
      <c r="B50" s="42" t="str">
        <f>A50&amp;"-"&amp;IF(DAY(Variables!$A$2)&lt;10,0,"")&amp;DAY(Variables!$A$2)</f>
        <v>-15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Runs'!$A$13:$A$99926,1,FALSE)</f>
        <v>#N/A</v>
      </c>
    </row>
    <row r="51" spans="1:10" x14ac:dyDescent="0.25">
      <c r="A51" s="190"/>
      <c r="B51" s="42" t="str">
        <f>A51&amp;"-"&amp;IF(DAY(Variables!$A$2)&lt;10,0,"")&amp;DAY(Variables!$A$2)</f>
        <v>-15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1" s="30" t="e">
        <f>VLOOKUP(B51,'Train Runs'!$A$13:$A$99926,1,FALSE)</f>
        <v>#N/A</v>
      </c>
    </row>
    <row r="52" spans="1:10" x14ac:dyDescent="0.25">
      <c r="A52" s="190"/>
      <c r="B52" s="42" t="str">
        <f>A52&amp;"-"&amp;IF(DAY(Variables!$A$2)&lt;10,0,"")&amp;DAY(Variables!$A$2)</f>
        <v>-15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2" s="30" t="e">
        <f>VLOOKUP(B52,'Train Runs'!$A$13:$A$99926,1,FALSE)</f>
        <v>#N/A</v>
      </c>
    </row>
    <row r="53" spans="1:10" x14ac:dyDescent="0.25">
      <c r="A53" s="190"/>
      <c r="B53" s="42" t="str">
        <f>A53&amp;"-"&amp;IF(DAY(Variables!$A$2)&lt;10,0,"")&amp;DAY(Variables!$A$2)</f>
        <v>-15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3" s="30" t="e">
        <f>VLOOKUP(B53,'Train Runs'!$A$13:$A$99926,1,FALSE)</f>
        <v>#N/A</v>
      </c>
    </row>
    <row r="54" spans="1:10" x14ac:dyDescent="0.25">
      <c r="A54" s="190"/>
      <c r="B54" s="42" t="str">
        <f>A54&amp;"-"&amp;IF(DAY(Variables!$A$2)&lt;10,0,"")&amp;DAY(Variables!$A$2)</f>
        <v>-15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4" s="30" t="e">
        <f>VLOOKUP(B54,'Train Runs'!$A$13:$A$99926,1,FALSE)</f>
        <v>#N/A</v>
      </c>
    </row>
    <row r="55" spans="1:10" x14ac:dyDescent="0.25">
      <c r="A55" s="190"/>
      <c r="B55" s="42" t="str">
        <f>A55&amp;"-"&amp;IF(DAY(Variables!$A$2)&lt;10,0,"")&amp;DAY(Variables!$A$2)</f>
        <v>-15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5" s="30" t="e">
        <f>VLOOKUP(B55,'Train Runs'!$A$13:$A$99926,1,FALSE)</f>
        <v>#N/A</v>
      </c>
    </row>
    <row r="56" spans="1:10" x14ac:dyDescent="0.25">
      <c r="A56" s="190"/>
      <c r="B56" s="42" t="str">
        <f>A56&amp;"-"&amp;IF(DAY(Variables!$A$2)&lt;10,0,"")&amp;DAY(Variables!$A$2)</f>
        <v>-15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6" s="30" t="e">
        <f>VLOOKUP(B56,'Train Runs'!$A$13:$A$99926,1,FALSE)</f>
        <v>#N/A</v>
      </c>
    </row>
    <row r="57" spans="1:10" x14ac:dyDescent="0.25">
      <c r="A57" s="190"/>
      <c r="B57" s="42" t="str">
        <f>A57&amp;"-"&amp;IF(DAY(Variables!$A$2)&lt;10,0,"")&amp;DAY(Variables!$A$2)</f>
        <v>-15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7" s="30" t="e">
        <f>VLOOKUP(B57,'Train Runs'!$A$13:$A$99926,1,FALSE)</f>
        <v>#N/A</v>
      </c>
    </row>
    <row r="58" spans="1:10" x14ac:dyDescent="0.25">
      <c r="A58" s="190"/>
      <c r="B58" s="42" t="str">
        <f>A58&amp;"-"&amp;IF(DAY(Variables!$A$2)&lt;10,0,"")&amp;DAY(Variables!$A$2)</f>
        <v>-15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8" s="30" t="e">
        <f>VLOOKUP(B58,'Train Runs'!$A$13:$A$99926,1,FALSE)</f>
        <v>#N/A</v>
      </c>
    </row>
    <row r="59" spans="1:10" x14ac:dyDescent="0.25">
      <c r="A59" s="190"/>
      <c r="B59" s="42" t="str">
        <f>A59&amp;"-"&amp;IF(DAY(Variables!$A$2)&lt;10,0,"")&amp;DAY(Variables!$A$2)</f>
        <v>-15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9" s="30" t="e">
        <f>VLOOKUP(B59,'Train Runs'!$A$13:$A$99926,1,FALSE)</f>
        <v>#N/A</v>
      </c>
    </row>
    <row r="60" spans="1:10" x14ac:dyDescent="0.25">
      <c r="A60" s="190"/>
      <c r="B60" s="42" t="str">
        <f>A60&amp;"-"&amp;IF(DAY(Variables!$A$2)&lt;10,0,"")&amp;DAY(Variables!$A$2)</f>
        <v>-15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0" s="30" t="e">
        <f>VLOOKUP(B60,'Train Runs'!$A$13:$A$99926,1,FALSE)</f>
        <v>#N/A</v>
      </c>
    </row>
    <row r="61" spans="1:10" x14ac:dyDescent="0.25">
      <c r="A61" s="190"/>
      <c r="B61" s="42" t="str">
        <f>A61&amp;"-"&amp;IF(DAY(Variables!$A$2)&lt;10,0,"")&amp;DAY(Variables!$A$2)</f>
        <v>-15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1" s="30" t="e">
        <f>VLOOKUP(B61,'Train Runs'!$A$13:$A$99926,1,FALSE)</f>
        <v>#N/A</v>
      </c>
    </row>
    <row r="62" spans="1:10" x14ac:dyDescent="0.25">
      <c r="A62" s="190"/>
      <c r="B62" s="42" t="str">
        <f>A62&amp;"-"&amp;IF(DAY(Variables!$A$2)&lt;10,0,"")&amp;DAY(Variables!$A$2)</f>
        <v>-15</v>
      </c>
      <c r="C62" s="138"/>
      <c r="D62" s="156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2" s="30" t="e">
        <f>VLOOKUP(B62,'Train Runs'!$A$13:$A$99926,1,FALSE)</f>
        <v>#N/A</v>
      </c>
    </row>
    <row r="63" spans="1:10" x14ac:dyDescent="0.25">
      <c r="A63" s="190"/>
      <c r="B63" s="42" t="str">
        <f>A63&amp;"-"&amp;IF(DAY(Variables!$A$2)&lt;10,0,"")&amp;DAY(Variables!$A$2)</f>
        <v>-15</v>
      </c>
      <c r="C63" s="138"/>
      <c r="D63" s="156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3" s="30" t="e">
        <f>VLOOKUP(B63,'Train Runs'!$A$13:$A$99926,1,FALSE)</f>
        <v>#N/A</v>
      </c>
    </row>
    <row r="64" spans="1:10" x14ac:dyDescent="0.25">
      <c r="A64" s="190"/>
      <c r="B64" s="42" t="str">
        <f>A64&amp;"-"&amp;IF(DAY(Variables!$A$2)&lt;10,0,"")&amp;DAY(Variables!$A$2)</f>
        <v>-15</v>
      </c>
      <c r="C64" s="138"/>
      <c r="D64" s="156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4" s="30" t="e">
        <f>VLOOKUP(B64,'Train Runs'!$A$13:$A$99926,1,FALSE)</f>
        <v>#N/A</v>
      </c>
    </row>
    <row r="65" spans="1:10" x14ac:dyDescent="0.25">
      <c r="A65" s="190"/>
      <c r="B65" s="42" t="str">
        <f>A65&amp;"-"&amp;IF(DAY(Variables!$A$2)&lt;10,0,"")&amp;DAY(Variables!$A$2)</f>
        <v>-15</v>
      </c>
      <c r="C65" s="138"/>
      <c r="D65" s="156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5" s="30" t="e">
        <f>VLOOKUP(B65,'Train Runs'!$A$13:$A$99926,1,FALSE)</f>
        <v>#N/A</v>
      </c>
    </row>
    <row r="66" spans="1:10" x14ac:dyDescent="0.25">
      <c r="A66" s="190"/>
      <c r="B66" s="42" t="str">
        <f>A66&amp;"-"&amp;IF(DAY(Variables!$A$2)&lt;10,0,"")&amp;DAY(Variables!$A$2)</f>
        <v>-15</v>
      </c>
      <c r="C66" s="138"/>
      <c r="D66" s="156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6" s="30" t="e">
        <f>VLOOKUP(B66,'Train Runs'!$A$13:$A$99926,1,FALSE)</f>
        <v>#N/A</v>
      </c>
    </row>
    <row r="67" spans="1:10" x14ac:dyDescent="0.25">
      <c r="A67" s="190"/>
      <c r="B67" s="42" t="str">
        <f>A67&amp;"-"&amp;IF(DAY(Variables!$A$2)&lt;10,0,"")&amp;DAY(Variables!$A$2)</f>
        <v>-15</v>
      </c>
      <c r="C67" s="138"/>
      <c r="D67" s="156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7" s="30" t="e">
        <f>VLOOKUP(B67,'Train Runs'!$A$13:$A$99926,1,FALSE)</f>
        <v>#N/A</v>
      </c>
    </row>
    <row r="68" spans="1:10" x14ac:dyDescent="0.25">
      <c r="A68" s="190"/>
      <c r="B68" s="42" t="str">
        <f>A68&amp;"-"&amp;IF(DAY(Variables!$A$2)&lt;10,0,"")&amp;DAY(Variables!$A$2)</f>
        <v>-15</v>
      </c>
      <c r="C68" s="138"/>
      <c r="D68" s="156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5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8" s="30" t="e">
        <f>VLOOKUP(B68,'Train Runs'!$A$13:$A$99926,1,FALSE)</f>
        <v>#N/A</v>
      </c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190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190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190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190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190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190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190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190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190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190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190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190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190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190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190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190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190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190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190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190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190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190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190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190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190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190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190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190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190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190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190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190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190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190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190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190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190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190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190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190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190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190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190"/>
      <c r="B117" s="42"/>
      <c r="C117" s="138"/>
      <c r="D117" s="156"/>
      <c r="E117" s="30"/>
      <c r="F117" s="21"/>
      <c r="G117" s="21"/>
      <c r="H117" s="29"/>
      <c r="I117" s="45"/>
      <c r="J117" s="30"/>
    </row>
    <row r="118" spans="1:10" x14ac:dyDescent="0.25">
      <c r="A118" s="190"/>
      <c r="B118" s="42"/>
      <c r="C118" s="138"/>
      <c r="D118" s="156"/>
      <c r="E118" s="30"/>
      <c r="F118" s="21"/>
      <c r="G118" s="21"/>
      <c r="H118" s="29"/>
      <c r="I118" s="45"/>
      <c r="J118" s="30"/>
    </row>
    <row r="119" spans="1:10" x14ac:dyDescent="0.25">
      <c r="A119" s="190"/>
      <c r="B119" s="42"/>
      <c r="C119" s="138"/>
      <c r="D119" s="156"/>
      <c r="E119" s="30"/>
      <c r="F119" s="21"/>
      <c r="G119" s="21"/>
      <c r="H119" s="29"/>
      <c r="I119" s="45"/>
      <c r="J119" s="30"/>
    </row>
    <row r="120" spans="1:10" x14ac:dyDescent="0.25">
      <c r="A120" s="190"/>
      <c r="B120" s="42"/>
      <c r="C120" s="138"/>
      <c r="D120" s="156"/>
      <c r="E120" s="30"/>
      <c r="F120" s="21"/>
      <c r="G120" s="21"/>
      <c r="H120" s="29"/>
      <c r="I120" s="45"/>
      <c r="J120" s="30"/>
    </row>
    <row r="121" spans="1:10" x14ac:dyDescent="0.25">
      <c r="A121" s="190"/>
      <c r="B121" s="42"/>
      <c r="C121" s="138"/>
      <c r="D121" s="156"/>
      <c r="E121" s="30"/>
      <c r="F121" s="21"/>
      <c r="G121" s="21"/>
      <c r="H121" s="29"/>
      <c r="I121" s="45"/>
      <c r="J121" s="30"/>
    </row>
    <row r="122" spans="1:10" x14ac:dyDescent="0.25">
      <c r="A122" s="190"/>
      <c r="B122" s="42"/>
      <c r="C122" s="138"/>
      <c r="D122" s="156"/>
      <c r="E122" s="30"/>
      <c r="F122" s="21"/>
      <c r="G122" s="21"/>
      <c r="H122" s="29"/>
      <c r="I122" s="45"/>
      <c r="J122" s="30"/>
    </row>
    <row r="123" spans="1:10" x14ac:dyDescent="0.25">
      <c r="A123" s="190"/>
      <c r="B123" s="42"/>
      <c r="C123" s="138"/>
      <c r="D123" s="156"/>
      <c r="E123" s="30"/>
      <c r="F123" s="21"/>
      <c r="G123" s="21"/>
      <c r="H123" s="29"/>
      <c r="I123" s="45"/>
      <c r="J123" s="30"/>
    </row>
    <row r="124" spans="1:10" x14ac:dyDescent="0.25">
      <c r="A124" s="190"/>
      <c r="B124" s="42"/>
      <c r="C124" s="138"/>
      <c r="D124" s="156"/>
      <c r="E124" s="30"/>
      <c r="F124" s="21"/>
      <c r="G124" s="21"/>
      <c r="H124" s="29"/>
      <c r="I124" s="45"/>
      <c r="J124" s="30"/>
    </row>
  </sheetData>
  <autoFilter ref="A2:J7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0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42870.033530092594</v>
      </c>
      <c r="B2" s="20" t="s">
        <v>509</v>
      </c>
      <c r="C2" s="20" t="s">
        <v>519</v>
      </c>
      <c r="D2" s="141">
        <v>2230000</v>
      </c>
      <c r="E2" s="20" t="s">
        <v>346</v>
      </c>
      <c r="F2" s="20" t="s">
        <v>196</v>
      </c>
      <c r="G2" s="8" t="str">
        <f>E2&amp;" "&amp;F2</f>
        <v>SMITH MICHAEL</v>
      </c>
    </row>
    <row r="3" spans="1:7" x14ac:dyDescent="0.25">
      <c r="A3" s="8">
        <v>42870.047546296293</v>
      </c>
      <c r="B3" s="20" t="s">
        <v>426</v>
      </c>
      <c r="C3" s="20" t="s">
        <v>520</v>
      </c>
      <c r="D3" s="141">
        <v>1810000</v>
      </c>
      <c r="E3" s="20" t="s">
        <v>388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42870.057858796295</v>
      </c>
      <c r="B4" s="20" t="s">
        <v>437</v>
      </c>
      <c r="C4" s="20" t="s">
        <v>521</v>
      </c>
      <c r="D4" s="141">
        <v>2000000</v>
      </c>
      <c r="E4" s="20" t="s">
        <v>518</v>
      </c>
      <c r="F4" s="20" t="s">
        <v>193</v>
      </c>
      <c r="G4" s="8" t="str">
        <f t="shared" si="0"/>
        <v>STAMBAUGH JAMES</v>
      </c>
    </row>
    <row r="5" spans="1:7" x14ac:dyDescent="0.25">
      <c r="A5" s="8">
        <v>42870.068078703705</v>
      </c>
      <c r="B5" s="20" t="s">
        <v>502</v>
      </c>
      <c r="C5" s="20" t="s">
        <v>522</v>
      </c>
      <c r="D5" s="141">
        <v>2230000</v>
      </c>
      <c r="E5" s="20" t="s">
        <v>346</v>
      </c>
      <c r="F5" s="20" t="s">
        <v>196</v>
      </c>
      <c r="G5" s="8" t="str">
        <f t="shared" si="0"/>
        <v>SMITH MICHAEL</v>
      </c>
    </row>
    <row r="6" spans="1:7" x14ac:dyDescent="0.25">
      <c r="A6" s="8">
        <v>42870.087847222225</v>
      </c>
      <c r="B6" s="20" t="s">
        <v>461</v>
      </c>
      <c r="C6" s="20" t="s">
        <v>523</v>
      </c>
      <c r="D6" s="141">
        <v>2000000</v>
      </c>
      <c r="E6" s="20" t="s">
        <v>518</v>
      </c>
      <c r="F6" s="20" t="s">
        <v>193</v>
      </c>
      <c r="G6" s="8" t="str">
        <f t="shared" si="0"/>
        <v>STAMBAUGH JAMES</v>
      </c>
    </row>
    <row r="7" spans="1:7" x14ac:dyDescent="0.25">
      <c r="A7" s="8">
        <v>42870.114965277775</v>
      </c>
      <c r="B7" s="20" t="s">
        <v>344</v>
      </c>
      <c r="C7" s="20" t="s">
        <v>629</v>
      </c>
      <c r="D7" s="141">
        <v>1360000</v>
      </c>
      <c r="E7" s="20" t="s">
        <v>503</v>
      </c>
      <c r="F7" s="20" t="s">
        <v>504</v>
      </c>
      <c r="G7" s="8" t="str">
        <f t="shared" si="0"/>
        <v>SANTIZO D. EDY</v>
      </c>
    </row>
    <row r="8" spans="1:7" x14ac:dyDescent="0.25">
      <c r="A8" s="8">
        <v>42870.1172337963</v>
      </c>
      <c r="B8" s="20" t="s">
        <v>344</v>
      </c>
      <c r="C8" s="20" t="s">
        <v>629</v>
      </c>
      <c r="D8" s="141">
        <v>1360000</v>
      </c>
      <c r="E8" s="20" t="s">
        <v>503</v>
      </c>
      <c r="F8" s="20" t="s">
        <v>504</v>
      </c>
      <c r="G8" s="8" t="str">
        <f t="shared" si="0"/>
        <v>SANTIZO D. EDY</v>
      </c>
    </row>
    <row r="9" spans="1:7" ht="15.75" thickBot="1" x14ac:dyDescent="0.3">
      <c r="A9" s="24">
        <v>42870.118287037039</v>
      </c>
      <c r="B9" s="20" t="s">
        <v>344</v>
      </c>
      <c r="C9" s="20" t="s">
        <v>629</v>
      </c>
      <c r="D9" s="141">
        <v>1360000</v>
      </c>
      <c r="E9" s="20" t="s">
        <v>503</v>
      </c>
      <c r="F9" s="20" t="s">
        <v>504</v>
      </c>
      <c r="G9" s="8" t="str">
        <f t="shared" si="0"/>
        <v>SANTIZO D. EDY</v>
      </c>
    </row>
    <row r="10" spans="1:7" x14ac:dyDescent="0.25">
      <c r="A10" s="8">
        <v>42870.127962962964</v>
      </c>
      <c r="B10" s="20" t="s">
        <v>378</v>
      </c>
      <c r="C10" s="20" t="s">
        <v>630</v>
      </c>
      <c r="D10" s="141">
        <v>1360000</v>
      </c>
      <c r="E10" s="20" t="s">
        <v>503</v>
      </c>
      <c r="F10" s="20" t="s">
        <v>504</v>
      </c>
      <c r="G10" s="8" t="str">
        <f t="shared" si="0"/>
        <v>SANTIZO D. EDY</v>
      </c>
    </row>
    <row r="11" spans="1:7" x14ac:dyDescent="0.25">
      <c r="A11" s="8">
        <v>42870.138761574075</v>
      </c>
      <c r="B11" s="20" t="s">
        <v>379</v>
      </c>
      <c r="C11" s="20" t="s">
        <v>631</v>
      </c>
      <c r="D11" s="141">
        <v>2010000</v>
      </c>
      <c r="E11" s="20" t="s">
        <v>505</v>
      </c>
      <c r="F11" s="20" t="s">
        <v>506</v>
      </c>
      <c r="G11" s="8" t="str">
        <f t="shared" si="0"/>
        <v>MAELZER KURT</v>
      </c>
    </row>
    <row r="12" spans="1:7" x14ac:dyDescent="0.25">
      <c r="A12" s="8">
        <v>42870.139236111114</v>
      </c>
      <c r="B12" s="20" t="s">
        <v>378</v>
      </c>
      <c r="C12" s="20" t="s">
        <v>630</v>
      </c>
      <c r="D12" s="141">
        <v>1360000</v>
      </c>
      <c r="E12" s="20" t="s">
        <v>503</v>
      </c>
      <c r="F12" s="20" t="s">
        <v>504</v>
      </c>
      <c r="G12" s="8" t="str">
        <f t="shared" si="0"/>
        <v>SANTIZO D. EDY</v>
      </c>
    </row>
    <row r="13" spans="1:7" x14ac:dyDescent="0.25">
      <c r="A13" s="8">
        <v>42870.15</v>
      </c>
      <c r="B13" s="20" t="s">
        <v>501</v>
      </c>
      <c r="C13" s="20" t="s">
        <v>632</v>
      </c>
      <c r="D13" s="141">
        <v>2010000</v>
      </c>
      <c r="E13" s="20" t="s">
        <v>505</v>
      </c>
      <c r="F13" s="20" t="s">
        <v>506</v>
      </c>
      <c r="G13" s="8" t="str">
        <f t="shared" si="0"/>
        <v>MAELZER KURT</v>
      </c>
    </row>
    <row r="14" spans="1:7" x14ac:dyDescent="0.25">
      <c r="A14" s="8">
        <v>42870.161574074074</v>
      </c>
      <c r="B14" s="20" t="s">
        <v>386</v>
      </c>
      <c r="C14" s="20" t="s">
        <v>633</v>
      </c>
      <c r="D14" s="141">
        <v>1140000</v>
      </c>
      <c r="E14" s="20" t="s">
        <v>634</v>
      </c>
      <c r="F14" s="20" t="s">
        <v>635</v>
      </c>
      <c r="G14" s="8" t="str">
        <f t="shared" si="0"/>
        <v>YOUNG ELIZABETH</v>
      </c>
    </row>
    <row r="15" spans="1:7" x14ac:dyDescent="0.25">
      <c r="A15" s="8">
        <v>42870.164965277778</v>
      </c>
      <c r="B15" s="20" t="s">
        <v>344</v>
      </c>
      <c r="C15" s="20" t="s">
        <v>636</v>
      </c>
      <c r="D15" s="141">
        <v>1360000</v>
      </c>
      <c r="E15" s="20" t="s">
        <v>503</v>
      </c>
      <c r="F15" s="20" t="s">
        <v>504</v>
      </c>
      <c r="G15" s="8" t="str">
        <f t="shared" si="0"/>
        <v>SANTIZO D. EDY</v>
      </c>
    </row>
    <row r="16" spans="1:7" x14ac:dyDescent="0.25">
      <c r="A16" s="8">
        <v>42870.166041666664</v>
      </c>
      <c r="B16" s="20" t="s">
        <v>344</v>
      </c>
      <c r="C16" s="20" t="s">
        <v>636</v>
      </c>
      <c r="D16" s="141">
        <v>1360000</v>
      </c>
      <c r="E16" s="20" t="s">
        <v>503</v>
      </c>
      <c r="F16" s="20" t="s">
        <v>504</v>
      </c>
      <c r="G16" s="8" t="str">
        <f t="shared" si="0"/>
        <v>SANTIZO D. EDY</v>
      </c>
    </row>
    <row r="17" spans="1:7" x14ac:dyDescent="0.25">
      <c r="A17" s="8">
        <v>42870.170243055552</v>
      </c>
      <c r="B17" s="20" t="s">
        <v>436</v>
      </c>
      <c r="C17" s="20" t="s">
        <v>637</v>
      </c>
      <c r="D17" s="141">
        <v>940000</v>
      </c>
      <c r="E17" s="20" t="s">
        <v>638</v>
      </c>
      <c r="F17" s="20" t="s">
        <v>639</v>
      </c>
      <c r="G17" s="8" t="str">
        <f t="shared" si="0"/>
        <v>BONDS REYNALDO</v>
      </c>
    </row>
    <row r="18" spans="1:7" x14ac:dyDescent="0.25">
      <c r="A18" s="8">
        <v>42870.173726851855</v>
      </c>
      <c r="B18" s="20" t="s">
        <v>608</v>
      </c>
      <c r="C18" s="20" t="s">
        <v>640</v>
      </c>
      <c r="D18" s="141">
        <v>1140000</v>
      </c>
      <c r="E18" s="20" t="s">
        <v>634</v>
      </c>
      <c r="F18" s="20" t="s">
        <v>635</v>
      </c>
      <c r="G18" s="8" t="str">
        <f t="shared" si="0"/>
        <v>YOUNG ELIZABETH</v>
      </c>
    </row>
    <row r="19" spans="1:7" x14ac:dyDescent="0.25">
      <c r="A19" s="8">
        <v>42870.176562499997</v>
      </c>
      <c r="B19" s="20" t="s">
        <v>434</v>
      </c>
      <c r="C19" s="20" t="s">
        <v>641</v>
      </c>
      <c r="D19" s="141">
        <v>2560000</v>
      </c>
      <c r="E19" s="20" t="s">
        <v>458</v>
      </c>
      <c r="F19" s="20" t="s">
        <v>387</v>
      </c>
      <c r="G19" s="8" t="str">
        <f t="shared" si="0"/>
        <v>MACDONALD THOMAS</v>
      </c>
    </row>
    <row r="20" spans="1:7" x14ac:dyDescent="0.25">
      <c r="A20" s="8">
        <v>42870.177453703705</v>
      </c>
      <c r="B20" s="20" t="s">
        <v>608</v>
      </c>
      <c r="C20" s="20" t="s">
        <v>640</v>
      </c>
      <c r="D20" s="141">
        <v>1140000</v>
      </c>
      <c r="E20" s="20" t="s">
        <v>634</v>
      </c>
      <c r="F20" s="20" t="s">
        <v>635</v>
      </c>
      <c r="G20" s="8" t="str">
        <f t="shared" si="0"/>
        <v>YOUNG ELIZABETH</v>
      </c>
    </row>
    <row r="21" spans="1:7" x14ac:dyDescent="0.25">
      <c r="A21" s="8">
        <v>42870.181168981479</v>
      </c>
      <c r="B21" s="20" t="s">
        <v>440</v>
      </c>
      <c r="C21" s="20" t="s">
        <v>642</v>
      </c>
      <c r="D21" s="141">
        <v>940000</v>
      </c>
      <c r="E21" s="20" t="s">
        <v>638</v>
      </c>
      <c r="F21" s="20" t="s">
        <v>639</v>
      </c>
      <c r="G21" s="8" t="str">
        <f t="shared" si="0"/>
        <v>BONDS REYNALDO</v>
      </c>
    </row>
    <row r="22" spans="1:7" x14ac:dyDescent="0.25">
      <c r="A22" s="26">
        <v>42870.188958333332</v>
      </c>
      <c r="B22" s="20" t="s">
        <v>379</v>
      </c>
      <c r="C22" s="20" t="s">
        <v>643</v>
      </c>
      <c r="D22" s="141">
        <v>2010000</v>
      </c>
      <c r="E22" s="20" t="s">
        <v>505</v>
      </c>
      <c r="F22" s="20" t="s">
        <v>506</v>
      </c>
      <c r="G22" s="8" t="str">
        <f t="shared" si="0"/>
        <v>MAELZER KURT</v>
      </c>
    </row>
    <row r="23" spans="1:7" x14ac:dyDescent="0.25">
      <c r="A23" s="8">
        <v>42870.190578703703</v>
      </c>
      <c r="B23" s="20" t="s">
        <v>435</v>
      </c>
      <c r="C23" s="20" t="s">
        <v>576</v>
      </c>
      <c r="D23" s="141">
        <v>2560000</v>
      </c>
      <c r="E23" s="20" t="s">
        <v>458</v>
      </c>
      <c r="F23" s="20" t="s">
        <v>387</v>
      </c>
      <c r="G23" s="8" t="str">
        <f t="shared" si="0"/>
        <v>MACDONALD THOMAS</v>
      </c>
    </row>
    <row r="24" spans="1:7" x14ac:dyDescent="0.25">
      <c r="A24" s="8">
        <v>42870.191458333335</v>
      </c>
      <c r="B24" s="20" t="s">
        <v>435</v>
      </c>
      <c r="C24" s="20" t="s">
        <v>576</v>
      </c>
      <c r="D24" s="141">
        <v>2560000</v>
      </c>
      <c r="E24" s="20" t="s">
        <v>458</v>
      </c>
      <c r="F24" s="20" t="s">
        <v>387</v>
      </c>
      <c r="G24" s="8" t="str">
        <f t="shared" si="0"/>
        <v>MACDONALD THOMAS</v>
      </c>
    </row>
    <row r="25" spans="1:7" x14ac:dyDescent="0.25">
      <c r="A25" s="8">
        <v>42870.192511574074</v>
      </c>
      <c r="B25" s="20" t="s">
        <v>435</v>
      </c>
      <c r="C25" s="20" t="s">
        <v>576</v>
      </c>
      <c r="D25" s="141">
        <v>2560000</v>
      </c>
      <c r="E25" s="20" t="s">
        <v>458</v>
      </c>
      <c r="F25" s="20" t="s">
        <v>387</v>
      </c>
      <c r="G25" s="8" t="str">
        <f t="shared" si="0"/>
        <v>MACDONALD THOMAS</v>
      </c>
    </row>
    <row r="26" spans="1:7" x14ac:dyDescent="0.25">
      <c r="A26" s="8">
        <v>42870.203611111108</v>
      </c>
      <c r="B26" s="20" t="s">
        <v>343</v>
      </c>
      <c r="C26" s="20" t="s">
        <v>644</v>
      </c>
      <c r="D26" s="141">
        <v>1360000</v>
      </c>
      <c r="E26" s="20" t="s">
        <v>503</v>
      </c>
      <c r="F26" s="20" t="s">
        <v>504</v>
      </c>
      <c r="G26" s="8" t="str">
        <f t="shared" si="0"/>
        <v>SANTIZO D. EDY</v>
      </c>
    </row>
    <row r="27" spans="1:7" x14ac:dyDescent="0.25">
      <c r="A27" s="8">
        <v>42870.203703703701</v>
      </c>
      <c r="B27" s="20" t="s">
        <v>378</v>
      </c>
      <c r="C27" s="20" t="s">
        <v>645</v>
      </c>
      <c r="D27" s="141">
        <v>1830000</v>
      </c>
      <c r="E27" s="20" t="s">
        <v>438</v>
      </c>
      <c r="F27" s="20" t="s">
        <v>439</v>
      </c>
      <c r="G27" s="8" t="str">
        <f t="shared" si="0"/>
        <v>YORK EDGAR</v>
      </c>
    </row>
    <row r="28" spans="1:7" x14ac:dyDescent="0.25">
      <c r="A28" s="8">
        <v>42870.204062500001</v>
      </c>
      <c r="B28" s="20" t="s">
        <v>398</v>
      </c>
      <c r="C28" s="20" t="s">
        <v>577</v>
      </c>
      <c r="D28" s="141">
        <v>1990000</v>
      </c>
      <c r="E28" s="20" t="s">
        <v>507</v>
      </c>
      <c r="F28" s="20" t="s">
        <v>508</v>
      </c>
      <c r="G28" s="8" t="str">
        <f t="shared" si="0"/>
        <v>DAVIS WENDY</v>
      </c>
    </row>
    <row r="29" spans="1:7" x14ac:dyDescent="0.25">
      <c r="A29" s="8">
        <v>42870.208136574074</v>
      </c>
      <c r="B29" s="20" t="s">
        <v>386</v>
      </c>
      <c r="C29" s="20" t="s">
        <v>646</v>
      </c>
      <c r="D29" s="141">
        <v>1140000</v>
      </c>
      <c r="E29" s="20" t="s">
        <v>634</v>
      </c>
      <c r="F29" s="20" t="s">
        <v>635</v>
      </c>
      <c r="G29" s="8" t="str">
        <f t="shared" si="0"/>
        <v>YOUNG ELIZABETH</v>
      </c>
    </row>
    <row r="30" spans="1:7" x14ac:dyDescent="0.25">
      <c r="A30" s="8">
        <v>42870.214467592596</v>
      </c>
      <c r="B30" s="20" t="s">
        <v>391</v>
      </c>
      <c r="C30" s="20" t="s">
        <v>647</v>
      </c>
      <c r="D30" s="141">
        <v>1990000</v>
      </c>
      <c r="E30" s="20" t="s">
        <v>507</v>
      </c>
      <c r="F30" s="20" t="s">
        <v>508</v>
      </c>
      <c r="G30" s="8" t="str">
        <f t="shared" si="0"/>
        <v>DAVIS WENDY</v>
      </c>
    </row>
    <row r="31" spans="1:7" x14ac:dyDescent="0.25">
      <c r="A31" s="8">
        <v>42870.218576388892</v>
      </c>
      <c r="B31" s="20" t="s">
        <v>436</v>
      </c>
      <c r="C31" s="20" t="s">
        <v>648</v>
      </c>
      <c r="D31" s="141">
        <v>940000</v>
      </c>
      <c r="E31" s="20" t="s">
        <v>638</v>
      </c>
      <c r="F31" s="20" t="s">
        <v>639</v>
      </c>
      <c r="G31" s="8" t="str">
        <f t="shared" si="0"/>
        <v>BONDS REYNALDO</v>
      </c>
    </row>
    <row r="32" spans="1:7" x14ac:dyDescent="0.25">
      <c r="A32" s="8">
        <v>42870.227233796293</v>
      </c>
      <c r="B32" s="20" t="s">
        <v>501</v>
      </c>
      <c r="C32" s="20" t="s">
        <v>649</v>
      </c>
      <c r="D32" s="141">
        <v>2140000</v>
      </c>
      <c r="E32" s="20" t="s">
        <v>650</v>
      </c>
      <c r="F32" s="20" t="s">
        <v>651</v>
      </c>
      <c r="G32" s="8" t="str">
        <f t="shared" si="0"/>
        <v>ROBINSON KADDIBA</v>
      </c>
    </row>
    <row r="33" spans="1:7" x14ac:dyDescent="0.25">
      <c r="A33" s="8">
        <v>42870.234224537038</v>
      </c>
      <c r="B33" s="20" t="s">
        <v>376</v>
      </c>
      <c r="C33" s="20" t="s">
        <v>652</v>
      </c>
      <c r="D33" s="141">
        <v>1830000</v>
      </c>
      <c r="E33" s="20" t="s">
        <v>438</v>
      </c>
      <c r="F33" s="20" t="s">
        <v>439</v>
      </c>
      <c r="G33" s="8" t="str">
        <f t="shared" si="0"/>
        <v>YORK EDGAR</v>
      </c>
    </row>
    <row r="34" spans="1:7" x14ac:dyDescent="0.25">
      <c r="A34" s="8">
        <v>42870.235034722224</v>
      </c>
      <c r="B34" s="20" t="s">
        <v>434</v>
      </c>
      <c r="C34" s="20" t="s">
        <v>653</v>
      </c>
      <c r="D34" s="141">
        <v>2560000</v>
      </c>
      <c r="E34" s="20" t="s">
        <v>458</v>
      </c>
      <c r="F34" s="20" t="s">
        <v>387</v>
      </c>
      <c r="G34" s="8" t="str">
        <f t="shared" si="0"/>
        <v>MACDONALD THOMAS</v>
      </c>
    </row>
    <row r="35" spans="1:7" x14ac:dyDescent="0.25">
      <c r="A35" s="8">
        <v>42870.236331018517</v>
      </c>
      <c r="B35" s="20" t="s">
        <v>370</v>
      </c>
      <c r="C35" s="20" t="s">
        <v>654</v>
      </c>
      <c r="D35" s="141">
        <v>2010000</v>
      </c>
      <c r="E35" s="20" t="s">
        <v>505</v>
      </c>
      <c r="F35" s="20" t="s">
        <v>506</v>
      </c>
      <c r="G35" s="8" t="str">
        <f t="shared" si="0"/>
        <v>MAELZER KURT</v>
      </c>
    </row>
    <row r="36" spans="1:7" x14ac:dyDescent="0.25">
      <c r="A36" s="8">
        <v>42870.241932870369</v>
      </c>
      <c r="B36" s="20" t="s">
        <v>500</v>
      </c>
      <c r="C36" s="20" t="s">
        <v>655</v>
      </c>
      <c r="D36" s="141">
        <v>1230000</v>
      </c>
      <c r="E36" s="20" t="s">
        <v>656</v>
      </c>
      <c r="F36" s="20" t="s">
        <v>657</v>
      </c>
      <c r="G36" s="8" t="str">
        <f t="shared" si="0"/>
        <v>YANAI IAN</v>
      </c>
    </row>
    <row r="37" spans="1:7" x14ac:dyDescent="0.25">
      <c r="A37" s="8">
        <v>42870.242407407408</v>
      </c>
      <c r="B37" s="20" t="s">
        <v>398</v>
      </c>
      <c r="C37" s="20" t="s">
        <v>578</v>
      </c>
      <c r="D37" s="141">
        <v>1990000</v>
      </c>
      <c r="E37" s="20" t="s">
        <v>507</v>
      </c>
      <c r="F37" s="20" t="s">
        <v>508</v>
      </c>
      <c r="G37" s="8" t="str">
        <f t="shared" si="0"/>
        <v>DAVIS WENDY</v>
      </c>
    </row>
    <row r="38" spans="1:7" x14ac:dyDescent="0.25">
      <c r="A38" s="8">
        <v>42870.242673611108</v>
      </c>
      <c r="B38" s="20" t="s">
        <v>500</v>
      </c>
      <c r="C38" s="20" t="s">
        <v>655</v>
      </c>
      <c r="D38" s="141">
        <v>1230000</v>
      </c>
      <c r="E38" s="20" t="s">
        <v>656</v>
      </c>
      <c r="F38" s="20" t="s">
        <v>657</v>
      </c>
      <c r="G38" s="8" t="str">
        <f t="shared" si="0"/>
        <v>YANAI IAN</v>
      </c>
    </row>
    <row r="39" spans="1:7" x14ac:dyDescent="0.25">
      <c r="A39" s="8">
        <v>42870.245891203704</v>
      </c>
      <c r="B39" s="20" t="s">
        <v>344</v>
      </c>
      <c r="C39" s="20" t="s">
        <v>579</v>
      </c>
      <c r="D39" s="141">
        <v>1360000</v>
      </c>
      <c r="E39" s="20" t="s">
        <v>503</v>
      </c>
      <c r="F39" s="20" t="s">
        <v>504</v>
      </c>
      <c r="G39" s="8" t="str">
        <f t="shared" si="0"/>
        <v>SANTIZO D. EDY</v>
      </c>
    </row>
    <row r="40" spans="1:7" x14ac:dyDescent="0.25">
      <c r="A40" s="8">
        <v>42870.249131944445</v>
      </c>
      <c r="B40" s="25" t="s">
        <v>345</v>
      </c>
      <c r="C40" s="20" t="s">
        <v>658</v>
      </c>
      <c r="D40" s="141">
        <v>1090000</v>
      </c>
      <c r="E40" s="20" t="s">
        <v>659</v>
      </c>
      <c r="F40" s="20" t="s">
        <v>196</v>
      </c>
      <c r="G40" s="8" t="str">
        <f t="shared" si="0"/>
        <v>SPECTOR MICHAEL</v>
      </c>
    </row>
    <row r="41" spans="1:7" x14ac:dyDescent="0.25">
      <c r="A41" s="8">
        <v>42870.250300925924</v>
      </c>
      <c r="B41" s="20" t="s">
        <v>608</v>
      </c>
      <c r="C41" s="20" t="s">
        <v>660</v>
      </c>
      <c r="D41" s="141">
        <v>1140000</v>
      </c>
      <c r="E41" s="20" t="s">
        <v>634</v>
      </c>
      <c r="F41" s="20" t="s">
        <v>635</v>
      </c>
      <c r="G41" s="8" t="str">
        <f t="shared" si="0"/>
        <v>YOUNG ELIZABETH</v>
      </c>
    </row>
    <row r="42" spans="1:7" x14ac:dyDescent="0.25">
      <c r="A42" s="8">
        <v>42870.25141203704</v>
      </c>
      <c r="B42" s="20" t="s">
        <v>427</v>
      </c>
      <c r="C42" s="20" t="s">
        <v>661</v>
      </c>
      <c r="D42" s="141">
        <v>1230000</v>
      </c>
      <c r="E42" s="20" t="s">
        <v>656</v>
      </c>
      <c r="F42" s="20" t="s">
        <v>657</v>
      </c>
      <c r="G42" s="8" t="str">
        <f t="shared" si="0"/>
        <v>YANAI IAN</v>
      </c>
    </row>
    <row r="43" spans="1:7" x14ac:dyDescent="0.25">
      <c r="A43" s="8">
        <v>42870.255833333336</v>
      </c>
      <c r="B43" s="20" t="s">
        <v>391</v>
      </c>
      <c r="C43" s="20" t="s">
        <v>580</v>
      </c>
      <c r="D43" s="141">
        <v>1990000</v>
      </c>
      <c r="E43" s="20" t="s">
        <v>507</v>
      </c>
      <c r="F43" s="20" t="s">
        <v>508</v>
      </c>
      <c r="G43" s="8" t="str">
        <f t="shared" si="0"/>
        <v>DAVIS WENDY</v>
      </c>
    </row>
    <row r="44" spans="1:7" x14ac:dyDescent="0.25">
      <c r="A44" s="8">
        <v>42870.256562499999</v>
      </c>
      <c r="B44" s="20" t="s">
        <v>440</v>
      </c>
      <c r="C44" s="20" t="s">
        <v>662</v>
      </c>
      <c r="D44" s="141">
        <v>940000</v>
      </c>
      <c r="E44" s="20" t="s">
        <v>638</v>
      </c>
      <c r="F44" s="20" t="s">
        <v>639</v>
      </c>
      <c r="G44" s="8" t="str">
        <f t="shared" si="0"/>
        <v>BONDS REYNALDO</v>
      </c>
    </row>
    <row r="45" spans="1:7" x14ac:dyDescent="0.25">
      <c r="A45" s="8">
        <v>42870.256631944445</v>
      </c>
      <c r="B45" s="20" t="s">
        <v>386</v>
      </c>
      <c r="C45" s="20" t="s">
        <v>658</v>
      </c>
      <c r="D45" s="141">
        <v>1090000</v>
      </c>
      <c r="E45" s="20" t="s">
        <v>659</v>
      </c>
      <c r="F45" s="20" t="s">
        <v>196</v>
      </c>
      <c r="G45" s="8" t="str">
        <f t="shared" si="0"/>
        <v>SPECTOR MICHAEL</v>
      </c>
    </row>
    <row r="46" spans="1:7" x14ac:dyDescent="0.25">
      <c r="A46" s="8">
        <v>42870.26662037037</v>
      </c>
      <c r="B46" s="20" t="s">
        <v>499</v>
      </c>
      <c r="C46" s="20" t="s">
        <v>663</v>
      </c>
      <c r="D46" s="141">
        <v>2140000</v>
      </c>
      <c r="E46" s="20" t="s">
        <v>650</v>
      </c>
      <c r="F46" s="20" t="s">
        <v>651</v>
      </c>
      <c r="G46" s="8" t="str">
        <f t="shared" si="0"/>
        <v>ROBINSON KADDIBA</v>
      </c>
    </row>
    <row r="47" spans="1:7" x14ac:dyDescent="0.25">
      <c r="A47" s="8">
        <v>42870.268900462965</v>
      </c>
      <c r="B47" s="20" t="s">
        <v>435</v>
      </c>
      <c r="C47" s="20" t="s">
        <v>581</v>
      </c>
      <c r="D47" s="141">
        <v>2560000</v>
      </c>
      <c r="E47" s="20" t="s">
        <v>458</v>
      </c>
      <c r="F47" s="20" t="s">
        <v>387</v>
      </c>
      <c r="G47" s="8" t="str">
        <f t="shared" si="0"/>
        <v>MACDONALD THOMAS</v>
      </c>
    </row>
    <row r="48" spans="1:7" x14ac:dyDescent="0.25">
      <c r="A48" s="8">
        <v>42870.272453703707</v>
      </c>
      <c r="B48" s="20" t="s">
        <v>379</v>
      </c>
      <c r="C48" s="20" t="s">
        <v>664</v>
      </c>
      <c r="D48" s="141">
        <v>2010000</v>
      </c>
      <c r="E48" s="20" t="s">
        <v>505</v>
      </c>
      <c r="F48" s="20" t="s">
        <v>506</v>
      </c>
      <c r="G48" s="8" t="str">
        <f t="shared" si="0"/>
        <v>MAELZER KURT</v>
      </c>
    </row>
    <row r="49" spans="1:7" x14ac:dyDescent="0.25">
      <c r="A49" s="8">
        <v>42870.274791666663</v>
      </c>
      <c r="B49" s="20" t="s">
        <v>500</v>
      </c>
      <c r="C49" s="20" t="s">
        <v>665</v>
      </c>
      <c r="D49" s="141">
        <v>1230000</v>
      </c>
      <c r="E49" s="20" t="s">
        <v>656</v>
      </c>
      <c r="F49" s="20" t="s">
        <v>657</v>
      </c>
      <c r="G49" s="8" t="str">
        <f t="shared" si="0"/>
        <v>YANAI IAN</v>
      </c>
    </row>
    <row r="50" spans="1:7" x14ac:dyDescent="0.25">
      <c r="A50" s="8">
        <v>42870.274884259263</v>
      </c>
      <c r="B50" s="20" t="s">
        <v>378</v>
      </c>
      <c r="C50" s="20" t="s">
        <v>666</v>
      </c>
      <c r="D50" s="141">
        <v>1830000</v>
      </c>
      <c r="E50" s="20" t="s">
        <v>438</v>
      </c>
      <c r="F50" s="20" t="s">
        <v>439</v>
      </c>
      <c r="G50" s="8" t="str">
        <f t="shared" si="0"/>
        <v>YORK EDGAR</v>
      </c>
    </row>
    <row r="51" spans="1:7" x14ac:dyDescent="0.25">
      <c r="A51" s="8">
        <v>42870.280775462961</v>
      </c>
      <c r="B51" s="20" t="s">
        <v>667</v>
      </c>
      <c r="C51" s="20" t="s">
        <v>668</v>
      </c>
      <c r="D51" s="141">
        <v>1140000</v>
      </c>
      <c r="E51" s="20" t="s">
        <v>634</v>
      </c>
      <c r="F51" s="20" t="s">
        <v>635</v>
      </c>
      <c r="G51" s="8" t="str">
        <f t="shared" si="0"/>
        <v>YOUNG ELIZABETH</v>
      </c>
    </row>
    <row r="52" spans="1:7" x14ac:dyDescent="0.25">
      <c r="A52" s="8">
        <v>42870.283125000002</v>
      </c>
      <c r="B52" s="20" t="s">
        <v>398</v>
      </c>
      <c r="C52" s="20" t="s">
        <v>582</v>
      </c>
      <c r="D52" s="141">
        <v>1990000</v>
      </c>
      <c r="E52" s="20" t="s">
        <v>507</v>
      </c>
      <c r="F52" s="20" t="s">
        <v>508</v>
      </c>
      <c r="G52" s="8" t="str">
        <f t="shared" si="0"/>
        <v>DAVIS WENDY</v>
      </c>
    </row>
    <row r="53" spans="1:7" x14ac:dyDescent="0.25">
      <c r="A53" s="8">
        <v>42870.288055555553</v>
      </c>
      <c r="B53" s="20" t="s">
        <v>343</v>
      </c>
      <c r="C53" s="20" t="s">
        <v>669</v>
      </c>
      <c r="D53" s="141">
        <v>1360000</v>
      </c>
      <c r="E53" s="20" t="s">
        <v>503</v>
      </c>
      <c r="F53" s="20" t="s">
        <v>504</v>
      </c>
      <c r="G53" s="8" t="str">
        <f t="shared" si="0"/>
        <v>SANTIZO D. EDY</v>
      </c>
    </row>
    <row r="54" spans="1:7" x14ac:dyDescent="0.25">
      <c r="A54" s="8">
        <v>42870.289675925924</v>
      </c>
      <c r="B54" s="20" t="s">
        <v>427</v>
      </c>
      <c r="C54" s="20" t="s">
        <v>670</v>
      </c>
      <c r="D54" s="141">
        <v>1230000</v>
      </c>
      <c r="E54" s="20" t="s">
        <v>656</v>
      </c>
      <c r="F54" s="20" t="s">
        <v>657</v>
      </c>
      <c r="G54" s="8" t="str">
        <f t="shared" si="0"/>
        <v>YANAI IAN</v>
      </c>
    </row>
    <row r="55" spans="1:7" x14ac:dyDescent="0.25">
      <c r="A55" s="8">
        <v>42870.291076388887</v>
      </c>
      <c r="B55" s="20" t="s">
        <v>436</v>
      </c>
      <c r="C55" s="20" t="s">
        <v>671</v>
      </c>
      <c r="D55" s="141">
        <v>940000</v>
      </c>
      <c r="E55" s="20" t="s">
        <v>638</v>
      </c>
      <c r="F55" s="20" t="s">
        <v>639</v>
      </c>
      <c r="G55" s="8" t="str">
        <f t="shared" si="0"/>
        <v>BONDS REYNALDO</v>
      </c>
    </row>
    <row r="56" spans="1:7" x14ac:dyDescent="0.25">
      <c r="A56" s="8">
        <v>42870.2965625</v>
      </c>
      <c r="B56" s="20" t="s">
        <v>391</v>
      </c>
      <c r="C56" s="20" t="s">
        <v>583</v>
      </c>
      <c r="D56" s="141">
        <v>1990000</v>
      </c>
      <c r="E56" s="20" t="s">
        <v>507</v>
      </c>
      <c r="F56" s="20" t="s">
        <v>508</v>
      </c>
      <c r="G56" s="8" t="str">
        <f t="shared" si="0"/>
        <v>DAVIS WENDY</v>
      </c>
    </row>
    <row r="57" spans="1:7" x14ac:dyDescent="0.25">
      <c r="A57" s="8">
        <v>42870.30027777778</v>
      </c>
      <c r="B57" s="20" t="s">
        <v>501</v>
      </c>
      <c r="C57" s="20" t="s">
        <v>672</v>
      </c>
      <c r="D57" s="141">
        <v>2140000</v>
      </c>
      <c r="E57" s="20" t="s">
        <v>650</v>
      </c>
      <c r="F57" s="20" t="s">
        <v>651</v>
      </c>
      <c r="G57" s="8" t="str">
        <f t="shared" si="0"/>
        <v>ROBINSON KADDIBA</v>
      </c>
    </row>
    <row r="58" spans="1:7" x14ac:dyDescent="0.25">
      <c r="A58" s="8">
        <v>42870.306469907409</v>
      </c>
      <c r="B58" s="20" t="s">
        <v>434</v>
      </c>
      <c r="C58" s="20" t="s">
        <v>673</v>
      </c>
      <c r="D58" s="141">
        <v>2560000</v>
      </c>
      <c r="E58" s="20" t="s">
        <v>458</v>
      </c>
      <c r="F58" s="20" t="s">
        <v>387</v>
      </c>
      <c r="G58" s="8" t="str">
        <f t="shared" si="0"/>
        <v>MACDONALD THOMAS</v>
      </c>
    </row>
    <row r="59" spans="1:7" x14ac:dyDescent="0.25">
      <c r="A59" s="8">
        <v>42870.308206018519</v>
      </c>
      <c r="B59" s="20" t="s">
        <v>370</v>
      </c>
      <c r="C59" s="20" t="s">
        <v>674</v>
      </c>
      <c r="D59" s="141">
        <v>2010000</v>
      </c>
      <c r="E59" s="20" t="s">
        <v>505</v>
      </c>
      <c r="F59" s="20" t="s">
        <v>506</v>
      </c>
      <c r="G59" s="8" t="str">
        <f t="shared" si="0"/>
        <v>MAELZER KURT</v>
      </c>
    </row>
    <row r="60" spans="1:7" x14ac:dyDescent="0.25">
      <c r="A60" s="8">
        <v>42870.308379629627</v>
      </c>
      <c r="B60" s="20" t="s">
        <v>376</v>
      </c>
      <c r="C60" s="20" t="s">
        <v>675</v>
      </c>
      <c r="D60" s="141">
        <v>1830000</v>
      </c>
      <c r="E60" s="20" t="s">
        <v>438</v>
      </c>
      <c r="F60" s="20" t="s">
        <v>439</v>
      </c>
      <c r="G60" s="8" t="str">
        <f t="shared" si="0"/>
        <v>YORK EDGAR</v>
      </c>
    </row>
    <row r="61" spans="1:7" x14ac:dyDescent="0.25">
      <c r="A61" s="8">
        <v>42870.316331018519</v>
      </c>
      <c r="B61" s="20" t="s">
        <v>500</v>
      </c>
      <c r="C61" s="20" t="s">
        <v>676</v>
      </c>
      <c r="D61" s="141">
        <v>1230000</v>
      </c>
      <c r="E61" s="20" t="s">
        <v>656</v>
      </c>
      <c r="F61" s="20" t="s">
        <v>657</v>
      </c>
      <c r="G61" s="8" t="str">
        <f t="shared" si="0"/>
        <v>YANAI IAN</v>
      </c>
    </row>
    <row r="62" spans="1:7" x14ac:dyDescent="0.25">
      <c r="A62" s="8">
        <v>42870.317569444444</v>
      </c>
      <c r="B62" s="20" t="s">
        <v>344</v>
      </c>
      <c r="C62" s="20" t="s">
        <v>677</v>
      </c>
      <c r="D62" s="141">
        <v>1360000</v>
      </c>
      <c r="E62" s="20" t="s">
        <v>503</v>
      </c>
      <c r="F62" s="20" t="s">
        <v>504</v>
      </c>
      <c r="G62" s="8" t="str">
        <f t="shared" si="0"/>
        <v>SANTIZO D. EDY</v>
      </c>
    </row>
    <row r="63" spans="1:7" x14ac:dyDescent="0.25">
      <c r="A63" s="8">
        <v>42870.31958333333</v>
      </c>
      <c r="B63" s="20" t="s">
        <v>608</v>
      </c>
      <c r="C63" s="20" t="s">
        <v>678</v>
      </c>
      <c r="D63" s="141">
        <v>1140000</v>
      </c>
      <c r="E63" s="20" t="s">
        <v>634</v>
      </c>
      <c r="F63" s="20" t="s">
        <v>635</v>
      </c>
      <c r="G63" s="8" t="str">
        <f t="shared" si="0"/>
        <v>YOUNG ELIZABETH</v>
      </c>
    </row>
    <row r="64" spans="1:7" x14ac:dyDescent="0.25">
      <c r="A64" s="26">
        <v>42870.324965277781</v>
      </c>
      <c r="B64" s="20" t="s">
        <v>398</v>
      </c>
      <c r="C64" s="20" t="s">
        <v>584</v>
      </c>
      <c r="D64" s="141">
        <v>1990000</v>
      </c>
      <c r="E64" s="20" t="s">
        <v>507</v>
      </c>
      <c r="F64" s="20" t="s">
        <v>508</v>
      </c>
      <c r="G64" s="8" t="str">
        <f t="shared" si="0"/>
        <v>DAVIS WENDY</v>
      </c>
    </row>
    <row r="65" spans="1:7" x14ac:dyDescent="0.25">
      <c r="A65" s="8">
        <v>42870.328761574077</v>
      </c>
      <c r="B65" s="20" t="s">
        <v>440</v>
      </c>
      <c r="C65" s="20" t="s">
        <v>679</v>
      </c>
      <c r="D65" s="141">
        <v>940000</v>
      </c>
      <c r="E65" s="20" t="s">
        <v>638</v>
      </c>
      <c r="F65" s="20" t="s">
        <v>639</v>
      </c>
      <c r="G65" s="8" t="str">
        <f t="shared" si="0"/>
        <v>BONDS REYNALDO</v>
      </c>
    </row>
    <row r="66" spans="1:7" x14ac:dyDescent="0.25">
      <c r="A66" s="8">
        <v>42870.331388888888</v>
      </c>
      <c r="B66" s="20" t="s">
        <v>427</v>
      </c>
      <c r="C66" s="20" t="s">
        <v>680</v>
      </c>
      <c r="D66" s="141">
        <v>1230000</v>
      </c>
      <c r="E66" s="20" t="s">
        <v>656</v>
      </c>
      <c r="F66" s="20" t="s">
        <v>657</v>
      </c>
      <c r="G66" s="8" t="str">
        <f t="shared" si="0"/>
        <v>YANAI IAN</v>
      </c>
    </row>
    <row r="67" spans="1:7" x14ac:dyDescent="0.25">
      <c r="A67" s="8">
        <v>42870.337858796294</v>
      </c>
      <c r="B67" s="20" t="s">
        <v>391</v>
      </c>
      <c r="C67" s="20" t="s">
        <v>585</v>
      </c>
      <c r="D67" s="141">
        <v>1990000</v>
      </c>
      <c r="E67" s="20" t="s">
        <v>507</v>
      </c>
      <c r="F67" s="20" t="s">
        <v>508</v>
      </c>
      <c r="G67" s="8" t="str">
        <f t="shared" ref="G67:G130" si="1">E67&amp;" "&amp;F67</f>
        <v>DAVIS WENDY</v>
      </c>
    </row>
    <row r="68" spans="1:7" x14ac:dyDescent="0.25">
      <c r="A68" s="8">
        <v>42870.339444444442</v>
      </c>
      <c r="B68" s="20" t="s">
        <v>499</v>
      </c>
      <c r="C68" s="20" t="s">
        <v>681</v>
      </c>
      <c r="D68" s="141">
        <v>2140000</v>
      </c>
      <c r="E68" s="20" t="s">
        <v>650</v>
      </c>
      <c r="F68" s="20" t="s">
        <v>651</v>
      </c>
      <c r="G68" s="8" t="str">
        <f t="shared" si="1"/>
        <v>ROBINSON KADDIBA</v>
      </c>
    </row>
    <row r="69" spans="1:7" x14ac:dyDescent="0.25">
      <c r="A69" s="8">
        <v>42870.341134259259</v>
      </c>
      <c r="B69" s="20" t="s">
        <v>435</v>
      </c>
      <c r="C69" s="20" t="s">
        <v>682</v>
      </c>
      <c r="D69" s="141">
        <v>2560000</v>
      </c>
      <c r="E69" s="20" t="s">
        <v>458</v>
      </c>
      <c r="F69" s="20" t="s">
        <v>387</v>
      </c>
      <c r="G69" s="8" t="str">
        <f t="shared" si="1"/>
        <v>MACDONALD THOMAS</v>
      </c>
    </row>
    <row r="70" spans="1:7" x14ac:dyDescent="0.25">
      <c r="A70" s="8">
        <v>42870.344212962962</v>
      </c>
      <c r="B70" s="20" t="s">
        <v>379</v>
      </c>
      <c r="C70" s="20" t="s">
        <v>683</v>
      </c>
      <c r="D70" s="141">
        <v>2010000</v>
      </c>
      <c r="E70" s="20" t="s">
        <v>505</v>
      </c>
      <c r="F70" s="20" t="s">
        <v>506</v>
      </c>
      <c r="G70" s="8" t="str">
        <f t="shared" si="1"/>
        <v>MAELZER KURT</v>
      </c>
    </row>
    <row r="71" spans="1:7" x14ac:dyDescent="0.25">
      <c r="A71" s="8">
        <v>42870.347858796296</v>
      </c>
      <c r="B71" s="20" t="s">
        <v>378</v>
      </c>
      <c r="C71" s="20" t="s">
        <v>684</v>
      </c>
      <c r="D71" s="141">
        <v>1830000</v>
      </c>
      <c r="E71" s="20" t="s">
        <v>438</v>
      </c>
      <c r="F71" s="20" t="s">
        <v>439</v>
      </c>
      <c r="G71" s="8" t="str">
        <f t="shared" si="1"/>
        <v>YORK EDGAR</v>
      </c>
    </row>
    <row r="72" spans="1:7" x14ac:dyDescent="0.25">
      <c r="A72" s="8">
        <v>42870.351539351854</v>
      </c>
      <c r="B72" s="20" t="s">
        <v>667</v>
      </c>
      <c r="C72" s="20" t="s">
        <v>685</v>
      </c>
      <c r="D72" s="141">
        <v>1140000</v>
      </c>
      <c r="E72" s="20" t="s">
        <v>634</v>
      </c>
      <c r="F72" s="20" t="s">
        <v>635</v>
      </c>
      <c r="G72" s="8" t="str">
        <f t="shared" si="1"/>
        <v>YOUNG ELIZABETH</v>
      </c>
    </row>
    <row r="73" spans="1:7" x14ac:dyDescent="0.25">
      <c r="A73" s="8">
        <v>42870.352453703701</v>
      </c>
      <c r="B73" s="20" t="s">
        <v>398</v>
      </c>
      <c r="C73" s="20" t="s">
        <v>686</v>
      </c>
      <c r="D73" s="141">
        <v>1990000</v>
      </c>
      <c r="E73" s="20" t="s">
        <v>507</v>
      </c>
      <c r="F73" s="20" t="s">
        <v>508</v>
      </c>
      <c r="G73" s="8" t="str">
        <f t="shared" si="1"/>
        <v>DAVIS WENDY</v>
      </c>
    </row>
    <row r="74" spans="1:7" x14ac:dyDescent="0.25">
      <c r="A74" s="8">
        <v>42870.358310185184</v>
      </c>
      <c r="B74" s="20" t="s">
        <v>500</v>
      </c>
      <c r="C74" s="20" t="s">
        <v>687</v>
      </c>
      <c r="D74" s="141">
        <v>1230000</v>
      </c>
      <c r="E74" s="20" t="s">
        <v>656</v>
      </c>
      <c r="F74" s="20" t="s">
        <v>657</v>
      </c>
      <c r="G74" s="8" t="str">
        <f t="shared" si="1"/>
        <v>YANAI IAN</v>
      </c>
    </row>
    <row r="75" spans="1:7" x14ac:dyDescent="0.25">
      <c r="A75" s="8">
        <v>42870.359444444446</v>
      </c>
      <c r="B75" s="20" t="s">
        <v>343</v>
      </c>
      <c r="C75" s="20" t="s">
        <v>688</v>
      </c>
      <c r="D75" s="141">
        <v>1360000</v>
      </c>
      <c r="E75" s="20" t="s">
        <v>503</v>
      </c>
      <c r="F75" s="20" t="s">
        <v>504</v>
      </c>
      <c r="G75" s="8" t="str">
        <f t="shared" si="1"/>
        <v>SANTIZO D. EDY</v>
      </c>
    </row>
    <row r="76" spans="1:7" x14ac:dyDescent="0.25">
      <c r="A76" s="8">
        <v>42870.369166666664</v>
      </c>
      <c r="B76" s="20" t="s">
        <v>436</v>
      </c>
      <c r="C76" s="20" t="s">
        <v>586</v>
      </c>
      <c r="D76" s="141">
        <v>940000</v>
      </c>
      <c r="E76" s="20" t="s">
        <v>638</v>
      </c>
      <c r="F76" s="20" t="s">
        <v>639</v>
      </c>
      <c r="G76" s="8" t="str">
        <f t="shared" si="1"/>
        <v>BONDS REYNALDO</v>
      </c>
    </row>
    <row r="77" spans="1:7" x14ac:dyDescent="0.25">
      <c r="A77" s="8">
        <v>42870.37164351852</v>
      </c>
      <c r="B77" s="20" t="s">
        <v>501</v>
      </c>
      <c r="C77" s="20" t="s">
        <v>689</v>
      </c>
      <c r="D77" s="141">
        <v>2140000</v>
      </c>
      <c r="E77" s="20" t="s">
        <v>650</v>
      </c>
      <c r="F77" s="20" t="s">
        <v>651</v>
      </c>
      <c r="G77" s="8" t="str">
        <f t="shared" si="1"/>
        <v>ROBINSON KADDIBA</v>
      </c>
    </row>
    <row r="78" spans="1:7" x14ac:dyDescent="0.25">
      <c r="A78" s="8">
        <v>42870.373263888891</v>
      </c>
      <c r="B78" s="20" t="s">
        <v>427</v>
      </c>
      <c r="C78" s="20" t="s">
        <v>690</v>
      </c>
      <c r="D78" s="141">
        <v>1230000</v>
      </c>
      <c r="E78" s="20" t="s">
        <v>656</v>
      </c>
      <c r="F78" s="20" t="s">
        <v>657</v>
      </c>
      <c r="G78" s="8" t="str">
        <f t="shared" si="1"/>
        <v>YANAI IAN</v>
      </c>
    </row>
    <row r="79" spans="1:7" x14ac:dyDescent="0.25">
      <c r="A79" s="8">
        <v>42870.379479166666</v>
      </c>
      <c r="B79" s="20" t="s">
        <v>434</v>
      </c>
      <c r="C79" s="20" t="s">
        <v>691</v>
      </c>
      <c r="D79" s="141">
        <v>2560000</v>
      </c>
      <c r="E79" s="20" t="s">
        <v>458</v>
      </c>
      <c r="F79" s="20" t="s">
        <v>387</v>
      </c>
      <c r="G79" s="8" t="str">
        <f t="shared" si="1"/>
        <v>MACDONALD THOMAS</v>
      </c>
    </row>
    <row r="80" spans="1:7" x14ac:dyDescent="0.25">
      <c r="A80" s="8">
        <v>42870.381932870368</v>
      </c>
      <c r="B80" s="20" t="s">
        <v>376</v>
      </c>
      <c r="C80" s="20" t="s">
        <v>692</v>
      </c>
      <c r="D80" s="141">
        <v>1830000</v>
      </c>
      <c r="E80" s="20" t="s">
        <v>438</v>
      </c>
      <c r="F80" s="20" t="s">
        <v>439</v>
      </c>
      <c r="G80" s="8" t="str">
        <f t="shared" si="1"/>
        <v>YORK EDGAR</v>
      </c>
    </row>
    <row r="81" spans="1:7" x14ac:dyDescent="0.25">
      <c r="A81" s="8">
        <v>42870.383576388886</v>
      </c>
      <c r="B81" s="20" t="s">
        <v>370</v>
      </c>
      <c r="C81" s="20" t="s">
        <v>693</v>
      </c>
      <c r="D81" s="141">
        <v>2010000</v>
      </c>
      <c r="E81" s="20" t="s">
        <v>505</v>
      </c>
      <c r="F81" s="20" t="s">
        <v>506</v>
      </c>
      <c r="G81" s="8" t="str">
        <f t="shared" si="1"/>
        <v>MAELZER KURT</v>
      </c>
    </row>
    <row r="82" spans="1:7" x14ac:dyDescent="0.25">
      <c r="A82" s="8">
        <v>42870.391898148147</v>
      </c>
      <c r="B82" s="20" t="s">
        <v>608</v>
      </c>
      <c r="C82" s="20" t="s">
        <v>694</v>
      </c>
      <c r="D82" s="141">
        <v>1140000</v>
      </c>
      <c r="E82" s="20" t="s">
        <v>634</v>
      </c>
      <c r="F82" s="20" t="s">
        <v>635</v>
      </c>
      <c r="G82" s="8" t="str">
        <f t="shared" si="1"/>
        <v>YOUNG ELIZABETH</v>
      </c>
    </row>
    <row r="83" spans="1:7" x14ac:dyDescent="0.25">
      <c r="A83" s="8">
        <v>42870.395405092589</v>
      </c>
      <c r="B83" s="20" t="s">
        <v>344</v>
      </c>
      <c r="C83" s="20" t="s">
        <v>587</v>
      </c>
      <c r="D83" s="141">
        <v>1520000</v>
      </c>
      <c r="E83" s="20" t="s">
        <v>695</v>
      </c>
      <c r="F83" s="20" t="s">
        <v>696</v>
      </c>
      <c r="G83" s="8" t="str">
        <f t="shared" si="1"/>
        <v>MAYBERRY BILL</v>
      </c>
    </row>
    <row r="84" spans="1:7" x14ac:dyDescent="0.25">
      <c r="A84" s="8">
        <v>42870.399444444447</v>
      </c>
      <c r="B84" s="20" t="s">
        <v>500</v>
      </c>
      <c r="C84" s="20" t="s">
        <v>697</v>
      </c>
      <c r="D84" s="141">
        <v>1230000</v>
      </c>
      <c r="E84" s="20" t="s">
        <v>656</v>
      </c>
      <c r="F84" s="20" t="s">
        <v>657</v>
      </c>
      <c r="G84" s="8" t="str">
        <f t="shared" si="1"/>
        <v>YANAI IAN</v>
      </c>
    </row>
    <row r="85" spans="1:7" x14ac:dyDescent="0.25">
      <c r="A85" s="8">
        <v>42870.401979166665</v>
      </c>
      <c r="B85" s="20" t="s">
        <v>440</v>
      </c>
      <c r="C85" s="20" t="s">
        <v>698</v>
      </c>
      <c r="D85" s="141">
        <v>940000</v>
      </c>
      <c r="E85" s="20" t="s">
        <v>638</v>
      </c>
      <c r="F85" s="20" t="s">
        <v>639</v>
      </c>
      <c r="G85" s="8" t="str">
        <f t="shared" si="1"/>
        <v>BONDS REYNALDO</v>
      </c>
    </row>
    <row r="86" spans="1:7" x14ac:dyDescent="0.25">
      <c r="A86" s="8">
        <v>42870.405868055554</v>
      </c>
      <c r="B86" s="20" t="s">
        <v>499</v>
      </c>
      <c r="C86" s="20" t="s">
        <v>699</v>
      </c>
      <c r="D86" s="141">
        <v>2140000</v>
      </c>
      <c r="E86" s="20" t="s">
        <v>650</v>
      </c>
      <c r="F86" s="20" t="s">
        <v>651</v>
      </c>
      <c r="G86" s="8" t="str">
        <f t="shared" si="1"/>
        <v>ROBINSON KADDIBA</v>
      </c>
    </row>
    <row r="87" spans="1:7" x14ac:dyDescent="0.25">
      <c r="A87" s="8">
        <v>42870.413101851853</v>
      </c>
      <c r="B87" s="20" t="s">
        <v>435</v>
      </c>
      <c r="C87" s="20" t="s">
        <v>700</v>
      </c>
      <c r="D87" s="141">
        <v>2560000</v>
      </c>
      <c r="E87" s="20" t="s">
        <v>458</v>
      </c>
      <c r="F87" s="20" t="s">
        <v>387</v>
      </c>
      <c r="G87" s="8" t="str">
        <f t="shared" si="1"/>
        <v>MACDONALD THOMAS</v>
      </c>
    </row>
    <row r="88" spans="1:7" x14ac:dyDescent="0.25">
      <c r="A88" s="8">
        <v>42870.414652777778</v>
      </c>
      <c r="B88" s="20" t="s">
        <v>427</v>
      </c>
      <c r="C88" s="20" t="s">
        <v>701</v>
      </c>
      <c r="D88" s="141">
        <v>1230000</v>
      </c>
      <c r="E88" s="20" t="s">
        <v>656</v>
      </c>
      <c r="F88" s="20" t="s">
        <v>657</v>
      </c>
      <c r="G88" s="8" t="str">
        <f t="shared" si="1"/>
        <v>YANAI IAN</v>
      </c>
    </row>
    <row r="89" spans="1:7" x14ac:dyDescent="0.25">
      <c r="A89" s="8">
        <v>42870.415289351855</v>
      </c>
      <c r="B89" s="20" t="s">
        <v>379</v>
      </c>
      <c r="C89" s="20" t="s">
        <v>702</v>
      </c>
      <c r="D89" s="141">
        <v>2010000</v>
      </c>
      <c r="E89" s="20" t="s">
        <v>505</v>
      </c>
      <c r="F89" s="20" t="s">
        <v>506</v>
      </c>
      <c r="G89" s="8" t="str">
        <f t="shared" si="1"/>
        <v>MAELZER KURT</v>
      </c>
    </row>
    <row r="90" spans="1:7" x14ac:dyDescent="0.25">
      <c r="A90" s="8">
        <v>42870.420682870368</v>
      </c>
      <c r="B90" s="20" t="s">
        <v>378</v>
      </c>
      <c r="C90" s="20" t="s">
        <v>703</v>
      </c>
      <c r="D90" s="141">
        <v>1830000</v>
      </c>
      <c r="E90" s="20" t="s">
        <v>438</v>
      </c>
      <c r="F90" s="20" t="s">
        <v>439</v>
      </c>
      <c r="G90" s="8" t="str">
        <f t="shared" si="1"/>
        <v>YORK EDGAR</v>
      </c>
    </row>
    <row r="91" spans="1:7" x14ac:dyDescent="0.25">
      <c r="A91" s="8">
        <v>42870.425555555557</v>
      </c>
      <c r="B91" s="20" t="s">
        <v>667</v>
      </c>
      <c r="C91" s="20" t="s">
        <v>704</v>
      </c>
      <c r="D91" s="141">
        <v>1140000</v>
      </c>
      <c r="E91" s="20" t="s">
        <v>634</v>
      </c>
      <c r="F91" s="20" t="s">
        <v>635</v>
      </c>
      <c r="G91" s="8" t="str">
        <f t="shared" si="1"/>
        <v>YOUNG ELIZABETH</v>
      </c>
    </row>
    <row r="92" spans="1:7" x14ac:dyDescent="0.25">
      <c r="A92" s="8">
        <v>42870.428287037037</v>
      </c>
      <c r="B92" s="20" t="s">
        <v>427</v>
      </c>
      <c r="C92" s="20" t="s">
        <v>701</v>
      </c>
      <c r="D92" s="141">
        <v>1230000</v>
      </c>
      <c r="E92" s="20" t="s">
        <v>656</v>
      </c>
      <c r="F92" s="20" t="s">
        <v>657</v>
      </c>
      <c r="G92" s="8" t="str">
        <f t="shared" si="1"/>
        <v>YANAI IAN</v>
      </c>
    </row>
    <row r="93" spans="1:7" x14ac:dyDescent="0.25">
      <c r="A93" s="8">
        <v>42870.4374537037</v>
      </c>
      <c r="B93" s="20" t="s">
        <v>343</v>
      </c>
      <c r="C93" s="20" t="s">
        <v>705</v>
      </c>
      <c r="D93" s="141">
        <v>1990000</v>
      </c>
      <c r="E93" s="20" t="s">
        <v>507</v>
      </c>
      <c r="F93" s="20" t="s">
        <v>508</v>
      </c>
      <c r="G93" s="8" t="str">
        <f t="shared" si="1"/>
        <v>DAVIS WENDY</v>
      </c>
    </row>
    <row r="94" spans="1:7" x14ac:dyDescent="0.25">
      <c r="A94" s="8">
        <v>42870.4377662037</v>
      </c>
      <c r="B94" s="20" t="s">
        <v>588</v>
      </c>
      <c r="C94" s="20" t="s">
        <v>589</v>
      </c>
      <c r="D94" s="141">
        <v>2600000</v>
      </c>
      <c r="E94" s="20" t="s">
        <v>516</v>
      </c>
      <c r="F94" s="20" t="s">
        <v>517</v>
      </c>
      <c r="G94" s="8" t="str">
        <f t="shared" si="1"/>
        <v>DAVIDSON DAVID</v>
      </c>
    </row>
    <row r="95" spans="1:7" x14ac:dyDescent="0.25">
      <c r="A95" s="8">
        <v>42870.441770833335</v>
      </c>
      <c r="B95" s="20" t="s">
        <v>500</v>
      </c>
      <c r="C95" s="20" t="s">
        <v>590</v>
      </c>
      <c r="D95" s="141">
        <v>1230000</v>
      </c>
      <c r="E95" s="20" t="s">
        <v>656</v>
      </c>
      <c r="F95" s="20" t="s">
        <v>657</v>
      </c>
      <c r="G95" s="8" t="str">
        <f t="shared" si="1"/>
        <v>YANAI IAN</v>
      </c>
    </row>
    <row r="96" spans="1:7" x14ac:dyDescent="0.25">
      <c r="A96" s="8">
        <v>42870.443749999999</v>
      </c>
      <c r="B96" s="20" t="s">
        <v>436</v>
      </c>
      <c r="C96" s="20" t="s">
        <v>706</v>
      </c>
      <c r="D96" s="141">
        <v>940000</v>
      </c>
      <c r="E96" s="20" t="s">
        <v>638</v>
      </c>
      <c r="F96" s="20" t="s">
        <v>639</v>
      </c>
      <c r="G96" s="8" t="str">
        <f t="shared" si="1"/>
        <v>BONDS REYNALDO</v>
      </c>
    </row>
    <row r="97" spans="1:7" x14ac:dyDescent="0.25">
      <c r="A97" s="8">
        <v>42870.446759259263</v>
      </c>
      <c r="B97" s="20" t="s">
        <v>501</v>
      </c>
      <c r="C97" s="20" t="s">
        <v>591</v>
      </c>
      <c r="D97" s="141">
        <v>2140000</v>
      </c>
      <c r="E97" s="20" t="s">
        <v>650</v>
      </c>
      <c r="F97" s="20" t="s">
        <v>651</v>
      </c>
      <c r="G97" s="8" t="str">
        <f t="shared" si="1"/>
        <v>ROBINSON KADDIBA</v>
      </c>
    </row>
    <row r="98" spans="1:7" x14ac:dyDescent="0.25">
      <c r="A98" s="8">
        <v>42870.452800925923</v>
      </c>
      <c r="B98" s="20" t="s">
        <v>434</v>
      </c>
      <c r="C98" s="20" t="s">
        <v>707</v>
      </c>
      <c r="D98" s="141">
        <v>2560000</v>
      </c>
      <c r="E98" s="20" t="s">
        <v>458</v>
      </c>
      <c r="F98" s="20" t="s">
        <v>387</v>
      </c>
      <c r="G98" s="8" t="str">
        <f t="shared" si="1"/>
        <v>MACDONALD THOMAS</v>
      </c>
    </row>
    <row r="99" spans="1:7" x14ac:dyDescent="0.25">
      <c r="A99" s="8">
        <v>42870.453009259261</v>
      </c>
      <c r="B99" s="20" t="s">
        <v>376</v>
      </c>
      <c r="C99" s="20" t="s">
        <v>708</v>
      </c>
      <c r="D99" s="141">
        <v>1830000</v>
      </c>
      <c r="E99" s="20" t="s">
        <v>438</v>
      </c>
      <c r="F99" s="20" t="s">
        <v>439</v>
      </c>
      <c r="G99" s="8" t="str">
        <f t="shared" si="1"/>
        <v>YORK EDGAR</v>
      </c>
    </row>
    <row r="100" spans="1:7" x14ac:dyDescent="0.25">
      <c r="A100" s="8">
        <v>42870.453738425924</v>
      </c>
      <c r="B100" s="20" t="s">
        <v>370</v>
      </c>
      <c r="C100" s="20" t="s">
        <v>592</v>
      </c>
      <c r="D100" s="141">
        <v>2620000</v>
      </c>
      <c r="E100" s="20" t="s">
        <v>462</v>
      </c>
      <c r="F100" s="20" t="s">
        <v>463</v>
      </c>
      <c r="G100" s="8" t="str">
        <f t="shared" si="1"/>
        <v>PERKINS DARREN</v>
      </c>
    </row>
    <row r="101" spans="1:7" x14ac:dyDescent="0.25">
      <c r="A101" s="8">
        <v>42870.456666666665</v>
      </c>
      <c r="B101" s="20" t="s">
        <v>427</v>
      </c>
      <c r="C101" s="20" t="s">
        <v>709</v>
      </c>
      <c r="D101" s="141">
        <v>1230000</v>
      </c>
      <c r="E101" s="20" t="s">
        <v>656</v>
      </c>
      <c r="F101" s="20" t="s">
        <v>657</v>
      </c>
      <c r="G101" s="8" t="str">
        <f t="shared" si="1"/>
        <v>YANAI IAN</v>
      </c>
    </row>
    <row r="102" spans="1:7" x14ac:dyDescent="0.25">
      <c r="A102" s="8">
        <v>42870.466724537036</v>
      </c>
      <c r="B102" s="20" t="s">
        <v>625</v>
      </c>
      <c r="C102" s="20" t="s">
        <v>710</v>
      </c>
      <c r="D102" s="141">
        <v>2010000</v>
      </c>
      <c r="E102" s="20" t="s">
        <v>505</v>
      </c>
      <c r="F102" s="20" t="s">
        <v>506</v>
      </c>
      <c r="G102" s="8" t="str">
        <f t="shared" si="1"/>
        <v>MAELZER KURT</v>
      </c>
    </row>
    <row r="103" spans="1:7" x14ac:dyDescent="0.25">
      <c r="A103" s="8">
        <v>42870.467326388891</v>
      </c>
      <c r="B103" s="20" t="s">
        <v>625</v>
      </c>
      <c r="C103" s="20" t="s">
        <v>710</v>
      </c>
      <c r="D103" s="141">
        <v>2010000</v>
      </c>
      <c r="E103" s="20" t="s">
        <v>505</v>
      </c>
      <c r="F103" s="20" t="s">
        <v>506</v>
      </c>
      <c r="G103" s="8" t="str">
        <f t="shared" si="1"/>
        <v>MAELZER KURT</v>
      </c>
    </row>
    <row r="104" spans="1:7" x14ac:dyDescent="0.25">
      <c r="A104" s="8">
        <v>42870.468217592592</v>
      </c>
      <c r="B104" s="20" t="s">
        <v>625</v>
      </c>
      <c r="C104" s="20" t="s">
        <v>710</v>
      </c>
      <c r="D104" s="141">
        <v>2010000</v>
      </c>
      <c r="E104" s="20" t="s">
        <v>505</v>
      </c>
      <c r="F104" s="20" t="s">
        <v>506</v>
      </c>
      <c r="G104" s="8" t="str">
        <f t="shared" si="1"/>
        <v>MAELZER KURT</v>
      </c>
    </row>
    <row r="105" spans="1:7" x14ac:dyDescent="0.25">
      <c r="A105" s="8">
        <v>42870.469131944446</v>
      </c>
      <c r="B105" s="20" t="s">
        <v>625</v>
      </c>
      <c r="C105" s="20" t="s">
        <v>711</v>
      </c>
      <c r="D105" s="141">
        <v>2010000</v>
      </c>
      <c r="E105" s="20" t="s">
        <v>505</v>
      </c>
      <c r="F105" s="20" t="s">
        <v>506</v>
      </c>
      <c r="G105" s="8" t="str">
        <f t="shared" si="1"/>
        <v>MAELZER KURT</v>
      </c>
    </row>
    <row r="106" spans="1:7" x14ac:dyDescent="0.25">
      <c r="A106" s="8">
        <v>42870.471053240741</v>
      </c>
      <c r="B106" s="20" t="s">
        <v>345</v>
      </c>
      <c r="C106" s="20" t="s">
        <v>712</v>
      </c>
      <c r="D106" s="141">
        <v>920000</v>
      </c>
      <c r="E106" s="20" t="s">
        <v>507</v>
      </c>
      <c r="F106" s="20" t="s">
        <v>196</v>
      </c>
      <c r="G106" s="8" t="str">
        <f t="shared" si="1"/>
        <v>DAVIS MICHAEL</v>
      </c>
    </row>
    <row r="107" spans="1:7" x14ac:dyDescent="0.25">
      <c r="A107" s="8">
        <v>42870.472291666665</v>
      </c>
      <c r="B107" s="20" t="s">
        <v>344</v>
      </c>
      <c r="C107" s="20" t="s">
        <v>594</v>
      </c>
      <c r="D107" s="141">
        <v>1990000</v>
      </c>
      <c r="E107" s="20" t="s">
        <v>507</v>
      </c>
      <c r="F107" s="20" t="s">
        <v>508</v>
      </c>
      <c r="G107" s="8" t="str">
        <f t="shared" si="1"/>
        <v>DAVIS WENDY</v>
      </c>
    </row>
    <row r="108" spans="1:7" x14ac:dyDescent="0.25">
      <c r="A108" s="8">
        <v>42870.474143518521</v>
      </c>
      <c r="B108" s="20" t="s">
        <v>608</v>
      </c>
      <c r="C108" s="20" t="s">
        <v>710</v>
      </c>
      <c r="D108" s="141">
        <v>1260000</v>
      </c>
      <c r="E108" s="20" t="s">
        <v>713</v>
      </c>
      <c r="F108" s="20" t="s">
        <v>714</v>
      </c>
      <c r="G108" s="8" t="str">
        <f t="shared" si="1"/>
        <v>ACKERMAN JARED</v>
      </c>
    </row>
    <row r="109" spans="1:7" x14ac:dyDescent="0.25">
      <c r="A109" s="8">
        <v>42870.479386574072</v>
      </c>
      <c r="B109" s="20" t="s">
        <v>440</v>
      </c>
      <c r="C109" s="20" t="s">
        <v>595</v>
      </c>
      <c r="D109" s="141">
        <v>930000</v>
      </c>
      <c r="E109" s="20" t="s">
        <v>715</v>
      </c>
      <c r="F109" s="20" t="s">
        <v>716</v>
      </c>
      <c r="G109" s="8" t="str">
        <f t="shared" si="1"/>
        <v>CLARK KATHLEEN</v>
      </c>
    </row>
    <row r="110" spans="1:7" x14ac:dyDescent="0.25">
      <c r="A110" s="8">
        <v>42870.483055555553</v>
      </c>
      <c r="B110" s="20" t="s">
        <v>500</v>
      </c>
      <c r="C110" s="20" t="s">
        <v>717</v>
      </c>
      <c r="D110" s="141">
        <v>1230000</v>
      </c>
      <c r="E110" s="20" t="s">
        <v>656</v>
      </c>
      <c r="F110" s="20" t="s">
        <v>657</v>
      </c>
      <c r="G110" s="8" t="str">
        <f t="shared" si="1"/>
        <v>YANAI IAN</v>
      </c>
    </row>
    <row r="111" spans="1:7" x14ac:dyDescent="0.25">
      <c r="A111" s="8">
        <v>42870.486157407409</v>
      </c>
      <c r="B111" s="20" t="s">
        <v>499</v>
      </c>
      <c r="C111" s="20" t="s">
        <v>593</v>
      </c>
      <c r="D111" s="141">
        <v>2140000</v>
      </c>
      <c r="E111" s="20" t="s">
        <v>650</v>
      </c>
      <c r="F111" s="20" t="s">
        <v>651</v>
      </c>
      <c r="G111" s="8" t="str">
        <f t="shared" si="1"/>
        <v>ROBINSON KADDIBA</v>
      </c>
    </row>
    <row r="112" spans="1:7" x14ac:dyDescent="0.25">
      <c r="A112" s="8">
        <v>42870.486655092594</v>
      </c>
      <c r="B112" s="20" t="s">
        <v>379</v>
      </c>
      <c r="C112" s="20" t="s">
        <v>718</v>
      </c>
      <c r="D112" s="141">
        <v>2620000</v>
      </c>
      <c r="E112" s="20" t="s">
        <v>462</v>
      </c>
      <c r="F112" s="20" t="s">
        <v>463</v>
      </c>
      <c r="G112" s="8" t="str">
        <f t="shared" si="1"/>
        <v>PERKINS DARREN</v>
      </c>
    </row>
    <row r="113" spans="1:7" x14ac:dyDescent="0.25">
      <c r="A113" s="8">
        <v>42870.488599537035</v>
      </c>
      <c r="B113" s="20" t="s">
        <v>435</v>
      </c>
      <c r="C113" s="20" t="s">
        <v>596</v>
      </c>
      <c r="D113" s="141">
        <v>2470000</v>
      </c>
      <c r="E113" s="20" t="s">
        <v>510</v>
      </c>
      <c r="F113" s="20" t="s">
        <v>511</v>
      </c>
      <c r="G113" s="8" t="str">
        <f t="shared" si="1"/>
        <v>ROMERO CHAD</v>
      </c>
    </row>
    <row r="114" spans="1:7" x14ac:dyDescent="0.25">
      <c r="A114" s="8">
        <v>42870.495671296296</v>
      </c>
      <c r="B114" s="20" t="s">
        <v>378</v>
      </c>
      <c r="C114" s="20" t="s">
        <v>719</v>
      </c>
      <c r="D114" s="141">
        <v>2530000</v>
      </c>
      <c r="E114" s="20" t="s">
        <v>514</v>
      </c>
      <c r="F114" s="20" t="s">
        <v>515</v>
      </c>
      <c r="G114" s="8" t="str">
        <f t="shared" si="1"/>
        <v>LALONDE GREGORY</v>
      </c>
    </row>
    <row r="115" spans="1:7" x14ac:dyDescent="0.25">
      <c r="A115" s="8">
        <v>42870.497812499998</v>
      </c>
      <c r="B115" s="20" t="s">
        <v>427</v>
      </c>
      <c r="C115" s="20" t="s">
        <v>720</v>
      </c>
      <c r="D115" s="141">
        <v>1230000</v>
      </c>
      <c r="E115" s="20" t="s">
        <v>656</v>
      </c>
      <c r="F115" s="20" t="s">
        <v>657</v>
      </c>
      <c r="G115" s="8" t="str">
        <f t="shared" si="1"/>
        <v>YANAI IAN</v>
      </c>
    </row>
    <row r="116" spans="1:7" x14ac:dyDescent="0.25">
      <c r="A116" s="8">
        <v>42870.506828703707</v>
      </c>
      <c r="B116" s="20" t="s">
        <v>386</v>
      </c>
      <c r="C116" s="20" t="s">
        <v>721</v>
      </c>
      <c r="D116" s="141">
        <v>920000</v>
      </c>
      <c r="E116" s="20" t="s">
        <v>507</v>
      </c>
      <c r="F116" s="20" t="s">
        <v>196</v>
      </c>
      <c r="G116" s="8" t="str">
        <f t="shared" si="1"/>
        <v>DAVIS MICHAEL</v>
      </c>
    </row>
    <row r="117" spans="1:7" x14ac:dyDescent="0.25">
      <c r="A117" s="8">
        <v>42870.510462962964</v>
      </c>
      <c r="B117" s="20" t="s">
        <v>343</v>
      </c>
      <c r="C117" s="20" t="s">
        <v>722</v>
      </c>
      <c r="D117" s="141">
        <v>3120000</v>
      </c>
      <c r="E117" s="20" t="s">
        <v>723</v>
      </c>
      <c r="F117" s="20" t="s">
        <v>724</v>
      </c>
      <c r="G117" s="8" t="str">
        <f t="shared" si="1"/>
        <v>THOMPSON LESTER</v>
      </c>
    </row>
    <row r="118" spans="1:7" x14ac:dyDescent="0.25">
      <c r="A118" s="8">
        <v>42870.517268518517</v>
      </c>
      <c r="B118" s="20" t="s">
        <v>436</v>
      </c>
      <c r="C118" s="20" t="s">
        <v>725</v>
      </c>
      <c r="D118" s="141">
        <v>930000</v>
      </c>
      <c r="E118" s="20" t="s">
        <v>715</v>
      </c>
      <c r="F118" s="20" t="s">
        <v>716</v>
      </c>
      <c r="G118" s="8" t="str">
        <f t="shared" si="1"/>
        <v>CLARK KATHLEEN</v>
      </c>
    </row>
    <row r="119" spans="1:7" x14ac:dyDescent="0.25">
      <c r="A119" s="8">
        <v>42870.52002314815</v>
      </c>
      <c r="B119" s="20" t="s">
        <v>434</v>
      </c>
      <c r="C119" s="20" t="s">
        <v>726</v>
      </c>
      <c r="D119" s="141">
        <v>2470000</v>
      </c>
      <c r="E119" s="20" t="s">
        <v>510</v>
      </c>
      <c r="F119" s="20" t="s">
        <v>511</v>
      </c>
      <c r="G119" s="8" t="str">
        <f t="shared" si="1"/>
        <v>ROMERO CHAD</v>
      </c>
    </row>
    <row r="120" spans="1:7" x14ac:dyDescent="0.25">
      <c r="A120" s="8">
        <v>42870.520358796297</v>
      </c>
      <c r="B120" s="20" t="s">
        <v>501</v>
      </c>
      <c r="C120" s="20" t="s">
        <v>597</v>
      </c>
      <c r="D120" s="141">
        <v>2360000</v>
      </c>
      <c r="E120" s="20" t="s">
        <v>459</v>
      </c>
      <c r="F120" s="20" t="s">
        <v>460</v>
      </c>
      <c r="G120" s="8" t="str">
        <f t="shared" si="1"/>
        <v>BRANDNER MELINDA</v>
      </c>
    </row>
    <row r="121" spans="1:7" x14ac:dyDescent="0.25">
      <c r="A121" s="8">
        <v>42870.525381944448</v>
      </c>
      <c r="B121" s="20" t="s">
        <v>500</v>
      </c>
      <c r="C121" s="20" t="s">
        <v>727</v>
      </c>
      <c r="D121" s="141">
        <v>1230000</v>
      </c>
      <c r="E121" s="20" t="s">
        <v>656</v>
      </c>
      <c r="F121" s="20" t="s">
        <v>657</v>
      </c>
      <c r="G121" s="8" t="str">
        <f t="shared" si="1"/>
        <v>YANAI IAN</v>
      </c>
    </row>
    <row r="122" spans="1:7" x14ac:dyDescent="0.25">
      <c r="A122" s="8">
        <v>42870.526747685188</v>
      </c>
      <c r="B122" s="25" t="s">
        <v>370</v>
      </c>
      <c r="C122" s="20" t="s">
        <v>599</v>
      </c>
      <c r="D122" s="141">
        <v>2620000</v>
      </c>
      <c r="E122" s="20" t="s">
        <v>462</v>
      </c>
      <c r="F122" s="20" t="s">
        <v>463</v>
      </c>
      <c r="G122" s="8" t="str">
        <f t="shared" si="1"/>
        <v>PERKINS DARREN</v>
      </c>
    </row>
    <row r="123" spans="1:7" x14ac:dyDescent="0.25">
      <c r="A123" s="8">
        <v>42870.527361111112</v>
      </c>
      <c r="B123" s="20" t="s">
        <v>376</v>
      </c>
      <c r="C123" s="20" t="s">
        <v>600</v>
      </c>
      <c r="D123" s="141">
        <v>2530000</v>
      </c>
      <c r="E123" s="20" t="s">
        <v>514</v>
      </c>
      <c r="F123" s="20" t="s">
        <v>515</v>
      </c>
      <c r="G123" s="8" t="str">
        <f t="shared" si="1"/>
        <v>LALONDE GREGORY</v>
      </c>
    </row>
    <row r="124" spans="1:7" x14ac:dyDescent="0.25">
      <c r="A124" s="8">
        <v>42870.538761574076</v>
      </c>
      <c r="B124" s="20" t="s">
        <v>345</v>
      </c>
      <c r="C124" s="20" t="s">
        <v>728</v>
      </c>
      <c r="D124" s="141">
        <v>920000</v>
      </c>
      <c r="E124" s="20" t="s">
        <v>507</v>
      </c>
      <c r="F124" s="20" t="s">
        <v>196</v>
      </c>
      <c r="G124" s="8" t="str">
        <f t="shared" si="1"/>
        <v>DAVIS MICHAEL</v>
      </c>
    </row>
    <row r="125" spans="1:7" x14ac:dyDescent="0.25">
      <c r="A125" s="8">
        <v>42870.545277777775</v>
      </c>
      <c r="B125" s="20" t="s">
        <v>344</v>
      </c>
      <c r="C125" s="20" t="s">
        <v>598</v>
      </c>
      <c r="D125" s="141">
        <v>3120000</v>
      </c>
      <c r="E125" s="20" t="s">
        <v>723</v>
      </c>
      <c r="F125" s="20" t="s">
        <v>724</v>
      </c>
      <c r="G125" s="8" t="str">
        <f t="shared" si="1"/>
        <v>THOMPSON LESTER</v>
      </c>
    </row>
    <row r="126" spans="1:7" x14ac:dyDescent="0.25">
      <c r="A126" s="8">
        <v>42870.549745370372</v>
      </c>
      <c r="B126" s="20" t="s">
        <v>440</v>
      </c>
      <c r="C126" s="20" t="s">
        <v>729</v>
      </c>
      <c r="D126" s="141">
        <v>930000</v>
      </c>
      <c r="E126" s="20" t="s">
        <v>715</v>
      </c>
      <c r="F126" s="20" t="s">
        <v>716</v>
      </c>
      <c r="G126" s="8" t="str">
        <f t="shared" si="1"/>
        <v>CLARK KATHLEEN</v>
      </c>
    </row>
    <row r="127" spans="1:7" x14ac:dyDescent="0.25">
      <c r="A127" s="8">
        <v>42870.554328703707</v>
      </c>
      <c r="B127" s="20" t="s">
        <v>427</v>
      </c>
      <c r="C127" s="20" t="s">
        <v>730</v>
      </c>
      <c r="D127" s="141">
        <v>1300000</v>
      </c>
      <c r="E127" s="20" t="s">
        <v>512</v>
      </c>
      <c r="F127" s="20" t="s">
        <v>513</v>
      </c>
      <c r="G127" s="8" t="str">
        <f t="shared" si="1"/>
        <v>LEVIN SCOTT</v>
      </c>
    </row>
    <row r="128" spans="1:7" x14ac:dyDescent="0.25">
      <c r="A128" s="8">
        <v>42870.557893518519</v>
      </c>
      <c r="B128" s="20" t="s">
        <v>499</v>
      </c>
      <c r="C128" s="20" t="s">
        <v>731</v>
      </c>
      <c r="D128" s="141">
        <v>2360000</v>
      </c>
      <c r="E128" s="20" t="s">
        <v>459</v>
      </c>
      <c r="F128" s="20" t="s">
        <v>460</v>
      </c>
      <c r="G128" s="8" t="str">
        <f t="shared" si="1"/>
        <v>BRANDNER MELINDA</v>
      </c>
    </row>
    <row r="129" spans="1:7" x14ac:dyDescent="0.25">
      <c r="A129" s="8">
        <v>42870.558715277781</v>
      </c>
      <c r="B129" s="20" t="s">
        <v>379</v>
      </c>
      <c r="C129" s="20" t="s">
        <v>603</v>
      </c>
      <c r="D129" s="141">
        <v>2620000</v>
      </c>
      <c r="E129" s="20" t="s">
        <v>462</v>
      </c>
      <c r="F129" s="20" t="s">
        <v>463</v>
      </c>
      <c r="G129" s="8" t="str">
        <f t="shared" si="1"/>
        <v>PERKINS DARREN</v>
      </c>
    </row>
    <row r="130" spans="1:7" x14ac:dyDescent="0.25">
      <c r="A130" s="8">
        <v>42870.558935185189</v>
      </c>
      <c r="B130" s="20" t="s">
        <v>435</v>
      </c>
      <c r="C130" s="20" t="s">
        <v>601</v>
      </c>
      <c r="D130" s="141">
        <v>2470000</v>
      </c>
      <c r="E130" s="20" t="s">
        <v>510</v>
      </c>
      <c r="F130" s="20" t="s">
        <v>511</v>
      </c>
      <c r="G130" s="8" t="str">
        <f t="shared" si="1"/>
        <v>ROMERO CHAD</v>
      </c>
    </row>
    <row r="131" spans="1:7" x14ac:dyDescent="0.25">
      <c r="A131" s="8">
        <v>42870.567303240743</v>
      </c>
      <c r="B131" s="20" t="s">
        <v>500</v>
      </c>
      <c r="C131" s="20" t="s">
        <v>602</v>
      </c>
      <c r="D131" s="141">
        <v>1300000</v>
      </c>
      <c r="E131" s="20" t="s">
        <v>512</v>
      </c>
      <c r="F131" s="20" t="s">
        <v>513</v>
      </c>
      <c r="G131" s="8" t="str">
        <f t="shared" ref="G131:G194" si="2">E131&amp;" "&amp;F131</f>
        <v>LEVIN SCOTT</v>
      </c>
    </row>
    <row r="132" spans="1:7" x14ac:dyDescent="0.25">
      <c r="A132" s="8">
        <v>42870.56931712963</v>
      </c>
      <c r="B132" s="20" t="s">
        <v>378</v>
      </c>
      <c r="C132" s="20" t="s">
        <v>732</v>
      </c>
      <c r="D132" s="141">
        <v>2530000</v>
      </c>
      <c r="E132" s="20" t="s">
        <v>514</v>
      </c>
      <c r="F132" s="20" t="s">
        <v>515</v>
      </c>
      <c r="G132" s="8" t="str">
        <f t="shared" si="2"/>
        <v>LALONDE GREGORY</v>
      </c>
    </row>
    <row r="133" spans="1:7" x14ac:dyDescent="0.25">
      <c r="A133" s="8">
        <v>42870.579062500001</v>
      </c>
      <c r="B133" s="20" t="s">
        <v>386</v>
      </c>
      <c r="C133" s="20" t="s">
        <v>605</v>
      </c>
      <c r="D133" s="141">
        <v>920000</v>
      </c>
      <c r="E133" s="20" t="s">
        <v>507</v>
      </c>
      <c r="F133" s="20" t="s">
        <v>196</v>
      </c>
      <c r="G133" s="8" t="str">
        <f t="shared" si="2"/>
        <v>DAVIS MICHAEL</v>
      </c>
    </row>
    <row r="134" spans="1:7" x14ac:dyDescent="0.25">
      <c r="A134" s="8">
        <v>42870.58148148148</v>
      </c>
      <c r="B134" s="20" t="s">
        <v>343</v>
      </c>
      <c r="C134" s="20" t="s">
        <v>604</v>
      </c>
      <c r="D134" s="141">
        <v>3120000</v>
      </c>
      <c r="E134" s="20" t="s">
        <v>723</v>
      </c>
      <c r="F134" s="20" t="s">
        <v>724</v>
      </c>
      <c r="G134" s="8" t="str">
        <f t="shared" si="2"/>
        <v>THOMPSON LESTER</v>
      </c>
    </row>
    <row r="135" spans="1:7" x14ac:dyDescent="0.25">
      <c r="A135" s="8">
        <v>42870.588217592594</v>
      </c>
      <c r="B135" s="20" t="s">
        <v>436</v>
      </c>
      <c r="C135" s="20" t="s">
        <v>733</v>
      </c>
      <c r="D135" s="141">
        <v>930000</v>
      </c>
      <c r="E135" s="20" t="s">
        <v>715</v>
      </c>
      <c r="F135" s="20" t="s">
        <v>716</v>
      </c>
      <c r="G135" s="8" t="str">
        <f t="shared" si="2"/>
        <v>CLARK KATHLEEN</v>
      </c>
    </row>
    <row r="136" spans="1:7" x14ac:dyDescent="0.25">
      <c r="A136" s="8">
        <v>42870.589317129627</v>
      </c>
      <c r="B136" s="20" t="s">
        <v>434</v>
      </c>
      <c r="C136" s="20" t="s">
        <v>606</v>
      </c>
      <c r="D136" s="141">
        <v>2470000</v>
      </c>
      <c r="E136" s="20" t="s">
        <v>510</v>
      </c>
      <c r="F136" s="20" t="s">
        <v>511</v>
      </c>
      <c r="G136" s="8" t="str">
        <f t="shared" si="2"/>
        <v>ROMERO CHAD</v>
      </c>
    </row>
    <row r="137" spans="1:7" x14ac:dyDescent="0.25">
      <c r="A137" s="8">
        <v>42870.591620370367</v>
      </c>
      <c r="B137" s="20" t="s">
        <v>501</v>
      </c>
      <c r="C137" s="20" t="s">
        <v>734</v>
      </c>
      <c r="D137" s="141">
        <v>2360000</v>
      </c>
      <c r="E137" s="20" t="s">
        <v>459</v>
      </c>
      <c r="F137" s="20" t="s">
        <v>460</v>
      </c>
      <c r="G137" s="8" t="str">
        <f t="shared" si="2"/>
        <v>BRANDNER MELINDA</v>
      </c>
    </row>
    <row r="138" spans="1:7" x14ac:dyDescent="0.25">
      <c r="A138" s="8">
        <v>42870.596238425926</v>
      </c>
      <c r="B138" s="20" t="s">
        <v>427</v>
      </c>
      <c r="C138" s="20" t="s">
        <v>735</v>
      </c>
      <c r="D138" s="141">
        <v>1300000</v>
      </c>
      <c r="E138" s="20" t="s">
        <v>512</v>
      </c>
      <c r="F138" s="20" t="s">
        <v>513</v>
      </c>
      <c r="G138" s="8" t="str">
        <f t="shared" si="2"/>
        <v>LEVIN SCOTT</v>
      </c>
    </row>
    <row r="139" spans="1:7" x14ac:dyDescent="0.25">
      <c r="A139" s="8">
        <v>42870.599432870367</v>
      </c>
      <c r="B139" s="20" t="s">
        <v>376</v>
      </c>
      <c r="C139" s="20" t="s">
        <v>736</v>
      </c>
      <c r="D139" s="141">
        <v>2530000</v>
      </c>
      <c r="E139" s="20" t="s">
        <v>514</v>
      </c>
      <c r="F139" s="20" t="s">
        <v>515</v>
      </c>
      <c r="G139" s="8" t="str">
        <f t="shared" si="2"/>
        <v>LALONDE GREGORY</v>
      </c>
    </row>
    <row r="140" spans="1:7" x14ac:dyDescent="0.25">
      <c r="A140" s="8">
        <v>42870.602581018517</v>
      </c>
      <c r="B140" s="20" t="s">
        <v>370</v>
      </c>
      <c r="C140" s="20" t="s">
        <v>737</v>
      </c>
      <c r="D140" s="141">
        <v>1520000</v>
      </c>
      <c r="E140" s="20" t="s">
        <v>695</v>
      </c>
      <c r="F140" s="20" t="s">
        <v>696</v>
      </c>
      <c r="G140" s="8" t="str">
        <f t="shared" si="2"/>
        <v>MAYBERRY BILL</v>
      </c>
    </row>
    <row r="141" spans="1:7" x14ac:dyDescent="0.25">
      <c r="A141" s="8">
        <v>42870.608703703707</v>
      </c>
      <c r="B141" s="20" t="s">
        <v>500</v>
      </c>
      <c r="C141" s="20" t="s">
        <v>607</v>
      </c>
      <c r="D141" s="141">
        <v>1300000</v>
      </c>
      <c r="E141" s="20" t="s">
        <v>512</v>
      </c>
      <c r="F141" s="20" t="s">
        <v>513</v>
      </c>
      <c r="G141" s="8" t="str">
        <f t="shared" si="2"/>
        <v>LEVIN SCOTT</v>
      </c>
    </row>
    <row r="142" spans="1:7" x14ac:dyDescent="0.25">
      <c r="A142" s="8">
        <v>42870.611712962964</v>
      </c>
      <c r="B142" s="20" t="s">
        <v>345</v>
      </c>
      <c r="C142" s="20" t="s">
        <v>738</v>
      </c>
      <c r="D142" s="141">
        <v>920000</v>
      </c>
      <c r="E142" s="20" t="s">
        <v>507</v>
      </c>
      <c r="F142" s="20" t="s">
        <v>196</v>
      </c>
      <c r="G142" s="8" t="str">
        <f t="shared" si="2"/>
        <v>DAVIS MICHAEL</v>
      </c>
    </row>
    <row r="143" spans="1:7" x14ac:dyDescent="0.25">
      <c r="A143" s="8">
        <v>42870.618356481478</v>
      </c>
      <c r="B143" s="20" t="s">
        <v>344</v>
      </c>
      <c r="C143" s="20" t="s">
        <v>739</v>
      </c>
      <c r="D143" s="141">
        <v>3120000</v>
      </c>
      <c r="E143" s="20" t="s">
        <v>723</v>
      </c>
      <c r="F143" s="20" t="s">
        <v>724</v>
      </c>
      <c r="G143" s="8" t="str">
        <f t="shared" si="2"/>
        <v>THOMPSON LESTER</v>
      </c>
    </row>
    <row r="144" spans="1:7" x14ac:dyDescent="0.25">
      <c r="A144" s="8">
        <v>42870.621319444443</v>
      </c>
      <c r="B144" s="20" t="s">
        <v>588</v>
      </c>
      <c r="C144" s="20" t="s">
        <v>740</v>
      </c>
      <c r="D144" s="141">
        <v>2610000</v>
      </c>
      <c r="E144" s="20" t="s">
        <v>741</v>
      </c>
      <c r="F144" s="20" t="s">
        <v>742</v>
      </c>
      <c r="G144" s="8" t="str">
        <f t="shared" si="2"/>
        <v>MAGEE KENYA</v>
      </c>
    </row>
    <row r="145" spans="1:7" x14ac:dyDescent="0.25">
      <c r="A145" s="8">
        <v>42870.621747685182</v>
      </c>
      <c r="B145" s="20" t="s">
        <v>608</v>
      </c>
      <c r="C145" s="20" t="s">
        <v>609</v>
      </c>
      <c r="D145" s="141">
        <v>1260000</v>
      </c>
      <c r="E145" s="20" t="s">
        <v>713</v>
      </c>
      <c r="F145" s="20" t="s">
        <v>714</v>
      </c>
      <c r="G145" s="8" t="str">
        <f t="shared" si="2"/>
        <v>ACKERMAN JARED</v>
      </c>
    </row>
    <row r="146" spans="1:7" x14ac:dyDescent="0.25">
      <c r="A146" s="8">
        <v>42870.623483796298</v>
      </c>
      <c r="B146" s="20" t="s">
        <v>440</v>
      </c>
      <c r="C146" s="20" t="s">
        <v>743</v>
      </c>
      <c r="D146" s="141">
        <v>930000</v>
      </c>
      <c r="E146" s="20" t="s">
        <v>715</v>
      </c>
      <c r="F146" s="20" t="s">
        <v>716</v>
      </c>
      <c r="G146" s="8" t="str">
        <f t="shared" si="2"/>
        <v>CLARK KATHLEEN</v>
      </c>
    </row>
    <row r="147" spans="1:7" x14ac:dyDescent="0.25">
      <c r="A147" s="8">
        <v>42870.625451388885</v>
      </c>
      <c r="B147" s="20" t="s">
        <v>625</v>
      </c>
      <c r="C147" s="20" t="s">
        <v>740</v>
      </c>
      <c r="D147" s="141">
        <v>2610000</v>
      </c>
      <c r="E147" s="20" t="s">
        <v>741</v>
      </c>
      <c r="F147" s="20" t="s">
        <v>742</v>
      </c>
      <c r="G147" s="8" t="str">
        <f t="shared" si="2"/>
        <v>MAGEE KENYA</v>
      </c>
    </row>
    <row r="148" spans="1:7" x14ac:dyDescent="0.25">
      <c r="A148" s="8">
        <v>42870.62771990741</v>
      </c>
      <c r="B148" s="20" t="s">
        <v>499</v>
      </c>
      <c r="C148" s="20" t="s">
        <v>744</v>
      </c>
      <c r="D148" s="141">
        <v>2360000</v>
      </c>
      <c r="E148" s="20" t="s">
        <v>459</v>
      </c>
      <c r="F148" s="20" t="s">
        <v>460</v>
      </c>
      <c r="G148" s="8" t="str">
        <f t="shared" si="2"/>
        <v>BRANDNER MELINDA</v>
      </c>
    </row>
    <row r="149" spans="1:7" x14ac:dyDescent="0.25">
      <c r="A149" s="8">
        <v>42870.630601851852</v>
      </c>
      <c r="B149" s="20" t="s">
        <v>435</v>
      </c>
      <c r="C149" s="20" t="s">
        <v>745</v>
      </c>
      <c r="D149" s="141">
        <v>2470000</v>
      </c>
      <c r="E149" s="20" t="s">
        <v>510</v>
      </c>
      <c r="F149" s="20" t="s">
        <v>511</v>
      </c>
      <c r="G149" s="8" t="str">
        <f t="shared" si="2"/>
        <v>ROMERO CHAD</v>
      </c>
    </row>
    <row r="150" spans="1:7" x14ac:dyDescent="0.25">
      <c r="A150" s="8">
        <v>42870.633136574077</v>
      </c>
      <c r="B150" s="20" t="s">
        <v>379</v>
      </c>
      <c r="C150" s="20" t="s">
        <v>737</v>
      </c>
      <c r="D150" s="141">
        <v>1520000</v>
      </c>
      <c r="E150" s="20" t="s">
        <v>695</v>
      </c>
      <c r="F150" s="20" t="s">
        <v>696</v>
      </c>
      <c r="G150" s="8" t="str">
        <f t="shared" si="2"/>
        <v>MAYBERRY BILL</v>
      </c>
    </row>
    <row r="151" spans="1:7" x14ac:dyDescent="0.25">
      <c r="A151" s="8">
        <v>42870.633437500001</v>
      </c>
      <c r="B151" s="20" t="s">
        <v>391</v>
      </c>
      <c r="C151" s="20" t="s">
        <v>746</v>
      </c>
      <c r="D151" s="141">
        <v>1810000</v>
      </c>
      <c r="E151" s="20" t="s">
        <v>388</v>
      </c>
      <c r="F151" s="20" t="s">
        <v>193</v>
      </c>
      <c r="G151" s="8" t="str">
        <f t="shared" si="2"/>
        <v>NEWELL JAMES</v>
      </c>
    </row>
    <row r="152" spans="1:7" x14ac:dyDescent="0.25">
      <c r="A152" s="8">
        <v>42870.633715277778</v>
      </c>
      <c r="B152" s="20" t="s">
        <v>379</v>
      </c>
      <c r="C152" s="20" t="s">
        <v>747</v>
      </c>
      <c r="D152" s="141">
        <v>1520000</v>
      </c>
      <c r="E152" s="20" t="s">
        <v>695</v>
      </c>
      <c r="F152" s="20" t="s">
        <v>696</v>
      </c>
      <c r="G152" s="8" t="str">
        <f t="shared" si="2"/>
        <v>MAYBERRY BILL</v>
      </c>
    </row>
    <row r="153" spans="1:7" x14ac:dyDescent="0.25">
      <c r="A153" s="8">
        <v>42870.635138888887</v>
      </c>
      <c r="B153" s="20" t="s">
        <v>391</v>
      </c>
      <c r="C153" s="20" t="s">
        <v>746</v>
      </c>
      <c r="D153" s="141">
        <v>1810000</v>
      </c>
      <c r="E153" s="20" t="s">
        <v>388</v>
      </c>
      <c r="F153" s="20" t="s">
        <v>193</v>
      </c>
      <c r="G153" s="8" t="str">
        <f t="shared" si="2"/>
        <v>NEWELL JAMES</v>
      </c>
    </row>
    <row r="154" spans="1:7" x14ac:dyDescent="0.25">
      <c r="A154" s="8">
        <v>42870.637928240743</v>
      </c>
      <c r="B154" s="20" t="s">
        <v>427</v>
      </c>
      <c r="C154" s="20" t="s">
        <v>748</v>
      </c>
      <c r="D154" s="141">
        <v>1300000</v>
      </c>
      <c r="E154" s="20" t="s">
        <v>512</v>
      </c>
      <c r="F154" s="20" t="s">
        <v>513</v>
      </c>
      <c r="G154" s="8" t="str">
        <f t="shared" si="2"/>
        <v>LEVIN SCOTT</v>
      </c>
    </row>
    <row r="155" spans="1:7" x14ac:dyDescent="0.25">
      <c r="A155" s="8">
        <v>42870.642291666663</v>
      </c>
      <c r="B155" s="20" t="s">
        <v>378</v>
      </c>
      <c r="C155" s="20" t="s">
        <v>749</v>
      </c>
      <c r="D155" s="141">
        <v>2530000</v>
      </c>
      <c r="E155" s="20" t="s">
        <v>514</v>
      </c>
      <c r="F155" s="20" t="s">
        <v>515</v>
      </c>
      <c r="G155" s="8" t="str">
        <f t="shared" si="2"/>
        <v>LALONDE GREGORY</v>
      </c>
    </row>
    <row r="156" spans="1:7" x14ac:dyDescent="0.25">
      <c r="A156" s="8">
        <v>42870.644270833334</v>
      </c>
      <c r="B156" s="20" t="s">
        <v>398</v>
      </c>
      <c r="C156" s="20" t="s">
        <v>750</v>
      </c>
      <c r="D156" s="141">
        <v>1810000</v>
      </c>
      <c r="E156" s="20" t="s">
        <v>388</v>
      </c>
      <c r="F156" s="20" t="s">
        <v>193</v>
      </c>
      <c r="G156" s="8" t="str">
        <f t="shared" si="2"/>
        <v>NEWELL JAMES</v>
      </c>
    </row>
    <row r="157" spans="1:7" x14ac:dyDescent="0.25">
      <c r="A157" s="8">
        <v>42870.650451388887</v>
      </c>
      <c r="B157" s="20" t="s">
        <v>500</v>
      </c>
      <c r="C157" s="20" t="s">
        <v>751</v>
      </c>
      <c r="D157" s="141">
        <v>1300000</v>
      </c>
      <c r="E157" s="20" t="s">
        <v>512</v>
      </c>
      <c r="F157" s="20" t="s">
        <v>513</v>
      </c>
      <c r="G157" s="8" t="str">
        <f t="shared" si="2"/>
        <v>LEVIN SCOTT</v>
      </c>
    </row>
    <row r="158" spans="1:7" x14ac:dyDescent="0.25">
      <c r="A158" s="8">
        <v>42870.651956018519</v>
      </c>
      <c r="B158" s="20" t="s">
        <v>386</v>
      </c>
      <c r="C158" s="20" t="s">
        <v>611</v>
      </c>
      <c r="D158" s="141">
        <v>920000</v>
      </c>
      <c r="E158" s="20" t="s">
        <v>507</v>
      </c>
      <c r="F158" s="20" t="s">
        <v>196</v>
      </c>
      <c r="G158" s="8" t="str">
        <f t="shared" si="2"/>
        <v>DAVIS MICHAEL</v>
      </c>
    </row>
    <row r="159" spans="1:7" x14ac:dyDescent="0.25">
      <c r="A159" s="8">
        <v>42870.653495370374</v>
      </c>
      <c r="B159" s="20" t="s">
        <v>343</v>
      </c>
      <c r="C159" s="20" t="s">
        <v>610</v>
      </c>
      <c r="D159" s="141">
        <v>3120000</v>
      </c>
      <c r="E159" s="20" t="s">
        <v>723</v>
      </c>
      <c r="F159" s="20" t="s">
        <v>724</v>
      </c>
      <c r="G159" s="8" t="str">
        <f t="shared" si="2"/>
        <v>THOMPSON LESTER</v>
      </c>
    </row>
    <row r="160" spans="1:7" x14ac:dyDescent="0.25">
      <c r="A160" s="8">
        <v>42870.653657407405</v>
      </c>
      <c r="B160" s="20" t="s">
        <v>667</v>
      </c>
      <c r="C160" s="20" t="s">
        <v>609</v>
      </c>
      <c r="D160" s="141">
        <v>1260000</v>
      </c>
      <c r="E160" s="20" t="s">
        <v>713</v>
      </c>
      <c r="F160" s="20" t="s">
        <v>714</v>
      </c>
      <c r="G160" s="8" t="str">
        <f t="shared" si="2"/>
        <v>ACKERMAN JARED</v>
      </c>
    </row>
    <row r="161" spans="1:7" x14ac:dyDescent="0.25">
      <c r="A161" s="8">
        <v>42870.661782407406</v>
      </c>
      <c r="B161" s="20" t="s">
        <v>436</v>
      </c>
      <c r="C161" s="20" t="s">
        <v>752</v>
      </c>
      <c r="D161" s="141">
        <v>930000</v>
      </c>
      <c r="E161" s="20" t="s">
        <v>715</v>
      </c>
      <c r="F161" s="20" t="s">
        <v>716</v>
      </c>
      <c r="G161" s="8" t="str">
        <f t="shared" si="2"/>
        <v>CLARK KATHLEEN</v>
      </c>
    </row>
    <row r="162" spans="1:7" x14ac:dyDescent="0.25">
      <c r="A162" s="8">
        <v>42870.661840277775</v>
      </c>
      <c r="B162" s="20" t="s">
        <v>434</v>
      </c>
      <c r="C162" s="20" t="s">
        <v>613</v>
      </c>
      <c r="D162" s="141">
        <v>2470000</v>
      </c>
      <c r="E162" s="20" t="s">
        <v>510</v>
      </c>
      <c r="F162" s="20" t="s">
        <v>511</v>
      </c>
      <c r="G162" s="8" t="str">
        <f t="shared" si="2"/>
        <v>ROMERO CHAD</v>
      </c>
    </row>
    <row r="163" spans="1:7" x14ac:dyDescent="0.25">
      <c r="A163" s="8">
        <v>42870.662291666667</v>
      </c>
      <c r="B163" s="20" t="s">
        <v>608</v>
      </c>
      <c r="C163" s="20" t="s">
        <v>753</v>
      </c>
      <c r="D163" s="141">
        <v>2360000</v>
      </c>
      <c r="E163" s="20" t="s">
        <v>459</v>
      </c>
      <c r="F163" s="20" t="s">
        <v>460</v>
      </c>
      <c r="G163" s="8" t="str">
        <f t="shared" si="2"/>
        <v>BRANDNER MELINDA</v>
      </c>
    </row>
    <row r="164" spans="1:7" x14ac:dyDescent="0.25">
      <c r="A164" s="8">
        <v>42870.670393518521</v>
      </c>
      <c r="B164" s="20" t="s">
        <v>391</v>
      </c>
      <c r="C164" s="20" t="s">
        <v>754</v>
      </c>
      <c r="D164" s="141">
        <v>1810000</v>
      </c>
      <c r="E164" s="20" t="s">
        <v>388</v>
      </c>
      <c r="F164" s="20" t="s">
        <v>193</v>
      </c>
      <c r="G164" s="8" t="str">
        <f t="shared" si="2"/>
        <v>NEWELL JAMES</v>
      </c>
    </row>
    <row r="165" spans="1:7" x14ac:dyDescent="0.25">
      <c r="A165" s="8">
        <v>42870.671886574077</v>
      </c>
      <c r="B165" s="20" t="s">
        <v>376</v>
      </c>
      <c r="C165" s="20" t="s">
        <v>755</v>
      </c>
      <c r="D165" s="141">
        <v>2530000</v>
      </c>
      <c r="E165" s="20" t="s">
        <v>514</v>
      </c>
      <c r="F165" s="20" t="s">
        <v>515</v>
      </c>
      <c r="G165" s="8" t="str">
        <f t="shared" si="2"/>
        <v>LALONDE GREGORY</v>
      </c>
    </row>
    <row r="166" spans="1:7" x14ac:dyDescent="0.25">
      <c r="A166" s="8">
        <v>42870.673587962963</v>
      </c>
      <c r="B166" s="20" t="s">
        <v>370</v>
      </c>
      <c r="C166" s="20" t="s">
        <v>614</v>
      </c>
      <c r="D166" s="141">
        <v>2620000</v>
      </c>
      <c r="E166" s="20" t="s">
        <v>462</v>
      </c>
      <c r="F166" s="20" t="s">
        <v>463</v>
      </c>
      <c r="G166" s="8" t="str">
        <f t="shared" si="2"/>
        <v>PERKINS DARREN</v>
      </c>
    </row>
    <row r="167" spans="1:7" x14ac:dyDescent="0.25">
      <c r="A167" s="8">
        <v>42870.679224537038</v>
      </c>
      <c r="B167" s="20" t="s">
        <v>427</v>
      </c>
      <c r="C167" s="20" t="s">
        <v>756</v>
      </c>
      <c r="D167" s="141">
        <v>1300000</v>
      </c>
      <c r="E167" s="20" t="s">
        <v>512</v>
      </c>
      <c r="F167" s="20" t="s">
        <v>513</v>
      </c>
      <c r="G167" s="8" t="str">
        <f t="shared" si="2"/>
        <v>LEVIN SCOTT</v>
      </c>
    </row>
    <row r="168" spans="1:7" x14ac:dyDescent="0.25">
      <c r="A168" s="8">
        <v>42870.685335648152</v>
      </c>
      <c r="B168" s="20" t="s">
        <v>345</v>
      </c>
      <c r="C168" s="20" t="s">
        <v>757</v>
      </c>
      <c r="D168" s="141">
        <v>920000</v>
      </c>
      <c r="E168" s="20" t="s">
        <v>507</v>
      </c>
      <c r="F168" s="20" t="s">
        <v>196</v>
      </c>
      <c r="G168" s="8" t="str">
        <f t="shared" si="2"/>
        <v>DAVIS MICHAEL</v>
      </c>
    </row>
    <row r="169" spans="1:7" x14ac:dyDescent="0.25">
      <c r="A169" s="8">
        <v>42870.68550925926</v>
      </c>
      <c r="B169" s="20" t="s">
        <v>398</v>
      </c>
      <c r="C169" s="20" t="s">
        <v>754</v>
      </c>
      <c r="D169" s="141">
        <v>1810000</v>
      </c>
      <c r="E169" s="20" t="s">
        <v>388</v>
      </c>
      <c r="F169" s="20" t="s">
        <v>193</v>
      </c>
      <c r="G169" s="8" t="str">
        <f t="shared" si="2"/>
        <v>NEWELL JAMES</v>
      </c>
    </row>
    <row r="170" spans="1:7" x14ac:dyDescent="0.25">
      <c r="A170" s="8">
        <v>42870.686365740738</v>
      </c>
      <c r="B170" s="20" t="s">
        <v>398</v>
      </c>
      <c r="C170" s="20" t="s">
        <v>758</v>
      </c>
      <c r="D170" s="141">
        <v>1810000</v>
      </c>
      <c r="E170" s="20" t="s">
        <v>388</v>
      </c>
      <c r="F170" s="20" t="s">
        <v>193</v>
      </c>
      <c r="G170" s="8" t="str">
        <f t="shared" si="2"/>
        <v>NEWELL JAMES</v>
      </c>
    </row>
    <row r="171" spans="1:7" x14ac:dyDescent="0.25">
      <c r="A171" s="8">
        <v>42870.690243055556</v>
      </c>
      <c r="B171" s="20" t="s">
        <v>344</v>
      </c>
      <c r="C171" s="20" t="s">
        <v>612</v>
      </c>
      <c r="D171" s="141">
        <v>3120000</v>
      </c>
      <c r="E171" s="20" t="s">
        <v>723</v>
      </c>
      <c r="F171" s="20" t="s">
        <v>724</v>
      </c>
      <c r="G171" s="8" t="str">
        <f t="shared" si="2"/>
        <v>THOMPSON LESTER</v>
      </c>
    </row>
    <row r="172" spans="1:7" x14ac:dyDescent="0.25">
      <c r="A172" s="8">
        <v>42870.692511574074</v>
      </c>
      <c r="B172" s="20" t="s">
        <v>500</v>
      </c>
      <c r="C172" s="20" t="s">
        <v>759</v>
      </c>
      <c r="D172" s="141">
        <v>1300000</v>
      </c>
      <c r="E172" s="20" t="s">
        <v>512</v>
      </c>
      <c r="F172" s="20" t="s">
        <v>513</v>
      </c>
      <c r="G172" s="8" t="str">
        <f t="shared" si="2"/>
        <v>LEVIN SCOTT</v>
      </c>
    </row>
    <row r="173" spans="1:7" x14ac:dyDescent="0.25">
      <c r="A173" s="8">
        <v>42870.696134259262</v>
      </c>
      <c r="B173" s="20" t="s">
        <v>440</v>
      </c>
      <c r="C173" s="20" t="s">
        <v>615</v>
      </c>
      <c r="D173" s="141">
        <v>930000</v>
      </c>
      <c r="E173" s="20" t="s">
        <v>715</v>
      </c>
      <c r="F173" s="20" t="s">
        <v>716</v>
      </c>
      <c r="G173" s="8" t="str">
        <f t="shared" si="2"/>
        <v>CLARK KATHLEEN</v>
      </c>
    </row>
    <row r="174" spans="1:7" x14ac:dyDescent="0.25">
      <c r="A174" s="8">
        <v>42870.702638888892</v>
      </c>
      <c r="B174" s="20" t="s">
        <v>667</v>
      </c>
      <c r="C174" s="20" t="s">
        <v>760</v>
      </c>
      <c r="D174" s="141">
        <v>2360000</v>
      </c>
      <c r="E174" s="20" t="s">
        <v>459</v>
      </c>
      <c r="F174" s="20" t="s">
        <v>460</v>
      </c>
      <c r="G174" s="8" t="str">
        <f t="shared" si="2"/>
        <v>BRANDNER MELINDA</v>
      </c>
    </row>
    <row r="175" spans="1:7" x14ac:dyDescent="0.25">
      <c r="A175" s="8">
        <v>42870.7031712963</v>
      </c>
      <c r="B175" s="20" t="s">
        <v>435</v>
      </c>
      <c r="C175" s="20" t="s">
        <v>616</v>
      </c>
      <c r="D175" s="141">
        <v>2470000</v>
      </c>
      <c r="E175" s="20" t="s">
        <v>510</v>
      </c>
      <c r="F175" s="20" t="s">
        <v>511</v>
      </c>
      <c r="G175" s="8" t="str">
        <f t="shared" si="2"/>
        <v>ROMERO CHAD</v>
      </c>
    </row>
    <row r="176" spans="1:7" x14ac:dyDescent="0.25">
      <c r="A176" s="8">
        <v>42870.709328703706</v>
      </c>
      <c r="B176" s="20" t="s">
        <v>379</v>
      </c>
      <c r="C176" s="20" t="s">
        <v>617</v>
      </c>
      <c r="D176" s="141">
        <v>2620000</v>
      </c>
      <c r="E176" s="20" t="s">
        <v>462</v>
      </c>
      <c r="F176" s="20" t="s">
        <v>463</v>
      </c>
      <c r="G176" s="8" t="str">
        <f t="shared" si="2"/>
        <v>PERKINS DARREN</v>
      </c>
    </row>
    <row r="177" spans="1:7" x14ac:dyDescent="0.25">
      <c r="A177" s="8">
        <v>42870.712233796294</v>
      </c>
      <c r="B177" s="20" t="s">
        <v>391</v>
      </c>
      <c r="C177" s="20" t="s">
        <v>761</v>
      </c>
      <c r="D177" s="141">
        <v>1810000</v>
      </c>
      <c r="E177" s="20" t="s">
        <v>388</v>
      </c>
      <c r="F177" s="20" t="s">
        <v>193</v>
      </c>
      <c r="G177" s="8" t="str">
        <f t="shared" si="2"/>
        <v>NEWELL JAMES</v>
      </c>
    </row>
    <row r="178" spans="1:7" x14ac:dyDescent="0.25">
      <c r="A178" s="8">
        <v>42870.715497685182</v>
      </c>
      <c r="B178" s="20" t="s">
        <v>588</v>
      </c>
      <c r="C178" s="20" t="s">
        <v>762</v>
      </c>
      <c r="D178" s="141">
        <v>3130000</v>
      </c>
      <c r="E178" s="20" t="s">
        <v>408</v>
      </c>
      <c r="F178" s="20" t="s">
        <v>409</v>
      </c>
      <c r="G178" s="8" t="str">
        <f t="shared" si="2"/>
        <v>ZEWDU DEREJE</v>
      </c>
    </row>
    <row r="179" spans="1:7" x14ac:dyDescent="0.25">
      <c r="A179" s="8">
        <v>42870.716296296298</v>
      </c>
      <c r="B179" s="20" t="s">
        <v>588</v>
      </c>
      <c r="C179" s="20" t="s">
        <v>763</v>
      </c>
      <c r="D179" s="141">
        <v>2230000</v>
      </c>
      <c r="E179" s="20" t="s">
        <v>346</v>
      </c>
      <c r="F179" s="20" t="s">
        <v>196</v>
      </c>
      <c r="G179" s="8" t="str">
        <f t="shared" si="2"/>
        <v>SMITH MICHAEL</v>
      </c>
    </row>
    <row r="180" spans="1:7" x14ac:dyDescent="0.25">
      <c r="A180" s="8">
        <v>42870.716979166667</v>
      </c>
      <c r="B180" s="20" t="s">
        <v>427</v>
      </c>
      <c r="C180" s="20" t="s">
        <v>764</v>
      </c>
      <c r="D180" s="141">
        <v>1300000</v>
      </c>
      <c r="E180" s="20" t="s">
        <v>512</v>
      </c>
      <c r="F180" s="20" t="s">
        <v>513</v>
      </c>
      <c r="G180" s="8" t="str">
        <f t="shared" si="2"/>
        <v>LEVIN SCOTT</v>
      </c>
    </row>
    <row r="181" spans="1:7" x14ac:dyDescent="0.25">
      <c r="A181" s="8">
        <v>42870.717164351852</v>
      </c>
      <c r="B181" s="20" t="s">
        <v>378</v>
      </c>
      <c r="C181" s="20" t="s">
        <v>765</v>
      </c>
      <c r="D181" s="141">
        <v>1800000</v>
      </c>
      <c r="E181" s="20" t="s">
        <v>401</v>
      </c>
      <c r="F181" s="20" t="s">
        <v>402</v>
      </c>
      <c r="G181" s="8" t="str">
        <f t="shared" si="2"/>
        <v>CHANDLER KELVIN</v>
      </c>
    </row>
    <row r="182" spans="1:7" x14ac:dyDescent="0.25">
      <c r="A182" s="8">
        <v>42870.72420138889</v>
      </c>
      <c r="B182" s="20" t="s">
        <v>386</v>
      </c>
      <c r="C182" s="20" t="s">
        <v>766</v>
      </c>
      <c r="D182" s="141">
        <v>920000</v>
      </c>
      <c r="E182" s="20" t="s">
        <v>507</v>
      </c>
      <c r="F182" s="20" t="s">
        <v>196</v>
      </c>
      <c r="G182" s="8" t="str">
        <f t="shared" si="2"/>
        <v>DAVIS MICHAEL</v>
      </c>
    </row>
    <row r="183" spans="1:7" x14ac:dyDescent="0.25">
      <c r="A183" s="8">
        <v>42870.725451388891</v>
      </c>
      <c r="B183" s="20" t="s">
        <v>501</v>
      </c>
      <c r="C183" s="20" t="s">
        <v>767</v>
      </c>
      <c r="D183" s="141">
        <v>2600000</v>
      </c>
      <c r="E183" s="20" t="s">
        <v>516</v>
      </c>
      <c r="F183" s="20" t="s">
        <v>517</v>
      </c>
      <c r="G183" s="8" t="str">
        <f t="shared" si="2"/>
        <v>DAVIDSON DAVID</v>
      </c>
    </row>
    <row r="184" spans="1:7" x14ac:dyDescent="0.25">
      <c r="A184" s="8">
        <v>42870.726273148146</v>
      </c>
      <c r="B184" s="20" t="s">
        <v>343</v>
      </c>
      <c r="C184" s="20" t="s">
        <v>768</v>
      </c>
      <c r="D184" s="141">
        <v>2530000</v>
      </c>
      <c r="E184" s="20" t="s">
        <v>514</v>
      </c>
      <c r="F184" s="20" t="s">
        <v>515</v>
      </c>
      <c r="G184" s="8" t="str">
        <f t="shared" si="2"/>
        <v>LALONDE GREGORY</v>
      </c>
    </row>
    <row r="185" spans="1:7" x14ac:dyDescent="0.25">
      <c r="A185" s="8">
        <v>42870.729143518518</v>
      </c>
      <c r="B185" s="20" t="s">
        <v>398</v>
      </c>
      <c r="C185" s="20" t="s">
        <v>769</v>
      </c>
      <c r="D185" s="141">
        <v>1810000</v>
      </c>
      <c r="E185" s="20" t="s">
        <v>388</v>
      </c>
      <c r="F185" s="20" t="s">
        <v>193</v>
      </c>
      <c r="G185" s="8" t="str">
        <f t="shared" si="2"/>
        <v>NEWELL JAMES</v>
      </c>
    </row>
    <row r="186" spans="1:7" x14ac:dyDescent="0.25">
      <c r="A186" s="8">
        <v>42870.733900462961</v>
      </c>
      <c r="B186" s="20" t="s">
        <v>436</v>
      </c>
      <c r="C186" s="20" t="s">
        <v>770</v>
      </c>
      <c r="D186" s="141">
        <v>930000</v>
      </c>
      <c r="E186" s="20" t="s">
        <v>715</v>
      </c>
      <c r="F186" s="20" t="s">
        <v>716</v>
      </c>
      <c r="G186" s="8" t="str">
        <f t="shared" si="2"/>
        <v>CLARK KATHLEEN</v>
      </c>
    </row>
    <row r="187" spans="1:7" x14ac:dyDescent="0.25">
      <c r="A187" s="8">
        <v>42870.734050925923</v>
      </c>
      <c r="B187" s="20" t="s">
        <v>500</v>
      </c>
      <c r="C187" s="20" t="s">
        <v>771</v>
      </c>
      <c r="D187" s="141">
        <v>1300000</v>
      </c>
      <c r="E187" s="20" t="s">
        <v>512</v>
      </c>
      <c r="F187" s="20" t="s">
        <v>513</v>
      </c>
      <c r="G187" s="8" t="str">
        <f t="shared" si="2"/>
        <v>LEVIN SCOTT</v>
      </c>
    </row>
    <row r="188" spans="1:7" x14ac:dyDescent="0.25">
      <c r="A188" s="8">
        <v>42870.735451388886</v>
      </c>
      <c r="B188" s="20" t="s">
        <v>434</v>
      </c>
      <c r="C188" s="20" t="s">
        <v>619</v>
      </c>
      <c r="D188" s="141">
        <v>2470000</v>
      </c>
      <c r="E188" s="20" t="s">
        <v>510</v>
      </c>
      <c r="F188" s="20" t="s">
        <v>511</v>
      </c>
      <c r="G188" s="8" t="str">
        <f t="shared" si="2"/>
        <v>ROMERO CHAD</v>
      </c>
    </row>
    <row r="189" spans="1:7" x14ac:dyDescent="0.25">
      <c r="A189" s="8">
        <v>42870.737708333334</v>
      </c>
      <c r="B189" s="20" t="s">
        <v>509</v>
      </c>
      <c r="C189" s="20" t="s">
        <v>618</v>
      </c>
      <c r="D189" s="141">
        <v>3010000</v>
      </c>
      <c r="E189" s="20" t="s">
        <v>445</v>
      </c>
      <c r="F189" s="20" t="s">
        <v>446</v>
      </c>
      <c r="G189" s="8" t="str">
        <f t="shared" si="2"/>
        <v>SULLIVAN BRANDON</v>
      </c>
    </row>
    <row r="190" spans="1:7" x14ac:dyDescent="0.25">
      <c r="A190" s="8">
        <v>42870.738599537035</v>
      </c>
      <c r="B190" s="20" t="s">
        <v>509</v>
      </c>
      <c r="C190" s="20" t="s">
        <v>618</v>
      </c>
      <c r="D190" s="141">
        <v>3010000</v>
      </c>
      <c r="E190" s="20" t="s">
        <v>445</v>
      </c>
      <c r="F190" s="20" t="s">
        <v>446</v>
      </c>
      <c r="G190" s="8" t="str">
        <f t="shared" si="2"/>
        <v>SULLIVAN BRANDON</v>
      </c>
    </row>
    <row r="191" spans="1:7" x14ac:dyDescent="0.25">
      <c r="A191" s="8">
        <v>42870.738912037035</v>
      </c>
      <c r="B191" s="20" t="s">
        <v>608</v>
      </c>
      <c r="C191" s="20" t="s">
        <v>762</v>
      </c>
      <c r="D191" s="141">
        <v>3020000</v>
      </c>
      <c r="E191" s="20" t="s">
        <v>772</v>
      </c>
      <c r="F191" s="20" t="s">
        <v>773</v>
      </c>
      <c r="G191" s="8" t="str">
        <f t="shared" si="2"/>
        <v>MENGES BRAD</v>
      </c>
    </row>
    <row r="192" spans="1:7" x14ac:dyDescent="0.25">
      <c r="A192" s="8">
        <v>42870.749560185184</v>
      </c>
      <c r="B192" s="20" t="s">
        <v>370</v>
      </c>
      <c r="C192" s="20" t="s">
        <v>774</v>
      </c>
      <c r="D192" s="141">
        <v>2360000</v>
      </c>
      <c r="E192" s="20" t="s">
        <v>459</v>
      </c>
      <c r="F192" s="20" t="s">
        <v>460</v>
      </c>
      <c r="G192" s="8" t="str">
        <f t="shared" si="2"/>
        <v>BRANDNER MELINDA</v>
      </c>
    </row>
    <row r="193" spans="1:7" x14ac:dyDescent="0.25">
      <c r="A193" s="8">
        <v>42870.752523148149</v>
      </c>
      <c r="B193" s="20" t="s">
        <v>625</v>
      </c>
      <c r="C193" s="20" t="s">
        <v>775</v>
      </c>
      <c r="D193" s="141">
        <v>2620000</v>
      </c>
      <c r="E193" s="20" t="s">
        <v>462</v>
      </c>
      <c r="F193" s="20" t="s">
        <v>463</v>
      </c>
      <c r="G193" s="8" t="str">
        <f t="shared" si="2"/>
        <v>PERKINS DARREN</v>
      </c>
    </row>
    <row r="194" spans="1:7" x14ac:dyDescent="0.25">
      <c r="A194" s="8">
        <v>42870.753900462965</v>
      </c>
      <c r="B194" s="20" t="s">
        <v>391</v>
      </c>
      <c r="C194" s="20" t="s">
        <v>776</v>
      </c>
      <c r="D194" s="141">
        <v>1810000</v>
      </c>
      <c r="E194" s="20" t="s">
        <v>388</v>
      </c>
      <c r="F194" s="20" t="s">
        <v>193</v>
      </c>
      <c r="G194" s="8" t="str">
        <f t="shared" si="2"/>
        <v>NEWELL JAMES</v>
      </c>
    </row>
    <row r="195" spans="1:7" x14ac:dyDescent="0.25">
      <c r="A195" s="8">
        <v>42870.755624999998</v>
      </c>
      <c r="B195" s="20" t="s">
        <v>376</v>
      </c>
      <c r="C195" s="20" t="s">
        <v>777</v>
      </c>
      <c r="D195" s="141">
        <v>1800000</v>
      </c>
      <c r="E195" s="20" t="s">
        <v>401</v>
      </c>
      <c r="F195" s="20" t="s">
        <v>402</v>
      </c>
      <c r="G195" s="8" t="str">
        <f t="shared" ref="G195:G258" si="3">E195&amp;" "&amp;F195</f>
        <v>CHANDLER KELVIN</v>
      </c>
    </row>
    <row r="196" spans="1:7" x14ac:dyDescent="0.25">
      <c r="A196" s="8">
        <v>42870.755671296298</v>
      </c>
      <c r="B196" s="20" t="s">
        <v>344</v>
      </c>
      <c r="C196" s="20" t="s">
        <v>778</v>
      </c>
      <c r="D196" s="141">
        <v>2530000</v>
      </c>
      <c r="E196" s="20" t="s">
        <v>514</v>
      </c>
      <c r="F196" s="20" t="s">
        <v>515</v>
      </c>
      <c r="G196" s="8" t="str">
        <f t="shared" si="3"/>
        <v>LALONDE GREGORY</v>
      </c>
    </row>
    <row r="197" spans="1:7" x14ac:dyDescent="0.25">
      <c r="A197" s="8">
        <v>42870.758819444447</v>
      </c>
      <c r="B197" s="20" t="s">
        <v>345</v>
      </c>
      <c r="C197" s="20" t="s">
        <v>620</v>
      </c>
      <c r="D197" s="141">
        <v>3090000</v>
      </c>
      <c r="E197" s="20" t="s">
        <v>399</v>
      </c>
      <c r="F197" s="20" t="s">
        <v>400</v>
      </c>
      <c r="G197" s="8" t="str">
        <f t="shared" si="3"/>
        <v>LAMAR NEKESHA</v>
      </c>
    </row>
    <row r="198" spans="1:7" x14ac:dyDescent="0.25">
      <c r="A198" s="8">
        <v>42870.761307870373</v>
      </c>
      <c r="B198" s="20" t="s">
        <v>427</v>
      </c>
      <c r="C198" s="20" t="s">
        <v>779</v>
      </c>
      <c r="D198" s="141">
        <v>1300000</v>
      </c>
      <c r="E198" s="20" t="s">
        <v>512</v>
      </c>
      <c r="F198" s="20" t="s">
        <v>513</v>
      </c>
      <c r="G198" s="8" t="str">
        <f t="shared" si="3"/>
        <v>LEVIN SCOTT</v>
      </c>
    </row>
    <row r="199" spans="1:7" x14ac:dyDescent="0.25">
      <c r="A199" s="8">
        <v>42870.768923611111</v>
      </c>
      <c r="B199" s="20" t="s">
        <v>440</v>
      </c>
      <c r="C199" s="20" t="s">
        <v>780</v>
      </c>
      <c r="D199" s="141">
        <v>3030000</v>
      </c>
      <c r="E199" s="20" t="s">
        <v>405</v>
      </c>
      <c r="F199" s="20" t="s">
        <v>387</v>
      </c>
      <c r="G199" s="8" t="str">
        <f t="shared" si="3"/>
        <v>BIRENBAUM THOMAS</v>
      </c>
    </row>
    <row r="200" spans="1:7" x14ac:dyDescent="0.25">
      <c r="A200" s="8">
        <v>42870.771168981482</v>
      </c>
      <c r="B200" s="20" t="s">
        <v>398</v>
      </c>
      <c r="C200" s="20" t="s">
        <v>621</v>
      </c>
      <c r="D200" s="141">
        <v>1810000</v>
      </c>
      <c r="E200" s="20" t="s">
        <v>388</v>
      </c>
      <c r="F200" s="20" t="s">
        <v>193</v>
      </c>
      <c r="G200" s="8" t="str">
        <f t="shared" si="3"/>
        <v>NEWELL JAMES</v>
      </c>
    </row>
    <row r="201" spans="1:7" x14ac:dyDescent="0.25">
      <c r="A201" s="8">
        <v>42870.771307870367</v>
      </c>
      <c r="B201" s="20" t="s">
        <v>667</v>
      </c>
      <c r="C201" s="20" t="s">
        <v>781</v>
      </c>
      <c r="D201" s="141">
        <v>3130000</v>
      </c>
      <c r="E201" s="20" t="s">
        <v>408</v>
      </c>
      <c r="F201" s="20" t="s">
        <v>409</v>
      </c>
      <c r="G201" s="8" t="str">
        <f t="shared" si="3"/>
        <v>ZEWDU DEREJE</v>
      </c>
    </row>
    <row r="202" spans="1:7" x14ac:dyDescent="0.25">
      <c r="A202" s="26">
        <v>42870.775405092594</v>
      </c>
      <c r="B202" s="20" t="s">
        <v>500</v>
      </c>
      <c r="C202" s="20" t="s">
        <v>782</v>
      </c>
      <c r="D202" s="141">
        <v>1300000</v>
      </c>
      <c r="E202" s="20" t="s">
        <v>512</v>
      </c>
      <c r="F202" s="20" t="s">
        <v>513</v>
      </c>
      <c r="G202" s="8" t="str">
        <f t="shared" si="3"/>
        <v>LEVIN SCOTT</v>
      </c>
    </row>
    <row r="203" spans="1:7" x14ac:dyDescent="0.25">
      <c r="A203" s="8">
        <v>42870.775462962964</v>
      </c>
      <c r="B203" s="20" t="s">
        <v>435</v>
      </c>
      <c r="C203" s="20" t="s">
        <v>783</v>
      </c>
      <c r="D203" s="141">
        <v>2470000</v>
      </c>
      <c r="E203" s="20" t="s">
        <v>510</v>
      </c>
      <c r="F203" s="20" t="s">
        <v>511</v>
      </c>
      <c r="G203" s="8" t="str">
        <f t="shared" si="3"/>
        <v>ROMERO CHAD</v>
      </c>
    </row>
    <row r="204" spans="1:7" x14ac:dyDescent="0.25">
      <c r="A204" s="8">
        <v>42870.785370370373</v>
      </c>
      <c r="B204" s="20" t="s">
        <v>379</v>
      </c>
      <c r="C204" s="20" t="s">
        <v>784</v>
      </c>
      <c r="D204" s="141">
        <v>2360000</v>
      </c>
      <c r="E204" s="20" t="s">
        <v>459</v>
      </c>
      <c r="F204" s="20" t="s">
        <v>460</v>
      </c>
      <c r="G204" s="8" t="str">
        <f t="shared" si="3"/>
        <v>BRANDNER MELINDA</v>
      </c>
    </row>
    <row r="205" spans="1:7" x14ac:dyDescent="0.25">
      <c r="A205" s="8">
        <v>42870.790578703702</v>
      </c>
      <c r="B205" s="20" t="s">
        <v>378</v>
      </c>
      <c r="C205" s="20" t="s">
        <v>785</v>
      </c>
      <c r="D205" s="141">
        <v>1800000</v>
      </c>
      <c r="E205" s="20" t="s">
        <v>401</v>
      </c>
      <c r="F205" s="20" t="s">
        <v>402</v>
      </c>
      <c r="G205" s="8" t="str">
        <f t="shared" si="3"/>
        <v>CHANDLER KELVIN</v>
      </c>
    </row>
    <row r="206" spans="1:7" x14ac:dyDescent="0.25">
      <c r="A206" s="8">
        <v>42870.796076388891</v>
      </c>
      <c r="B206" s="20" t="s">
        <v>391</v>
      </c>
      <c r="C206" s="20" t="s">
        <v>786</v>
      </c>
      <c r="D206" s="141">
        <v>1810000</v>
      </c>
      <c r="E206" s="20" t="s">
        <v>388</v>
      </c>
      <c r="F206" s="20" t="s">
        <v>193</v>
      </c>
      <c r="G206" s="8" t="str">
        <f t="shared" si="3"/>
        <v>NEWELL JAMES</v>
      </c>
    </row>
    <row r="207" spans="1:7" x14ac:dyDescent="0.25">
      <c r="A207" s="8">
        <v>42870.796076388891</v>
      </c>
      <c r="B207" s="20" t="s">
        <v>386</v>
      </c>
      <c r="C207" s="20" t="s">
        <v>787</v>
      </c>
      <c r="D207" s="141">
        <v>3090000</v>
      </c>
      <c r="E207" s="20" t="s">
        <v>399</v>
      </c>
      <c r="F207" s="20" t="s">
        <v>400</v>
      </c>
      <c r="G207" s="8" t="str">
        <f t="shared" si="3"/>
        <v>LAMAR NEKESHA</v>
      </c>
    </row>
    <row r="208" spans="1:7" x14ac:dyDescent="0.25">
      <c r="A208" s="8">
        <v>42870.796655092592</v>
      </c>
      <c r="B208" s="20" t="s">
        <v>343</v>
      </c>
      <c r="C208" s="20" t="s">
        <v>788</v>
      </c>
      <c r="D208" s="141">
        <v>2530000</v>
      </c>
      <c r="E208" s="20" t="s">
        <v>514</v>
      </c>
      <c r="F208" s="20" t="s">
        <v>515</v>
      </c>
      <c r="G208" s="8" t="str">
        <f t="shared" si="3"/>
        <v>LALONDE GREGORY</v>
      </c>
    </row>
    <row r="209" spans="1:7" x14ac:dyDescent="0.25">
      <c r="A209" s="8">
        <v>42870.804895833331</v>
      </c>
      <c r="B209" s="20" t="s">
        <v>427</v>
      </c>
      <c r="C209" s="20" t="s">
        <v>789</v>
      </c>
      <c r="D209" s="141">
        <v>1300000</v>
      </c>
      <c r="E209" s="20" t="s">
        <v>512</v>
      </c>
      <c r="F209" s="20" t="s">
        <v>513</v>
      </c>
      <c r="G209" s="8" t="str">
        <f t="shared" si="3"/>
        <v>LEVIN SCOTT</v>
      </c>
    </row>
    <row r="210" spans="1:7" x14ac:dyDescent="0.25">
      <c r="A210" s="8">
        <v>42870.807118055556</v>
      </c>
      <c r="B210" s="20" t="s">
        <v>436</v>
      </c>
      <c r="C210" s="20" t="s">
        <v>623</v>
      </c>
      <c r="D210" s="141">
        <v>3030000</v>
      </c>
      <c r="E210" s="20" t="s">
        <v>405</v>
      </c>
      <c r="F210" s="20" t="s">
        <v>387</v>
      </c>
      <c r="G210" s="8" t="str">
        <f t="shared" si="3"/>
        <v>BIRENBAUM THOMAS</v>
      </c>
    </row>
    <row r="211" spans="1:7" x14ac:dyDescent="0.25">
      <c r="A211" s="8">
        <v>42870.807951388888</v>
      </c>
      <c r="B211" s="20" t="s">
        <v>608</v>
      </c>
      <c r="C211" s="20" t="s">
        <v>790</v>
      </c>
      <c r="D211" s="141">
        <v>3130000</v>
      </c>
      <c r="E211" s="20" t="s">
        <v>408</v>
      </c>
      <c r="F211" s="20" t="s">
        <v>409</v>
      </c>
      <c r="G211" s="8" t="str">
        <f t="shared" si="3"/>
        <v>ZEWDU DEREJE</v>
      </c>
    </row>
    <row r="212" spans="1:7" x14ac:dyDescent="0.25">
      <c r="A212" s="8">
        <v>42870.817071759258</v>
      </c>
      <c r="B212" s="20" t="s">
        <v>500</v>
      </c>
      <c r="C212" s="20" t="s">
        <v>622</v>
      </c>
      <c r="D212" s="141">
        <v>1300000</v>
      </c>
      <c r="E212" s="20" t="s">
        <v>512</v>
      </c>
      <c r="F212" s="20" t="s">
        <v>513</v>
      </c>
      <c r="G212" s="8" t="str">
        <f t="shared" si="3"/>
        <v>LEVIN SCOTT</v>
      </c>
    </row>
    <row r="213" spans="1:7" x14ac:dyDescent="0.25">
      <c r="A213" s="8">
        <v>42870.818414351852</v>
      </c>
      <c r="B213" s="20" t="s">
        <v>588</v>
      </c>
      <c r="C213" s="20" t="s">
        <v>791</v>
      </c>
      <c r="D213" s="141">
        <v>3040000</v>
      </c>
      <c r="E213" s="20" t="s">
        <v>406</v>
      </c>
      <c r="F213" s="20" t="s">
        <v>407</v>
      </c>
      <c r="G213" s="8" t="str">
        <f t="shared" si="3"/>
        <v>WILLIAMS DONTE</v>
      </c>
    </row>
    <row r="214" spans="1:7" x14ac:dyDescent="0.25">
      <c r="A214" s="8">
        <v>42870.818993055553</v>
      </c>
      <c r="B214" s="20" t="s">
        <v>370</v>
      </c>
      <c r="C214" s="20" t="s">
        <v>792</v>
      </c>
      <c r="D214" s="141">
        <v>2360000</v>
      </c>
      <c r="E214" s="20" t="s">
        <v>459</v>
      </c>
      <c r="F214" s="20" t="s">
        <v>460</v>
      </c>
      <c r="G214" s="8" t="str">
        <f t="shared" si="3"/>
        <v>BRANDNER MELINDA</v>
      </c>
    </row>
    <row r="215" spans="1:7" x14ac:dyDescent="0.25">
      <c r="A215" s="8">
        <v>42870.828634259262</v>
      </c>
      <c r="B215" s="20" t="s">
        <v>376</v>
      </c>
      <c r="C215" s="20" t="s">
        <v>793</v>
      </c>
      <c r="D215" s="141">
        <v>1800000</v>
      </c>
      <c r="E215" s="20" t="s">
        <v>401</v>
      </c>
      <c r="F215" s="20" t="s">
        <v>402</v>
      </c>
      <c r="G215" s="8" t="str">
        <f t="shared" si="3"/>
        <v>CHANDLER KELVIN</v>
      </c>
    </row>
    <row r="216" spans="1:7" x14ac:dyDescent="0.25">
      <c r="A216" s="8">
        <v>42870.829652777778</v>
      </c>
      <c r="B216" s="20" t="s">
        <v>345</v>
      </c>
      <c r="C216" s="20" t="s">
        <v>624</v>
      </c>
      <c r="D216" s="141">
        <v>3090000</v>
      </c>
      <c r="E216" s="20" t="s">
        <v>399</v>
      </c>
      <c r="F216" s="20" t="s">
        <v>400</v>
      </c>
      <c r="G216" s="8" t="str">
        <f t="shared" si="3"/>
        <v>LAMAR NEKESHA</v>
      </c>
    </row>
    <row r="217" spans="1:7" x14ac:dyDescent="0.25">
      <c r="A217" s="8">
        <v>42870.84171296296</v>
      </c>
      <c r="B217" s="20" t="s">
        <v>667</v>
      </c>
      <c r="C217" s="20" t="s">
        <v>794</v>
      </c>
      <c r="D217" s="141">
        <v>3130000</v>
      </c>
      <c r="E217" s="20" t="s">
        <v>408</v>
      </c>
      <c r="F217" s="20" t="s">
        <v>409</v>
      </c>
      <c r="G217" s="8" t="str">
        <f t="shared" si="3"/>
        <v>ZEWDU DEREJE</v>
      </c>
    </row>
    <row r="218" spans="1:7" x14ac:dyDescent="0.25">
      <c r="A218" s="8">
        <v>42870.842546296299</v>
      </c>
      <c r="B218" s="20" t="s">
        <v>625</v>
      </c>
      <c r="C218" s="20" t="s">
        <v>626</v>
      </c>
      <c r="D218" s="141">
        <v>3040000</v>
      </c>
      <c r="E218" s="20" t="s">
        <v>406</v>
      </c>
      <c r="F218" s="20" t="s">
        <v>407</v>
      </c>
      <c r="G218" s="8" t="str">
        <f t="shared" si="3"/>
        <v>WILLIAMS DONTE</v>
      </c>
    </row>
    <row r="219" spans="1:7" x14ac:dyDescent="0.25">
      <c r="A219" s="8">
        <v>42870.843321759261</v>
      </c>
      <c r="B219" s="20" t="s">
        <v>427</v>
      </c>
      <c r="C219" s="20" t="s">
        <v>795</v>
      </c>
      <c r="D219" s="141">
        <v>1300000</v>
      </c>
      <c r="E219" s="20" t="s">
        <v>512</v>
      </c>
      <c r="F219" s="20" t="s">
        <v>513</v>
      </c>
      <c r="G219" s="8" t="str">
        <f t="shared" si="3"/>
        <v>LEVIN SCOTT</v>
      </c>
    </row>
    <row r="220" spans="1:7" x14ac:dyDescent="0.25">
      <c r="A220" s="8">
        <v>42870.850624999999</v>
      </c>
      <c r="B220" s="20" t="s">
        <v>440</v>
      </c>
      <c r="C220" s="20" t="s">
        <v>796</v>
      </c>
      <c r="D220" s="141">
        <v>3030000</v>
      </c>
      <c r="E220" s="20" t="s">
        <v>405</v>
      </c>
      <c r="F220" s="20" t="s">
        <v>387</v>
      </c>
      <c r="G220" s="8" t="str">
        <f t="shared" si="3"/>
        <v>BIRENBAUM THOMAS</v>
      </c>
    </row>
    <row r="221" spans="1:7" x14ac:dyDescent="0.25">
      <c r="A221" s="8">
        <v>42870.858587962961</v>
      </c>
      <c r="B221" s="20" t="s">
        <v>500</v>
      </c>
      <c r="C221" s="20" t="s">
        <v>797</v>
      </c>
      <c r="D221" s="141">
        <v>1300000</v>
      </c>
      <c r="E221" s="20" t="s">
        <v>512</v>
      </c>
      <c r="F221" s="20" t="s">
        <v>513</v>
      </c>
      <c r="G221" s="8" t="str">
        <f t="shared" si="3"/>
        <v>LEVIN SCOTT</v>
      </c>
    </row>
    <row r="222" spans="1:7" x14ac:dyDescent="0.25">
      <c r="A222" s="8">
        <v>42870.869050925925</v>
      </c>
      <c r="B222" s="20" t="s">
        <v>386</v>
      </c>
      <c r="C222" s="20" t="s">
        <v>798</v>
      </c>
      <c r="D222" s="141">
        <v>3090000</v>
      </c>
      <c r="E222" s="20" t="s">
        <v>399</v>
      </c>
      <c r="F222" s="20" t="s">
        <v>400</v>
      </c>
      <c r="G222" s="8" t="str">
        <f t="shared" si="3"/>
        <v>LAMAR NEKESHA</v>
      </c>
    </row>
    <row r="223" spans="1:7" x14ac:dyDescent="0.25">
      <c r="A223" s="8">
        <v>42870.873854166668</v>
      </c>
      <c r="B223" s="20" t="s">
        <v>378</v>
      </c>
      <c r="C223" s="20" t="s">
        <v>799</v>
      </c>
      <c r="D223" s="141">
        <v>1800000</v>
      </c>
      <c r="E223" s="20" t="s">
        <v>401</v>
      </c>
      <c r="F223" s="20" t="s">
        <v>402</v>
      </c>
      <c r="G223" s="8" t="str">
        <f t="shared" si="3"/>
        <v>CHANDLER KELVIN</v>
      </c>
    </row>
    <row r="224" spans="1:7" x14ac:dyDescent="0.25">
      <c r="A224" s="8">
        <v>42870.874085648145</v>
      </c>
      <c r="B224" t="s">
        <v>427</v>
      </c>
      <c r="C224" t="s">
        <v>800</v>
      </c>
      <c r="D224" s="141">
        <v>1810000</v>
      </c>
      <c r="E224" t="s">
        <v>388</v>
      </c>
      <c r="F224" s="20" t="s">
        <v>193</v>
      </c>
      <c r="G224" s="8" t="str">
        <f t="shared" si="3"/>
        <v>NEWELL JAMES</v>
      </c>
    </row>
    <row r="225" spans="1:7" x14ac:dyDescent="0.25">
      <c r="A225" s="8">
        <v>42870.887881944444</v>
      </c>
      <c r="B225" t="s">
        <v>608</v>
      </c>
      <c r="C225" t="s">
        <v>801</v>
      </c>
      <c r="D225" s="141">
        <v>3130000</v>
      </c>
      <c r="E225" t="s">
        <v>408</v>
      </c>
      <c r="F225" s="20" t="s">
        <v>409</v>
      </c>
      <c r="G225" s="8" t="str">
        <f t="shared" si="3"/>
        <v>ZEWDU DEREJE</v>
      </c>
    </row>
    <row r="226" spans="1:7" x14ac:dyDescent="0.25">
      <c r="A226" s="8">
        <v>42870.891053240739</v>
      </c>
      <c r="B226" t="s">
        <v>436</v>
      </c>
      <c r="C226" t="s">
        <v>802</v>
      </c>
      <c r="D226" s="141">
        <v>3030000</v>
      </c>
      <c r="E226" t="s">
        <v>405</v>
      </c>
      <c r="F226" s="20" t="s">
        <v>387</v>
      </c>
      <c r="G226" s="8" t="str">
        <f t="shared" si="3"/>
        <v>BIRENBAUM THOMAS</v>
      </c>
    </row>
    <row r="227" spans="1:7" x14ac:dyDescent="0.25">
      <c r="A227" s="8">
        <v>42870.899583333332</v>
      </c>
      <c r="B227" t="s">
        <v>500</v>
      </c>
      <c r="C227" t="s">
        <v>803</v>
      </c>
      <c r="D227" s="141">
        <v>1810000</v>
      </c>
      <c r="E227" t="s">
        <v>388</v>
      </c>
      <c r="F227" s="20" t="s">
        <v>193</v>
      </c>
      <c r="G227" s="8" t="str">
        <f t="shared" si="3"/>
        <v>NEWELL JAMES</v>
      </c>
    </row>
    <row r="228" spans="1:7" x14ac:dyDescent="0.25">
      <c r="A228" s="8">
        <v>42870.90111111111</v>
      </c>
      <c r="B228" t="s">
        <v>345</v>
      </c>
      <c r="C228" t="s">
        <v>804</v>
      </c>
      <c r="D228" s="141">
        <v>3090000</v>
      </c>
      <c r="E228" t="s">
        <v>399</v>
      </c>
      <c r="F228" s="20" t="s">
        <v>400</v>
      </c>
      <c r="G228" s="8" t="str">
        <f t="shared" si="3"/>
        <v>LAMAR NEKESHA</v>
      </c>
    </row>
    <row r="229" spans="1:7" x14ac:dyDescent="0.25">
      <c r="A229" s="8">
        <v>42870.902060185188</v>
      </c>
      <c r="B229" t="s">
        <v>588</v>
      </c>
      <c r="C229" t="s">
        <v>627</v>
      </c>
      <c r="D229" s="141">
        <v>3040000</v>
      </c>
      <c r="E229" t="s">
        <v>406</v>
      </c>
      <c r="F229" s="20" t="s">
        <v>407</v>
      </c>
      <c r="G229" s="8" t="str">
        <f t="shared" si="3"/>
        <v>WILLIAMS DONTE</v>
      </c>
    </row>
    <row r="230" spans="1:7" x14ac:dyDescent="0.25">
      <c r="A230" s="8">
        <v>42870.911608796298</v>
      </c>
      <c r="B230" t="s">
        <v>376</v>
      </c>
      <c r="C230" t="s">
        <v>805</v>
      </c>
      <c r="D230" s="141">
        <v>1800000</v>
      </c>
      <c r="E230" t="s">
        <v>401</v>
      </c>
      <c r="F230" s="20" t="s">
        <v>402</v>
      </c>
      <c r="G230" s="8" t="str">
        <f t="shared" si="3"/>
        <v>CHANDLER KELVIN</v>
      </c>
    </row>
    <row r="231" spans="1:7" x14ac:dyDescent="0.25">
      <c r="A231" s="8">
        <v>42870.928217592591</v>
      </c>
      <c r="B231" t="s">
        <v>427</v>
      </c>
      <c r="C231" t="s">
        <v>806</v>
      </c>
      <c r="D231" s="141">
        <v>1810000</v>
      </c>
      <c r="E231" t="s">
        <v>388</v>
      </c>
      <c r="F231" s="20" t="s">
        <v>193</v>
      </c>
      <c r="G231" s="8" t="str">
        <f t="shared" si="3"/>
        <v>NEWELL JAMES</v>
      </c>
    </row>
    <row r="232" spans="1:7" x14ac:dyDescent="0.25">
      <c r="A232" s="8">
        <v>42870.931018518517</v>
      </c>
      <c r="B232" t="s">
        <v>667</v>
      </c>
      <c r="C232" t="s">
        <v>807</v>
      </c>
      <c r="D232" s="141">
        <v>3130000</v>
      </c>
      <c r="E232" t="s">
        <v>408</v>
      </c>
      <c r="F232" s="20" t="s">
        <v>409</v>
      </c>
      <c r="G232" s="8" t="str">
        <f t="shared" si="3"/>
        <v>ZEWDU DEREJE</v>
      </c>
    </row>
    <row r="233" spans="1:7" x14ac:dyDescent="0.25">
      <c r="A233" s="8">
        <v>42870.934120370373</v>
      </c>
      <c r="B233" t="s">
        <v>625</v>
      </c>
      <c r="C233" t="s">
        <v>626</v>
      </c>
      <c r="D233" s="141">
        <v>3040000</v>
      </c>
      <c r="E233" t="s">
        <v>406</v>
      </c>
      <c r="F233" s="20" t="s">
        <v>407</v>
      </c>
      <c r="G233" s="8" t="str">
        <f t="shared" si="3"/>
        <v>WILLIAMS DONTE</v>
      </c>
    </row>
    <row r="234" spans="1:7" x14ac:dyDescent="0.25">
      <c r="A234" s="8">
        <v>42870.936435185184</v>
      </c>
      <c r="B234" t="s">
        <v>440</v>
      </c>
      <c r="C234" t="s">
        <v>808</v>
      </c>
      <c r="D234" s="141">
        <v>3030000</v>
      </c>
      <c r="E234" t="s">
        <v>405</v>
      </c>
      <c r="F234" s="20" t="s">
        <v>387</v>
      </c>
      <c r="G234" s="8" t="str">
        <f t="shared" si="3"/>
        <v>BIRENBAUM THOMAS</v>
      </c>
    </row>
    <row r="235" spans="1:7" x14ac:dyDescent="0.25">
      <c r="A235" s="8">
        <v>42870.941932870373</v>
      </c>
      <c r="B235" t="s">
        <v>500</v>
      </c>
      <c r="C235" t="s">
        <v>809</v>
      </c>
      <c r="D235" s="141">
        <v>1810000</v>
      </c>
      <c r="E235" t="s">
        <v>388</v>
      </c>
      <c r="F235" s="20" t="s">
        <v>193</v>
      </c>
      <c r="G235" s="8" t="str">
        <f t="shared" si="3"/>
        <v>NEWELL JAMES</v>
      </c>
    </row>
    <row r="236" spans="1:7" x14ac:dyDescent="0.25">
      <c r="A236" s="8">
        <v>42870.952476851853</v>
      </c>
      <c r="B236" t="s">
        <v>386</v>
      </c>
      <c r="C236" t="s">
        <v>810</v>
      </c>
      <c r="D236" s="141">
        <v>3090000</v>
      </c>
      <c r="E236" t="s">
        <v>399</v>
      </c>
      <c r="F236" s="20" t="s">
        <v>400</v>
      </c>
      <c r="G236" s="8" t="str">
        <f t="shared" si="3"/>
        <v>LAMAR NEKESHA</v>
      </c>
    </row>
    <row r="237" spans="1:7" x14ac:dyDescent="0.25">
      <c r="A237" s="8">
        <v>42870.955960648149</v>
      </c>
      <c r="B237" t="s">
        <v>378</v>
      </c>
      <c r="C237" t="s">
        <v>811</v>
      </c>
      <c r="D237" s="141">
        <v>1800000</v>
      </c>
      <c r="E237" t="s">
        <v>401</v>
      </c>
      <c r="F237" s="20" t="s">
        <v>402</v>
      </c>
      <c r="G237" s="8" t="str">
        <f t="shared" si="3"/>
        <v>CHANDLER KELVIN</v>
      </c>
    </row>
    <row r="238" spans="1:7" x14ac:dyDescent="0.25">
      <c r="A238" s="8">
        <v>42870.956990740742</v>
      </c>
      <c r="B238" t="s">
        <v>588</v>
      </c>
      <c r="C238" t="s">
        <v>627</v>
      </c>
      <c r="D238" s="141">
        <v>3040000</v>
      </c>
      <c r="E238" t="s">
        <v>406</v>
      </c>
      <c r="F238" s="20" t="s">
        <v>407</v>
      </c>
      <c r="G238" s="8" t="str">
        <f t="shared" si="3"/>
        <v>WILLIAMS DONTE</v>
      </c>
    </row>
    <row r="239" spans="1:7" x14ac:dyDescent="0.25">
      <c r="A239" s="8">
        <v>42870.970011574071</v>
      </c>
      <c r="B239" t="s">
        <v>608</v>
      </c>
      <c r="C239" t="s">
        <v>812</v>
      </c>
      <c r="D239" s="141">
        <v>3130000</v>
      </c>
      <c r="E239" t="s">
        <v>408</v>
      </c>
      <c r="F239" s="20" t="s">
        <v>409</v>
      </c>
      <c r="G239" s="8" t="str">
        <f t="shared" si="3"/>
        <v>ZEWDU DEREJE</v>
      </c>
    </row>
    <row r="240" spans="1:7" x14ac:dyDescent="0.25">
      <c r="A240" s="8">
        <v>42870.971851851849</v>
      </c>
      <c r="B240" t="s">
        <v>625</v>
      </c>
      <c r="C240" t="s">
        <v>627</v>
      </c>
      <c r="D240" s="141">
        <v>3040000</v>
      </c>
      <c r="E240" t="s">
        <v>406</v>
      </c>
      <c r="F240" s="20" t="s">
        <v>407</v>
      </c>
      <c r="G240" s="8" t="str">
        <f t="shared" si="3"/>
        <v>WILLIAMS DONTE</v>
      </c>
    </row>
    <row r="241" spans="1:7" x14ac:dyDescent="0.25">
      <c r="A241" s="8">
        <v>42870.973506944443</v>
      </c>
      <c r="B241" t="s">
        <v>436</v>
      </c>
      <c r="C241" t="s">
        <v>628</v>
      </c>
      <c r="D241" s="141">
        <v>3030000</v>
      </c>
      <c r="E241" t="s">
        <v>405</v>
      </c>
      <c r="F241" s="20" t="s">
        <v>387</v>
      </c>
      <c r="G241" s="8" t="str">
        <f t="shared" si="3"/>
        <v>BIRENBAUM THOMAS</v>
      </c>
    </row>
    <row r="242" spans="1:7" x14ac:dyDescent="0.25">
      <c r="A242" s="8">
        <v>42870.992662037039</v>
      </c>
      <c r="B242" t="s">
        <v>588</v>
      </c>
      <c r="C242" t="s">
        <v>627</v>
      </c>
      <c r="D242" s="141">
        <v>3040000</v>
      </c>
      <c r="E242" t="s">
        <v>406</v>
      </c>
      <c r="F242" s="20" t="s">
        <v>407</v>
      </c>
      <c r="G242" s="8" t="str">
        <f t="shared" si="3"/>
        <v>WILLIAMS DONTE</v>
      </c>
    </row>
    <row r="243" spans="1:7" x14ac:dyDescent="0.25">
      <c r="A243" s="8">
        <v>42870.994039351855</v>
      </c>
      <c r="B243" t="s">
        <v>376</v>
      </c>
      <c r="C243" t="s">
        <v>813</v>
      </c>
      <c r="D243" s="141">
        <v>1800000</v>
      </c>
      <c r="E243" t="s">
        <v>401</v>
      </c>
      <c r="F243" s="20" t="s">
        <v>402</v>
      </c>
      <c r="G243" s="8" t="str">
        <f t="shared" si="3"/>
        <v>CHANDLER KELVIN</v>
      </c>
    </row>
    <row r="244" spans="1:7" x14ac:dyDescent="0.25">
      <c r="A244" s="8">
        <v>42870.996354166666</v>
      </c>
      <c r="B244" t="s">
        <v>345</v>
      </c>
      <c r="C244" t="s">
        <v>814</v>
      </c>
      <c r="D244" s="141">
        <v>3090000</v>
      </c>
      <c r="E244" t="s">
        <v>399</v>
      </c>
      <c r="F244" s="20" t="s">
        <v>400</v>
      </c>
      <c r="G244" s="8" t="str">
        <f t="shared" si="3"/>
        <v>LAMAR NEKESHA</v>
      </c>
    </row>
    <row r="245" spans="1:7" x14ac:dyDescent="0.25">
      <c r="A245" s="8">
        <v>42871.012037037035</v>
      </c>
      <c r="B245" t="s">
        <v>667</v>
      </c>
      <c r="C245" t="s">
        <v>815</v>
      </c>
      <c r="D245" s="141">
        <v>3130000</v>
      </c>
      <c r="E245" t="s">
        <v>408</v>
      </c>
      <c r="F245" s="20" t="s">
        <v>409</v>
      </c>
      <c r="G245" s="8" t="str">
        <f t="shared" si="3"/>
        <v>ZEWDU DEREJE</v>
      </c>
    </row>
    <row r="246" spans="1:7" x14ac:dyDescent="0.25">
      <c r="A246" s="8">
        <v>42871.013715277775</v>
      </c>
      <c r="B246" t="s">
        <v>625</v>
      </c>
      <c r="C246" t="s">
        <v>627</v>
      </c>
      <c r="D246" s="141">
        <v>3040000</v>
      </c>
      <c r="E246" t="s">
        <v>406</v>
      </c>
      <c r="F246" s="20" t="s">
        <v>407</v>
      </c>
      <c r="G246" s="8" t="str">
        <f t="shared" si="3"/>
        <v>WILLIAMS DONTE</v>
      </c>
    </row>
    <row r="247" spans="1:7" x14ac:dyDescent="0.25">
      <c r="A247" s="8">
        <v>42871.016319444447</v>
      </c>
      <c r="B247" t="s">
        <v>440</v>
      </c>
      <c r="C247" t="s">
        <v>816</v>
      </c>
      <c r="D247" s="141">
        <v>3030000</v>
      </c>
      <c r="E247" t="s">
        <v>405</v>
      </c>
      <c r="F247" s="20" t="s">
        <v>387</v>
      </c>
      <c r="G247" s="8" t="str">
        <f t="shared" si="3"/>
        <v>BIRENBAUM THOMAS</v>
      </c>
    </row>
    <row r="248" spans="1:7" x14ac:dyDescent="0.25">
      <c r="A248" s="8">
        <v>42871.028634259259</v>
      </c>
      <c r="B248" t="s">
        <v>378</v>
      </c>
      <c r="C248" t="s">
        <v>817</v>
      </c>
      <c r="D248" s="141">
        <v>1800000</v>
      </c>
      <c r="E248" t="s">
        <v>401</v>
      </c>
      <c r="F248" s="20" t="s">
        <v>402</v>
      </c>
      <c r="G248" s="8" t="str">
        <f t="shared" si="3"/>
        <v>CHANDLER KELVIN</v>
      </c>
    </row>
    <row r="249" spans="1:7" x14ac:dyDescent="0.25">
      <c r="A249" s="8">
        <v>42871.031527777777</v>
      </c>
      <c r="B249" t="s">
        <v>386</v>
      </c>
      <c r="C249" t="s">
        <v>818</v>
      </c>
      <c r="D249" s="141">
        <v>3090000</v>
      </c>
      <c r="E249" t="s">
        <v>399</v>
      </c>
      <c r="F249" s="20" t="s">
        <v>400</v>
      </c>
      <c r="G249" s="8" t="str">
        <f t="shared" si="3"/>
        <v>LAMAR NEKESHA</v>
      </c>
    </row>
    <row r="250" spans="1:7" x14ac:dyDescent="0.25">
      <c r="A250" s="8">
        <v>42871.040439814817</v>
      </c>
      <c r="B250" t="s">
        <v>588</v>
      </c>
      <c r="C250" t="s">
        <v>627</v>
      </c>
      <c r="D250" s="141">
        <v>3040000</v>
      </c>
      <c r="E250" t="s">
        <v>406</v>
      </c>
      <c r="F250" s="20" t="s">
        <v>407</v>
      </c>
      <c r="G250" s="8" t="str">
        <f t="shared" si="3"/>
        <v>WILLIAMS DONTE</v>
      </c>
    </row>
    <row r="251" spans="1:7" x14ac:dyDescent="0.25">
      <c r="A251" s="8">
        <v>42871.049409722225</v>
      </c>
      <c r="B251" t="s">
        <v>608</v>
      </c>
      <c r="C251" t="s">
        <v>819</v>
      </c>
      <c r="D251" s="141">
        <v>3130000</v>
      </c>
      <c r="E251" t="s">
        <v>408</v>
      </c>
      <c r="F251" s="20" t="s">
        <v>409</v>
      </c>
      <c r="G251" s="8" t="str">
        <f t="shared" si="3"/>
        <v>ZEWDU DEREJE</v>
      </c>
    </row>
    <row r="252" spans="1:7" x14ac:dyDescent="0.25">
      <c r="A252" s="8">
        <v>42871.054247685184</v>
      </c>
      <c r="B252" t="s">
        <v>436</v>
      </c>
      <c r="C252" t="s">
        <v>820</v>
      </c>
      <c r="D252" s="141">
        <v>3030000</v>
      </c>
      <c r="E252" t="s">
        <v>405</v>
      </c>
      <c r="F252" s="20" t="s">
        <v>387</v>
      </c>
      <c r="G252" s="8" t="str">
        <f t="shared" si="3"/>
        <v>BIRENBAUM THOMAS</v>
      </c>
    </row>
    <row r="253" spans="1:7" x14ac:dyDescent="0.25">
      <c r="A253" s="8">
        <v>42871.057326388887</v>
      </c>
      <c r="B253" t="s">
        <v>625</v>
      </c>
      <c r="C253" t="s">
        <v>627</v>
      </c>
      <c r="D253" s="141">
        <v>3040000</v>
      </c>
      <c r="E253" t="s">
        <v>406</v>
      </c>
      <c r="F253" s="20" t="s">
        <v>407</v>
      </c>
      <c r="G253" s="8" t="str">
        <f t="shared" si="3"/>
        <v>WILLIAMS DONTE</v>
      </c>
    </row>
    <row r="254" spans="1:7" x14ac:dyDescent="0.25">
      <c r="A254" s="8">
        <v>42871.068101851852</v>
      </c>
      <c r="B254" t="s">
        <v>345</v>
      </c>
      <c r="C254" t="s">
        <v>821</v>
      </c>
      <c r="D254" s="141">
        <v>3090000</v>
      </c>
      <c r="E254" t="s">
        <v>399</v>
      </c>
      <c r="F254" s="20" t="s">
        <v>400</v>
      </c>
      <c r="G254" s="8" t="str">
        <f t="shared" si="3"/>
        <v>LAMAR NEKESHA</v>
      </c>
    </row>
    <row r="255" spans="1:7" x14ac:dyDescent="0.25">
      <c r="A255" s="8">
        <v>42871.074930555558</v>
      </c>
      <c r="B255" t="s">
        <v>588</v>
      </c>
      <c r="C255" t="s">
        <v>627</v>
      </c>
      <c r="D255" s="141">
        <v>3040000</v>
      </c>
      <c r="E255" t="s">
        <v>406</v>
      </c>
      <c r="F255" s="20" t="s">
        <v>407</v>
      </c>
      <c r="G255" s="8" t="str">
        <f t="shared" si="3"/>
        <v>WILLIAMS DONTE</v>
      </c>
    </row>
    <row r="256" spans="1:7" x14ac:dyDescent="0.25">
      <c r="A256" s="8">
        <v>42871.075555555559</v>
      </c>
      <c r="B256" t="s">
        <v>588</v>
      </c>
      <c r="C256" t="s">
        <v>627</v>
      </c>
      <c r="D256" s="141">
        <v>3040000</v>
      </c>
      <c r="E256" t="s">
        <v>406</v>
      </c>
      <c r="F256" s="20" t="s">
        <v>407</v>
      </c>
      <c r="G256" s="8" t="str">
        <f t="shared" si="3"/>
        <v>WILLIAMS DONTE</v>
      </c>
    </row>
    <row r="257" spans="1:7" x14ac:dyDescent="0.25">
      <c r="A257" s="8">
        <v>42871.076909722222</v>
      </c>
      <c r="B257" t="s">
        <v>588</v>
      </c>
      <c r="C257" t="s">
        <v>627</v>
      </c>
      <c r="D257" s="141">
        <v>3040000</v>
      </c>
      <c r="E257" t="s">
        <v>406</v>
      </c>
      <c r="F257" s="20" t="s">
        <v>407</v>
      </c>
      <c r="G257" s="8" t="str">
        <f t="shared" si="3"/>
        <v>WILLIAMS DONTE</v>
      </c>
    </row>
    <row r="258" spans="1:7" x14ac:dyDescent="0.25">
      <c r="A258" s="8">
        <v>42871.087847222225</v>
      </c>
      <c r="B258" t="s">
        <v>440</v>
      </c>
      <c r="C258" t="s">
        <v>822</v>
      </c>
      <c r="D258" s="141">
        <v>3030000</v>
      </c>
      <c r="E258" t="s">
        <v>405</v>
      </c>
      <c r="F258" s="20" t="s">
        <v>387</v>
      </c>
      <c r="G258" s="8" t="str">
        <f t="shared" si="3"/>
        <v>BIRENBAUM THOMAS</v>
      </c>
    </row>
    <row r="259" spans="1:7" x14ac:dyDescent="0.25">
      <c r="A259" s="8">
        <v>42871.106817129628</v>
      </c>
      <c r="B259" t="s">
        <v>625</v>
      </c>
      <c r="C259" t="s">
        <v>627</v>
      </c>
      <c r="D259" s="141">
        <v>3040000</v>
      </c>
      <c r="E259" t="s">
        <v>406</v>
      </c>
      <c r="F259" s="20" t="s">
        <v>407</v>
      </c>
      <c r="G259" s="8" t="str">
        <f t="shared" ref="G259:G322" si="4">E259&amp;" "&amp;F259</f>
        <v>WILLIAMS DONTE</v>
      </c>
    </row>
    <row r="260" spans="1:7" x14ac:dyDescent="0.25">
      <c r="A260" s="8">
        <v>42871.108622685184</v>
      </c>
      <c r="B260" t="s">
        <v>625</v>
      </c>
      <c r="C260" t="s">
        <v>627</v>
      </c>
      <c r="D260" s="141">
        <v>3040000</v>
      </c>
      <c r="E260" t="s">
        <v>406</v>
      </c>
      <c r="F260" s="20" t="s">
        <v>407</v>
      </c>
      <c r="G260" s="8" t="str">
        <f t="shared" si="4"/>
        <v>WILLIAMS DONTE</v>
      </c>
    </row>
    <row r="261" spans="1:7" x14ac:dyDescent="0.25">
      <c r="A261" s="8">
        <v>42866.901759259257</v>
      </c>
      <c r="B261" t="s">
        <v>386</v>
      </c>
      <c r="C261" t="s">
        <v>457</v>
      </c>
      <c r="D261" s="141">
        <v>3090000</v>
      </c>
      <c r="E261" t="s">
        <v>399</v>
      </c>
      <c r="F261" s="20" t="s">
        <v>400</v>
      </c>
      <c r="G261" s="8" t="str">
        <f t="shared" si="4"/>
        <v>LAMAR NEKESHA</v>
      </c>
    </row>
    <row r="262" spans="1:7" x14ac:dyDescent="0.25">
      <c r="A262" s="8">
        <v>42866.910671296297</v>
      </c>
      <c r="B262" t="s">
        <v>379</v>
      </c>
      <c r="C262" t="s">
        <v>464</v>
      </c>
      <c r="D262" s="141">
        <v>1800000</v>
      </c>
      <c r="E262" t="s">
        <v>401</v>
      </c>
      <c r="F262" s="20" t="s">
        <v>402</v>
      </c>
      <c r="G262" s="8" t="str">
        <f t="shared" si="4"/>
        <v>CHANDLER KELVIN</v>
      </c>
    </row>
    <row r="263" spans="1:7" x14ac:dyDescent="0.25">
      <c r="A263" s="8">
        <v>42866.912986111114</v>
      </c>
      <c r="B263" t="s">
        <v>461</v>
      </c>
      <c r="C263" t="s">
        <v>465</v>
      </c>
      <c r="D263" s="141">
        <v>2270000</v>
      </c>
      <c r="E263" t="s">
        <v>443</v>
      </c>
      <c r="F263" s="20" t="s">
        <v>444</v>
      </c>
      <c r="G263" s="8" t="str">
        <f t="shared" si="4"/>
        <v>BROWN JACOB</v>
      </c>
    </row>
    <row r="264" spans="1:7" x14ac:dyDescent="0.25">
      <c r="A264" s="8">
        <v>42866.927569444444</v>
      </c>
      <c r="B264" t="s">
        <v>345</v>
      </c>
      <c r="C264" t="s">
        <v>466</v>
      </c>
      <c r="D264" s="141">
        <v>3090000</v>
      </c>
      <c r="E264" t="s">
        <v>399</v>
      </c>
      <c r="F264" s="20" t="s">
        <v>400</v>
      </c>
      <c r="G264" s="8" t="str">
        <f t="shared" si="4"/>
        <v>LAMAR NEKESHA</v>
      </c>
    </row>
    <row r="265" spans="1:7" x14ac:dyDescent="0.25">
      <c r="A265" s="8">
        <v>42866.93173611111</v>
      </c>
      <c r="B265" t="s">
        <v>344</v>
      </c>
      <c r="C265" t="s">
        <v>467</v>
      </c>
      <c r="D265" s="141">
        <v>1810000</v>
      </c>
      <c r="E265" t="s">
        <v>388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42866.934965277775</v>
      </c>
      <c r="B266" t="s">
        <v>356</v>
      </c>
      <c r="C266" t="s">
        <v>468</v>
      </c>
      <c r="D266" s="141">
        <v>2150000</v>
      </c>
      <c r="E266" t="s">
        <v>428</v>
      </c>
      <c r="F266" s="20" t="s">
        <v>429</v>
      </c>
      <c r="G266" s="8" t="str">
        <f t="shared" si="4"/>
        <v>SWANSON BRYCE</v>
      </c>
    </row>
    <row r="267" spans="1:7" x14ac:dyDescent="0.25">
      <c r="A267" s="8">
        <v>42866.943495370368</v>
      </c>
      <c r="B267" t="s">
        <v>386</v>
      </c>
      <c r="C267" t="s">
        <v>469</v>
      </c>
      <c r="D267" s="141">
        <v>3090000</v>
      </c>
      <c r="E267" t="s">
        <v>399</v>
      </c>
      <c r="F267" s="20" t="s">
        <v>400</v>
      </c>
      <c r="G267" s="8" t="str">
        <f t="shared" si="4"/>
        <v>LAMAR NEKESHA</v>
      </c>
    </row>
    <row r="268" spans="1:7" x14ac:dyDescent="0.25">
      <c r="A268" s="8">
        <v>42866.950949074075</v>
      </c>
      <c r="B268" t="s">
        <v>345</v>
      </c>
      <c r="C268" t="s">
        <v>469</v>
      </c>
      <c r="D268" s="141">
        <v>1740000</v>
      </c>
      <c r="E268" t="s">
        <v>441</v>
      </c>
      <c r="F268" s="20" t="s">
        <v>442</v>
      </c>
      <c r="G268" s="8" t="str">
        <f t="shared" si="4"/>
        <v>STORY SAMANTHA</v>
      </c>
    </row>
    <row r="269" spans="1:7" x14ac:dyDescent="0.25">
      <c r="A269" s="8">
        <v>42866.953020833331</v>
      </c>
      <c r="B269" t="s">
        <v>437</v>
      </c>
      <c r="C269" t="s">
        <v>470</v>
      </c>
      <c r="D269" s="141">
        <v>2270000</v>
      </c>
      <c r="E269" t="s">
        <v>443</v>
      </c>
      <c r="F269" s="20" t="s">
        <v>444</v>
      </c>
      <c r="G269" s="8" t="str">
        <f t="shared" si="4"/>
        <v>BROWN JACOB</v>
      </c>
    </row>
    <row r="270" spans="1:7" x14ac:dyDescent="0.25">
      <c r="A270" s="8">
        <v>42866.957442129627</v>
      </c>
      <c r="B270" t="s">
        <v>370</v>
      </c>
      <c r="C270" t="s">
        <v>471</v>
      </c>
      <c r="D270" s="141">
        <v>1800000</v>
      </c>
      <c r="E270" t="s">
        <v>401</v>
      </c>
      <c r="F270" s="20" t="s">
        <v>402</v>
      </c>
      <c r="G270" s="8" t="str">
        <f t="shared" si="4"/>
        <v>CHANDLER KELVIN</v>
      </c>
    </row>
    <row r="271" spans="1:7" x14ac:dyDescent="0.25">
      <c r="A271" s="8">
        <v>42866.967581018522</v>
      </c>
      <c r="B271" t="s">
        <v>357</v>
      </c>
      <c r="C271" t="s">
        <v>472</v>
      </c>
      <c r="D271" s="141">
        <v>2150000</v>
      </c>
      <c r="E271" t="s">
        <v>428</v>
      </c>
      <c r="F271" s="20" t="s">
        <v>429</v>
      </c>
      <c r="G271" s="8" t="str">
        <f t="shared" si="4"/>
        <v>SWANSON BRYCE</v>
      </c>
    </row>
    <row r="272" spans="1:7" x14ac:dyDescent="0.25">
      <c r="A272" s="8">
        <v>42866.975532407407</v>
      </c>
      <c r="B272" t="s">
        <v>343</v>
      </c>
      <c r="C272" t="s">
        <v>473</v>
      </c>
      <c r="D272" s="141">
        <v>1810000</v>
      </c>
      <c r="E272" t="s">
        <v>388</v>
      </c>
      <c r="F272" s="20" t="s">
        <v>193</v>
      </c>
      <c r="G272" s="8" t="str">
        <f t="shared" si="4"/>
        <v>NEWELL JAMES</v>
      </c>
    </row>
    <row r="273" spans="1:7" x14ac:dyDescent="0.25">
      <c r="A273" s="8">
        <v>42866.996018518519</v>
      </c>
      <c r="B273" t="s">
        <v>379</v>
      </c>
      <c r="C273" t="s">
        <v>474</v>
      </c>
      <c r="D273" s="141">
        <v>1800000</v>
      </c>
      <c r="E273" t="s">
        <v>401</v>
      </c>
      <c r="F273" s="20" t="s">
        <v>402</v>
      </c>
      <c r="G273" s="8" t="str">
        <f t="shared" si="4"/>
        <v>CHANDLER KELVIN</v>
      </c>
    </row>
    <row r="274" spans="1:7" x14ac:dyDescent="0.25">
      <c r="A274" s="8">
        <v>42866.997511574074</v>
      </c>
      <c r="B274" t="s">
        <v>461</v>
      </c>
      <c r="C274" t="s">
        <v>475</v>
      </c>
      <c r="D274" s="141">
        <v>2270000</v>
      </c>
      <c r="E274" t="s">
        <v>443</v>
      </c>
      <c r="F274" s="20" t="s">
        <v>444</v>
      </c>
      <c r="G274" s="8" t="str">
        <f t="shared" si="4"/>
        <v>BROWN JACOB</v>
      </c>
    </row>
    <row r="275" spans="1:7" x14ac:dyDescent="0.25">
      <c r="A275" s="8">
        <v>42867.007569444446</v>
      </c>
      <c r="B275" t="s">
        <v>356</v>
      </c>
      <c r="C275" t="s">
        <v>476</v>
      </c>
      <c r="D275" s="141">
        <v>3000000</v>
      </c>
      <c r="E275" t="s">
        <v>430</v>
      </c>
      <c r="F275" s="20" t="s">
        <v>431</v>
      </c>
      <c r="G275" s="8" t="str">
        <f t="shared" si="4"/>
        <v>FORTUNATO FRANK</v>
      </c>
    </row>
    <row r="276" spans="1:7" x14ac:dyDescent="0.25">
      <c r="A276" s="8">
        <v>42867.015127314815</v>
      </c>
      <c r="B276" t="s">
        <v>344</v>
      </c>
      <c r="C276" t="s">
        <v>477</v>
      </c>
      <c r="D276" s="141">
        <v>1810000</v>
      </c>
      <c r="E276" t="s">
        <v>388</v>
      </c>
      <c r="F276" s="20" t="s">
        <v>193</v>
      </c>
      <c r="G276" s="8" t="str">
        <f t="shared" si="4"/>
        <v>NEWELL JAMES</v>
      </c>
    </row>
    <row r="277" spans="1:7" x14ac:dyDescent="0.25">
      <c r="A277" s="8">
        <v>42867.028657407405</v>
      </c>
      <c r="B277" t="s">
        <v>370</v>
      </c>
      <c r="C277" t="s">
        <v>478</v>
      </c>
      <c r="D277" s="141">
        <v>1800000</v>
      </c>
      <c r="E277" t="s">
        <v>401</v>
      </c>
      <c r="F277" s="20" t="s">
        <v>402</v>
      </c>
      <c r="G277" s="8" t="str">
        <f t="shared" si="4"/>
        <v>CHANDLER KELVIN</v>
      </c>
    </row>
    <row r="278" spans="1:7" x14ac:dyDescent="0.25">
      <c r="A278" s="8">
        <v>42867.031307870369</v>
      </c>
      <c r="B278" t="s">
        <v>344</v>
      </c>
      <c r="C278" t="s">
        <v>477</v>
      </c>
      <c r="D278" s="141">
        <v>1810000</v>
      </c>
      <c r="E278" t="s">
        <v>388</v>
      </c>
      <c r="F278" s="20" t="s">
        <v>193</v>
      </c>
      <c r="G278" s="8" t="str">
        <f t="shared" si="4"/>
        <v>NEWELL JAMES</v>
      </c>
    </row>
    <row r="279" spans="1:7" x14ac:dyDescent="0.25">
      <c r="A279" s="8">
        <v>42867.03665509259</v>
      </c>
      <c r="B279" t="s">
        <v>437</v>
      </c>
      <c r="C279" t="s">
        <v>479</v>
      </c>
      <c r="D279" s="141">
        <v>2270000</v>
      </c>
      <c r="E279" t="s">
        <v>443</v>
      </c>
      <c r="F279" s="20" t="s">
        <v>444</v>
      </c>
      <c r="G279" s="8" t="str">
        <f t="shared" si="4"/>
        <v>BROWN JACOB</v>
      </c>
    </row>
    <row r="280" spans="1:7" x14ac:dyDescent="0.25">
      <c r="A280" s="8">
        <v>42867.050324074073</v>
      </c>
      <c r="B280" t="s">
        <v>357</v>
      </c>
      <c r="C280" t="s">
        <v>480</v>
      </c>
      <c r="D280" s="141">
        <v>3000000</v>
      </c>
      <c r="E280" t="s">
        <v>430</v>
      </c>
      <c r="F280" s="20" t="s">
        <v>431</v>
      </c>
      <c r="G280" s="8" t="str">
        <f t="shared" si="4"/>
        <v>FORTUNATO FRANK</v>
      </c>
    </row>
    <row r="281" spans="1:7" x14ac:dyDescent="0.25">
      <c r="A281" s="8">
        <v>42867.053252314814</v>
      </c>
      <c r="B281" t="s">
        <v>343</v>
      </c>
      <c r="C281" t="s">
        <v>481</v>
      </c>
      <c r="D281" s="141">
        <v>1810000</v>
      </c>
      <c r="E281" t="s">
        <v>388</v>
      </c>
      <c r="F281" s="20" t="s">
        <v>193</v>
      </c>
      <c r="G281" s="8" t="str">
        <f t="shared" si="4"/>
        <v>NEWELL JAMES</v>
      </c>
    </row>
    <row r="282" spans="1:7" x14ac:dyDescent="0.25">
      <c r="A282" s="8">
        <v>42867.070532407408</v>
      </c>
      <c r="B282" t="s">
        <v>461</v>
      </c>
      <c r="C282" t="s">
        <v>482</v>
      </c>
      <c r="D282" s="141">
        <v>2270000</v>
      </c>
      <c r="E282" t="s">
        <v>443</v>
      </c>
      <c r="F282" s="20" t="s">
        <v>444</v>
      </c>
      <c r="G282" s="8" t="str">
        <f t="shared" si="4"/>
        <v>BROWN JACOB</v>
      </c>
    </row>
    <row r="283" spans="1:7" x14ac:dyDescent="0.25">
      <c r="A283" s="8">
        <v>42867.071527777778</v>
      </c>
      <c r="B283" t="s">
        <v>461</v>
      </c>
      <c r="C283" t="s">
        <v>482</v>
      </c>
      <c r="D283" s="141">
        <v>2270000</v>
      </c>
      <c r="E283" t="s">
        <v>443</v>
      </c>
      <c r="F283" s="20" t="s">
        <v>444</v>
      </c>
      <c r="G283" s="8" t="str">
        <f t="shared" si="4"/>
        <v>BROWN JACOB</v>
      </c>
    </row>
    <row r="284" spans="1:7" x14ac:dyDescent="0.25">
      <c r="A284" s="8">
        <v>42867.090428240743</v>
      </c>
      <c r="B284" t="s">
        <v>356</v>
      </c>
      <c r="C284" t="s">
        <v>483</v>
      </c>
      <c r="D284" s="141">
        <v>3000000</v>
      </c>
      <c r="E284" t="s">
        <v>430</v>
      </c>
      <c r="F284" s="20" t="s">
        <v>431</v>
      </c>
      <c r="G284" s="8" t="str">
        <f t="shared" si="4"/>
        <v>FORTUNATO FRANK</v>
      </c>
    </row>
    <row r="285" spans="1:7" x14ac:dyDescent="0.25">
      <c r="A285" s="8">
        <v>42863.995520833334</v>
      </c>
      <c r="B285" t="s">
        <v>344</v>
      </c>
      <c r="C285" t="s">
        <v>411</v>
      </c>
      <c r="D285" s="141">
        <v>1800000</v>
      </c>
      <c r="E285" t="s">
        <v>401</v>
      </c>
      <c r="F285" s="20" t="s">
        <v>402</v>
      </c>
      <c r="G285" s="8" t="str">
        <f t="shared" si="4"/>
        <v>CHANDLER KELVIN</v>
      </c>
    </row>
    <row r="286" spans="1:7" x14ac:dyDescent="0.25">
      <c r="A286" s="8">
        <v>42864.007430555554</v>
      </c>
      <c r="B286" t="s">
        <v>398</v>
      </c>
      <c r="C286" t="s">
        <v>393</v>
      </c>
      <c r="D286" s="141">
        <v>2970000</v>
      </c>
      <c r="E286" t="s">
        <v>403</v>
      </c>
      <c r="F286" s="20" t="s">
        <v>404</v>
      </c>
      <c r="G286" s="8" t="str">
        <f t="shared" si="4"/>
        <v>GUZMAN DANNY</v>
      </c>
    </row>
    <row r="287" spans="1:7" x14ac:dyDescent="0.25">
      <c r="A287" s="8">
        <v>42864.009456018517</v>
      </c>
      <c r="B287" t="s">
        <v>379</v>
      </c>
      <c r="C287" t="s">
        <v>412</v>
      </c>
      <c r="D287" s="141">
        <v>2230000</v>
      </c>
      <c r="E287" t="s">
        <v>346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42864.018831018519</v>
      </c>
      <c r="B288" t="s">
        <v>395</v>
      </c>
      <c r="C288" t="s">
        <v>410</v>
      </c>
      <c r="D288" s="141">
        <v>3130000</v>
      </c>
      <c r="E288" t="s">
        <v>408</v>
      </c>
      <c r="F288" s="20" t="s">
        <v>409</v>
      </c>
      <c r="G288" s="8" t="str">
        <f t="shared" si="4"/>
        <v>ZEWDU DEREJE</v>
      </c>
    </row>
    <row r="289" spans="1:7" x14ac:dyDescent="0.25">
      <c r="A289" s="8">
        <v>42864.019791666666</v>
      </c>
      <c r="B289" t="s">
        <v>382</v>
      </c>
      <c r="C289" t="s">
        <v>394</v>
      </c>
      <c r="D289" s="141">
        <v>3040000</v>
      </c>
      <c r="E289" t="s">
        <v>406</v>
      </c>
      <c r="F289" s="20" t="s">
        <v>407</v>
      </c>
      <c r="G289" s="8" t="str">
        <f t="shared" si="4"/>
        <v>WILLIAMS DONTE</v>
      </c>
    </row>
    <row r="290" spans="1:7" x14ac:dyDescent="0.25">
      <c r="A290" s="8">
        <v>42864.019803240742</v>
      </c>
      <c r="B290" t="s">
        <v>395</v>
      </c>
      <c r="C290" t="s">
        <v>410</v>
      </c>
      <c r="D290" s="141">
        <v>3130000</v>
      </c>
      <c r="E290" t="s">
        <v>408</v>
      </c>
      <c r="F290" s="20" t="s">
        <v>409</v>
      </c>
      <c r="G290" s="8" t="str">
        <f t="shared" si="4"/>
        <v>ZEWDU DEREJE</v>
      </c>
    </row>
    <row r="291" spans="1:7" x14ac:dyDescent="0.25">
      <c r="A291" s="8">
        <v>42864.020671296297</v>
      </c>
      <c r="B291" t="s">
        <v>382</v>
      </c>
      <c r="C291" t="s">
        <v>394</v>
      </c>
      <c r="D291" s="141">
        <v>3040000</v>
      </c>
      <c r="E291" t="s">
        <v>406</v>
      </c>
      <c r="F291" s="20" t="s">
        <v>407</v>
      </c>
      <c r="G291" s="8" t="str">
        <f t="shared" si="4"/>
        <v>WILLIAMS DONTE</v>
      </c>
    </row>
    <row r="292" spans="1:7" x14ac:dyDescent="0.25">
      <c r="A292" s="8">
        <v>42864.02140046296</v>
      </c>
      <c r="B292" t="s">
        <v>391</v>
      </c>
      <c r="C292" t="s">
        <v>393</v>
      </c>
      <c r="D292" s="141">
        <v>2970000</v>
      </c>
      <c r="E292" t="s">
        <v>403</v>
      </c>
      <c r="F292" s="20" t="s">
        <v>404</v>
      </c>
      <c r="G292" s="8" t="str">
        <f t="shared" si="4"/>
        <v>GUZMAN DANNY</v>
      </c>
    </row>
    <row r="293" spans="1:7" x14ac:dyDescent="0.25">
      <c r="A293" s="8">
        <v>42864.021481481483</v>
      </c>
      <c r="B293" t="s">
        <v>395</v>
      </c>
      <c r="C293" t="s">
        <v>396</v>
      </c>
      <c r="D293" s="141">
        <v>3130000</v>
      </c>
      <c r="E293" t="s">
        <v>408</v>
      </c>
      <c r="F293" s="20" t="s">
        <v>409</v>
      </c>
      <c r="G293" s="8" t="str">
        <f t="shared" si="4"/>
        <v>ZEWDU DEREJE</v>
      </c>
    </row>
    <row r="294" spans="1:7" x14ac:dyDescent="0.25">
      <c r="A294" s="8">
        <v>42864.022488425922</v>
      </c>
      <c r="B294" t="s">
        <v>382</v>
      </c>
      <c r="C294" t="s">
        <v>394</v>
      </c>
      <c r="D294" s="141">
        <v>3040000</v>
      </c>
      <c r="E294" t="s">
        <v>406</v>
      </c>
      <c r="F294" s="20" t="s">
        <v>407</v>
      </c>
      <c r="G294" s="8" t="str">
        <f t="shared" si="4"/>
        <v>WILLIAMS DONTE</v>
      </c>
    </row>
    <row r="295" spans="1:7" x14ac:dyDescent="0.25">
      <c r="A295" s="8">
        <v>42864.030914351853</v>
      </c>
      <c r="B295" t="s">
        <v>343</v>
      </c>
      <c r="C295" t="s">
        <v>413</v>
      </c>
      <c r="D295" s="141">
        <v>1800000</v>
      </c>
      <c r="E295" t="s">
        <v>401</v>
      </c>
      <c r="F295" s="20" t="s">
        <v>402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386</v>
      </c>
      <c r="C296" t="s">
        <v>414</v>
      </c>
      <c r="D296" s="141">
        <v>3030000</v>
      </c>
      <c r="E296" t="s">
        <v>405</v>
      </c>
      <c r="F296" s="20" t="s">
        <v>387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398</v>
      </c>
      <c r="C297" t="s">
        <v>393</v>
      </c>
      <c r="D297" s="141">
        <v>2970000</v>
      </c>
      <c r="E297" t="s">
        <v>403</v>
      </c>
      <c r="F297" s="20" t="s">
        <v>404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370</v>
      </c>
      <c r="C298" t="s">
        <v>415</v>
      </c>
      <c r="D298" s="141">
        <v>2230000</v>
      </c>
      <c r="E298" t="s">
        <v>346</v>
      </c>
      <c r="F298" s="20" t="s">
        <v>196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391</v>
      </c>
      <c r="C299" t="s">
        <v>393</v>
      </c>
      <c r="D299" s="141">
        <v>2970000</v>
      </c>
      <c r="E299" t="s">
        <v>403</v>
      </c>
      <c r="F299" s="20" t="s">
        <v>404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392</v>
      </c>
      <c r="C300" t="s">
        <v>397</v>
      </c>
      <c r="D300" s="141">
        <v>3130000</v>
      </c>
      <c r="E300" t="s">
        <v>408</v>
      </c>
      <c r="F300" s="20" t="s">
        <v>409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391</v>
      </c>
      <c r="C301" t="s">
        <v>393</v>
      </c>
      <c r="D301" s="141">
        <v>2970000</v>
      </c>
      <c r="E301" t="s">
        <v>403</v>
      </c>
      <c r="F301" s="20" t="s">
        <v>404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381</v>
      </c>
      <c r="C302" t="s">
        <v>394</v>
      </c>
      <c r="D302" s="141">
        <v>3040000</v>
      </c>
      <c r="E302" t="s">
        <v>406</v>
      </c>
      <c r="F302" s="20" t="s">
        <v>407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381</v>
      </c>
      <c r="C303" t="s">
        <v>394</v>
      </c>
      <c r="D303" s="141">
        <v>3040000</v>
      </c>
      <c r="E303" t="s">
        <v>406</v>
      </c>
      <c r="F303" s="20" t="s">
        <v>407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345</v>
      </c>
      <c r="C304" t="s">
        <v>416</v>
      </c>
      <c r="D304" s="141">
        <v>3030000</v>
      </c>
      <c r="E304" t="s">
        <v>405</v>
      </c>
      <c r="F304" s="20" t="s">
        <v>387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398</v>
      </c>
      <c r="C305" t="s">
        <v>393</v>
      </c>
      <c r="D305" s="141">
        <v>2970000</v>
      </c>
      <c r="E305" t="s">
        <v>403</v>
      </c>
      <c r="F305" s="20" t="s">
        <v>404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391</v>
      </c>
      <c r="C306" t="s">
        <v>393</v>
      </c>
      <c r="D306" s="141">
        <v>2970000</v>
      </c>
      <c r="E306" t="s">
        <v>403</v>
      </c>
      <c r="F306" s="20" t="s">
        <v>404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382</v>
      </c>
      <c r="C307" t="s">
        <v>394</v>
      </c>
      <c r="D307" s="141">
        <v>3040000</v>
      </c>
      <c r="E307" t="s">
        <v>406</v>
      </c>
      <c r="F307" s="20" t="s">
        <v>407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395</v>
      </c>
      <c r="C308" t="s">
        <v>417</v>
      </c>
      <c r="D308" s="141">
        <v>3130000</v>
      </c>
      <c r="E308" t="s">
        <v>408</v>
      </c>
      <c r="F308" s="20" t="s">
        <v>409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381</v>
      </c>
      <c r="C309" t="s">
        <v>394</v>
      </c>
      <c r="D309" s="141">
        <v>3040000</v>
      </c>
      <c r="E309" t="s">
        <v>406</v>
      </c>
      <c r="F309" s="20" t="s">
        <v>407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398</v>
      </c>
      <c r="C310" t="s">
        <v>393</v>
      </c>
      <c r="D310" s="141">
        <v>2970000</v>
      </c>
      <c r="E310" t="s">
        <v>403</v>
      </c>
      <c r="F310" s="20" t="s">
        <v>404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391</v>
      </c>
      <c r="C311" t="s">
        <v>393</v>
      </c>
      <c r="D311" s="141">
        <v>2970000</v>
      </c>
      <c r="E311" t="s">
        <v>403</v>
      </c>
      <c r="F311" s="20" t="s">
        <v>404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389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58.04</v>
      </c>
      <c r="B2" s="168">
        <v>0.51</v>
      </c>
      <c r="C2" s="168">
        <v>40.700000000000003</v>
      </c>
      <c r="D2" s="8">
        <v>42870</v>
      </c>
      <c r="E2" s="168">
        <v>0.52</v>
      </c>
      <c r="F2" s="168" t="s">
        <v>524</v>
      </c>
      <c r="G2" s="168">
        <v>299.51</v>
      </c>
      <c r="H2" s="168">
        <v>8.9999999999999998E-4</v>
      </c>
      <c r="I2" s="168">
        <v>0.01</v>
      </c>
      <c r="J2" s="168" t="s">
        <v>390</v>
      </c>
      <c r="K2" s="168">
        <v>1006.18</v>
      </c>
      <c r="L2" s="168" t="s">
        <v>525</v>
      </c>
      <c r="M2" s="168">
        <v>58.04</v>
      </c>
      <c r="N2" s="168">
        <v>1494828000</v>
      </c>
      <c r="O2" s="168">
        <v>1.1000000000000001</v>
      </c>
      <c r="P2" s="168">
        <v>213</v>
      </c>
      <c r="Q2" s="168">
        <v>2.21</v>
      </c>
      <c r="R2"/>
    </row>
    <row r="3" spans="1:18" x14ac:dyDescent="0.25">
      <c r="A3" s="168">
        <v>56.88</v>
      </c>
      <c r="B3" s="168">
        <v>0.39</v>
      </c>
      <c r="C3" s="168">
        <v>40.72</v>
      </c>
      <c r="D3" s="8">
        <v>42870.041666666664</v>
      </c>
      <c r="E3" s="168">
        <v>0.55000000000000004</v>
      </c>
      <c r="F3" s="168" t="s">
        <v>524</v>
      </c>
      <c r="G3" s="168">
        <v>299.26</v>
      </c>
      <c r="H3" s="168">
        <v>0</v>
      </c>
      <c r="I3" s="168">
        <v>0</v>
      </c>
      <c r="J3" s="168"/>
      <c r="K3" s="168">
        <v>1006.57</v>
      </c>
      <c r="L3" s="168" t="s">
        <v>525</v>
      </c>
      <c r="M3" s="168">
        <v>56.88</v>
      </c>
      <c r="N3" s="168">
        <v>1494831600</v>
      </c>
      <c r="O3" s="168">
        <v>1.1000000000000001</v>
      </c>
      <c r="P3" s="168">
        <v>164</v>
      </c>
      <c r="Q3" s="168">
        <v>1.68</v>
      </c>
      <c r="R3"/>
    </row>
    <row r="4" spans="1:18" x14ac:dyDescent="0.25">
      <c r="A4" s="168">
        <v>55.67</v>
      </c>
      <c r="B4" s="168">
        <v>0.28000000000000003</v>
      </c>
      <c r="C4" s="168">
        <v>40.44</v>
      </c>
      <c r="D4" s="8">
        <v>42870.083333333336</v>
      </c>
      <c r="E4" s="168">
        <v>0.56000000000000005</v>
      </c>
      <c r="F4" s="168" t="s">
        <v>524</v>
      </c>
      <c r="G4" s="168">
        <v>299.01</v>
      </c>
      <c r="H4" s="168">
        <v>0</v>
      </c>
      <c r="I4" s="168">
        <v>0</v>
      </c>
      <c r="J4" s="168"/>
      <c r="K4" s="168">
        <v>1007</v>
      </c>
      <c r="L4" s="168" t="s">
        <v>525</v>
      </c>
      <c r="M4" s="168">
        <v>55.67</v>
      </c>
      <c r="N4" s="168">
        <v>1494835200</v>
      </c>
      <c r="O4" s="168">
        <v>1.1000000000000001</v>
      </c>
      <c r="P4" s="168">
        <v>164</v>
      </c>
      <c r="Q4" s="168">
        <v>2.5299999999999998</v>
      </c>
      <c r="R4"/>
    </row>
    <row r="5" spans="1:18" x14ac:dyDescent="0.25">
      <c r="A5" s="168">
        <v>53.39</v>
      </c>
      <c r="B5" s="168">
        <v>0.22</v>
      </c>
      <c r="C5" s="168">
        <v>38.340000000000003</v>
      </c>
      <c r="D5" s="8">
        <v>42870.125</v>
      </c>
      <c r="E5" s="168">
        <v>0.56999999999999995</v>
      </c>
      <c r="F5" s="168" t="s">
        <v>524</v>
      </c>
      <c r="G5" s="168">
        <v>298.75</v>
      </c>
      <c r="H5" s="168">
        <v>0</v>
      </c>
      <c r="I5" s="168">
        <v>0</v>
      </c>
      <c r="J5" s="168"/>
      <c r="K5" s="168">
        <v>1007.52</v>
      </c>
      <c r="L5" s="168" t="s">
        <v>525</v>
      </c>
      <c r="M5" s="168">
        <v>53.39</v>
      </c>
      <c r="N5" s="168">
        <v>1494838800</v>
      </c>
      <c r="O5" s="168">
        <v>1.1000000000000001</v>
      </c>
      <c r="P5" s="168">
        <v>197</v>
      </c>
      <c r="Q5" s="168">
        <v>2.35</v>
      </c>
      <c r="R5"/>
    </row>
    <row r="6" spans="1:18" x14ac:dyDescent="0.25">
      <c r="A6" s="168">
        <v>52.54</v>
      </c>
      <c r="B6" s="168">
        <v>0.33</v>
      </c>
      <c r="C6" s="168">
        <v>36.74</v>
      </c>
      <c r="D6" s="8">
        <v>42870.166666666664</v>
      </c>
      <c r="E6" s="168">
        <v>0.55000000000000004</v>
      </c>
      <c r="F6" s="168" t="s">
        <v>524</v>
      </c>
      <c r="G6" s="168">
        <v>299.16000000000003</v>
      </c>
      <c r="H6" s="168">
        <v>0</v>
      </c>
      <c r="I6" s="168">
        <v>0</v>
      </c>
      <c r="J6" s="168"/>
      <c r="K6" s="168">
        <v>1007.6</v>
      </c>
      <c r="L6" s="168" t="s">
        <v>525</v>
      </c>
      <c r="M6" s="168">
        <v>52.54</v>
      </c>
      <c r="N6" s="168">
        <v>1494842400</v>
      </c>
      <c r="O6" s="168">
        <v>1.1000000000000001</v>
      </c>
      <c r="P6" s="168">
        <v>187</v>
      </c>
      <c r="Q6" s="168">
        <v>1.83</v>
      </c>
      <c r="R6"/>
    </row>
    <row r="7" spans="1:18" x14ac:dyDescent="0.25">
      <c r="A7" s="168">
        <v>52.13</v>
      </c>
      <c r="B7" s="168">
        <v>0.52</v>
      </c>
      <c r="C7" s="168">
        <v>35.75</v>
      </c>
      <c r="D7" s="8">
        <v>42870.208333333336</v>
      </c>
      <c r="E7" s="168">
        <v>0.53</v>
      </c>
      <c r="F7" s="168" t="s">
        <v>527</v>
      </c>
      <c r="G7" s="168">
        <v>299.83999999999997</v>
      </c>
      <c r="H7" s="168">
        <v>0</v>
      </c>
      <c r="I7" s="168">
        <v>0</v>
      </c>
      <c r="J7" s="168"/>
      <c r="K7" s="168">
        <v>1007.51</v>
      </c>
      <c r="L7" s="168" t="s">
        <v>484</v>
      </c>
      <c r="M7" s="168">
        <v>52.13</v>
      </c>
      <c r="N7" s="168">
        <v>1494846000</v>
      </c>
      <c r="O7" s="168"/>
      <c r="P7" s="168">
        <v>238</v>
      </c>
      <c r="Q7" s="168">
        <v>2.13</v>
      </c>
      <c r="R7"/>
    </row>
    <row r="8" spans="1:18" x14ac:dyDescent="0.25">
      <c r="A8" s="168">
        <v>50.79</v>
      </c>
      <c r="B8" s="168">
        <v>0.69</v>
      </c>
      <c r="C8" s="168">
        <v>34.64</v>
      </c>
      <c r="D8" s="8">
        <v>42870.25</v>
      </c>
      <c r="E8" s="168">
        <v>0.54</v>
      </c>
      <c r="F8" s="168" t="s">
        <v>524</v>
      </c>
      <c r="G8" s="168">
        <v>300.49</v>
      </c>
      <c r="H8" s="168">
        <v>0</v>
      </c>
      <c r="I8" s="168">
        <v>0</v>
      </c>
      <c r="J8" s="168"/>
      <c r="K8" s="168">
        <v>1007.43</v>
      </c>
      <c r="L8" s="168" t="s">
        <v>525</v>
      </c>
      <c r="M8" s="168">
        <v>50.79</v>
      </c>
      <c r="N8" s="168">
        <v>1494849600</v>
      </c>
      <c r="O8" s="168">
        <v>1.1000000000000001</v>
      </c>
      <c r="P8" s="168">
        <v>183</v>
      </c>
      <c r="Q8" s="168">
        <v>2.0499999999999998</v>
      </c>
      <c r="R8"/>
    </row>
    <row r="9" spans="1:18" x14ac:dyDescent="0.25">
      <c r="A9" s="168">
        <v>52.86</v>
      </c>
      <c r="B9" s="168">
        <v>0.74</v>
      </c>
      <c r="C9" s="168">
        <v>35.630000000000003</v>
      </c>
      <c r="D9" s="8">
        <v>42870.291666666664</v>
      </c>
      <c r="E9" s="168">
        <v>0.52</v>
      </c>
      <c r="F9" s="168" t="s">
        <v>524</v>
      </c>
      <c r="G9" s="168">
        <v>300.91000000000003</v>
      </c>
      <c r="H9" s="168">
        <v>0</v>
      </c>
      <c r="I9" s="168">
        <v>0</v>
      </c>
      <c r="J9" s="168"/>
      <c r="K9" s="168">
        <v>1007.26</v>
      </c>
      <c r="L9" s="168" t="s">
        <v>525</v>
      </c>
      <c r="M9" s="168">
        <v>52.86</v>
      </c>
      <c r="N9" s="168">
        <v>1494853200</v>
      </c>
      <c r="O9" s="168">
        <v>1.1000000000000001</v>
      </c>
      <c r="P9" s="168">
        <v>193</v>
      </c>
      <c r="Q9" s="168">
        <v>1.85</v>
      </c>
      <c r="R9"/>
    </row>
    <row r="10" spans="1:18" x14ac:dyDescent="0.25">
      <c r="A10" s="168">
        <v>56.11</v>
      </c>
      <c r="B10" s="168">
        <v>0.74</v>
      </c>
      <c r="C10" s="168">
        <v>34.97</v>
      </c>
      <c r="D10" s="8">
        <v>42870.333333333336</v>
      </c>
      <c r="E10" s="168">
        <v>0.45</v>
      </c>
      <c r="F10" s="168" t="s">
        <v>524</v>
      </c>
      <c r="G10" s="168">
        <v>301.3</v>
      </c>
      <c r="H10" s="168">
        <v>0</v>
      </c>
      <c r="I10" s="168">
        <v>0</v>
      </c>
      <c r="J10" s="168"/>
      <c r="K10" s="168">
        <v>1006.98</v>
      </c>
      <c r="L10" s="168" t="s">
        <v>525</v>
      </c>
      <c r="M10" s="168">
        <v>56.11</v>
      </c>
      <c r="N10" s="168">
        <v>1494856800</v>
      </c>
      <c r="O10" s="168">
        <v>1.1000000000000001</v>
      </c>
      <c r="P10" s="168">
        <v>166</v>
      </c>
      <c r="Q10" s="168">
        <v>1.94</v>
      </c>
      <c r="R10"/>
    </row>
    <row r="11" spans="1:18" x14ac:dyDescent="0.25">
      <c r="A11" s="168">
        <v>60.63</v>
      </c>
      <c r="B11" s="168">
        <v>0.71</v>
      </c>
      <c r="C11" s="168">
        <v>35.33</v>
      </c>
      <c r="D11" s="8">
        <v>42870.375</v>
      </c>
      <c r="E11" s="168">
        <v>0.39</v>
      </c>
      <c r="F11" s="168" t="s">
        <v>524</v>
      </c>
      <c r="G11" s="168">
        <v>301.99</v>
      </c>
      <c r="H11" s="168">
        <v>0</v>
      </c>
      <c r="I11" s="168">
        <v>0</v>
      </c>
      <c r="J11" s="168"/>
      <c r="K11" s="168">
        <v>1006.46</v>
      </c>
      <c r="L11" s="168" t="s">
        <v>525</v>
      </c>
      <c r="M11" s="168">
        <v>60.63</v>
      </c>
      <c r="N11" s="168">
        <v>1494860400</v>
      </c>
      <c r="O11" s="168">
        <v>1.1000000000000001</v>
      </c>
      <c r="P11" s="168">
        <v>191</v>
      </c>
      <c r="Q11" s="168">
        <v>1.75</v>
      </c>
      <c r="R11"/>
    </row>
    <row r="12" spans="1:18" x14ac:dyDescent="0.25">
      <c r="A12" s="168">
        <v>64.89</v>
      </c>
      <c r="B12" s="168">
        <v>0.77</v>
      </c>
      <c r="C12" s="168">
        <v>34.619999999999997</v>
      </c>
      <c r="D12" s="8">
        <v>42870.416666666664</v>
      </c>
      <c r="E12" s="168">
        <v>0.32</v>
      </c>
      <c r="F12" s="168" t="s">
        <v>524</v>
      </c>
      <c r="G12" s="168">
        <v>303.31</v>
      </c>
      <c r="H12" s="168">
        <v>0</v>
      </c>
      <c r="I12" s="168">
        <v>0</v>
      </c>
      <c r="J12" s="168"/>
      <c r="K12" s="168">
        <v>1005.81</v>
      </c>
      <c r="L12" s="168" t="s">
        <v>525</v>
      </c>
      <c r="M12" s="168">
        <v>64.89</v>
      </c>
      <c r="N12" s="168">
        <v>1494864000</v>
      </c>
      <c r="O12" s="168">
        <v>1.1000000000000001</v>
      </c>
      <c r="P12" s="168">
        <v>117</v>
      </c>
      <c r="Q12" s="168">
        <v>1.38</v>
      </c>
      <c r="R12"/>
    </row>
    <row r="13" spans="1:18" x14ac:dyDescent="0.25">
      <c r="A13" s="168">
        <v>68.59</v>
      </c>
      <c r="B13" s="168">
        <v>0.67</v>
      </c>
      <c r="C13" s="168">
        <v>34.04</v>
      </c>
      <c r="D13" s="8">
        <v>42870.458333333336</v>
      </c>
      <c r="E13" s="168">
        <v>0.28000000000000003</v>
      </c>
      <c r="F13" s="168" t="s">
        <v>524</v>
      </c>
      <c r="G13" s="168">
        <v>304.93</v>
      </c>
      <c r="H13" s="168">
        <v>0</v>
      </c>
      <c r="I13" s="168">
        <v>0</v>
      </c>
      <c r="J13" s="168"/>
      <c r="K13" s="168">
        <v>1005.15</v>
      </c>
      <c r="L13" s="168" t="s">
        <v>525</v>
      </c>
      <c r="M13" s="168">
        <v>68.59</v>
      </c>
      <c r="N13" s="168">
        <v>1494867600</v>
      </c>
      <c r="O13" s="168">
        <v>1.1000000000000001</v>
      </c>
      <c r="P13" s="168">
        <v>72</v>
      </c>
      <c r="Q13" s="168">
        <v>1.48</v>
      </c>
      <c r="R13"/>
    </row>
    <row r="14" spans="1:18" x14ac:dyDescent="0.25">
      <c r="A14" s="168">
        <v>72.84</v>
      </c>
      <c r="B14" s="168">
        <v>0.6</v>
      </c>
      <c r="C14" s="168">
        <v>33.729999999999997</v>
      </c>
      <c r="D14" s="8">
        <v>42870.5</v>
      </c>
      <c r="E14" s="168">
        <v>0.24</v>
      </c>
      <c r="F14" s="168" t="s">
        <v>524</v>
      </c>
      <c r="G14" s="168">
        <v>306.25</v>
      </c>
      <c r="H14" s="168">
        <v>0</v>
      </c>
      <c r="I14" s="168">
        <v>0</v>
      </c>
      <c r="J14" s="168"/>
      <c r="K14" s="168">
        <v>1004.25</v>
      </c>
      <c r="L14" s="168" t="s">
        <v>525</v>
      </c>
      <c r="M14" s="168">
        <v>72.84</v>
      </c>
      <c r="N14" s="168">
        <v>1494871200</v>
      </c>
      <c r="O14" s="168">
        <v>1.1000000000000001</v>
      </c>
      <c r="P14" s="168">
        <v>68</v>
      </c>
      <c r="Q14" s="168">
        <v>2.78</v>
      </c>
      <c r="R14"/>
    </row>
    <row r="15" spans="1:18" x14ac:dyDescent="0.25">
      <c r="A15" s="168">
        <v>76.75</v>
      </c>
      <c r="B15" s="168">
        <v>0.62</v>
      </c>
      <c r="C15" s="168">
        <v>36.47</v>
      </c>
      <c r="D15" s="8">
        <v>42870.541666666664</v>
      </c>
      <c r="E15" s="168">
        <v>0.23</v>
      </c>
      <c r="F15" s="168" t="s">
        <v>524</v>
      </c>
      <c r="G15" s="168">
        <v>307.08999999999997</v>
      </c>
      <c r="H15" s="168">
        <v>0</v>
      </c>
      <c r="I15" s="168">
        <v>0</v>
      </c>
      <c r="J15" s="168"/>
      <c r="K15" s="168">
        <v>1003</v>
      </c>
      <c r="L15" s="168" t="s">
        <v>525</v>
      </c>
      <c r="M15" s="168">
        <v>76.75</v>
      </c>
      <c r="N15" s="168">
        <v>1494874800</v>
      </c>
      <c r="O15" s="168">
        <v>1.1000000000000001</v>
      </c>
      <c r="P15" s="168">
        <v>49</v>
      </c>
      <c r="Q15" s="168">
        <v>4.38</v>
      </c>
      <c r="R15"/>
    </row>
    <row r="16" spans="1:18" x14ac:dyDescent="0.25">
      <c r="A16" s="168">
        <v>79.64</v>
      </c>
      <c r="B16" s="168">
        <v>0.63</v>
      </c>
      <c r="C16" s="168">
        <v>33.799999999999997</v>
      </c>
      <c r="D16" s="8">
        <v>42870.583333333336</v>
      </c>
      <c r="E16" s="168">
        <v>0.19</v>
      </c>
      <c r="F16" s="168" t="s">
        <v>524</v>
      </c>
      <c r="G16" s="168">
        <v>307.62</v>
      </c>
      <c r="H16" s="168">
        <v>0</v>
      </c>
      <c r="I16" s="168">
        <v>0</v>
      </c>
      <c r="J16" s="168"/>
      <c r="K16" s="168">
        <v>1001.58</v>
      </c>
      <c r="L16" s="168" t="s">
        <v>525</v>
      </c>
      <c r="M16" s="168">
        <v>79.64</v>
      </c>
      <c r="N16" s="168">
        <v>1494878400</v>
      </c>
      <c r="O16" s="168">
        <v>1.1000000000000001</v>
      </c>
      <c r="P16" s="168">
        <v>66</v>
      </c>
      <c r="Q16" s="168">
        <v>4.37</v>
      </c>
      <c r="R16"/>
    </row>
    <row r="17" spans="1:18" x14ac:dyDescent="0.25">
      <c r="A17" s="168">
        <v>78.790000000000006</v>
      </c>
      <c r="B17" s="168">
        <v>0.45</v>
      </c>
      <c r="C17" s="168">
        <v>33.619999999999997</v>
      </c>
      <c r="D17" s="8">
        <v>42870.625</v>
      </c>
      <c r="E17" s="168">
        <v>0.19</v>
      </c>
      <c r="F17" s="168" t="s">
        <v>383</v>
      </c>
      <c r="G17" s="168">
        <v>307.70999999999998</v>
      </c>
      <c r="H17" s="168">
        <v>0</v>
      </c>
      <c r="I17" s="168">
        <v>0</v>
      </c>
      <c r="J17" s="168"/>
      <c r="K17" s="168">
        <v>1000.27</v>
      </c>
      <c r="L17" s="168" t="s">
        <v>484</v>
      </c>
      <c r="M17" s="168">
        <v>78.790000000000006</v>
      </c>
      <c r="N17" s="168">
        <v>1494882000</v>
      </c>
      <c r="O17" s="168">
        <v>3</v>
      </c>
      <c r="P17" s="168">
        <v>76</v>
      </c>
      <c r="Q17" s="168">
        <v>3.05</v>
      </c>
      <c r="R17"/>
    </row>
    <row r="18" spans="1:18" x14ac:dyDescent="0.25">
      <c r="A18" s="168">
        <v>78.709999999999994</v>
      </c>
      <c r="B18" s="168">
        <v>0.56000000000000005</v>
      </c>
      <c r="C18" s="168">
        <v>31.92</v>
      </c>
      <c r="D18" s="8">
        <v>42870.666666666664</v>
      </c>
      <c r="E18" s="168">
        <v>0.17</v>
      </c>
      <c r="F18" s="168" t="s">
        <v>383</v>
      </c>
      <c r="G18" s="168">
        <v>307.11</v>
      </c>
      <c r="H18" s="168">
        <v>0</v>
      </c>
      <c r="I18" s="168">
        <v>0</v>
      </c>
      <c r="J18" s="168"/>
      <c r="K18" s="168">
        <v>999.27</v>
      </c>
      <c r="L18" s="168" t="s">
        <v>484</v>
      </c>
      <c r="M18" s="168">
        <v>80.430000000000007</v>
      </c>
      <c r="N18" s="168">
        <v>1494885600</v>
      </c>
      <c r="O18" s="168">
        <v>2.96</v>
      </c>
      <c r="P18" s="168">
        <v>116</v>
      </c>
      <c r="Q18" s="168">
        <v>1.5</v>
      </c>
      <c r="R18"/>
    </row>
    <row r="19" spans="1:18" x14ac:dyDescent="0.25">
      <c r="A19" s="168">
        <v>78.3</v>
      </c>
      <c r="B19" s="168">
        <v>0.68</v>
      </c>
      <c r="C19" s="168">
        <v>31.7</v>
      </c>
      <c r="D19" s="8">
        <v>42870.708333333336</v>
      </c>
      <c r="E19" s="168">
        <v>0.18</v>
      </c>
      <c r="F19" s="168" t="s">
        <v>383</v>
      </c>
      <c r="G19" s="168">
        <v>306.07</v>
      </c>
      <c r="H19" s="168">
        <v>0</v>
      </c>
      <c r="I19" s="168">
        <v>0</v>
      </c>
      <c r="J19" s="168"/>
      <c r="K19" s="168">
        <v>998.61</v>
      </c>
      <c r="L19" s="168" t="s">
        <v>526</v>
      </c>
      <c r="M19" s="168">
        <v>78.3</v>
      </c>
      <c r="N19" s="168">
        <v>1494889200</v>
      </c>
      <c r="O19" s="168">
        <v>3.57</v>
      </c>
      <c r="P19" s="168">
        <v>211</v>
      </c>
      <c r="Q19" s="168">
        <v>2.2799999999999998</v>
      </c>
      <c r="R19"/>
    </row>
    <row r="20" spans="1:18" x14ac:dyDescent="0.25">
      <c r="A20" s="168">
        <v>77.430000000000007</v>
      </c>
      <c r="B20" s="168">
        <v>0.74</v>
      </c>
      <c r="C20" s="168">
        <v>36.21</v>
      </c>
      <c r="D20" s="8">
        <v>42870.75</v>
      </c>
      <c r="E20" s="168">
        <v>0.23</v>
      </c>
      <c r="F20" s="168" t="s">
        <v>383</v>
      </c>
      <c r="G20" s="168">
        <v>305.16000000000003</v>
      </c>
      <c r="H20" s="168">
        <v>0</v>
      </c>
      <c r="I20" s="168">
        <v>0</v>
      </c>
      <c r="J20" s="168"/>
      <c r="K20" s="168">
        <v>998.3</v>
      </c>
      <c r="L20" s="168" t="s">
        <v>526</v>
      </c>
      <c r="M20" s="168">
        <v>77.430000000000007</v>
      </c>
      <c r="N20" s="168">
        <v>1494892800</v>
      </c>
      <c r="O20" s="168">
        <v>3.55</v>
      </c>
      <c r="P20" s="168">
        <v>237</v>
      </c>
      <c r="Q20" s="168">
        <v>2.39</v>
      </c>
      <c r="R20"/>
    </row>
    <row r="21" spans="1:18" x14ac:dyDescent="0.25">
      <c r="A21" s="168">
        <v>74.45</v>
      </c>
      <c r="B21" s="168">
        <v>0.59</v>
      </c>
      <c r="C21" s="168">
        <v>40.96</v>
      </c>
      <c r="D21" s="8">
        <v>42870.791666666664</v>
      </c>
      <c r="E21" s="168">
        <v>0.3</v>
      </c>
      <c r="F21" s="168" t="s">
        <v>383</v>
      </c>
      <c r="G21" s="168">
        <v>304.37</v>
      </c>
      <c r="H21" s="168">
        <v>0</v>
      </c>
      <c r="I21" s="168">
        <v>0</v>
      </c>
      <c r="J21" s="168"/>
      <c r="K21" s="168">
        <v>997.9</v>
      </c>
      <c r="L21" s="168" t="s">
        <v>484</v>
      </c>
      <c r="M21" s="168">
        <v>74.45</v>
      </c>
      <c r="N21" s="168">
        <v>1494896400</v>
      </c>
      <c r="O21" s="168">
        <v>3.84</v>
      </c>
      <c r="P21" s="168">
        <v>284</v>
      </c>
      <c r="Q21" s="168">
        <v>2.39</v>
      </c>
      <c r="R21"/>
    </row>
    <row r="22" spans="1:18" x14ac:dyDescent="0.25">
      <c r="A22" s="168">
        <v>70.75</v>
      </c>
      <c r="B22" s="168">
        <v>0.39</v>
      </c>
      <c r="C22" s="168">
        <v>42.12</v>
      </c>
      <c r="D22" s="8">
        <v>42870.833333333336</v>
      </c>
      <c r="E22" s="168">
        <v>0.36</v>
      </c>
      <c r="F22" s="168" t="s">
        <v>383</v>
      </c>
      <c r="G22" s="168">
        <v>303.7</v>
      </c>
      <c r="H22" s="168">
        <v>0</v>
      </c>
      <c r="I22" s="168">
        <v>0</v>
      </c>
      <c r="J22" s="168"/>
      <c r="K22" s="168">
        <v>998.65</v>
      </c>
      <c r="L22" s="168" t="s">
        <v>484</v>
      </c>
      <c r="M22" s="168">
        <v>70.75</v>
      </c>
      <c r="N22" s="168">
        <v>1494900000</v>
      </c>
      <c r="O22" s="168">
        <v>4.41</v>
      </c>
      <c r="P22" s="168">
        <v>312</v>
      </c>
      <c r="Q22" s="168">
        <v>2.79</v>
      </c>
      <c r="R22"/>
    </row>
    <row r="23" spans="1:18" x14ac:dyDescent="0.25">
      <c r="A23" s="168">
        <v>67.900000000000006</v>
      </c>
      <c r="B23" s="168">
        <v>0.22</v>
      </c>
      <c r="C23" s="168">
        <v>41.97</v>
      </c>
      <c r="D23" s="8">
        <v>42870.875</v>
      </c>
      <c r="E23" s="168">
        <v>0.39</v>
      </c>
      <c r="F23" s="168" t="s">
        <v>486</v>
      </c>
      <c r="G23" s="168">
        <v>303.82</v>
      </c>
      <c r="H23" s="168">
        <v>0</v>
      </c>
      <c r="I23" s="168">
        <v>0</v>
      </c>
      <c r="J23" s="168"/>
      <c r="K23" s="168">
        <v>999.65</v>
      </c>
      <c r="L23" s="168" t="s">
        <v>485</v>
      </c>
      <c r="M23" s="168">
        <v>67.900000000000006</v>
      </c>
      <c r="N23" s="168">
        <v>1494903600</v>
      </c>
      <c r="O23" s="168">
        <v>5.42</v>
      </c>
      <c r="P23" s="168">
        <v>306</v>
      </c>
      <c r="Q23" s="168">
        <v>2.35</v>
      </c>
      <c r="R23"/>
    </row>
    <row r="24" spans="1:18" x14ac:dyDescent="0.25">
      <c r="A24" s="168">
        <v>65.36</v>
      </c>
      <c r="B24" s="168">
        <v>0.19</v>
      </c>
      <c r="C24" s="168">
        <v>40.56</v>
      </c>
      <c r="D24" s="8">
        <v>42870.916666666664</v>
      </c>
      <c r="E24" s="168">
        <v>0.4</v>
      </c>
      <c r="F24" s="168" t="s">
        <v>486</v>
      </c>
      <c r="G24" s="168">
        <v>305.04000000000002</v>
      </c>
      <c r="H24" s="168">
        <v>0</v>
      </c>
      <c r="I24" s="168">
        <v>0</v>
      </c>
      <c r="J24" s="168"/>
      <c r="K24" s="168">
        <v>1000.11</v>
      </c>
      <c r="L24" s="168" t="s">
        <v>485</v>
      </c>
      <c r="M24" s="168">
        <v>65.36</v>
      </c>
      <c r="N24" s="168">
        <v>1494907200</v>
      </c>
      <c r="O24" s="168">
        <v>4.0199999999999996</v>
      </c>
      <c r="P24" s="168">
        <v>298</v>
      </c>
      <c r="Q24" s="168">
        <v>1.79</v>
      </c>
      <c r="R24"/>
    </row>
    <row r="25" spans="1:18" x14ac:dyDescent="0.25">
      <c r="A25" s="168">
        <v>64.64</v>
      </c>
      <c r="B25" s="168">
        <v>0.2</v>
      </c>
      <c r="C25" s="168">
        <v>40.590000000000003</v>
      </c>
      <c r="D25" s="8">
        <v>42870.958333333336</v>
      </c>
      <c r="E25" s="168">
        <v>0.41</v>
      </c>
      <c r="F25" s="168" t="s">
        <v>486</v>
      </c>
      <c r="G25" s="168">
        <v>307.04000000000002</v>
      </c>
      <c r="H25" s="168">
        <v>0</v>
      </c>
      <c r="I25" s="168">
        <v>0</v>
      </c>
      <c r="J25" s="168"/>
      <c r="K25" s="168">
        <v>1000.32</v>
      </c>
      <c r="L25" s="168" t="s">
        <v>485</v>
      </c>
      <c r="M25" s="168">
        <v>64.64</v>
      </c>
      <c r="N25" s="168">
        <v>1494910800</v>
      </c>
      <c r="O25" s="168">
        <v>3.01</v>
      </c>
      <c r="P25" s="168">
        <v>294</v>
      </c>
      <c r="Q25" s="168">
        <v>1.33</v>
      </c>
      <c r="R25"/>
    </row>
    <row r="26" spans="1:18" x14ac:dyDescent="0.25">
      <c r="A26" s="168">
        <v>62.49</v>
      </c>
      <c r="B26" s="168">
        <v>0.16</v>
      </c>
      <c r="C26" s="168">
        <v>37.42</v>
      </c>
      <c r="D26" s="8">
        <v>42871</v>
      </c>
      <c r="E26" s="168">
        <v>0.39</v>
      </c>
      <c r="F26" s="168" t="s">
        <v>486</v>
      </c>
      <c r="G26" s="168">
        <v>309.51</v>
      </c>
      <c r="H26" s="168">
        <v>0</v>
      </c>
      <c r="I26" s="168">
        <v>0</v>
      </c>
      <c r="J26" s="168"/>
      <c r="K26" s="168">
        <v>1000.6</v>
      </c>
      <c r="L26" s="168" t="s">
        <v>485</v>
      </c>
      <c r="M26" s="168">
        <v>62.49</v>
      </c>
      <c r="N26" s="168">
        <v>1494914400</v>
      </c>
      <c r="O26" s="168">
        <v>2.65</v>
      </c>
      <c r="P26" s="168">
        <v>266</v>
      </c>
      <c r="Q26" s="168">
        <v>2.35</v>
      </c>
      <c r="R26"/>
    </row>
    <row r="27" spans="1:18" x14ac:dyDescent="0.25">
      <c r="A27" s="168">
        <v>59.36</v>
      </c>
      <c r="B27" s="168">
        <v>0.13</v>
      </c>
      <c r="C27" s="168">
        <v>36.67</v>
      </c>
      <c r="D27" s="8">
        <v>42871.041666666664</v>
      </c>
      <c r="E27" s="168">
        <v>0.43</v>
      </c>
      <c r="F27" s="168" t="s">
        <v>486</v>
      </c>
      <c r="G27" s="168">
        <v>312.82</v>
      </c>
      <c r="H27" s="168">
        <v>0</v>
      </c>
      <c r="I27" s="168">
        <v>0</v>
      </c>
      <c r="J27" s="168"/>
      <c r="K27" s="168">
        <v>1001.14</v>
      </c>
      <c r="L27" s="168" t="s">
        <v>485</v>
      </c>
      <c r="M27" s="168">
        <v>59.36</v>
      </c>
      <c r="N27" s="168">
        <v>1494918000</v>
      </c>
      <c r="O27" s="168">
        <v>2.6</v>
      </c>
      <c r="P27" s="168">
        <v>165</v>
      </c>
      <c r="Q27" s="168">
        <v>1.94</v>
      </c>
      <c r="R27"/>
    </row>
    <row r="28" spans="1:18" x14ac:dyDescent="0.25">
      <c r="A28" s="168">
        <v>57.1</v>
      </c>
      <c r="B28" s="168">
        <v>0.13</v>
      </c>
      <c r="C28" s="168">
        <v>37.4</v>
      </c>
      <c r="D28" s="8">
        <v>42871.083333333336</v>
      </c>
      <c r="E28" s="168">
        <v>0.48</v>
      </c>
      <c r="F28" s="168" t="s">
        <v>486</v>
      </c>
      <c r="G28" s="168">
        <v>316.14</v>
      </c>
      <c r="H28" s="168">
        <v>0</v>
      </c>
      <c r="I28" s="168">
        <v>0</v>
      </c>
      <c r="J28" s="168"/>
      <c r="K28" s="168">
        <v>1001.57</v>
      </c>
      <c r="L28" s="168" t="s">
        <v>485</v>
      </c>
      <c r="M28" s="168">
        <v>57.1</v>
      </c>
      <c r="N28" s="168">
        <v>1494921600</v>
      </c>
      <c r="O28" s="168">
        <v>2.58</v>
      </c>
      <c r="P28" s="168">
        <v>197</v>
      </c>
      <c r="Q28" s="168">
        <v>2.2599999999999998</v>
      </c>
      <c r="R28"/>
    </row>
    <row r="29" spans="1:18" x14ac:dyDescent="0.25">
      <c r="A29" s="168">
        <v>55.49</v>
      </c>
      <c r="B29" s="168">
        <v>0.08</v>
      </c>
      <c r="C29" s="168">
        <v>37.36</v>
      </c>
      <c r="D29" s="8">
        <v>42871.125</v>
      </c>
      <c r="E29" s="168">
        <v>0.5</v>
      </c>
      <c r="F29" s="168" t="s">
        <v>486</v>
      </c>
      <c r="G29" s="168">
        <v>319.45</v>
      </c>
      <c r="H29" s="168">
        <v>0</v>
      </c>
      <c r="I29" s="168">
        <v>0</v>
      </c>
      <c r="J29" s="168"/>
      <c r="K29" s="168">
        <v>1001.99</v>
      </c>
      <c r="L29" s="168" t="s">
        <v>485</v>
      </c>
      <c r="M29" s="168">
        <v>55.49</v>
      </c>
      <c r="N29" s="168">
        <v>1494925200</v>
      </c>
      <c r="O29" s="168">
        <v>2.0299999999999998</v>
      </c>
      <c r="P29" s="168">
        <v>137</v>
      </c>
      <c r="Q29" s="168">
        <v>2.37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topLeftCell="A13" workbookViewId="0">
      <selection activeCell="C18" sqref="C18:C39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338</v>
      </c>
      <c r="U1" s="159"/>
      <c r="V1" s="159"/>
      <c r="W1" s="159"/>
      <c r="X1" s="159"/>
    </row>
    <row r="2" spans="1:24" ht="15.75" thickBot="1" x14ac:dyDescent="0.3">
      <c r="A2" s="12">
        <v>42870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339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340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341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342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1026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1027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1028</v>
      </c>
      <c r="J20" s="143" t="s">
        <v>87</v>
      </c>
      <c r="M20" s="157" t="s">
        <v>373</v>
      </c>
      <c r="N20" s="157" t="s">
        <v>337</v>
      </c>
      <c r="T20" s="158"/>
      <c r="U20" s="158"/>
      <c r="V20" s="158"/>
      <c r="W20" s="158"/>
      <c r="X20" s="158"/>
    </row>
    <row r="21" spans="3:24" x14ac:dyDescent="0.25">
      <c r="C21" t="s">
        <v>1029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1030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1031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1032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1033</v>
      </c>
      <c r="J25" s="143" t="s">
        <v>150</v>
      </c>
      <c r="M25" s="157" t="b">
        <v>1</v>
      </c>
    </row>
    <row r="26" spans="3:24" x14ac:dyDescent="0.25">
      <c r="C26" t="s">
        <v>1034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C:\Users\stu\Documents\GitHub\eaglep3-reporting\EC\2017-05-15-refined-times.txt</v>
      </c>
    </row>
    <row r="27" spans="3:24" x14ac:dyDescent="0.25">
      <c r="C27" t="s">
        <v>1035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C:\Users\stu\Documents\GitHub\eaglep3-reporting\EC\2017-05-15-Enforcements.txt</v>
      </c>
    </row>
    <row r="28" spans="3:24" x14ac:dyDescent="0.25">
      <c r="C28" t="s">
        <v>1036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C:\Users\stu\Documents\GitHub\eaglep3-reporting\EC\2017-05-15-Runs-refined.txt</v>
      </c>
    </row>
    <row r="29" spans="3:24" x14ac:dyDescent="0.25">
      <c r="C29" t="s">
        <v>1037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C:\Users\stu\Documents\GitHub\eaglep3-reporting\EC\2017-05-15-Trips.txt</v>
      </c>
    </row>
    <row r="30" spans="3:24" x14ac:dyDescent="0.25">
      <c r="C30" t="s">
        <v>1038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C:\Users\stu\Documents\GitHub\eaglep3-reporting\EC\2017-05-15-Weather.txt</v>
      </c>
    </row>
    <row r="31" spans="3:24" x14ac:dyDescent="0.25">
      <c r="C31" t="s">
        <v>1039</v>
      </c>
      <c r="J31" s="143" t="s">
        <v>200</v>
      </c>
      <c r="M31" s="157" t="s">
        <v>201</v>
      </c>
    </row>
    <row r="32" spans="3:24" x14ac:dyDescent="0.25">
      <c r="C32" t="s">
        <v>1040</v>
      </c>
    </row>
    <row r="33" spans="3:3" x14ac:dyDescent="0.25">
      <c r="C33" t="s">
        <v>1041</v>
      </c>
    </row>
    <row r="34" spans="3:3" x14ac:dyDescent="0.25">
      <c r="C34" t="s">
        <v>1042</v>
      </c>
    </row>
    <row r="35" spans="3:3" x14ac:dyDescent="0.25">
      <c r="C35" t="s">
        <v>1043</v>
      </c>
    </row>
    <row r="36" spans="3:3" x14ac:dyDescent="0.25">
      <c r="C36" t="s">
        <v>1044</v>
      </c>
    </row>
    <row r="37" spans="3:3" x14ac:dyDescent="0.25">
      <c r="C37" t="s">
        <v>1045</v>
      </c>
    </row>
    <row r="38" spans="3:3" x14ac:dyDescent="0.25">
      <c r="C38" t="s">
        <v>1046</v>
      </c>
    </row>
    <row r="39" spans="3:3" x14ac:dyDescent="0.25">
      <c r="C39" t="s">
        <v>1047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350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351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2017-05-17T15:35:37Z</dcterms:modified>
</cp:coreProperties>
</file>