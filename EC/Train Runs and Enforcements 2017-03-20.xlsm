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Enforcements!$A$6:$AC$68</definedName>
    <definedName name="_xlnm._FilterDatabase" localSheetId="2" hidden="1">'Missing Trips'!$A$2:$J$91</definedName>
    <definedName name="_xlnm._FilterDatabase" localSheetId="0" hidden="1">'Train Runs'!$A$12:$AG$268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61" i="1" l="1"/>
  <c r="X162" i="1"/>
  <c r="X163" i="1"/>
  <c r="X164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T17" i="1"/>
  <c r="V17" i="1"/>
  <c r="X17" i="1"/>
  <c r="Y17" i="1"/>
  <c r="Z17" i="1"/>
  <c r="AA17" i="1" s="1"/>
  <c r="AB17" i="1"/>
  <c r="AC17" i="1"/>
  <c r="AD17" i="1"/>
  <c r="AE17" i="1"/>
  <c r="AF17" i="1"/>
  <c r="AG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X19" i="1"/>
  <c r="Y19" i="1"/>
  <c r="Z19" i="1"/>
  <c r="AB19" i="1"/>
  <c r="AC19" i="1"/>
  <c r="AD19" i="1"/>
  <c r="AG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 s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T21" i="1"/>
  <c r="V21" i="1"/>
  <c r="X21" i="1"/>
  <c r="Y21" i="1"/>
  <c r="Z21" i="1"/>
  <c r="AA21" i="1" s="1"/>
  <c r="AB21" i="1"/>
  <c r="AC21" i="1"/>
  <c r="AD21" i="1"/>
  <c r="AE21" i="1"/>
  <c r="AF21" i="1"/>
  <c r="AG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S14" i="3" s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A28" i="1" s="1"/>
  <c r="W28" i="1" s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T33" i="1"/>
  <c r="V33" i="1"/>
  <c r="X33" i="1"/>
  <c r="Y33" i="1"/>
  <c r="Z33" i="1"/>
  <c r="AB33" i="1"/>
  <c r="AC33" i="1"/>
  <c r="AD33" i="1"/>
  <c r="AE33" i="1"/>
  <c r="AF33" i="1"/>
  <c r="AG33" i="1"/>
  <c r="AI33" i="1" s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A35" i="1" s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S7" i="3" s="1"/>
  <c r="Y37" i="1"/>
  <c r="Z37" i="1"/>
  <c r="AB37" i="1"/>
  <c r="AC37" i="1"/>
  <c r="AD37" i="1"/>
  <c r="AG37" i="1" s="1"/>
  <c r="AI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R36" i="3" s="1"/>
  <c r="AF38" i="1"/>
  <c r="AH38" i="1"/>
  <c r="AM38" i="1"/>
  <c r="AN38" i="1"/>
  <c r="K39" i="1"/>
  <c r="L39" i="1"/>
  <c r="M39" i="1"/>
  <c r="N39" i="1" s="1"/>
  <c r="V39" i="1"/>
  <c r="Y39" i="1"/>
  <c r="Z39" i="1"/>
  <c r="AA39" i="1" s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T40" i="1"/>
  <c r="V40" i="1"/>
  <c r="X40" i="1"/>
  <c r="Y40" i="1"/>
  <c r="Z40" i="1"/>
  <c r="AA40" i="1" s="1"/>
  <c r="W40" i="1" s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X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P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G47" i="1"/>
  <c r="U47" i="1" s="1"/>
  <c r="S47" i="1" s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G49" i="1"/>
  <c r="AH49" i="1"/>
  <c r="AI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AA51" i="1" s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R16" i="3" s="1"/>
  <c r="AF52" i="1"/>
  <c r="AH52" i="1"/>
  <c r="AI52" i="1"/>
  <c r="AM52" i="1"/>
  <c r="AN52" i="1"/>
  <c r="K53" i="1"/>
  <c r="L53" i="1"/>
  <c r="M53" i="1"/>
  <c r="N53" i="1" s="1"/>
  <c r="V53" i="1"/>
  <c r="Y53" i="1"/>
  <c r="Z53" i="1"/>
  <c r="AA53" i="1" s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A60" i="1" s="1"/>
  <c r="AB60" i="1"/>
  <c r="AC60" i="1"/>
  <c r="AD60" i="1"/>
  <c r="AE60" i="1"/>
  <c r="AF60" i="1"/>
  <c r="AG60" i="1"/>
  <c r="AI60" i="1" s="1"/>
  <c r="AH60" i="1"/>
  <c r="AM60" i="1"/>
  <c r="AN60" i="1"/>
  <c r="K61" i="1"/>
  <c r="L61" i="1"/>
  <c r="M61" i="1"/>
  <c r="N61" i="1" s="1"/>
  <c r="T61" i="1"/>
  <c r="V61" i="1"/>
  <c r="X61" i="1"/>
  <c r="Y61" i="1"/>
  <c r="Z61" i="1"/>
  <c r="AA61" i="1" s="1"/>
  <c r="AB61" i="1"/>
  <c r="AC61" i="1"/>
  <c r="AD61" i="1"/>
  <c r="AE61" i="1"/>
  <c r="AF61" i="1"/>
  <c r="AG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A64" i="1" s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N68" i="1" s="1"/>
  <c r="T68" i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T69" i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A70" i="1" s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A71" i="1" s="1"/>
  <c r="W71" i="1" s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T72" i="1"/>
  <c r="V72" i="1"/>
  <c r="Y72" i="1"/>
  <c r="AA72" i="1" s="1"/>
  <c r="W72" i="1" s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T73" i="1"/>
  <c r="V73" i="1"/>
  <c r="X73" i="1"/>
  <c r="Y73" i="1"/>
  <c r="Z73" i="1"/>
  <c r="AB73" i="1"/>
  <c r="AC73" i="1"/>
  <c r="AD73" i="1"/>
  <c r="AE73" i="1"/>
  <c r="AF73" i="1"/>
  <c r="AG73" i="1"/>
  <c r="AI73" i="1" s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A75" i="1" s="1"/>
  <c r="W75" i="1" s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T76" i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T78" i="1"/>
  <c r="V78" i="1"/>
  <c r="Y78" i="1"/>
  <c r="Z78" i="1"/>
  <c r="AB78" i="1"/>
  <c r="AC78" i="1"/>
  <c r="AD78" i="1"/>
  <c r="X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A84" i="1" s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A85" i="1" s="1"/>
  <c r="W85" i="1" s="1"/>
  <c r="AB85" i="1"/>
  <c r="AC85" i="1"/>
  <c r="AD85" i="1"/>
  <c r="AG85" i="1" s="1"/>
  <c r="AI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T91" i="1"/>
  <c r="V91" i="1"/>
  <c r="Y91" i="1"/>
  <c r="Z91" i="1"/>
  <c r="AA91" i="1" s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T92" i="1"/>
  <c r="V92" i="1"/>
  <c r="X92" i="1"/>
  <c r="Y92" i="1"/>
  <c r="Z92" i="1"/>
  <c r="AB92" i="1"/>
  <c r="AC92" i="1"/>
  <c r="AD92" i="1"/>
  <c r="AE92" i="1"/>
  <c r="AF92" i="1"/>
  <c r="AG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R17" i="3" s="1"/>
  <c r="AF93" i="1"/>
  <c r="AH93" i="1"/>
  <c r="AM93" i="1"/>
  <c r="AN93" i="1"/>
  <c r="K94" i="1"/>
  <c r="L94" i="1"/>
  <c r="M94" i="1"/>
  <c r="N94" i="1" s="1"/>
  <c r="V94" i="1"/>
  <c r="S27" i="3" s="1"/>
  <c r="Y94" i="1"/>
  <c r="AA94" i="1" s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T95" i="1"/>
  <c r="V95" i="1"/>
  <c r="Y95" i="1"/>
  <c r="Z95" i="1"/>
  <c r="AA95" i="1" s="1"/>
  <c r="W95" i="1" s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A97" i="1" s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T98" i="1"/>
  <c r="V98" i="1"/>
  <c r="Y98" i="1"/>
  <c r="AA98" i="1" s="1"/>
  <c r="Z98" i="1"/>
  <c r="AB98" i="1"/>
  <c r="AC98" i="1"/>
  <c r="AD98" i="1"/>
  <c r="AG98" i="1" s="1"/>
  <c r="AE98" i="1"/>
  <c r="AF98" i="1"/>
  <c r="AH98" i="1"/>
  <c r="AI98" i="1"/>
  <c r="AM98" i="1"/>
  <c r="AN98" i="1"/>
  <c r="K99" i="1"/>
  <c r="L99" i="1"/>
  <c r="M99" i="1"/>
  <c r="N99" i="1" s="1"/>
  <c r="V99" i="1"/>
  <c r="X99" i="1"/>
  <c r="Y99" i="1"/>
  <c r="Z99" i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R41" i="3" s="1"/>
  <c r="AF100" i="1"/>
  <c r="AH100" i="1"/>
  <c r="AM100" i="1"/>
  <c r="AN100" i="1"/>
  <c r="K101" i="1"/>
  <c r="L101" i="1"/>
  <c r="M101" i="1"/>
  <c r="N101" i="1" s="1"/>
  <c r="V101" i="1"/>
  <c r="Y101" i="1"/>
  <c r="Z101" i="1"/>
  <c r="AA101" i="1" s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T102" i="1"/>
  <c r="V102" i="1"/>
  <c r="Y102" i="1"/>
  <c r="AA102" i="1" s="1"/>
  <c r="W102" i="1" s="1"/>
  <c r="Z102" i="1"/>
  <c r="AB102" i="1"/>
  <c r="AC102" i="1"/>
  <c r="AD102" i="1"/>
  <c r="AE102" i="1"/>
  <c r="AF102" i="1"/>
  <c r="AG102" i="1"/>
  <c r="AI102" i="1" s="1"/>
  <c r="AH102" i="1"/>
  <c r="AM102" i="1"/>
  <c r="AN102" i="1"/>
  <c r="K103" i="1"/>
  <c r="L103" i="1"/>
  <c r="M103" i="1"/>
  <c r="N103" i="1" s="1"/>
  <c r="V103" i="1"/>
  <c r="Y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G106" i="1"/>
  <c r="AH106" i="1"/>
  <c r="AM106" i="1"/>
  <c r="AN106" i="1"/>
  <c r="K107" i="1"/>
  <c r="L107" i="1"/>
  <c r="M107" i="1"/>
  <c r="N107" i="1" s="1"/>
  <c r="V107" i="1"/>
  <c r="Y107" i="1"/>
  <c r="Z107" i="1"/>
  <c r="AA107" i="1" s="1"/>
  <c r="AB107" i="1"/>
  <c r="AC107" i="1"/>
  <c r="AD107" i="1"/>
  <c r="X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A109" i="1" s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T110" i="1"/>
  <c r="V110" i="1"/>
  <c r="Y110" i="1"/>
  <c r="Z110" i="1"/>
  <c r="AA110" i="1"/>
  <c r="AB110" i="1"/>
  <c r="AC110" i="1"/>
  <c r="AD110" i="1"/>
  <c r="AG110" i="1" s="1"/>
  <c r="AE110" i="1"/>
  <c r="AF110" i="1"/>
  <c r="AH110" i="1"/>
  <c r="AI110" i="1"/>
  <c r="AM110" i="1"/>
  <c r="AN110" i="1"/>
  <c r="K111" i="1"/>
  <c r="L111" i="1"/>
  <c r="M111" i="1"/>
  <c r="N111" i="1" s="1"/>
  <c r="V111" i="1"/>
  <c r="X111" i="1"/>
  <c r="Y111" i="1"/>
  <c r="Z111" i="1"/>
  <c r="AB111" i="1"/>
  <c r="AC111" i="1"/>
  <c r="AD111" i="1"/>
  <c r="T111" i="1" s="1"/>
  <c r="AE111" i="1"/>
  <c r="AF111" i="1"/>
  <c r="AG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X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A114" i="1" s="1"/>
  <c r="AB114" i="1"/>
  <c r="AC114" i="1"/>
  <c r="AD114" i="1"/>
  <c r="AG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A115" i="1" s="1"/>
  <c r="AB115" i="1"/>
  <c r="AC115" i="1"/>
  <c r="AD115" i="1"/>
  <c r="AG115" i="1" s="1"/>
  <c r="AE115" i="1"/>
  <c r="AF115" i="1"/>
  <c r="AH115" i="1"/>
  <c r="AM115" i="1"/>
  <c r="AN115" i="1"/>
  <c r="K116" i="1"/>
  <c r="L116" i="1"/>
  <c r="M116" i="1"/>
  <c r="N116" i="1" s="1"/>
  <c r="V116" i="1"/>
  <c r="S24" i="3" s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R39" i="3" s="1"/>
  <c r="AF117" i="1"/>
  <c r="AH117" i="1"/>
  <c r="AM117" i="1"/>
  <c r="AN117" i="1"/>
  <c r="K118" i="1"/>
  <c r="L118" i="1"/>
  <c r="M118" i="1"/>
  <c r="N118" i="1" s="1"/>
  <c r="V118" i="1"/>
  <c r="Y118" i="1"/>
  <c r="Z118" i="1"/>
  <c r="AA118" i="1" s="1"/>
  <c r="AB118" i="1"/>
  <c r="AC118" i="1"/>
  <c r="AD118" i="1"/>
  <c r="AG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A121" i="1" s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T122" i="1"/>
  <c r="V122" i="1"/>
  <c r="Y122" i="1"/>
  <c r="Z122" i="1"/>
  <c r="AB122" i="1"/>
  <c r="AC122" i="1"/>
  <c r="AD122" i="1"/>
  <c r="AG122" i="1" s="1"/>
  <c r="AE122" i="1"/>
  <c r="AF122" i="1"/>
  <c r="AH122" i="1"/>
  <c r="AM122" i="1"/>
  <c r="AN122" i="1"/>
  <c r="K123" i="1"/>
  <c r="L123" i="1"/>
  <c r="M123" i="1"/>
  <c r="P123" i="1" s="1"/>
  <c r="V123" i="1"/>
  <c r="X123" i="1"/>
  <c r="Y123" i="1"/>
  <c r="Z123" i="1"/>
  <c r="AB123" i="1"/>
  <c r="AC123" i="1"/>
  <c r="AD123" i="1"/>
  <c r="AG123" i="1" s="1"/>
  <c r="AE123" i="1"/>
  <c r="AF123" i="1"/>
  <c r="AH123" i="1"/>
  <c r="AM123" i="1"/>
  <c r="AN123" i="1"/>
  <c r="K124" i="1"/>
  <c r="L124" i="1"/>
  <c r="M124" i="1"/>
  <c r="V124" i="1"/>
  <c r="Y124" i="1"/>
  <c r="Z124" i="1"/>
  <c r="AB124" i="1"/>
  <c r="AC124" i="1"/>
  <c r="AD124" i="1"/>
  <c r="X124" i="1" s="1"/>
  <c r="AE124" i="1"/>
  <c r="R37" i="3" s="1"/>
  <c r="AF124" i="1"/>
  <c r="AH124" i="1"/>
  <c r="AM124" i="1"/>
  <c r="AN124" i="1"/>
  <c r="K125" i="1"/>
  <c r="L125" i="1"/>
  <c r="M125" i="1"/>
  <c r="N125" i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I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A129" i="1" s="1"/>
  <c r="AB129" i="1"/>
  <c r="AC129" i="1"/>
  <c r="AD129" i="1"/>
  <c r="AG129" i="1" s="1"/>
  <c r="AE129" i="1"/>
  <c r="AF129" i="1"/>
  <c r="AH129" i="1"/>
  <c r="AM129" i="1"/>
  <c r="AN129" i="1"/>
  <c r="K130" i="1"/>
  <c r="L130" i="1"/>
  <c r="M130" i="1"/>
  <c r="N130" i="1" s="1"/>
  <c r="V130" i="1"/>
  <c r="S47" i="3" s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G131" i="1"/>
  <c r="AH131" i="1"/>
  <c r="AI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G133" i="1"/>
  <c r="AI133" i="1" s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R44" i="3" s="1"/>
  <c r="AF135" i="1"/>
  <c r="AH135" i="1"/>
  <c r="AM135" i="1"/>
  <c r="AN135" i="1"/>
  <c r="K136" i="1"/>
  <c r="L136" i="1"/>
  <c r="M136" i="1"/>
  <c r="N136" i="1" s="1"/>
  <c r="V136" i="1"/>
  <c r="Y136" i="1"/>
  <c r="Z136" i="1"/>
  <c r="AA136" i="1" s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T137" i="1"/>
  <c r="V137" i="1"/>
  <c r="Y137" i="1"/>
  <c r="AA137" i="1" s="1"/>
  <c r="W137" i="1" s="1"/>
  <c r="Z137" i="1"/>
  <c r="AB137" i="1"/>
  <c r="AC137" i="1"/>
  <c r="AD137" i="1"/>
  <c r="AG137" i="1" s="1"/>
  <c r="AE137" i="1"/>
  <c r="AF137" i="1"/>
  <c r="AH137" i="1"/>
  <c r="AI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X139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G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AA141" i="1" s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A145" i="1" s="1"/>
  <c r="W145" i="1" s="1"/>
  <c r="AB145" i="1"/>
  <c r="AC145" i="1"/>
  <c r="AD145" i="1"/>
  <c r="AG145" i="1" s="1"/>
  <c r="AE145" i="1"/>
  <c r="AF145" i="1"/>
  <c r="AH145" i="1"/>
  <c r="AI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A148" i="1" s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AA149" i="1" s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X150" i="1"/>
  <c r="Y150" i="1"/>
  <c r="Z150" i="1"/>
  <c r="AB150" i="1"/>
  <c r="AC150" i="1"/>
  <c r="AD150" i="1"/>
  <c r="T150" i="1" s="1"/>
  <c r="AE150" i="1"/>
  <c r="AF150" i="1"/>
  <c r="AG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T153" i="1"/>
  <c r="V153" i="1"/>
  <c r="Y153" i="1"/>
  <c r="Z153" i="1"/>
  <c r="AB153" i="1"/>
  <c r="AC153" i="1"/>
  <c r="AD153" i="1"/>
  <c r="AG153" i="1" s="1"/>
  <c r="AE153" i="1"/>
  <c r="AF153" i="1"/>
  <c r="AH153" i="1"/>
  <c r="AM153" i="1"/>
  <c r="AN153" i="1"/>
  <c r="K154" i="1"/>
  <c r="L154" i="1"/>
  <c r="M154" i="1"/>
  <c r="N154" i="1" s="1"/>
  <c r="T154" i="1"/>
  <c r="V154" i="1"/>
  <c r="S49" i="3" s="1"/>
  <c r="X154" i="1"/>
  <c r="Y154" i="1"/>
  <c r="Z154" i="1"/>
  <c r="AB154" i="1"/>
  <c r="AC154" i="1"/>
  <c r="AD154" i="1"/>
  <c r="AE154" i="1"/>
  <c r="AF154" i="1"/>
  <c r="AG154" i="1"/>
  <c r="AI154" i="1" s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R45" i="3" s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T157" i="1"/>
  <c r="V157" i="1"/>
  <c r="Y157" i="1"/>
  <c r="Z157" i="1"/>
  <c r="AB157" i="1"/>
  <c r="AC157" i="1"/>
  <c r="AD157" i="1"/>
  <c r="AG157" i="1" s="1"/>
  <c r="AE157" i="1"/>
  <c r="AF157" i="1"/>
  <c r="AH157" i="1"/>
  <c r="AM157" i="1"/>
  <c r="AN157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G204" i="1"/>
  <c r="AH158" i="1"/>
  <c r="AM158" i="1"/>
  <c r="AN158" i="1"/>
  <c r="K205" i="1"/>
  <c r="L205" i="1"/>
  <c r="M205" i="1"/>
  <c r="N205" i="1" s="1"/>
  <c r="V205" i="1"/>
  <c r="Y205" i="1"/>
  <c r="Z205" i="1"/>
  <c r="AB205" i="1"/>
  <c r="AC205" i="1"/>
  <c r="AD205" i="1"/>
  <c r="X205" i="1" s="1"/>
  <c r="AE205" i="1"/>
  <c r="AF205" i="1"/>
  <c r="AH159" i="1"/>
  <c r="AM159" i="1"/>
  <c r="AN159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160" i="1"/>
  <c r="AM160" i="1"/>
  <c r="AN160" i="1"/>
  <c r="K207" i="1"/>
  <c r="L207" i="1"/>
  <c r="M207" i="1"/>
  <c r="N207" i="1" s="1"/>
  <c r="V207" i="1"/>
  <c r="Y207" i="1"/>
  <c r="Z207" i="1"/>
  <c r="AA207" i="1" s="1"/>
  <c r="W207" i="1" s="1"/>
  <c r="AB207" i="1"/>
  <c r="AC207" i="1"/>
  <c r="AD207" i="1"/>
  <c r="AG207" i="1" s="1"/>
  <c r="AE207" i="1"/>
  <c r="AF207" i="1"/>
  <c r="AH161" i="1"/>
  <c r="AM161" i="1"/>
  <c r="AN161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2" i="1"/>
  <c r="AM162" i="1"/>
  <c r="AN162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3" i="1"/>
  <c r="AM163" i="1"/>
  <c r="AN163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4" i="1"/>
  <c r="AM164" i="1"/>
  <c r="AN164" i="1"/>
  <c r="K211" i="1"/>
  <c r="L211" i="1"/>
  <c r="M211" i="1"/>
  <c r="N211" i="1" s="1"/>
  <c r="V211" i="1"/>
  <c r="Y211" i="1"/>
  <c r="Z211" i="1"/>
  <c r="AA211" i="1" s="1"/>
  <c r="AB211" i="1"/>
  <c r="AC211" i="1"/>
  <c r="AD211" i="1"/>
  <c r="AG211" i="1" s="1"/>
  <c r="AE211" i="1"/>
  <c r="AF211" i="1"/>
  <c r="AH165" i="1"/>
  <c r="AM165" i="1"/>
  <c r="AN165" i="1"/>
  <c r="K212" i="1"/>
  <c r="L212" i="1"/>
  <c r="M212" i="1"/>
  <c r="N212" i="1" s="1"/>
  <c r="V212" i="1"/>
  <c r="Y212" i="1"/>
  <c r="Z212" i="1"/>
  <c r="AB212" i="1"/>
  <c r="AC212" i="1"/>
  <c r="AD212" i="1"/>
  <c r="X212" i="1" s="1"/>
  <c r="AE212" i="1"/>
  <c r="AF212" i="1"/>
  <c r="AH166" i="1"/>
  <c r="AM166" i="1"/>
  <c r="AN166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7" i="1"/>
  <c r="AM167" i="1"/>
  <c r="AN167" i="1"/>
  <c r="K214" i="1"/>
  <c r="L214" i="1"/>
  <c r="M214" i="1"/>
  <c r="N214" i="1"/>
  <c r="V214" i="1"/>
  <c r="Y214" i="1"/>
  <c r="Z214" i="1"/>
  <c r="AB214" i="1"/>
  <c r="AC214" i="1"/>
  <c r="AD214" i="1"/>
  <c r="AE214" i="1"/>
  <c r="AF214" i="1"/>
  <c r="AH168" i="1"/>
  <c r="AM168" i="1"/>
  <c r="AN168" i="1"/>
  <c r="K215" i="1"/>
  <c r="L215" i="1"/>
  <c r="M215" i="1"/>
  <c r="N215" i="1" s="1"/>
  <c r="V215" i="1"/>
  <c r="Y215" i="1"/>
  <c r="Z215" i="1"/>
  <c r="AA215" i="1" s="1"/>
  <c r="AB215" i="1"/>
  <c r="AC215" i="1"/>
  <c r="AD215" i="1"/>
  <c r="AG215" i="1" s="1"/>
  <c r="AI215" i="1" s="1"/>
  <c r="AE215" i="1"/>
  <c r="AF215" i="1"/>
  <c r="AH169" i="1"/>
  <c r="AM169" i="1"/>
  <c r="AN169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170" i="1"/>
  <c r="AM170" i="1"/>
  <c r="AN170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71" i="1"/>
  <c r="AM171" i="1"/>
  <c r="AN171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2" i="1"/>
  <c r="AM172" i="1"/>
  <c r="AN172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3" i="1"/>
  <c r="AM173" i="1"/>
  <c r="AN173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4" i="1"/>
  <c r="AM174" i="1"/>
  <c r="AN174" i="1"/>
  <c r="K226" i="1"/>
  <c r="L226" i="1"/>
  <c r="M226" i="1"/>
  <c r="N226" i="1" s="1"/>
  <c r="V226" i="1"/>
  <c r="Y226" i="1"/>
  <c r="Z226" i="1"/>
  <c r="AB226" i="1"/>
  <c r="AC226" i="1"/>
  <c r="AD226" i="1"/>
  <c r="X226" i="1" s="1"/>
  <c r="AE226" i="1"/>
  <c r="AF226" i="1"/>
  <c r="AH175" i="1"/>
  <c r="AM175" i="1"/>
  <c r="AN175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6" i="1"/>
  <c r="AM176" i="1"/>
  <c r="AN176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77" i="1"/>
  <c r="AM177" i="1"/>
  <c r="AN177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78" i="1"/>
  <c r="AM178" i="1"/>
  <c r="AN178" i="1"/>
  <c r="K160" i="1"/>
  <c r="L160" i="1"/>
  <c r="M160" i="1"/>
  <c r="N160" i="1" s="1"/>
  <c r="V160" i="1"/>
  <c r="Y160" i="1"/>
  <c r="AA160" i="1" s="1"/>
  <c r="Z160" i="1"/>
  <c r="AB160" i="1"/>
  <c r="AC160" i="1"/>
  <c r="AD160" i="1"/>
  <c r="X160" i="1" s="1"/>
  <c r="AE160" i="1"/>
  <c r="AF160" i="1"/>
  <c r="AH179" i="1"/>
  <c r="AM179" i="1"/>
  <c r="AN179" i="1"/>
  <c r="K161" i="1"/>
  <c r="L161" i="1"/>
  <c r="M161" i="1"/>
  <c r="N161" i="1" s="1"/>
  <c r="V161" i="1"/>
  <c r="S54" i="3" s="1"/>
  <c r="Y161" i="1"/>
  <c r="Z161" i="1"/>
  <c r="AB161" i="1"/>
  <c r="AC161" i="1"/>
  <c r="AD161" i="1"/>
  <c r="T161" i="1" s="1"/>
  <c r="AE161" i="1"/>
  <c r="AF161" i="1"/>
  <c r="AH180" i="1"/>
  <c r="AM180" i="1"/>
  <c r="AN180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R53" i="3" s="1"/>
  <c r="AF162" i="1"/>
  <c r="AH181" i="1"/>
  <c r="AM181" i="1"/>
  <c r="AN181" i="1"/>
  <c r="K163" i="1"/>
  <c r="L163" i="1"/>
  <c r="M163" i="1"/>
  <c r="N163" i="1" s="1"/>
  <c r="V163" i="1"/>
  <c r="S59" i="3" s="1"/>
  <c r="Y163" i="1"/>
  <c r="Z163" i="1"/>
  <c r="AB163" i="1"/>
  <c r="AC163" i="1"/>
  <c r="AD163" i="1"/>
  <c r="AE163" i="1"/>
  <c r="AF163" i="1"/>
  <c r="AH182" i="1"/>
  <c r="AM182" i="1"/>
  <c r="AN182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R51" i="3" s="1"/>
  <c r="AF164" i="1"/>
  <c r="AH183" i="1"/>
  <c r="AM183" i="1"/>
  <c r="AN183" i="1"/>
  <c r="K165" i="1"/>
  <c r="L165" i="1"/>
  <c r="M165" i="1"/>
  <c r="N165" i="1" s="1"/>
  <c r="V165" i="1"/>
  <c r="S60" i="3" s="1"/>
  <c r="Y165" i="1"/>
  <c r="Z165" i="1"/>
  <c r="AB165" i="1"/>
  <c r="AC165" i="1"/>
  <c r="AD165" i="1"/>
  <c r="T165" i="1" s="1"/>
  <c r="AE165" i="1"/>
  <c r="R60" i="3" s="1"/>
  <c r="AF165" i="1"/>
  <c r="AH184" i="1"/>
  <c r="AM184" i="1"/>
  <c r="AN184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5" i="1"/>
  <c r="AM185" i="1"/>
  <c r="AN185" i="1"/>
  <c r="K228" i="1"/>
  <c r="L228" i="1"/>
  <c r="M228" i="1"/>
  <c r="N228" i="1" s="1"/>
  <c r="V228" i="1"/>
  <c r="Y228" i="1"/>
  <c r="Z228" i="1"/>
  <c r="AA228" i="1" s="1"/>
  <c r="AB228" i="1"/>
  <c r="AC228" i="1"/>
  <c r="AD228" i="1"/>
  <c r="AG228" i="1" s="1"/>
  <c r="AE228" i="1"/>
  <c r="AF228" i="1"/>
  <c r="AH186" i="1"/>
  <c r="AM186" i="1"/>
  <c r="AN186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87" i="1"/>
  <c r="AM187" i="1"/>
  <c r="AN187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88" i="1"/>
  <c r="AM188" i="1"/>
  <c r="AN188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89" i="1"/>
  <c r="AM189" i="1"/>
  <c r="AN189" i="1"/>
  <c r="K232" i="1"/>
  <c r="L232" i="1"/>
  <c r="M232" i="1"/>
  <c r="N232" i="1" s="1"/>
  <c r="V232" i="1"/>
  <c r="Y232" i="1"/>
  <c r="AA232" i="1" s="1"/>
  <c r="Z232" i="1"/>
  <c r="AB232" i="1"/>
  <c r="AC232" i="1"/>
  <c r="AD232" i="1"/>
  <c r="AG232" i="1" s="1"/>
  <c r="AE232" i="1"/>
  <c r="AF232" i="1"/>
  <c r="AH190" i="1"/>
  <c r="AM190" i="1"/>
  <c r="AN190" i="1"/>
  <c r="K233" i="1"/>
  <c r="L233" i="1"/>
  <c r="M233" i="1"/>
  <c r="N233" i="1" s="1"/>
  <c r="V233" i="1"/>
  <c r="Y233" i="1"/>
  <c r="Z233" i="1"/>
  <c r="AB233" i="1"/>
  <c r="AC233" i="1"/>
  <c r="AD233" i="1"/>
  <c r="AG233" i="1" s="1"/>
  <c r="AE233" i="1"/>
  <c r="AF233" i="1"/>
  <c r="AH191" i="1"/>
  <c r="AM191" i="1"/>
  <c r="AN191" i="1"/>
  <c r="K167" i="1"/>
  <c r="L167" i="1"/>
  <c r="M167" i="1"/>
  <c r="N167" i="1" s="1"/>
  <c r="V167" i="1"/>
  <c r="S55" i="3" s="1"/>
  <c r="Y167" i="1"/>
  <c r="Z167" i="1"/>
  <c r="AB167" i="1"/>
  <c r="AC167" i="1"/>
  <c r="AD167" i="1"/>
  <c r="AE167" i="1"/>
  <c r="AF167" i="1"/>
  <c r="AH192" i="1"/>
  <c r="AM192" i="1"/>
  <c r="AN192" i="1"/>
  <c r="K168" i="1"/>
  <c r="L168" i="1"/>
  <c r="M168" i="1"/>
  <c r="N168" i="1" s="1"/>
  <c r="V168" i="1"/>
  <c r="S50" i="3" s="1"/>
  <c r="Y168" i="1"/>
  <c r="Z168" i="1"/>
  <c r="AB168" i="1"/>
  <c r="AC168" i="1"/>
  <c r="AD168" i="1"/>
  <c r="T168" i="1" s="1"/>
  <c r="AE168" i="1"/>
  <c r="AF168" i="1"/>
  <c r="AH193" i="1"/>
  <c r="AM193" i="1"/>
  <c r="AN193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94" i="1"/>
  <c r="AM194" i="1"/>
  <c r="AN194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5" i="1"/>
  <c r="AM195" i="1"/>
  <c r="AN195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96" i="1"/>
  <c r="AM196" i="1"/>
  <c r="AN196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197" i="1"/>
  <c r="AM197" i="1"/>
  <c r="AN197" i="1"/>
  <c r="K173" i="1"/>
  <c r="L173" i="1"/>
  <c r="M173" i="1"/>
  <c r="N173" i="1"/>
  <c r="V173" i="1"/>
  <c r="S52" i="3" s="1"/>
  <c r="Y173" i="1"/>
  <c r="Z173" i="1"/>
  <c r="AB173" i="1"/>
  <c r="AC173" i="1"/>
  <c r="AD173" i="1"/>
  <c r="AG173" i="1" s="1"/>
  <c r="AE173" i="1"/>
  <c r="AF173" i="1"/>
  <c r="AH198" i="1"/>
  <c r="AM198" i="1"/>
  <c r="AN198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9" i="1"/>
  <c r="AM199" i="1"/>
  <c r="AN199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00" i="1"/>
  <c r="AM200" i="1"/>
  <c r="AN200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1" i="1"/>
  <c r="AM201" i="1"/>
  <c r="AN201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2" i="1"/>
  <c r="AM202" i="1"/>
  <c r="AN202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03" i="1"/>
  <c r="AM203" i="1"/>
  <c r="AN203" i="1"/>
  <c r="K179" i="1"/>
  <c r="L179" i="1"/>
  <c r="M179" i="1"/>
  <c r="N179" i="1" s="1"/>
  <c r="V179" i="1"/>
  <c r="S62" i="3" s="1"/>
  <c r="Y179" i="1"/>
  <c r="Z179" i="1"/>
  <c r="AB179" i="1"/>
  <c r="AC179" i="1"/>
  <c r="AD179" i="1"/>
  <c r="T179" i="1" s="1"/>
  <c r="AE179" i="1"/>
  <c r="AF179" i="1"/>
  <c r="AG179" i="1"/>
  <c r="AI179" i="1" s="1"/>
  <c r="AH204" i="1"/>
  <c r="AM204" i="1"/>
  <c r="AN204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5" i="1"/>
  <c r="AM205" i="1"/>
  <c r="AN205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6" i="1"/>
  <c r="AM206" i="1"/>
  <c r="AN206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07" i="1"/>
  <c r="AM207" i="1"/>
  <c r="AN207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8" i="1"/>
  <c r="AM208" i="1"/>
  <c r="AN208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9" i="1"/>
  <c r="AM209" i="1"/>
  <c r="AN209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AF185" i="1"/>
  <c r="AH210" i="1"/>
  <c r="AM210" i="1"/>
  <c r="AN210" i="1"/>
  <c r="K186" i="1"/>
  <c r="L186" i="1"/>
  <c r="M186" i="1"/>
  <c r="P186" i="1" s="1"/>
  <c r="V186" i="1"/>
  <c r="Y186" i="1"/>
  <c r="Z186" i="1"/>
  <c r="AB186" i="1"/>
  <c r="AC186" i="1"/>
  <c r="AD186" i="1"/>
  <c r="AG186" i="1" s="1"/>
  <c r="AE186" i="1"/>
  <c r="AF186" i="1"/>
  <c r="AH211" i="1"/>
  <c r="AI211" i="1"/>
  <c r="AM211" i="1"/>
  <c r="AN211" i="1"/>
  <c r="K187" i="1"/>
  <c r="L187" i="1"/>
  <c r="M187" i="1"/>
  <c r="P187" i="1" s="1"/>
  <c r="V187" i="1"/>
  <c r="Y187" i="1"/>
  <c r="Z187" i="1"/>
  <c r="AB187" i="1"/>
  <c r="AC187" i="1"/>
  <c r="AD187" i="1"/>
  <c r="AE187" i="1"/>
  <c r="AF187" i="1"/>
  <c r="AH212" i="1"/>
  <c r="AM212" i="1"/>
  <c r="AN212" i="1"/>
  <c r="K188" i="1"/>
  <c r="L188" i="1"/>
  <c r="M188" i="1"/>
  <c r="P188" i="1" s="1"/>
  <c r="V188" i="1"/>
  <c r="Y188" i="1"/>
  <c r="Z188" i="1"/>
  <c r="AB188" i="1"/>
  <c r="AC188" i="1"/>
  <c r="AD188" i="1"/>
  <c r="T188" i="1" s="1"/>
  <c r="AE188" i="1"/>
  <c r="AF188" i="1"/>
  <c r="AH213" i="1"/>
  <c r="AM213" i="1"/>
  <c r="AN213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4" i="1"/>
  <c r="AM214" i="1"/>
  <c r="AN214" i="1"/>
  <c r="K190" i="1"/>
  <c r="L190" i="1"/>
  <c r="M190" i="1"/>
  <c r="N190" i="1" s="1"/>
  <c r="V190" i="1"/>
  <c r="Y190" i="1"/>
  <c r="Z190" i="1"/>
  <c r="AA190" i="1" s="1"/>
  <c r="AB190" i="1"/>
  <c r="AC190" i="1"/>
  <c r="AD190" i="1"/>
  <c r="AG190" i="1" s="1"/>
  <c r="AE190" i="1"/>
  <c r="AF190" i="1"/>
  <c r="AH215" i="1"/>
  <c r="AM215" i="1"/>
  <c r="AN215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6" i="1"/>
  <c r="AM216" i="1"/>
  <c r="AN216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7" i="1"/>
  <c r="AM217" i="1"/>
  <c r="AN217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8" i="1"/>
  <c r="AM218" i="1"/>
  <c r="AN218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19" i="1"/>
  <c r="AM219" i="1"/>
  <c r="AN219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20" i="1"/>
  <c r="AM220" i="1"/>
  <c r="AN220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1" i="1"/>
  <c r="AM221" i="1"/>
  <c r="AN221" i="1"/>
  <c r="K197" i="1"/>
  <c r="L197" i="1"/>
  <c r="M197" i="1"/>
  <c r="N197" i="1" s="1"/>
  <c r="V197" i="1"/>
  <c r="S64" i="3" s="1"/>
  <c r="Y197" i="1"/>
  <c r="Z197" i="1"/>
  <c r="AB197" i="1"/>
  <c r="AC197" i="1"/>
  <c r="AD197" i="1"/>
  <c r="T197" i="1" s="1"/>
  <c r="AE197" i="1"/>
  <c r="AF197" i="1"/>
  <c r="AH222" i="1"/>
  <c r="AM222" i="1"/>
  <c r="AN222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23" i="1"/>
  <c r="AM223" i="1"/>
  <c r="AN223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4" i="1"/>
  <c r="AM224" i="1"/>
  <c r="AN224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5" i="1"/>
  <c r="AM225" i="1"/>
  <c r="AN225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6" i="1"/>
  <c r="AM226" i="1"/>
  <c r="AN226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7" i="1"/>
  <c r="AM227" i="1"/>
  <c r="AN227" i="1"/>
  <c r="K203" i="1"/>
  <c r="L203" i="1"/>
  <c r="M203" i="1"/>
  <c r="N203" i="1" s="1"/>
  <c r="V203" i="1"/>
  <c r="Y203" i="1"/>
  <c r="Z203" i="1"/>
  <c r="AB203" i="1"/>
  <c r="AC203" i="1"/>
  <c r="AD203" i="1"/>
  <c r="X204" i="1" s="1"/>
  <c r="AE203" i="1"/>
  <c r="AF203" i="1"/>
  <c r="AH228" i="1"/>
  <c r="AM228" i="1"/>
  <c r="AN22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29" i="1"/>
  <c r="AM229" i="1"/>
  <c r="AN22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30" i="1"/>
  <c r="AM230" i="1"/>
  <c r="AN230" i="1"/>
  <c r="K218" i="1"/>
  <c r="L218" i="1"/>
  <c r="M218" i="1"/>
  <c r="N218" i="1" s="1"/>
  <c r="V218" i="1"/>
  <c r="Y218" i="1"/>
  <c r="Z218" i="1"/>
  <c r="AA218" i="1" s="1"/>
  <c r="AB218" i="1"/>
  <c r="AC218" i="1"/>
  <c r="AD218" i="1"/>
  <c r="AG218" i="1" s="1"/>
  <c r="AE218" i="1"/>
  <c r="AF218" i="1"/>
  <c r="AH231" i="1"/>
  <c r="AM231" i="1"/>
  <c r="AN231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32" i="1"/>
  <c r="AM232" i="1"/>
  <c r="AN232" i="1"/>
  <c r="K220" i="1"/>
  <c r="L220" i="1"/>
  <c r="M220" i="1"/>
  <c r="N220" i="1" s="1"/>
  <c r="V220" i="1"/>
  <c r="Y220" i="1"/>
  <c r="Z220" i="1"/>
  <c r="AA220" i="1" s="1"/>
  <c r="AB220" i="1"/>
  <c r="AC220" i="1"/>
  <c r="AD220" i="1"/>
  <c r="T220" i="1" s="1"/>
  <c r="AE220" i="1"/>
  <c r="AF220" i="1"/>
  <c r="AH233" i="1"/>
  <c r="AM233" i="1"/>
  <c r="AN233" i="1"/>
  <c r="M57" i="3"/>
  <c r="S57" i="3"/>
  <c r="U57" i="3"/>
  <c r="T57" i="3" s="1"/>
  <c r="V57" i="3"/>
  <c r="W57" i="3"/>
  <c r="X57" i="3"/>
  <c r="M14" i="3"/>
  <c r="R14" i="3"/>
  <c r="U14" i="3"/>
  <c r="AC14" i="3" s="1"/>
  <c r="V14" i="3"/>
  <c r="W14" i="3"/>
  <c r="X14" i="3"/>
  <c r="M58" i="3"/>
  <c r="S58" i="3"/>
  <c r="U58" i="3"/>
  <c r="AC58" i="3" s="1"/>
  <c r="V58" i="3"/>
  <c r="W58" i="3"/>
  <c r="X58" i="3"/>
  <c r="M12" i="3"/>
  <c r="R12" i="3"/>
  <c r="S12" i="3"/>
  <c r="U12" i="3"/>
  <c r="AC12" i="3" s="1"/>
  <c r="V12" i="3"/>
  <c r="W12" i="3"/>
  <c r="X12" i="3"/>
  <c r="M30" i="3"/>
  <c r="R30" i="3"/>
  <c r="S30" i="3"/>
  <c r="U30" i="3"/>
  <c r="T30" i="3" s="1"/>
  <c r="V30" i="3"/>
  <c r="W30" i="3"/>
  <c r="X30" i="3"/>
  <c r="AC30" i="3"/>
  <c r="AD12" i="3"/>
  <c r="M54" i="3"/>
  <c r="R54" i="3"/>
  <c r="U54" i="3"/>
  <c r="V54" i="3"/>
  <c r="W54" i="3"/>
  <c r="X54" i="3"/>
  <c r="M7" i="3"/>
  <c r="R7" i="3"/>
  <c r="U7" i="3"/>
  <c r="AC7" i="3" s="1"/>
  <c r="V7" i="3"/>
  <c r="W7" i="3"/>
  <c r="X7" i="3"/>
  <c r="M13" i="3"/>
  <c r="R13" i="3"/>
  <c r="S13" i="3"/>
  <c r="U13" i="3"/>
  <c r="AC13" i="3" s="1"/>
  <c r="V13" i="3"/>
  <c r="W13" i="3"/>
  <c r="X13" i="3"/>
  <c r="M53" i="3"/>
  <c r="S53" i="3"/>
  <c r="U53" i="3"/>
  <c r="T53" i="3" s="1"/>
  <c r="V53" i="3"/>
  <c r="W53" i="3"/>
  <c r="X53" i="3"/>
  <c r="AC53" i="3"/>
  <c r="M66" i="3"/>
  <c r="S66" i="3"/>
  <c r="U66" i="3"/>
  <c r="V66" i="3"/>
  <c r="W66" i="3"/>
  <c r="X66" i="3"/>
  <c r="AC66" i="3"/>
  <c r="M35" i="3"/>
  <c r="R35" i="3"/>
  <c r="S35" i="3"/>
  <c r="U35" i="3"/>
  <c r="AC35" i="3" s="1"/>
  <c r="V35" i="3"/>
  <c r="W35" i="3"/>
  <c r="X35" i="3"/>
  <c r="M59" i="3"/>
  <c r="R59" i="3"/>
  <c r="U59" i="3"/>
  <c r="AC59" i="3" s="1"/>
  <c r="V59" i="3"/>
  <c r="W59" i="3"/>
  <c r="X59" i="3"/>
  <c r="M51" i="3"/>
  <c r="S51" i="3"/>
  <c r="U51" i="3"/>
  <c r="T51" i="3" s="1"/>
  <c r="V51" i="3"/>
  <c r="W51" i="3"/>
  <c r="X51" i="3"/>
  <c r="AC51" i="3"/>
  <c r="M36" i="3"/>
  <c r="S36" i="3"/>
  <c r="U36" i="3"/>
  <c r="AC36" i="3" s="1"/>
  <c r="V36" i="3"/>
  <c r="W36" i="3"/>
  <c r="X36" i="3"/>
  <c r="M20" i="3"/>
  <c r="R20" i="3"/>
  <c r="S20" i="3"/>
  <c r="U20" i="3"/>
  <c r="AC20" i="3" s="1"/>
  <c r="V20" i="3"/>
  <c r="W20" i="3"/>
  <c r="X20" i="3"/>
  <c r="M60" i="3"/>
  <c r="U60" i="3"/>
  <c r="AC60" i="3" s="1"/>
  <c r="V60" i="3"/>
  <c r="W60" i="3"/>
  <c r="X60" i="3"/>
  <c r="M67" i="3"/>
  <c r="R67" i="3"/>
  <c r="S67" i="3"/>
  <c r="U67" i="3"/>
  <c r="T67" i="3" s="1"/>
  <c r="V67" i="3"/>
  <c r="W67" i="3"/>
  <c r="Y67" i="3" s="1"/>
  <c r="X67" i="3"/>
  <c r="AC67" i="3"/>
  <c r="M31" i="3"/>
  <c r="R31" i="3"/>
  <c r="S31" i="3"/>
  <c r="U31" i="3"/>
  <c r="V31" i="3"/>
  <c r="W31" i="3"/>
  <c r="Y31" i="3" s="1"/>
  <c r="X31" i="3"/>
  <c r="M40" i="3"/>
  <c r="R40" i="3"/>
  <c r="S40" i="3"/>
  <c r="U40" i="3"/>
  <c r="AC40" i="3" s="1"/>
  <c r="V40" i="3"/>
  <c r="W40" i="3"/>
  <c r="X40" i="3"/>
  <c r="M55" i="3"/>
  <c r="R55" i="3"/>
  <c r="U55" i="3"/>
  <c r="AC55" i="3" s="1"/>
  <c r="V55" i="3"/>
  <c r="AE55" i="3" s="1"/>
  <c r="W55" i="3"/>
  <c r="X55" i="3"/>
  <c r="M50" i="3"/>
  <c r="R50" i="3"/>
  <c r="U50" i="3"/>
  <c r="T50" i="3" s="1"/>
  <c r="V50" i="3"/>
  <c r="W50" i="3"/>
  <c r="X50" i="3"/>
  <c r="AC50" i="3"/>
  <c r="M15" i="3"/>
  <c r="R15" i="3"/>
  <c r="S15" i="3"/>
  <c r="U15" i="3"/>
  <c r="AC15" i="3" s="1"/>
  <c r="V15" i="3"/>
  <c r="W15" i="3"/>
  <c r="X15" i="3"/>
  <c r="M26" i="3"/>
  <c r="R26" i="3"/>
  <c r="S26" i="3"/>
  <c r="U26" i="3"/>
  <c r="AC26" i="3" s="1"/>
  <c r="V26" i="3"/>
  <c r="W26" i="3"/>
  <c r="X26" i="3"/>
  <c r="M29" i="3"/>
  <c r="R29" i="3"/>
  <c r="S29" i="3"/>
  <c r="U29" i="3"/>
  <c r="AC29" i="3" s="1"/>
  <c r="V29" i="3"/>
  <c r="W29" i="3"/>
  <c r="X29" i="3"/>
  <c r="AD31" i="3"/>
  <c r="M28" i="3"/>
  <c r="R28" i="3"/>
  <c r="S28" i="3"/>
  <c r="U28" i="3"/>
  <c r="T28" i="3" s="1"/>
  <c r="V28" i="3"/>
  <c r="W28" i="3"/>
  <c r="X28" i="3"/>
  <c r="AC28" i="3"/>
  <c r="M18" i="3"/>
  <c r="R18" i="3"/>
  <c r="S18" i="3"/>
  <c r="U18" i="3"/>
  <c r="AC18" i="3" s="1"/>
  <c r="V18" i="3"/>
  <c r="W18" i="3"/>
  <c r="X18" i="3"/>
  <c r="M16" i="3"/>
  <c r="S16" i="3"/>
  <c r="U16" i="3"/>
  <c r="AC16" i="3" s="1"/>
  <c r="V16" i="3"/>
  <c r="W16" i="3"/>
  <c r="Y16" i="3" s="1"/>
  <c r="X16" i="3"/>
  <c r="M34" i="3"/>
  <c r="R34" i="3"/>
  <c r="S34" i="3"/>
  <c r="U34" i="3"/>
  <c r="AC34" i="3" s="1"/>
  <c r="V34" i="3"/>
  <c r="W34" i="3"/>
  <c r="X34" i="3"/>
  <c r="AD35" i="3"/>
  <c r="M32" i="3"/>
  <c r="R32" i="3"/>
  <c r="S32" i="3"/>
  <c r="U32" i="3"/>
  <c r="V32" i="3"/>
  <c r="W32" i="3"/>
  <c r="X32" i="3"/>
  <c r="AC32" i="3"/>
  <c r="M22" i="3"/>
  <c r="R22" i="3"/>
  <c r="S22" i="3"/>
  <c r="U22" i="3"/>
  <c r="AC22" i="3" s="1"/>
  <c r="V22" i="3"/>
  <c r="W22" i="3"/>
  <c r="X22" i="3"/>
  <c r="M52" i="3"/>
  <c r="R52" i="3"/>
  <c r="U52" i="3"/>
  <c r="V52" i="3"/>
  <c r="W52" i="3"/>
  <c r="X52" i="3"/>
  <c r="M11" i="3"/>
  <c r="R11" i="3"/>
  <c r="S11" i="3"/>
  <c r="U11" i="3"/>
  <c r="AC11" i="3" s="1"/>
  <c r="V11" i="3"/>
  <c r="W11" i="3"/>
  <c r="X11" i="3"/>
  <c r="M23" i="3"/>
  <c r="R23" i="3"/>
  <c r="S23" i="3"/>
  <c r="U23" i="3"/>
  <c r="AD23" i="3" s="1"/>
  <c r="V23" i="3"/>
  <c r="W23" i="3"/>
  <c r="X23" i="3"/>
  <c r="AD40" i="3"/>
  <c r="M61" i="3"/>
  <c r="R61" i="3"/>
  <c r="S61" i="3"/>
  <c r="U61" i="3"/>
  <c r="V61" i="3"/>
  <c r="W61" i="3"/>
  <c r="X61" i="3"/>
  <c r="M19" i="3"/>
  <c r="R19" i="3"/>
  <c r="S19" i="3"/>
  <c r="U19" i="3"/>
  <c r="AD19" i="3" s="1"/>
  <c r="V19" i="3"/>
  <c r="W19" i="3"/>
  <c r="X19" i="3"/>
  <c r="M17" i="3"/>
  <c r="S17" i="3"/>
  <c r="U17" i="3"/>
  <c r="AC17" i="3" s="1"/>
  <c r="V17" i="3"/>
  <c r="W17" i="3"/>
  <c r="X17" i="3"/>
  <c r="M62" i="3"/>
  <c r="R62" i="3"/>
  <c r="U62" i="3"/>
  <c r="T62" i="3" s="1"/>
  <c r="V62" i="3"/>
  <c r="W62" i="3"/>
  <c r="X62" i="3"/>
  <c r="M46" i="3"/>
  <c r="S46" i="3"/>
  <c r="U46" i="3"/>
  <c r="V46" i="3"/>
  <c r="W46" i="3"/>
  <c r="X46" i="3"/>
  <c r="M27" i="3"/>
  <c r="R27" i="3"/>
  <c r="U27" i="3"/>
  <c r="AD27" i="3" s="1"/>
  <c r="V27" i="3"/>
  <c r="W27" i="3"/>
  <c r="X27" i="3"/>
  <c r="M21" i="3"/>
  <c r="R21" i="3"/>
  <c r="S21" i="3"/>
  <c r="U21" i="3"/>
  <c r="AC21" i="3" s="1"/>
  <c r="V21" i="3"/>
  <c r="W21" i="3"/>
  <c r="X21" i="3"/>
  <c r="M38" i="3"/>
  <c r="R38" i="3"/>
  <c r="S38" i="3"/>
  <c r="U38" i="3"/>
  <c r="T38" i="3" s="1"/>
  <c r="V38" i="3"/>
  <c r="W38" i="3"/>
  <c r="X38" i="3"/>
  <c r="AC38" i="3"/>
  <c r="M33" i="3"/>
  <c r="S33" i="3"/>
  <c r="U33" i="3"/>
  <c r="V33" i="3"/>
  <c r="W33" i="3"/>
  <c r="X33" i="3"/>
  <c r="AC33" i="3"/>
  <c r="M63" i="3"/>
  <c r="R63" i="3"/>
  <c r="S63" i="3"/>
  <c r="U63" i="3"/>
  <c r="AD63" i="3" s="1"/>
  <c r="V63" i="3"/>
  <c r="W63" i="3"/>
  <c r="X63" i="3"/>
  <c r="M41" i="3"/>
  <c r="S41" i="3"/>
  <c r="U41" i="3"/>
  <c r="AC41" i="3" s="1"/>
  <c r="V41" i="3"/>
  <c r="W41" i="3"/>
  <c r="X41" i="3"/>
  <c r="M42" i="3"/>
  <c r="R42" i="3"/>
  <c r="S42" i="3"/>
  <c r="U42" i="3"/>
  <c r="V42" i="3"/>
  <c r="W42" i="3"/>
  <c r="X42" i="3"/>
  <c r="AC42" i="3"/>
  <c r="M56" i="3"/>
  <c r="R56" i="3"/>
  <c r="S56" i="3"/>
  <c r="U56" i="3"/>
  <c r="AD53" i="3" s="1"/>
  <c r="V56" i="3"/>
  <c r="W56" i="3"/>
  <c r="Y56" i="3" s="1"/>
  <c r="X56" i="3"/>
  <c r="M25" i="3"/>
  <c r="R25" i="3"/>
  <c r="S25" i="3"/>
  <c r="U25" i="3"/>
  <c r="AC25" i="3" s="1"/>
  <c r="V25" i="3"/>
  <c r="W25" i="3"/>
  <c r="X25" i="3"/>
  <c r="M39" i="3"/>
  <c r="S39" i="3"/>
  <c r="U39" i="3"/>
  <c r="AC39" i="3" s="1"/>
  <c r="V39" i="3"/>
  <c r="W39" i="3"/>
  <c r="X39" i="3"/>
  <c r="M37" i="3"/>
  <c r="S37" i="3"/>
  <c r="U37" i="3"/>
  <c r="T37" i="3" s="1"/>
  <c r="V37" i="3"/>
  <c r="W37" i="3"/>
  <c r="X37" i="3"/>
  <c r="AC37" i="3"/>
  <c r="M43" i="3"/>
  <c r="R43" i="3"/>
  <c r="S43" i="3"/>
  <c r="U43" i="3"/>
  <c r="V43" i="3"/>
  <c r="W43" i="3"/>
  <c r="X43" i="3"/>
  <c r="M24" i="3"/>
  <c r="R24" i="3"/>
  <c r="U24" i="3"/>
  <c r="AD24" i="3" s="1"/>
  <c r="V24" i="3"/>
  <c r="W24" i="3"/>
  <c r="X24" i="3"/>
  <c r="M8" i="3"/>
  <c r="R8" i="3"/>
  <c r="U8" i="3"/>
  <c r="AC8" i="3" s="1"/>
  <c r="V8" i="3"/>
  <c r="W8" i="3"/>
  <c r="X8" i="3"/>
  <c r="M10" i="3"/>
  <c r="R10" i="3"/>
  <c r="S10" i="3"/>
  <c r="U10" i="3"/>
  <c r="T10" i="3" s="1"/>
  <c r="V10" i="3"/>
  <c r="W10" i="3"/>
  <c r="X10" i="3"/>
  <c r="AD60" i="3"/>
  <c r="M47" i="3"/>
  <c r="R47" i="3"/>
  <c r="U47" i="3"/>
  <c r="V47" i="3"/>
  <c r="W47" i="3"/>
  <c r="X47" i="3"/>
  <c r="M9" i="3"/>
  <c r="R9" i="3"/>
  <c r="S9" i="3"/>
  <c r="U9" i="3"/>
  <c r="AC9" i="3" s="1"/>
  <c r="V9" i="3"/>
  <c r="W9" i="3"/>
  <c r="Y9" i="3" s="1"/>
  <c r="X9" i="3"/>
  <c r="M68" i="3"/>
  <c r="R68" i="3"/>
  <c r="S68" i="3"/>
  <c r="U68" i="3"/>
  <c r="AC68" i="3" s="1"/>
  <c r="V68" i="3"/>
  <c r="W68" i="3"/>
  <c r="X68" i="3"/>
  <c r="M64" i="3"/>
  <c r="R64" i="3"/>
  <c r="U64" i="3"/>
  <c r="AD64" i="3" s="1"/>
  <c r="V64" i="3"/>
  <c r="W64" i="3"/>
  <c r="X64" i="3"/>
  <c r="AC64" i="3"/>
  <c r="M44" i="3"/>
  <c r="S44" i="3"/>
  <c r="U44" i="3"/>
  <c r="AD44" i="3" s="1"/>
  <c r="V44" i="3"/>
  <c r="W44" i="3"/>
  <c r="X44" i="3"/>
  <c r="AC44" i="3"/>
  <c r="M48" i="3"/>
  <c r="R48" i="3"/>
  <c r="S48" i="3"/>
  <c r="U48" i="3"/>
  <c r="V48" i="3"/>
  <c r="W48" i="3"/>
  <c r="Y48" i="3" s="1"/>
  <c r="X48" i="3"/>
  <c r="M49" i="3"/>
  <c r="R49" i="3"/>
  <c r="U49" i="3"/>
  <c r="AC49" i="3" s="1"/>
  <c r="V49" i="3"/>
  <c r="W49" i="3"/>
  <c r="X49" i="3"/>
  <c r="AD67" i="3"/>
  <c r="M45" i="3"/>
  <c r="S45" i="3"/>
  <c r="U45" i="3"/>
  <c r="V45" i="3"/>
  <c r="W45" i="3"/>
  <c r="X45" i="3"/>
  <c r="AC45" i="3"/>
  <c r="AC62" i="3" l="1"/>
  <c r="AD61" i="3"/>
  <c r="AD57" i="3"/>
  <c r="AE12" i="3"/>
  <c r="Y43" i="3"/>
  <c r="Y37" i="3"/>
  <c r="AD36" i="3"/>
  <c r="Y34" i="3"/>
  <c r="Y26" i="3"/>
  <c r="Y35" i="3"/>
  <c r="Y66" i="3"/>
  <c r="Y58" i="3"/>
  <c r="AD52" i="3"/>
  <c r="AD51" i="3"/>
  <c r="T32" i="3"/>
  <c r="AE35" i="3"/>
  <c r="Y36" i="3"/>
  <c r="W149" i="1"/>
  <c r="S8" i="3"/>
  <c r="X195" i="1"/>
  <c r="T68" i="3"/>
  <c r="AD55" i="3"/>
  <c r="Y54" i="3"/>
  <c r="AA216" i="1"/>
  <c r="AA202" i="1"/>
  <c r="AA196" i="1"/>
  <c r="AA194" i="1"/>
  <c r="W194" i="1" s="1"/>
  <c r="AA189" i="1"/>
  <c r="AG183" i="1"/>
  <c r="AI183" i="1" s="1"/>
  <c r="AA182" i="1"/>
  <c r="AA177" i="1"/>
  <c r="X232" i="1"/>
  <c r="AA224" i="1"/>
  <c r="T215" i="1"/>
  <c r="AI207" i="1"/>
  <c r="AA205" i="1"/>
  <c r="T205" i="1"/>
  <c r="AA153" i="1"/>
  <c r="W153" i="1" s="1"/>
  <c r="AA116" i="1"/>
  <c r="T112" i="1"/>
  <c r="T107" i="1"/>
  <c r="AG104" i="1"/>
  <c r="X81" i="1"/>
  <c r="AA79" i="1"/>
  <c r="W79" i="1" s="1"/>
  <c r="AG77" i="1"/>
  <c r="X77" i="1"/>
  <c r="X69" i="1"/>
  <c r="AG65" i="1"/>
  <c r="AI65" i="1" s="1"/>
  <c r="X65" i="1"/>
  <c r="AG62" i="1"/>
  <c r="X60" i="1"/>
  <c r="AA41" i="1"/>
  <c r="AA38" i="1"/>
  <c r="W38" i="1" s="1"/>
  <c r="T38" i="1"/>
  <c r="AA27" i="1"/>
  <c r="AG25" i="1"/>
  <c r="AI25" i="1" s="1"/>
  <c r="X25" i="1"/>
  <c r="AA19" i="1"/>
  <c r="AD68" i="3"/>
  <c r="AE67" i="3"/>
  <c r="AE51" i="3"/>
  <c r="AG216" i="1"/>
  <c r="AA201" i="1"/>
  <c r="AA197" i="1"/>
  <c r="AA188" i="1"/>
  <c r="AA181" i="1"/>
  <c r="AI171" i="1"/>
  <c r="AI169" i="1"/>
  <c r="AA163" i="1"/>
  <c r="AA225" i="1"/>
  <c r="AA223" i="1"/>
  <c r="AG208" i="1"/>
  <c r="X208" i="1"/>
  <c r="AG205" i="1"/>
  <c r="AA156" i="1"/>
  <c r="AA152" i="1"/>
  <c r="AG149" i="1"/>
  <c r="AI149" i="1" s="1"/>
  <c r="T145" i="1"/>
  <c r="AA144" i="1"/>
  <c r="AA135" i="1"/>
  <c r="AA119" i="1"/>
  <c r="AG112" i="1"/>
  <c r="AA90" i="1"/>
  <c r="X89" i="1"/>
  <c r="AA87" i="1"/>
  <c r="W87" i="1" s="1"/>
  <c r="AG82" i="1"/>
  <c r="X82" i="1"/>
  <c r="AA78" i="1"/>
  <c r="AA62" i="1"/>
  <c r="AG43" i="1"/>
  <c r="X38" i="1"/>
  <c r="AA26" i="1"/>
  <c r="X20" i="1"/>
  <c r="AA16" i="1"/>
  <c r="X178" i="1"/>
  <c r="X228" i="1"/>
  <c r="U139" i="1"/>
  <c r="AI106" i="1"/>
  <c r="U68" i="1"/>
  <c r="S68" i="1" s="1"/>
  <c r="AI61" i="1"/>
  <c r="W60" i="1"/>
  <c r="X49" i="1"/>
  <c r="AA45" i="1"/>
  <c r="AA36" i="1"/>
  <c r="AA32" i="1"/>
  <c r="AI21" i="1"/>
  <c r="AI17" i="1"/>
  <c r="R58" i="3"/>
  <c r="T49" i="3"/>
  <c r="Y68" i="3"/>
  <c r="Y25" i="3"/>
  <c r="T41" i="3"/>
  <c r="Y63" i="3"/>
  <c r="Y33" i="3"/>
  <c r="Y46" i="3"/>
  <c r="R46" i="3"/>
  <c r="Y61" i="3"/>
  <c r="Y22" i="3"/>
  <c r="Y32" i="3"/>
  <c r="T29" i="3"/>
  <c r="Y20" i="3"/>
  <c r="T13" i="3"/>
  <c r="Y57" i="3"/>
  <c r="R57" i="3"/>
  <c r="AC27" i="3"/>
  <c r="AC23" i="3"/>
  <c r="AC19" i="3"/>
  <c r="AC10" i="3"/>
  <c r="Y49" i="3"/>
  <c r="AE60" i="3"/>
  <c r="Y27" i="3"/>
  <c r="Y19" i="3"/>
  <c r="AE40" i="3"/>
  <c r="Y29" i="3"/>
  <c r="Y7" i="3"/>
  <c r="Y14" i="3"/>
  <c r="T45" i="3"/>
  <c r="AD59" i="3"/>
  <c r="R66" i="3"/>
  <c r="AD29" i="3"/>
  <c r="AC24" i="3"/>
  <c r="AG200" i="1"/>
  <c r="X198" i="1"/>
  <c r="X187" i="1"/>
  <c r="T230" i="1"/>
  <c r="U230" i="1" s="1"/>
  <c r="S230" i="1" s="1"/>
  <c r="X230" i="1"/>
  <c r="AG230" i="1"/>
  <c r="U204" i="1"/>
  <c r="T151" i="1"/>
  <c r="AG151" i="1"/>
  <c r="U150" i="1"/>
  <c r="AG220" i="1"/>
  <c r="X218" i="1"/>
  <c r="AG165" i="1"/>
  <c r="X165" i="1"/>
  <c r="AG164" i="1"/>
  <c r="W205" i="1"/>
  <c r="AG155" i="1"/>
  <c r="U155" i="1" s="1"/>
  <c r="X155" i="1"/>
  <c r="AG146" i="1"/>
  <c r="T146" i="1"/>
  <c r="AG143" i="1"/>
  <c r="X143" i="1"/>
  <c r="X142" i="1"/>
  <c r="AG138" i="1"/>
  <c r="T138" i="1"/>
  <c r="U111" i="1"/>
  <c r="T96" i="1"/>
  <c r="AG96" i="1"/>
  <c r="U82" i="1"/>
  <c r="T66" i="1"/>
  <c r="AG66" i="1"/>
  <c r="U66" i="1" s="1"/>
  <c r="T54" i="1"/>
  <c r="AG54" i="1"/>
  <c r="AI54" i="1" s="1"/>
  <c r="AA193" i="1"/>
  <c r="X186" i="1"/>
  <c r="AG163" i="1"/>
  <c r="W141" i="1"/>
  <c r="T135" i="1"/>
  <c r="AG135" i="1"/>
  <c r="AI135" i="1" s="1"/>
  <c r="X132" i="1"/>
  <c r="AG132" i="1"/>
  <c r="AI132" i="1" s="1"/>
  <c r="T132" i="1"/>
  <c r="U132" i="1" s="1"/>
  <c r="S132" i="1" s="1"/>
  <c r="AG127" i="1"/>
  <c r="X127" i="1"/>
  <c r="W119" i="1"/>
  <c r="X86" i="1"/>
  <c r="AG86" i="1"/>
  <c r="T86" i="1"/>
  <c r="X74" i="1"/>
  <c r="AG74" i="1"/>
  <c r="U74" i="1" s="1"/>
  <c r="S74" i="1" s="1"/>
  <c r="T74" i="1"/>
  <c r="R33" i="3"/>
  <c r="X175" i="1"/>
  <c r="AG174" i="1"/>
  <c r="U174" i="1" s="1"/>
  <c r="S174" i="1" s="1"/>
  <c r="X174" i="1"/>
  <c r="T226" i="1"/>
  <c r="AG213" i="1"/>
  <c r="U213" i="1" s="1"/>
  <c r="X213" i="1"/>
  <c r="AA217" i="1"/>
  <c r="X202" i="1"/>
  <c r="AA200" i="1"/>
  <c r="AA198" i="1"/>
  <c r="W198" i="1" s="1"/>
  <c r="AG196" i="1"/>
  <c r="X194" i="1"/>
  <c r="AA192" i="1"/>
  <c r="AA186" i="1"/>
  <c r="W186" i="1" s="1"/>
  <c r="AA179" i="1"/>
  <c r="W179" i="1" s="1"/>
  <c r="AA178" i="1"/>
  <c r="W178" i="1" s="1"/>
  <c r="AA173" i="1"/>
  <c r="W173" i="1" s="1"/>
  <c r="T171" i="1"/>
  <c r="AA170" i="1"/>
  <c r="T167" i="1"/>
  <c r="X167" i="1"/>
  <c r="AG167" i="1"/>
  <c r="X229" i="1"/>
  <c r="AG229" i="1"/>
  <c r="AA158" i="1"/>
  <c r="X221" i="1"/>
  <c r="AA150" i="1"/>
  <c r="AA147" i="1"/>
  <c r="W147" i="1" s="1"/>
  <c r="X146" i="1"/>
  <c r="T141" i="1"/>
  <c r="U141" i="1" s="1"/>
  <c r="S141" i="1" s="1"/>
  <c r="AA140" i="1"/>
  <c r="X138" i="1"/>
  <c r="X120" i="1"/>
  <c r="AG120" i="1"/>
  <c r="T120" i="1"/>
  <c r="X108" i="1"/>
  <c r="AG108" i="1"/>
  <c r="T108" i="1"/>
  <c r="W98" i="1"/>
  <c r="AG94" i="1"/>
  <c r="X95" i="1"/>
  <c r="T94" i="1"/>
  <c r="T90" i="1"/>
  <c r="AG90" i="1"/>
  <c r="AI90" i="1" s="1"/>
  <c r="X91" i="1"/>
  <c r="W64" i="1"/>
  <c r="W220" i="1"/>
  <c r="AA180" i="1"/>
  <c r="AA174" i="1"/>
  <c r="AA171" i="1"/>
  <c r="W171" i="1" s="1"/>
  <c r="X170" i="1"/>
  <c r="AG170" i="1"/>
  <c r="AA233" i="1"/>
  <c r="AA155" i="1"/>
  <c r="AA151" i="1"/>
  <c r="T147" i="1"/>
  <c r="AG147" i="1"/>
  <c r="AA142" i="1"/>
  <c r="W142" i="1" s="1"/>
  <c r="T142" i="1"/>
  <c r="W110" i="1"/>
  <c r="AA106" i="1"/>
  <c r="W106" i="1" s="1"/>
  <c r="AG103" i="1"/>
  <c r="X103" i="1"/>
  <c r="T103" i="1"/>
  <c r="AG64" i="1"/>
  <c r="AI64" i="1" s="1"/>
  <c r="T64" i="1"/>
  <c r="AA169" i="1"/>
  <c r="W169" i="1" s="1"/>
  <c r="AA159" i="1"/>
  <c r="AA227" i="1"/>
  <c r="AA222" i="1"/>
  <c r="AA214" i="1"/>
  <c r="AA213" i="1"/>
  <c r="AA212" i="1"/>
  <c r="AA157" i="1"/>
  <c r="W157" i="1" s="1"/>
  <c r="AA146" i="1"/>
  <c r="W146" i="1" s="1"/>
  <c r="AA139" i="1"/>
  <c r="AA138" i="1"/>
  <c r="AA131" i="1"/>
  <c r="W131" i="1" s="1"/>
  <c r="AG128" i="1"/>
  <c r="X128" i="1"/>
  <c r="AA123" i="1"/>
  <c r="W123" i="1" s="1"/>
  <c r="AA122" i="1"/>
  <c r="W122" i="1" s="1"/>
  <c r="T114" i="1"/>
  <c r="U114" i="1" s="1"/>
  <c r="S114" i="1" s="1"/>
  <c r="AA113" i="1"/>
  <c r="AA111" i="1"/>
  <c r="AG107" i="1"/>
  <c r="U107" i="1" s="1"/>
  <c r="AA105" i="1"/>
  <c r="AG100" i="1"/>
  <c r="AA99" i="1"/>
  <c r="W99" i="1" s="1"/>
  <c r="T99" i="1"/>
  <c r="AA93" i="1"/>
  <c r="AA89" i="1"/>
  <c r="AA88" i="1"/>
  <c r="X85" i="1"/>
  <c r="AA82" i="1"/>
  <c r="W82" i="1" s="1"/>
  <c r="AG81" i="1"/>
  <c r="AI81" i="1" s="1"/>
  <c r="AA80" i="1"/>
  <c r="AG78" i="1"/>
  <c r="W78" i="1" s="1"/>
  <c r="AA76" i="1"/>
  <c r="W76" i="1" s="1"/>
  <c r="AG70" i="1"/>
  <c r="W70" i="1" s="1"/>
  <c r="AG69" i="1"/>
  <c r="AI69" i="1" s="1"/>
  <c r="AA68" i="1"/>
  <c r="W68" i="1" s="1"/>
  <c r="W62" i="1"/>
  <c r="W61" i="1"/>
  <c r="AI43" i="1"/>
  <c r="X34" i="1"/>
  <c r="AA30" i="1"/>
  <c r="W30" i="1" s="1"/>
  <c r="T30" i="1"/>
  <c r="AG29" i="1"/>
  <c r="AI29" i="1" s="1"/>
  <c r="X29" i="1"/>
  <c r="AA24" i="1"/>
  <c r="W24" i="1" s="1"/>
  <c r="AA22" i="1"/>
  <c r="AA133" i="1"/>
  <c r="AA132" i="1"/>
  <c r="AA130" i="1"/>
  <c r="AA127" i="1"/>
  <c r="AA126" i="1"/>
  <c r="W126" i="1" s="1"/>
  <c r="AA103" i="1"/>
  <c r="W103" i="1" s="1"/>
  <c r="AA86" i="1"/>
  <c r="AA83" i="1"/>
  <c r="W83" i="1" s="1"/>
  <c r="AI77" i="1"/>
  <c r="AA74" i="1"/>
  <c r="W74" i="1" s="1"/>
  <c r="AA63" i="1"/>
  <c r="W63" i="1" s="1"/>
  <c r="X57" i="1"/>
  <c r="AG56" i="1"/>
  <c r="X56" i="1"/>
  <c r="AG51" i="1"/>
  <c r="U51" i="1" s="1"/>
  <c r="S51" i="1" s="1"/>
  <c r="AA47" i="1"/>
  <c r="W47" i="1" s="1"/>
  <c r="AG45" i="1"/>
  <c r="AI45" i="1" s="1"/>
  <c r="X37" i="1"/>
  <c r="AA37" i="1"/>
  <c r="W37" i="1" s="1"/>
  <c r="W32" i="1"/>
  <c r="X24" i="1"/>
  <c r="AA18" i="1"/>
  <c r="X16" i="1"/>
  <c r="X15" i="1"/>
  <c r="AA34" i="1"/>
  <c r="W34" i="1" s="1"/>
  <c r="T34" i="1"/>
  <c r="AA31" i="1"/>
  <c r="X30" i="1"/>
  <c r="AA23" i="1"/>
  <c r="U128" i="1"/>
  <c r="S128" i="1" s="1"/>
  <c r="AA124" i="1"/>
  <c r="AA81" i="1"/>
  <c r="W81" i="1" s="1"/>
  <c r="AA56" i="1"/>
  <c r="W56" i="1" s="1"/>
  <c r="AA49" i="1"/>
  <c r="W49" i="1" s="1"/>
  <c r="AA43" i="1"/>
  <c r="W43" i="1" s="1"/>
  <c r="AA15" i="1"/>
  <c r="W218" i="1"/>
  <c r="W190" i="1"/>
  <c r="W233" i="1"/>
  <c r="W182" i="1"/>
  <c r="T202" i="1"/>
  <c r="T194" i="1"/>
  <c r="U194" i="1" s="1"/>
  <c r="S194" i="1" s="1"/>
  <c r="X190" i="1"/>
  <c r="T186" i="1"/>
  <c r="U186" i="1" s="1"/>
  <c r="S186" i="1" s="1"/>
  <c r="AA184" i="1"/>
  <c r="X182" i="1"/>
  <c r="X179" i="1"/>
  <c r="X171" i="1"/>
  <c r="X169" i="1"/>
  <c r="X233" i="1"/>
  <c r="AA231" i="1"/>
  <c r="AA230" i="1"/>
  <c r="W230" i="1" s="1"/>
  <c r="U229" i="1"/>
  <c r="AA166" i="1"/>
  <c r="AA165" i="1"/>
  <c r="U164" i="1"/>
  <c r="AA162" i="1"/>
  <c r="AA161" i="1"/>
  <c r="T160" i="1"/>
  <c r="X225" i="1"/>
  <c r="AG223" i="1"/>
  <c r="AI223" i="1" s="1"/>
  <c r="AA209" i="1"/>
  <c r="AA208" i="1"/>
  <c r="W208" i="1" s="1"/>
  <c r="T207" i="1"/>
  <c r="AA206" i="1"/>
  <c r="W155" i="1"/>
  <c r="U154" i="1"/>
  <c r="W89" i="1"/>
  <c r="AI53" i="1"/>
  <c r="AG219" i="1"/>
  <c r="AI219" i="1" s="1"/>
  <c r="X219" i="1"/>
  <c r="AA203" i="1"/>
  <c r="T203" i="1"/>
  <c r="AG202" i="1"/>
  <c r="U202" i="1" s="1"/>
  <c r="S202" i="1" s="1"/>
  <c r="AG199" i="1"/>
  <c r="AI199" i="1" s="1"/>
  <c r="X199" i="1"/>
  <c r="AA195" i="1"/>
  <c r="T195" i="1"/>
  <c r="AG191" i="1"/>
  <c r="AI191" i="1" s="1"/>
  <c r="X191" i="1"/>
  <c r="AA187" i="1"/>
  <c r="T187" i="1"/>
  <c r="X183" i="1"/>
  <c r="T178" i="1"/>
  <c r="AA176" i="1"/>
  <c r="AA175" i="1"/>
  <c r="T175" i="1"/>
  <c r="T173" i="1"/>
  <c r="T170" i="1"/>
  <c r="U170" i="1" s="1"/>
  <c r="S170" i="1" s="1"/>
  <c r="T159" i="1"/>
  <c r="AA221" i="1"/>
  <c r="T221" i="1"/>
  <c r="T212" i="1"/>
  <c r="T211" i="1"/>
  <c r="AA210" i="1"/>
  <c r="X209" i="1"/>
  <c r="AG209" i="1"/>
  <c r="U209" i="1" s="1"/>
  <c r="X207" i="1"/>
  <c r="U205" i="1"/>
  <c r="AI150" i="1"/>
  <c r="W150" i="1"/>
  <c r="U149" i="1"/>
  <c r="S149" i="1" s="1"/>
  <c r="AI89" i="1"/>
  <c r="T218" i="1"/>
  <c r="U218" i="1" s="1"/>
  <c r="S218" i="1" s="1"/>
  <c r="T190" i="1"/>
  <c r="U190" i="1" s="1"/>
  <c r="S190" i="1" s="1"/>
  <c r="T182" i="1"/>
  <c r="U182" i="1" s="1"/>
  <c r="S182" i="1" s="1"/>
  <c r="U178" i="1"/>
  <c r="S178" i="1" s="1"/>
  <c r="AI170" i="1"/>
  <c r="T169" i="1"/>
  <c r="T233" i="1"/>
  <c r="U233" i="1" s="1"/>
  <c r="S233" i="1" s="1"/>
  <c r="AG161" i="1"/>
  <c r="AG160" i="1"/>
  <c r="U160" i="1" s="1"/>
  <c r="S160" i="1" s="1"/>
  <c r="AA226" i="1"/>
  <c r="T225" i="1"/>
  <c r="W223" i="1"/>
  <c r="X222" i="1"/>
  <c r="AG222" i="1"/>
  <c r="U222" i="1" s="1"/>
  <c r="X211" i="1"/>
  <c r="U208" i="1"/>
  <c r="S208" i="1" s="1"/>
  <c r="W216" i="1"/>
  <c r="T198" i="1"/>
  <c r="U198" i="1" s="1"/>
  <c r="S198" i="1" s="1"/>
  <c r="W196" i="1"/>
  <c r="AA219" i="1"/>
  <c r="AG203" i="1"/>
  <c r="AI203" i="1" s="1"/>
  <c r="X203" i="1"/>
  <c r="AA199" i="1"/>
  <c r="W199" i="1" s="1"/>
  <c r="AG195" i="1"/>
  <c r="AI195" i="1" s="1"/>
  <c r="AA191" i="1"/>
  <c r="W191" i="1" s="1"/>
  <c r="AG187" i="1"/>
  <c r="AI187" i="1" s="1"/>
  <c r="AA183" i="1"/>
  <c r="W183" i="1" s="1"/>
  <c r="AG175" i="1"/>
  <c r="AI175" i="1" s="1"/>
  <c r="X173" i="1"/>
  <c r="AA168" i="1"/>
  <c r="AA167" i="1"/>
  <c r="T232" i="1"/>
  <c r="AA229" i="1"/>
  <c r="W229" i="1" s="1"/>
  <c r="T228" i="1"/>
  <c r="U228" i="1" s="1"/>
  <c r="S228" i="1" s="1"/>
  <c r="AA164" i="1"/>
  <c r="W164" i="1" s="1"/>
  <c r="T163" i="1"/>
  <c r="U163" i="1" s="1"/>
  <c r="S163" i="1" s="1"/>
  <c r="X159" i="1"/>
  <c r="AG227" i="1"/>
  <c r="AI227" i="1" s="1"/>
  <c r="AG226" i="1"/>
  <c r="U226" i="1" s="1"/>
  <c r="AG221" i="1"/>
  <c r="U221" i="1" s="1"/>
  <c r="S221" i="1" s="1"/>
  <c r="U215" i="1"/>
  <c r="AG212" i="1"/>
  <c r="U147" i="1"/>
  <c r="U145" i="1"/>
  <c r="S145" i="1" s="1"/>
  <c r="U143" i="1"/>
  <c r="AI141" i="1"/>
  <c r="W139" i="1"/>
  <c r="U137" i="1"/>
  <c r="S137" i="1" s="1"/>
  <c r="W133" i="1"/>
  <c r="W132" i="1"/>
  <c r="U131" i="1"/>
  <c r="S131" i="1" s="1"/>
  <c r="T126" i="1"/>
  <c r="U126" i="1" s="1"/>
  <c r="S126" i="1" s="1"/>
  <c r="X118" i="1"/>
  <c r="T115" i="1"/>
  <c r="U115" i="1" s="1"/>
  <c r="S115" i="1" s="1"/>
  <c r="U70" i="1"/>
  <c r="S70" i="1" s="1"/>
  <c r="AI68" i="1"/>
  <c r="AA67" i="1"/>
  <c r="AA66" i="1"/>
  <c r="W66" i="1" s="1"/>
  <c r="AA65" i="1"/>
  <c r="W65" i="1" s="1"/>
  <c r="U64" i="1"/>
  <c r="S64" i="1" s="1"/>
  <c r="AA55" i="1"/>
  <c r="AA54" i="1"/>
  <c r="X53" i="1"/>
  <c r="AI47" i="1"/>
  <c r="U45" i="1"/>
  <c r="S45" i="1" s="1"/>
  <c r="T41" i="1"/>
  <c r="X36" i="1"/>
  <c r="W16" i="1"/>
  <c r="AA154" i="1"/>
  <c r="W154" i="1" s="1"/>
  <c r="X153" i="1"/>
  <c r="X141" i="1"/>
  <c r="X135" i="1"/>
  <c r="X131" i="1"/>
  <c r="AI129" i="1"/>
  <c r="AA128" i="1"/>
  <c r="AA125" i="1"/>
  <c r="T124" i="1"/>
  <c r="X119" i="1"/>
  <c r="AG116" i="1"/>
  <c r="W116" i="1" s="1"/>
  <c r="X116" i="1"/>
  <c r="X114" i="1"/>
  <c r="AA112" i="1"/>
  <c r="W112" i="1" s="1"/>
  <c r="X110" i="1"/>
  <c r="AA108" i="1"/>
  <c r="X106" i="1"/>
  <c r="AA104" i="1"/>
  <c r="W104" i="1" s="1"/>
  <c r="X102" i="1"/>
  <c r="AA100" i="1"/>
  <c r="W100" i="1" s="1"/>
  <c r="X98" i="1"/>
  <c r="AA96" i="1"/>
  <c r="W96" i="1" s="1"/>
  <c r="X94" i="1"/>
  <c r="AA92" i="1"/>
  <c r="W92" i="1" s="1"/>
  <c r="X90" i="1"/>
  <c r="T85" i="1"/>
  <c r="U85" i="1" s="1"/>
  <c r="S85" i="1" s="1"/>
  <c r="T84" i="1"/>
  <c r="U84" i="1" s="1"/>
  <c r="S84" i="1" s="1"/>
  <c r="T81" i="1"/>
  <c r="T80" i="1"/>
  <c r="AA77" i="1"/>
  <c r="W77" i="1" s="1"/>
  <c r="T60" i="1"/>
  <c r="AA59" i="1"/>
  <c r="AA58" i="1"/>
  <c r="AA57" i="1"/>
  <c r="T57" i="1"/>
  <c r="U56" i="1"/>
  <c r="S56" i="1" s="1"/>
  <c r="W53" i="1"/>
  <c r="X52" i="1"/>
  <c r="AA50" i="1"/>
  <c r="W50" i="1" s="1"/>
  <c r="T50" i="1"/>
  <c r="T49" i="1"/>
  <c r="U49" i="1" s="1"/>
  <c r="S49" i="1" s="1"/>
  <c r="AA48" i="1"/>
  <c r="T48" i="1"/>
  <c r="X46" i="1"/>
  <c r="X45" i="1"/>
  <c r="X44" i="1"/>
  <c r="AA42" i="1"/>
  <c r="T42" i="1"/>
  <c r="AG41" i="1"/>
  <c r="AG39" i="1"/>
  <c r="AI39" i="1" s="1"/>
  <c r="T37" i="1"/>
  <c r="AA33" i="1"/>
  <c r="W33" i="1" s="1"/>
  <c r="T32" i="1"/>
  <c r="X28" i="1"/>
  <c r="T20" i="1"/>
  <c r="T16" i="1"/>
  <c r="T127" i="1"/>
  <c r="X126" i="1"/>
  <c r="T123" i="1"/>
  <c r="X115" i="1"/>
  <c r="AI111" i="1"/>
  <c r="W111" i="1"/>
  <c r="U110" i="1"/>
  <c r="S110" i="1" s="1"/>
  <c r="AI107" i="1"/>
  <c r="U106" i="1"/>
  <c r="S106" i="1" s="1"/>
  <c r="U102" i="1"/>
  <c r="S102" i="1" s="1"/>
  <c r="U98" i="1"/>
  <c r="S98" i="1" s="1"/>
  <c r="T89" i="1"/>
  <c r="U89" i="1" s="1"/>
  <c r="S89" i="1" s="1"/>
  <c r="W86" i="1"/>
  <c r="U81" i="1"/>
  <c r="S81" i="1" s="1"/>
  <c r="U60" i="1"/>
  <c r="S60" i="1" s="1"/>
  <c r="T53" i="1"/>
  <c r="U53" i="1" s="1"/>
  <c r="S53" i="1" s="1"/>
  <c r="AI51" i="1"/>
  <c r="U37" i="1"/>
  <c r="S37" i="1" s="1"/>
  <c r="T36" i="1"/>
  <c r="W21" i="1"/>
  <c r="AG20" i="1"/>
  <c r="W20" i="1" s="1"/>
  <c r="T19" i="1"/>
  <c r="W17" i="1"/>
  <c r="AG16" i="1"/>
  <c r="T15" i="1"/>
  <c r="AA204" i="1"/>
  <c r="W204" i="1" s="1"/>
  <c r="X157" i="1"/>
  <c r="X149" i="1"/>
  <c r="X145" i="1"/>
  <c r="AA143" i="1"/>
  <c r="W143" i="1" s="1"/>
  <c r="X137" i="1"/>
  <c r="AA134" i="1"/>
  <c r="AG124" i="1"/>
  <c r="X122" i="1"/>
  <c r="AA120" i="1"/>
  <c r="W120" i="1" s="1"/>
  <c r="T119" i="1"/>
  <c r="T118" i="1"/>
  <c r="AA117" i="1"/>
  <c r="AA73" i="1"/>
  <c r="W73" i="1" s="1"/>
  <c r="AA69" i="1"/>
  <c r="W69" i="1" s="1"/>
  <c r="AG58" i="1"/>
  <c r="AG57" i="1"/>
  <c r="AI57" i="1" s="1"/>
  <c r="AI56" i="1"/>
  <c r="AA52" i="1"/>
  <c r="T52" i="1"/>
  <c r="X50" i="1"/>
  <c r="X48" i="1"/>
  <c r="AA46" i="1"/>
  <c r="T46" i="1"/>
  <c r="AA44" i="1"/>
  <c r="W44" i="1" s="1"/>
  <c r="T44" i="1"/>
  <c r="X42" i="1"/>
  <c r="X32" i="1"/>
  <c r="AA29" i="1"/>
  <c r="W29" i="1" s="1"/>
  <c r="T28" i="1"/>
  <c r="AA25" i="1"/>
  <c r="W25" i="1" s="1"/>
  <c r="T24" i="1"/>
  <c r="U173" i="1"/>
  <c r="S173" i="1" s="1"/>
  <c r="AI198" i="1"/>
  <c r="U159" i="1"/>
  <c r="S159" i="1"/>
  <c r="AI178" i="1"/>
  <c r="W225" i="1"/>
  <c r="U169" i="1"/>
  <c r="S169" i="1" s="1"/>
  <c r="AI194" i="1"/>
  <c r="W232" i="1"/>
  <c r="W228" i="1"/>
  <c r="W163" i="1"/>
  <c r="U225" i="1"/>
  <c r="S225" i="1" s="1"/>
  <c r="AI174" i="1"/>
  <c r="AI186" i="1"/>
  <c r="U232" i="1"/>
  <c r="S232" i="1" s="1"/>
  <c r="AI190" i="1"/>
  <c r="AI182" i="1"/>
  <c r="W159" i="1"/>
  <c r="U219" i="1"/>
  <c r="S219" i="1" s="1"/>
  <c r="U203" i="1"/>
  <c r="S203" i="1" s="1"/>
  <c r="U199" i="1"/>
  <c r="S199" i="1" s="1"/>
  <c r="U191" i="1"/>
  <c r="S191" i="1" s="1"/>
  <c r="U183" i="1"/>
  <c r="S183" i="1" s="1"/>
  <c r="U179" i="1"/>
  <c r="S179" i="1" s="1"/>
  <c r="U175" i="1"/>
  <c r="S175" i="1" s="1"/>
  <c r="U171" i="1"/>
  <c r="S171" i="1" s="1"/>
  <c r="U167" i="1"/>
  <c r="S167" i="1" s="1"/>
  <c r="U165" i="1"/>
  <c r="S165" i="1" s="1"/>
  <c r="U161" i="1"/>
  <c r="S161" i="1" s="1"/>
  <c r="U227" i="1"/>
  <c r="S227" i="1" s="1"/>
  <c r="U223" i="1"/>
  <c r="S223" i="1" s="1"/>
  <c r="U220" i="1"/>
  <c r="S220" i="1" s="1"/>
  <c r="U216" i="1"/>
  <c r="S216" i="1" s="1"/>
  <c r="U200" i="1"/>
  <c r="S200" i="1" s="1"/>
  <c r="U196" i="1"/>
  <c r="S196" i="1" s="1"/>
  <c r="AG192" i="1"/>
  <c r="AI192" i="1" s="1"/>
  <c r="AG188" i="1"/>
  <c r="W188" i="1" s="1"/>
  <c r="AG184" i="1"/>
  <c r="W184" i="1" s="1"/>
  <c r="AG180" i="1"/>
  <c r="W180" i="1" s="1"/>
  <c r="AG176" i="1"/>
  <c r="AI176" i="1" s="1"/>
  <c r="AG172" i="1"/>
  <c r="AG168" i="1"/>
  <c r="AG231" i="1"/>
  <c r="AI231" i="1" s="1"/>
  <c r="S229" i="1"/>
  <c r="AG166" i="1"/>
  <c r="AI166" i="1" s="1"/>
  <c r="S164" i="1"/>
  <c r="AG162" i="1"/>
  <c r="AI162" i="1" s="1"/>
  <c r="AG158" i="1"/>
  <c r="AI158" i="1" s="1"/>
  <c r="X227" i="1"/>
  <c r="S226" i="1"/>
  <c r="AG224" i="1"/>
  <c r="X223" i="1"/>
  <c r="S215" i="1"/>
  <c r="W211" i="1"/>
  <c r="AI161" i="1"/>
  <c r="U207" i="1"/>
  <c r="S207" i="1" s="1"/>
  <c r="AI153" i="1"/>
  <c r="U153" i="1"/>
  <c r="S153" i="1" s="1"/>
  <c r="U138" i="1"/>
  <c r="S138" i="1" s="1"/>
  <c r="AI138" i="1"/>
  <c r="X220" i="1"/>
  <c r="AI232" i="1"/>
  <c r="AG217" i="1"/>
  <c r="W217" i="1" s="1"/>
  <c r="X216" i="1"/>
  <c r="AI228" i="1"/>
  <c r="AG201" i="1"/>
  <c r="X200" i="1"/>
  <c r="AI224" i="1"/>
  <c r="AG197" i="1"/>
  <c r="W197" i="1" s="1"/>
  <c r="X196" i="1"/>
  <c r="AI220" i="1"/>
  <c r="AG193" i="1"/>
  <c r="X192" i="1"/>
  <c r="AI216" i="1"/>
  <c r="AG189" i="1"/>
  <c r="X188" i="1"/>
  <c r="AI212" i="1"/>
  <c r="AG185" i="1"/>
  <c r="X184" i="1"/>
  <c r="AI208" i="1"/>
  <c r="AG181" i="1"/>
  <c r="X180" i="1"/>
  <c r="AI204" i="1"/>
  <c r="AG177" i="1"/>
  <c r="W177" i="1" s="1"/>
  <c r="X176" i="1"/>
  <c r="AI200" i="1"/>
  <c r="X172" i="1"/>
  <c r="AI196" i="1"/>
  <c r="X168" i="1"/>
  <c r="X231" i="1"/>
  <c r="AI188" i="1"/>
  <c r="X166" i="1"/>
  <c r="AI184" i="1"/>
  <c r="X158" i="1"/>
  <c r="X224" i="1"/>
  <c r="AI172" i="1"/>
  <c r="W215" i="1"/>
  <c r="AI165" i="1"/>
  <c r="U211" i="1"/>
  <c r="S211" i="1" s="1"/>
  <c r="AI233" i="1"/>
  <c r="X217" i="1"/>
  <c r="AI229" i="1"/>
  <c r="X201" i="1"/>
  <c r="AI225" i="1"/>
  <c r="X197" i="1"/>
  <c r="X193" i="1"/>
  <c r="X189" i="1"/>
  <c r="X185" i="1"/>
  <c r="X181" i="1"/>
  <c r="X177" i="1"/>
  <c r="S222" i="1"/>
  <c r="X215" i="1"/>
  <c r="T214" i="1"/>
  <c r="X214" i="1"/>
  <c r="AG214" i="1"/>
  <c r="AI157" i="1"/>
  <c r="U157" i="1"/>
  <c r="S157" i="1" s="1"/>
  <c r="U142" i="1"/>
  <c r="S142" i="1" s="1"/>
  <c r="AI142" i="1"/>
  <c r="AG210" i="1"/>
  <c r="AG206" i="1"/>
  <c r="S204" i="1"/>
  <c r="AG156" i="1"/>
  <c r="W156" i="1" s="1"/>
  <c r="S154" i="1"/>
  <c r="AG152" i="1"/>
  <c r="X151" i="1"/>
  <c r="S150" i="1"/>
  <c r="AG148" i="1"/>
  <c r="W148" i="1" s="1"/>
  <c r="X147" i="1"/>
  <c r="AG144" i="1"/>
  <c r="W144" i="1" s="1"/>
  <c r="AG140" i="1"/>
  <c r="W140" i="1" s="1"/>
  <c r="AG136" i="1"/>
  <c r="X129" i="1"/>
  <c r="U118" i="1"/>
  <c r="S118" i="1" s="1"/>
  <c r="AI118" i="1"/>
  <c r="AI115" i="1"/>
  <c r="W114" i="1"/>
  <c r="W91" i="1"/>
  <c r="AI167" i="1"/>
  <c r="S213" i="1"/>
  <c r="X210" i="1"/>
  <c r="T210" i="1"/>
  <c r="AI163" i="1"/>
  <c r="S209" i="1"/>
  <c r="X206" i="1"/>
  <c r="T206" i="1"/>
  <c r="AI159" i="1"/>
  <c r="S205" i="1"/>
  <c r="X156" i="1"/>
  <c r="T156" i="1"/>
  <c r="AI155" i="1"/>
  <c r="S155" i="1"/>
  <c r="X152" i="1"/>
  <c r="T152" i="1"/>
  <c r="AI151" i="1"/>
  <c r="X148" i="1"/>
  <c r="T148" i="1"/>
  <c r="AI147" i="1"/>
  <c r="S147" i="1"/>
  <c r="X144" i="1"/>
  <c r="T144" i="1"/>
  <c r="AI143" i="1"/>
  <c r="S143" i="1"/>
  <c r="X140" i="1"/>
  <c r="T140" i="1"/>
  <c r="AI139" i="1"/>
  <c r="S139" i="1"/>
  <c r="X136" i="1"/>
  <c r="T136" i="1"/>
  <c r="U133" i="1"/>
  <c r="S133" i="1" s="1"/>
  <c r="W128" i="1"/>
  <c r="W127" i="1"/>
  <c r="AI114" i="1"/>
  <c r="U91" i="1"/>
  <c r="S91" i="1" s="1"/>
  <c r="AI91" i="1"/>
  <c r="AG134" i="1"/>
  <c r="X133" i="1"/>
  <c r="AG130" i="1"/>
  <c r="W129" i="1"/>
  <c r="T129" i="1"/>
  <c r="AI128" i="1"/>
  <c r="U127" i="1"/>
  <c r="S127" i="1" s="1"/>
  <c r="AI127" i="1"/>
  <c r="U123" i="1"/>
  <c r="S123" i="1" s="1"/>
  <c r="AI123" i="1"/>
  <c r="X134" i="1"/>
  <c r="X130" i="1"/>
  <c r="U129" i="1"/>
  <c r="S129" i="1" s="1"/>
  <c r="U122" i="1"/>
  <c r="S122" i="1" s="1"/>
  <c r="AI122" i="1"/>
  <c r="U119" i="1"/>
  <c r="S119" i="1" s="1"/>
  <c r="AI119" i="1"/>
  <c r="W118" i="1"/>
  <c r="W115" i="1"/>
  <c r="U103" i="1"/>
  <c r="S103" i="1"/>
  <c r="AI103" i="1"/>
  <c r="U99" i="1"/>
  <c r="S99" i="1" s="1"/>
  <c r="AI99" i="1"/>
  <c r="U95" i="1"/>
  <c r="S95" i="1" s="1"/>
  <c r="AI95" i="1"/>
  <c r="U120" i="1"/>
  <c r="S120" i="1" s="1"/>
  <c r="U116" i="1"/>
  <c r="S116" i="1" s="1"/>
  <c r="U112" i="1"/>
  <c r="S112" i="1" s="1"/>
  <c r="U104" i="1"/>
  <c r="S104" i="1" s="1"/>
  <c r="U100" i="1"/>
  <c r="S100" i="1" s="1"/>
  <c r="U92" i="1"/>
  <c r="S92" i="1" s="1"/>
  <c r="W67" i="1"/>
  <c r="U62" i="1"/>
  <c r="S62" i="1" s="1"/>
  <c r="W55" i="1"/>
  <c r="AG125" i="1"/>
  <c r="W125" i="1" s="1"/>
  <c r="AG121" i="1"/>
  <c r="AG117" i="1"/>
  <c r="AG113" i="1"/>
  <c r="S111" i="1"/>
  <c r="AG109" i="1"/>
  <c r="S107" i="1"/>
  <c r="AG105" i="1"/>
  <c r="X104" i="1"/>
  <c r="AG101" i="1"/>
  <c r="X100" i="1"/>
  <c r="AG97" i="1"/>
  <c r="X96" i="1"/>
  <c r="AG93" i="1"/>
  <c r="W84" i="1"/>
  <c r="W80" i="1"/>
  <c r="AI76" i="1"/>
  <c r="U76" i="1"/>
  <c r="S76" i="1" s="1"/>
  <c r="AI75" i="1"/>
  <c r="AI67" i="1"/>
  <c r="W59" i="1"/>
  <c r="AI55" i="1"/>
  <c r="X125" i="1"/>
  <c r="T125" i="1"/>
  <c r="AI124" i="1"/>
  <c r="X121" i="1"/>
  <c r="T121" i="1"/>
  <c r="AI120" i="1"/>
  <c r="X117" i="1"/>
  <c r="T117" i="1"/>
  <c r="AI116" i="1"/>
  <c r="X113" i="1"/>
  <c r="T113" i="1"/>
  <c r="AI112" i="1"/>
  <c r="X109" i="1"/>
  <c r="T109" i="1"/>
  <c r="X105" i="1"/>
  <c r="T105" i="1"/>
  <c r="AI104" i="1"/>
  <c r="X101" i="1"/>
  <c r="T101" i="1"/>
  <c r="AI100" i="1"/>
  <c r="X97" i="1"/>
  <c r="T97" i="1"/>
  <c r="AI96" i="1"/>
  <c r="X93" i="1"/>
  <c r="T93" i="1"/>
  <c r="AI92" i="1"/>
  <c r="AI84" i="1"/>
  <c r="AI80" i="1"/>
  <c r="U80" i="1"/>
  <c r="S80" i="1" s="1"/>
  <c r="AI59" i="1"/>
  <c r="AI87" i="1"/>
  <c r="AI83" i="1"/>
  <c r="AI79" i="1"/>
  <c r="AI72" i="1"/>
  <c r="U72" i="1"/>
  <c r="S72" i="1" s="1"/>
  <c r="AI71" i="1"/>
  <c r="AI63" i="1"/>
  <c r="U58" i="1"/>
  <c r="S58" i="1" s="1"/>
  <c r="AG88" i="1"/>
  <c r="W88" i="1" s="1"/>
  <c r="X87" i="1"/>
  <c r="T87" i="1"/>
  <c r="U87" i="1" s="1"/>
  <c r="S87" i="1" s="1"/>
  <c r="AI86" i="1"/>
  <c r="X83" i="1"/>
  <c r="T83" i="1"/>
  <c r="U83" i="1" s="1"/>
  <c r="S83" i="1" s="1"/>
  <c r="AI82" i="1"/>
  <c r="S82" i="1"/>
  <c r="X79" i="1"/>
  <c r="T79" i="1"/>
  <c r="U79" i="1" s="1"/>
  <c r="S79" i="1" s="1"/>
  <c r="AI78" i="1"/>
  <c r="X75" i="1"/>
  <c r="T75" i="1"/>
  <c r="U75" i="1" s="1"/>
  <c r="S75" i="1" s="1"/>
  <c r="AI74" i="1"/>
  <c r="X71" i="1"/>
  <c r="T71" i="1"/>
  <c r="U71" i="1" s="1"/>
  <c r="S71" i="1" s="1"/>
  <c r="AI70" i="1"/>
  <c r="X67" i="1"/>
  <c r="T67" i="1"/>
  <c r="U67" i="1" s="1"/>
  <c r="S67" i="1" s="1"/>
  <c r="AI66" i="1"/>
  <c r="S66" i="1"/>
  <c r="X63" i="1"/>
  <c r="T63" i="1"/>
  <c r="U63" i="1" s="1"/>
  <c r="S63" i="1" s="1"/>
  <c r="AI62" i="1"/>
  <c r="X59" i="1"/>
  <c r="T59" i="1"/>
  <c r="U59" i="1" s="1"/>
  <c r="S59" i="1" s="1"/>
  <c r="AI58" i="1"/>
  <c r="X55" i="1"/>
  <c r="T55" i="1"/>
  <c r="U55" i="1" s="1"/>
  <c r="S55" i="1" s="1"/>
  <c r="U52" i="1"/>
  <c r="S52" i="1" s="1"/>
  <c r="AI46" i="1"/>
  <c r="U46" i="1"/>
  <c r="S46" i="1" s="1"/>
  <c r="U44" i="1"/>
  <c r="S44" i="1" s="1"/>
  <c r="AI44" i="1"/>
  <c r="U43" i="1"/>
  <c r="S43" i="1" s="1"/>
  <c r="X88" i="1"/>
  <c r="X84" i="1"/>
  <c r="X80" i="1"/>
  <c r="U77" i="1"/>
  <c r="S77" i="1" s="1"/>
  <c r="X76" i="1"/>
  <c r="U73" i="1"/>
  <c r="S73" i="1" s="1"/>
  <c r="X72" i="1"/>
  <c r="U69" i="1"/>
  <c r="S69" i="1" s="1"/>
  <c r="X68" i="1"/>
  <c r="U65" i="1"/>
  <c r="S65" i="1" s="1"/>
  <c r="X64" i="1"/>
  <c r="U61" i="1"/>
  <c r="S61" i="1" s="1"/>
  <c r="W48" i="1"/>
  <c r="W42" i="1"/>
  <c r="U40" i="1"/>
  <c r="S40" i="1"/>
  <c r="AI40" i="1"/>
  <c r="U39" i="1"/>
  <c r="S39" i="1" s="1"/>
  <c r="W36" i="1"/>
  <c r="U32" i="1"/>
  <c r="S32" i="1" s="1"/>
  <c r="AI32" i="1"/>
  <c r="AI30" i="1"/>
  <c r="U30" i="1"/>
  <c r="S30" i="1" s="1"/>
  <c r="W19" i="1"/>
  <c r="W15" i="1"/>
  <c r="AI50" i="1"/>
  <c r="U50" i="1"/>
  <c r="S50" i="1" s="1"/>
  <c r="U48" i="1"/>
  <c r="S48" i="1" s="1"/>
  <c r="AI48" i="1"/>
  <c r="AI42" i="1"/>
  <c r="U42" i="1"/>
  <c r="S42" i="1" s="1"/>
  <c r="U36" i="1"/>
  <c r="S36" i="1"/>
  <c r="AI36" i="1"/>
  <c r="U19" i="1"/>
  <c r="S19" i="1" s="1"/>
  <c r="AI19" i="1"/>
  <c r="U15" i="1"/>
  <c r="S15" i="1" s="1"/>
  <c r="AI15" i="1"/>
  <c r="X70" i="1"/>
  <c r="X66" i="1"/>
  <c r="X62" i="1"/>
  <c r="X58" i="1"/>
  <c r="X54" i="1"/>
  <c r="W52" i="1"/>
  <c r="W46" i="1"/>
  <c r="AI38" i="1"/>
  <c r="U38" i="1"/>
  <c r="S38" i="1" s="1"/>
  <c r="AI34" i="1"/>
  <c r="U34" i="1"/>
  <c r="S34" i="1" s="1"/>
  <c r="U28" i="1"/>
  <c r="S28" i="1" s="1"/>
  <c r="AI28" i="1"/>
  <c r="U24" i="1"/>
  <c r="S24" i="1" s="1"/>
  <c r="AI24" i="1"/>
  <c r="U33" i="1"/>
  <c r="S33" i="1" s="1"/>
  <c r="U29" i="1"/>
  <c r="S29" i="1" s="1"/>
  <c r="U25" i="1"/>
  <c r="S25" i="1" s="1"/>
  <c r="U21" i="1"/>
  <c r="S21" i="1" s="1"/>
  <c r="U17" i="1"/>
  <c r="S17" i="1" s="1"/>
  <c r="AG26" i="1"/>
  <c r="W26" i="1" s="1"/>
  <c r="AG22" i="1"/>
  <c r="W22" i="1" s="1"/>
  <c r="AG18" i="1"/>
  <c r="AG14" i="1"/>
  <c r="W14" i="1" s="1"/>
  <c r="AG35" i="1"/>
  <c r="AG31" i="1"/>
  <c r="W31" i="1" s="1"/>
  <c r="AG27" i="1"/>
  <c r="X26" i="1"/>
  <c r="AG23" i="1"/>
  <c r="X22" i="1"/>
  <c r="X18" i="1"/>
  <c r="X51" i="1"/>
  <c r="X47" i="1"/>
  <c r="X43" i="1"/>
  <c r="X39" i="1"/>
  <c r="X35" i="1"/>
  <c r="X31" i="1"/>
  <c r="X27" i="1"/>
  <c r="X23" i="1"/>
  <c r="Y44" i="3"/>
  <c r="Y47" i="3"/>
  <c r="AC56" i="3"/>
  <c r="Y42" i="3"/>
  <c r="AD49" i="3"/>
  <c r="Y21" i="3"/>
  <c r="AD45" i="3"/>
  <c r="AD41" i="3"/>
  <c r="Y23" i="3"/>
  <c r="AE39" i="3"/>
  <c r="T34" i="3"/>
  <c r="Y18" i="3"/>
  <c r="Y15" i="3"/>
  <c r="Y51" i="3"/>
  <c r="AE19" i="3"/>
  <c r="AD17" i="3"/>
  <c r="Y13" i="3"/>
  <c r="AD13" i="3"/>
  <c r="T12" i="3"/>
  <c r="AE44" i="3"/>
  <c r="AD39" i="3"/>
  <c r="AD21" i="3"/>
  <c r="AD47" i="3"/>
  <c r="AD33" i="3"/>
  <c r="AD25" i="3"/>
  <c r="AE23" i="3"/>
  <c r="AD20" i="3"/>
  <c r="T59" i="3"/>
  <c r="AD15" i="3"/>
  <c r="AD9" i="3"/>
  <c r="Y24" i="3"/>
  <c r="AD56" i="3"/>
  <c r="AE56" i="3"/>
  <c r="T42" i="3"/>
  <c r="Y41" i="3"/>
  <c r="T21" i="3"/>
  <c r="AD43" i="3"/>
  <c r="T23" i="3"/>
  <c r="Y52" i="3"/>
  <c r="AD37" i="3"/>
  <c r="AD28" i="3"/>
  <c r="AE28" i="3"/>
  <c r="Y40" i="3"/>
  <c r="AE24" i="3"/>
  <c r="Y59" i="3"/>
  <c r="AD11" i="3"/>
  <c r="AD8" i="3"/>
  <c r="T64" i="3"/>
  <c r="AE68" i="3"/>
  <c r="Y64" i="3"/>
  <c r="AE63" i="3"/>
  <c r="AC47" i="3"/>
  <c r="Y8" i="3"/>
  <c r="T39" i="3"/>
  <c r="AE52" i="3"/>
  <c r="Y38" i="3"/>
  <c r="AE47" i="3"/>
  <c r="AC46" i="3"/>
  <c r="Y17" i="3"/>
  <c r="T11" i="3"/>
  <c r="AE36" i="3"/>
  <c r="Y28" i="3"/>
  <c r="AE31" i="3"/>
  <c r="Y55" i="3"/>
  <c r="T60" i="3"/>
  <c r="AE20" i="3"/>
  <c r="Y53" i="3"/>
  <c r="AE15" i="3"/>
  <c r="AC54" i="3"/>
  <c r="Y12" i="3"/>
  <c r="AE64" i="3"/>
  <c r="Y10" i="3"/>
  <c r="AE59" i="3"/>
  <c r="AC43" i="3"/>
  <c r="Y39" i="3"/>
  <c r="AD48" i="3"/>
  <c r="AE48" i="3"/>
  <c r="Y62" i="3"/>
  <c r="AE43" i="3"/>
  <c r="AC61" i="3"/>
  <c r="Y11" i="3"/>
  <c r="AD32" i="3"/>
  <c r="AE32" i="3"/>
  <c r="Y50" i="3"/>
  <c r="AE27" i="3"/>
  <c r="AC31" i="3"/>
  <c r="Y60" i="3"/>
  <c r="AD16" i="3"/>
  <c r="AE16" i="3"/>
  <c r="Y30" i="3"/>
  <c r="AE11" i="3"/>
  <c r="Y45" i="3"/>
  <c r="T8" i="3"/>
  <c r="T17" i="3"/>
  <c r="T55" i="3"/>
  <c r="AC48" i="3"/>
  <c r="AD66" i="3"/>
  <c r="AE66" i="3"/>
  <c r="T44" i="3"/>
  <c r="AD58" i="3"/>
  <c r="AE58" i="3"/>
  <c r="T24" i="3"/>
  <c r="AD42" i="3"/>
  <c r="T19" i="3"/>
  <c r="AE42" i="3"/>
  <c r="AD54" i="3"/>
  <c r="T25" i="3"/>
  <c r="AE54" i="3"/>
  <c r="AC52" i="3"/>
  <c r="AD38" i="3"/>
  <c r="T52" i="3"/>
  <c r="AE38" i="3"/>
  <c r="T48" i="3"/>
  <c r="AC63" i="3"/>
  <c r="AD50" i="3"/>
  <c r="T63" i="3"/>
  <c r="AE50" i="3"/>
  <c r="AD34" i="3"/>
  <c r="T16" i="3"/>
  <c r="AE34" i="3"/>
  <c r="AD62" i="3"/>
  <c r="T9" i="3"/>
  <c r="AE62" i="3"/>
  <c r="AD46" i="3"/>
  <c r="T27" i="3"/>
  <c r="AE46" i="3"/>
  <c r="AE26" i="3"/>
  <c r="T40" i="3"/>
  <c r="AE22" i="3"/>
  <c r="T20" i="3"/>
  <c r="AE18" i="3"/>
  <c r="T35" i="3"/>
  <c r="AE14" i="3"/>
  <c r="T7" i="3"/>
  <c r="AE10" i="3"/>
  <c r="T58" i="3"/>
  <c r="AC57" i="3"/>
  <c r="AE30" i="3"/>
  <c r="T26" i="3"/>
  <c r="AE61" i="3"/>
  <c r="T47" i="3"/>
  <c r="AE57" i="3"/>
  <c r="T43" i="3"/>
  <c r="AE53" i="3"/>
  <c r="T56" i="3"/>
  <c r="AE49" i="3"/>
  <c r="T33" i="3"/>
  <c r="AE45" i="3"/>
  <c r="T46" i="3"/>
  <c r="AE41" i="3"/>
  <c r="T61" i="3"/>
  <c r="AE37" i="3"/>
  <c r="T22" i="3"/>
  <c r="AE33" i="3"/>
  <c r="T18" i="3"/>
  <c r="AD30" i="3"/>
  <c r="AE29" i="3"/>
  <c r="T15" i="3"/>
  <c r="AD26" i="3"/>
  <c r="AE25" i="3"/>
  <c r="T31" i="3"/>
  <c r="AD22" i="3"/>
  <c r="AE21" i="3"/>
  <c r="T36" i="3"/>
  <c r="AD18" i="3"/>
  <c r="AE17" i="3"/>
  <c r="T66" i="3"/>
  <c r="AD14" i="3"/>
  <c r="AE13" i="3"/>
  <c r="T54" i="3"/>
  <c r="AD10" i="3"/>
  <c r="AE9" i="3"/>
  <c r="T14" i="3"/>
  <c r="AE8" i="3"/>
  <c r="U124" i="1" l="1"/>
  <c r="W138" i="1"/>
  <c r="W174" i="1"/>
  <c r="U108" i="1"/>
  <c r="S108" i="1" s="1"/>
  <c r="W200" i="1"/>
  <c r="U96" i="1"/>
  <c r="S96" i="1" s="1"/>
  <c r="U146" i="1"/>
  <c r="S146" i="1" s="1"/>
  <c r="W124" i="1"/>
  <c r="W219" i="1"/>
  <c r="AI180" i="1"/>
  <c r="W107" i="1"/>
  <c r="U78" i="1"/>
  <c r="S78" i="1" s="1"/>
  <c r="W167" i="1"/>
  <c r="W165" i="1"/>
  <c r="W151" i="1"/>
  <c r="U187" i="1"/>
  <c r="S187" i="1" s="1"/>
  <c r="W18" i="1"/>
  <c r="U195" i="1"/>
  <c r="S195" i="1" s="1"/>
  <c r="W54" i="1"/>
  <c r="U212" i="1"/>
  <c r="S212" i="1" s="1"/>
  <c r="U94" i="1"/>
  <c r="S94" i="1" s="1"/>
  <c r="AI94" i="1"/>
  <c r="AI221" i="1"/>
  <c r="U54" i="1"/>
  <c r="S54" i="1" s="1"/>
  <c r="U57" i="1"/>
  <c r="S57" i="1" s="1"/>
  <c r="AI108" i="1"/>
  <c r="AI146" i="1"/>
  <c r="U135" i="1"/>
  <c r="S135" i="1" s="1"/>
  <c r="W213" i="1"/>
  <c r="W222" i="1"/>
  <c r="W51" i="1"/>
  <c r="W94" i="1"/>
  <c r="W170" i="1"/>
  <c r="W45" i="1"/>
  <c r="W90" i="1"/>
  <c r="W105" i="1"/>
  <c r="W214" i="1"/>
  <c r="W108" i="1"/>
  <c r="U90" i="1"/>
  <c r="S90" i="1" s="1"/>
  <c r="U86" i="1"/>
  <c r="S86" i="1" s="1"/>
  <c r="W135" i="1"/>
  <c r="U151" i="1"/>
  <c r="S151" i="1" s="1"/>
  <c r="U16" i="1"/>
  <c r="S16" i="1" s="1"/>
  <c r="AI16" i="1"/>
  <c r="U41" i="1"/>
  <c r="S41" i="1" s="1"/>
  <c r="AI41" i="1"/>
  <c r="W58" i="1"/>
  <c r="W227" i="1"/>
  <c r="W187" i="1"/>
  <c r="W195" i="1"/>
  <c r="W39" i="1"/>
  <c r="W203" i="1"/>
  <c r="W209" i="1"/>
  <c r="W161" i="1"/>
  <c r="W202" i="1"/>
  <c r="W41" i="1"/>
  <c r="W226" i="1"/>
  <c r="W160" i="1"/>
  <c r="W212" i="1"/>
  <c r="W166" i="1"/>
  <c r="U20" i="1"/>
  <c r="S20" i="1" s="1"/>
  <c r="AI20" i="1"/>
  <c r="W57" i="1"/>
  <c r="W221" i="1"/>
  <c r="W175" i="1"/>
  <c r="AI101" i="1"/>
  <c r="U101" i="1"/>
  <c r="S101" i="1" s="1"/>
  <c r="AI109" i="1"/>
  <c r="U109" i="1"/>
  <c r="S109" i="1" s="1"/>
  <c r="AI121" i="1"/>
  <c r="U121" i="1"/>
  <c r="S121" i="1" s="1"/>
  <c r="U134" i="1"/>
  <c r="S134" i="1" s="1"/>
  <c r="AI134" i="1"/>
  <c r="S152" i="1"/>
  <c r="AI152" i="1"/>
  <c r="U152" i="1"/>
  <c r="AI160" i="1"/>
  <c r="U206" i="1"/>
  <c r="S206" i="1" s="1"/>
  <c r="U185" i="1"/>
  <c r="S185" i="1" s="1"/>
  <c r="AI210" i="1"/>
  <c r="U201" i="1"/>
  <c r="S201" i="1" s="1"/>
  <c r="AI226" i="1"/>
  <c r="AI181" i="1"/>
  <c r="U162" i="1"/>
  <c r="S162" i="1" s="1"/>
  <c r="AI189" i="1"/>
  <c r="U231" i="1"/>
  <c r="S231" i="1" s="1"/>
  <c r="AI201" i="1"/>
  <c r="U176" i="1"/>
  <c r="S176" i="1" s="1"/>
  <c r="AI217" i="1"/>
  <c r="U192" i="1"/>
  <c r="S192" i="1" s="1"/>
  <c r="W231" i="1"/>
  <c r="U23" i="1"/>
  <c r="S23" i="1" s="1"/>
  <c r="AI23" i="1"/>
  <c r="U35" i="1"/>
  <c r="S35" i="1" s="1"/>
  <c r="AI35" i="1"/>
  <c r="AI26" i="1"/>
  <c r="U26" i="1"/>
  <c r="S26" i="1" s="1"/>
  <c r="AI14" i="1"/>
  <c r="U14" i="1"/>
  <c r="S14" i="1" s="1"/>
  <c r="W35" i="1"/>
  <c r="AI93" i="1"/>
  <c r="U93" i="1"/>
  <c r="S93" i="1" s="1"/>
  <c r="U27" i="1"/>
  <c r="S27" i="1" s="1"/>
  <c r="AI27" i="1"/>
  <c r="AI18" i="1"/>
  <c r="U18" i="1"/>
  <c r="S18" i="1" s="1"/>
  <c r="W23" i="1"/>
  <c r="W27" i="1"/>
  <c r="U88" i="1"/>
  <c r="S88" i="1" s="1"/>
  <c r="AI88" i="1"/>
  <c r="AI125" i="1"/>
  <c r="U125" i="1"/>
  <c r="S125" i="1" s="1"/>
  <c r="W93" i="1"/>
  <c r="W109" i="1"/>
  <c r="AI136" i="1"/>
  <c r="U136" i="1"/>
  <c r="S136" i="1" s="1"/>
  <c r="AI148" i="1"/>
  <c r="U148" i="1"/>
  <c r="S148" i="1" s="1"/>
  <c r="AI164" i="1"/>
  <c r="U210" i="1"/>
  <c r="S210" i="1" s="1"/>
  <c r="W136" i="1"/>
  <c r="U181" i="1"/>
  <c r="S181" i="1" s="1"/>
  <c r="AI206" i="1"/>
  <c r="U197" i="1"/>
  <c r="S197" i="1" s="1"/>
  <c r="AI222" i="1"/>
  <c r="AI177" i="1"/>
  <c r="U158" i="1"/>
  <c r="S158" i="1" s="1"/>
  <c r="AI205" i="1"/>
  <c r="U180" i="1"/>
  <c r="S180" i="1" s="1"/>
  <c r="W185" i="1"/>
  <c r="W201" i="1"/>
  <c r="W181" i="1"/>
  <c r="U31" i="1"/>
  <c r="S31" i="1" s="1"/>
  <c r="AI31" i="1"/>
  <c r="AI22" i="1"/>
  <c r="U22" i="1"/>
  <c r="S22" i="1" s="1"/>
  <c r="AI97" i="1"/>
  <c r="U97" i="1"/>
  <c r="S97" i="1" s="1"/>
  <c r="AI105" i="1"/>
  <c r="U105" i="1"/>
  <c r="S105" i="1" s="1"/>
  <c r="AI113" i="1"/>
  <c r="U113" i="1"/>
  <c r="S113" i="1" s="1"/>
  <c r="U130" i="1"/>
  <c r="S130" i="1" s="1"/>
  <c r="AI130" i="1"/>
  <c r="W97" i="1"/>
  <c r="W113" i="1"/>
  <c r="AI140" i="1"/>
  <c r="U140" i="1"/>
  <c r="S140" i="1" s="1"/>
  <c r="AI156" i="1"/>
  <c r="U156" i="1"/>
  <c r="S156" i="1" s="1"/>
  <c r="W130" i="1"/>
  <c r="AI168" i="1"/>
  <c r="U214" i="1"/>
  <c r="S214" i="1" s="1"/>
  <c r="U177" i="1"/>
  <c r="S177" i="1" s="1"/>
  <c r="AI202" i="1"/>
  <c r="U193" i="1"/>
  <c r="S193" i="1" s="1"/>
  <c r="AI218" i="1"/>
  <c r="W210" i="1"/>
  <c r="AI173" i="1"/>
  <c r="U224" i="1"/>
  <c r="S224" i="1" s="1"/>
  <c r="AI185" i="1"/>
  <c r="U166" i="1"/>
  <c r="S166" i="1" s="1"/>
  <c r="AI193" i="1"/>
  <c r="U168" i="1"/>
  <c r="S168" i="1" s="1"/>
  <c r="AI209" i="1"/>
  <c r="U184" i="1"/>
  <c r="S184" i="1" s="1"/>
  <c r="W152" i="1"/>
  <c r="W162" i="1"/>
  <c r="W192" i="1"/>
  <c r="W224" i="1"/>
  <c r="W168" i="1"/>
  <c r="W158" i="1"/>
  <c r="AI117" i="1"/>
  <c r="U117" i="1"/>
  <c r="S117" i="1" s="1"/>
  <c r="W117" i="1"/>
  <c r="W121" i="1"/>
  <c r="W101" i="1"/>
  <c r="AI144" i="1"/>
  <c r="U144" i="1"/>
  <c r="S144" i="1" s="1"/>
  <c r="W134" i="1"/>
  <c r="U189" i="1"/>
  <c r="S189" i="1" s="1"/>
  <c r="AI214" i="1"/>
  <c r="U217" i="1"/>
  <c r="S217" i="1" s="1"/>
  <c r="AI230" i="1"/>
  <c r="AI197" i="1"/>
  <c r="U172" i="1"/>
  <c r="S172" i="1" s="1"/>
  <c r="AI213" i="1"/>
  <c r="U188" i="1"/>
  <c r="S188" i="1" s="1"/>
  <c r="W206" i="1"/>
  <c r="W193" i="1"/>
  <c r="W172" i="1"/>
  <c r="W189" i="1"/>
  <c r="W176" i="1"/>
  <c r="S65" i="3"/>
  <c r="R65" i="3"/>
  <c r="M65" i="3"/>
  <c r="U65" i="3"/>
  <c r="V65" i="3"/>
  <c r="W65" i="3"/>
  <c r="X65" i="3"/>
  <c r="T65" i="3" l="1"/>
  <c r="AE65" i="3"/>
  <c r="AD65" i="3"/>
  <c r="AC65" i="3"/>
  <c r="Y65" i="3"/>
  <c r="M28" i="5" l="1"/>
  <c r="M23" i="5" l="1"/>
  <c r="D22" i="10" l="1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3" i="10" l="1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G7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G25" i="10" l="1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G11" i="10" l="1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H28" i="10" l="1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G31" i="10"/>
  <c r="H31" i="10"/>
  <c r="L32" i="10"/>
  <c r="I32" i="10"/>
  <c r="C61" i="9"/>
  <c r="C57" i="9"/>
  <c r="C59" i="9"/>
  <c r="C62" i="9"/>
  <c r="C60" i="9"/>
  <c r="C58" i="9"/>
  <c r="C56" i="9"/>
  <c r="H32" i="10" l="1"/>
  <c r="G32" i="10"/>
  <c r="G33" i="10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N13" i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N13" i="3" s="1"/>
  <c r="G38" i="4"/>
  <c r="G39" i="4"/>
  <c r="G40" i="4"/>
  <c r="G41" i="4"/>
  <c r="N54" i="3" s="1"/>
  <c r="G42" i="4"/>
  <c r="G43" i="4"/>
  <c r="G44" i="4"/>
  <c r="G45" i="4"/>
  <c r="G46" i="4"/>
  <c r="N59" i="3" s="1"/>
  <c r="G47" i="4"/>
  <c r="G48" i="4"/>
  <c r="G49" i="4"/>
  <c r="N51" i="3" s="1"/>
  <c r="G50" i="4"/>
  <c r="G51" i="4"/>
  <c r="G52" i="4"/>
  <c r="N15" i="3" s="1"/>
  <c r="G53" i="4"/>
  <c r="G54" i="4"/>
  <c r="N60" i="3" s="1"/>
  <c r="G55" i="4"/>
  <c r="N67" i="3" s="1"/>
  <c r="G56" i="4"/>
  <c r="G57" i="4"/>
  <c r="G58" i="4"/>
  <c r="N55" i="3" s="1"/>
  <c r="G59" i="4"/>
  <c r="G60" i="4"/>
  <c r="G61" i="4"/>
  <c r="N50" i="3" s="1"/>
  <c r="G62" i="4"/>
  <c r="G63" i="4"/>
  <c r="G64" i="4"/>
  <c r="G65" i="4"/>
  <c r="G66" i="4"/>
  <c r="N26" i="3" s="1"/>
  <c r="G67" i="4"/>
  <c r="G68" i="4"/>
  <c r="G69" i="4"/>
  <c r="G70" i="4"/>
  <c r="G71" i="4"/>
  <c r="N16" i="3" s="1"/>
  <c r="G72" i="4"/>
  <c r="N29" i="3" s="1"/>
  <c r="G73" i="4"/>
  <c r="G74" i="4"/>
  <c r="G75" i="4"/>
  <c r="G76" i="4"/>
  <c r="G77" i="4"/>
  <c r="G78" i="4"/>
  <c r="N34" i="3" s="1"/>
  <c r="G79" i="4"/>
  <c r="G80" i="4"/>
  <c r="G81" i="4"/>
  <c r="N32" i="3" s="1"/>
  <c r="G82" i="4"/>
  <c r="G83" i="4"/>
  <c r="G84" i="4"/>
  <c r="N11" i="3" s="1"/>
  <c r="G85" i="4"/>
  <c r="N22" i="3" s="1"/>
  <c r="G86" i="4"/>
  <c r="G87" i="4"/>
  <c r="N52" i="3" s="1"/>
  <c r="G88" i="4"/>
  <c r="G89" i="4"/>
  <c r="G90" i="4"/>
  <c r="G91" i="4"/>
  <c r="N23" i="3" s="1"/>
  <c r="G92" i="4"/>
  <c r="G93" i="4"/>
  <c r="G94" i="4"/>
  <c r="G95" i="4"/>
  <c r="G96" i="4"/>
  <c r="G97" i="4"/>
  <c r="G98" i="4"/>
  <c r="N61" i="3" s="1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N62" i="3" s="1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N38" i="3" s="1"/>
  <c r="G132" i="4"/>
  <c r="G133" i="4"/>
  <c r="G134" i="4"/>
  <c r="G135" i="4"/>
  <c r="G136" i="4"/>
  <c r="G137" i="4"/>
  <c r="G138" i="4"/>
  <c r="G139" i="4"/>
  <c r="N63" i="3" s="1"/>
  <c r="G140" i="4"/>
  <c r="N42" i="3" s="1"/>
  <c r="G141" i="4"/>
  <c r="G142" i="4"/>
  <c r="G143" i="4"/>
  <c r="G144" i="4"/>
  <c r="G145" i="4"/>
  <c r="G146" i="4"/>
  <c r="G147" i="4"/>
  <c r="G148" i="4"/>
  <c r="G149" i="4"/>
  <c r="G150" i="4"/>
  <c r="N25" i="3" s="1"/>
  <c r="G151" i="4"/>
  <c r="N39" i="3" s="1"/>
  <c r="G152" i="4"/>
  <c r="G153" i="4"/>
  <c r="N56" i="3" s="1"/>
  <c r="G154" i="4"/>
  <c r="N43" i="3" s="1"/>
  <c r="G155" i="4"/>
  <c r="G156" i="4"/>
  <c r="G157" i="4"/>
  <c r="G158" i="4"/>
  <c r="G159" i="4"/>
  <c r="G160" i="4"/>
  <c r="G161" i="4"/>
  <c r="G162" i="4"/>
  <c r="G163" i="4"/>
  <c r="N24" i="3" s="1"/>
  <c r="G164" i="4"/>
  <c r="N37" i="3" s="1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N10" i="3" s="1"/>
  <c r="G180" i="4"/>
  <c r="G181" i="4"/>
  <c r="G182" i="4"/>
  <c r="G183" i="4"/>
  <c r="G184" i="4"/>
  <c r="N9" i="3" s="1"/>
  <c r="G185" i="4"/>
  <c r="G186" i="4"/>
  <c r="N68" i="3" s="1"/>
  <c r="G187" i="4"/>
  <c r="G188" i="4"/>
  <c r="G189" i="4"/>
  <c r="G190" i="4"/>
  <c r="G191" i="4"/>
  <c r="N64" i="3" s="1"/>
  <c r="G192" i="4"/>
  <c r="G193" i="4"/>
  <c r="G194" i="4"/>
  <c r="N44" i="3" s="1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N48" i="3" s="1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N49" i="3" s="1"/>
  <c r="G223" i="4"/>
  <c r="G224" i="4"/>
  <c r="G225" i="4"/>
  <c r="G226" i="4"/>
  <c r="G227" i="4"/>
  <c r="G228" i="4"/>
  <c r="N45" i="3" s="1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53" i="3" l="1"/>
  <c r="N66" i="3"/>
  <c r="N14" i="3"/>
  <c r="N12" i="3"/>
  <c r="N30" i="3"/>
  <c r="N31" i="3"/>
  <c r="N20" i="3"/>
  <c r="N33" i="3"/>
  <c r="N41" i="3"/>
  <c r="N27" i="3"/>
  <c r="N21" i="3"/>
  <c r="N7" i="3"/>
  <c r="N35" i="3"/>
  <c r="N8" i="3"/>
  <c r="N47" i="3"/>
  <c r="N46" i="3"/>
  <c r="N19" i="3"/>
  <c r="N17" i="3"/>
  <c r="N28" i="3"/>
  <c r="N18" i="3"/>
  <c r="N36" i="3"/>
  <c r="N40" i="3"/>
  <c r="N57" i="3"/>
  <c r="N58" i="3"/>
  <c r="N65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J3" i="6"/>
  <c r="H3" i="6"/>
  <c r="G3" i="6"/>
  <c r="B4" i="6" l="1"/>
  <c r="I4" i="6" l="1"/>
  <c r="F4" i="6"/>
  <c r="B5" i="6"/>
  <c r="G4" i="6"/>
  <c r="H4" i="6"/>
  <c r="J4" i="6"/>
  <c r="I5" i="6" l="1"/>
  <c r="F5" i="6"/>
  <c r="J5" i="6"/>
  <c r="H5" i="6"/>
  <c r="G5" i="6"/>
  <c r="B6" i="6"/>
  <c r="I6" i="6" l="1"/>
  <c r="F6" i="6"/>
  <c r="H6" i="6"/>
  <c r="J6" i="6"/>
  <c r="G6" i="6"/>
  <c r="B7" i="6"/>
  <c r="I7" i="6" l="1"/>
  <c r="F7" i="6"/>
  <c r="H7" i="6"/>
  <c r="J7" i="6"/>
  <c r="G7" i="6"/>
  <c r="B8" i="6"/>
  <c r="I8" i="6" l="1"/>
  <c r="F8" i="6"/>
  <c r="H8" i="6"/>
  <c r="J8" i="6"/>
  <c r="G8" i="6"/>
  <c r="B9" i="6" l="1"/>
  <c r="I9" i="6" l="1"/>
  <c r="F9" i="6"/>
  <c r="B10" i="6"/>
  <c r="J9" i="6"/>
  <c r="G9" i="6"/>
  <c r="H9" i="6"/>
  <c r="I10" i="6" l="1"/>
  <c r="F10" i="6"/>
  <c r="B11" i="6"/>
  <c r="J10" i="6"/>
  <c r="G10" i="6"/>
  <c r="H10" i="6"/>
  <c r="I11" i="6" l="1"/>
  <c r="F11" i="6"/>
  <c r="H11" i="6"/>
  <c r="J11" i="6"/>
  <c r="G11" i="6"/>
  <c r="B12" i="6"/>
  <c r="I12" i="6" l="1"/>
  <c r="F12" i="6"/>
  <c r="B13" i="6"/>
  <c r="G12" i="6"/>
  <c r="J12" i="6"/>
  <c r="H12" i="6"/>
  <c r="I13" i="6" l="1"/>
  <c r="F13" i="6"/>
  <c r="G13" i="6"/>
  <c r="H13" i="6"/>
  <c r="J13" i="6"/>
  <c r="B14" i="6"/>
  <c r="I14" i="6" l="1"/>
  <c r="F14" i="6"/>
  <c r="J14" i="6"/>
  <c r="G14" i="6"/>
  <c r="H14" i="6"/>
  <c r="B15" i="6"/>
  <c r="I15" i="6" l="1"/>
  <c r="F15" i="6"/>
  <c r="G15" i="6"/>
  <c r="H15" i="6"/>
  <c r="J15" i="6"/>
  <c r="B16" i="6"/>
  <c r="I16" i="6" l="1"/>
  <c r="F16" i="6"/>
  <c r="B17" i="6"/>
  <c r="J16" i="6"/>
  <c r="H16" i="6"/>
  <c r="G16" i="6"/>
  <c r="I17" i="6" l="1"/>
  <c r="F17" i="6"/>
  <c r="J17" i="6"/>
  <c r="G17" i="6"/>
  <c r="H17" i="6"/>
  <c r="B18" i="6"/>
  <c r="I18" i="6" l="1"/>
  <c r="F18" i="6"/>
  <c r="B19" i="6"/>
  <c r="G18" i="6"/>
  <c r="J18" i="6"/>
  <c r="H18" i="6"/>
  <c r="I19" i="6" l="1"/>
  <c r="F19" i="6"/>
  <c r="G19" i="6"/>
  <c r="J19" i="6"/>
  <c r="H19" i="6"/>
  <c r="B20" i="6"/>
  <c r="I20" i="6" l="1"/>
  <c r="F20" i="6"/>
  <c r="B21" i="6"/>
  <c r="G20" i="6"/>
  <c r="J20" i="6"/>
  <c r="H20" i="6"/>
  <c r="I21" i="6" l="1"/>
  <c r="F21" i="6"/>
  <c r="G21" i="6"/>
  <c r="H21" i="6"/>
  <c r="J21" i="6"/>
  <c r="B22" i="6"/>
  <c r="I22" i="6" l="1"/>
  <c r="F22" i="6"/>
  <c r="B23" i="6"/>
  <c r="G22" i="6"/>
  <c r="H22" i="6"/>
  <c r="J22" i="6"/>
  <c r="I23" i="6" l="1"/>
  <c r="F23" i="6"/>
  <c r="G23" i="6"/>
  <c r="H23" i="6"/>
  <c r="J23" i="6"/>
  <c r="B24" i="6"/>
  <c r="I24" i="6" l="1"/>
  <c r="F24" i="6"/>
  <c r="G24" i="6"/>
  <c r="H24" i="6"/>
  <c r="J24" i="6"/>
  <c r="B25" i="6"/>
  <c r="I25" i="6" l="1"/>
  <c r="F25" i="6"/>
  <c r="B26" i="6"/>
  <c r="J25" i="6"/>
  <c r="G25" i="6"/>
  <c r="H25" i="6"/>
  <c r="I26" i="6" l="1"/>
  <c r="F26" i="6"/>
  <c r="B27" i="6"/>
  <c r="J26" i="6"/>
  <c r="G26" i="6"/>
  <c r="H26" i="6"/>
  <c r="I27" i="6" l="1"/>
  <c r="F27" i="6"/>
  <c r="H27" i="6"/>
  <c r="G27" i="6"/>
  <c r="J27" i="6"/>
  <c r="B28" i="6"/>
  <c r="I28" i="6" l="1"/>
  <c r="F28" i="6"/>
  <c r="B29" i="6"/>
  <c r="G28" i="6"/>
  <c r="J28" i="6"/>
  <c r="H28" i="6"/>
  <c r="I29" i="6" l="1"/>
  <c r="F29" i="6"/>
  <c r="B30" i="6"/>
  <c r="J29" i="6"/>
  <c r="G29" i="6"/>
  <c r="H29" i="6"/>
  <c r="I30" i="6" l="1"/>
  <c r="F30" i="6"/>
  <c r="J30" i="6"/>
  <c r="G30" i="6"/>
  <c r="H30" i="6"/>
  <c r="B31" i="6"/>
  <c r="I31" i="6" l="1"/>
  <c r="F31" i="6"/>
  <c r="H31" i="6"/>
  <c r="J31" i="6"/>
  <c r="G31" i="6"/>
  <c r="B32" i="6"/>
  <c r="I32" i="6" l="1"/>
  <c r="F32" i="6"/>
  <c r="B33" i="6"/>
  <c r="J32" i="6"/>
  <c r="H32" i="6"/>
  <c r="G32" i="6"/>
  <c r="I33" i="6" l="1"/>
  <c r="F33" i="6"/>
  <c r="J33" i="6"/>
  <c r="G33" i="6"/>
  <c r="H33" i="6"/>
  <c r="B34" i="6"/>
  <c r="I34" i="6" l="1"/>
  <c r="F34" i="6"/>
  <c r="G34" i="6"/>
  <c r="H34" i="6"/>
  <c r="J34" i="6"/>
  <c r="B35" i="6"/>
  <c r="I35" i="6" l="1"/>
  <c r="F35" i="6"/>
  <c r="G35" i="6"/>
  <c r="H35" i="6"/>
  <c r="J35" i="6"/>
  <c r="B36" i="6"/>
  <c r="I36" i="6" l="1"/>
  <c r="F36" i="6"/>
  <c r="B37" i="6"/>
  <c r="J36" i="6"/>
  <c r="H36" i="6"/>
  <c r="G36" i="6"/>
  <c r="I37" i="6" l="1"/>
  <c r="F37" i="6"/>
  <c r="B38" i="6"/>
  <c r="J37" i="6"/>
  <c r="G37" i="6"/>
  <c r="H37" i="6"/>
  <c r="I38" i="6" l="1"/>
  <c r="F38" i="6"/>
  <c r="H38" i="6"/>
  <c r="G38" i="6"/>
  <c r="J38" i="6"/>
  <c r="B39" i="6"/>
  <c r="I39" i="6" l="1"/>
  <c r="F39" i="6"/>
  <c r="G39" i="6"/>
  <c r="H39" i="6"/>
  <c r="J39" i="6"/>
  <c r="B40" i="6"/>
  <c r="I40" i="6" l="1"/>
  <c r="F40" i="6"/>
  <c r="B41" i="6"/>
  <c r="J40" i="6"/>
  <c r="H40" i="6"/>
  <c r="G40" i="6"/>
  <c r="I41" i="6" l="1"/>
  <c r="F41" i="6"/>
  <c r="B42" i="6"/>
  <c r="J41" i="6"/>
  <c r="G41" i="6"/>
  <c r="H41" i="6"/>
  <c r="I42" i="6" l="1"/>
  <c r="F42" i="6"/>
  <c r="B43" i="6"/>
  <c r="J42" i="6"/>
  <c r="G42" i="6"/>
  <c r="H42" i="6"/>
  <c r="I43" i="6" l="1"/>
  <c r="F43" i="6"/>
  <c r="J43" i="6"/>
  <c r="H43" i="6"/>
  <c r="G43" i="6"/>
  <c r="B44" i="6"/>
  <c r="I44" i="6" l="1"/>
  <c r="F44" i="6"/>
  <c r="J44" i="6"/>
  <c r="H44" i="6"/>
  <c r="G44" i="6"/>
  <c r="B45" i="6"/>
  <c r="I45" i="6" l="1"/>
  <c r="F45" i="6"/>
  <c r="J45" i="6"/>
  <c r="G45" i="6"/>
  <c r="H45" i="6"/>
  <c r="B46" i="6"/>
  <c r="I46" i="6" l="1"/>
  <c r="F46" i="6"/>
  <c r="B47" i="6"/>
  <c r="G46" i="6"/>
  <c r="H46" i="6"/>
  <c r="J46" i="6"/>
  <c r="I47" i="6" l="1"/>
  <c r="F47" i="6"/>
  <c r="G47" i="6"/>
  <c r="H47" i="6"/>
  <c r="J47" i="6"/>
  <c r="B48" i="6"/>
  <c r="I48" i="6" l="1"/>
  <c r="F48" i="6"/>
  <c r="B49" i="6"/>
  <c r="J48" i="6"/>
  <c r="G48" i="6"/>
  <c r="H48" i="6"/>
  <c r="I49" i="6" l="1"/>
  <c r="F49" i="6"/>
  <c r="H49" i="6"/>
  <c r="G49" i="6"/>
  <c r="J49" i="6"/>
  <c r="B50" i="6"/>
  <c r="I50" i="6" l="1"/>
  <c r="F50" i="6"/>
  <c r="B51" i="6"/>
  <c r="H50" i="6"/>
  <c r="G50" i="6"/>
  <c r="J50" i="6"/>
  <c r="I51" i="6" l="1"/>
  <c r="F51" i="6"/>
  <c r="B52" i="6"/>
  <c r="J51" i="6"/>
  <c r="H51" i="6"/>
  <c r="G51" i="6"/>
  <c r="I52" i="6" l="1"/>
  <c r="F52" i="6"/>
  <c r="J52" i="6"/>
  <c r="H52" i="6"/>
  <c r="G52" i="6"/>
  <c r="B53" i="6"/>
  <c r="I53" i="6" l="1"/>
  <c r="F53" i="6"/>
  <c r="J53" i="6"/>
  <c r="H53" i="6"/>
  <c r="G53" i="6"/>
  <c r="B54" i="6"/>
  <c r="I54" i="6" l="1"/>
  <c r="F54" i="6"/>
  <c r="B55" i="6"/>
  <c r="J54" i="6"/>
  <c r="G54" i="6"/>
  <c r="H54" i="6"/>
  <c r="I55" i="6" l="1"/>
  <c r="F55" i="6"/>
  <c r="B56" i="6"/>
  <c r="G55" i="6"/>
  <c r="H55" i="6"/>
  <c r="J55" i="6"/>
  <c r="I56" i="6" l="1"/>
  <c r="F56" i="6"/>
  <c r="B57" i="6"/>
  <c r="J56" i="6"/>
  <c r="H56" i="6"/>
  <c r="G56" i="6"/>
  <c r="I57" i="6" l="1"/>
  <c r="F57" i="6"/>
  <c r="B58" i="6"/>
  <c r="H57" i="6"/>
  <c r="J57" i="6"/>
  <c r="G57" i="6"/>
  <c r="I58" i="6" l="1"/>
  <c r="F58" i="6"/>
  <c r="G58" i="6"/>
  <c r="H58" i="6"/>
  <c r="J58" i="6"/>
  <c r="B59" i="6"/>
  <c r="I59" i="6" l="1"/>
  <c r="F59" i="6"/>
  <c r="B60" i="6"/>
  <c r="G59" i="6"/>
  <c r="J59" i="6"/>
  <c r="H59" i="6"/>
  <c r="I60" i="6" l="1"/>
  <c r="F60" i="6"/>
  <c r="H60" i="6"/>
  <c r="J60" i="6"/>
  <c r="G60" i="6"/>
  <c r="B61" i="6"/>
  <c r="I61" i="6" l="1"/>
  <c r="F61" i="6"/>
  <c r="H61" i="6"/>
  <c r="G61" i="6"/>
  <c r="J61" i="6"/>
  <c r="B62" i="6"/>
  <c r="I62" i="6" l="1"/>
  <c r="F62" i="6"/>
  <c r="H62" i="6"/>
  <c r="G62" i="6"/>
  <c r="J62" i="6"/>
  <c r="B63" i="6"/>
  <c r="I63" i="6" l="1"/>
  <c r="F63" i="6"/>
  <c r="H63" i="6"/>
  <c r="J63" i="6"/>
  <c r="G63" i="6"/>
  <c r="B64" i="6"/>
  <c r="I64" i="6" l="1"/>
  <c r="F64" i="6"/>
  <c r="J64" i="6"/>
  <c r="G64" i="6"/>
  <c r="H64" i="6"/>
  <c r="B65" i="6"/>
  <c r="I65" i="6" l="1"/>
  <c r="F65" i="6"/>
  <c r="J65" i="6"/>
  <c r="H65" i="6"/>
  <c r="G65" i="6"/>
  <c r="B66" i="6"/>
  <c r="I66" i="6" l="1"/>
  <c r="F66" i="6"/>
  <c r="G66" i="6"/>
  <c r="H66" i="6"/>
  <c r="J66" i="6"/>
  <c r="B67" i="6"/>
  <c r="I67" i="6" l="1"/>
  <c r="F67" i="6"/>
  <c r="B68" i="6"/>
  <c r="J67" i="6"/>
  <c r="G67" i="6"/>
  <c r="H67" i="6"/>
  <c r="I68" i="6" l="1"/>
  <c r="F68" i="6"/>
  <c r="J68" i="6"/>
  <c r="H68" i="6"/>
  <c r="G68" i="6"/>
  <c r="B69" i="6"/>
  <c r="I69" i="6" l="1"/>
  <c r="F69" i="6"/>
  <c r="B70" i="6"/>
  <c r="J69" i="6"/>
  <c r="G69" i="6"/>
  <c r="H69" i="6"/>
  <c r="I70" i="6" l="1"/>
  <c r="F70" i="6"/>
  <c r="B71" i="6"/>
  <c r="H70" i="6"/>
  <c r="G70" i="6"/>
  <c r="J70" i="6"/>
  <c r="I71" i="6" l="1"/>
  <c r="F71" i="6"/>
  <c r="B72" i="6"/>
  <c r="J71" i="6"/>
  <c r="G71" i="6"/>
  <c r="H71" i="6"/>
  <c r="I72" i="6" l="1"/>
  <c r="F72" i="6"/>
  <c r="B73" i="6"/>
  <c r="J72" i="6"/>
  <c r="H72" i="6"/>
  <c r="G72" i="6"/>
  <c r="I73" i="6" l="1"/>
  <c r="F73" i="6"/>
  <c r="G73" i="6"/>
  <c r="H73" i="6"/>
  <c r="J73" i="6"/>
  <c r="B74" i="6"/>
  <c r="I74" i="6" l="1"/>
  <c r="F74" i="6"/>
  <c r="B75" i="6"/>
  <c r="J74" i="6"/>
  <c r="G74" i="6"/>
  <c r="H74" i="6"/>
  <c r="I75" i="6" l="1"/>
  <c r="F75" i="6"/>
  <c r="G75" i="6"/>
  <c r="H75" i="6"/>
  <c r="J75" i="6"/>
  <c r="B76" i="6"/>
  <c r="I76" i="6" l="1"/>
  <c r="F76" i="6"/>
  <c r="H76" i="6"/>
  <c r="G76" i="6"/>
  <c r="J76" i="6"/>
  <c r="B77" i="6"/>
  <c r="I77" i="6" l="1"/>
  <c r="F77" i="6"/>
  <c r="J77" i="6"/>
  <c r="H77" i="6"/>
  <c r="G77" i="6"/>
  <c r="B78" i="6"/>
  <c r="I78" i="6" l="1"/>
  <c r="F78" i="6"/>
  <c r="H78" i="6"/>
  <c r="G78" i="6"/>
  <c r="J78" i="6"/>
  <c r="B79" i="6"/>
  <c r="I79" i="6" l="1"/>
  <c r="F79" i="6"/>
  <c r="H79" i="6"/>
  <c r="G79" i="6"/>
  <c r="J79" i="6"/>
  <c r="B80" i="6"/>
  <c r="I80" i="6" l="1"/>
  <c r="F80" i="6"/>
  <c r="J80" i="6"/>
  <c r="G80" i="6"/>
  <c r="H80" i="6"/>
  <c r="B81" i="6"/>
  <c r="I81" i="6" l="1"/>
  <c r="F81" i="6"/>
  <c r="G81" i="6"/>
  <c r="H81" i="6"/>
  <c r="J81" i="6"/>
  <c r="B82" i="6"/>
  <c r="I82" i="6" l="1"/>
  <c r="F82" i="6"/>
  <c r="B83" i="6"/>
  <c r="H82" i="6"/>
  <c r="G82" i="6"/>
  <c r="J82" i="6"/>
  <c r="I83" i="6" l="1"/>
  <c r="F83" i="6"/>
  <c r="B84" i="6"/>
  <c r="J83" i="6"/>
  <c r="G83" i="6"/>
  <c r="H83" i="6"/>
  <c r="I84" i="6" l="1"/>
  <c r="F84" i="6"/>
  <c r="H84" i="6"/>
  <c r="G84" i="6"/>
  <c r="J84" i="6"/>
  <c r="B85" i="6"/>
  <c r="I85" i="6" l="1"/>
  <c r="F85" i="6"/>
  <c r="H85" i="6"/>
  <c r="J85" i="6"/>
  <c r="G85" i="6"/>
  <c r="B86" i="6"/>
  <c r="I86" i="6" l="1"/>
  <c r="F86" i="6"/>
  <c r="G86" i="6"/>
  <c r="J86" i="6"/>
  <c r="H86" i="6"/>
  <c r="B87" i="6"/>
  <c r="I87" i="6" l="1"/>
  <c r="F87" i="6"/>
  <c r="B88" i="6"/>
  <c r="H87" i="6"/>
  <c r="J87" i="6"/>
  <c r="G87" i="6"/>
  <c r="I88" i="6" l="1"/>
  <c r="F88" i="6"/>
  <c r="B89" i="6"/>
  <c r="J88" i="6"/>
  <c r="H88" i="6"/>
  <c r="G88" i="6"/>
  <c r="I89" i="6" l="1"/>
  <c r="F89" i="6"/>
  <c r="B91" i="6"/>
  <c r="B90" i="6"/>
  <c r="G89" i="6"/>
  <c r="H89" i="6"/>
  <c r="J89" i="6"/>
  <c r="I90" i="6" l="1"/>
  <c r="F90" i="6"/>
  <c r="I91" i="6"/>
  <c r="F91" i="6"/>
  <c r="G90" i="6"/>
  <c r="H90" i="6"/>
  <c r="J90" i="6"/>
  <c r="J91" i="6"/>
  <c r="G91" i="6"/>
  <c r="H91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<sst xmlns="http://schemas.openxmlformats.org/spreadsheetml/2006/main" count="3098" uniqueCount="1015">
  <si>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</si>
  <si>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</si>
  <si>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</si>
  <si>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</si>
  <si>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</si>
  <si>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</si>
  <si>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</si>
  <si>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</si>
  <si>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</si>
  <si>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</si>
  <si>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</si>
  <si>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</si>
  <si>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</si>
  <si>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</si>
  <si>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</si>
  <si>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</si>
  <si>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</si>
  <si>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</si>
  <si>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</si>
  <si>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</si>
  <si>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</si>
  <si>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</si>
  <si>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</si>
  <si>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</si>
  <si>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</si>
  <si>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</si>
  <si>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</si>
  <si>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</si>
  <si>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</si>
  <si>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</si>
  <si>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</si>
  <si>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</si>
  <si>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</si>
  <si>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</si>
  <si>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</si>
  <si>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</si>
  <si>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</si>
  <si>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</si>
  <si>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</si>
  <si>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</si>
  <si>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</si>
  <si>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</si>
  <si>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</si>
  <si>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</si>
  <si>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</si>
  <si>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</si>
  <si>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</si>
  <si>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</si>
  <si>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</si>
  <si>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</si>
  <si>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</si>
  <si>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</si>
  <si>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</si>
  <si>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</si>
  <si>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</si>
  <si>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</si>
  <si>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</si>
  <si>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</si>
  <si>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</si>
  <si>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</si>
  <si>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</si>
  <si>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</si>
  <si>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</si>
  <si>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</si>
  <si>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</si>
  <si>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</si>
  <si>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</si>
  <si>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</si>
  <si>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</si>
  <si>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</si>
  <si>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</si>
  <si>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</si>
  <si>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</si>
  <si>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</si>
  <si>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</si>
  <si>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</si>
  <si>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</si>
  <si>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</si>
  <si>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</si>
  <si>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</si>
  <si>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</si>
  <si>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</si>
  <si>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</si>
  <si>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</si>
  <si>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</si>
  <si>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</si>
  <si>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</si>
  <si>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</si>
  <si>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</si>
  <si>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</si>
  <si>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</si>
  <si>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</si>
  <si>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</si>
  <si>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</si>
  <si>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</si>
  <si>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</si>
  <si>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</si>
  <si>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</si>
  <si>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</si>
  <si>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</si>
  <si>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</si>
  <si>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</si>
  <si>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</si>
  <si>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</si>
  <si>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</si>
  <si>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</si>
  <si>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</si>
  <si>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</si>
  <si>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</si>
  <si>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</si>
  <si>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</si>
  <si>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</si>
  <si>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</si>
  <si>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</si>
  <si>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</si>
  <si>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</si>
  <si>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</si>
  <si>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</si>
  <si>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</si>
  <si>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</si>
  <si>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</si>
  <si>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</si>
  <si>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</si>
  <si>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</si>
  <si>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</si>
  <si>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</si>
  <si>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</si>
  <si>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</si>
  <si>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</si>
  <si>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</si>
  <si>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</si>
  <si>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</si>
  <si>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</si>
  <si>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</si>
  <si>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</si>
  <si>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</si>
  <si>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</si>
  <si>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</si>
  <si>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</si>
  <si>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</si>
  <si>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</si>
  <si>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</si>
  <si>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</si>
  <si>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</si>
  <si>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</si>
  <si>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</si>
  <si>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</si>
  <si>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</si>
  <si>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</si>
  <si>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</si>
  <si>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</si>
  <si>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</si>
  <si>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</si>
  <si>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</si>
  <si>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</si>
  <si>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</si>
  <si>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</si>
  <si>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</si>
  <si>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</si>
  <si>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</si>
  <si>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</si>
  <si>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</si>
  <si>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</si>
  <si>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</si>
  <si>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</si>
  <si>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</si>
  <si>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</si>
  <si>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</si>
  <si>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</si>
  <si>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</si>
  <si>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</si>
  <si>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</si>
  <si>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</si>
  <si>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</si>
  <si>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</si>
  <si>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</si>
  <si>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</si>
  <si>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</si>
  <si>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</si>
  <si>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</si>
  <si>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</si>
  <si>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</si>
  <si>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</si>
  <si>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</si>
  <si>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</si>
  <si>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</si>
  <si>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</si>
  <si>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</si>
  <si>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</si>
  <si>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</si>
  <si>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</si>
  <si>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</si>
  <si>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</si>
  <si>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</si>
  <si>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</si>
  <si>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</si>
  <si>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</si>
  <si>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</si>
  <si>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</si>
  <si>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</si>
  <si>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</si>
  <si>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</si>
  <si>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</si>
  <si>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</si>
  <si>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</si>
  <si>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</si>
  <si>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Uncaught Wi-MAX GREP</t>
  </si>
  <si>
    <t>204:451</t>
  </si>
  <si>
    <t>204:457</t>
  </si>
  <si>
    <t>204:460</t>
  </si>
  <si>
    <t>BROWN</t>
  </si>
  <si>
    <t>JACOB</t>
  </si>
  <si>
    <t>204:453</t>
  </si>
  <si>
    <t>204:455</t>
  </si>
  <si>
    <t>204:141</t>
  </si>
  <si>
    <t>204:440</t>
  </si>
  <si>
    <t>204:156</t>
  </si>
  <si>
    <t>204:147</t>
  </si>
  <si>
    <t>204:447</t>
  </si>
  <si>
    <t>204:466</t>
  </si>
  <si>
    <t>PERMANENT SPEED RESTRICTION</t>
  </si>
  <si>
    <t>Speed (6)</t>
  </si>
  <si>
    <t>DE.1.0.9.0</t>
  </si>
  <si>
    <t>204:458</t>
  </si>
  <si>
    <t>204:233297</t>
  </si>
  <si>
    <t>204:233312</t>
  </si>
  <si>
    <t>204:467</t>
  </si>
  <si>
    <t>204:233000</t>
  </si>
  <si>
    <t>204:233295</t>
  </si>
  <si>
    <t>204:232971</t>
  </si>
  <si>
    <t>204:469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</si>
  <si>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</si>
  <si>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</si>
  <si>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</si>
  <si>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</si>
  <si>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</si>
  <si>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</si>
  <si>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</si>
  <si>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</si>
  <si>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</si>
  <si>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</si>
  <si>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</si>
  <si>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</si>
  <si>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</si>
  <si>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</si>
  <si>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</si>
  <si>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</si>
  <si>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</si>
  <si>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</si>
  <si>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</si>
  <si>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</si>
  <si>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</si>
  <si>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</si>
  <si>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</si>
  <si>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</si>
  <si>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</si>
  <si>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</si>
  <si>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</si>
  <si>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</si>
  <si>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</si>
  <si>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</si>
  <si>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</si>
  <si>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</si>
  <si>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</si>
  <si>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</si>
  <si>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</si>
  <si>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</si>
  <si>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</si>
  <si>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</si>
  <si>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</si>
  <si>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</si>
  <si>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</si>
  <si>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</si>
  <si>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</si>
  <si>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</si>
  <si>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</si>
  <si>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</si>
  <si>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</si>
  <si>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</si>
  <si>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</si>
  <si>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</si>
  <si>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</si>
  <si>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</si>
  <si>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</si>
  <si>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</si>
  <si>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</si>
  <si>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</si>
  <si>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</si>
  <si>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</si>
  <si>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</si>
  <si>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</si>
  <si>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</si>
  <si>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</si>
  <si>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</si>
  <si>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</si>
  <si>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</si>
  <si>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</si>
  <si>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</si>
  <si>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</si>
  <si>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</si>
  <si>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</si>
  <si>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</si>
  <si>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</si>
  <si>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</si>
  <si>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</si>
  <si>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</si>
  <si>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</si>
  <si>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</si>
  <si>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</si>
  <si>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</si>
  <si>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</si>
  <si>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</si>
  <si>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</si>
  <si>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</si>
  <si>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</si>
  <si>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</si>
  <si>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</si>
  <si>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</si>
  <si>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</si>
  <si>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</si>
  <si>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</si>
  <si>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</si>
  <si>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</si>
  <si>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</si>
  <si>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</si>
  <si>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</si>
  <si>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</si>
  <si>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</si>
  <si>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</si>
  <si>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</si>
  <si>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</si>
  <si>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</si>
  <si>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</si>
  <si>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</si>
  <si>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</si>
  <si>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</si>
  <si>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</si>
  <si>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</si>
  <si>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</si>
  <si>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</si>
  <si>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</si>
  <si>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</si>
  <si>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</si>
  <si>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</si>
  <si>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</si>
  <si>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</si>
  <si>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</si>
  <si>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</si>
  <si>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</si>
  <si>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</si>
  <si>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</si>
  <si>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</si>
  <si>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</si>
  <si>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</si>
  <si>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</si>
  <si>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</si>
  <si>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</si>
  <si>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</si>
  <si>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</si>
  <si>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</si>
  <si>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</si>
  <si>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204:232982</t>
  </si>
  <si>
    <t>partly-cloudy-night</t>
  </si>
  <si>
    <t>Partly Cloudy</t>
  </si>
  <si>
    <t>partly-cloudy-day</t>
  </si>
  <si>
    <t>SIGNAL</t>
  </si>
  <si>
    <t>Signal based authority (5)</t>
  </si>
  <si>
    <t>Y</t>
  </si>
  <si>
    <t>204:233307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</si>
  <si>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</si>
  <si>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</si>
  <si>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</si>
  <si>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</si>
  <si>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</si>
  <si>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</si>
  <si>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</si>
  <si>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</si>
  <si>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</si>
  <si>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</si>
  <si>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</si>
  <si>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</si>
  <si>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</si>
  <si>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</si>
  <si>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</si>
  <si>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</si>
  <si>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</si>
  <si>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</si>
  <si>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</si>
  <si>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</si>
  <si>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</si>
  <si>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</si>
  <si>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</si>
  <si>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</si>
  <si>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</si>
  <si>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</si>
  <si>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204:233306</t>
  </si>
  <si>
    <t>204:233293</t>
  </si>
  <si>
    <t>204:462</t>
  </si>
  <si>
    <t>204:138</t>
  </si>
  <si>
    <t>rtdc.l.rtdc.4053:itc</t>
  </si>
  <si>
    <t>rtdc.l.rtdc.4054:itc</t>
  </si>
  <si>
    <t>rtdc.l.rtdc.4028:itc</t>
  </si>
  <si>
    <t>rtdc.l.rtdc.4027:itc</t>
  </si>
  <si>
    <t>STAMBAUGH</t>
  </si>
  <si>
    <t>204:232975</t>
  </si>
  <si>
    <t>204:232987</t>
  </si>
  <si>
    <t>204:471</t>
  </si>
  <si>
    <t>rtdc.l.rtdc.4032:itc</t>
  </si>
  <si>
    <t>rtdc.l.rtdc.4031:itc</t>
  </si>
  <si>
    <t>204:145</t>
  </si>
  <si>
    <t>204:163</t>
  </si>
  <si>
    <t>rtdc.l.rtdc.4045:itc</t>
  </si>
  <si>
    <t>rtdc.l.rtdc.4046:itc</t>
  </si>
  <si>
    <t>rtdc.l.rtdc.4001:itc</t>
  </si>
  <si>
    <t>rtdc.l.rtdc.4002:itc</t>
  </si>
  <si>
    <t>HELVIE</t>
  </si>
  <si>
    <t>ADAM</t>
  </si>
  <si>
    <t>204:143</t>
  </si>
  <si>
    <t>204:233304</t>
  </si>
  <si>
    <t>204:233286</t>
  </si>
  <si>
    <t>204:233308</t>
  </si>
  <si>
    <t>rtdc.l.rtdc.4021:itc</t>
  </si>
  <si>
    <t>ROBINSON</t>
  </si>
  <si>
    <t>KADDIBA</t>
  </si>
  <si>
    <t>rtdc.l.rtdc.4022:itc</t>
  </si>
  <si>
    <t>SMITH</t>
  </si>
  <si>
    <t>BRANDNER</t>
  </si>
  <si>
    <t>MELINDA</t>
  </si>
  <si>
    <t>204:446</t>
  </si>
  <si>
    <t>204:444</t>
  </si>
  <si>
    <t>204:232990</t>
  </si>
  <si>
    <t>204:473</t>
  </si>
  <si>
    <t>204:136</t>
  </si>
  <si>
    <t>300:58935</t>
  </si>
  <si>
    <t>300:58926</t>
  </si>
  <si>
    <t>rtdc.l.rtdc.4011:itc</t>
  </si>
  <si>
    <t>rtdc.l.rtdc.4015:itc</t>
  </si>
  <si>
    <t>rtdc.l.rtdc.4044:itc</t>
  </si>
  <si>
    <t>rtdc.l.rtdc.4043:itc</t>
  </si>
  <si>
    <t>rtdc.l.rtdc.4012:itc</t>
  </si>
  <si>
    <t>rtdc.l.rtdc.4016:itc</t>
  </si>
  <si>
    <t>STEWART</t>
  </si>
  <si>
    <t>ROMERO</t>
  </si>
  <si>
    <t>CHAD</t>
  </si>
  <si>
    <t>SAFIEF</t>
  </si>
  <si>
    <t>AEIMEN</t>
  </si>
  <si>
    <t>204:431</t>
  </si>
  <si>
    <t>204:129</t>
  </si>
  <si>
    <t>204:233278</t>
  </si>
  <si>
    <t>204:170</t>
  </si>
  <si>
    <t>204:160</t>
  </si>
  <si>
    <t>204:741</t>
  </si>
  <si>
    <t>300:58615</t>
  </si>
  <si>
    <t>300:58933</t>
  </si>
  <si>
    <t>300:58613</t>
  </si>
  <si>
    <t>rtdc.l.rtdc.4029:itc</t>
  </si>
  <si>
    <t>225-18</t>
  </si>
  <si>
    <t>216-18</t>
  </si>
  <si>
    <t>222-18</t>
  </si>
  <si>
    <t>227-18</t>
  </si>
  <si>
    <t>224-18</t>
  </si>
  <si>
    <t>238-18</t>
  </si>
  <si>
    <t>243-18</t>
  </si>
  <si>
    <t>DAVIS</t>
  </si>
  <si>
    <t>WENDY</t>
  </si>
  <si>
    <t>SANTIZO</t>
  </si>
  <si>
    <t>D. EDY</t>
  </si>
  <si>
    <t>MAELZER</t>
  </si>
  <si>
    <t>KURT</t>
  </si>
  <si>
    <t>NELSON</t>
  </si>
  <si>
    <t>ARIANE</t>
  </si>
  <si>
    <t>214-18</t>
  </si>
  <si>
    <t>MACDONALD</t>
  </si>
  <si>
    <t>THOMAS</t>
  </si>
  <si>
    <t>1829-18</t>
  </si>
  <si>
    <t>307-18</t>
  </si>
  <si>
    <t>1830-18</t>
  </si>
  <si>
    <t>231-18</t>
  </si>
  <si>
    <t>226-18</t>
  </si>
  <si>
    <t>1831-18</t>
  </si>
  <si>
    <t>228-18</t>
  </si>
  <si>
    <t>1832-18</t>
  </si>
  <si>
    <t>230-18</t>
  </si>
  <si>
    <t>233-18</t>
  </si>
  <si>
    <t>1833-18</t>
  </si>
  <si>
    <t>234-18</t>
  </si>
  <si>
    <t>237-18</t>
  </si>
  <si>
    <t>1902-18</t>
  </si>
  <si>
    <t>53-18</t>
  </si>
  <si>
    <t>52-18</t>
  </si>
  <si>
    <t>55-18</t>
  </si>
  <si>
    <t>241-18</t>
  </si>
  <si>
    <t>240-18</t>
  </si>
  <si>
    <t>67-18</t>
  </si>
  <si>
    <t>245-18</t>
  </si>
  <si>
    <t>242-18</t>
  </si>
  <si>
    <t>309-18</t>
  </si>
  <si>
    <t>244-18</t>
  </si>
  <si>
    <t>311-18</t>
  </si>
  <si>
    <t>246-18</t>
  </si>
  <si>
    <t>313-18</t>
  </si>
  <si>
    <t>315-18</t>
  </si>
  <si>
    <t>204:486</t>
  </si>
  <si>
    <t>204:449</t>
  </si>
  <si>
    <t>204:232981</t>
  </si>
  <si>
    <t>204:1032</t>
  </si>
  <si>
    <t>204:233317</t>
  </si>
  <si>
    <t>204:233303</t>
  </si>
  <si>
    <t>204:233314</t>
  </si>
  <si>
    <t>204:233309</t>
  </si>
  <si>
    <t>204:232989</t>
  </si>
  <si>
    <t>204:139</t>
  </si>
  <si>
    <t>204:232973</t>
  </si>
  <si>
    <t>204:233021</t>
  </si>
  <si>
    <t>204:232993</t>
  </si>
  <si>
    <t>300:58929</t>
  </si>
  <si>
    <t>300:58623</t>
  </si>
  <si>
    <t>204:232996</t>
  </si>
  <si>
    <t>204:232980</t>
  </si>
  <si>
    <t>204:233276</t>
  </si>
  <si>
    <t>204:232983</t>
  </si>
  <si>
    <t>204:233326</t>
  </si>
  <si>
    <t>204:939</t>
  </si>
  <si>
    <t>rtdc.l.rtdc.4004:itc</t>
  </si>
  <si>
    <t>rtdc.l.rtdc.4040:itc</t>
  </si>
  <si>
    <t>rtdc.l.rtdc.4026:itc</t>
  </si>
  <si>
    <t>rtdc.l.rtdc.4003:itc</t>
  </si>
  <si>
    <t>rtdc.l.rtdc.4039:itc</t>
  </si>
  <si>
    <t>rtdc.l.rtdc.4064:itc</t>
  </si>
  <si>
    <t>80-19</t>
  </si>
  <si>
    <t>rtdc.l.rtdc.4017:itc</t>
  </si>
  <si>
    <t>rtdc.l.rtdc.4025:itc</t>
  </si>
  <si>
    <t>MOSES</t>
  </si>
  <si>
    <t>BRADLEY</t>
  </si>
  <si>
    <t>rtdc.l.rtdc.4041:itc</t>
  </si>
  <si>
    <t>LALONDE</t>
  </si>
  <si>
    <t>GREGORY</t>
  </si>
  <si>
    <t>rtdc.l.rtdc.4042:itc</t>
  </si>
  <si>
    <t>LOCKLEAR</t>
  </si>
  <si>
    <t>TRAVIS</t>
  </si>
  <si>
    <t>CHANDLER</t>
  </si>
  <si>
    <t>KELVIN</t>
  </si>
  <si>
    <t>rtdc.l.rtdc.4018:itc</t>
  </si>
  <si>
    <t>DUNCAN</t>
  </si>
  <si>
    <t>SHEILA</t>
  </si>
  <si>
    <t>NEWELL</t>
  </si>
  <si>
    <t>YANG</t>
  </si>
  <si>
    <t>JAN</t>
  </si>
  <si>
    <t>rtdc.l.rtdc.4063:itc</t>
  </si>
  <si>
    <t>81-19</t>
  </si>
  <si>
    <t>309-19</t>
  </si>
  <si>
    <t>244-19</t>
  </si>
  <si>
    <t>311-19</t>
  </si>
  <si>
    <t>313-19</t>
  </si>
  <si>
    <t>Mostly Cloudy</t>
  </si>
  <si>
    <t>204:737</t>
  </si>
  <si>
    <t>204:757</t>
  </si>
  <si>
    <t>204:161</t>
  </si>
  <si>
    <t>204:684</t>
  </si>
  <si>
    <t>204:232976</t>
  </si>
  <si>
    <t>204:123</t>
  </si>
  <si>
    <t>204:233280</t>
  </si>
  <si>
    <t>204:232957</t>
  </si>
  <si>
    <t>204:233321</t>
  </si>
  <si>
    <t>204:233288</t>
  </si>
  <si>
    <t>204:480</t>
  </si>
  <si>
    <t>204:233285</t>
  </si>
  <si>
    <t>204:429</t>
  </si>
  <si>
    <t>204:233334</t>
  </si>
  <si>
    <t>204:232988</t>
  </si>
  <si>
    <t>300:58937</t>
  </si>
  <si>
    <t>300:58611</t>
  </si>
  <si>
    <t>204:768</t>
  </si>
  <si>
    <t>204:233005</t>
  </si>
  <si>
    <t>300:58624</t>
  </si>
  <si>
    <t>204:475</t>
  </si>
  <si>
    <t>204:132</t>
  </si>
  <si>
    <t>204:167</t>
  </si>
  <si>
    <t>204:134</t>
  </si>
  <si>
    <t>204:165</t>
  </si>
  <si>
    <t>204:484</t>
  </si>
  <si>
    <t>204:232969</t>
  </si>
  <si>
    <t>204:464</t>
  </si>
  <si>
    <t>204:232950</t>
  </si>
  <si>
    <t>204:232967</t>
  </si>
  <si>
    <t>204:435</t>
  </si>
  <si>
    <t>204:232991</t>
  </si>
  <si>
    <t>204:233071</t>
  </si>
  <si>
    <t>300:23297</t>
  </si>
  <si>
    <t>300:23301</t>
  </si>
  <si>
    <t>300:23299</t>
  </si>
  <si>
    <t>204:442</t>
  </si>
  <si>
    <t>204:437</t>
  </si>
  <si>
    <t>start /low /b %USERPROFILE%\Documents\GitHub\eaglep3\Utilities\DownloadLogsFromS3.py --loco 4003 --day 2017-03-20</t>
  </si>
  <si>
    <t>Wi-MAX data drop</t>
  </si>
  <si>
    <t>Selected wrong track</t>
  </si>
  <si>
    <t>Onboard in-route failure</t>
  </si>
  <si>
    <t>Early arrival</t>
  </si>
  <si>
    <t>801-20</t>
  </si>
  <si>
    <t>802-20</t>
  </si>
  <si>
    <t>112-20</t>
  </si>
  <si>
    <t>804-20</t>
  </si>
  <si>
    <t>125-20</t>
  </si>
  <si>
    <t>116-20</t>
  </si>
  <si>
    <t>805-20</t>
  </si>
  <si>
    <t>806-20</t>
  </si>
  <si>
    <t>807-20</t>
  </si>
  <si>
    <t>126-20</t>
  </si>
  <si>
    <t>133-20</t>
  </si>
  <si>
    <t>808-20</t>
  </si>
  <si>
    <t>809-20</t>
  </si>
  <si>
    <t>810-20</t>
  </si>
  <si>
    <t>811-20</t>
  </si>
  <si>
    <t>128-20</t>
  </si>
  <si>
    <t>134-20</t>
  </si>
  <si>
    <t>145-20</t>
  </si>
  <si>
    <t>147-20</t>
  </si>
  <si>
    <t>140-20</t>
  </si>
  <si>
    <t>144-20</t>
  </si>
  <si>
    <t>153-20</t>
  </si>
  <si>
    <t>155-20</t>
  </si>
  <si>
    <t>816-20</t>
  </si>
  <si>
    <t>148-20</t>
  </si>
  <si>
    <t>154-20</t>
  </si>
  <si>
    <t>818-20</t>
  </si>
  <si>
    <t>181-20</t>
  </si>
  <si>
    <t>822-20</t>
  </si>
  <si>
    <t>182-20</t>
  </si>
  <si>
    <t>191-20</t>
  </si>
  <si>
    <t>188-20</t>
  </si>
  <si>
    <t>826-20</t>
  </si>
  <si>
    <t>190-20</t>
  </si>
  <si>
    <t>830-20</t>
  </si>
  <si>
    <t>198-20</t>
  </si>
  <si>
    <t>205-20</t>
  </si>
  <si>
    <t>211-20</t>
  </si>
  <si>
    <t>200-20</t>
  </si>
  <si>
    <t>204-20</t>
  </si>
  <si>
    <t>217-20</t>
  </si>
  <si>
    <t>219-20</t>
  </si>
  <si>
    <t>221-20</t>
  </si>
  <si>
    <t>305-20</t>
  </si>
  <si>
    <t>840-20</t>
  </si>
  <si>
    <t>222-20</t>
  </si>
  <si>
    <t>233-20</t>
  </si>
  <si>
    <t>241-20</t>
  </si>
  <si>
    <t>242-20</t>
  </si>
  <si>
    <t>302-20</t>
  </si>
  <si>
    <t>101-20</t>
  </si>
  <si>
    <t>304-20</t>
  </si>
  <si>
    <t>103-20</t>
  </si>
  <si>
    <t>102-20</t>
  </si>
  <si>
    <t>306-20</t>
  </si>
  <si>
    <t>STARKS</t>
  </si>
  <si>
    <t>ANGELINA</t>
  </si>
  <si>
    <t>308-20</t>
  </si>
  <si>
    <t>GUZMAN</t>
  </si>
  <si>
    <t>DANNY</t>
  </si>
  <si>
    <t>105-20</t>
  </si>
  <si>
    <t>107-20</t>
  </si>
  <si>
    <t>310-20</t>
  </si>
  <si>
    <t>ACKERMAN</t>
  </si>
  <si>
    <t>JARED</t>
  </si>
  <si>
    <t>104-20</t>
  </si>
  <si>
    <t>109-20</t>
  </si>
  <si>
    <t>901-20</t>
  </si>
  <si>
    <t>113-20</t>
  </si>
  <si>
    <t>111-20</t>
  </si>
  <si>
    <t>WILLIAMS</t>
  </si>
  <si>
    <t>DONTE</t>
  </si>
  <si>
    <t>800-20</t>
  </si>
  <si>
    <t>106-20</t>
  </si>
  <si>
    <t>108-20</t>
  </si>
  <si>
    <t>115-20</t>
  </si>
  <si>
    <t>117-20</t>
  </si>
  <si>
    <t>110-20</t>
  </si>
  <si>
    <t>MENGES</t>
  </si>
  <si>
    <t>BRAD</t>
  </si>
  <si>
    <t>114-20</t>
  </si>
  <si>
    <t>119-20</t>
  </si>
  <si>
    <t>rtdc.l.rtdc.4008:itc</t>
  </si>
  <si>
    <t>902-20</t>
  </si>
  <si>
    <t>SULLIVAN</t>
  </si>
  <si>
    <t>BRANDON</t>
  </si>
  <si>
    <t>121-20</t>
  </si>
  <si>
    <t>123-20</t>
  </si>
  <si>
    <t>118-20</t>
  </si>
  <si>
    <t>120-20</t>
  </si>
  <si>
    <t>127-20</t>
  </si>
  <si>
    <t>122-20</t>
  </si>
  <si>
    <t>129-20</t>
  </si>
  <si>
    <t>124-20</t>
  </si>
  <si>
    <t>131-20</t>
  </si>
  <si>
    <t>135-20</t>
  </si>
  <si>
    <t>130-20</t>
  </si>
  <si>
    <t>137-20</t>
  </si>
  <si>
    <t>132-20</t>
  </si>
  <si>
    <t>139-20</t>
  </si>
  <si>
    <t>903-20</t>
  </si>
  <si>
    <t>812-20</t>
  </si>
  <si>
    <t>141-20</t>
  </si>
  <si>
    <t>136-20</t>
  </si>
  <si>
    <t>143-20</t>
  </si>
  <si>
    <t>138-20</t>
  </si>
  <si>
    <t>813-20</t>
  </si>
  <si>
    <t>142-20</t>
  </si>
  <si>
    <t>814-20</t>
  </si>
  <si>
    <t>149-20</t>
  </si>
  <si>
    <t>151-20</t>
  </si>
  <si>
    <t>146-20</t>
  </si>
  <si>
    <t>815-20</t>
  </si>
  <si>
    <t>50-20</t>
  </si>
  <si>
    <t>150-20</t>
  </si>
  <si>
    <t>157-20</t>
  </si>
  <si>
    <t>152-20</t>
  </si>
  <si>
    <t>159-20</t>
  </si>
  <si>
    <t>51-20</t>
  </si>
  <si>
    <t>YANAI</t>
  </si>
  <si>
    <t>IAN</t>
  </si>
  <si>
    <t>817-20</t>
  </si>
  <si>
    <t>161-20</t>
  </si>
  <si>
    <t>156-20</t>
  </si>
  <si>
    <t>163-20</t>
  </si>
  <si>
    <t>CLARK</t>
  </si>
  <si>
    <t>KATHLEEN</t>
  </si>
  <si>
    <t>158-20</t>
  </si>
  <si>
    <t>165-20</t>
  </si>
  <si>
    <t>160-20</t>
  </si>
  <si>
    <t>167-20</t>
  </si>
  <si>
    <t>162-20</t>
  </si>
  <si>
    <t>169-20</t>
  </si>
  <si>
    <t>819-20</t>
  </si>
  <si>
    <t>164-20</t>
  </si>
  <si>
    <t>171-20</t>
  </si>
  <si>
    <t>DAVIDSON</t>
  </si>
  <si>
    <t>DAVID</t>
  </si>
  <si>
    <t>166-20</t>
  </si>
  <si>
    <t>820-20</t>
  </si>
  <si>
    <t>173-20</t>
  </si>
  <si>
    <t>168-20</t>
  </si>
  <si>
    <t>175-20</t>
  </si>
  <si>
    <t>170-20</t>
  </si>
  <si>
    <t>821-20</t>
  </si>
  <si>
    <t>FORTUNATO</t>
  </si>
  <si>
    <t>FRANK</t>
  </si>
  <si>
    <t>177-20</t>
  </si>
  <si>
    <t>172-20</t>
  </si>
  <si>
    <t>179-20</t>
  </si>
  <si>
    <t>174-20</t>
  </si>
  <si>
    <t>176-20</t>
  </si>
  <si>
    <t>183-20</t>
  </si>
  <si>
    <t>178-20</t>
  </si>
  <si>
    <t>185-20</t>
  </si>
  <si>
    <t>823-20</t>
  </si>
  <si>
    <t>180-20</t>
  </si>
  <si>
    <t>187-20</t>
  </si>
  <si>
    <t>824-20</t>
  </si>
  <si>
    <t>189-20</t>
  </si>
  <si>
    <t>184-20</t>
  </si>
  <si>
    <t>186-20</t>
  </si>
  <si>
    <t>193-20</t>
  </si>
  <si>
    <t>904-20</t>
  </si>
  <si>
    <t>825-20</t>
  </si>
  <si>
    <t>195-20</t>
  </si>
  <si>
    <t>827-20</t>
  </si>
  <si>
    <t>197-20</t>
  </si>
  <si>
    <t>192-20</t>
  </si>
  <si>
    <t>199-20</t>
  </si>
  <si>
    <t>828-20</t>
  </si>
  <si>
    <t>194-20</t>
  </si>
  <si>
    <t>201-20</t>
  </si>
  <si>
    <t>829-20</t>
  </si>
  <si>
    <t>196-20</t>
  </si>
  <si>
    <t>203-20</t>
  </si>
  <si>
    <t>831-20</t>
  </si>
  <si>
    <t>207-20</t>
  </si>
  <si>
    <t>202-20</t>
  </si>
  <si>
    <t>833-20</t>
  </si>
  <si>
    <t>209-20</t>
  </si>
  <si>
    <t>65-20</t>
  </si>
  <si>
    <t>832-20</t>
  </si>
  <si>
    <t>206-20</t>
  </si>
  <si>
    <t>834-20</t>
  </si>
  <si>
    <t>213-20</t>
  </si>
  <si>
    <t>835-20</t>
  </si>
  <si>
    <t>208-20</t>
  </si>
  <si>
    <t>215-20</t>
  </si>
  <si>
    <t>54-20</t>
  </si>
  <si>
    <t>836-20</t>
  </si>
  <si>
    <t>210-20</t>
  </si>
  <si>
    <t>837-20</t>
  </si>
  <si>
    <t>MAGEE</t>
  </si>
  <si>
    <t>KENYA</t>
  </si>
  <si>
    <t>212-20</t>
  </si>
  <si>
    <t>839-20</t>
  </si>
  <si>
    <t>STORY</t>
  </si>
  <si>
    <t>SAMANTHA</t>
  </si>
  <si>
    <t>214-20</t>
  </si>
  <si>
    <t>303-20</t>
  </si>
  <si>
    <t>838-20</t>
  </si>
  <si>
    <t>216-20</t>
  </si>
  <si>
    <t>906-20</t>
  </si>
  <si>
    <t>218-20</t>
  </si>
  <si>
    <t>841-20</t>
  </si>
  <si>
    <t>220-20</t>
  </si>
  <si>
    <t>223-20</t>
  </si>
  <si>
    <t>307-20</t>
  </si>
  <si>
    <t>225-20</t>
  </si>
  <si>
    <t>80-20</t>
  </si>
  <si>
    <t>224-20</t>
  </si>
  <si>
    <t>843-20</t>
  </si>
  <si>
    <t>81-20</t>
  </si>
  <si>
    <t>227-20</t>
  </si>
  <si>
    <t>842-20</t>
  </si>
  <si>
    <t>226-20</t>
  </si>
  <si>
    <t>229-20</t>
  </si>
  <si>
    <t>845-20</t>
  </si>
  <si>
    <t>231-20</t>
  </si>
  <si>
    <t>228-20</t>
  </si>
  <si>
    <t>844-20</t>
  </si>
  <si>
    <t>230-20</t>
  </si>
  <si>
    <t>232-20</t>
  </si>
  <si>
    <t>847-20</t>
  </si>
  <si>
    <t>235-20</t>
  </si>
  <si>
    <t>908-20</t>
  </si>
  <si>
    <t>234-20</t>
  </si>
  <si>
    <t>237-20</t>
  </si>
  <si>
    <t>239-20</t>
  </si>
  <si>
    <t>236-20</t>
  </si>
  <si>
    <t>238-20</t>
  </si>
  <si>
    <t>240-20</t>
  </si>
  <si>
    <t>243-20</t>
  </si>
  <si>
    <t>315-20</t>
  </si>
  <si>
    <t>309-20</t>
  </si>
  <si>
    <t>244-20</t>
  </si>
  <si>
    <t>311-20</t>
  </si>
  <si>
    <t>313-20</t>
  </si>
  <si>
    <t>204:708</t>
  </si>
  <si>
    <t>204:232662</t>
  </si>
  <si>
    <t>204:232685</t>
  </si>
  <si>
    <t>204:232646</t>
  </si>
  <si>
    <t>204:233302</t>
  </si>
  <si>
    <t>204:232979</t>
  </si>
  <si>
    <t>204:232977</t>
  </si>
  <si>
    <t>204:763</t>
  </si>
  <si>
    <t>204:233268</t>
  </si>
  <si>
    <t>204:232953</t>
  </si>
  <si>
    <t>204:233274</t>
  </si>
  <si>
    <t>204:715</t>
  </si>
  <si>
    <t>204:233300</t>
  </si>
  <si>
    <t>204:232965</t>
  </si>
  <si>
    <t>204:233311</t>
  </si>
  <si>
    <t>204:233019</t>
  </si>
  <si>
    <t>204:154007</t>
  </si>
  <si>
    <t>204:233336</t>
  </si>
  <si>
    <t>204:232994</t>
  </si>
  <si>
    <t>204:233310</t>
  </si>
  <si>
    <t>204:127</t>
  </si>
  <si>
    <t>204:233287</t>
  </si>
  <si>
    <t>204:174</t>
  </si>
  <si>
    <t>204:185</t>
  </si>
  <si>
    <t>204:233420</t>
  </si>
  <si>
    <t>204:233094</t>
  </si>
  <si>
    <t>204:233023</t>
  </si>
  <si>
    <t>204:233329</t>
  </si>
  <si>
    <t>204:109</t>
  </si>
  <si>
    <t>204:491</t>
  </si>
  <si>
    <t>204:233264</t>
  </si>
  <si>
    <t>204:232942</t>
  </si>
  <si>
    <t>204:233383</t>
  </si>
  <si>
    <t>204:233087</t>
  </si>
  <si>
    <t>204:233460</t>
  </si>
  <si>
    <t>204:233120</t>
  </si>
  <si>
    <t>204:232978</t>
  </si>
  <si>
    <t>204:1251</t>
  </si>
  <si>
    <t>204:232966</t>
  </si>
  <si>
    <t>204:233299</t>
  </si>
  <si>
    <t>204:178</t>
  </si>
  <si>
    <t>204:131007</t>
  </si>
  <si>
    <t>204:233351</t>
  </si>
  <si>
    <t>204:233053</t>
  </si>
  <si>
    <t>204:232998</t>
  </si>
  <si>
    <t>204:233282</t>
  </si>
  <si>
    <t>204:508</t>
  </si>
  <si>
    <t>204:233261</t>
  </si>
  <si>
    <t>204:233406</t>
  </si>
  <si>
    <t>204:233125</t>
  </si>
  <si>
    <t>204:232963</t>
  </si>
  <si>
    <t>204:20634</t>
  </si>
  <si>
    <t>204:233342</t>
  </si>
  <si>
    <t>204:1145</t>
  </si>
  <si>
    <t>204:232985</t>
  </si>
  <si>
    <t>204:233025</t>
  </si>
  <si>
    <t>204:233247</t>
  </si>
  <si>
    <t>204:103</t>
  </si>
  <si>
    <t>204:233283</t>
  </si>
  <si>
    <t>204:232962</t>
  </si>
  <si>
    <t>204:416</t>
  </si>
  <si>
    <t>204:233416</t>
  </si>
  <si>
    <t>204:233057</t>
  </si>
  <si>
    <t>204:125</t>
  </si>
  <si>
    <t>204:233382</t>
  </si>
  <si>
    <t>204:233397</t>
  </si>
  <si>
    <t>204:233077</t>
  </si>
  <si>
    <t>300:19148</t>
  </si>
  <si>
    <t>300:23116</t>
  </si>
  <si>
    <t>300:23178</t>
  </si>
  <si>
    <t>300:23078</t>
  </si>
  <si>
    <t>300:23030</t>
  </si>
  <si>
    <t>300:23701</t>
  </si>
  <si>
    <t>300:23308</t>
  </si>
  <si>
    <t>300:23449</t>
  </si>
  <si>
    <t>204:411</t>
  </si>
  <si>
    <t>300:23289</t>
  </si>
  <si>
    <t>300:23306</t>
  </si>
  <si>
    <t>300:20407</t>
  </si>
  <si>
    <t>204:61</t>
  </si>
  <si>
    <t>204:366</t>
  </si>
  <si>
    <t>300:24290</t>
  </si>
  <si>
    <t>300:21759</t>
  </si>
  <si>
    <t>204:2030</t>
  </si>
  <si>
    <t>204:1481</t>
  </si>
  <si>
    <t>300:22329</t>
  </si>
  <si>
    <t>204:153</t>
  </si>
  <si>
    <t>300:58691</t>
  </si>
  <si>
    <t>204:622</t>
  </si>
  <si>
    <t>204:922</t>
  </si>
  <si>
    <t>300:59018</t>
  </si>
  <si>
    <t>300:58698</t>
  </si>
  <si>
    <t>204:626</t>
  </si>
  <si>
    <t>300:58702</t>
  </si>
  <si>
    <t>204:673</t>
  </si>
  <si>
    <t>204:920</t>
  </si>
  <si>
    <t>300:58992</t>
  </si>
  <si>
    <t>300:58704</t>
  </si>
  <si>
    <t>204:971</t>
  </si>
  <si>
    <t>300:58918</t>
  </si>
  <si>
    <t>300:58608</t>
  </si>
  <si>
    <t>204:934</t>
  </si>
  <si>
    <t>204:459</t>
  </si>
  <si>
    <t>204:107299</t>
  </si>
  <si>
    <t>204:638</t>
  </si>
  <si>
    <t>204:666</t>
  </si>
  <si>
    <t>300:58909</t>
  </si>
  <si>
    <t>300:58598</t>
  </si>
  <si>
    <t>204:663</t>
  </si>
  <si>
    <t>204:957</t>
  </si>
  <si>
    <t>300:58944</t>
  </si>
  <si>
    <t>204:960</t>
  </si>
  <si>
    <t>300:58922</t>
  </si>
  <si>
    <t>300:58596</t>
  </si>
  <si>
    <t>204:668</t>
  </si>
  <si>
    <t>204:972</t>
  </si>
  <si>
    <t>300:58621</t>
  </si>
  <si>
    <t>204:659</t>
  </si>
  <si>
    <t>204:691</t>
  </si>
  <si>
    <t>204:1025</t>
  </si>
  <si>
    <t>300:58617</t>
  </si>
  <si>
    <t>204:685</t>
  </si>
  <si>
    <t>204:941</t>
  </si>
  <si>
    <t>300:58628</t>
  </si>
  <si>
    <t>204:645</t>
  </si>
  <si>
    <t>204:979</t>
  </si>
  <si>
    <t>300:38887</t>
  </si>
  <si>
    <t>300:58203</t>
  </si>
  <si>
    <t>204:936</t>
  </si>
  <si>
    <t>300:39520</t>
  </si>
  <si>
    <t>300:57322</t>
  </si>
  <si>
    <t>204:661</t>
  </si>
  <si>
    <t>204:965</t>
  </si>
  <si>
    <t>204:953</t>
  </si>
  <si>
    <t>300:58920</t>
  </si>
  <si>
    <t>204:650</t>
  </si>
  <si>
    <t>300:58956</t>
  </si>
  <si>
    <t>300:58638</t>
  </si>
  <si>
    <t>204:664</t>
  </si>
  <si>
    <t>204:948</t>
  </si>
  <si>
    <t>204:675</t>
  </si>
  <si>
    <t>204:657</t>
  </si>
  <si>
    <t>204:964</t>
  </si>
  <si>
    <t>204:955</t>
  </si>
  <si>
    <t>300:29750</t>
  </si>
  <si>
    <t>300:59009</t>
  </si>
  <si>
    <t>204:906</t>
  </si>
  <si>
    <t>300:25438</t>
  </si>
  <si>
    <t>300:23061</t>
  </si>
  <si>
    <t>204:642</t>
  </si>
  <si>
    <t>300:21727</t>
  </si>
  <si>
    <t>300:21825</t>
  </si>
  <si>
    <t>start /low /b %USERPROFILE%\Documents\GitHub\eaglep3\Utilities\DownloadLogsFromS3.py --loco 4028 --day 2017-03-20</t>
  </si>
  <si>
    <t>start /low /b %USERPROFILE%\Documents\GitHub\eaglep3\Utilities\DownloadLogsFromS3.py --loco 4018 --day 2017-03-20</t>
  </si>
  <si>
    <t>start /low /b %USERPROFILE%\Documents\GitHub\eaglep3\Utilities\DownloadLogsFromS3.py --loco 4004 --day 2017-03-20</t>
  </si>
  <si>
    <t>start /low /b %USERPROFILE%\Documents\GitHub\eaglep3\Utilities\DownloadLogsFromS3.py --loco 4040 --day 2017-03-20</t>
  </si>
  <si>
    <t>start /low /b %USERPROFILE%\Documents\GitHub\eaglep3\Utilities\DownloadLogsFromS3.py --loco 4039 --day 2017-03-20</t>
  </si>
  <si>
    <t>start /low /b %USERPROFILE%\Documents\GitHub\eaglep3\Utilities\DownloadLogsFromS3.py --loco 4031 --day 2017-03-20</t>
  </si>
  <si>
    <t>start /low /b %USERPROFILE%\Documents\GitHub\eaglep3\Utilities\DownloadLogsFromS3.py --loco 4022 --day 2017-03-20</t>
  </si>
  <si>
    <t>start /low /b %USERPROFILE%\Documents\GitHub\eaglep3\Utilities\DownloadLogsFromS3.py --loco 4027 --day 2017-03-21</t>
  </si>
  <si>
    <t>start /low /b %USERPROFILE%\Documents\GitHub\eaglep3\Utilities\DownloadLogsFromS3.py --loco 4022 --day 2017-03-21</t>
  </si>
  <si>
    <t>start /low /b %USERPROFILE%\Documents\GitHub\eaglep3\Utilities\DownloadLogsFromS3.py --loco 4003 --day 2017-03-21</t>
  </si>
  <si>
    <t>start /low /b %USERPROFILE%\Documents\GitHub\eaglep3\Utilities\DownloadLogsFromS3.py --loco 4021 --day 2017-03-20</t>
  </si>
  <si>
    <t>start /low /b %USERPROFILE%\Documents\GitHub\eaglep3\Utilities\DownloadLogsFromS3.py --loco 4045 --day 2017-03-20</t>
  </si>
  <si>
    <t>start /low /b %USERPROFILE%\Documents\GitHub\eaglep3\Utilities\DownloadLogsFromS3.py --loco 4017 --day 2017-03-20</t>
  </si>
  <si>
    <t>start /low /b %USERPROFILE%\Documents\GitHub\eaglep3\Utilities\DownloadLogsFromS3.py --loco 4027 --day 2017-03-20</t>
  </si>
  <si>
    <t>start /low /b %USERPROFILE%\Documents\GitHub\eaglep3\Utilities\DownloadLogsFromS3.py --loco 4025 --day 2017-03-20</t>
  </si>
  <si>
    <t>start /low /b %USERPROFILE%\Documents\GitHub\eaglep3\Utilities\DownloadLogsFromS3.py --loco 4026 --day 2017-03-20</t>
  </si>
  <si>
    <t>start /low /b %USERPROFILE%\Documents\GitHub\eaglep3\Utilities\DownloadLogsFromS3.py --loco 4021 --day 2017-03-21</t>
  </si>
  <si>
    <t>start /low /b %USERPROFILE%\Documents\GitHub\eaglep3\Utilities\DownloadLogsFromS3.py --loco 4028 --day 2017-03-21</t>
  </si>
  <si>
    <t>start /low /b %USERPROFILE%\Documents\GitHub\eaglep3\Utilities\DownloadLogsFromS3.py --loco 4032 --day 2017-03-20</t>
  </si>
  <si>
    <t>start /low /b %USERPROFILE%\Documents\GitHub\eaglep3\Utilities\DownloadLogsFromS3.py --loco 4039 --day 2017-03-21</t>
  </si>
  <si>
    <t>NW0483 ELXS hardware failure</t>
  </si>
  <si>
    <t>DTO efficiency test</t>
  </si>
  <si>
    <t>DUS 28S STOP</t>
  </si>
  <si>
    <t>Cancelled due to door issues</t>
  </si>
  <si>
    <t>Delayed by onboard in-route failure</t>
  </si>
  <si>
    <t>http://stevetu21.github.io/eaglep3/load_kml.html?kml=http://rtdc.gmaps-snips.s3.amazonaws.com/207086b3-cd20-4c13-82a6-37f9914126ff.kml
No issues found within nomad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</si>
</sst>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8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  <xf numFmtId="169" fontId="24" fillId="0" borderId="0" applyNumberFormat="0" applyFill="0" applyBorder="0" applyAlignment="0" applyProtection="0"/>
  </cellStyleXfs>
  <cellXfs count="22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24" fillId="0" borderId="0" xfId="7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8">
    <cellStyle name="Calculation" xfId="6" builtinId="22"/>
    <cellStyle name="Hyperlink" xfId="7" builtinId="8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207086b3-cd20-4c13-82a6-37f9914126ff.kmlNo%20issues%20found%20within%20nomad%20status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4"/>
  <sheetViews>
    <sheetView tabSelected="1" workbookViewId="0"/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42814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42814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46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COUNTIFS($N$13:$N$9333,"&gt;0",$AG$13:$AG$9333,I1)</f>
        <v>142</v>
      </c>
      <c r="K5" s="40"/>
      <c r="L5" s="40"/>
      <c r="M5" s="41">
        <f>AVERAGEIFS($N$13:$N$9333,$AG$13:$AG$9333,I1)</f>
        <v>39.13051643232572</v>
      </c>
      <c r="N5" s="39">
        <f t="array" ref="N5">MIN(IF($AG$13:$AG$9333=I1,IF(ISNUMBER($N$13:$N$9333),IF($N$13:$N$9333&gt;0,$N$13:$N$9333))))</f>
        <v>34.750000003259629</v>
      </c>
      <c r="O5" s="3">
        <f t="array" ref="O5">MAX(IF($AG$13:$AG$9333=I1,IF(ISNUMBER($N$13:$N$9333),IF($N$13:$N$9333&gt;0,$N$13:$N$9333))))</f>
        <v>53.483333336189389</v>
      </c>
      <c r="P5" s="2"/>
      <c r="R5" s="74" t="s">
        <v>17</v>
      </c>
      <c r="S5" s="50">
        <f>COUNTIFS($N$13:$N$9333,"&gt;0",$AG$13:$AG$9333,R1)</f>
        <v>43</v>
      </c>
      <c r="T5" s="40"/>
      <c r="U5" s="177"/>
      <c r="V5" s="174">
        <f>AVERAGEIFS($N$13:$N$9333,$AG$13:$AG$9333,R1)</f>
        <v>15.198062015913946</v>
      </c>
      <c r="W5" s="175">
        <f t="array" ref="W5">MIN(IF($AG$13:$AG$9333=R1,IF(ISNUMBER($N$13:$N$9333),IF($N$13:$N$9333&gt;0,$N$13:$N$9333))))</f>
        <v>12.433333337539807</v>
      </c>
      <c r="X5" s="176">
        <f t="array" ref="X5">MAX(IF($AG$13:$AG$9333=R1,IF(ISNUMBER($N$13:$N$9333),IF($N$13:$N$9333&gt;0,$N$13:$N$9333))))</f>
        <v>21.050000006798655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COUNT($O$13:$O$117)</f>
        <v>0</v>
      </c>
      <c r="K6" s="40"/>
      <c r="L6" s="40"/>
      <c r="M6" s="41">
        <f>IFERROR(AVERAGE($O$13:$O$117),0)</f>
        <v>0</v>
      </c>
      <c r="N6" s="39">
        <f>MIN($O$13:$O$117)</f>
        <v>0</v>
      </c>
      <c r="O6" s="3">
        <f>MAX($O$13:$O$117)</f>
        <v>0</v>
      </c>
      <c r="P6" s="2"/>
      <c r="R6" s="75" t="s">
        <v>43</v>
      </c>
      <c r="S6" s="50">
        <f>COUNT($O$13:$O$117)</f>
        <v>0</v>
      </c>
      <c r="T6" s="40"/>
      <c r="U6" s="177"/>
      <c r="V6" s="174">
        <f>IFERROR(AVERAGE($O$13:$O$117),0)</f>
        <v>0</v>
      </c>
      <c r="W6" s="175">
        <f>MIN($O$13:$O$117)</f>
        <v>0</v>
      </c>
      <c r="X6" s="176">
        <f>MAX($O$13:$O$117)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COUNTIFS($P$13:$P$9333,"&gt;0",$AG$13:$AG$9333,I1)</f>
        <v>2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COUNTIFS($P$13:$P$9333,"&gt;0",$AG$13:$AG$9333,R1)</f>
        <v>3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142</v>
      </c>
      <c r="K8" s="40"/>
      <c r="L8" s="40"/>
      <c r="M8" s="41">
        <f>M5</f>
        <v>39.13051643232572</v>
      </c>
      <c r="N8" s="39">
        <f>N5</f>
        <v>34.750000003259629</v>
      </c>
      <c r="O8" s="3">
        <f>O5</f>
        <v>53.483333336189389</v>
      </c>
      <c r="P8" s="2"/>
      <c r="R8" s="74" t="s">
        <v>16</v>
      </c>
      <c r="S8" s="50">
        <f>S5</f>
        <v>43</v>
      </c>
      <c r="T8" s="40"/>
      <c r="U8" s="177"/>
      <c r="V8" s="174">
        <f>V5</f>
        <v>15.198062015913946</v>
      </c>
      <c r="W8" s="175">
        <f>W5</f>
        <v>12.433333337539807</v>
      </c>
      <c r="X8" s="176">
        <f>X5</f>
        <v>21.050000006798655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0.98611111111111116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0.93478260869565222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224" t="str">
        <f>"Eagle P3 System Performance - "&amp;TEXT(Variables!A2,"yyyy-mm-dd")</f>
        <v>Eagle P3 System Performance - 2017-03-20</v>
      </c>
      <c r="B11" s="224"/>
      <c r="C11" s="224"/>
      <c r="D11" s="224"/>
      <c r="E11" s="224"/>
      <c r="F11" s="224"/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S11" s="64">
        <f>AVERAGE(S13:S87)</f>
        <v>1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202</v>
      </c>
      <c r="AN12" s="47" t="s">
        <v>206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648</v>
      </c>
      <c r="B13" s="7">
        <v>4022</v>
      </c>
      <c r="C13" s="21" t="s">
        <v>222</v>
      </c>
      <c r="D13" s="21" t="s">
        <v>837</v>
      </c>
      <c r="E13" s="13">
        <v>42814.126643518517</v>
      </c>
      <c r="F13" s="13">
        <v>42814.135625000003</v>
      </c>
      <c r="G13" s="7">
        <v>1</v>
      </c>
      <c r="H13" s="21" t="s">
        <v>224</v>
      </c>
      <c r="I13" s="13">
        <v>42814.160208333335</v>
      </c>
      <c r="J13" s="7">
        <v>0</v>
      </c>
      <c r="K13" s="98" t="str">
        <f t="shared" ref="K13:K76" si="0">IF(ISEVEN(B13),(B13-1)&amp;"/"&amp;B13,B13&amp;"/"&amp;(B13+1))</f>
        <v>4021/4022</v>
      </c>
      <c r="L13" s="21" t="str">
        <f>VLOOKUP(A13,'Trips&amp;Operators'!$C$1:$G$99999,5,FALSE)</f>
        <v>SANTIZO D. EDY</v>
      </c>
      <c r="M13" s="6">
        <f t="shared" ref="M13:M76" si="1">I13-F13</f>
        <v>2.4583333331975155E-2</v>
      </c>
      <c r="N13" s="7">
        <f t="shared" ref="N13:N45" si="2">24*60*SUM($M13:$M13)</f>
        <v>35.399999998044223</v>
      </c>
      <c r="O13" s="7"/>
      <c r="P13" s="7"/>
      <c r="Q13" s="22"/>
      <c r="R13" s="22"/>
      <c r="S13" s="31">
        <f t="shared" ref="S13:S44" si="3">SUM(U13:U13)/IF(AG13="EC",12,1)</f>
        <v>1</v>
      </c>
      <c r="T13" s="46" t="str">
        <f t="shared" ref="T13:T76" si="4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-20T02:02:22-0600',mode:absolute,to:'2017-03-20T04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" s="187" t="str">
        <f t="shared" ref="W13:W76" si="6">IF(AA13&lt;IF(AG13="EC",23,5.65),"Y","N")</f>
        <v>N</v>
      </c>
      <c r="X13" s="187" t="e">
        <f t="shared" ref="X13:X44" si="7">VALUE(LEFT(AD13,4))-VALUE(LEFT(AD12,4))</f>
        <v>#VALUE!</v>
      </c>
      <c r="Y13" s="62">
        <f t="shared" ref="Y13:Y76" si="8">RIGHT(D13,LEN(D13)-4)/10000</f>
        <v>7.0800000000000002E-2</v>
      </c>
      <c r="Z13" s="62">
        <f t="shared" ref="Z13:Z44" si="9">RIGHT(H13,LEN(H13)-4)/10000</f>
        <v>23.329699999999999</v>
      </c>
      <c r="AA13" s="62">
        <f t="shared" ref="AA13:AA76" si="10">ABS(Z13-Y13)</f>
        <v>23.258900000000001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0101-20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AF13" s="82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/stypes="app*4022*20170320*" /stext=" 09:.+((SYSTEM_STATE.+slice.+state.+changed )|(ment ac)|(multiple cpu faults)|(system.+state.+changed )|(\[timeout)|(PRM\|1\|D)|(kpr)|(kdp)|(\|lc)|(penalty))"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101-20 --locoid 4022 --swversion DE.1.0.9.0 --startMP 204:708 --initTime 2017-03-20T03:02:22 --startdatetime 2017-03-20T03:15:18 --delay 1 --endMP 204:233297 --enddatetime 2017-03-20T03:50:42 --enforcementcount 0 &gt;&gt;C:\Users\stu\Documents\GitHub\eaglep3-reporting\EC\2017-03-20-refined-times.txt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{"issue":{"subject":"","project_id":79,"tracker_id":40,"status_id":1,"priority_id":2,"assigned_to_id":23,"start_date":"2017-03-20","description":"","custom_fields":[{"id":1,"name":"Subdivision","value":"EC"},{"id":4,"name":"Milepost","value":"23.3297"},{"id":17,"name":"Train ID","value":"101-20"},{"id":16,"name":"Locomotive ID","value":"4022"},{"id":130,"name":"Impact","value":""},{"id":150,"name":"Time of Event (Mountain Time)","value":"03:50:42"},{"id":151,"name":"Denver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7">"start /low /b "&amp;dls3logs&amp;" --loco "&amp;B13&amp;" --day "&amp;TEXT(F13,"YYYY-MM-DD")</f>
        <v>start /low /b %USERPROFILE%\Documents\GitHub\eaglep3\Utilities\DownloadLogsFromS3.py --loco 4022 --day 2017-03-20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"%USERPROFILE%\AppData\Local\Temp\OnboardLogs"\RTDC4022\*4022*20170320* | grep -SE "(Enforcement Action)|(\[TIMEOUT)|(CHR.+\|PRM\|1\|D.+(SWITCH|SIGNAL).+UNKNOWN)" - &gt;&gt; 2017-03-20-UncaughtWiMAX.txt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651</v>
      </c>
      <c r="B14" s="7">
        <v>4017</v>
      </c>
      <c r="C14" s="21" t="s">
        <v>222</v>
      </c>
      <c r="D14" s="21" t="s">
        <v>838</v>
      </c>
      <c r="E14" s="13">
        <v>42814.162766203706</v>
      </c>
      <c r="F14" s="13">
        <v>42814.174490740741</v>
      </c>
      <c r="G14" s="7">
        <v>1</v>
      </c>
      <c r="H14" s="21" t="s">
        <v>410</v>
      </c>
      <c r="I14" s="13">
        <v>42814.200694444444</v>
      </c>
      <c r="J14" s="7">
        <v>0</v>
      </c>
      <c r="K14" s="98" t="str">
        <f t="shared" si="0"/>
        <v>4017/4018</v>
      </c>
      <c r="L14" s="21" t="str">
        <f>VLOOKUP(A14,'Trips&amp;Operators'!$C$1:$G$99999,5,FALSE)</f>
        <v>SANTIZO D. EDY</v>
      </c>
      <c r="M14" s="6">
        <f t="shared" si="1"/>
        <v>2.6203703702776693E-2</v>
      </c>
      <c r="N14" s="7">
        <f t="shared" si="2"/>
        <v>37.733333331998438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5"/>
        <v>https://d0f6bd738d7f1b3e5a7ca70fe4ff75f0.us-east-1.aws.found.io/app/kibana#/discover/Steve-Slow-Train-Analysis-(2080s-and-2083s)?_g=(refreshInterval:(display:Off,pause:!f,section:0,value:0),time:(from:'2017-03-20T02:54:23-0600',mode:absolute,to:'2017-03-20T05:49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" s="187" t="str">
        <f t="shared" si="6"/>
        <v>N</v>
      </c>
      <c r="X14" s="187">
        <f t="shared" si="7"/>
        <v>1</v>
      </c>
      <c r="Y14" s="62">
        <f t="shared" si="8"/>
        <v>23.266200000000001</v>
      </c>
      <c r="Z14" s="62">
        <f t="shared" si="9"/>
        <v>1.6299999999999999E-2</v>
      </c>
      <c r="AA14" s="62">
        <f t="shared" si="10"/>
        <v>23.2499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0102-20</v>
      </c>
      <c r="AE14" s="85" t="str">
        <f t="shared" si="12"/>
        <v>aws s3 cp s3://rtdc.mdm.uploadarchive.raw/RTDC4017/ "%USERPROFILE%\AppData\Local\Temp\OnboardLogs"\RTDC4017\2017-03-20 --exclude "*" --recursive --include "*20170320*" &amp; "%USERPROFILE%\Documents\GitHub\mrs-test-scripts\Headless Mode &amp; Sideloading\WalkAndUnGZ.bat" "%USERPROFILE%\AppData\Local\Temp\OnboardLogs"\RTDC4017\2017-03-20 &amp; aws s3 cp s3://rtdc.mdm.uploadarchive.raw/RTDC4017/ "%USERPROFILE%\AppData\Local\Temp\OnboardLogs"\RTDC4017\2017-03-21 --exclude "*" --recursive --include "*20170321*" &amp; "%USERPROFILE%\Documents\GitHub\mrs-test-scripts\Headless Mode &amp; Sideloading\WalkAndUnGZ.bat" "%USERPROFILE%\AppData\Local\Temp\OnboardLogs"\RTDC4017\2017-03-21</v>
      </c>
      <c r="AF14" s="82" t="str">
        <f t="shared" si="13"/>
        <v>"C:\Program Files (x86)\AstroGrep\AstroGrep.exe" /e /r /s /spath="%USERPROFILE%\AppData\Local\Temp\OnboardLogs" /stypes="app*4017*20170320*"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102-20 --locoid 4017 --swversion DE.1.0.9.0 --startMP 204:232662 --initTime 2017-03-20T03:54:23 --startdatetime 2017-03-20T04:11:16 --delay 1 --endMP 204:163 --enddatetime 2017-03-20T04:49:00 --enforcementcount 0 &gt;&gt;C:\Users\stu\Documents\GitHub\eaglep3-reporting\EC\2017-03-20-refined-times.txt</v>
      </c>
      <c r="AI14" s="108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{"issue":{"subject":"","project_id":79,"tracker_id":40,"status_id":1,"priority_id":2,"assigned_to_id":23,"start_date":"2017-03-20","description":"","custom_fields":[{"id":1,"name":"Subdivision","value":"EC"},{"id":4,"name":"Milepost","value":"0.0163"},{"id":17,"name":"Train ID","value":"102-20"},{"id":16,"name":"Locomotive ID","value":"4017"},{"id":130,"name":"Impact","value":""},{"id":150,"name":"Time of Event (Mountain Time)","value":"04:49:00"},{"id":151,"name":"Denver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20">"start /low /b "&amp;dls3logs&amp;" --loco "&amp;B14&amp;" --day "&amp;TEXT(F14,"YYYY-MM-DD")</f>
        <v>start /low /b %USERPROFILE%\Documents\GitHub\eaglep3\Utilities\DownloadLogsFromS3.py --loco 4017 --day 2017-03-20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"%USERPROFILE%\AppData\Local\Temp\OnboardLogs"\RTDC4017\*4017*20170320* | grep -SE "(Enforcement Action)|(\[TIMEOUT)|(CHR.+\|PRM\|1\|D.+(SWITCH|SIGNAL).+UNKNOWN)" - &gt;&gt; 2017-03-20-UncaughtWiMAX.txt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650</v>
      </c>
      <c r="B15" s="7">
        <v>4046</v>
      </c>
      <c r="C15" s="21" t="s">
        <v>222</v>
      </c>
      <c r="D15" s="21" t="s">
        <v>451</v>
      </c>
      <c r="E15" s="13">
        <v>42814.149282407408</v>
      </c>
      <c r="F15" s="13">
        <v>42814.156527777777</v>
      </c>
      <c r="G15" s="7">
        <v>1</v>
      </c>
      <c r="H15" s="21" t="s">
        <v>563</v>
      </c>
      <c r="I15" s="13">
        <v>42814.181643518517</v>
      </c>
      <c r="J15" s="7">
        <v>0</v>
      </c>
      <c r="K15" s="98" t="str">
        <f t="shared" si="0"/>
        <v>4045/4046</v>
      </c>
      <c r="L15" s="21" t="str">
        <f>VLOOKUP(A15,'Trips&amp;Operators'!$C$1:$G$99999,5,FALSE)</f>
        <v>MAELZER KURT</v>
      </c>
      <c r="M15" s="6">
        <f t="shared" si="1"/>
        <v>2.5115740740147885E-2</v>
      </c>
      <c r="N15" s="7">
        <f t="shared" si="2"/>
        <v>36.166666665812954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5"/>
        <v>https://d0f6bd738d7f1b3e5a7ca70fe4ff75f0.us-east-1.aws.found.io/app/kibana#/discover/Steve-Slow-Train-Analysis-(2080s-and-2083s)?_g=(refreshInterval:(display:Off,pause:!f,section:0,value:0),time:(from:'2017-03-20T02:34:58-0600',mode:absolute,to:'2017-03-20T05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" s="187" t="str">
        <f t="shared" si="6"/>
        <v>N</v>
      </c>
      <c r="X15" s="187">
        <f t="shared" si="7"/>
        <v>1</v>
      </c>
      <c r="Y15" s="62">
        <f t="shared" si="8"/>
        <v>7.4099999999999999E-2</v>
      </c>
      <c r="Z15" s="62">
        <f t="shared" si="9"/>
        <v>23.332100000000001</v>
      </c>
      <c r="AA15" s="62">
        <f t="shared" si="10"/>
        <v>23.257999999999999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0103-20</v>
      </c>
      <c r="AE15" s="85" t="str">
        <f t="shared" si="12"/>
        <v>aws s3 cp s3://rtdc.mdm.uploadarchive.raw/RTDC4046/ "%USERPROFILE%\AppData\Local\Temp\OnboardLogs"\RTDC4046\2017-03-20 --exclude "*" --recursive --include "*20170320*" &amp; "%USERPROFILE%\Documents\GitHub\mrs-test-scripts\Headless Mode &amp; Sideloading\WalkAndUnGZ.bat" "%USERPROFILE%\AppData\Local\Temp\OnboardLogs"\RTDC4046\2017-03-20 &amp; aws s3 cp s3://rtdc.mdm.uploadarchive.raw/RTDC4046/ "%USERPROFILE%\AppData\Local\Temp\OnboardLogs"\RTDC4046\2017-03-21 --exclude "*" --recursive --include "*20170321*" &amp; "%USERPROFILE%\Documents\GitHub\mrs-test-scripts\Headless Mode &amp; Sideloading\WalkAndUnGZ.bat" "%USERPROFILE%\AppData\Local\Temp\OnboardLogs"\RTDC4046\2017-03-21</v>
      </c>
      <c r="AF15" s="82" t="str">
        <f t="shared" si="13"/>
        <v>"C:\Program Files (x86)\AstroGrep\AstroGrep.exe" /e /r /s /spath="%USERPROFILE%\AppData\Local\Temp\OnboardLogs" /stypes="app*4046*20170320*" /stext=" 10:.+((SYSTEM_STATE.+slice.+state.+changed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8"/>
        <v>"%USERPROFILE%\Documents\GitHub\eaglep3\Utilities\RefineRTDCRunTimes.py" --tripid 103-20 --locoid 4046 --swversion DE.1.0.9.0 --startMP 204:741 --initTime 2017-03-20T03:34:58 --startdatetime 2017-03-20T03:45:24 --delay 1 --endMP 204:233321 --enddatetime 2017-03-20T04:21:34 --enforcementcount 0 &gt;&gt;C:\Users\stu\Documents\GitHub\eaglep3-reporting\EC\2017-03-20-refined-times.txt</v>
      </c>
      <c r="AI15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{"issue":{"subject":"","project_id":79,"tracker_id":40,"status_id":1,"priority_id":2,"assigned_to_id":23,"start_date":"2017-03-20","description":"","custom_fields":[{"id":1,"name":"Subdivision","value":"EC"},{"id":4,"name":"Milepost","value":"23.3321"},{"id":17,"name":"Train ID","value":"103-20"},{"id":16,"name":"Locomotive ID","value":"4046"},{"id":130,"name":"Impact","value":""},{"id":150,"name":"Time of Event (Mountain Time)","value":"04:21:34"},{"id":151,"name":"Denver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4046 --day 2017-03-20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"%USERPROFILE%\AppData\Local\Temp\OnboardLogs"\RTDC4046\*4046*20170320* | grep -SE "(Enforcement Action)|(\[TIMEOUT)|(CHR.+\|PRM\|1\|D.+(SWITCH|SIGNAL).+UNKNOWN)" - &gt;&gt; 2017-03-20-UncaughtWiMAX.txt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663</v>
      </c>
      <c r="B16" s="7">
        <v>4026</v>
      </c>
      <c r="C16" s="21" t="s">
        <v>222</v>
      </c>
      <c r="D16" s="21" t="s">
        <v>839</v>
      </c>
      <c r="E16" s="13">
        <v>42814.188356481478</v>
      </c>
      <c r="F16" s="13">
        <v>42814.195509259262</v>
      </c>
      <c r="G16" s="7">
        <v>1</v>
      </c>
      <c r="H16" s="21" t="s">
        <v>398</v>
      </c>
      <c r="I16" s="13">
        <v>42814.222743055558</v>
      </c>
      <c r="J16" s="7">
        <v>0</v>
      </c>
      <c r="K16" s="98" t="str">
        <f t="shared" si="0"/>
        <v>4025/4026</v>
      </c>
      <c r="L16" s="21" t="str">
        <f>VLOOKUP(A16,'Trips&amp;Operators'!$C$1:$G$99999,5,FALSE)</f>
        <v>MAELZER KURT</v>
      </c>
      <c r="M16" s="6">
        <f t="shared" si="1"/>
        <v>2.7233796296059154E-2</v>
      </c>
      <c r="N16" s="7">
        <f t="shared" si="2"/>
        <v>39.216666666325182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5"/>
        <v>https://d0f6bd738d7f1b3e5a7ca70fe4ff75f0.us-east-1.aws.found.io/app/kibana#/discover/Steve-Slow-Train-Analysis-(2080s-and-2083s)?_g=(refreshInterval:(display:Off,pause:!f,section:0,value:0),time:(from:'2017-03-20T03:31:14-0600',mode:absolute,to:'2017-03-20T06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" s="187" t="str">
        <f t="shared" si="6"/>
        <v>N</v>
      </c>
      <c r="X16" s="187">
        <f t="shared" si="7"/>
        <v>1</v>
      </c>
      <c r="Y16" s="62">
        <f t="shared" si="8"/>
        <v>23.2685</v>
      </c>
      <c r="Z16" s="62">
        <f t="shared" si="9"/>
        <v>1.38E-2</v>
      </c>
      <c r="AA16" s="62">
        <f t="shared" si="10"/>
        <v>23.2547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0104-20</v>
      </c>
      <c r="AE16" s="85" t="str">
        <f t="shared" si="12"/>
        <v>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 &amp; 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</v>
      </c>
      <c r="AF16" s="82" t="str">
        <f t="shared" si="13"/>
        <v>"C:\Program Files (x86)\AstroGrep\AstroGrep.exe" /e /r /s /spath="%USERPROFILE%\AppData\Local\Temp\OnboardLogs" /stypes="app*4026*20170320*"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8"/>
        <v>"%USERPROFILE%\Documents\GitHub\eaglep3\Utilities\RefineRTDCRunTimes.py" --tripid 104-20 --locoid 4026 --swversion DE.1.0.9.0 --startMP 204:232685 --initTime 2017-03-20T04:31:14 --startdatetime 2017-03-20T04:41:32 --delay 1 --endMP 204:138 --enddatetime 2017-03-20T05:20:45 --enforcementcount 0 &gt;&gt;C:\Users\stu\Documents\GitHub\eaglep3-reporting\EC\2017-03-20-refined-times.txt</v>
      </c>
      <c r="AI16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{"issue":{"subject":"","project_id":79,"tracker_id":40,"status_id":1,"priority_id":2,"assigned_to_id":23,"start_date":"2017-03-20","description":"","custom_fields":[{"id":1,"name":"Subdivision","value":"EC"},{"id":4,"name":"Milepost","value":"0.0138"},{"id":17,"name":"Train ID","value":"104-20"},{"id":16,"name":"Locomotive ID","value":"4026"},{"id":130,"name":"Impact","value":""},{"id":150,"name":"Time of Event (Mountain Time)","value":"05:20:45"},{"id":151,"name":"Denver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4026 --day 2017-03-20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"%USERPROFILE%\AppData\Local\Temp\OnboardLogs"\RTDC4026\*4026*20170320* | grep -SE "(Enforcement Action)|(\[TIMEOUT)|(CHR.+\|PRM\|1\|D.+(SWITCH|SIGNAL).+UNKNOWN)" - &gt;&gt; 2017-03-20-UncaughtWiMAX.txt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658</v>
      </c>
      <c r="B17" s="7">
        <v>4027</v>
      </c>
      <c r="C17" s="21" t="s">
        <v>222</v>
      </c>
      <c r="D17" s="21" t="s">
        <v>555</v>
      </c>
      <c r="E17" s="13">
        <v>42814.175520833334</v>
      </c>
      <c r="F17" s="13">
        <v>42814.177349537036</v>
      </c>
      <c r="G17" s="7">
        <v>1</v>
      </c>
      <c r="H17" s="21" t="s">
        <v>228</v>
      </c>
      <c r="I17" s="13">
        <v>42814.202476851853</v>
      </c>
      <c r="J17" s="7">
        <v>0</v>
      </c>
      <c r="K17" s="98" t="str">
        <f t="shared" si="0"/>
        <v>4027/4028</v>
      </c>
      <c r="L17" s="21" t="str">
        <f>VLOOKUP(A17,'Trips&amp;Operators'!$C$1:$G$99999,5,FALSE)</f>
        <v>STARKS ANGELINA</v>
      </c>
      <c r="M17" s="6">
        <f t="shared" si="1"/>
        <v>2.5127314816927537E-2</v>
      </c>
      <c r="N17" s="7">
        <f t="shared" si="2"/>
        <v>36.183333336375654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5"/>
        <v>https://d0f6bd738d7f1b3e5a7ca70fe4ff75f0.us-east-1.aws.found.io/app/kibana#/discover/Steve-Slow-Train-Analysis-(2080s-and-2083s)?_g=(refreshInterval:(display:Off,pause:!f,section:0,value:0),time:(from:'2017-03-20T03:12:45-0600',mode:absolute,to:'2017-03-20T05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" s="187" t="str">
        <f t="shared" si="6"/>
        <v>N</v>
      </c>
      <c r="X17" s="187">
        <f t="shared" si="7"/>
        <v>1</v>
      </c>
      <c r="Y17" s="62">
        <f t="shared" si="8"/>
        <v>7.3700000000000002E-2</v>
      </c>
      <c r="Z17" s="62">
        <f t="shared" si="9"/>
        <v>23.329499999999999</v>
      </c>
      <c r="AA17" s="62">
        <f t="shared" si="10"/>
        <v>23.255800000000001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0105-20</v>
      </c>
      <c r="AE17" s="85" t="str">
        <f t="shared" si="12"/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AF17" s="82" t="str">
        <f t="shared" si="13"/>
        <v>"C:\Program Files (x86)\AstroGrep\AstroGrep.exe" /e /r /s /spath="%USERPROFILE%\AppData\Local\Temp\OnboardLogs" /stypes="app*4027*20170320*"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8"/>
        <v>"%USERPROFILE%\Documents\GitHub\eaglep3\Utilities\RefineRTDCRunTimes.py" --tripid 105-20 --locoid 4027 --swversion DE.1.0.9.0 --startMP 204:737 --initTime 2017-03-20T04:12:45 --startdatetime 2017-03-20T04:15:23 --delay 1 --endMP 204:233295 --enddatetime 2017-03-20T04:51:34 --enforcementcount 0 &gt;&gt;C:\Users\stu\Documents\GitHub\eaglep3-reporting\EC\2017-03-20-refined-times.txt</v>
      </c>
      <c r="AI17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{"issue":{"subject":"","project_id":79,"tracker_id":40,"status_id":1,"priority_id":2,"assigned_to_id":23,"start_date":"2017-03-20","description":"","custom_fields":[{"id":1,"name":"Subdivision","value":"EC"},{"id":4,"name":"Milepost","value":"23.3295"},{"id":17,"name":"Train ID","value":"105-20"},{"id":16,"name":"Locomotive ID","value":"4027"},{"id":130,"name":"Impact","value":""},{"id":150,"name":"Time of Event (Mountain Time)","value":"04:51:34"},{"id":151,"name":"Denver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4027 --day 2017-03-20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"%USERPROFILE%\AppData\Local\Temp\OnboardLogs"\RTDC4027\*4027*20170320* | grep -SE "(Enforcement Action)|(\[TIMEOUT)|(CHR.+\|PRM\|1\|D.+(SWITCH|SIGNAL).+UNKNOWN)" - &gt;&gt; 2017-03-20-UncaughtWiMAX.txt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671</v>
      </c>
      <c r="B18" s="7">
        <v>4012</v>
      </c>
      <c r="C18" s="21" t="s">
        <v>222</v>
      </c>
      <c r="D18" s="21" t="s">
        <v>840</v>
      </c>
      <c r="E18" s="13">
        <v>42814.214537037034</v>
      </c>
      <c r="F18" s="13">
        <v>42814.216168981482</v>
      </c>
      <c r="G18" s="7">
        <v>1</v>
      </c>
      <c r="H18" s="21" t="s">
        <v>205</v>
      </c>
      <c r="I18" s="13">
        <v>42814.244456018518</v>
      </c>
      <c r="J18" s="7">
        <v>0</v>
      </c>
      <c r="K18" s="98" t="str">
        <f t="shared" si="0"/>
        <v>4011/4012</v>
      </c>
      <c r="L18" s="21" t="str">
        <f>VLOOKUP(A18,'Trips&amp;Operators'!$C$1:$G$99999,5,FALSE)</f>
        <v>STARKS ANGELINA</v>
      </c>
      <c r="M18" s="6">
        <f t="shared" si="1"/>
        <v>2.8287037035624962E-2</v>
      </c>
      <c r="N18" s="7">
        <f t="shared" si="2"/>
        <v>40.733333331299946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5"/>
        <v>https://d0f6bd738d7f1b3e5a7ca70fe4ff75f0.us-east-1.aws.found.io/app/kibana#/discover/Steve-Slow-Train-Analysis-(2080s-and-2083s)?_g=(refreshInterval:(display:Off,pause:!f,section:0,value:0),time:(from:'2017-03-20T04:08:56-0600',mode:absolute,to:'2017-03-20T06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" s="187" t="str">
        <f t="shared" si="6"/>
        <v>N</v>
      </c>
      <c r="X18" s="187">
        <f t="shared" si="7"/>
        <v>1</v>
      </c>
      <c r="Y18" s="62">
        <f t="shared" si="8"/>
        <v>23.264600000000002</v>
      </c>
      <c r="Z18" s="62">
        <f t="shared" si="9"/>
        <v>1.54E-2</v>
      </c>
      <c r="AA18" s="62">
        <f t="shared" si="10"/>
        <v>23.249200000000002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0106-20</v>
      </c>
      <c r="AE18" s="85" t="str">
        <f t="shared" si="12"/>
        <v>aws s3 cp s3://rtdc.mdm.uploadarchive.raw/RTDC4012/ "%USERPROFILE%\AppData\Local\Temp\OnboardLogs"\RTDC4012\2017-03-20 --exclude "*" --recursive --include "*20170320*" &amp; "%USERPROFILE%\Documents\GitHub\mrs-test-scripts\Headless Mode &amp; Sideloading\WalkAndUnGZ.bat" "%USERPROFILE%\AppData\Local\Temp\OnboardLogs"\RTDC4012\2017-03-20 &amp; aws s3 cp s3://rtdc.mdm.uploadarchive.raw/RTDC4012/ "%USERPROFILE%\AppData\Local\Temp\OnboardLogs"\RTDC4012\2017-03-21 --exclude "*" --recursive --include "*20170321*" &amp; "%USERPROFILE%\Documents\GitHub\mrs-test-scripts\Headless Mode &amp; Sideloading\WalkAndUnGZ.bat" "%USERPROFILE%\AppData\Local\Temp\OnboardLogs"\RTDC4012\2017-03-21</v>
      </c>
      <c r="AF18" s="82" t="str">
        <f t="shared" si="13"/>
        <v>"C:\Program Files (x86)\AstroGrep\AstroGrep.exe" /e /r /s /spath="%USERPROFILE%\AppData\Local\Temp\OnboardLogs" /stypes="app*4012*20170320*"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8"/>
        <v>"%USERPROFILE%\Documents\GitHub\eaglep3\Utilities\RefineRTDCRunTimes.py" --tripid 106-20 --locoid 4012 --swversion DE.1.0.9.0 --startMP 204:232646 --initTime 2017-03-20T05:08:56 --startdatetime 2017-03-20T05:11:17 --delay 1 --endMP 204:154 --enddatetime 2017-03-20T05:52:01 --enforcementcount 0 &gt;&gt;C:\Users\stu\Documents\GitHub\eaglep3-reporting\EC\2017-03-20-refined-times.txt</v>
      </c>
      <c r="AI18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{"issue":{"subject":"","project_id":79,"tracker_id":40,"status_id":1,"priority_id":2,"assigned_to_id":23,"start_date":"2017-03-20","description":"","custom_fields":[{"id":1,"name":"Subdivision","value":"EC"},{"id":4,"name":"Milepost","value":"0.0154"},{"id":17,"name":"Train ID","value":"106-20"},{"id":16,"name":"Locomotive ID","value":"4012"},{"id":130,"name":"Impact","value":""},{"id":150,"name":"Time of Event (Mountain Time)","value":"05:52:01"},{"id":151,"name":"Denver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4012 --day 2017-03-20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"%USERPROFILE%\AppData\Local\Temp\OnboardLogs"\RTDC4012\*4012*20170320* | grep -SE "(Enforcement Action)|(\[TIMEOUT)|(CHR.+\|PRM\|1\|D.+(SWITCH|SIGNAL).+UNKNOWN)" - &gt;&gt; 2017-03-20-UncaughtWiMAX.txt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659</v>
      </c>
      <c r="B19" s="7">
        <v>4003</v>
      </c>
      <c r="C19" s="21" t="s">
        <v>222</v>
      </c>
      <c r="D19" s="21" t="s">
        <v>230</v>
      </c>
      <c r="E19" s="13">
        <v>42814.179629629631</v>
      </c>
      <c r="F19" s="13">
        <v>42814.187662037039</v>
      </c>
      <c r="G19" s="7">
        <v>1</v>
      </c>
      <c r="H19" s="21" t="s">
        <v>841</v>
      </c>
      <c r="I19" s="13">
        <v>42814.21465277778</v>
      </c>
      <c r="J19" s="7">
        <v>0</v>
      </c>
      <c r="K19" s="98" t="str">
        <f t="shared" si="0"/>
        <v>4003/4004</v>
      </c>
      <c r="L19" s="21" t="str">
        <f>VLOOKUP(A19,'Trips&amp;Operators'!$C$1:$G$99999,5,FALSE)</f>
        <v>GUZMAN DANNY</v>
      </c>
      <c r="M19" s="6">
        <f t="shared" si="1"/>
        <v>2.6990740741894115E-2</v>
      </c>
      <c r="N19" s="7">
        <f t="shared" si="2"/>
        <v>38.866666668327525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5"/>
        <v>https://d0f6bd738d7f1b3e5a7ca70fe4ff75f0.us-east-1.aws.found.io/app/kibana#/discover/Steve-Slow-Train-Analysis-(2080s-and-2083s)?_g=(refreshInterval:(display:Off,pause:!f,section:0,value:0),time:(from:'2017-03-20T03:18:40-0600',mode:absolute,to:'2017-03-20T06:09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" s="187" t="str">
        <f t="shared" si="6"/>
        <v>N</v>
      </c>
      <c r="X19" s="187">
        <f t="shared" si="7"/>
        <v>1</v>
      </c>
      <c r="Y19" s="62">
        <f t="shared" si="8"/>
        <v>4.6899999999999997E-2</v>
      </c>
      <c r="Z19" s="62">
        <f t="shared" si="9"/>
        <v>23.330200000000001</v>
      </c>
      <c r="AA19" s="62">
        <f t="shared" si="10"/>
        <v>23.283300000000001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0107-20</v>
      </c>
      <c r="AE19" s="85" t="str">
        <f t="shared" si="12"/>
        <v>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 &amp; 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</v>
      </c>
      <c r="AF19" s="82" t="str">
        <f t="shared" si="13"/>
        <v>"C:\Program Files (x86)\AstroGrep\AstroGrep.exe" /e /r /s /spath="%USERPROFILE%\AppData\Local\Temp\OnboardLogs" /stypes="app*4003*20170320*"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8"/>
        <v>"%USERPROFILE%\Documents\GitHub\eaglep3\Utilities\RefineRTDCRunTimes.py" --tripid 107-20 --locoid 4003 --swversion DE.1.0.9.0 --startMP 204:469 --initTime 2017-03-20T04:18:40 --startdatetime 2017-03-20T04:30:14 --delay 1 --endMP 204:233302 --enddatetime 2017-03-20T05:09:06 --enforcementcount 0 &gt;&gt;C:\Users\stu\Documents\GitHub\eaglep3-reporting\EC\2017-03-20-refined-times.txt</v>
      </c>
      <c r="AI19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{"issue":{"subject":"","project_id":79,"tracker_id":40,"status_id":1,"priority_id":2,"assigned_to_id":23,"start_date":"2017-03-20","description":"","custom_fields":[{"id":1,"name":"Subdivision","value":"EC"},{"id":4,"name":"Milepost","value":"23.3302"},{"id":17,"name":"Train ID","value":"107-20"},{"id":16,"name":"Locomotive ID","value":"4003"},{"id":130,"name":"Impact","value":""},{"id":150,"name":"Time of Event (Mountain Time)","value":"05:09:06"},{"id":151,"name":"Denver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4003 --day 2017-03-20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"%USERPROFILE%\AppData\Local\Temp\OnboardLogs"\RTDC4003\*4003*20170320* | grep -SE "(Enforcement Action)|(\[TIMEOUT)|(CHR.+\|PRM\|1\|D.+(SWITCH|SIGNAL).+UNKNOWN)" - &gt;&gt; 2017-03-20-UncaughtWiMAX.txt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672</v>
      </c>
      <c r="B20" s="7">
        <v>4004</v>
      </c>
      <c r="C20" s="21" t="s">
        <v>222</v>
      </c>
      <c r="D20" s="21" t="s">
        <v>842</v>
      </c>
      <c r="E20" s="13">
        <v>42814.22179398148</v>
      </c>
      <c r="F20" s="13">
        <v>42814.226574074077</v>
      </c>
      <c r="G20" s="7">
        <v>1</v>
      </c>
      <c r="H20" s="21" t="s">
        <v>184</v>
      </c>
      <c r="I20" s="13">
        <v>42814.255532407406</v>
      </c>
      <c r="J20" s="7">
        <v>0</v>
      </c>
      <c r="K20" s="98" t="str">
        <f t="shared" si="0"/>
        <v>4003/4004</v>
      </c>
      <c r="L20" s="21" t="str">
        <f>VLOOKUP(A20,'Trips&amp;Operators'!$C$1:$G$99999,5,FALSE)</f>
        <v>GUZMAN DANNY</v>
      </c>
      <c r="M20" s="6">
        <f t="shared" si="1"/>
        <v>2.8958333328773733E-2</v>
      </c>
      <c r="N20" s="7">
        <f t="shared" si="2"/>
        <v>41.699999993434176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5"/>
        <v>https://d0f6bd738d7f1b3e5a7ca70fe4ff75f0.us-east-1.aws.found.io/app/kibana#/discover/Steve-Slow-Train-Analysis-(2080s-and-2083s)?_g=(refreshInterval:(display:Off,pause:!f,section:0,value:0),time:(from:'2017-03-20T04:19:23-0600',mode:absolute,to:'2017-03-20T07:07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" s="187" t="str">
        <f t="shared" si="6"/>
        <v>N</v>
      </c>
      <c r="X20" s="187">
        <f t="shared" si="7"/>
        <v>1</v>
      </c>
      <c r="Y20" s="62">
        <f t="shared" si="8"/>
        <v>23.297899999999998</v>
      </c>
      <c r="Z20" s="62">
        <f t="shared" si="9"/>
        <v>1.49E-2</v>
      </c>
      <c r="AA20" s="62">
        <f t="shared" si="10"/>
        <v>23.282999999999998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0108-20</v>
      </c>
      <c r="AE20" s="85" t="str">
        <f t="shared" si="12"/>
        <v>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 &amp; aws s3 cp s3://rtdc.mdm.uploadarchive.raw/RTDC4004/ "%USERPROFILE%\AppData\Local\Temp\OnboardLogs"\RTDC4004\2017-03-21 --exclude "*" --recursive --include "*20170321*" &amp; "%USERPROFILE%\Documents\GitHub\mrs-test-scripts\Headless Mode &amp; Sideloading\WalkAndUnGZ.bat" "%USERPROFILE%\AppData\Local\Temp\OnboardLogs"\RTDC4004\2017-03-21</v>
      </c>
      <c r="AF20" s="82" t="str">
        <f t="shared" si="13"/>
        <v>"C:\Program Files (x86)\AstroGrep\AstroGrep.exe" /e /r /s /spath="%USERPROFILE%\AppData\Local\Temp\OnboardLogs" /stypes="app*4004*20170320*"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8"/>
        <v>"%USERPROFILE%\Documents\GitHub\eaglep3\Utilities\RefineRTDCRunTimes.py" --tripid 108-20 --locoid 4004 --swversion DE.1.0.9.0 --startMP 204:232979 --initTime 2017-03-20T05:19:23 --startdatetime 2017-03-20T05:26:16 --delay 1 --endMP 204:149 --enddatetime 2017-03-20T06:07:58 --enforcementcount 0 &gt;&gt;C:\Users\stu\Documents\GitHub\eaglep3-reporting\EC\2017-03-20-refined-times.txt</v>
      </c>
      <c r="AI20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{"issue":{"subject":"","project_id":79,"tracker_id":40,"status_id":1,"priority_id":2,"assigned_to_id":23,"start_date":"2017-03-20","description":"","custom_fields":[{"id":1,"name":"Subdivision","value":"EC"},{"id":4,"name":"Milepost","value":"0.0149"},{"id":17,"name":"Train ID","value":"108-20"},{"id":16,"name":"Locomotive ID","value":"4004"},{"id":130,"name":"Impact","value":""},{"id":150,"name":"Time of Event (Mountain Time)","value":"06:07:58"},{"id":151,"name":"Denver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4004 --day 2017-03-20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"%USERPROFILE%\AppData\Local\Temp\OnboardLogs"\RTDC4004\*4004*20170320* | grep -SE "(Enforcement Action)|(\[TIMEOUT)|(CHR.+\|PRM\|1\|D.+(SWITCH|SIGNAL).+UNKNOWN)" - &gt;&gt; 2017-03-20-UncaughtWiMAX.txt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664</v>
      </c>
      <c r="B21" s="7">
        <v>4042</v>
      </c>
      <c r="C21" s="21" t="s">
        <v>222</v>
      </c>
      <c r="D21" s="21" t="s">
        <v>431</v>
      </c>
      <c r="E21" s="13">
        <v>42814.192627314813</v>
      </c>
      <c r="F21" s="13">
        <v>42814.198101851849</v>
      </c>
      <c r="G21" s="7">
        <v>2</v>
      </c>
      <c r="H21" s="21" t="s">
        <v>368</v>
      </c>
      <c r="I21" s="13">
        <v>42814.223402777781</v>
      </c>
      <c r="J21" s="7">
        <v>0</v>
      </c>
      <c r="K21" s="98" t="str">
        <f t="shared" si="0"/>
        <v>4041/4042</v>
      </c>
      <c r="L21" s="21" t="str">
        <f>VLOOKUP(A21,'Trips&amp;Operators'!$C$1:$G$99999,5,FALSE)</f>
        <v>ACKERMAN JARED</v>
      </c>
      <c r="M21" s="6">
        <f t="shared" si="1"/>
        <v>2.5300925932242535E-2</v>
      </c>
      <c r="N21" s="7">
        <f t="shared" si="2"/>
        <v>36.43333334242925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5"/>
        <v>https://d0f6bd738d7f1b3e5a7ca70fe4ff75f0.us-east-1.aws.found.io/app/kibana#/discover/Steve-Slow-Train-Analysis-(2080s-and-2083s)?_g=(refreshInterval:(display:Off,pause:!f,section:0,value:0),time:(from:'2017-03-20T03:37:23-0600',mode:absolute,to:'2017-03-20T06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" s="187" t="str">
        <f t="shared" si="6"/>
        <v>N</v>
      </c>
      <c r="X21" s="187">
        <f t="shared" si="7"/>
        <v>1</v>
      </c>
      <c r="Y21" s="62">
        <f t="shared" si="8"/>
        <v>4.7300000000000002E-2</v>
      </c>
      <c r="Z21" s="62">
        <f t="shared" si="9"/>
        <v>23.3307</v>
      </c>
      <c r="AA21" s="62">
        <f t="shared" si="10"/>
        <v>23.2834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0109-20</v>
      </c>
      <c r="AE21" s="85" t="str">
        <f t="shared" si="12"/>
        <v>aws s3 cp s3://rtdc.mdm.uploadarchive.raw/RTDC4042/ "%USERPROFILE%\AppData\Local\Temp\OnboardLogs"\RTDC4042\2017-03-20 --exclude "*" --recursive --include "*20170320*" &amp; "%USERPROFILE%\Documents\GitHub\mrs-test-scripts\Headless Mode &amp; Sideloading\WalkAndUnGZ.bat" "%USERPROFILE%\AppData\Local\Temp\OnboardLogs"\RTDC4042\2017-03-20 &amp; aws s3 cp s3://rtdc.mdm.uploadarchive.raw/RTDC4042/ "%USERPROFILE%\AppData\Local\Temp\OnboardLogs"\RTDC4042\2017-03-21 --exclude "*" --recursive --include "*20170321*" &amp; "%USERPROFILE%\Documents\GitHub\mrs-test-scripts\Headless Mode &amp; Sideloading\WalkAndUnGZ.bat" "%USERPROFILE%\AppData\Local\Temp\OnboardLogs"\RTDC4042\2017-03-21</v>
      </c>
      <c r="AF21" s="82" t="str">
        <f t="shared" si="13"/>
        <v>"C:\Program Files (x86)\AstroGrep\AstroGrep.exe" /e /r /s /spath="%USERPROFILE%\AppData\Local\Temp\OnboardLogs" /stypes="app*4042*20170320*"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8"/>
        <v>"%USERPROFILE%\Documents\GitHub\eaglep3\Utilities\RefineRTDCRunTimes.py" --tripid 109-20 --locoid 4042 --swversion DE.1.0.9.0 --startMP 204:473 --initTime 2017-03-20T04:37:23 --startdatetime 2017-03-20T04:45:16 --delay 2 --endMP 204:233307 --enddatetime 2017-03-20T05:21:42 --enforcementcount 0 &gt;&gt;C:\Users\stu\Documents\GitHub\eaglep3-reporting\EC\2017-03-20-refined-times.txt</v>
      </c>
      <c r="AI21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{"issue":{"subject":"","project_id":79,"tracker_id":40,"status_id":1,"priority_id":2,"assigned_to_id":23,"start_date":"2017-03-20","description":"","custom_fields":[{"id":1,"name":"Subdivision","value":"EC"},{"id":4,"name":"Milepost","value":"23.3307"},{"id":17,"name":"Train ID","value":"109-20"},{"id":16,"name":"Locomotive ID","value":"4042"},{"id":130,"name":"Impact","value":""},{"id":150,"name":"Time of Event (Mountain Time)","value":"05:21:42"},{"id":151,"name":"Denver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4042 --day 2017-03-20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"%USERPROFILE%\AppData\Local\Temp\OnboardLogs"\RTDC4042\*4042*20170320* | grep -SE "(Enforcement Action)|(\[TIMEOUT)|(CHR.+\|PRM\|1\|D.+(SWITCH|SIGNAL).+UNKNOWN)" - &gt;&gt; 2017-03-20-UncaughtWiMAX.txt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675</v>
      </c>
      <c r="B22" s="7">
        <v>4041</v>
      </c>
      <c r="C22" s="21" t="s">
        <v>222</v>
      </c>
      <c r="D22" s="21" t="s">
        <v>843</v>
      </c>
      <c r="E22" s="13">
        <v>42814.230173611111</v>
      </c>
      <c r="F22" s="13">
        <v>42814.236979166664</v>
      </c>
      <c r="G22" s="7">
        <v>2</v>
      </c>
      <c r="H22" s="21" t="s">
        <v>409</v>
      </c>
      <c r="I22" s="13">
        <v>42814.264513888891</v>
      </c>
      <c r="J22" s="7">
        <v>0</v>
      </c>
      <c r="K22" s="98" t="str">
        <f t="shared" si="0"/>
        <v>4041/4042</v>
      </c>
      <c r="L22" s="21" t="str">
        <f>VLOOKUP(A22,'Trips&amp;Operators'!$C$1:$G$99999,5,FALSE)</f>
        <v>ACKERMAN JARED</v>
      </c>
      <c r="M22" s="6">
        <f t="shared" si="1"/>
        <v>2.7534722226846498E-2</v>
      </c>
      <c r="N22" s="7">
        <f t="shared" si="2"/>
        <v>39.650000006658956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5"/>
        <v>https://d0f6bd738d7f1b3e5a7ca70fe4ff75f0.us-east-1.aws.found.io/app/kibana#/discover/Steve-Slow-Train-Analysis-(2080s-and-2083s)?_g=(refreshInterval:(display:Off,pause:!f,section:0,value:0),time:(from:'2017-03-20T04:31:27-0600',mode:absolute,to:'2017-03-20T07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" s="187" t="str">
        <f t="shared" si="6"/>
        <v>N</v>
      </c>
      <c r="X22" s="187">
        <f t="shared" si="7"/>
        <v>1</v>
      </c>
      <c r="Y22" s="62">
        <f t="shared" si="8"/>
        <v>23.297699999999999</v>
      </c>
      <c r="Z22" s="62">
        <f t="shared" si="9"/>
        <v>1.4500000000000001E-2</v>
      </c>
      <c r="AA22" s="62">
        <f t="shared" si="10"/>
        <v>23.283199999999997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0110-20</v>
      </c>
      <c r="AE22" s="85" t="str">
        <f t="shared" si="12"/>
        <v>aws s3 cp s3://rtdc.mdm.uploadarchive.raw/RTDC4041/ "%USERPROFILE%\AppData\Local\Temp\OnboardLogs"\RTDC4041\2017-03-20 --exclude "*" --recursive --include "*20170320*" &amp; "%USERPROFILE%\Documents\GitHub\mrs-test-scripts\Headless Mode &amp; Sideloading\WalkAndUnGZ.bat" "%USERPROFILE%\AppData\Local\Temp\OnboardLogs"\RTDC4041\2017-03-20 &amp; aws s3 cp s3://rtdc.mdm.uploadarchive.raw/RTDC4041/ "%USERPROFILE%\AppData\Local\Temp\OnboardLogs"\RTDC4041\2017-03-21 --exclude "*" --recursive --include "*20170321*" &amp; "%USERPROFILE%\Documents\GitHub\mrs-test-scripts\Headless Mode &amp; Sideloading\WalkAndUnGZ.bat" "%USERPROFILE%\AppData\Local\Temp\OnboardLogs"\RTDC4041\2017-03-21</v>
      </c>
      <c r="AF22" s="82" t="str">
        <f t="shared" si="13"/>
        <v>"C:\Program Files (x86)\AstroGrep\AstroGrep.exe" /e /r /s /spath="%USERPROFILE%\AppData\Local\Temp\OnboardLogs" /stypes="app*4041*20170320*"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8"/>
        <v>"%USERPROFILE%\Documents\GitHub\eaglep3\Utilities\RefineRTDCRunTimes.py" --tripid 110-20 --locoid 4041 --swversion DE.1.0.9.0 --startMP 204:232977 --initTime 2017-03-20T05:31:27 --startdatetime 2017-03-20T05:41:15 --delay 2 --endMP 204:145 --enddatetime 2017-03-20T06:20:54 --enforcementcount 0 &gt;&gt;C:\Users\stu\Documents\GitHub\eaglep3-reporting\EC\2017-03-20-refined-times.txt</v>
      </c>
      <c r="AI22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{"issue":{"subject":"","project_id":79,"tracker_id":40,"status_id":1,"priority_id":2,"assigned_to_id":23,"start_date":"2017-03-20","description":"","custom_fields":[{"id":1,"name":"Subdivision","value":"EC"},{"id":4,"name":"Milepost","value":"0.0145"},{"id":17,"name":"Train ID","value":"110-20"},{"id":16,"name":"Locomotive ID","value":"4041"},{"id":130,"name":"Impact","value":""},{"id":150,"name":"Time of Event (Mountain Time)","value":"06:20:54"},{"id":151,"name":"Denver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4041 --day 2017-03-20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"%USERPROFILE%\AppData\Local\Temp\OnboardLogs"\RTDC4041\*4041*20170320* | grep -SE "(Enforcement Action)|(\[TIMEOUT)|(CHR.+\|PRM\|1\|D.+(SWITCH|SIGNAL).+UNKNOWN)" - &gt;&gt; 2017-03-20-UncaughtWiMAX.txt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667</v>
      </c>
      <c r="B23" s="7">
        <v>4022</v>
      </c>
      <c r="C23" s="21" t="s">
        <v>222</v>
      </c>
      <c r="D23" s="21" t="s">
        <v>844</v>
      </c>
      <c r="E23" s="13">
        <v>42814.204907407409</v>
      </c>
      <c r="F23" s="13">
        <v>42814.208865740744</v>
      </c>
      <c r="G23" s="7">
        <v>3</v>
      </c>
      <c r="H23" s="21" t="s">
        <v>845</v>
      </c>
      <c r="I23" s="13">
        <v>42814.233599537038</v>
      </c>
      <c r="J23" s="7">
        <v>0</v>
      </c>
      <c r="K23" s="98" t="str">
        <f t="shared" si="0"/>
        <v>4021/4022</v>
      </c>
      <c r="L23" s="21" t="str">
        <f>VLOOKUP(A23,'Trips&amp;Operators'!$C$1:$G$99999,5,FALSE)</f>
        <v>WILLIAMS DONTE</v>
      </c>
      <c r="M23" s="6">
        <f t="shared" si="1"/>
        <v>2.4733796293730848E-2</v>
      </c>
      <c r="N23" s="7">
        <f t="shared" si="2"/>
        <v>35.61666666297242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5"/>
        <v>https://d0f6bd738d7f1b3e5a7ca70fe4ff75f0.us-east-1.aws.found.io/app/kibana#/discover/Steve-Slow-Train-Analysis-(2080s-and-2083s)?_g=(refreshInterval:(display:Off,pause:!f,section:0,value:0),time:(from:'2017-03-20T03:55:04-0600',mode:absolute,to:'2017-03-20T06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" s="187" t="str">
        <f t="shared" si="6"/>
        <v>N</v>
      </c>
      <c r="X23" s="187">
        <f t="shared" si="7"/>
        <v>1</v>
      </c>
      <c r="Y23" s="62">
        <f t="shared" si="8"/>
        <v>7.6300000000000007E-2</v>
      </c>
      <c r="Z23" s="62">
        <f t="shared" si="9"/>
        <v>23.326799999999999</v>
      </c>
      <c r="AA23" s="62">
        <f t="shared" si="10"/>
        <v>23.250499999999999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0111-20</v>
      </c>
      <c r="AE23" s="85" t="str">
        <f t="shared" si="12"/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AF23" s="82" t="str">
        <f t="shared" si="13"/>
        <v>"C:\Program Files (x86)\AstroGrep\AstroGrep.exe" /e /r /s /spath="%USERPROFILE%\AppData\Local\Temp\OnboardLogs" /stypes="app*4022*20170320*"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8"/>
        <v>"%USERPROFILE%\Documents\GitHub\eaglep3\Utilities\RefineRTDCRunTimes.py" --tripid 111-20 --locoid 4022 --swversion DE.1.0.9.0 --startMP 204:763 --initTime 2017-03-20T04:55:04 --startdatetime 2017-03-20T05:00:46 --delay 3 --endMP 204:233268 --enddatetime 2017-03-20T05:36:23 --enforcementcount 0 &gt;&gt;C:\Users\stu\Documents\GitHub\eaglep3-reporting\EC\2017-03-20-refined-times.txt</v>
      </c>
      <c r="AI23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{"issue":{"subject":"","project_id":79,"tracker_id":40,"status_id":1,"priority_id":2,"assigned_to_id":23,"start_date":"2017-03-20","description":"","custom_fields":[{"id":1,"name":"Subdivision","value":"EC"},{"id":4,"name":"Milepost","value":"23.3268"},{"id":17,"name":"Train ID","value":"111-20"},{"id":16,"name":"Locomotive ID","value":"4022"},{"id":130,"name":"Impact","value":""},{"id":150,"name":"Time of Event (Mountain Time)","value":"05:36:23"},{"id":151,"name":"Denver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4022 --day 2017-03-20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"%USERPROFILE%\AppData\Local\Temp\OnboardLogs"\RTDC4022\*4022*20170320* | grep -SE "(Enforcement Action)|(\[TIMEOUT)|(CHR.+\|PRM\|1\|D.+(SWITCH|SIGNAL).+UNKNOWN)" - &gt;&gt; 2017-03-20-UncaughtWiMAX.txt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600</v>
      </c>
      <c r="B24" s="7">
        <v>4021</v>
      </c>
      <c r="C24" s="21" t="s">
        <v>222</v>
      </c>
      <c r="D24" s="21" t="s">
        <v>846</v>
      </c>
      <c r="E24" s="13">
        <v>42814.234722222223</v>
      </c>
      <c r="F24" s="13">
        <v>42814.247557870367</v>
      </c>
      <c r="G24" s="7">
        <v>1</v>
      </c>
      <c r="H24" s="21" t="s">
        <v>511</v>
      </c>
      <c r="I24" s="13">
        <v>42814.275081018517</v>
      </c>
      <c r="J24" s="7">
        <v>0</v>
      </c>
      <c r="K24" s="98" t="str">
        <f t="shared" si="0"/>
        <v>4021/4022</v>
      </c>
      <c r="L24" s="21" t="str">
        <f>VLOOKUP(A24,'Trips&amp;Operators'!$C$1:$G$99999,5,FALSE)</f>
        <v>MENGES BRAD</v>
      </c>
      <c r="M24" s="6">
        <f t="shared" si="1"/>
        <v>2.7523148150066845E-2</v>
      </c>
      <c r="N24" s="7">
        <f t="shared" si="2"/>
        <v>39.633333336096257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5"/>
        <v>https://d0f6bd738d7f1b3e5a7ca70fe4ff75f0.us-east-1.aws.found.io/app/kibana#/discover/Steve-Slow-Train-Analysis-(2080s-and-2083s)?_g=(refreshInterval:(display:Off,pause:!f,section:0,value:0),time:(from:'2017-03-20T04:38:00-0600',mode:absolute,to:'2017-03-20T07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4" s="187" t="str">
        <f t="shared" si="6"/>
        <v>N</v>
      </c>
      <c r="X24" s="187">
        <f t="shared" si="7"/>
        <v>1</v>
      </c>
      <c r="Y24" s="62">
        <f t="shared" si="8"/>
        <v>23.295300000000001</v>
      </c>
      <c r="Z24" s="62">
        <f t="shared" si="9"/>
        <v>1.3899999999999999E-2</v>
      </c>
      <c r="AA24" s="62">
        <f t="shared" si="10"/>
        <v>23.281400000000001</v>
      </c>
      <c r="AB24" s="59" t="str">
        <f>VLOOKUP(A24,Enforcements!$C$7:$K$13,8,0)</f>
        <v>Bulletin (2)</v>
      </c>
      <c r="AC24" s="55" t="str">
        <f>VLOOKUP(A24,Enforcements!$C$7:$E$13,3,0)</f>
        <v>GRADE CROSSING</v>
      </c>
      <c r="AD24" s="56" t="str">
        <f t="shared" si="11"/>
        <v>0112-20</v>
      </c>
      <c r="AE24" s="85" t="str">
        <f t="shared" si="12"/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AF24" s="82" t="str">
        <f t="shared" si="13"/>
        <v>"C:\Program Files (x86)\AstroGrep\AstroGrep.exe" /e /r /s /spath="%USERPROFILE%\AppData\Local\Temp\OnboardLogs" /stypes="app*4021*20170320*"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8"/>
        <v>"%USERPROFILE%\Documents\GitHub\eaglep3\Utilities\RefineRTDCRunTimes.py" --tripid 112-20 --locoid 4021 --swversion DE.1.0.9.0 --startMP 204:232953 --initTime 2017-03-20T05:38:00 --startdatetime 2017-03-20T05:56:29 --delay 1 --endMP 204:139 --enddatetime 2017-03-20T06:36:07 --enforcementcount 0 &gt;&gt;C:\Users\stu\Documents\GitHub\eaglep3-reporting\EC\2017-03-20-refined-times.txt</v>
      </c>
      <c r="AI24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{"issue":{"subject":"","project_id":79,"tracker_id":40,"status_id":1,"priority_id":2,"assigned_to_id":23,"start_date":"2017-03-20","description":"","custom_fields":[{"id":1,"name":"Subdivision","value":"EC"},{"id":4,"name":"Milepost","value":"0.0139"},{"id":17,"name":"Train ID","value":"112-20"},{"id":16,"name":"Locomotive ID","value":"4021"},{"id":130,"name":"Impact","value":""},{"id":150,"name":"Time of Event (Mountain Time)","value":"06:36:07"},{"id":151,"name":"Denver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0"/>
        <v>start /low /b %USERPROFILE%\Documents\GitHub\eaglep3\Utilities\DownloadLogsFromS3.py --loco 4021 --day 2017-03-20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"%USERPROFILE%\AppData\Local\Temp\OnboardLogs"\RTDC4021\*4021*20170320* | grep -SE "(Enforcement Action)|(\[TIMEOUT)|(CHR.+\|PRM\|1\|D.+(SWITCH|SIGNAL).+UNKNOWN)" - &gt;&gt; 2017-03-20-UncaughtWiMAX.txt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666</v>
      </c>
      <c r="B25" s="7">
        <v>4018</v>
      </c>
      <c r="C25" s="21" t="s">
        <v>222</v>
      </c>
      <c r="D25" s="21" t="s">
        <v>207</v>
      </c>
      <c r="E25" s="13">
        <v>42814.204386574071</v>
      </c>
      <c r="F25" s="13">
        <v>42814.218981481485</v>
      </c>
      <c r="G25" s="7">
        <v>1</v>
      </c>
      <c r="H25" s="21" t="s">
        <v>847</v>
      </c>
      <c r="I25" s="13">
        <v>42814.243796296294</v>
      </c>
      <c r="J25" s="7">
        <v>0</v>
      </c>
      <c r="K25" s="98" t="str">
        <f t="shared" si="0"/>
        <v>4017/4018</v>
      </c>
      <c r="L25" s="21" t="str">
        <f>VLOOKUP(A25,'Trips&amp;Operators'!$C$1:$G$99999,5,FALSE)</f>
        <v>SANTIZO D. EDY</v>
      </c>
      <c r="M25" s="6">
        <f t="shared" si="1"/>
        <v>2.4814814809360541E-2</v>
      </c>
      <c r="N25" s="7">
        <f t="shared" si="2"/>
        <v>35.73333332547918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5"/>
        <v>https://d0f6bd738d7f1b3e5a7ca70fe4ff75f0.us-east-1.aws.found.io/app/kibana#/discover/Steve-Slow-Train-Analysis-(2080s-and-2083s)?_g=(refreshInterval:(display:Off,pause:!f,section:0,value:0),time:(from:'2017-03-20T03:54:19-0600',mode:absolute,to:'2017-03-20T06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5" s="187" t="str">
        <f t="shared" si="6"/>
        <v>N</v>
      </c>
      <c r="X25" s="187">
        <f t="shared" si="7"/>
        <v>1</v>
      </c>
      <c r="Y25" s="62">
        <f t="shared" si="8"/>
        <v>4.5100000000000001E-2</v>
      </c>
      <c r="Z25" s="62">
        <f t="shared" si="9"/>
        <v>23.327400000000001</v>
      </c>
      <c r="AA25" s="62">
        <f t="shared" si="10"/>
        <v>23.282299999999999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0113-20</v>
      </c>
      <c r="AE25" s="85" t="str">
        <f t="shared" si="12"/>
        <v>aws s3 cp s3://rtdc.mdm.uploadarchive.raw/RTDC4018/ "%USERPROFILE%\AppData\Local\Temp\OnboardLogs"\RTDC4018\2017-03-20 --exclude "*" --recursive --include "*20170320*" &amp; "%USERPROFILE%\Documents\GitHub\mrs-test-scripts\Headless Mode &amp; Sideloading\WalkAndUnGZ.bat" "%USERPROFILE%\AppData\Local\Temp\OnboardLogs"\RTDC4018\2017-03-20 &amp; aws s3 cp s3://rtdc.mdm.uploadarchive.raw/RTDC4018/ "%USERPROFILE%\AppData\Local\Temp\OnboardLogs"\RTDC4018\2017-03-21 --exclude "*" --recursive --include "*20170321*" &amp; "%USERPROFILE%\Documents\GitHub\mrs-test-scripts\Headless Mode &amp; Sideloading\WalkAndUnGZ.bat" "%USERPROFILE%\AppData\Local\Temp\OnboardLogs"\RTDC4018\2017-03-21</v>
      </c>
      <c r="AF25" s="82" t="str">
        <f t="shared" si="13"/>
        <v>"C:\Program Files (x86)\AstroGrep\AstroGrep.exe" /e /r /s /spath="%USERPROFILE%\AppData\Local\Temp\OnboardLogs" /stypes="app*4018*20170320*"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8"/>
        <v>"%USERPROFILE%\Documents\GitHub\eaglep3\Utilities\RefineRTDCRunTimes.py" --tripid 113-20 --locoid 4018 --swversion DE.1.0.9.0 --startMP 204:451 --initTime 2017-03-20T04:54:19 --startdatetime 2017-03-20T05:15:20 --delay 1 --endMP 204:233274 --enddatetime 2017-03-20T05:51:04 --enforcementcount 0 &gt;&gt;C:\Users\stu\Documents\GitHub\eaglep3-reporting\EC\2017-03-20-refined-times.txt</v>
      </c>
      <c r="AI25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{"issue":{"subject":"","project_id":79,"tracker_id":40,"status_id":1,"priority_id":2,"assigned_to_id":23,"start_date":"2017-03-20","description":"","custom_fields":[{"id":1,"name":"Subdivision","value":"EC"},{"id":4,"name":"Milepost","value":"23.3274"},{"id":17,"name":"Train ID","value":"113-20"},{"id":16,"name":"Locomotive ID","value":"4018"},{"id":130,"name":"Impact","value":""},{"id":150,"name":"Time of Event (Mountain Time)","value":"05:51:04"},{"id":151,"name":"Denver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4018 --day 2017-03-20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"%USERPROFILE%\AppData\Local\Temp\OnboardLogs"\RTDC4018\*4018*20170320* | grep -SE "(Enforcement Action)|(\[TIMEOUT)|(CHR.+\|PRM\|1\|D.+(SWITCH|SIGNAL).+UNKNOWN)" - &gt;&gt; 2017-03-20-UncaughtWiMAX.txt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678</v>
      </c>
      <c r="B26" s="7">
        <v>4017</v>
      </c>
      <c r="C26" s="21" t="s">
        <v>222</v>
      </c>
      <c r="D26" s="21" t="s">
        <v>583</v>
      </c>
      <c r="E26" s="13">
        <v>42814.245300925926</v>
      </c>
      <c r="F26" s="13">
        <v>42814.257893518516</v>
      </c>
      <c r="G26" s="7">
        <v>0</v>
      </c>
      <c r="H26" s="21" t="s">
        <v>191</v>
      </c>
      <c r="I26" s="13">
        <v>42814.284236111111</v>
      </c>
      <c r="J26" s="7">
        <v>0</v>
      </c>
      <c r="K26" s="98" t="str">
        <f t="shared" si="0"/>
        <v>4017/4018</v>
      </c>
      <c r="L26" s="21" t="str">
        <f>VLOOKUP(A26,'Trips&amp;Operators'!$C$1:$G$99999,5,FALSE)</f>
        <v>SANTIZO D. EDY</v>
      </c>
      <c r="M26" s="6">
        <f t="shared" si="1"/>
        <v>2.6342592595028691E-2</v>
      </c>
      <c r="N26" s="7">
        <f t="shared" si="2"/>
        <v>37.933333336841315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5"/>
        <v>https://d0f6bd738d7f1b3e5a7ca70fe4ff75f0.us-east-1.aws.found.io/app/kibana#/discover/Steve-Slow-Train-Analysis-(2080s-and-2083s)?_g=(refreshInterval:(display:Off,pause:!f,section:0,value:0),time:(from:'2017-03-20T04:53:14-0600',mode:absolute,to:'2017-03-20T07:49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6" s="187" t="str">
        <f t="shared" si="6"/>
        <v>N</v>
      </c>
      <c r="X26" s="187">
        <f t="shared" si="7"/>
        <v>1</v>
      </c>
      <c r="Y26" s="62">
        <f t="shared" si="8"/>
        <v>23.295000000000002</v>
      </c>
      <c r="Z26" s="62">
        <f t="shared" si="9"/>
        <v>1.4999999999999999E-2</v>
      </c>
      <c r="AA26" s="62">
        <f t="shared" si="10"/>
        <v>23.28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0114-20</v>
      </c>
      <c r="AE26" s="85" t="str">
        <f t="shared" si="12"/>
        <v>aws s3 cp s3://rtdc.mdm.uploadarchive.raw/RTDC4017/ "%USERPROFILE%\AppData\Local\Temp\OnboardLogs"\RTDC4017\2017-03-20 --exclude "*" --recursive --include "*20170320*" &amp; "%USERPROFILE%\Documents\GitHub\mrs-test-scripts\Headless Mode &amp; Sideloading\WalkAndUnGZ.bat" "%USERPROFILE%\AppData\Local\Temp\OnboardLogs"\RTDC4017\2017-03-20 &amp; aws s3 cp s3://rtdc.mdm.uploadarchive.raw/RTDC4017/ "%USERPROFILE%\AppData\Local\Temp\OnboardLogs"\RTDC4017\2017-03-21 --exclude "*" --recursive --include "*20170321*" &amp; "%USERPROFILE%\Documents\GitHub\mrs-test-scripts\Headless Mode &amp; Sideloading\WalkAndUnGZ.bat" "%USERPROFILE%\AppData\Local\Temp\OnboardLogs"\RTDC4017\2017-03-21</v>
      </c>
      <c r="AF26" s="82" t="str">
        <f t="shared" si="13"/>
        <v>"C:\Program Files (x86)\AstroGrep\AstroGrep.exe" /e /r /s /spath="%USERPROFILE%\AppData\Local\Temp\OnboardLogs" /stypes="app*4017*20170320*"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8"/>
        <v>"%USERPROFILE%\Documents\GitHub\eaglep3\Utilities\RefineRTDCRunTimes.py" --tripid 114-20 --locoid 4017 --swversion DE.1.0.9.0 --startMP 204:232950 --initTime 2017-03-20T05:53:14 --startdatetime 2017-03-20T06:11:22 --delay 0 --endMP 204:150 --enddatetime 2017-03-20T06:49:18 --enforcementcount 0 &gt;&gt;C:\Users\stu\Documents\GitHub\eaglep3-reporting\EC\2017-03-20-refined-times.txt</v>
      </c>
      <c r="AI26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{"issue":{"subject":"","project_id":79,"tracker_id":40,"status_id":1,"priority_id":2,"assigned_to_id":23,"start_date":"2017-03-20","description":"","custom_fields":[{"id":1,"name":"Subdivision","value":"EC"},{"id":4,"name":"Milepost","value":"0.015"},{"id":17,"name":"Train ID","value":"114-20"},{"id":16,"name":"Locomotive ID","value":"4017"},{"id":130,"name":"Impact","value":""},{"id":150,"name":"Time of Event (Mountain Time)","value":"06:49:18"},{"id":151,"name":"Denver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4017 --day 2017-03-20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"%USERPROFILE%\AppData\Local\Temp\OnboardLogs"\RTDC4017\*4017*20170320* | grep -SE "(Enforcement Action)|(\[TIMEOUT)|(CHR.+\|PRM\|1\|D.+(SWITCH|SIGNAL).+UNKNOWN)" - &gt;&gt; 2017-03-20-UncaughtWiMAX.txt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673</v>
      </c>
      <c r="B27" s="7">
        <v>4046</v>
      </c>
      <c r="C27" s="21" t="s">
        <v>222</v>
      </c>
      <c r="D27" s="21" t="s">
        <v>848</v>
      </c>
      <c r="E27" s="13">
        <v>42814.224733796298</v>
      </c>
      <c r="F27" s="13">
        <v>42814.229351851849</v>
      </c>
      <c r="G27" s="7">
        <v>1</v>
      </c>
      <c r="H27" s="21" t="s">
        <v>224</v>
      </c>
      <c r="I27" s="13">
        <v>42814.254687499997</v>
      </c>
      <c r="J27" s="7">
        <v>0</v>
      </c>
      <c r="K27" s="98" t="str">
        <f t="shared" si="0"/>
        <v>4045/4046</v>
      </c>
      <c r="L27" s="21" t="str">
        <f>VLOOKUP(A27,'Trips&amp;Operators'!$C$1:$G$99999,5,FALSE)</f>
        <v>ROBINSON KADDIBA</v>
      </c>
      <c r="M27" s="6">
        <f t="shared" si="1"/>
        <v>2.5335648148029577E-2</v>
      </c>
      <c r="N27" s="7">
        <f t="shared" si="2"/>
        <v>36.483333333162591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5"/>
        <v>https://d0f6bd738d7f1b3e5a7ca70fe4ff75f0.us-east-1.aws.found.io/app/kibana#/discover/Steve-Slow-Train-Analysis-(2080s-and-2083s)?_g=(refreshInterval:(display:Off,pause:!f,section:0,value:0),time:(from:'2017-03-20T04:23:37-0600',mode:absolute,to:'2017-03-20T07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7" s="187" t="str">
        <f t="shared" si="6"/>
        <v>N</v>
      </c>
      <c r="X27" s="187">
        <f t="shared" si="7"/>
        <v>1</v>
      </c>
      <c r="Y27" s="62">
        <f t="shared" si="8"/>
        <v>7.1499999999999994E-2</v>
      </c>
      <c r="Z27" s="62">
        <f t="shared" si="9"/>
        <v>23.329699999999999</v>
      </c>
      <c r="AA27" s="62">
        <f t="shared" si="10"/>
        <v>23.258199999999999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0115-20</v>
      </c>
      <c r="AE27" s="85" t="str">
        <f t="shared" si="12"/>
        <v>aws s3 cp s3://rtdc.mdm.uploadarchive.raw/RTDC4046/ "%USERPROFILE%\AppData\Local\Temp\OnboardLogs"\RTDC4046\2017-03-20 --exclude "*" --recursive --include "*20170320*" &amp; "%USERPROFILE%\Documents\GitHub\mrs-test-scripts\Headless Mode &amp; Sideloading\WalkAndUnGZ.bat" "%USERPROFILE%\AppData\Local\Temp\OnboardLogs"\RTDC4046\2017-03-20 &amp; aws s3 cp s3://rtdc.mdm.uploadarchive.raw/RTDC4046/ "%USERPROFILE%\AppData\Local\Temp\OnboardLogs"\RTDC4046\2017-03-21 --exclude "*" --recursive --include "*20170321*" &amp; "%USERPROFILE%\Documents\GitHub\mrs-test-scripts\Headless Mode &amp; Sideloading\WalkAndUnGZ.bat" "%USERPROFILE%\AppData\Local\Temp\OnboardLogs"\RTDC4046\2017-03-21</v>
      </c>
      <c r="AF27" s="82" t="str">
        <f t="shared" si="13"/>
        <v>"C:\Program Files (x86)\AstroGrep\AstroGrep.exe" /e /r /s /spath="%USERPROFILE%\AppData\Local\Temp\OnboardLogs" /stypes="app*4046*20170320*"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8"/>
        <v>"%USERPROFILE%\Documents\GitHub\eaglep3\Utilities\RefineRTDCRunTimes.py" --tripid 115-20 --locoid 4046 --swversion DE.1.0.9.0 --startMP 204:715 --initTime 2017-03-20T05:23:37 --startdatetime 2017-03-20T05:30:16 --delay 1 --endMP 204:233297 --enddatetime 2017-03-20T06:06:45 --enforcementcount 0 &gt;&gt;C:\Users\stu\Documents\GitHub\eaglep3-reporting\EC\2017-03-20-refined-times.txt</v>
      </c>
      <c r="AI27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{"issue":{"subject":"","project_id":79,"tracker_id":40,"status_id":1,"priority_id":2,"assigned_to_id":23,"start_date":"2017-03-20","description":"","custom_fields":[{"id":1,"name":"Subdivision","value":"EC"},{"id":4,"name":"Milepost","value":"23.3297"},{"id":17,"name":"Train ID","value":"115-20"},{"id":16,"name":"Locomotive ID","value":"4046"},{"id":130,"name":"Impact","value":""},{"id":150,"name":"Time of Event (Mountain Time)","value":"06:06:45"},{"id":151,"name":"Denver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4046 --day 2017-03-20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"%USERPROFILE%\AppData\Local\Temp\OnboardLogs"\RTDC4046\*4046*20170320* | grep -SE "(Enforcement Action)|(\[TIMEOUT)|(CHR.+\|PRM\|1\|D.+(SWITCH|SIGNAL).+UNKNOWN)" - &gt;&gt; 2017-03-20-UncaughtWiMAX.txt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603</v>
      </c>
      <c r="B28" s="7">
        <v>4045</v>
      </c>
      <c r="C28" s="21" t="s">
        <v>222</v>
      </c>
      <c r="D28" s="21" t="s">
        <v>559</v>
      </c>
      <c r="E28" s="13">
        <v>42814.262187499997</v>
      </c>
      <c r="F28" s="13">
        <v>42814.268206018518</v>
      </c>
      <c r="G28" s="7">
        <v>1</v>
      </c>
      <c r="H28" s="21" t="s">
        <v>205</v>
      </c>
      <c r="I28" s="13">
        <v>42814.296226851853</v>
      </c>
      <c r="J28" s="7">
        <v>0</v>
      </c>
      <c r="K28" s="98" t="str">
        <f t="shared" si="0"/>
        <v>4045/4046</v>
      </c>
      <c r="L28" s="21" t="str">
        <f>VLOOKUP(A28,'Trips&amp;Operators'!$C$1:$G$99999,5,FALSE)</f>
        <v>ROBINSON KADDIBA</v>
      </c>
      <c r="M28" s="6">
        <f t="shared" si="1"/>
        <v>2.8020833335176576E-2</v>
      </c>
      <c r="N28" s="7">
        <f t="shared" si="2"/>
        <v>40.350000002654269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5"/>
        <v>https://d0f6bd738d7f1b3e5a7ca70fe4ff75f0.us-east-1.aws.found.io/app/kibana#/discover/Steve-Slow-Train-Analysis-(2080s-and-2083s)?_g=(refreshInterval:(display:Off,pause:!f,section:0,value:0),time:(from:'2017-03-20T05:17:33-0600',mode:absolute,to:'2017-03-20T08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8" s="187" t="str">
        <f t="shared" si="6"/>
        <v>N</v>
      </c>
      <c r="X28" s="187">
        <f t="shared" si="7"/>
        <v>1</v>
      </c>
      <c r="Y28" s="62">
        <f t="shared" si="8"/>
        <v>23.297599999999999</v>
      </c>
      <c r="Z28" s="62">
        <f t="shared" si="9"/>
        <v>1.54E-2</v>
      </c>
      <c r="AA28" s="62">
        <f t="shared" si="10"/>
        <v>23.2822</v>
      </c>
      <c r="AB28" s="59" t="str">
        <f>VLOOKUP(A28,Enforcements!$C$7:$K$13,8,0)</f>
        <v>Bulletin (2)</v>
      </c>
      <c r="AC28" s="55" t="str">
        <f>VLOOKUP(A28,Enforcements!$C$7:$E$13,3,0)</f>
        <v>GRADE CROSSING</v>
      </c>
      <c r="AD28" s="56" t="str">
        <f t="shared" si="11"/>
        <v>0116-20</v>
      </c>
      <c r="AE28" s="85" t="str">
        <f t="shared" si="12"/>
        <v>aws s3 cp s3://rtdc.mdm.uploadarchive.raw/RTDC4045/ "%USERPROFILE%\AppData\Local\Temp\OnboardLogs"\RTDC4045\2017-03-20 --exclude "*" --recursive --include "*20170320*" &amp; "%USERPROFILE%\Documents\GitHub\mrs-test-scripts\Headless Mode &amp; Sideloading\WalkAndUnGZ.bat" "%USERPROFILE%\AppData\Local\Temp\OnboardLogs"\RTDC4045\2017-03-20 &amp; aws s3 cp s3://rtdc.mdm.uploadarchive.raw/RTDC4045/ "%USERPROFILE%\AppData\Local\Temp\OnboardLogs"\RTDC4045\2017-03-21 --exclude "*" --recursive --include "*20170321*" &amp; "%USERPROFILE%\Documents\GitHub\mrs-test-scripts\Headless Mode &amp; Sideloading\WalkAndUnGZ.bat" "%USERPROFILE%\AppData\Local\Temp\OnboardLogs"\RTDC4045\2017-03-21</v>
      </c>
      <c r="AF28" s="82" t="str">
        <f t="shared" si="13"/>
        <v>"C:\Program Files (x86)\AstroGrep\AstroGrep.exe" /e /r /s /spath="%USERPROFILE%\AppData\Local\Temp\OnboardLogs" /stypes="app*4045*20170320*" /stext=" 13:.+((SYSTEM_STATE.+slice.+state.+changed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8"/>
        <v>"%USERPROFILE%\Documents\GitHub\eaglep3\Utilities\RefineRTDCRunTimes.py" --tripid 116-20 --locoid 4045 --swversion DE.1.0.9.0 --startMP 204:232976 --initTime 2017-03-20T06:17:33 --startdatetime 2017-03-20T06:26:13 --delay 1 --endMP 204:154 --enddatetime 2017-03-20T07:06:34 --enforcementcount 0 &gt;&gt;C:\Users\stu\Documents\GitHub\eaglep3-reporting\EC\2017-03-20-refined-times.txt</v>
      </c>
      <c r="AI28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{"issue":{"subject":"","project_id":79,"tracker_id":40,"status_id":1,"priority_id":2,"assigned_to_id":23,"start_date":"2017-03-20","description":"","custom_fields":[{"id":1,"name":"Subdivision","value":"EC"},{"id":4,"name":"Milepost","value":"0.0154"},{"id":17,"name":"Train ID","value":"116-20"},{"id":16,"name":"Locomotive ID","value":"4045"},{"id":130,"name":"Impact","value":""},{"id":150,"name":"Time of Event (Mountain Time)","value":"07:06:34"},{"id":151,"name":"Denver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4045 --day 2017-03-20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"%USERPROFILE%\AppData\Local\Temp\OnboardLogs"\RTDC4045\*4045*20170320* | grep -SE "(Enforcement Action)|(\[TIMEOUT)|(CHR.+\|PRM\|1\|D.+(SWITCH|SIGNAL).+UNKNOWN)" - &gt;&gt; 2017-03-20-UncaughtWiMAX.txt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674</v>
      </c>
      <c r="B29" s="7">
        <v>4025</v>
      </c>
      <c r="C29" s="21" t="s">
        <v>222</v>
      </c>
      <c r="D29" s="21" t="s">
        <v>215</v>
      </c>
      <c r="E29" s="13">
        <v>42814.227256944447</v>
      </c>
      <c r="F29" s="13">
        <v>42814.23982638889</v>
      </c>
      <c r="G29" s="7">
        <v>1</v>
      </c>
      <c r="H29" s="21" t="s">
        <v>448</v>
      </c>
      <c r="I29" s="13">
        <v>42814.264502314814</v>
      </c>
      <c r="J29" s="7">
        <v>0</v>
      </c>
      <c r="K29" s="98" t="str">
        <f t="shared" si="0"/>
        <v>4025/4026</v>
      </c>
      <c r="L29" s="21" t="str">
        <f>VLOOKUP(A29,'Trips&amp;Operators'!$C$1:$G$99999,5,FALSE)</f>
        <v>MAELZER KURT</v>
      </c>
      <c r="M29" s="6">
        <f t="shared" si="1"/>
        <v>2.4675925924384501E-2</v>
      </c>
      <c r="N29" s="7">
        <f t="shared" si="2"/>
        <v>35.533333331113681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5"/>
        <v>https://d0f6bd738d7f1b3e5a7ca70fe4ff75f0.us-east-1.aws.found.io/app/kibana#/discover/Steve-Slow-Train-Analysis-(2080s-and-2083s)?_g=(refreshInterval:(display:Off,pause:!f,section:0,value:0),time:(from:'2017-03-20T04:27:15-0600',mode:absolute,to:'2017-03-20T07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9" s="187" t="str">
        <f t="shared" si="6"/>
        <v>N</v>
      </c>
      <c r="X29" s="187">
        <f t="shared" si="7"/>
        <v>1</v>
      </c>
      <c r="Y29" s="62">
        <f t="shared" si="8"/>
        <v>4.3999999999999997E-2</v>
      </c>
      <c r="Z29" s="62">
        <f t="shared" si="9"/>
        <v>23.3278</v>
      </c>
      <c r="AA29" s="62">
        <f t="shared" si="10"/>
        <v>23.283799999999999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0117-20</v>
      </c>
      <c r="AE29" s="85" t="str">
        <f t="shared" si="12"/>
        <v>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 &amp; aws s3 cp s3://rtdc.mdm.uploadarchive.raw/RTDC4025/ "%USERPROFILE%\AppData\Local\Temp\OnboardLogs"\RTDC4025\2017-03-21 --exclude "*" --recursive --include "*20170321*" &amp; "%USERPROFILE%\Documents\GitHub\mrs-test-scripts\Headless Mode &amp; Sideloading\WalkAndUnGZ.bat" "%USERPROFILE%\AppData\Local\Temp\OnboardLogs"\RTDC4025\2017-03-21</v>
      </c>
      <c r="AF29" s="82" t="str">
        <f t="shared" si="13"/>
        <v>"C:\Program Files (x86)\AstroGrep\AstroGrep.exe" /e /r /s /spath="%USERPROFILE%\AppData\Local\Temp\OnboardLogs" /stypes="app*4025*20170320*" /stext=" 12:.+((SYSTEM_STATE.+slice.+state.+changed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8"/>
        <v>"%USERPROFILE%\Documents\GitHub\eaglep3\Utilities\RefineRTDCRunTimes.py" --tripid 117-20 --locoid 4025 --swversion DE.1.0.9.0 --startMP 204:440 --initTime 2017-03-20T05:27:15 --startdatetime 2017-03-20T05:45:21 --delay 1 --endMP 204:233278 --enddatetime 2017-03-20T06:20:53 --enforcementcount 0 &gt;&gt;C:\Users\stu\Documents\GitHub\eaglep3-reporting\EC\2017-03-20-refined-times.txt</v>
      </c>
      <c r="AI29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{"issue":{"subject":"","project_id":79,"tracker_id":40,"status_id":1,"priority_id":2,"assigned_to_id":23,"start_date":"2017-03-20","description":"","custom_fields":[{"id":1,"name":"Subdivision","value":"EC"},{"id":4,"name":"Milepost","value":"23.3278"},{"id":17,"name":"Train ID","value":"117-20"},{"id":16,"name":"Locomotive ID","value":"4025"},{"id":130,"name":"Impact","value":""},{"id":150,"name":"Time of Event (Mountain Time)","value":"06:20:53"},{"id":151,"name":"Denver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4025 --day 2017-03-20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"%USERPROFILE%\AppData\Local\Temp\OnboardLogs"\RTDC4025\*4025*20170320* | grep -SE "(Enforcement Action)|(\[TIMEOUT)|(CHR.+\|PRM\|1\|D.+(SWITCH|SIGNAL).+UNKNOWN)" - &gt;&gt; 2017-03-20-UncaughtWiMAX.txt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686</v>
      </c>
      <c r="B30" s="7">
        <v>4026</v>
      </c>
      <c r="C30" s="21" t="s">
        <v>222</v>
      </c>
      <c r="D30" s="21" t="s">
        <v>404</v>
      </c>
      <c r="E30" s="13">
        <v>42814.272164351853</v>
      </c>
      <c r="F30" s="13">
        <v>42814.278726851851</v>
      </c>
      <c r="G30" s="7">
        <v>0</v>
      </c>
      <c r="H30" s="21" t="s">
        <v>432</v>
      </c>
      <c r="I30" s="13">
        <v>42814.306388888886</v>
      </c>
      <c r="J30" s="7">
        <v>0</v>
      </c>
      <c r="K30" s="98" t="str">
        <f t="shared" si="0"/>
        <v>4025/4026</v>
      </c>
      <c r="L30" s="21" t="str">
        <f>VLOOKUP(A30,'Trips&amp;Operators'!$C$1:$G$99999,5,FALSE)</f>
        <v>MAELZER KURT</v>
      </c>
      <c r="M30" s="6">
        <f t="shared" si="1"/>
        <v>2.7662037035042886E-2</v>
      </c>
      <c r="N30" s="7">
        <f t="shared" si="2"/>
        <v>39.833333330461755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5"/>
        <v>https://d0f6bd738d7f1b3e5a7ca70fe4ff75f0.us-east-1.aws.found.io/app/kibana#/discover/Steve-Slow-Train-Analysis-(2080s-and-2083s)?_g=(refreshInterval:(display:Off,pause:!f,section:0,value:0),time:(from:'2017-03-20T05:31:55-0600',mode:absolute,to:'2017-03-20T08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0" s="187" t="str">
        <f t="shared" si="6"/>
        <v>N</v>
      </c>
      <c r="X30" s="187">
        <f t="shared" si="7"/>
        <v>1</v>
      </c>
      <c r="Y30" s="62">
        <f t="shared" si="8"/>
        <v>23.297499999999999</v>
      </c>
      <c r="Z30" s="62">
        <f t="shared" si="9"/>
        <v>1.3599999999999999E-2</v>
      </c>
      <c r="AA30" s="62">
        <f t="shared" si="10"/>
        <v>23.283899999999999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0118-20</v>
      </c>
      <c r="AE30" s="85" t="str">
        <f t="shared" si="12"/>
        <v>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 &amp; 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</v>
      </c>
      <c r="AF30" s="82" t="str">
        <f t="shared" si="13"/>
        <v>"C:\Program Files (x86)\AstroGrep\AstroGrep.exe" /e /r /s /spath="%USERPROFILE%\AppData\Local\Temp\OnboardLogs" /stypes="app*4026*20170320*" /stext=" 13:.+((SYSTEM_STATE.+slice.+state.+changed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8"/>
        <v>"%USERPROFILE%\Documents\GitHub\eaglep3\Utilities\RefineRTDCRunTimes.py" --tripid 118-20 --locoid 4026 --swversion DE.1.0.9.0 --startMP 204:232975 --initTime 2017-03-20T06:31:55 --startdatetime 2017-03-20T06:41:22 --delay 0 --endMP 204:136 --enddatetime 2017-03-20T07:21:12 --enforcementcount 0 &gt;&gt;C:\Users\stu\Documents\GitHub\eaglep3-reporting\EC\2017-03-20-refined-times.txt</v>
      </c>
      <c r="AI30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{"issue":{"subject":"","project_id":79,"tracker_id":40,"status_id":1,"priority_id":2,"assigned_to_id":23,"start_date":"2017-03-20","description":"","custom_fields":[{"id":1,"name":"Subdivision","value":"EC"},{"id":4,"name":"Milepost","value":"0.0136"},{"id":17,"name":"Train ID","value":"118-20"},{"id":16,"name":"Locomotive ID","value":"4026"},{"id":130,"name":"Impact","value":""},{"id":150,"name":"Time of Event (Mountain Time)","value":"07:21:12"},{"id":151,"name":"Denver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4026 --day 2017-03-20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"%USERPROFILE%\AppData\Local\Temp\OnboardLogs"\RTDC4026\*4026*20170320* | grep -SE "(Enforcement Action)|(\[TIMEOUT)|(CHR.+\|PRM\|1\|D.+(SWITCH|SIGNAL).+UNKNOWN)" - &gt;&gt; 2017-03-20-UncaughtWiMAX.txt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679</v>
      </c>
      <c r="B31" s="7">
        <v>4027</v>
      </c>
      <c r="C31" s="21" t="s">
        <v>222</v>
      </c>
      <c r="D31" s="21" t="s">
        <v>556</v>
      </c>
      <c r="E31" s="13">
        <v>42814.247881944444</v>
      </c>
      <c r="F31" s="13">
        <v>42814.250173611108</v>
      </c>
      <c r="G31" s="7">
        <v>1</v>
      </c>
      <c r="H31" s="21" t="s">
        <v>849</v>
      </c>
      <c r="I31" s="13">
        <v>42814.275925925926</v>
      </c>
      <c r="J31" s="7">
        <v>0</v>
      </c>
      <c r="K31" s="98" t="str">
        <f t="shared" si="0"/>
        <v>4027/4028</v>
      </c>
      <c r="L31" s="21" t="str">
        <f>VLOOKUP(A31,'Trips&amp;Operators'!$C$1:$G$99999,5,FALSE)</f>
        <v>STARKS ANGELINA</v>
      </c>
      <c r="M31" s="6">
        <f t="shared" si="1"/>
        <v>2.5752314817509614E-2</v>
      </c>
      <c r="N31" s="7">
        <f t="shared" si="2"/>
        <v>37.083333337213844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5"/>
        <v>https://d0f6bd738d7f1b3e5a7ca70fe4ff75f0.us-east-1.aws.found.io/app/kibana#/discover/Steve-Slow-Train-Analysis-(2080s-and-2083s)?_g=(refreshInterval:(display:Off,pause:!f,section:0,value:0),time:(from:'2017-03-20T04:56:57-0600',mode:absolute,to:'2017-03-20T07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1" s="187" t="str">
        <f t="shared" si="6"/>
        <v>N</v>
      </c>
      <c r="X31" s="187">
        <f t="shared" si="7"/>
        <v>1</v>
      </c>
      <c r="Y31" s="62">
        <f t="shared" si="8"/>
        <v>7.5700000000000003E-2</v>
      </c>
      <c r="Z31" s="62">
        <f t="shared" si="9"/>
        <v>23.33</v>
      </c>
      <c r="AA31" s="62">
        <f t="shared" si="10"/>
        <v>23.254299999999997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0119-20</v>
      </c>
      <c r="AE31" s="85" t="str">
        <f t="shared" si="12"/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AF31" s="82" t="str">
        <f t="shared" si="13"/>
        <v>"C:\Program Files (x86)\AstroGrep\AstroGrep.exe" /e /r /s /spath="%USERPROFILE%\AppData\Local\Temp\OnboardLogs" /stypes="app*4027*20170320*" /stext=" 12:.+((SYSTEM_STATE.+slice.+state.+changed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8"/>
        <v>"%USERPROFILE%\Documents\GitHub\eaglep3\Utilities\RefineRTDCRunTimes.py" --tripid 119-20 --locoid 4027 --swversion DE.1.0.9.0 --startMP 204:757 --initTime 2017-03-20T05:56:57 --startdatetime 2017-03-20T06:00:15 --delay 1 --endMP 204:233300 --enddatetime 2017-03-20T06:37:20 --enforcementcount 0 &gt;&gt;C:\Users\stu\Documents\GitHub\eaglep3-reporting\EC\2017-03-20-refined-times.txt</v>
      </c>
      <c r="AI31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{"issue":{"subject":"","project_id":79,"tracker_id":40,"status_id":1,"priority_id":2,"assigned_to_id":23,"start_date":"2017-03-20","description":"","custom_fields":[{"id":1,"name":"Subdivision","value":"EC"},{"id":4,"name":"Milepost","value":"23.33"},{"id":17,"name":"Train ID","value":"119-20"},{"id":16,"name":"Locomotive ID","value":"4027"},{"id":130,"name":"Impact","value":""},{"id":150,"name":"Time of Event (Mountain Time)","value":"06:37:20"},{"id":151,"name":"Denver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4027 --day 2017-03-20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"%USERPROFILE%\AppData\Local\Temp\OnboardLogs"\RTDC4027\*4027*20170320* | grep -SE "(Enforcement Action)|(\[TIMEOUT)|(CHR.+\|PRM\|1\|D.+(SWITCH|SIGNAL).+UNKNOWN)" - &gt;&gt; 2017-03-20-UncaughtWiMAX.txt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687</v>
      </c>
      <c r="B32" s="7">
        <v>4028</v>
      </c>
      <c r="C32" s="21" t="s">
        <v>222</v>
      </c>
      <c r="D32" s="21" t="s">
        <v>520</v>
      </c>
      <c r="E32" s="13">
        <v>42814.28361111111</v>
      </c>
      <c r="F32" s="13">
        <v>42814.289143518516</v>
      </c>
      <c r="G32" s="7">
        <v>2</v>
      </c>
      <c r="H32" s="21" t="s">
        <v>409</v>
      </c>
      <c r="I32" s="13">
        <v>42814.317754629628</v>
      </c>
      <c r="J32" s="7">
        <v>0</v>
      </c>
      <c r="K32" s="98" t="str">
        <f t="shared" si="0"/>
        <v>4027/4028</v>
      </c>
      <c r="L32" s="21" t="str">
        <f>VLOOKUP(A32,'Trips&amp;Operators'!$C$1:$G$99999,5,FALSE)</f>
        <v>STARKS ANGELINA</v>
      </c>
      <c r="M32" s="6">
        <f t="shared" si="1"/>
        <v>2.8611111112695653E-2</v>
      </c>
      <c r="N32" s="7">
        <f t="shared" si="2"/>
        <v>41.20000000228174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5"/>
        <v>https://d0f6bd738d7f1b3e5a7ca70fe4ff75f0.us-east-1.aws.found.io/app/kibana#/discover/Steve-Slow-Train-Analysis-(2080s-and-2083s)?_g=(refreshInterval:(display:Off,pause:!f,section:0,value:0),time:(from:'2017-03-20T05:48:24-0600',mode:absolute,to:'2017-03-20T08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2" s="187" t="str">
        <f t="shared" si="6"/>
        <v>N</v>
      </c>
      <c r="X32" s="187">
        <f t="shared" si="7"/>
        <v>1</v>
      </c>
      <c r="Y32" s="62">
        <f t="shared" si="8"/>
        <v>23.298300000000001</v>
      </c>
      <c r="Z32" s="62">
        <f t="shared" si="9"/>
        <v>1.4500000000000001E-2</v>
      </c>
      <c r="AA32" s="62">
        <f t="shared" si="10"/>
        <v>23.283799999999999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0120-20</v>
      </c>
      <c r="AE32" s="85" t="str">
        <f t="shared" si="12"/>
        <v>aws s3 cp s3://rtdc.mdm.uploadarchive.raw/RTDC4028/ "%USERPROFILE%\AppData\Local\Temp\OnboardLogs"\RTDC4028\2017-03-20 --exclude "*" --recursive --include "*20170320*" &amp; "%USERPROFILE%\Documents\GitHub\mrs-test-scripts\Headless Mode &amp; Sideloading\WalkAndUnGZ.bat" "%USERPROFILE%\AppData\Local\Temp\OnboardLogs"\RTDC4028\2017-03-20 &amp; aws s3 cp s3://rtdc.mdm.uploadarchive.raw/RTDC4028/ "%USERPROFILE%\AppData\Local\Temp\OnboardLogs"\RTDC4028\2017-03-21 --exclude "*" --recursive --include "*20170321*" &amp; "%USERPROFILE%\Documents\GitHub\mrs-test-scripts\Headless Mode &amp; Sideloading\WalkAndUnGZ.bat" "%USERPROFILE%\AppData\Local\Temp\OnboardLogs"\RTDC4028\2017-03-21</v>
      </c>
      <c r="AF32" s="82" t="str">
        <f t="shared" si="13"/>
        <v>"C:\Program Files (x86)\AstroGrep\AstroGrep.exe" /e /r /s /spath="%USERPROFILE%\AppData\Local\Temp\OnboardLogs" /stypes="app*4028*20170320*" /stext=" 13:.+((SYSTEM_STATE.+slice.+state.+changed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8"/>
        <v>"%USERPROFILE%\Documents\GitHub\eaglep3\Utilities\RefineRTDCRunTimes.py" --tripid 120-20 --locoid 4028 --swversion DE.1.0.9.0 --startMP 204:232983 --initTime 2017-03-20T06:48:24 --startdatetime 2017-03-20T06:56:22 --delay 2 --endMP 204:145 --enddatetime 2017-03-20T07:37:34 --enforcementcount 0 &gt;&gt;C:\Users\stu\Documents\GitHub\eaglep3-reporting\EC\2017-03-20-refined-times.txt</v>
      </c>
      <c r="AI32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{"issue":{"subject":"","project_id":79,"tracker_id":40,"status_id":1,"priority_id":2,"assigned_to_id":23,"start_date":"2017-03-20","description":"","custom_fields":[{"id":1,"name":"Subdivision","value":"EC"},{"id":4,"name":"Milepost","value":"0.0145"},{"id":17,"name":"Train ID","value":"120-20"},{"id":16,"name":"Locomotive ID","value":"4028"},{"id":130,"name":"Impact","value":""},{"id":150,"name":"Time of Event (Mountain Time)","value":"07:37:34"},{"id":151,"name":"Denver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4028 --day 2017-03-20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"%USERPROFILE%\AppData\Local\Temp\OnboardLogs"\RTDC4028\*4028*20170320* | grep -SE "(Enforcement Action)|(\[TIMEOUT)|(CHR.+\|PRM\|1\|D.+(SWITCH|SIGNAL).+UNKNOWN)" - &gt;&gt; 2017-03-20-UncaughtWiMAX.txt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684</v>
      </c>
      <c r="B33" s="7">
        <v>4003</v>
      </c>
      <c r="C33" s="21" t="s">
        <v>222</v>
      </c>
      <c r="D33" s="21" t="s">
        <v>406</v>
      </c>
      <c r="E33" s="13">
        <v>42814.257002314815</v>
      </c>
      <c r="F33" s="13">
        <v>42814.260694444441</v>
      </c>
      <c r="G33" s="7">
        <v>1</v>
      </c>
      <c r="H33" s="21" t="s">
        <v>561</v>
      </c>
      <c r="I33" s="13">
        <v>42814.287245370368</v>
      </c>
      <c r="J33" s="7">
        <v>0</v>
      </c>
      <c r="K33" s="98" t="str">
        <f t="shared" si="0"/>
        <v>4003/4004</v>
      </c>
      <c r="L33" s="21" t="str">
        <f>VLOOKUP(A33,'Trips&amp;Operators'!$C$1:$G$99999,5,FALSE)</f>
        <v>GUZMAN DANNY</v>
      </c>
      <c r="M33" s="6">
        <f t="shared" si="1"/>
        <v>2.6550925926130731E-2</v>
      </c>
      <c r="N33" s="7">
        <f t="shared" si="2"/>
        <v>38.233333333628252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5"/>
        <v>https://d0f6bd738d7f1b3e5a7ca70fe4ff75f0.us-east-1.aws.found.io/app/kibana#/discover/Steve-Slow-Train-Analysis-(2080s-and-2083s)?_g=(refreshInterval:(display:Off,pause:!f,section:0,value:0),time:(from:'2017-03-20T05:10:05-0600',mode:absolute,to:'2017-03-20T07:53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3" s="187" t="str">
        <f t="shared" si="6"/>
        <v>N</v>
      </c>
      <c r="X33" s="187">
        <f t="shared" si="7"/>
        <v>1</v>
      </c>
      <c r="Y33" s="62">
        <f t="shared" si="8"/>
        <v>4.7100000000000003E-2</v>
      </c>
      <c r="Z33" s="62">
        <f t="shared" si="9"/>
        <v>23.327999999999999</v>
      </c>
      <c r="AA33" s="62">
        <f t="shared" si="10"/>
        <v>23.280899999999999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0121-20</v>
      </c>
      <c r="AE33" s="85" t="str">
        <f t="shared" si="12"/>
        <v>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 &amp; 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</v>
      </c>
      <c r="AF33" s="82" t="str">
        <f t="shared" si="13"/>
        <v>"C:\Program Files (x86)\AstroGrep\AstroGrep.exe" /e /r /s /spath="%USERPROFILE%\AppData\Local\Temp\OnboardLogs" /stypes="app*4003*20170320*" /stext=" 12:.+((SYSTEM_STATE.+slice.+state.+changed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8"/>
        <v>"%USERPROFILE%\Documents\GitHub\eaglep3\Utilities\RefineRTDCRunTimes.py" --tripid 121-20 --locoid 4003 --swversion DE.1.0.9.0 --startMP 204:471 --initTime 2017-03-20T06:10:05 --startdatetime 2017-03-20T06:15:24 --delay 1 --endMP 204:233280 --enddatetime 2017-03-20T06:53:38 --enforcementcount 0 &gt;&gt;C:\Users\stu\Documents\GitHub\eaglep3-reporting\EC\2017-03-20-refined-times.txt</v>
      </c>
      <c r="AI33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{"issue":{"subject":"","project_id":79,"tracker_id":40,"status_id":1,"priority_id":2,"assigned_to_id":23,"start_date":"2017-03-20","description":"","custom_fields":[{"id":1,"name":"Subdivision","value":"EC"},{"id":4,"name":"Milepost","value":"23.328"},{"id":17,"name":"Train ID","value":"121-20"},{"id":16,"name":"Locomotive ID","value":"4003"},{"id":130,"name":"Impact","value":""},{"id":150,"name":"Time of Event (Mountain Time)","value":"06:53:38"},{"id":151,"name":"Denver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4003 --day 2017-03-20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"%USERPROFILE%\AppData\Local\Temp\OnboardLogs"\RTDC4003\*4003*20170320* | grep -SE "(Enforcement Action)|(\[TIMEOUT)|(CHR.+\|PRM\|1\|D.+(SWITCH|SIGNAL).+UNKNOWN)" - &gt;&gt; 2017-03-20-UncaughtWiMAX.txt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689</v>
      </c>
      <c r="B34" s="7">
        <v>4004</v>
      </c>
      <c r="C34" s="21" t="s">
        <v>222</v>
      </c>
      <c r="D34" s="21" t="s">
        <v>850</v>
      </c>
      <c r="E34" s="13">
        <v>42814.292361111111</v>
      </c>
      <c r="F34" s="13">
        <v>42814.299664351849</v>
      </c>
      <c r="G34" s="7">
        <v>1</v>
      </c>
      <c r="H34" s="21" t="s">
        <v>216</v>
      </c>
      <c r="I34" s="13">
        <v>42814.3280787037</v>
      </c>
      <c r="J34" s="7">
        <v>0</v>
      </c>
      <c r="K34" s="98" t="str">
        <f t="shared" si="0"/>
        <v>4003/4004</v>
      </c>
      <c r="L34" s="21" t="str">
        <f>VLOOKUP(A34,'Trips&amp;Operators'!$C$1:$G$99999,5,FALSE)</f>
        <v>GUZMAN DANNY</v>
      </c>
      <c r="M34" s="6">
        <f t="shared" si="1"/>
        <v>2.8414351851097308E-2</v>
      </c>
      <c r="N34" s="7">
        <f t="shared" si="2"/>
        <v>40.916666665580124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5"/>
        <v>https://d0f6bd738d7f1b3e5a7ca70fe4ff75f0.us-east-1.aws.found.io/app/kibana#/discover/Steve-Slow-Train-Analysis-(2080s-and-2083s)?_g=(refreshInterval:(display:Off,pause:!f,section:0,value:0),time:(from:'2017-03-20T06:01:00-0600',mode:absolute,to:'2017-03-20T08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4" s="187" t="str">
        <f t="shared" si="6"/>
        <v>N</v>
      </c>
      <c r="X34" s="187">
        <f t="shared" si="7"/>
        <v>1</v>
      </c>
      <c r="Y34" s="62">
        <f t="shared" si="8"/>
        <v>23.296500000000002</v>
      </c>
      <c r="Z34" s="62">
        <f t="shared" si="9"/>
        <v>1.5599999999999999E-2</v>
      </c>
      <c r="AA34" s="62">
        <f t="shared" si="10"/>
        <v>23.280900000000003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0122-20</v>
      </c>
      <c r="AE34" s="85" t="str">
        <f t="shared" si="12"/>
        <v>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 &amp; aws s3 cp s3://rtdc.mdm.uploadarchive.raw/RTDC4004/ "%USERPROFILE%\AppData\Local\Temp\OnboardLogs"\RTDC4004\2017-03-21 --exclude "*" --recursive --include "*20170321*" &amp; "%USERPROFILE%\Documents\GitHub\mrs-test-scripts\Headless Mode &amp; Sideloading\WalkAndUnGZ.bat" "%USERPROFILE%\AppData\Local\Temp\OnboardLogs"\RTDC4004\2017-03-21</v>
      </c>
      <c r="AF34" s="82" t="str">
        <f t="shared" si="13"/>
        <v>"C:\Program Files (x86)\AstroGrep\AstroGrep.exe" /e /r /s /spath="%USERPROFILE%\AppData\Local\Temp\OnboardLogs" /stypes="app*4004*20170320*" /stext=" 13:.+((SYSTEM_STATE.+slice.+state.+changed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8"/>
        <v>"%USERPROFILE%\Documents\GitHub\eaglep3\Utilities\RefineRTDCRunTimes.py" --tripid 122-20 --locoid 4004 --swversion DE.1.0.9.0 --startMP 204:232965 --initTime 2017-03-20T07:01:00 --startdatetime 2017-03-20T07:11:31 --delay 1 --endMP 204:156 --enddatetime 2017-03-20T07:52:26 --enforcementcount 0 &gt;&gt;C:\Users\stu\Documents\GitHub\eaglep3-reporting\EC\2017-03-20-refined-times.txt</v>
      </c>
      <c r="AI34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{"issue":{"subject":"","project_id":79,"tracker_id":40,"status_id":1,"priority_id":2,"assigned_to_id":23,"start_date":"2017-03-20","description":"","custom_fields":[{"id":1,"name":"Subdivision","value":"EC"},{"id":4,"name":"Milepost","value":"0.0156"},{"id":17,"name":"Train ID","value":"122-20"},{"id":16,"name":"Locomotive ID","value":"4004"},{"id":130,"name":"Impact","value":""},{"id":150,"name":"Time of Event (Mountain Time)","value":"07:52:26"},{"id":151,"name":"Denver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4004 --day 2017-03-20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"%USERPROFILE%\AppData\Local\Temp\OnboardLogs"\RTDC4004\*4004*20170320* | grep -SE "(Enforcement Action)|(\[TIMEOUT)|(CHR.+\|PRM\|1\|D.+(SWITCH|SIGNAL).+UNKNOWN)" - &gt;&gt; 2017-03-20-UncaughtWiMAX.txt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685</v>
      </c>
      <c r="B35" s="7">
        <v>4042</v>
      </c>
      <c r="C35" s="21" t="s">
        <v>222</v>
      </c>
      <c r="D35" s="21" t="s">
        <v>429</v>
      </c>
      <c r="E35" s="13">
        <v>42814.266030092593</v>
      </c>
      <c r="F35" s="13">
        <v>42814.271111111113</v>
      </c>
      <c r="G35" s="7">
        <v>1</v>
      </c>
      <c r="H35" s="21" t="s">
        <v>506</v>
      </c>
      <c r="I35" s="13">
        <v>42814.296863425923</v>
      </c>
      <c r="J35" s="7">
        <v>0</v>
      </c>
      <c r="K35" s="98" t="str">
        <f t="shared" si="0"/>
        <v>4041/4042</v>
      </c>
      <c r="L35" s="21" t="str">
        <f>VLOOKUP(A35,'Trips&amp;Operators'!$C$1:$G$99999,5,FALSE)</f>
        <v>ACKERMAN JARED</v>
      </c>
      <c r="M35" s="6">
        <f t="shared" si="1"/>
        <v>2.5752314810233656E-2</v>
      </c>
      <c r="N35" s="7">
        <f t="shared" si="2"/>
        <v>37.083333326736465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5"/>
        <v>https://d0f6bd738d7f1b3e5a7ca70fe4ff75f0.us-east-1.aws.found.io/app/kibana#/discover/Steve-Slow-Train-Analysis-(2080s-and-2083s)?_g=(refreshInterval:(display:Off,pause:!f,section:0,value:0),time:(from:'2017-03-20T05:23:05-0600',mode:absolute,to:'2017-03-20T08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5" s="187" t="str">
        <f t="shared" si="6"/>
        <v>N</v>
      </c>
      <c r="X35" s="187">
        <f t="shared" si="7"/>
        <v>1</v>
      </c>
      <c r="Y35" s="62">
        <f t="shared" si="8"/>
        <v>4.4400000000000002E-2</v>
      </c>
      <c r="Z35" s="62">
        <f t="shared" si="9"/>
        <v>23.331700000000001</v>
      </c>
      <c r="AA35" s="62">
        <f t="shared" si="10"/>
        <v>23.287300000000002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0123-20</v>
      </c>
      <c r="AE35" s="85" t="str">
        <f t="shared" si="12"/>
        <v>aws s3 cp s3://rtdc.mdm.uploadarchive.raw/RTDC4042/ "%USERPROFILE%\AppData\Local\Temp\OnboardLogs"\RTDC4042\2017-03-20 --exclude "*" --recursive --include "*20170320*" &amp; "%USERPROFILE%\Documents\GitHub\mrs-test-scripts\Headless Mode &amp; Sideloading\WalkAndUnGZ.bat" "%USERPROFILE%\AppData\Local\Temp\OnboardLogs"\RTDC4042\2017-03-20 &amp; aws s3 cp s3://rtdc.mdm.uploadarchive.raw/RTDC4042/ "%USERPROFILE%\AppData\Local\Temp\OnboardLogs"\RTDC4042\2017-03-21 --exclude "*" --recursive --include "*20170321*" &amp; "%USERPROFILE%\Documents\GitHub\mrs-test-scripts\Headless Mode &amp; Sideloading\WalkAndUnGZ.bat" "%USERPROFILE%\AppData\Local\Temp\OnboardLogs"\RTDC4042\2017-03-21</v>
      </c>
      <c r="AF35" s="82" t="str">
        <f t="shared" si="13"/>
        <v>"C:\Program Files (x86)\AstroGrep\AstroGrep.exe" /e /r /s /spath="%USERPROFILE%\AppData\Local\Temp\OnboardLogs" /stypes="app*4042*20170320*"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8"/>
        <v>"%USERPROFILE%\Documents\GitHub\eaglep3\Utilities\RefineRTDCRunTimes.py" --tripid 123-20 --locoid 4042 --swversion DE.1.0.9.0 --startMP 204:444 --initTime 2017-03-20T06:23:05 --startdatetime 2017-03-20T06:30:24 --delay 1 --endMP 204:233317 --enddatetime 2017-03-20T07:07:29 --enforcementcount 0 &gt;&gt;C:\Users\stu\Documents\GitHub\eaglep3-reporting\EC\2017-03-20-refined-times.txt</v>
      </c>
      <c r="AI35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{"issue":{"subject":"","project_id":79,"tracker_id":40,"status_id":1,"priority_id":2,"assigned_to_id":23,"start_date":"2017-03-20","description":"","custom_fields":[{"id":1,"name":"Subdivision","value":"EC"},{"id":4,"name":"Milepost","value":"23.3317"},{"id":17,"name":"Train ID","value":"123-20"},{"id":16,"name":"Locomotive ID","value":"4042"},{"id":130,"name":"Impact","value":""},{"id":150,"name":"Time of Event (Mountain Time)","value":"07:07:29"},{"id":151,"name":"Denver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4042 --day 2017-03-20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"%USERPROFILE%\AppData\Local\Temp\OnboardLogs"\RTDC4042\*4042*20170320* | grep -SE "(Enforcement Action)|(\[TIMEOUT)|(CHR.+\|PRM\|1\|D.+(SWITCH|SIGNAL).+UNKNOWN)" - &gt;&gt; 2017-03-20-UncaughtWiMAX.txt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691</v>
      </c>
      <c r="B36" s="7">
        <v>4041</v>
      </c>
      <c r="C36" s="21" t="s">
        <v>222</v>
      </c>
      <c r="D36" s="21" t="s">
        <v>510</v>
      </c>
      <c r="E36" s="13">
        <v>42814.302060185182</v>
      </c>
      <c r="F36" s="13">
        <v>42814.31009259259</v>
      </c>
      <c r="G36" s="7">
        <v>1</v>
      </c>
      <c r="H36" s="21" t="s">
        <v>576</v>
      </c>
      <c r="I36" s="13">
        <v>42814.336759259262</v>
      </c>
      <c r="J36" s="7">
        <v>0</v>
      </c>
      <c r="K36" s="98" t="str">
        <f t="shared" si="0"/>
        <v>4041/4042</v>
      </c>
      <c r="L36" s="21" t="str">
        <f>VLOOKUP(A36,'Trips&amp;Operators'!$C$1:$G$99999,5,FALSE)</f>
        <v>ACKERMAN JARED</v>
      </c>
      <c r="M36" s="6">
        <f t="shared" si="1"/>
        <v>2.6666666672099382E-2</v>
      </c>
      <c r="N36" s="7">
        <f t="shared" si="2"/>
        <v>38.40000000782311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5"/>
        <v>https://d0f6bd738d7f1b3e5a7ca70fe4ff75f0.us-east-1.aws.found.io/app/kibana#/discover/Steve-Slow-Train-Analysis-(2080s-and-2083s)?_g=(refreshInterval:(display:Off,pause:!f,section:0,value:0),time:(from:'2017-03-20T06:14:58-0600',mode:absolute,to:'2017-03-20T09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6" s="187" t="str">
        <f t="shared" si="6"/>
        <v>N</v>
      </c>
      <c r="X36" s="187">
        <f t="shared" si="7"/>
        <v>1</v>
      </c>
      <c r="Y36" s="62">
        <f t="shared" si="8"/>
        <v>23.2989</v>
      </c>
      <c r="Z36" s="62">
        <f t="shared" si="9"/>
        <v>1.32E-2</v>
      </c>
      <c r="AA36" s="62">
        <f t="shared" si="10"/>
        <v>23.285699999999999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0124-20</v>
      </c>
      <c r="AE36" s="85" t="str">
        <f t="shared" si="12"/>
        <v>aws s3 cp s3://rtdc.mdm.uploadarchive.raw/RTDC4041/ "%USERPROFILE%\AppData\Local\Temp\OnboardLogs"\RTDC4041\2017-03-20 --exclude "*" --recursive --include "*20170320*" &amp; "%USERPROFILE%\Documents\GitHub\mrs-test-scripts\Headless Mode &amp; Sideloading\WalkAndUnGZ.bat" "%USERPROFILE%\AppData\Local\Temp\OnboardLogs"\RTDC4041\2017-03-20 &amp; aws s3 cp s3://rtdc.mdm.uploadarchive.raw/RTDC4041/ "%USERPROFILE%\AppData\Local\Temp\OnboardLogs"\RTDC4041\2017-03-21 --exclude "*" --recursive --include "*20170321*" &amp; "%USERPROFILE%\Documents\GitHub\mrs-test-scripts\Headless Mode &amp; Sideloading\WalkAndUnGZ.bat" "%USERPROFILE%\AppData\Local\Temp\OnboardLogs"\RTDC4041\2017-03-21</v>
      </c>
      <c r="AF36" s="82" t="str">
        <f t="shared" si="13"/>
        <v>"C:\Program Files (x86)\AstroGrep\AstroGrep.exe" /e /r /s /spath="%USERPROFILE%\AppData\Local\Temp\OnboardLogs" /stypes="app*4041*20170320*" /stext=" 14:.+((SYSTEM_STATE.+slice.+state.+changed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8"/>
        <v>"%USERPROFILE%\Documents\GitHub\eaglep3\Utilities\RefineRTDCRunTimes.py" --tripid 124-20 --locoid 4041 --swversion DE.1.0.9.0 --startMP 204:232989 --initTime 2017-03-20T07:14:58 --startdatetime 2017-03-20T07:26:32 --delay 1 --endMP 204:132 --enddatetime 2017-03-20T08:04:56 --enforcementcount 0 &gt;&gt;C:\Users\stu\Documents\GitHub\eaglep3-reporting\EC\2017-03-20-refined-times.txt</v>
      </c>
      <c r="AI36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{"issue":{"subject":"","project_id":79,"tracker_id":40,"status_id":1,"priority_id":2,"assigned_to_id":23,"start_date":"2017-03-20","description":"","custom_fields":[{"id":1,"name":"Subdivision","value":"EC"},{"id":4,"name":"Milepost","value":"0.0132"},{"id":17,"name":"Train ID","value":"124-20"},{"id":16,"name":"Locomotive ID","value":"4041"},{"id":130,"name":"Impact","value":""},{"id":150,"name":"Time of Event (Mountain Time)","value":"08:04:56"},{"id":151,"name":"Denver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4041 --day 2017-03-20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"%USERPROFILE%\AppData\Local\Temp\OnboardLogs"\RTDC4041\*4041*20170320* | grep -SE "(Enforcement Action)|(\[TIMEOUT)|(CHR.+\|PRM\|1\|D.+(SWITCH|SIGNAL).+UNKNOWN)" - &gt;&gt; 2017-03-20-UncaughtWiMAX.txt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602</v>
      </c>
      <c r="B37" s="7">
        <v>4022</v>
      </c>
      <c r="C37" s="21" t="s">
        <v>222</v>
      </c>
      <c r="D37" s="21" t="s">
        <v>207</v>
      </c>
      <c r="E37" s="13">
        <v>42814.277430555558</v>
      </c>
      <c r="F37" s="13">
        <v>42814.281851851854</v>
      </c>
      <c r="G37" s="7">
        <v>1</v>
      </c>
      <c r="H37" s="21" t="s">
        <v>851</v>
      </c>
      <c r="I37" s="13">
        <v>42814.307638888888</v>
      </c>
      <c r="J37" s="7">
        <v>0</v>
      </c>
      <c r="K37" s="98" t="str">
        <f t="shared" si="0"/>
        <v>4021/4022</v>
      </c>
      <c r="L37" s="21" t="str">
        <f>VLOOKUP(A37,'Trips&amp;Operators'!$C$1:$G$99999,5,FALSE)</f>
        <v>WILLIAMS DONTE</v>
      </c>
      <c r="M37" s="6">
        <f t="shared" si="1"/>
        <v>2.5787037033296656E-2</v>
      </c>
      <c r="N37" s="7">
        <f t="shared" si="2"/>
        <v>37.133333327947184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5"/>
        <v>https://d0f6bd738d7f1b3e5a7ca70fe4ff75f0.us-east-1.aws.found.io/app/kibana#/discover/Steve-Slow-Train-Analysis-(2080s-and-2083s)?_g=(refreshInterval:(display:Off,pause:!f,section:0,value:0),time:(from:'2017-03-20T05:39:30-0600',mode:absolute,to:'2017-03-20T08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7" s="187" t="str">
        <f t="shared" si="6"/>
        <v>N</v>
      </c>
      <c r="X37" s="187">
        <f t="shared" si="7"/>
        <v>1</v>
      </c>
      <c r="Y37" s="62">
        <f t="shared" si="8"/>
        <v>4.5100000000000001E-2</v>
      </c>
      <c r="Z37" s="62">
        <f t="shared" si="9"/>
        <v>23.331099999999999</v>
      </c>
      <c r="AA37" s="62">
        <f t="shared" si="10"/>
        <v>23.285999999999998</v>
      </c>
      <c r="AB37" s="59" t="str">
        <f>VLOOKUP(A37,Enforcements!$C$7:$K$13,8,0)</f>
        <v>Bulletin (2)</v>
      </c>
      <c r="AC37" s="55" t="str">
        <f>VLOOKUP(A37,Enforcements!$C$7:$E$13,3,0)</f>
        <v>GRADE CROSSING</v>
      </c>
      <c r="AD37" s="56" t="str">
        <f t="shared" si="11"/>
        <v>0125-20</v>
      </c>
      <c r="AE37" s="85" t="str">
        <f t="shared" si="12"/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AF37" s="82" t="str">
        <f t="shared" si="13"/>
        <v>"C:\Program Files (x86)\AstroGrep\AstroGrep.exe" /e /r /s /spath="%USERPROFILE%\AppData\Local\Temp\OnboardLogs" /stypes="app*4022*20170320*" /stext=" 13:.+((SYSTEM_STATE.+slice.+state.+changed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8"/>
        <v>"%USERPROFILE%\Documents\GitHub\eaglep3\Utilities\RefineRTDCRunTimes.py" --tripid 125-20 --locoid 4022 --swversion DE.1.0.9.0 --startMP 204:451 --initTime 2017-03-20T06:39:30 --startdatetime 2017-03-20T06:45:52 --delay 1 --endMP 204:233311 --enddatetime 2017-03-20T07:23:00 --enforcementcount 0 &gt;&gt;C:\Users\stu\Documents\GitHub\eaglep3-reporting\EC\2017-03-20-refined-times.txt</v>
      </c>
      <c r="AI37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{"issue":{"subject":"","project_id":79,"tracker_id":40,"status_id":1,"priority_id":2,"assigned_to_id":23,"start_date":"2017-03-20","description":"","custom_fields":[{"id":1,"name":"Subdivision","value":"EC"},{"id":4,"name":"Milepost","value":"23.3311"},{"id":17,"name":"Train ID","value":"125-20"},{"id":16,"name":"Locomotive ID","value":"4022"},{"id":130,"name":"Impact","value":""},{"id":150,"name":"Time of Event (Mountain Time)","value":"07:23:00"},{"id":151,"name":"Denver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4022 --day 2017-03-20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"%USERPROFILE%\AppData\Local\Temp\OnboardLogs"\RTDC4022\*4022*20170320* | grep -SE "(Enforcement Action)|(\[TIMEOUT)|(CHR.+\|PRM\|1\|D.+(SWITCH|SIGNAL).+UNKNOWN)" - &gt;&gt; 2017-03-20-UncaughtWiMAX.txt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607</v>
      </c>
      <c r="B38" s="7">
        <v>4021</v>
      </c>
      <c r="C38" s="21" t="s">
        <v>222</v>
      </c>
      <c r="D38" s="21" t="s">
        <v>361</v>
      </c>
      <c r="E38" s="13">
        <v>42814.30945601852</v>
      </c>
      <c r="F38" s="13">
        <v>42814.320717592593</v>
      </c>
      <c r="G38" s="7">
        <v>2</v>
      </c>
      <c r="H38" s="21" t="s">
        <v>205</v>
      </c>
      <c r="I38" s="13">
        <v>42814.348043981481</v>
      </c>
      <c r="J38" s="7">
        <v>0</v>
      </c>
      <c r="K38" s="98" t="str">
        <f t="shared" si="0"/>
        <v>4021/4022</v>
      </c>
      <c r="L38" s="21" t="str">
        <f>VLOOKUP(A38,'Trips&amp;Operators'!$C$1:$G$99999,5,FALSE)</f>
        <v>WILLIAMS DONTE</v>
      </c>
      <c r="M38" s="6">
        <f t="shared" si="1"/>
        <v>2.73263888884685E-2</v>
      </c>
      <c r="N38" s="7">
        <f t="shared" si="2"/>
        <v>39.34999999939464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5"/>
        <v>https://d0f6bd738d7f1b3e5a7ca70fe4ff75f0.us-east-1.aws.found.io/app/kibana#/discover/Steve-Slow-Train-Analysis-(2080s-and-2083s)?_g=(refreshInterval:(display:Off,pause:!f,section:0,value:0),time:(from:'2017-03-20T06:25:37-0600',mode:absolute,to:'2017-03-20T09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8" s="187" t="str">
        <f t="shared" si="6"/>
        <v>N</v>
      </c>
      <c r="X38" s="187">
        <f t="shared" si="7"/>
        <v>1</v>
      </c>
      <c r="Y38" s="62">
        <f t="shared" si="8"/>
        <v>23.298200000000001</v>
      </c>
      <c r="Z38" s="62">
        <f t="shared" si="9"/>
        <v>1.54E-2</v>
      </c>
      <c r="AA38" s="62">
        <f t="shared" si="10"/>
        <v>23.282800000000002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0126-20</v>
      </c>
      <c r="AE38" s="85" t="str">
        <f t="shared" si="12"/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AF38" s="82" t="str">
        <f t="shared" si="13"/>
        <v>"C:\Program Files (x86)\AstroGrep\AstroGrep.exe" /e /r /s /spath="%USERPROFILE%\AppData\Local\Temp\OnboardLogs" /stypes="app*4021*20170320*" /stext=" 14:.+((SYSTEM_STATE.+slice.+state.+changed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8"/>
        <v>"%USERPROFILE%\Documents\GitHub\eaglep3\Utilities\RefineRTDCRunTimes.py" --tripid 126-20 --locoid 4021 --swversion DE.1.0.9.0 --startMP 204:232982 --initTime 2017-03-20T07:25:37 --startdatetime 2017-03-20T07:41:50 --delay 2 --endMP 204:154 --enddatetime 2017-03-20T08:21:11 --enforcementcount 0 &gt;&gt;C:\Users\stu\Documents\GitHub\eaglep3-reporting\EC\2017-03-20-refined-times.txt</v>
      </c>
      <c r="AI38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{"issue":{"subject":"","project_id":79,"tracker_id":40,"status_id":1,"priority_id":2,"assigned_to_id":23,"start_date":"2017-03-20","description":"","custom_fields":[{"id":1,"name":"Subdivision","value":"EC"},{"id":4,"name":"Milepost","value":"0.0154"},{"id":17,"name":"Train ID","value":"126-20"},{"id":16,"name":"Locomotive ID","value":"4021"},{"id":130,"name":"Impact","value":""},{"id":150,"name":"Time of Event (Mountain Time)","value":"08:21:11"},{"id":151,"name":"Denver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4021 --day 2017-03-20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"%USERPROFILE%\AppData\Local\Temp\OnboardLogs"\RTDC4021\*4021*20170320* | grep -SE "(Enforcement Action)|(\[TIMEOUT)|(CHR.+\|PRM\|1\|D.+(SWITCH|SIGNAL).+UNKNOWN)" - &gt;&gt; 2017-03-20-UncaughtWiMAX.txt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688</v>
      </c>
      <c r="B39" s="7">
        <v>4018</v>
      </c>
      <c r="C39" s="21" t="s">
        <v>222</v>
      </c>
      <c r="D39" s="21" t="s">
        <v>209</v>
      </c>
      <c r="E39" s="13">
        <v>42814.285960648151</v>
      </c>
      <c r="F39" s="13">
        <v>42814.291898148149</v>
      </c>
      <c r="G39" s="7">
        <v>1</v>
      </c>
      <c r="H39" s="21" t="s">
        <v>395</v>
      </c>
      <c r="I39" s="13">
        <v>42814.316921296297</v>
      </c>
      <c r="J39" s="7">
        <v>0</v>
      </c>
      <c r="K39" s="98" t="str">
        <f t="shared" si="0"/>
        <v>4017/4018</v>
      </c>
      <c r="L39" s="21" t="str">
        <f>VLOOKUP(A39,'Trips&amp;Operators'!$C$1:$G$99999,5,FALSE)</f>
        <v>SANTIZO D. EDY</v>
      </c>
      <c r="M39" s="6">
        <f t="shared" si="1"/>
        <v>2.5023148147738539E-2</v>
      </c>
      <c r="N39" s="7">
        <f t="shared" si="2"/>
        <v>36.033333332743496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5"/>
        <v>https://d0f6bd738d7f1b3e5a7ca70fe4ff75f0.us-east-1.aws.found.io/app/kibana#/discover/Steve-Slow-Train-Analysis-(2080s-and-2083s)?_g=(refreshInterval:(display:Off,pause:!f,section:0,value:0),time:(from:'2017-03-20T05:51:47-0600',mode:absolute,to:'2017-03-20T08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9" s="187" t="str">
        <f t="shared" si="6"/>
        <v>N</v>
      </c>
      <c r="X39" s="187">
        <f t="shared" si="7"/>
        <v>1</v>
      </c>
      <c r="Y39" s="62">
        <f t="shared" si="8"/>
        <v>4.5999999999999999E-2</v>
      </c>
      <c r="Z39" s="62">
        <f t="shared" si="9"/>
        <v>23.3306</v>
      </c>
      <c r="AA39" s="62">
        <f t="shared" si="10"/>
        <v>23.284600000000001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0127-20</v>
      </c>
      <c r="AE39" s="85" t="str">
        <f t="shared" si="12"/>
        <v>aws s3 cp s3://rtdc.mdm.uploadarchive.raw/RTDC4018/ "%USERPROFILE%\AppData\Local\Temp\OnboardLogs"\RTDC4018\2017-03-20 --exclude "*" --recursive --include "*20170320*" &amp; "%USERPROFILE%\Documents\GitHub\mrs-test-scripts\Headless Mode &amp; Sideloading\WalkAndUnGZ.bat" "%USERPROFILE%\AppData\Local\Temp\OnboardLogs"\RTDC4018\2017-03-20 &amp; aws s3 cp s3://rtdc.mdm.uploadarchive.raw/RTDC4018/ "%USERPROFILE%\AppData\Local\Temp\OnboardLogs"\RTDC4018\2017-03-21 --exclude "*" --recursive --include "*20170321*" &amp; "%USERPROFILE%\Documents\GitHub\mrs-test-scripts\Headless Mode &amp; Sideloading\WalkAndUnGZ.bat" "%USERPROFILE%\AppData\Local\Temp\OnboardLogs"\RTDC4018\2017-03-21</v>
      </c>
      <c r="AF39" s="82" t="str">
        <f t="shared" si="13"/>
        <v>"C:\Program Files (x86)\AstroGrep\AstroGrep.exe" /e /r /s /spath="%USERPROFILE%\AppData\Local\Temp\OnboardLogs" /stypes="app*4018*20170320*" /stext=" 13:.+((SYSTEM_STATE.+slice.+state.+changed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8"/>
        <v>"%USERPROFILE%\Documents\GitHub\eaglep3\Utilities\RefineRTDCRunTimes.py" --tripid 127-20 --locoid 4018 --swversion DE.1.0.9.0 --startMP 204:460 --initTime 2017-03-20T06:51:47 --startdatetime 2017-03-20T07:00:20 --delay 1 --endMP 204:233306 --enddatetime 2017-03-20T07:36:22 --enforcementcount 0 &gt;&gt;C:\Users\stu\Documents\GitHub\eaglep3-reporting\EC\2017-03-20-refined-times.txt</v>
      </c>
      <c r="AI39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{"issue":{"subject":"","project_id":79,"tracker_id":40,"status_id":1,"priority_id":2,"assigned_to_id":23,"start_date":"2017-03-20","description":"","custom_fields":[{"id":1,"name":"Subdivision","value":"EC"},{"id":4,"name":"Milepost","value":"23.3306"},{"id":17,"name":"Train ID","value":"127-20"},{"id":16,"name":"Locomotive ID","value":"4018"},{"id":130,"name":"Impact","value":""},{"id":150,"name":"Time of Event (Mountain Time)","value":"07:36:22"},{"id":151,"name":"Denver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4018 --day 2017-03-20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"%USERPROFILE%\AppData\Local\Temp\OnboardLogs"\RTDC4018\*4018*20170320* | grep -SE "(Enforcement Action)|(\[TIMEOUT)|(CHR.+\|PRM\|1\|D.+(SWITCH|SIGNAL).+UNKNOWN)" - &gt;&gt; 2017-03-20-UncaughtWiMAX.txt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613</v>
      </c>
      <c r="B40" s="7">
        <v>4017</v>
      </c>
      <c r="C40" s="21" t="s">
        <v>222</v>
      </c>
      <c r="D40" s="21" t="s">
        <v>405</v>
      </c>
      <c r="E40" s="13">
        <v>42814.318171296298</v>
      </c>
      <c r="F40" s="13">
        <v>42814.33079861111</v>
      </c>
      <c r="G40" s="7">
        <v>0</v>
      </c>
      <c r="H40" s="21" t="s">
        <v>432</v>
      </c>
      <c r="I40" s="13">
        <v>42814.35738425926</v>
      </c>
      <c r="J40" s="7">
        <v>0</v>
      </c>
      <c r="K40" s="98" t="str">
        <f t="shared" si="0"/>
        <v>4017/4018</v>
      </c>
      <c r="L40" s="21" t="str">
        <f>VLOOKUP(A40,'Trips&amp;Operators'!$C$1:$G$99999,5,FALSE)</f>
        <v>SANTIZO D. EDY</v>
      </c>
      <c r="M40" s="6">
        <f t="shared" si="1"/>
        <v>2.658564814919373E-2</v>
      </c>
      <c r="N40" s="7">
        <f t="shared" si="2"/>
        <v>38.283333334838971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5"/>
        <v>https://d0f6bd738d7f1b3e5a7ca70fe4ff75f0.us-east-1.aws.found.io/app/kibana#/discover/Steve-Slow-Train-Analysis-(2080s-and-2083s)?_g=(refreshInterval:(display:Off,pause:!f,section:0,value:0),time:(from:'2017-03-20T06:38:10-0600',mode:absolute,to:'2017-03-20T09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0" s="187" t="str">
        <f t="shared" si="6"/>
        <v>N</v>
      </c>
      <c r="X40" s="187">
        <f t="shared" si="7"/>
        <v>1</v>
      </c>
      <c r="Y40" s="62">
        <f t="shared" si="8"/>
        <v>23.2987</v>
      </c>
      <c r="Z40" s="62">
        <f t="shared" si="9"/>
        <v>1.3599999999999999E-2</v>
      </c>
      <c r="AA40" s="62">
        <f t="shared" si="10"/>
        <v>23.2851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0128-20</v>
      </c>
      <c r="AE40" s="85" t="str">
        <f t="shared" si="12"/>
        <v>aws s3 cp s3://rtdc.mdm.uploadarchive.raw/RTDC4017/ "%USERPROFILE%\AppData\Local\Temp\OnboardLogs"\RTDC4017\2017-03-20 --exclude "*" --recursive --include "*20170320*" &amp; "%USERPROFILE%\Documents\GitHub\mrs-test-scripts\Headless Mode &amp; Sideloading\WalkAndUnGZ.bat" "%USERPROFILE%\AppData\Local\Temp\OnboardLogs"\RTDC4017\2017-03-20 &amp; aws s3 cp s3://rtdc.mdm.uploadarchive.raw/RTDC4017/ "%USERPROFILE%\AppData\Local\Temp\OnboardLogs"\RTDC4017\2017-03-21 --exclude "*" --recursive --include "*20170321*" &amp; "%USERPROFILE%\Documents\GitHub\mrs-test-scripts\Headless Mode &amp; Sideloading\WalkAndUnGZ.bat" "%USERPROFILE%\AppData\Local\Temp\OnboardLogs"\RTDC4017\2017-03-21</v>
      </c>
      <c r="AF40" s="82" t="str">
        <f t="shared" si="13"/>
        <v>"C:\Program Files (x86)\AstroGrep\AstroGrep.exe" /e /r /s /spath="%USERPROFILE%\AppData\Local\Temp\OnboardLogs" /stypes="app*4017*20170320*" /stext=" 14:.+((SYSTEM_STATE.+slice.+state.+changed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8"/>
        <v>"%USERPROFILE%\Documents\GitHub\eaglep3\Utilities\RefineRTDCRunTimes.py" --tripid 128-20 --locoid 4017 --swversion DE.1.0.9.0 --startMP 204:232987 --initTime 2017-03-20T07:38:10 --startdatetime 2017-03-20T07:56:21 --delay 0 --endMP 204:136 --enddatetime 2017-03-20T08:34:38 --enforcementcount 0 &gt;&gt;C:\Users\stu\Documents\GitHub\eaglep3-reporting\EC\2017-03-20-refined-times.txt</v>
      </c>
      <c r="AI40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{"issue":{"subject":"","project_id":79,"tracker_id":40,"status_id":1,"priority_id":2,"assigned_to_id":23,"start_date":"2017-03-20","description":"","custom_fields":[{"id":1,"name":"Subdivision","value":"EC"},{"id":4,"name":"Milepost","value":"0.0136"},{"id":17,"name":"Train ID","value":"128-20"},{"id":16,"name":"Locomotive ID","value":"4017"},{"id":130,"name":"Impact","value":""},{"id":150,"name":"Time of Event (Mountain Time)","value":"08:34:38"},{"id":151,"name":"Denver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4017 --day 2017-03-20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"%USERPROFILE%\AppData\Local\Temp\OnboardLogs"\RTDC4017\*4017*20170320* | grep -SE "(Enforcement Action)|(\[TIMEOUT)|(CHR.+\|PRM\|1\|D.+(SWITCH|SIGNAL).+UNKNOWN)" - &gt;&gt; 2017-03-20-UncaughtWiMAX.txt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690</v>
      </c>
      <c r="B41" s="7">
        <v>4046</v>
      </c>
      <c r="C41" s="21" t="s">
        <v>222</v>
      </c>
      <c r="D41" s="21" t="s">
        <v>226</v>
      </c>
      <c r="E41" s="13">
        <v>42814.297777777778</v>
      </c>
      <c r="F41" s="13">
        <v>42814.302291666667</v>
      </c>
      <c r="G41" s="7">
        <v>1</v>
      </c>
      <c r="H41" s="21" t="s">
        <v>419</v>
      </c>
      <c r="I41" s="13">
        <v>42814.326886574076</v>
      </c>
      <c r="J41" s="7">
        <v>0</v>
      </c>
      <c r="K41" s="98" t="str">
        <f t="shared" si="0"/>
        <v>4045/4046</v>
      </c>
      <c r="L41" s="21" t="str">
        <f>VLOOKUP(A41,'Trips&amp;Operators'!$C$1:$G$99999,5,FALSE)</f>
        <v>ROBINSON KADDIBA</v>
      </c>
      <c r="M41" s="6">
        <f t="shared" si="1"/>
        <v>2.4594907408754807E-2</v>
      </c>
      <c r="N41" s="7">
        <f t="shared" si="2"/>
        <v>35.416666668606922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5"/>
        <v>https://d0f6bd738d7f1b3e5a7ca70fe4ff75f0.us-east-1.aws.found.io/app/kibana#/discover/Steve-Slow-Train-Analysis-(2080s-and-2083s)?_g=(refreshInterval:(display:Off,pause:!f,section:0,value:0),time:(from:'2017-03-20T06:08:48-0600',mode:absolute,to:'2017-03-20T08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1" s="187" t="str">
        <f t="shared" si="6"/>
        <v>N</v>
      </c>
      <c r="X41" s="187">
        <f t="shared" si="7"/>
        <v>1</v>
      </c>
      <c r="Y41" s="62">
        <f t="shared" si="8"/>
        <v>4.6699999999999998E-2</v>
      </c>
      <c r="Z41" s="62">
        <f t="shared" si="9"/>
        <v>23.328600000000002</v>
      </c>
      <c r="AA41" s="62">
        <f t="shared" si="10"/>
        <v>23.2819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0129-20</v>
      </c>
      <c r="AE41" s="85" t="str">
        <f t="shared" si="12"/>
        <v>aws s3 cp s3://rtdc.mdm.uploadarchive.raw/RTDC4046/ "%USERPROFILE%\AppData\Local\Temp\OnboardLogs"\RTDC4046\2017-03-20 --exclude "*" --recursive --include "*20170320*" &amp; "%USERPROFILE%\Documents\GitHub\mrs-test-scripts\Headless Mode &amp; Sideloading\WalkAndUnGZ.bat" "%USERPROFILE%\AppData\Local\Temp\OnboardLogs"\RTDC4046\2017-03-20 &amp; aws s3 cp s3://rtdc.mdm.uploadarchive.raw/RTDC4046/ "%USERPROFILE%\AppData\Local\Temp\OnboardLogs"\RTDC4046\2017-03-21 --exclude "*" --recursive --include "*20170321*" &amp; "%USERPROFILE%\Documents\GitHub\mrs-test-scripts\Headless Mode &amp; Sideloading\WalkAndUnGZ.bat" "%USERPROFILE%\AppData\Local\Temp\OnboardLogs"\RTDC4046\2017-03-21</v>
      </c>
      <c r="AF41" s="82" t="str">
        <f t="shared" si="13"/>
        <v>"C:\Program Files (x86)\AstroGrep\AstroGrep.exe" /e /r /s /spath="%USERPROFILE%\AppData\Local\Temp\OnboardLogs" /stypes="app*4046*20170320*" /stext=" 13:.+((SYSTEM_STATE.+slice.+state.+changed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8"/>
        <v>"%USERPROFILE%\Documents\GitHub\eaglep3\Utilities\RefineRTDCRunTimes.py" --tripid 129-20 --locoid 4046 --swversion DE.1.0.9.0 --startMP 204:467 --initTime 2017-03-20T07:08:48 --startdatetime 2017-03-20T07:15:18 --delay 1 --endMP 204:233286 --enddatetime 2017-03-20T07:50:43 --enforcementcount 0 &gt;&gt;C:\Users\stu\Documents\GitHub\eaglep3-reporting\EC\2017-03-20-refined-times.txt</v>
      </c>
      <c r="AI41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{"issue":{"subject":"","project_id":79,"tracker_id":40,"status_id":1,"priority_id":2,"assigned_to_id":23,"start_date":"2017-03-20","description":"","custom_fields":[{"id":1,"name":"Subdivision","value":"EC"},{"id":4,"name":"Milepost","value":"23.3286"},{"id":17,"name":"Train ID","value":"129-20"},{"id":16,"name":"Locomotive ID","value":"4046"},{"id":130,"name":"Impact","value":""},{"id":150,"name":"Time of Event (Mountain Time)","value":"07:50:43"},{"id":151,"name":"Denver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4046 --day 2017-03-20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"%USERPROFILE%\AppData\Local\Temp\OnboardLogs"\RTDC4046\*4046*20170320* | grep -SE "(Enforcement Action)|(\[TIMEOUT)|(CHR.+\|PRM\|1\|D.+(SWITCH|SIGNAL).+UNKNOWN)" - &gt;&gt; 2017-03-20-UncaughtWiMAX.txt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694</v>
      </c>
      <c r="B42" s="7">
        <v>4045</v>
      </c>
      <c r="C42" s="21" t="s">
        <v>222</v>
      </c>
      <c r="D42" s="21" t="s">
        <v>404</v>
      </c>
      <c r="E42" s="13">
        <v>42814.336319444446</v>
      </c>
      <c r="F42" s="13">
        <v>42814.341122685182</v>
      </c>
      <c r="G42" s="7">
        <v>1</v>
      </c>
      <c r="H42" s="21" t="s">
        <v>205</v>
      </c>
      <c r="I42" s="13">
        <v>42814.369189814817</v>
      </c>
      <c r="J42" s="7">
        <v>0</v>
      </c>
      <c r="K42" s="98" t="str">
        <f t="shared" si="0"/>
        <v>4045/4046</v>
      </c>
      <c r="L42" s="21" t="str">
        <f>VLOOKUP(A42,'Trips&amp;Operators'!$C$1:$G$99999,5,FALSE)</f>
        <v>ROBINSON KADDIBA</v>
      </c>
      <c r="M42" s="6">
        <f t="shared" si="1"/>
        <v>2.8067129635019228E-2</v>
      </c>
      <c r="N42" s="7">
        <f t="shared" si="2"/>
        <v>40.416666674427688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5"/>
        <v>https://d0f6bd738d7f1b3e5a7ca70fe4ff75f0.us-east-1.aws.found.io/app/kibana#/discover/Steve-Slow-Train-Analysis-(2080s-and-2083s)?_g=(refreshInterval:(display:Off,pause:!f,section:0,value:0),time:(from:'2017-03-20T07:04:18-0600',mode:absolute,to:'2017-03-20T09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2" s="187" t="str">
        <f t="shared" si="6"/>
        <v>N</v>
      </c>
      <c r="X42" s="187">
        <f t="shared" si="7"/>
        <v>1</v>
      </c>
      <c r="Y42" s="62">
        <f t="shared" si="8"/>
        <v>23.297499999999999</v>
      </c>
      <c r="Z42" s="62">
        <f t="shared" si="9"/>
        <v>1.54E-2</v>
      </c>
      <c r="AA42" s="62">
        <f t="shared" si="10"/>
        <v>23.2821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0130-20</v>
      </c>
      <c r="AE42" s="85" t="str">
        <f t="shared" si="12"/>
        <v>aws s3 cp s3://rtdc.mdm.uploadarchive.raw/RTDC4045/ "%USERPROFILE%\AppData\Local\Temp\OnboardLogs"\RTDC4045\2017-03-20 --exclude "*" --recursive --include "*20170320*" &amp; "%USERPROFILE%\Documents\GitHub\mrs-test-scripts\Headless Mode &amp; Sideloading\WalkAndUnGZ.bat" "%USERPROFILE%\AppData\Local\Temp\OnboardLogs"\RTDC4045\2017-03-20 &amp; aws s3 cp s3://rtdc.mdm.uploadarchive.raw/RTDC4045/ "%USERPROFILE%\AppData\Local\Temp\OnboardLogs"\RTDC4045\2017-03-21 --exclude "*" --recursive --include "*20170321*" &amp; "%USERPROFILE%\Documents\GitHub\mrs-test-scripts\Headless Mode &amp; Sideloading\WalkAndUnGZ.bat" "%USERPROFILE%\AppData\Local\Temp\OnboardLogs"\RTDC4045\2017-03-21</v>
      </c>
      <c r="AF42" s="82" t="str">
        <f t="shared" si="13"/>
        <v>"C:\Program Files (x86)\AstroGrep\AstroGrep.exe" /e /r /s /spath="%USERPROFILE%\AppData\Local\Temp\OnboardLogs" /stypes="app*4045*20170320*" /stext=" 14:.+((SYSTEM_STATE.+slice.+state.+changed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8"/>
        <v>"%USERPROFILE%\Documents\GitHub\eaglep3\Utilities\RefineRTDCRunTimes.py" --tripid 130-20 --locoid 4045 --swversion DE.1.0.9.0 --startMP 204:232975 --initTime 2017-03-20T08:04:18 --startdatetime 2017-03-20T08:11:13 --delay 1 --endMP 204:154 --enddatetime 2017-03-20T08:51:38 --enforcementcount 0 &gt;&gt;C:\Users\stu\Documents\GitHub\eaglep3-reporting\EC\2017-03-20-refined-times.txt</v>
      </c>
      <c r="AI42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{"issue":{"subject":"","project_id":79,"tracker_id":40,"status_id":1,"priority_id":2,"assigned_to_id":23,"start_date":"2017-03-20","description":"","custom_fields":[{"id":1,"name":"Subdivision","value":"EC"},{"id":4,"name":"Milepost","value":"0.0154"},{"id":17,"name":"Train ID","value":"130-20"},{"id":16,"name":"Locomotive ID","value":"4045"},{"id":130,"name":"Impact","value":""},{"id":150,"name":"Time of Event (Mountain Time)","value":"08:51:38"},{"id":151,"name":"Denver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4045 --day 2017-03-20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"%USERPROFILE%\AppData\Local\Temp\OnboardLogs"\RTDC4045\*4045*20170320* | grep -SE "(Enforcement Action)|(\[TIMEOUT)|(CHR.+\|PRM\|1\|D.+(SWITCH|SIGNAL).+UNKNOWN)" - &gt;&gt; 2017-03-20-UncaughtWiMAX.txt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692</v>
      </c>
      <c r="B43" s="7">
        <v>4025</v>
      </c>
      <c r="C43" s="21" t="s">
        <v>222</v>
      </c>
      <c r="D43" s="21" t="s">
        <v>218</v>
      </c>
      <c r="E43" s="13">
        <v>42814.308749999997</v>
      </c>
      <c r="F43" s="13">
        <v>42814.3128125</v>
      </c>
      <c r="G43" s="7">
        <v>1</v>
      </c>
      <c r="H43" s="21" t="s">
        <v>568</v>
      </c>
      <c r="I43" s="13">
        <v>42814.337997685187</v>
      </c>
      <c r="J43" s="7">
        <v>0</v>
      </c>
      <c r="K43" s="98" t="str">
        <f t="shared" si="0"/>
        <v>4025/4026</v>
      </c>
      <c r="L43" s="21" t="str">
        <f>VLOOKUP(A43,'Trips&amp;Operators'!$C$1:$G$99999,5,FALSE)</f>
        <v>MAELZER KURT</v>
      </c>
      <c r="M43" s="6">
        <f t="shared" si="1"/>
        <v>2.5185185186273884E-2</v>
      </c>
      <c r="N43" s="7">
        <f t="shared" si="2"/>
        <v>36.266666668234393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5"/>
        <v>https://d0f6bd738d7f1b3e5a7ca70fe4ff75f0.us-east-1.aws.found.io/app/kibana#/discover/Steve-Slow-Train-Analysis-(2080s-and-2083s)?_g=(refreshInterval:(display:Off,pause:!f,section:0,value:0),time:(from:'2017-03-20T06:24:36-0600',mode:absolute,to:'2017-03-20T09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3" s="187" t="str">
        <f t="shared" si="6"/>
        <v>N</v>
      </c>
      <c r="X43" s="187">
        <f t="shared" si="7"/>
        <v>1</v>
      </c>
      <c r="Y43" s="62">
        <f t="shared" si="8"/>
        <v>4.4699999999999997E-2</v>
      </c>
      <c r="Z43" s="62">
        <f t="shared" si="9"/>
        <v>23.333400000000001</v>
      </c>
      <c r="AA43" s="62">
        <f t="shared" si="10"/>
        <v>23.288700000000002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0131-20</v>
      </c>
      <c r="AE43" s="85" t="str">
        <f t="shared" si="12"/>
        <v>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 &amp; aws s3 cp s3://rtdc.mdm.uploadarchive.raw/RTDC4025/ "%USERPROFILE%\AppData\Local\Temp\OnboardLogs"\RTDC4025\2017-03-21 --exclude "*" --recursive --include "*20170321*" &amp; "%USERPROFILE%\Documents\GitHub\mrs-test-scripts\Headless Mode &amp; Sideloading\WalkAndUnGZ.bat" "%USERPROFILE%\AppData\Local\Temp\OnboardLogs"\RTDC4025\2017-03-21</v>
      </c>
      <c r="AF43" s="82" t="str">
        <f t="shared" si="13"/>
        <v>"C:\Program Files (x86)\AstroGrep\AstroGrep.exe" /e /r /s /spath="%USERPROFILE%\AppData\Local\Temp\OnboardLogs" /stypes="app*4025*20170320*" /stext=" 14:.+((SYSTEM_STATE.+slice.+state.+changed )|(ment ac)|(multiple cpu faults)|(system.+state.+changed )|(\[timeout)|(PRM\|1\|D)|(kpr)|(kdp)|(\|lc)|(penalty))"</v>
      </c>
      <c r="AG43" s="1" t="str">
        <f t="shared" si="14"/>
        <v>EC</v>
      </c>
      <c r="AH43" s="86" t="str">
        <f t="shared" si="18"/>
        <v>"%USERPROFILE%\Documents\GitHub\eaglep3\Utilities\RefineRTDCRunTimes.py" --tripid 131-20 --locoid 4025 --swversion DE.1.0.9.0 --startMP 204:447 --initTime 2017-03-20T07:24:36 --startdatetime 2017-03-20T07:30:27 --delay 1 --endMP 204:233334 --enddatetime 2017-03-20T08:06:43 --enforcementcount 0 &gt;&gt;C:\Users\stu\Documents\GitHub\eaglep3-reporting\EC\2017-03-20-refined-times.txt</v>
      </c>
      <c r="AI43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{"issue":{"subject":"","project_id":79,"tracker_id":40,"status_id":1,"priority_id":2,"assigned_to_id":23,"start_date":"2017-03-20","description":"","custom_fields":[{"id":1,"name":"Subdivision","value":"EC"},{"id":4,"name":"Milepost","value":"23.3334"},{"id":17,"name":"Train ID","value":"131-20"},{"id":16,"name":"Locomotive ID","value":"4025"},{"id":130,"name":"Impact","value":""},{"id":150,"name":"Time of Event (Mountain Time)","value":"08:06:43"},{"id":151,"name":"Denver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4025 --day 2017-03-20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"%USERPROFILE%\AppData\Local\Temp\OnboardLogs"\RTDC4025\*4025*20170320* | grep -SE "(Enforcement Action)|(\[TIMEOUT)|(CHR.+\|PRM\|1\|D.+(SWITCH|SIGNAL).+UNKNOWN)" - &gt;&gt; 2017-03-20-UncaughtWiMAX.txt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696</v>
      </c>
      <c r="B44" s="7">
        <v>4026</v>
      </c>
      <c r="C44" s="21" t="s">
        <v>222</v>
      </c>
      <c r="D44" s="21" t="s">
        <v>852</v>
      </c>
      <c r="E44" s="13">
        <v>42814.34574074074</v>
      </c>
      <c r="F44" s="13">
        <v>42814.351655092592</v>
      </c>
      <c r="G44" s="7">
        <v>1</v>
      </c>
      <c r="H44" s="21" t="s">
        <v>409</v>
      </c>
      <c r="I44" s="13">
        <v>42814.378645833334</v>
      </c>
      <c r="J44" s="7">
        <v>0</v>
      </c>
      <c r="K44" s="98" t="str">
        <f t="shared" si="0"/>
        <v>4025/4026</v>
      </c>
      <c r="L44" s="21" t="str">
        <f>VLOOKUP(A44,'Trips&amp;Operators'!$C$1:$G$99999,5,FALSE)</f>
        <v>MAELZER KURT</v>
      </c>
      <c r="M44" s="6">
        <f t="shared" si="1"/>
        <v>2.6990740741894115E-2</v>
      </c>
      <c r="N44" s="7">
        <f t="shared" si="2"/>
        <v>38.866666668327525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5"/>
        <v>https://d0f6bd738d7f1b3e5a7ca70fe4ff75f0.us-east-1.aws.found.io/app/kibana#/discover/Steve-Slow-Train-Analysis-(2080s-and-2083s)?_g=(refreshInterval:(display:Off,pause:!f,section:0,value:0),time:(from:'2017-03-20T07:17:52-0600',mode:absolute,to:'2017-03-20T10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4" s="187" t="str">
        <f t="shared" si="6"/>
        <v>N</v>
      </c>
      <c r="X44" s="187">
        <f t="shared" si="7"/>
        <v>1</v>
      </c>
      <c r="Y44" s="62">
        <f t="shared" si="8"/>
        <v>23.3019</v>
      </c>
      <c r="Z44" s="62">
        <f t="shared" si="9"/>
        <v>1.4500000000000001E-2</v>
      </c>
      <c r="AA44" s="62">
        <f t="shared" si="10"/>
        <v>23.287399999999998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0132-20</v>
      </c>
      <c r="AE44" s="85" t="str">
        <f t="shared" si="12"/>
        <v>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 &amp; 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</v>
      </c>
      <c r="AF44" s="82" t="str">
        <f t="shared" si="13"/>
        <v>"C:\Program Files (x86)\AstroGrep\AstroGrep.exe" /e /r /s /spath="%USERPROFILE%\AppData\Local\Temp\OnboardLogs" /stypes="app*4026*20170320*" /stext=" 15:.+((SYSTEM_STATE.+slice.+state.+changed )|(ment ac)|(multiple cpu faults)|(system.+state.+changed )|(\[timeout)|(PRM\|1\|D)|(kpr)|(kdp)|(\|lc)|(penalty))"</v>
      </c>
      <c r="AG44" s="1" t="str">
        <f t="shared" si="14"/>
        <v>EC</v>
      </c>
      <c r="AH44" s="86" t="str">
        <f t="shared" si="18"/>
        <v>"%USERPROFILE%\Documents\GitHub\eaglep3\Utilities\RefineRTDCRunTimes.py" --tripid 132-20 --locoid 4026 --swversion DE.1.0.9.0 --startMP 204:233019 --initTime 2017-03-20T08:17:52 --startdatetime 2017-03-20T08:26:23 --delay 1 --endMP 204:145 --enddatetime 2017-03-20T09:05:15 --enforcementcount 0 &gt;&gt;C:\Users\stu\Documents\GitHub\eaglep3-reporting\EC\2017-03-20-refined-times.txt</v>
      </c>
      <c r="AI44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{"issue":{"subject":"","project_id":79,"tracker_id":40,"status_id":1,"priority_id":2,"assigned_to_id":23,"start_date":"2017-03-20","description":"","custom_fields":[{"id":1,"name":"Subdivision","value":"EC"},{"id":4,"name":"Milepost","value":"0.0145"},{"id":17,"name":"Train ID","value":"132-20"},{"id":16,"name":"Locomotive ID","value":"4026"},{"id":130,"name":"Impact","value":""},{"id":150,"name":"Time of Event (Mountain Time)","value":"09:05:15"},{"id":151,"name":"Denver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4026 --day 2017-03-20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"%USERPROFILE%\AppData\Local\Temp\OnboardLogs"\RTDC4026\*4026*20170320* | grep -SE "(Enforcement Action)|(\[TIMEOUT)|(CHR.+\|PRM\|1\|D.+(SWITCH|SIGNAL).+UNKNOWN)" - &gt;&gt; 2017-03-20-UncaughtWiMAX.txt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608</v>
      </c>
      <c r="B45" s="7">
        <v>4027</v>
      </c>
      <c r="C45" s="21" t="s">
        <v>222</v>
      </c>
      <c r="D45" s="21" t="s">
        <v>503</v>
      </c>
      <c r="E45" s="13">
        <v>42814.319247685184</v>
      </c>
      <c r="F45" s="13">
        <v>42814.323321759257</v>
      </c>
      <c r="G45" s="7">
        <v>1</v>
      </c>
      <c r="H45" s="21" t="s">
        <v>507</v>
      </c>
      <c r="I45" s="13">
        <v>42814.34920138889</v>
      </c>
      <c r="J45" s="7">
        <v>0</v>
      </c>
      <c r="K45" s="98" t="str">
        <f t="shared" si="0"/>
        <v>4027/4028</v>
      </c>
      <c r="L45" s="21" t="str">
        <f>VLOOKUP(A45,'Trips&amp;Operators'!$C$1:$G$99999,5,FALSE)</f>
        <v>STARKS ANGELINA</v>
      </c>
      <c r="M45" s="6">
        <f t="shared" si="1"/>
        <v>2.587962963298196E-2</v>
      </c>
      <c r="N45" s="7">
        <f t="shared" si="2"/>
        <v>37.266666671494022</v>
      </c>
      <c r="O45" s="7"/>
      <c r="P45" s="7"/>
      <c r="Q45" s="22"/>
      <c r="R45" s="22"/>
      <c r="S45" s="31">
        <f t="shared" ref="S45:S76" si="21">SUM(U45:U45)/IF(AG45="EC",12,1)</f>
        <v>1</v>
      </c>
      <c r="T45" s="46" t="str">
        <f t="shared" si="4"/>
        <v>NorthBound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5"/>
        <v>https://d0f6bd738d7f1b3e5a7ca70fe4ff75f0.us-east-1.aws.found.io/app/kibana#/discover/Steve-Slow-Train-Analysis-(2080s-and-2083s)?_g=(refreshInterval:(display:Off,pause:!f,section:0,value:0),time:(from:'2017-03-20T06:39:43-0600',mode:absolute,to:'2017-03-20T09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5" s="187" t="str">
        <f t="shared" si="6"/>
        <v>N</v>
      </c>
      <c r="X45" s="187">
        <f t="shared" ref="X45:X76" si="22">VALUE(LEFT(AD45,4))-VALUE(LEFT(AD44,4))</f>
        <v>1</v>
      </c>
      <c r="Y45" s="62">
        <f t="shared" si="8"/>
        <v>4.4900000000000002E-2</v>
      </c>
      <c r="Z45" s="62">
        <f t="shared" ref="Z45:Z76" si="23">RIGHT(H45,LEN(H45)-4)/10000</f>
        <v>23.330300000000001</v>
      </c>
      <c r="AA45" s="62">
        <f t="shared" si="10"/>
        <v>23.285400000000003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0133-20</v>
      </c>
      <c r="AE45" s="85" t="str">
        <f t="shared" si="12"/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AF45" s="82" t="str">
        <f t="shared" si="13"/>
        <v>"C:\Program Files (x86)\AstroGrep\AstroGrep.exe" /e /r /s /spath="%USERPROFILE%\AppData\Local\Temp\OnboardLogs" /stypes="app*4027*20170320*" /stext=" 14:.+((SYSTEM_STATE.+slice.+state.+changed )|(ment ac)|(multiple cpu faults)|(system.+state.+changed )|(\[timeout)|(PRM\|1\|D)|(kpr)|(kdp)|(\|lc)|(penalty))"</v>
      </c>
      <c r="AG45" s="1" t="str">
        <f t="shared" si="14"/>
        <v>EC</v>
      </c>
      <c r="AH45" s="86" t="str">
        <f t="shared" si="18"/>
        <v>"%USERPROFILE%\Documents\GitHub\eaglep3\Utilities\RefineRTDCRunTimes.py" --tripid 133-20 --locoid 4027 --swversion DE.1.0.9.0 --startMP 204:449 --initTime 2017-03-20T07:39:43 --startdatetime 2017-03-20T07:45:35 --delay 1 --endMP 204:233303 --enddatetime 2017-03-20T08:22:51 --enforcementcount 0 &gt;&gt;C:\Users\stu\Documents\GitHub\eaglep3-reporting\EC\2017-03-20-refined-times.txt</v>
      </c>
      <c r="AI45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{"issue":{"subject":"","project_id":79,"tracker_id":40,"status_id":1,"priority_id":2,"assigned_to_id":23,"start_date":"2017-03-20","description":"","custom_fields":[{"id":1,"name":"Subdivision","value":"EC"},{"id":4,"name":"Milepost","value":"23.3303"},{"id":17,"name":"Train ID","value":"133-20"},{"id":16,"name":"Locomotive ID","value":"4027"},{"id":130,"name":"Impact","value":""},{"id":150,"name":"Time of Event (Mountain Time)","value":"08:22:51"},{"id":151,"name":"Denver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4027 --day 2017-03-20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"%USERPROFILE%\AppData\Local\Temp\OnboardLogs"\RTDC4027\*4027*20170320* | grep -SE "(Enforcement Action)|(\[TIMEOUT)|(CHR.+\|PRM\|1\|D.+(SWITCH|SIGNAL).+UNKNOWN)" - &gt;&gt; 2017-03-20-UncaughtWiMAX.txt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614</v>
      </c>
      <c r="B46" s="7">
        <v>4028</v>
      </c>
      <c r="C46" s="21" t="s">
        <v>222</v>
      </c>
      <c r="D46" s="21" t="s">
        <v>853</v>
      </c>
      <c r="E46" s="13">
        <v>42814.359502314815</v>
      </c>
      <c r="F46" s="13">
        <v>42814.370509259257</v>
      </c>
      <c r="G46" s="7">
        <v>15</v>
      </c>
      <c r="H46" s="21" t="s">
        <v>184</v>
      </c>
      <c r="I46" s="13">
        <v>42814.373240740744</v>
      </c>
      <c r="J46" s="7">
        <v>0</v>
      </c>
      <c r="K46" s="98" t="str">
        <f t="shared" si="0"/>
        <v>4027/4028</v>
      </c>
      <c r="L46" s="21" t="str">
        <f>VLOOKUP(A46,'Trips&amp;Operators'!$C$1:$G$99999,5,FALSE)</f>
        <v>STARKS ANGELINA</v>
      </c>
      <c r="M46" s="6">
        <f t="shared" si="1"/>
        <v>2.7314814869896509E-3</v>
      </c>
      <c r="N46" s="7"/>
      <c r="O46" s="7"/>
      <c r="P46" s="7">
        <f>24*60*SUM($M46:$M46)</f>
        <v>3.9333333412650973</v>
      </c>
      <c r="Q46" s="22"/>
      <c r="R46" s="22" t="s">
        <v>596</v>
      </c>
      <c r="S46" s="31">
        <f t="shared" si="21"/>
        <v>1</v>
      </c>
      <c r="T46" s="46" t="str">
        <f t="shared" si="4"/>
        <v>Southbound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5"/>
        <v>https://d0f6bd738d7f1b3e5a7ca70fe4ff75f0.us-east-1.aws.found.io/app/kibana#/discover/Steve-Slow-Train-Analysis-(2080s-and-2083s)?_g=(refreshInterval:(display:Off,pause:!f,section:0,value:0),time:(from:'2017-03-20T07:37:41-0600',mode:absolute,to:'2017-03-20T09:57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6" s="187" t="str">
        <f t="shared" si="6"/>
        <v>Y</v>
      </c>
      <c r="X46" s="187">
        <f t="shared" si="22"/>
        <v>1</v>
      </c>
      <c r="Y46" s="62">
        <f t="shared" si="8"/>
        <v>15.400700000000001</v>
      </c>
      <c r="Z46" s="62">
        <f t="shared" si="23"/>
        <v>1.49E-2</v>
      </c>
      <c r="AA46" s="62">
        <f t="shared" si="10"/>
        <v>15.3858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0134-20</v>
      </c>
      <c r="AE46" s="85" t="str">
        <f t="shared" si="12"/>
        <v>aws s3 cp s3://rtdc.mdm.uploadarchive.raw/RTDC4028/ "%USERPROFILE%\AppData\Local\Temp\OnboardLogs"\RTDC4028\2017-03-20 --exclude "*" --recursive --include "*20170320*" &amp; "%USERPROFILE%\Documents\GitHub\mrs-test-scripts\Headless Mode &amp; Sideloading\WalkAndUnGZ.bat" "%USERPROFILE%\AppData\Local\Temp\OnboardLogs"\RTDC4028\2017-03-20 &amp; aws s3 cp s3://rtdc.mdm.uploadarchive.raw/RTDC4028/ "%USERPROFILE%\AppData\Local\Temp\OnboardLogs"\RTDC4028\2017-03-21 --exclude "*" --recursive --include "*20170321*" &amp; "%USERPROFILE%\Documents\GitHub\mrs-test-scripts\Headless Mode &amp; Sideloading\WalkAndUnGZ.bat" "%USERPROFILE%\AppData\Local\Temp\OnboardLogs"\RTDC4028\2017-03-21</v>
      </c>
      <c r="AF46" s="82" t="str">
        <f t="shared" si="13"/>
        <v>"C:\Program Files (x86)\AstroGrep\AstroGrep.exe" /e /r /s /spath="%USERPROFILE%\AppData\Local\Temp\OnboardLogs" /stypes="app*4028*20170320*" /stext=" 14:.+((SYSTEM_STATE.+slice.+state.+changed )|(ment ac)|(multiple cpu faults)|(system.+state.+changed )|(\[timeout)|(PRM\|1\|D)|(kpr)|(kdp)|(\|lc)|(penalty))"</v>
      </c>
      <c r="AG46" s="1" t="str">
        <f t="shared" si="14"/>
        <v>EC</v>
      </c>
      <c r="AH46" s="86" t="str">
        <f t="shared" si="18"/>
        <v>"%USERPROFILE%\Documents\GitHub\eaglep3\Utilities\RefineRTDCRunTimes.py" --tripid 134-20 --locoid 4028 --swversion DE.1.0.9.0 --startMP 204:154007 --initTime 2017-03-20T08:37:41 --startdatetime 2017-03-20T08:53:32 --delay 15 --endMP 204:149 --enddatetime 2017-03-20T08:57:28 --enforcementcount 0 &gt;&gt;C:\Users\stu\Documents\GitHub\eaglep3-reporting\EC\2017-03-20-refined-times.txt</v>
      </c>
      <c r="AI46" s="108" t="str">
        <f t="shared" si="19"/>
        <v>echo {"issue":{"subject":"Onboard in-route failure","project_id":79,"tracker_id":40,"status_id":1,"priority_id":2,"assigned_to_id":23,"start_date":"2017-03-20","description":"","custom_fields":[{"id":1,"name":"Subdivision","value":"EC"},{"id":4,"name":"Milepost","value":"0.0149"},{"id":17,"name":"Train ID","value":"134-20"},{"id":16,"name":"Locomotive ID","value":"4028"},{"id":130,"name":"Impact","value":""},{"id":150,"name":"Time of Event (Mountain Time)","value":"08:57:28"},{"id":151,"name":"Denver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4028 --day 2017-03-20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"%USERPROFILE%\AppData\Local\Temp\OnboardLogs"\RTDC4028\*4028*20170320* | grep -SE "(Enforcement Action)|(\[TIMEOUT)|(CHR.+\|PRM\|1\|D.+(SWITCH|SIGNAL).+UNKNOWN)" - &gt;&gt; 2017-03-20-UncaughtWiMAX.txt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693</v>
      </c>
      <c r="B47" s="7">
        <v>4003</v>
      </c>
      <c r="C47" s="21" t="s">
        <v>222</v>
      </c>
      <c r="D47" s="21" t="s">
        <v>212</v>
      </c>
      <c r="E47" s="13">
        <v>42814.329293981478</v>
      </c>
      <c r="F47" s="13">
        <v>42814.333611111113</v>
      </c>
      <c r="G47" s="7">
        <v>1</v>
      </c>
      <c r="H47" s="21" t="s">
        <v>854</v>
      </c>
      <c r="I47" s="13">
        <v>42814.359849537039</v>
      </c>
      <c r="J47" s="7">
        <v>0</v>
      </c>
      <c r="K47" s="98" t="str">
        <f t="shared" si="0"/>
        <v>4003/4004</v>
      </c>
      <c r="L47" s="21" t="str">
        <f>VLOOKUP(A47,'Trips&amp;Operators'!$C$1:$G$99999,5,FALSE)</f>
        <v>GUZMAN DANNY</v>
      </c>
      <c r="M47" s="6">
        <f t="shared" si="1"/>
        <v>2.6238425925839692E-2</v>
      </c>
      <c r="N47" s="7">
        <f t="shared" ref="N47:N78" si="24">24*60*SUM($M47:$M47)</f>
        <v>37.783333333209157</v>
      </c>
      <c r="O47" s="7"/>
      <c r="P47" s="7"/>
      <c r="Q47" s="22"/>
      <c r="R47" s="22"/>
      <c r="S47" s="31">
        <f t="shared" si="21"/>
        <v>1</v>
      </c>
      <c r="T47" s="46" t="str">
        <f t="shared" si="4"/>
        <v>NorthBound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5"/>
        <v>https://d0f6bd738d7f1b3e5a7ca70fe4ff75f0.us-east-1.aws.found.io/app/kibana#/discover/Steve-Slow-Train-Analysis-(2080s-and-2083s)?_g=(refreshInterval:(display:Off,pause:!f,section:0,value:0),time:(from:'2017-03-20T06:54:11-0600',mode:absolute,to:'2017-03-20T09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7" s="187" t="str">
        <f t="shared" si="6"/>
        <v>N</v>
      </c>
      <c r="X47" s="187">
        <f t="shared" si="22"/>
        <v>1</v>
      </c>
      <c r="Y47" s="62">
        <f t="shared" si="8"/>
        <v>4.53E-2</v>
      </c>
      <c r="Z47" s="62">
        <f t="shared" si="23"/>
        <v>23.333600000000001</v>
      </c>
      <c r="AA47" s="62">
        <f t="shared" si="10"/>
        <v>23.2883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0135-20</v>
      </c>
      <c r="AE47" s="85" t="str">
        <f t="shared" si="12"/>
        <v>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 &amp; 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</v>
      </c>
      <c r="AF47" s="82" t="str">
        <f t="shared" si="13"/>
        <v>"C:\Program Files (x86)\AstroGrep\AstroGrep.exe" /e /r /s /spath="%USERPROFILE%\AppData\Local\Temp\OnboardLogs" /stypes="app*4003*20170320*" /stext=" 14:.+((SYSTEM_STATE.+slice.+state.+changed )|(ment ac)|(multiple cpu faults)|(system.+state.+changed )|(\[timeout)|(PRM\|1\|D)|(kpr)|(kdp)|(\|lc)|(penalty))"</v>
      </c>
      <c r="AG47" s="1" t="str">
        <f t="shared" si="14"/>
        <v>EC</v>
      </c>
      <c r="AH47" s="86" t="str">
        <f t="shared" si="18"/>
        <v>"%USERPROFILE%\Documents\GitHub\eaglep3\Utilities\RefineRTDCRunTimes.py" --tripid 135-20 --locoid 4003 --swversion DE.1.0.9.0 --startMP 204:453 --initTime 2017-03-20T07:54:11 --startdatetime 2017-03-20T08:00:24 --delay 1 --endMP 204:233336 --enddatetime 2017-03-20T08:38:11 --enforcementcount 0 &gt;&gt;C:\Users\stu\Documents\GitHub\eaglep3-reporting\EC\2017-03-20-refined-times.txt</v>
      </c>
      <c r="AI47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{"issue":{"subject":"","project_id":79,"tracker_id":40,"status_id":1,"priority_id":2,"assigned_to_id":23,"start_date":"2017-03-20","description":"","custom_fields":[{"id":1,"name":"Subdivision","value":"EC"},{"id":4,"name":"Milepost","value":"23.3336"},{"id":17,"name":"Train ID","value":"135-20"},{"id":16,"name":"Locomotive ID","value":"4003"},{"id":130,"name":"Impact","value":""},{"id":150,"name":"Time of Event (Mountain Time)","value":"08:38:11"},{"id":151,"name":"Denver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4003 --day 2017-03-20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"%USERPROFILE%\AppData\Local\Temp\OnboardLogs"\RTDC4003\*4003*20170320* | grep -SE "(Enforcement Action)|(\[TIMEOUT)|(CHR.+\|PRM\|1\|D.+(SWITCH|SIGNAL).+UNKNOWN)" - &gt;&gt; 2017-03-20-UncaughtWiMAX.txt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701</v>
      </c>
      <c r="B48" s="7">
        <v>4004</v>
      </c>
      <c r="C48" s="21" t="s">
        <v>222</v>
      </c>
      <c r="D48" s="21" t="s">
        <v>520</v>
      </c>
      <c r="E48" s="13">
        <v>42814.367094907408</v>
      </c>
      <c r="F48" s="13">
        <v>42814.372442129628</v>
      </c>
      <c r="G48" s="7">
        <v>1</v>
      </c>
      <c r="H48" s="21" t="s">
        <v>409</v>
      </c>
      <c r="I48" s="13">
        <v>42814.400578703702</v>
      </c>
      <c r="J48" s="7">
        <v>0</v>
      </c>
      <c r="K48" s="98" t="str">
        <f t="shared" si="0"/>
        <v>4003/4004</v>
      </c>
      <c r="L48" s="21" t="str">
        <f>VLOOKUP(A48,'Trips&amp;Operators'!$C$1:$G$99999,5,FALSE)</f>
        <v>GUZMAN DANNY</v>
      </c>
      <c r="M48" s="6">
        <f t="shared" si="1"/>
        <v>2.8136574073869269E-2</v>
      </c>
      <c r="N48" s="7">
        <f t="shared" si="24"/>
        <v>40.516666666371748</v>
      </c>
      <c r="O48" s="7"/>
      <c r="P48" s="7"/>
      <c r="Q48" s="22"/>
      <c r="R48" s="22"/>
      <c r="S48" s="31">
        <f t="shared" si="21"/>
        <v>1</v>
      </c>
      <c r="T48" s="46" t="str">
        <f t="shared" si="4"/>
        <v>Southbound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5"/>
        <v>https://d0f6bd738d7f1b3e5a7ca70fe4ff75f0.us-east-1.aws.found.io/app/kibana#/discover/Steve-Slow-Train-Analysis-(2080s-and-2083s)?_g=(refreshInterval:(display:Off,pause:!f,section:0,value:0),time:(from:'2017-03-20T07:48:37-0600',mode:absolute,to:'2017-03-20T10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8" s="187" t="str">
        <f t="shared" si="6"/>
        <v>N</v>
      </c>
      <c r="X48" s="187">
        <f t="shared" si="22"/>
        <v>1</v>
      </c>
      <c r="Y48" s="62">
        <f t="shared" si="8"/>
        <v>23.298300000000001</v>
      </c>
      <c r="Z48" s="62">
        <f t="shared" si="23"/>
        <v>1.4500000000000001E-2</v>
      </c>
      <c r="AA48" s="62">
        <f t="shared" si="10"/>
        <v>23.283799999999999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0136-20</v>
      </c>
      <c r="AE48" s="85" t="str">
        <f t="shared" si="12"/>
        <v>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 &amp; aws s3 cp s3://rtdc.mdm.uploadarchive.raw/RTDC4004/ "%USERPROFILE%\AppData\Local\Temp\OnboardLogs"\RTDC4004\2017-03-21 --exclude "*" --recursive --include "*20170321*" &amp; "%USERPROFILE%\Documents\GitHub\mrs-test-scripts\Headless Mode &amp; Sideloading\WalkAndUnGZ.bat" "%USERPROFILE%\AppData\Local\Temp\OnboardLogs"\RTDC4004\2017-03-21</v>
      </c>
      <c r="AF48" s="82" t="str">
        <f t="shared" si="13"/>
        <v>"C:\Program Files (x86)\AstroGrep\AstroGrep.exe" /e /r /s /spath="%USERPROFILE%\AppData\Local\Temp\OnboardLogs" /stypes="app*4004*20170320*" /stext=" 15:.+((SYSTEM_STATE.+slice.+state.+changed )|(ment ac)|(multiple cpu faults)|(system.+state.+changed )|(\[timeout)|(PRM\|1\|D)|(kpr)|(kdp)|(\|lc)|(penalty))"</v>
      </c>
      <c r="AG48" s="1" t="str">
        <f t="shared" si="14"/>
        <v>EC</v>
      </c>
      <c r="AH48" s="86" t="str">
        <f t="shared" si="18"/>
        <v>"%USERPROFILE%\Documents\GitHub\eaglep3\Utilities\RefineRTDCRunTimes.py" --tripid 136-20 --locoid 4004 --swversion DE.1.0.9.0 --startMP 204:232983 --initTime 2017-03-20T08:48:37 --startdatetime 2017-03-20T08:56:19 --delay 1 --endMP 204:145 --enddatetime 2017-03-20T09:36:50 --enforcementcount 0 &gt;&gt;C:\Users\stu\Documents\GitHub\eaglep3-reporting\EC\2017-03-20-refined-times.txt</v>
      </c>
      <c r="AI48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{"issue":{"subject":"","project_id":79,"tracker_id":40,"status_id":1,"priority_id":2,"assigned_to_id":23,"start_date":"2017-03-20","description":"","custom_fields":[{"id":1,"name":"Subdivision","value":"EC"},{"id":4,"name":"Milepost","value":"0.0145"},{"id":17,"name":"Train ID","value":"136-20"},{"id":16,"name":"Locomotive ID","value":"4004"},{"id":130,"name":"Impact","value":""},{"id":150,"name":"Time of Event (Mountain Time)","value":"09:36:50"},{"id":151,"name":"Denver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4004 --day 2017-03-20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"%USERPROFILE%\AppData\Local\Temp\OnboardLogs"\RTDC4004\*4004*20170320* | grep -SE "(Enforcement Action)|(\[TIMEOUT)|(CHR.+\|PRM\|1\|D.+(SWITCH|SIGNAL).+UNKNOWN)" - &gt;&gt; 2017-03-20-UncaughtWiMAX.txt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695</v>
      </c>
      <c r="B49" s="7">
        <v>4042</v>
      </c>
      <c r="C49" s="21" t="s">
        <v>222</v>
      </c>
      <c r="D49" s="21" t="s">
        <v>591</v>
      </c>
      <c r="E49" s="13">
        <v>42814.338506944441</v>
      </c>
      <c r="F49" s="13">
        <v>42814.343946759262</v>
      </c>
      <c r="G49" s="7">
        <v>1</v>
      </c>
      <c r="H49" s="21" t="s">
        <v>225</v>
      </c>
      <c r="I49" s="13">
        <v>42814.368564814817</v>
      </c>
      <c r="J49" s="7">
        <v>0</v>
      </c>
      <c r="K49" s="98" t="str">
        <f t="shared" si="0"/>
        <v>4041/4042</v>
      </c>
      <c r="L49" s="21" t="str">
        <f>VLOOKUP(A49,'Trips&amp;Operators'!$C$1:$G$99999,5,FALSE)</f>
        <v>ACKERMAN JARED</v>
      </c>
      <c r="M49" s="6">
        <f t="shared" si="1"/>
        <v>2.4618055555038154E-2</v>
      </c>
      <c r="N49" s="7">
        <f t="shared" si="24"/>
        <v>35.449999999254942</v>
      </c>
      <c r="O49" s="7"/>
      <c r="P49" s="7"/>
      <c r="Q49" s="22"/>
      <c r="R49" s="22"/>
      <c r="S49" s="31">
        <f t="shared" si="21"/>
        <v>1</v>
      </c>
      <c r="T49" s="46" t="str">
        <f t="shared" si="4"/>
        <v>NorthBound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5"/>
        <v>https://d0f6bd738d7f1b3e5a7ca70fe4ff75f0.us-east-1.aws.found.io/app/kibana#/discover/Steve-Slow-Train-Analysis-(2080s-and-2083s)?_g=(refreshInterval:(display:Off,pause:!f,section:0,value:0),time:(from:'2017-03-20T07:07:27-0600',mode:absolute,to:'2017-03-20T09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9" s="187" t="str">
        <f t="shared" si="6"/>
        <v>N</v>
      </c>
      <c r="X49" s="187">
        <f t="shared" si="22"/>
        <v>1</v>
      </c>
      <c r="Y49" s="62">
        <f t="shared" si="8"/>
        <v>4.4200000000000003E-2</v>
      </c>
      <c r="Z49" s="62">
        <f t="shared" si="23"/>
        <v>23.331199999999999</v>
      </c>
      <c r="AA49" s="62">
        <f t="shared" si="10"/>
        <v>23.286999999999999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0137-20</v>
      </c>
      <c r="AE49" s="85" t="str">
        <f t="shared" si="12"/>
        <v>aws s3 cp s3://rtdc.mdm.uploadarchive.raw/RTDC4042/ "%USERPROFILE%\AppData\Local\Temp\OnboardLogs"\RTDC4042\2017-03-20 --exclude "*" --recursive --include "*20170320*" &amp; "%USERPROFILE%\Documents\GitHub\mrs-test-scripts\Headless Mode &amp; Sideloading\WalkAndUnGZ.bat" "%USERPROFILE%\AppData\Local\Temp\OnboardLogs"\RTDC4042\2017-03-20 &amp; aws s3 cp s3://rtdc.mdm.uploadarchive.raw/RTDC4042/ "%USERPROFILE%\AppData\Local\Temp\OnboardLogs"\RTDC4042\2017-03-21 --exclude "*" --recursive --include "*20170321*" &amp; "%USERPROFILE%\Documents\GitHub\mrs-test-scripts\Headless Mode &amp; Sideloading\WalkAndUnGZ.bat" "%USERPROFILE%\AppData\Local\Temp\OnboardLogs"\RTDC4042\2017-03-21</v>
      </c>
      <c r="AF49" s="82" t="str">
        <f t="shared" si="13"/>
        <v>"C:\Program Files (x86)\AstroGrep\AstroGrep.exe" /e /r /s /spath="%USERPROFILE%\AppData\Local\Temp\OnboardLogs" /stypes="app*4042*20170320*" /stext=" 14:.+((SYSTEM_STATE.+slice.+state.+changed )|(ment ac)|(multiple cpu faults)|(system.+state.+changed )|(\[timeout)|(PRM\|1\|D)|(kpr)|(kdp)|(\|lc)|(penalty))"</v>
      </c>
      <c r="AG49" s="1" t="str">
        <f t="shared" si="14"/>
        <v>EC</v>
      </c>
      <c r="AH49" s="86" t="str">
        <f t="shared" si="18"/>
        <v>"%USERPROFILE%\Documents\GitHub\eaglep3\Utilities\RefineRTDCRunTimes.py" --tripid 137-20 --locoid 4042 --swversion DE.1.0.9.0 --startMP 204:442 --initTime 2017-03-20T08:07:27 --startdatetime 2017-03-20T08:15:17 --delay 1 --endMP 204:233312 --enddatetime 2017-03-20T08:50:44 --enforcementcount 0 &gt;&gt;C:\Users\stu\Documents\GitHub\eaglep3-reporting\EC\2017-03-20-refined-times.txt</v>
      </c>
      <c r="AI49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{"issue":{"subject":"","project_id":79,"tracker_id":40,"status_id":1,"priority_id":2,"assigned_to_id":23,"start_date":"2017-03-20","description":"","custom_fields":[{"id":1,"name":"Subdivision","value":"EC"},{"id":4,"name":"Milepost","value":"23.3312"},{"id":17,"name":"Train ID","value":"137-20"},{"id":16,"name":"Locomotive ID","value":"4042"},{"id":130,"name":"Impact","value":""},{"id":150,"name":"Time of Event (Mountain Time)","value":"08:50:44"},{"id":151,"name":"Denver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4042 --day 2017-03-20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"%USERPROFILE%\AppData\Local\Temp\OnboardLogs"\RTDC4042\*4042*20170320* | grep -SE "(Enforcement Action)|(\[TIMEOUT)|(CHR.+\|PRM\|1\|D.+(SWITCH|SIGNAL).+UNKNOWN)" - &gt;&gt; 2017-03-20-UncaughtWiMAX.txt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703</v>
      </c>
      <c r="B50" s="7">
        <v>4041</v>
      </c>
      <c r="C50" s="21" t="s">
        <v>222</v>
      </c>
      <c r="D50" s="21" t="s">
        <v>855</v>
      </c>
      <c r="E50" s="13">
        <v>42814.376168981478</v>
      </c>
      <c r="F50" s="13">
        <v>42814.3828125</v>
      </c>
      <c r="G50" s="7">
        <v>1</v>
      </c>
      <c r="H50" s="21" t="s">
        <v>191</v>
      </c>
      <c r="I50" s="13">
        <v>42814.410011574073</v>
      </c>
      <c r="J50" s="7">
        <v>0</v>
      </c>
      <c r="K50" s="98" t="str">
        <f t="shared" si="0"/>
        <v>4041/4042</v>
      </c>
      <c r="L50" s="21" t="str">
        <f>VLOOKUP(A50,'Trips&amp;Operators'!$C$1:$G$99999,5,FALSE)</f>
        <v>ACKERMAN JARED</v>
      </c>
      <c r="M50" s="6">
        <f t="shared" si="1"/>
        <v>2.7199074072996154E-2</v>
      </c>
      <c r="N50" s="7">
        <f t="shared" si="24"/>
        <v>39.166666665114462</v>
      </c>
      <c r="O50" s="7"/>
      <c r="P50" s="7"/>
      <c r="Q50" s="22"/>
      <c r="R50" s="22"/>
      <c r="S50" s="31">
        <f t="shared" si="21"/>
        <v>1</v>
      </c>
      <c r="T50" s="46" t="str">
        <f t="shared" si="4"/>
        <v>Southbound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5"/>
        <v>https://d0f6bd738d7f1b3e5a7ca70fe4ff75f0.us-east-1.aws.found.io/app/kibana#/discover/Steve-Slow-Train-Analysis-(2080s-and-2083s)?_g=(refreshInterval:(display:Off,pause:!f,section:0,value:0),time:(from:'2017-03-20T08:01:41-0600',mode:absolute,to:'2017-03-20T10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0" s="187" t="str">
        <f t="shared" si="6"/>
        <v>N</v>
      </c>
      <c r="X50" s="187">
        <f t="shared" si="22"/>
        <v>1</v>
      </c>
      <c r="Y50" s="62">
        <f t="shared" si="8"/>
        <v>23.299399999999999</v>
      </c>
      <c r="Z50" s="62">
        <f t="shared" si="23"/>
        <v>1.4999999999999999E-2</v>
      </c>
      <c r="AA50" s="62">
        <f t="shared" si="10"/>
        <v>23.284399999999998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0138-20</v>
      </c>
      <c r="AE50" s="85" t="str">
        <f t="shared" si="12"/>
        <v>aws s3 cp s3://rtdc.mdm.uploadarchive.raw/RTDC4041/ "%USERPROFILE%\AppData\Local\Temp\OnboardLogs"\RTDC4041\2017-03-20 --exclude "*" --recursive --include "*20170320*" &amp; "%USERPROFILE%\Documents\GitHub\mrs-test-scripts\Headless Mode &amp; Sideloading\WalkAndUnGZ.bat" "%USERPROFILE%\AppData\Local\Temp\OnboardLogs"\RTDC4041\2017-03-20 &amp; aws s3 cp s3://rtdc.mdm.uploadarchive.raw/RTDC4041/ "%USERPROFILE%\AppData\Local\Temp\OnboardLogs"\RTDC4041\2017-03-21 --exclude "*" --recursive --include "*20170321*" &amp; "%USERPROFILE%\Documents\GitHub\mrs-test-scripts\Headless Mode &amp; Sideloading\WalkAndUnGZ.bat" "%USERPROFILE%\AppData\Local\Temp\OnboardLogs"\RTDC4041\2017-03-21</v>
      </c>
      <c r="AF50" s="82" t="str">
        <f t="shared" si="13"/>
        <v>"C:\Program Files (x86)\AstroGrep\AstroGrep.exe" /e /r /s /spath="%USERPROFILE%\AppData\Local\Temp\OnboardLogs" /stypes="app*4041*20170320*" /stext=" 15:.+((SYSTEM_STATE.+slice.+state.+changed )|(ment ac)|(multiple cpu faults)|(system.+state.+changed )|(\[timeout)|(PRM\|1\|D)|(kpr)|(kdp)|(\|lc)|(penalty))"</v>
      </c>
      <c r="AG50" s="1" t="str">
        <f t="shared" si="14"/>
        <v>EC</v>
      </c>
      <c r="AH50" s="86" t="str">
        <f t="shared" si="18"/>
        <v>"%USERPROFILE%\Documents\GitHub\eaglep3\Utilities\RefineRTDCRunTimes.py" --tripid 138-20 --locoid 4041 --swversion DE.1.0.9.0 --startMP 204:232994 --initTime 2017-03-20T09:01:41 --startdatetime 2017-03-20T09:11:15 --delay 1 --endMP 204:150 --enddatetime 2017-03-20T09:50:25 --enforcementcount 0 &gt;&gt;C:\Users\stu\Documents\GitHub\eaglep3-reporting\EC\2017-03-20-refined-times.txt</v>
      </c>
      <c r="AI50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{"issue":{"subject":"","project_id":79,"tracker_id":40,"status_id":1,"priority_id":2,"assigned_to_id":23,"start_date":"2017-03-20","description":"","custom_fields":[{"id":1,"name":"Subdivision","value":"EC"},{"id":4,"name":"Milepost","value":"0.015"},{"id":17,"name":"Train ID","value":"138-20"},{"id":16,"name":"Locomotive ID","value":"4041"},{"id":130,"name":"Impact","value":""},{"id":150,"name":"Time of Event (Mountain Time)","value":"09:50:25"},{"id":151,"name":"Denver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4041 --day 2017-03-20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"%USERPROFILE%\AppData\Local\Temp\OnboardLogs"\RTDC4041\*4041*20170320* | grep -SE "(Enforcement Action)|(\[TIMEOUT)|(CHR.+\|PRM\|1\|D.+(SWITCH|SIGNAL).+UNKNOWN)" - &gt;&gt; 2017-03-20-UncaughtWiMAX.txt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697</v>
      </c>
      <c r="B51" s="7">
        <v>4022</v>
      </c>
      <c r="C51" s="21" t="s">
        <v>222</v>
      </c>
      <c r="D51" s="21" t="s">
        <v>429</v>
      </c>
      <c r="E51" s="13">
        <v>42814.350543981483</v>
      </c>
      <c r="F51" s="13">
        <v>42814.354687500003</v>
      </c>
      <c r="G51" s="7">
        <v>1</v>
      </c>
      <c r="H51" s="21" t="s">
        <v>420</v>
      </c>
      <c r="I51" s="13">
        <v>42814.379305555558</v>
      </c>
      <c r="J51" s="7">
        <v>0</v>
      </c>
      <c r="K51" s="98" t="str">
        <f t="shared" si="0"/>
        <v>4021/4022</v>
      </c>
      <c r="L51" s="21" t="str">
        <f>VLOOKUP(A51,'Trips&amp;Operators'!$C$1:$G$99999,5,FALSE)</f>
        <v>WILLIAMS DONTE</v>
      </c>
      <c r="M51" s="6">
        <f t="shared" si="1"/>
        <v>2.4618055555038154E-2</v>
      </c>
      <c r="N51" s="7">
        <f t="shared" si="24"/>
        <v>35.449999999254942</v>
      </c>
      <c r="O51" s="7"/>
      <c r="P51" s="7"/>
      <c r="Q51" s="22"/>
      <c r="R51" s="22"/>
      <c r="S51" s="31">
        <f t="shared" si="21"/>
        <v>1</v>
      </c>
      <c r="T51" s="46" t="str">
        <f t="shared" si="4"/>
        <v>NorthBound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5"/>
        <v>https://d0f6bd738d7f1b3e5a7ca70fe4ff75f0.us-east-1.aws.found.io/app/kibana#/discover/Steve-Slow-Train-Analysis-(2080s-and-2083s)?_g=(refreshInterval:(display:Off,pause:!f,section:0,value:0),time:(from:'2017-03-20T07:24:47-0600',mode:absolute,to:'2017-03-20T10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1" s="187" t="str">
        <f t="shared" si="6"/>
        <v>N</v>
      </c>
      <c r="X51" s="187">
        <f t="shared" si="22"/>
        <v>1</v>
      </c>
      <c r="Y51" s="62">
        <f t="shared" si="8"/>
        <v>4.4400000000000002E-2</v>
      </c>
      <c r="Z51" s="62">
        <f t="shared" si="23"/>
        <v>23.3308</v>
      </c>
      <c r="AA51" s="62">
        <f t="shared" si="10"/>
        <v>23.2864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0139-20</v>
      </c>
      <c r="AE51" s="85" t="str">
        <f t="shared" si="12"/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AF51" s="82" t="str">
        <f t="shared" si="13"/>
        <v>"C:\Program Files (x86)\AstroGrep\AstroGrep.exe" /e /r /s /spath="%USERPROFILE%\AppData\Local\Temp\OnboardLogs" /stypes="app*4022*20170320*" /stext=" 15:.+((SYSTEM_STATE.+slice.+state.+changed )|(ment ac)|(multiple cpu faults)|(system.+state.+changed )|(\[timeout)|(PRM\|1\|D)|(kpr)|(kdp)|(\|lc)|(penalty))"</v>
      </c>
      <c r="AG51" s="1" t="str">
        <f t="shared" si="14"/>
        <v>EC</v>
      </c>
      <c r="AH51" s="86" t="str">
        <f t="shared" si="18"/>
        <v>"%USERPROFILE%\Documents\GitHub\eaglep3\Utilities\RefineRTDCRunTimes.py" --tripid 139-20 --locoid 4022 --swversion DE.1.0.9.0 --startMP 204:444 --initTime 2017-03-20T08:24:47 --startdatetime 2017-03-20T08:30:45 --delay 1 --endMP 204:233308 --enddatetime 2017-03-20T09:06:12 --enforcementcount 0 &gt;&gt;C:\Users\stu\Documents\GitHub\eaglep3-reporting\EC\2017-03-20-refined-times.txt</v>
      </c>
      <c r="AI51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{"issue":{"subject":"","project_id":79,"tracker_id":40,"status_id":1,"priority_id":2,"assigned_to_id":23,"start_date":"2017-03-20","description":"","custom_fields":[{"id":1,"name":"Subdivision","value":"EC"},{"id":4,"name":"Milepost","value":"23.3308"},{"id":17,"name":"Train ID","value":"139-20"},{"id":16,"name":"Locomotive ID","value":"4022"},{"id":130,"name":"Impact","value":""},{"id":150,"name":"Time of Event (Mountain Time)","value":"09:06:12"},{"id":151,"name":"Denver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4022 --day 2017-03-20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"%USERPROFILE%\AppData\Local\Temp\OnboardLogs"\RTDC4022\*4022*20170320* | grep -SE "(Enforcement Action)|(\[TIMEOUT)|(CHR.+\|PRM\|1\|D.+(SWITCH|SIGNAL).+UNKNOWN)" - &gt;&gt; 2017-03-20-UncaughtWiMAX.txt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617</v>
      </c>
      <c r="B52" s="7">
        <v>4021</v>
      </c>
      <c r="C52" s="21" t="s">
        <v>222</v>
      </c>
      <c r="D52" s="21" t="s">
        <v>586</v>
      </c>
      <c r="E52" s="13">
        <v>42814.381215277775</v>
      </c>
      <c r="F52" s="13">
        <v>42814.39334490741</v>
      </c>
      <c r="G52" s="7">
        <v>1</v>
      </c>
      <c r="H52" s="21" t="s">
        <v>216</v>
      </c>
      <c r="I52" s="13">
        <v>42814.420567129629</v>
      </c>
      <c r="J52" s="7">
        <v>0</v>
      </c>
      <c r="K52" s="98" t="str">
        <f t="shared" si="0"/>
        <v>4021/4022</v>
      </c>
      <c r="L52" s="21" t="str">
        <f>VLOOKUP(A52,'Trips&amp;Operators'!$C$1:$G$99999,5,FALSE)</f>
        <v>WILLIAMS DONTE</v>
      </c>
      <c r="M52" s="6">
        <f t="shared" si="1"/>
        <v>2.7222222219279502E-2</v>
      </c>
      <c r="N52" s="7">
        <f t="shared" si="24"/>
        <v>39.199999995762482</v>
      </c>
      <c r="O52" s="7"/>
      <c r="P52" s="7"/>
      <c r="Q52" s="22"/>
      <c r="R52" s="22"/>
      <c r="S52" s="31">
        <f t="shared" si="21"/>
        <v>1</v>
      </c>
      <c r="T52" s="46" t="str">
        <f t="shared" si="4"/>
        <v>Southbound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5"/>
        <v>https://d0f6bd738d7f1b3e5a7ca70fe4ff75f0.us-east-1.aws.found.io/app/kibana#/discover/Steve-Slow-Train-Analysis-(2080s-and-2083s)?_g=(refreshInterval:(display:Off,pause:!f,section:0,value:0),time:(from:'2017-03-20T08:08:57-0600',mode:absolute,to:'2017-03-20T11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2" s="187" t="str">
        <f t="shared" si="6"/>
        <v>N</v>
      </c>
      <c r="X52" s="187">
        <f t="shared" si="22"/>
        <v>1</v>
      </c>
      <c r="Y52" s="62">
        <f t="shared" si="8"/>
        <v>23.299099999999999</v>
      </c>
      <c r="Z52" s="62">
        <f t="shared" si="23"/>
        <v>1.5599999999999999E-2</v>
      </c>
      <c r="AA52" s="62">
        <f t="shared" si="10"/>
        <v>23.2835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0140-20</v>
      </c>
      <c r="AE52" s="85" t="str">
        <f t="shared" si="12"/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AF52" s="82" t="str">
        <f t="shared" si="13"/>
        <v>"C:\Program Files (x86)\AstroGrep\AstroGrep.exe" /e /r /s /spath="%USERPROFILE%\AppData\Local\Temp\OnboardLogs" /stypes="app*4021*20170320*" /stext=" 16:.+((SYSTEM_STATE.+slice.+state.+changed )|(ment ac)|(multiple cpu faults)|(system.+state.+changed )|(\[timeout)|(PRM\|1\|D)|(kpr)|(kdp)|(\|lc)|(penalty))"</v>
      </c>
      <c r="AG52" s="1" t="str">
        <f t="shared" si="14"/>
        <v>EC</v>
      </c>
      <c r="AH52" s="86" t="str">
        <f t="shared" si="18"/>
        <v>"%USERPROFILE%\Documents\GitHub\eaglep3\Utilities\RefineRTDCRunTimes.py" --tripid 140-20 --locoid 4021 --swversion DE.1.0.9.0 --startMP 204:232991 --initTime 2017-03-20T09:08:57 --startdatetime 2017-03-20T09:26:25 --delay 1 --endMP 204:156 --enddatetime 2017-03-20T10:05:37 --enforcementcount 0 &gt;&gt;C:\Users\stu\Documents\GitHub\eaglep3-reporting\EC\2017-03-20-refined-times.txt</v>
      </c>
      <c r="AI52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{"issue":{"subject":"","project_id":79,"tracker_id":40,"status_id":1,"priority_id":2,"assigned_to_id":23,"start_date":"2017-03-20","description":"","custom_fields":[{"id":1,"name":"Subdivision","value":"EC"},{"id":4,"name":"Milepost","value":"0.0156"},{"id":17,"name":"Train ID","value":"140-20"},{"id":16,"name":"Locomotive ID","value":"4021"},{"id":130,"name":"Impact","value":""},{"id":150,"name":"Time of Event (Mountain Time)","value":"10:05:37"},{"id":151,"name":"Denver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4021 --day 2017-03-20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"%USERPROFILE%\AppData\Local\Temp\OnboardLogs"\RTDC4021\*4021*20170320* | grep -SE "(Enforcement Action)|(\[TIMEOUT)|(CHR.+\|PRM\|1\|D.+(SWITCH|SIGNAL).+UNKNOWN)" - &gt;&gt; 2017-03-20-UncaughtWiMAX.txt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700</v>
      </c>
      <c r="B53" s="7">
        <v>4018</v>
      </c>
      <c r="C53" s="21" t="s">
        <v>222</v>
      </c>
      <c r="D53" s="21" t="s">
        <v>207</v>
      </c>
      <c r="E53" s="13">
        <v>42814.359259259261</v>
      </c>
      <c r="F53" s="13">
        <v>42814.364756944444</v>
      </c>
      <c r="G53" s="7">
        <v>2</v>
      </c>
      <c r="H53" s="21" t="s">
        <v>519</v>
      </c>
      <c r="I53" s="13">
        <v>42814.390243055554</v>
      </c>
      <c r="J53" s="7">
        <v>0</v>
      </c>
      <c r="K53" s="98" t="str">
        <f t="shared" si="0"/>
        <v>4017/4018</v>
      </c>
      <c r="L53" s="21" t="str">
        <f>VLOOKUP(A53,'Trips&amp;Operators'!$C$1:$G$99999,5,FALSE)</f>
        <v>SANTIZO D. EDY</v>
      </c>
      <c r="M53" s="6">
        <f t="shared" si="1"/>
        <v>2.548611110978527E-2</v>
      </c>
      <c r="N53" s="7">
        <f t="shared" si="24"/>
        <v>36.699999998090789</v>
      </c>
      <c r="O53" s="7"/>
      <c r="P53" s="7"/>
      <c r="Q53" s="22"/>
      <c r="R53" s="22"/>
      <c r="S53" s="31">
        <f t="shared" si="21"/>
        <v>1</v>
      </c>
      <c r="T53" s="46" t="str">
        <f t="shared" si="4"/>
        <v>NorthBound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5"/>
        <v>https://d0f6bd738d7f1b3e5a7ca70fe4ff75f0.us-east-1.aws.found.io/app/kibana#/discover/Steve-Slow-Train-Analysis-(2080s-and-2083s)?_g=(refreshInterval:(display:Off,pause:!f,section:0,value:0),time:(from:'2017-03-20T07:37:20-0600',mode:absolute,to:'2017-03-20T10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3" s="187" t="str">
        <f t="shared" si="6"/>
        <v>N</v>
      </c>
      <c r="X53" s="187">
        <f t="shared" si="22"/>
        <v>1</v>
      </c>
      <c r="Y53" s="62">
        <f t="shared" si="8"/>
        <v>4.5100000000000001E-2</v>
      </c>
      <c r="Z53" s="62">
        <f t="shared" si="23"/>
        <v>23.3276</v>
      </c>
      <c r="AA53" s="62">
        <f t="shared" si="10"/>
        <v>23.282499999999999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0141-20</v>
      </c>
      <c r="AE53" s="85" t="str">
        <f t="shared" si="12"/>
        <v>aws s3 cp s3://rtdc.mdm.uploadarchive.raw/RTDC4018/ "%USERPROFILE%\AppData\Local\Temp\OnboardLogs"\RTDC4018\2017-03-20 --exclude "*" --recursive --include "*20170320*" &amp; "%USERPROFILE%\Documents\GitHub\mrs-test-scripts\Headless Mode &amp; Sideloading\WalkAndUnGZ.bat" "%USERPROFILE%\AppData\Local\Temp\OnboardLogs"\RTDC4018\2017-03-20 &amp; aws s3 cp s3://rtdc.mdm.uploadarchive.raw/RTDC4018/ "%USERPROFILE%\AppData\Local\Temp\OnboardLogs"\RTDC4018\2017-03-21 --exclude "*" --recursive --include "*20170321*" &amp; "%USERPROFILE%\Documents\GitHub\mrs-test-scripts\Headless Mode &amp; Sideloading\WalkAndUnGZ.bat" "%USERPROFILE%\AppData\Local\Temp\OnboardLogs"\RTDC4018\2017-03-21</v>
      </c>
      <c r="AF53" s="82" t="str">
        <f t="shared" si="13"/>
        <v>"C:\Program Files (x86)\AstroGrep\AstroGrep.exe" /e /r /s /spath="%USERPROFILE%\AppData\Local\Temp\OnboardLogs" /stypes="app*4018*20170320*" /stext=" 15:.+((SYSTEM_STATE.+slice.+state.+changed )|(ment ac)|(multiple cpu faults)|(system.+state.+changed )|(\[timeout)|(PRM\|1\|D)|(kpr)|(kdp)|(\|lc)|(penalty))"</v>
      </c>
      <c r="AG53" s="1" t="str">
        <f t="shared" si="14"/>
        <v>EC</v>
      </c>
      <c r="AH53" s="86" t="str">
        <f t="shared" si="18"/>
        <v>"%USERPROFILE%\Documents\GitHub\eaglep3\Utilities\RefineRTDCRunTimes.py" --tripid 141-20 --locoid 4018 --swversion DE.1.0.9.0 --startMP 204:451 --initTime 2017-03-20T08:37:20 --startdatetime 2017-03-20T08:45:15 --delay 2 --endMP 204:233276 --enddatetime 2017-03-20T09:21:57 --enforcementcount 0 &gt;&gt;C:\Users\stu\Documents\GitHub\eaglep3-reporting\EC\2017-03-20-refined-times.txt</v>
      </c>
      <c r="AI53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{"issue":{"subject":"","project_id":79,"tracker_id":40,"status_id":1,"priority_id":2,"assigned_to_id":23,"start_date":"2017-03-20","description":"","custom_fields":[{"id":1,"name":"Subdivision","value":"EC"},{"id":4,"name":"Milepost","value":"23.3276"},{"id":17,"name":"Train ID","value":"141-20"},{"id":16,"name":"Locomotive ID","value":"4018"},{"id":130,"name":"Impact","value":""},{"id":150,"name":"Time of Event (Mountain Time)","value":"09:21:57"},{"id":151,"name":"Denver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4018 --day 2017-03-20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"%USERPROFILE%\AppData\Local\Temp\OnboardLogs"\RTDC4018\*4018*20170320* | grep -SE "(Enforcement Action)|(\[TIMEOUT)|(CHR.+\|PRM\|1\|D.+(SWITCH|SIGNAL).+UNKNOWN)" - &gt;&gt; 2017-03-20-UncaughtWiMAX.txt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705</v>
      </c>
      <c r="B54" s="7">
        <v>4017</v>
      </c>
      <c r="C54" s="21" t="s">
        <v>222</v>
      </c>
      <c r="D54" s="21" t="s">
        <v>512</v>
      </c>
      <c r="E54" s="13">
        <v>42814.391145833331</v>
      </c>
      <c r="F54" s="13">
        <v>42814.403668981482</v>
      </c>
      <c r="G54" s="7">
        <v>1</v>
      </c>
      <c r="H54" s="21" t="s">
        <v>450</v>
      </c>
      <c r="I54" s="13">
        <v>42814.43</v>
      </c>
      <c r="J54" s="7">
        <v>0</v>
      </c>
      <c r="K54" s="98" t="str">
        <f t="shared" si="0"/>
        <v>4017/4018</v>
      </c>
      <c r="L54" s="21" t="str">
        <f>VLOOKUP(A54,'Trips&amp;Operators'!$C$1:$G$99999,5,FALSE)</f>
        <v>SANTIZO D. EDY</v>
      </c>
      <c r="M54" s="6">
        <f t="shared" si="1"/>
        <v>2.6331018518249039E-2</v>
      </c>
      <c r="N54" s="7">
        <f t="shared" si="24"/>
        <v>37.916666666278616</v>
      </c>
      <c r="O54" s="7"/>
      <c r="P54" s="7"/>
      <c r="Q54" s="22"/>
      <c r="R54" s="22"/>
      <c r="S54" s="31">
        <f t="shared" si="21"/>
        <v>1</v>
      </c>
      <c r="T54" s="46" t="str">
        <f t="shared" si="4"/>
        <v>Southbound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5"/>
        <v>https://d0f6bd738d7f1b3e5a7ca70fe4ff75f0.us-east-1.aws.found.io/app/kibana#/discover/Steve-Slow-Train-Analysis-(2080s-and-2083s)?_g=(refreshInterval:(display:Off,pause:!f,section:0,value:0),time:(from:'2017-03-20T08:23:15-0600',mode:absolute,to:'2017-03-20T11:19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4" s="187" t="str">
        <f t="shared" si="6"/>
        <v>N</v>
      </c>
      <c r="X54" s="187">
        <f t="shared" si="22"/>
        <v>1</v>
      </c>
      <c r="Y54" s="62">
        <f t="shared" si="8"/>
        <v>23.2973</v>
      </c>
      <c r="Z54" s="62">
        <f t="shared" si="23"/>
        <v>1.6E-2</v>
      </c>
      <c r="AA54" s="62">
        <f t="shared" si="10"/>
        <v>23.281300000000002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0142-20</v>
      </c>
      <c r="AE54" s="85" t="str">
        <f t="shared" si="12"/>
        <v>aws s3 cp s3://rtdc.mdm.uploadarchive.raw/RTDC4017/ "%USERPROFILE%\AppData\Local\Temp\OnboardLogs"\RTDC4017\2017-03-20 --exclude "*" --recursive --include "*20170320*" &amp; "%USERPROFILE%\Documents\GitHub\mrs-test-scripts\Headless Mode &amp; Sideloading\WalkAndUnGZ.bat" "%USERPROFILE%\AppData\Local\Temp\OnboardLogs"\RTDC4017\2017-03-20 &amp; aws s3 cp s3://rtdc.mdm.uploadarchive.raw/RTDC4017/ "%USERPROFILE%\AppData\Local\Temp\OnboardLogs"\RTDC4017\2017-03-21 --exclude "*" --recursive --include "*20170321*" &amp; "%USERPROFILE%\Documents\GitHub\mrs-test-scripts\Headless Mode &amp; Sideloading\WalkAndUnGZ.bat" "%USERPROFILE%\AppData\Local\Temp\OnboardLogs"\RTDC4017\2017-03-21</v>
      </c>
      <c r="AF54" s="82" t="str">
        <f t="shared" si="13"/>
        <v>"C:\Program Files (x86)\AstroGrep\AstroGrep.exe" /e /r /s /spath="%USERPROFILE%\AppData\Local\Temp\OnboardLogs" /stypes="app*4017*20170320*" /stext=" 16:.+((SYSTEM_STATE.+slice.+state.+changed )|(ment ac)|(multiple cpu faults)|(system.+state.+changed )|(\[timeout)|(PRM\|1\|D)|(kpr)|(kdp)|(\|lc)|(penalty))"</v>
      </c>
      <c r="AG54" s="1" t="str">
        <f t="shared" si="14"/>
        <v>EC</v>
      </c>
      <c r="AH54" s="86" t="str">
        <f t="shared" si="18"/>
        <v>"%USERPROFILE%\Documents\GitHub\eaglep3\Utilities\RefineRTDCRunTimes.py" --tripid 142-20 --locoid 4017 --swversion DE.1.0.9.0 --startMP 204:232973 --initTime 2017-03-20T09:23:15 --startdatetime 2017-03-20T09:41:17 --delay 1 --endMP 204:160 --enddatetime 2017-03-20T10:19:12 --enforcementcount 0 &gt;&gt;C:\Users\stu\Documents\GitHub\eaglep3-reporting\EC\2017-03-20-refined-times.txt</v>
      </c>
      <c r="AI54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{"issue":{"subject":"","project_id":79,"tracker_id":40,"status_id":1,"priority_id":2,"assigned_to_id":23,"start_date":"2017-03-20","description":"","custom_fields":[{"id":1,"name":"Subdivision","value":"EC"},{"id":4,"name":"Milepost","value":"0.016"},{"id":17,"name":"Train ID","value":"142-20"},{"id":16,"name":"Locomotive ID","value":"4017"},{"id":130,"name":"Impact","value":""},{"id":150,"name":"Time of Event (Mountain Time)","value":"10:19:12"},{"id":151,"name":"Denver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4017 --day 2017-03-20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"%USERPROFILE%\AppData\Local\Temp\OnboardLogs"\RTDC4017\*4017*20170320* | grep -SE "(Enforcement Action)|(\[TIMEOUT)|(CHR.+\|PRM\|1\|D.+(SWITCH|SIGNAL).+UNKNOWN)" - &gt;&gt; 2017-03-20-UncaughtWiMAX.txt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702</v>
      </c>
      <c r="B55" s="7">
        <v>4046</v>
      </c>
      <c r="C55" s="21" t="s">
        <v>222</v>
      </c>
      <c r="D55" s="21" t="s">
        <v>406</v>
      </c>
      <c r="E55" s="13">
        <v>42814.371122685188</v>
      </c>
      <c r="F55" s="13">
        <v>42814.375162037039</v>
      </c>
      <c r="G55" s="7">
        <v>1</v>
      </c>
      <c r="H55" s="21" t="s">
        <v>856</v>
      </c>
      <c r="I55" s="13">
        <v>42814.400856481479</v>
      </c>
      <c r="J55" s="7">
        <v>0</v>
      </c>
      <c r="K55" s="98" t="str">
        <f t="shared" si="0"/>
        <v>4045/4046</v>
      </c>
      <c r="L55" s="21" t="str">
        <f>VLOOKUP(A55,'Trips&amp;Operators'!$C$1:$G$99999,5,FALSE)</f>
        <v>ROBINSON KADDIBA</v>
      </c>
      <c r="M55" s="6">
        <f t="shared" si="1"/>
        <v>2.569444444088731E-2</v>
      </c>
      <c r="N55" s="7">
        <f t="shared" si="24"/>
        <v>36.999999994877726</v>
      </c>
      <c r="O55" s="7"/>
      <c r="P55" s="7"/>
      <c r="Q55" s="22"/>
      <c r="R55" s="22"/>
      <c r="S55" s="31">
        <f t="shared" si="21"/>
        <v>1</v>
      </c>
      <c r="T55" s="46" t="str">
        <f t="shared" si="4"/>
        <v>NorthBound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5"/>
        <v>https://d0f6bd738d7f1b3e5a7ca70fe4ff75f0.us-east-1.aws.found.io/app/kibana#/discover/Steve-Slow-Train-Analysis-(2080s-and-2083s)?_g=(refreshInterval:(display:Off,pause:!f,section:0,value:0),time:(from:'2017-03-20T07:54:25-0600',mode:absolute,to:'2017-03-20T10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5" s="187" t="str">
        <f t="shared" si="6"/>
        <v>N</v>
      </c>
      <c r="X55" s="187">
        <f t="shared" si="22"/>
        <v>1</v>
      </c>
      <c r="Y55" s="62">
        <f t="shared" si="8"/>
        <v>4.7100000000000003E-2</v>
      </c>
      <c r="Z55" s="62">
        <f t="shared" si="23"/>
        <v>23.331</v>
      </c>
      <c r="AA55" s="62">
        <f t="shared" si="10"/>
        <v>23.283899999999999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0143-20</v>
      </c>
      <c r="AE55" s="85" t="str">
        <f t="shared" si="12"/>
        <v>aws s3 cp s3://rtdc.mdm.uploadarchive.raw/RTDC4046/ "%USERPROFILE%\AppData\Local\Temp\OnboardLogs"\RTDC4046\2017-03-20 --exclude "*" --recursive --include "*20170320*" &amp; "%USERPROFILE%\Documents\GitHub\mrs-test-scripts\Headless Mode &amp; Sideloading\WalkAndUnGZ.bat" "%USERPROFILE%\AppData\Local\Temp\OnboardLogs"\RTDC4046\2017-03-20 &amp; aws s3 cp s3://rtdc.mdm.uploadarchive.raw/RTDC4046/ "%USERPROFILE%\AppData\Local\Temp\OnboardLogs"\RTDC4046\2017-03-21 --exclude "*" --recursive --include "*20170321*" &amp; "%USERPROFILE%\Documents\GitHub\mrs-test-scripts\Headless Mode &amp; Sideloading\WalkAndUnGZ.bat" "%USERPROFILE%\AppData\Local\Temp\OnboardLogs"\RTDC4046\2017-03-21</v>
      </c>
      <c r="AF55" s="82" t="str">
        <f t="shared" si="13"/>
        <v>"C:\Program Files (x86)\AstroGrep\AstroGrep.exe" /e /r /s /spath="%USERPROFILE%\AppData\Local\Temp\OnboardLogs" /stypes="app*4046*20170320*" /stext=" 15:.+((SYSTEM_STATE.+slice.+state.+changed )|(ment ac)|(multiple cpu faults)|(system.+state.+changed )|(\[timeout)|(PRM\|1\|D)|(kpr)|(kdp)|(\|lc)|(penalty))"</v>
      </c>
      <c r="AG55" s="1" t="str">
        <f t="shared" si="14"/>
        <v>EC</v>
      </c>
      <c r="AH55" s="86" t="str">
        <f t="shared" si="18"/>
        <v>"%USERPROFILE%\Documents\GitHub\eaglep3\Utilities\RefineRTDCRunTimes.py" --tripid 143-20 --locoid 4046 --swversion DE.1.0.9.0 --startMP 204:471 --initTime 2017-03-20T08:54:25 --startdatetime 2017-03-20T09:00:14 --delay 1 --endMP 204:233310 --enddatetime 2017-03-20T09:37:14 --enforcementcount 0 &gt;&gt;C:\Users\stu\Documents\GitHub\eaglep3-reporting\EC\2017-03-20-refined-times.txt</v>
      </c>
      <c r="AI55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{"issue":{"subject":"","project_id":79,"tracker_id":40,"status_id":1,"priority_id":2,"assigned_to_id":23,"start_date":"2017-03-20","description":"","custom_fields":[{"id":1,"name":"Subdivision","value":"EC"},{"id":4,"name":"Milepost","value":"23.331"},{"id":17,"name":"Train ID","value":"143-20"},{"id":16,"name":"Locomotive ID","value":"4046"},{"id":130,"name":"Impact","value":""},{"id":150,"name":"Time of Event (Mountain Time)","value":"09:37:14"},{"id":151,"name":"Denver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4046 --day 2017-03-20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"%USERPROFILE%\AppData\Local\Temp\OnboardLogs"\RTDC4046\*4046*20170320* | grep -SE "(Enforcement Action)|(\[TIMEOUT)|(CHR.+\|PRM\|1\|D.+(SWITCH|SIGNAL).+UNKNOWN)" - &gt;&gt; 2017-03-20-UncaughtWiMAX.txt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618</v>
      </c>
      <c r="B56" s="7">
        <v>4045</v>
      </c>
      <c r="C56" s="21" t="s">
        <v>222</v>
      </c>
      <c r="D56" s="21" t="s">
        <v>517</v>
      </c>
      <c r="E56" s="13">
        <v>42814.407372685186</v>
      </c>
      <c r="F56" s="13">
        <v>42814.414039351854</v>
      </c>
      <c r="G56" s="7">
        <v>1</v>
      </c>
      <c r="H56" s="21" t="s">
        <v>184</v>
      </c>
      <c r="I56" s="13">
        <v>42814.441550925927</v>
      </c>
      <c r="J56" s="7">
        <v>0</v>
      </c>
      <c r="K56" s="98" t="str">
        <f t="shared" si="0"/>
        <v>4045/4046</v>
      </c>
      <c r="L56" s="21" t="str">
        <f>VLOOKUP(A56,'Trips&amp;Operators'!$C$1:$G$99999,5,FALSE)</f>
        <v>ROBINSON KADDIBA</v>
      </c>
      <c r="M56" s="6">
        <f t="shared" si="1"/>
        <v>2.7511574073287193E-2</v>
      </c>
      <c r="N56" s="7">
        <f t="shared" si="24"/>
        <v>39.616666665533558</v>
      </c>
      <c r="O56" s="7"/>
      <c r="P56" s="7"/>
      <c r="Q56" s="22"/>
      <c r="R56" s="22"/>
      <c r="S56" s="31">
        <f t="shared" si="21"/>
        <v>1</v>
      </c>
      <c r="T56" s="46" t="str">
        <f t="shared" si="4"/>
        <v>Southbound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5"/>
        <v>https://d0f6bd738d7f1b3e5a7ca70fe4ff75f0.us-east-1.aws.found.io/app/kibana#/discover/Steve-Slow-Train-Analysis-(2080s-and-2083s)?_g=(refreshInterval:(display:Off,pause:!f,section:0,value:0),time:(from:'2017-03-20T08:46:37-0600',mode:absolute,to:'2017-03-20T11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6" s="187" t="str">
        <f t="shared" si="6"/>
        <v>N</v>
      </c>
      <c r="X56" s="187">
        <f t="shared" si="22"/>
        <v>1</v>
      </c>
      <c r="Y56" s="62">
        <f t="shared" si="8"/>
        <v>23.299600000000002</v>
      </c>
      <c r="Z56" s="62">
        <f t="shared" si="23"/>
        <v>1.49E-2</v>
      </c>
      <c r="AA56" s="62">
        <f t="shared" si="10"/>
        <v>23.284700000000001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0144-20</v>
      </c>
      <c r="AE56" s="85" t="str">
        <f t="shared" si="12"/>
        <v>aws s3 cp s3://rtdc.mdm.uploadarchive.raw/RTDC4045/ "%USERPROFILE%\AppData\Local\Temp\OnboardLogs"\RTDC4045\2017-03-20 --exclude "*" --recursive --include "*20170320*" &amp; "%USERPROFILE%\Documents\GitHub\mrs-test-scripts\Headless Mode &amp; Sideloading\WalkAndUnGZ.bat" "%USERPROFILE%\AppData\Local\Temp\OnboardLogs"\RTDC4045\2017-03-20 &amp; aws s3 cp s3://rtdc.mdm.uploadarchive.raw/RTDC4045/ "%USERPROFILE%\AppData\Local\Temp\OnboardLogs"\RTDC4045\2017-03-21 --exclude "*" --recursive --include "*20170321*" &amp; "%USERPROFILE%\Documents\GitHub\mrs-test-scripts\Headless Mode &amp; Sideloading\WalkAndUnGZ.bat" "%USERPROFILE%\AppData\Local\Temp\OnboardLogs"\RTDC4045\2017-03-21</v>
      </c>
      <c r="AF56" s="82" t="str">
        <f t="shared" si="13"/>
        <v>"C:\Program Files (x86)\AstroGrep\AstroGrep.exe" /e /r /s /spath="%USERPROFILE%\AppData\Local\Temp\OnboardLogs" /stypes="app*4045*20170320*" /stext=" 16:.+((SYSTEM_STATE.+slice.+state.+changed )|(ment ac)|(multiple cpu faults)|(system.+state.+changed )|(\[timeout)|(PRM\|1\|D)|(kpr)|(kdp)|(\|lc)|(penalty))"</v>
      </c>
      <c r="AG56" s="1" t="str">
        <f t="shared" si="14"/>
        <v>EC</v>
      </c>
      <c r="AH56" s="86" t="str">
        <f t="shared" si="18"/>
        <v>"%USERPROFILE%\Documents\GitHub\eaglep3\Utilities\RefineRTDCRunTimes.py" --tripid 144-20 --locoid 4045 --swversion DE.1.0.9.0 --startMP 204:232996 --initTime 2017-03-20T09:46:37 --startdatetime 2017-03-20T09:56:13 --delay 1 --endMP 204:149 --enddatetime 2017-03-20T10:35:50 --enforcementcount 0 &gt;&gt;C:\Users\stu\Documents\GitHub\eaglep3-reporting\EC\2017-03-20-refined-times.txt</v>
      </c>
      <c r="AI56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{"issue":{"subject":"","project_id":79,"tracker_id":40,"status_id":1,"priority_id":2,"assigned_to_id":23,"start_date":"2017-03-20","description":"","custom_fields":[{"id":1,"name":"Subdivision","value":"EC"},{"id":4,"name":"Milepost","value":"0.0149"},{"id":17,"name":"Train ID","value":"144-20"},{"id":16,"name":"Locomotive ID","value":"4045"},{"id":130,"name":"Impact","value":""},{"id":150,"name":"Time of Event (Mountain Time)","value":"10:35:50"},{"id":151,"name":"Denver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4045 --day 2017-03-20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"%USERPROFILE%\AppData\Local\Temp\OnboardLogs"\RTDC4045\*4045*20170320* | grep -SE "(Enforcement Action)|(\[TIMEOUT)|(CHR.+\|PRM\|1\|D.+(SWITCH|SIGNAL).+UNKNOWN)" - &gt;&gt; 2017-03-20-UncaughtWiMAX.txt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615</v>
      </c>
      <c r="B57" s="7">
        <v>4025</v>
      </c>
      <c r="C57" s="21" t="s">
        <v>222</v>
      </c>
      <c r="D57" s="21" t="s">
        <v>431</v>
      </c>
      <c r="E57" s="13">
        <v>42814.381909722222</v>
      </c>
      <c r="F57" s="13">
        <v>42814.385706018518</v>
      </c>
      <c r="G57" s="7">
        <v>1</v>
      </c>
      <c r="H57" s="21" t="s">
        <v>509</v>
      </c>
      <c r="I57" s="13">
        <v>42814.410925925928</v>
      </c>
      <c r="J57" s="7">
        <v>0</v>
      </c>
      <c r="K57" s="98" t="str">
        <f t="shared" si="0"/>
        <v>4025/4026</v>
      </c>
      <c r="L57" s="21" t="str">
        <f>VLOOKUP(A57,'Trips&amp;Operators'!$C$1:$G$99999,5,FALSE)</f>
        <v>MAELZER KURT</v>
      </c>
      <c r="M57" s="6">
        <f t="shared" si="1"/>
        <v>2.5219907409336884E-2</v>
      </c>
      <c r="N57" s="7">
        <f t="shared" si="24"/>
        <v>36.316666669445112</v>
      </c>
      <c r="O57" s="7"/>
      <c r="P57" s="7"/>
      <c r="Q57" s="22"/>
      <c r="R57" s="22"/>
      <c r="S57" s="31">
        <f t="shared" si="21"/>
        <v>1</v>
      </c>
      <c r="T57" s="46" t="str">
        <f t="shared" si="4"/>
        <v>NorthBound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5"/>
        <v>https://d0f6bd738d7f1b3e5a7ca70fe4ff75f0.us-east-1.aws.found.io/app/kibana#/discover/Steve-Slow-Train-Analysis-(2080s-and-2083s)?_g=(refreshInterval:(display:Off,pause:!f,section:0,value:0),time:(from:'2017-03-20T08:09:57-0600',mode:absolute,to:'2017-03-20T10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7" s="187" t="str">
        <f t="shared" si="6"/>
        <v>N</v>
      </c>
      <c r="X57" s="187">
        <f t="shared" si="22"/>
        <v>1</v>
      </c>
      <c r="Y57" s="62">
        <f t="shared" si="8"/>
        <v>4.7300000000000002E-2</v>
      </c>
      <c r="Z57" s="62">
        <f t="shared" si="23"/>
        <v>23.3309</v>
      </c>
      <c r="AA57" s="62">
        <f t="shared" si="10"/>
        <v>23.2836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0145-20</v>
      </c>
      <c r="AE57" s="85" t="str">
        <f t="shared" si="12"/>
        <v>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 &amp; aws s3 cp s3://rtdc.mdm.uploadarchive.raw/RTDC4025/ "%USERPROFILE%\AppData\Local\Temp\OnboardLogs"\RTDC4025\2017-03-21 --exclude "*" --recursive --include "*20170321*" &amp; "%USERPROFILE%\Documents\GitHub\mrs-test-scripts\Headless Mode &amp; Sideloading\WalkAndUnGZ.bat" "%USERPROFILE%\AppData\Local\Temp\OnboardLogs"\RTDC4025\2017-03-21</v>
      </c>
      <c r="AF57" s="82" t="str">
        <f t="shared" si="13"/>
        <v>"C:\Program Files (x86)\AstroGrep\AstroGrep.exe" /e /r /s /spath="%USERPROFILE%\AppData\Local\Temp\OnboardLogs" /stypes="app*4025*20170320*" /stext=" 15:.+((SYSTEM_STATE.+slice.+state.+changed )|(ment ac)|(multiple cpu faults)|(system.+state.+changed )|(\[timeout)|(PRM\|1\|D)|(kpr)|(kdp)|(\|lc)|(penalty))"</v>
      </c>
      <c r="AG57" s="1" t="str">
        <f t="shared" si="14"/>
        <v>EC</v>
      </c>
      <c r="AH57" s="86" t="str">
        <f t="shared" si="18"/>
        <v>"%USERPROFILE%\Documents\GitHub\eaglep3\Utilities\RefineRTDCRunTimes.py" --tripid 145-20 --locoid 4025 --swversion DE.1.0.9.0 --startMP 204:473 --initTime 2017-03-20T09:09:57 --startdatetime 2017-03-20T09:15:25 --delay 1 --endMP 204:233309 --enddatetime 2017-03-20T09:51:44 --enforcementcount 0 &gt;&gt;C:\Users\stu\Documents\GitHub\eaglep3-reporting\EC\2017-03-20-refined-times.txt</v>
      </c>
      <c r="AI57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{"issue":{"subject":"","project_id":79,"tracker_id":40,"status_id":1,"priority_id":2,"assigned_to_id":23,"start_date":"2017-03-20","description":"","custom_fields":[{"id":1,"name":"Subdivision","value":"EC"},{"id":4,"name":"Milepost","value":"23.3309"},{"id":17,"name":"Train ID","value":"145-20"},{"id":16,"name":"Locomotive ID","value":"4025"},{"id":130,"name":"Impact","value":""},{"id":150,"name":"Time of Event (Mountain Time)","value":"09:51:44"},{"id":151,"name":"Denver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4025 --day 2017-03-20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"%USERPROFILE%\AppData\Local\Temp\OnboardLogs"\RTDC4025\*4025*20170320* | grep -SE "(Enforcement Action)|(\[TIMEOUT)|(CHR.+\|PRM\|1\|D.+(SWITCH|SIGNAL).+UNKNOWN)" - &gt;&gt; 2017-03-20-UncaughtWiMAX.txt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709</v>
      </c>
      <c r="B58" s="7">
        <v>4026</v>
      </c>
      <c r="C58" s="21" t="s">
        <v>222</v>
      </c>
      <c r="D58" s="21" t="s">
        <v>404</v>
      </c>
      <c r="E58" s="13">
        <v>42814.419930555552</v>
      </c>
      <c r="F58" s="13">
        <v>42814.424733796295</v>
      </c>
      <c r="G58" s="7">
        <v>0</v>
      </c>
      <c r="H58" s="21" t="s">
        <v>417</v>
      </c>
      <c r="I58" s="13">
        <v>42814.452094907407</v>
      </c>
      <c r="J58" s="7">
        <v>0</v>
      </c>
      <c r="K58" s="98" t="str">
        <f t="shared" si="0"/>
        <v>4025/4026</v>
      </c>
      <c r="L58" s="21" t="str">
        <f>VLOOKUP(A58,'Trips&amp;Operators'!$C$1:$G$99999,5,FALSE)</f>
        <v>MAELZER KURT</v>
      </c>
      <c r="M58" s="6">
        <f t="shared" si="1"/>
        <v>2.73611111115315E-2</v>
      </c>
      <c r="N58" s="7">
        <f t="shared" si="24"/>
        <v>39.40000000060536</v>
      </c>
      <c r="O58" s="7"/>
      <c r="P58" s="7"/>
      <c r="Q58" s="22"/>
      <c r="R58" s="22"/>
      <c r="S58" s="31">
        <f t="shared" si="21"/>
        <v>1</v>
      </c>
      <c r="T58" s="46" t="str">
        <f t="shared" si="4"/>
        <v>Southbound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5"/>
        <v>https://d0f6bd738d7f1b3e5a7ca70fe4ff75f0.us-east-1.aws.found.io/app/kibana#/discover/Steve-Slow-Train-Analysis-(2080s-and-2083s)?_g=(refreshInterval:(display:Off,pause:!f,section:0,value:0),time:(from:'2017-03-20T09:04:42-0600',mode:absolute,to:'2017-03-20T11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8" s="187" t="str">
        <f t="shared" si="6"/>
        <v>N</v>
      </c>
      <c r="X58" s="187">
        <f t="shared" si="22"/>
        <v>1</v>
      </c>
      <c r="Y58" s="62">
        <f t="shared" si="8"/>
        <v>23.297499999999999</v>
      </c>
      <c r="Z58" s="62">
        <f t="shared" si="23"/>
        <v>1.43E-2</v>
      </c>
      <c r="AA58" s="62">
        <f t="shared" si="10"/>
        <v>23.283200000000001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0146-20</v>
      </c>
      <c r="AE58" s="85" t="str">
        <f t="shared" si="12"/>
        <v>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 &amp; 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</v>
      </c>
      <c r="AF58" s="82" t="str">
        <f t="shared" si="13"/>
        <v>"C:\Program Files (x86)\AstroGrep\AstroGrep.exe" /e /r /s /spath="%USERPROFILE%\AppData\Local\Temp\OnboardLogs" /stypes="app*4026*20170320*" /stext=" 16:.+((SYSTEM_STATE.+slice.+state.+changed )|(ment ac)|(multiple cpu faults)|(system.+state.+changed )|(\[timeout)|(PRM\|1\|D)|(kpr)|(kdp)|(\|lc)|(penalty))"</v>
      </c>
      <c r="AG58" s="1" t="str">
        <f t="shared" si="14"/>
        <v>EC</v>
      </c>
      <c r="AH58" s="86" t="str">
        <f t="shared" si="18"/>
        <v>"%USERPROFILE%\Documents\GitHub\eaglep3\Utilities\RefineRTDCRunTimes.py" --tripid 146-20 --locoid 4026 --swversion DE.1.0.9.0 --startMP 204:232975 --initTime 2017-03-20T10:04:42 --startdatetime 2017-03-20T10:11:37 --delay 0 --endMP 204:143 --enddatetime 2017-03-20T10:51:01 --enforcementcount 0 &gt;&gt;C:\Users\stu\Documents\GitHub\eaglep3-reporting\EC\2017-03-20-refined-times.txt</v>
      </c>
      <c r="AI58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{"issue":{"subject":"","project_id":79,"tracker_id":40,"status_id":1,"priority_id":2,"assigned_to_id":23,"start_date":"2017-03-20","description":"","custom_fields":[{"id":1,"name":"Subdivision","value":"EC"},{"id":4,"name":"Milepost","value":"0.0143"},{"id":17,"name":"Train ID","value":"146-20"},{"id":16,"name":"Locomotive ID","value":"4026"},{"id":130,"name":"Impact","value":""},{"id":150,"name":"Time of Event (Mountain Time)","value":"10:51:01"},{"id":151,"name":"Denver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4026 --day 2017-03-20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"%USERPROFILE%\AppData\Local\Temp\OnboardLogs"\RTDC4026\*4026*20170320* | grep -SE "(Enforcement Action)|(\[TIMEOUT)|(CHR.+\|PRM\|1\|D.+(SWITCH|SIGNAL).+UNKNOWN)" - &gt;&gt; 2017-03-20-UncaughtWiMAX.txt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616</v>
      </c>
      <c r="B59" s="7">
        <v>4027</v>
      </c>
      <c r="C59" s="21" t="s">
        <v>222</v>
      </c>
      <c r="D59" s="21" t="s">
        <v>428</v>
      </c>
      <c r="E59" s="13">
        <v>42814.394791666666</v>
      </c>
      <c r="F59" s="13">
        <v>42814.396006944444</v>
      </c>
      <c r="G59" s="7">
        <v>1</v>
      </c>
      <c r="H59" s="21" t="s">
        <v>420</v>
      </c>
      <c r="I59" s="13">
        <v>42814.422592592593</v>
      </c>
      <c r="J59" s="7">
        <v>0</v>
      </c>
      <c r="K59" s="98" t="str">
        <f t="shared" si="0"/>
        <v>4027/4028</v>
      </c>
      <c r="L59" s="21" t="str">
        <f>VLOOKUP(A59,'Trips&amp;Operators'!$C$1:$G$99999,5,FALSE)</f>
        <v>STARKS ANGELINA</v>
      </c>
      <c r="M59" s="6">
        <f t="shared" si="1"/>
        <v>2.658564814919373E-2</v>
      </c>
      <c r="N59" s="7">
        <f t="shared" si="24"/>
        <v>38.283333334838971</v>
      </c>
      <c r="O59" s="7"/>
      <c r="P59" s="7"/>
      <c r="Q59" s="22"/>
      <c r="R59" s="22"/>
      <c r="S59" s="31">
        <f t="shared" si="21"/>
        <v>1</v>
      </c>
      <c r="T59" s="46" t="str">
        <f t="shared" si="4"/>
        <v>NorthBound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5"/>
        <v>https://d0f6bd738d7f1b3e5a7ca70fe4ff75f0.us-east-1.aws.found.io/app/kibana#/discover/Steve-Slow-Train-Analysis-(2080s-and-2083s)?_g=(refreshInterval:(display:Off,pause:!f,section:0,value:0),time:(from:'2017-03-20T08:28:30-0600',mode:absolute,to:'2017-03-20T11:08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9" s="187" t="str">
        <f t="shared" si="6"/>
        <v>N</v>
      </c>
      <c r="X59" s="187">
        <f t="shared" si="22"/>
        <v>1</v>
      </c>
      <c r="Y59" s="62">
        <f t="shared" si="8"/>
        <v>4.4600000000000001E-2</v>
      </c>
      <c r="Z59" s="62">
        <f t="shared" si="23"/>
        <v>23.3308</v>
      </c>
      <c r="AA59" s="62">
        <f t="shared" si="10"/>
        <v>23.286200000000001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0147-20</v>
      </c>
      <c r="AE59" s="85" t="str">
        <f t="shared" si="12"/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AF59" s="82" t="str">
        <f t="shared" si="13"/>
        <v>"C:\Program Files (x86)\AstroGrep\AstroGrep.exe" /e /r /s /spath="%USERPROFILE%\AppData\Local\Temp\OnboardLogs" /stypes="app*4027*20170320*" /stext=" 16:.+((SYSTEM_STATE.+slice.+state.+changed )|(ment ac)|(multiple cpu faults)|(system.+state.+changed )|(\[timeout)|(PRM\|1\|D)|(kpr)|(kdp)|(\|lc)|(penalty))"</v>
      </c>
      <c r="AG59" s="1" t="str">
        <f t="shared" si="14"/>
        <v>EC</v>
      </c>
      <c r="AH59" s="86" t="str">
        <f t="shared" si="18"/>
        <v>"%USERPROFILE%\Documents\GitHub\eaglep3\Utilities\RefineRTDCRunTimes.py" --tripid 147-20 --locoid 4027 --swversion DE.1.0.9.0 --startMP 204:446 --initTime 2017-03-20T09:28:30 --startdatetime 2017-03-20T09:30:15 --delay 1 --endMP 204:233308 --enddatetime 2017-03-20T10:08:32 --enforcementcount 0 &gt;&gt;C:\Users\stu\Documents\GitHub\eaglep3-reporting\EC\2017-03-20-refined-times.txt</v>
      </c>
      <c r="AI59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{"issue":{"subject":"","project_id":79,"tracker_id":40,"status_id":1,"priority_id":2,"assigned_to_id":23,"start_date":"2017-03-20","description":"","custom_fields":[{"id":1,"name":"Subdivision","value":"EC"},{"id":4,"name":"Milepost","value":"23.3308"},{"id":17,"name":"Train ID","value":"147-20"},{"id":16,"name":"Locomotive ID","value":"4027"},{"id":130,"name":"Impact","value":""},{"id":150,"name":"Time of Event (Mountain Time)","value":"10:08:32"},{"id":151,"name":"Denver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4027 --day 2017-03-20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"%USERPROFILE%\AppData\Local\Temp\OnboardLogs"\RTDC4027\*4027*20170320* | grep -SE "(Enforcement Action)|(\[TIMEOUT)|(CHR.+\|PRM\|1\|D.+(SWITCH|SIGNAL).+UNKNOWN)" - &gt;&gt; 2017-03-20-UncaughtWiMAX.txt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622</v>
      </c>
      <c r="B60" s="7">
        <v>4028</v>
      </c>
      <c r="C60" s="21" t="s">
        <v>222</v>
      </c>
      <c r="D60" s="21" t="s">
        <v>514</v>
      </c>
      <c r="E60" s="13">
        <v>42814.433055555557</v>
      </c>
      <c r="F60" s="13">
        <v>42814.435011574074</v>
      </c>
      <c r="G60" s="7">
        <v>1</v>
      </c>
      <c r="H60" s="21" t="s">
        <v>191</v>
      </c>
      <c r="I60" s="13">
        <v>42814.46297453704</v>
      </c>
      <c r="J60" s="7">
        <v>0</v>
      </c>
      <c r="K60" s="98" t="str">
        <f t="shared" si="0"/>
        <v>4027/4028</v>
      </c>
      <c r="L60" s="21" t="str">
        <f>VLOOKUP(A60,'Trips&amp;Operators'!$C$1:$G$99999,5,FALSE)</f>
        <v>STARKS ANGELINA</v>
      </c>
      <c r="M60" s="6">
        <f t="shared" si="1"/>
        <v>2.7962962965830229E-2</v>
      </c>
      <c r="N60" s="7">
        <f t="shared" si="24"/>
        <v>40.26666667079553</v>
      </c>
      <c r="O60" s="7"/>
      <c r="P60" s="7"/>
      <c r="Q60" s="22"/>
      <c r="R60" s="22"/>
      <c r="S60" s="31">
        <f t="shared" si="21"/>
        <v>1</v>
      </c>
      <c r="T60" s="46" t="str">
        <f t="shared" si="4"/>
        <v>Southbound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5"/>
        <v>https://d0f6bd738d7f1b3e5a7ca70fe4ff75f0.us-east-1.aws.found.io/app/kibana#/discover/Steve-Slow-Train-Analysis-(2080s-and-2083s)?_g=(refreshInterval:(display:Off,pause:!f,section:0,value:0),time:(from:'2017-03-20T09:23:36-0600',mode:absolute,to:'2017-03-20T12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0" s="187" t="str">
        <f t="shared" si="6"/>
        <v>N</v>
      </c>
      <c r="X60" s="187">
        <f t="shared" si="22"/>
        <v>1</v>
      </c>
      <c r="Y60" s="62">
        <f t="shared" si="8"/>
        <v>23.299299999999999</v>
      </c>
      <c r="Z60" s="62">
        <f t="shared" si="23"/>
        <v>1.4999999999999999E-2</v>
      </c>
      <c r="AA60" s="62">
        <f t="shared" si="10"/>
        <v>23.284299999999998</v>
      </c>
      <c r="AB60" s="59" t="str">
        <f>VLOOKUP(A60,Enforcements!$C$7:$K$13,8,0)</f>
        <v>Bulletin (2)</v>
      </c>
      <c r="AC60" s="55" t="str">
        <f>VLOOKUP(A60,Enforcements!$C$7:$E$13,3,0)</f>
        <v>GRADE CROSSING</v>
      </c>
      <c r="AD60" s="56" t="str">
        <f t="shared" si="11"/>
        <v>0148-20</v>
      </c>
      <c r="AE60" s="85" t="str">
        <f t="shared" si="12"/>
        <v>aws s3 cp s3://rtdc.mdm.uploadarchive.raw/RTDC4028/ "%USERPROFILE%\AppData\Local\Temp\OnboardLogs"\RTDC4028\2017-03-20 --exclude "*" --recursive --include "*20170320*" &amp; "%USERPROFILE%\Documents\GitHub\mrs-test-scripts\Headless Mode &amp; Sideloading\WalkAndUnGZ.bat" "%USERPROFILE%\AppData\Local\Temp\OnboardLogs"\RTDC4028\2017-03-20 &amp; aws s3 cp s3://rtdc.mdm.uploadarchive.raw/RTDC4028/ "%USERPROFILE%\AppData\Local\Temp\OnboardLogs"\RTDC4028\2017-03-21 --exclude "*" --recursive --include "*20170321*" &amp; "%USERPROFILE%\Documents\GitHub\mrs-test-scripts\Headless Mode &amp; Sideloading\WalkAndUnGZ.bat" "%USERPROFILE%\AppData\Local\Temp\OnboardLogs"\RTDC4028\2017-03-21</v>
      </c>
      <c r="AF60" s="82" t="str">
        <f t="shared" si="13"/>
        <v>"C:\Program Files (x86)\AstroGrep\AstroGrep.exe" /e /r /s /spath="%USERPROFILE%\AppData\Local\Temp\OnboardLogs" /stypes="app*4028*20170320*" /stext=" 17:.+((SYSTEM_STATE.+slice.+state.+changed )|(ment ac)|(multiple cpu faults)|(system.+state.+changed )|(\[timeout)|(PRM\|1\|D)|(kpr)|(kdp)|(\|lc)|(penalty))"</v>
      </c>
      <c r="AG60" s="1" t="str">
        <f t="shared" si="14"/>
        <v>EC</v>
      </c>
      <c r="AH60" s="86" t="str">
        <f t="shared" si="18"/>
        <v>"%USERPROFILE%\Documents\GitHub\eaglep3\Utilities\RefineRTDCRunTimes.py" --tripid 148-20 --locoid 4028 --swversion DE.1.0.9.0 --startMP 204:232993 --initTime 2017-03-20T10:23:36 --startdatetime 2017-03-20T10:26:25 --delay 1 --endMP 204:150 --enddatetime 2017-03-20T11:06:41 --enforcementcount 0 &gt;&gt;C:\Users\stu\Documents\GitHub\eaglep3-reporting\EC\2017-03-20-refined-times.txt</v>
      </c>
      <c r="AI60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{"issue":{"subject":"","project_id":79,"tracker_id":40,"status_id":1,"priority_id":2,"assigned_to_id":23,"start_date":"2017-03-20","description":"","custom_fields":[{"id":1,"name":"Subdivision","value":"EC"},{"id":4,"name":"Milepost","value":"0.015"},{"id":17,"name":"Train ID","value":"148-20"},{"id":16,"name":"Locomotive ID","value":"4028"},{"id":130,"name":"Impact","value":""},{"id":150,"name":"Time of Event (Mountain Time)","value":"11:06:41"},{"id":151,"name":"Denver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4028 --day 2017-03-20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"%USERPROFILE%\AppData\Local\Temp\OnboardLogs"\RTDC4028\*4028*20170320* | grep -SE "(Enforcement Action)|(\[TIMEOUT)|(CHR.+\|PRM\|1\|D.+(SWITCH|SIGNAL).+UNKNOWN)" - &gt;&gt; 2017-03-20-UncaughtWiMAX.txt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707</v>
      </c>
      <c r="B61" s="7">
        <v>4003</v>
      </c>
      <c r="C61" s="21" t="s">
        <v>222</v>
      </c>
      <c r="D61" s="21" t="s">
        <v>218</v>
      </c>
      <c r="E61" s="13">
        <v>42814.402048611111</v>
      </c>
      <c r="F61" s="13">
        <v>42814.406493055554</v>
      </c>
      <c r="G61" s="7">
        <v>1</v>
      </c>
      <c r="H61" s="21" t="s">
        <v>507</v>
      </c>
      <c r="I61" s="13">
        <v>42814.432233796295</v>
      </c>
      <c r="J61" s="7">
        <v>0</v>
      </c>
      <c r="K61" s="98" t="str">
        <f t="shared" si="0"/>
        <v>4003/4004</v>
      </c>
      <c r="L61" s="21" t="str">
        <f>VLOOKUP(A61,'Trips&amp;Operators'!$C$1:$G$99999,5,FALSE)</f>
        <v>GUZMAN DANNY</v>
      </c>
      <c r="M61" s="6">
        <f t="shared" si="1"/>
        <v>2.5740740740729962E-2</v>
      </c>
      <c r="N61" s="7">
        <f t="shared" si="24"/>
        <v>37.066666666651145</v>
      </c>
      <c r="O61" s="7"/>
      <c r="P61" s="7"/>
      <c r="Q61" s="22"/>
      <c r="R61" s="22"/>
      <c r="S61" s="31">
        <f t="shared" si="21"/>
        <v>1</v>
      </c>
      <c r="T61" s="46" t="str">
        <f t="shared" si="4"/>
        <v>NorthBound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5"/>
        <v>https://d0f6bd738d7f1b3e5a7ca70fe4ff75f0.us-east-1.aws.found.io/app/kibana#/discover/Steve-Slow-Train-Analysis-(2080s-and-2083s)?_g=(refreshInterval:(display:Off,pause:!f,section:0,value:0),time:(from:'2017-03-20T08:38:57-0600',mode:absolute,to:'2017-03-20T11:22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1" s="187" t="str">
        <f t="shared" si="6"/>
        <v>N</v>
      </c>
      <c r="X61" s="187">
        <f t="shared" si="22"/>
        <v>1</v>
      </c>
      <c r="Y61" s="62">
        <f t="shared" si="8"/>
        <v>4.4699999999999997E-2</v>
      </c>
      <c r="Z61" s="62">
        <f t="shared" si="23"/>
        <v>23.330300000000001</v>
      </c>
      <c r="AA61" s="62">
        <f t="shared" si="10"/>
        <v>23.285600000000002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0149-20</v>
      </c>
      <c r="AE61" s="85" t="str">
        <f t="shared" si="12"/>
        <v>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 &amp; 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</v>
      </c>
      <c r="AF61" s="82" t="str">
        <f t="shared" si="13"/>
        <v>"C:\Program Files (x86)\AstroGrep\AstroGrep.exe" /e /r /s /spath="%USERPROFILE%\AppData\Local\Temp\OnboardLogs" /stypes="app*4003*20170320*" /stext=" 16:.+((SYSTEM_STATE.+slice.+state.+changed )|(ment ac)|(multiple cpu faults)|(system.+state.+changed )|(\[timeout)|(PRM\|1\|D)|(kpr)|(kdp)|(\|lc)|(penalty))"</v>
      </c>
      <c r="AG61" s="1" t="str">
        <f t="shared" si="14"/>
        <v>EC</v>
      </c>
      <c r="AH61" s="86" t="str">
        <f t="shared" si="18"/>
        <v>"%USERPROFILE%\Documents\GitHub\eaglep3\Utilities\RefineRTDCRunTimes.py" --tripid 149-20 --locoid 4003 --swversion DE.1.0.9.0 --startMP 204:447 --initTime 2017-03-20T09:38:57 --startdatetime 2017-03-20T09:45:21 --delay 1 --endMP 204:233303 --enddatetime 2017-03-20T10:22:25 --enforcementcount 0 &gt;&gt;C:\Users\stu\Documents\GitHub\eaglep3-reporting\EC\2017-03-20-refined-times.txt</v>
      </c>
      <c r="AI61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{"issue":{"subject":"","project_id":79,"tracker_id":40,"status_id":1,"priority_id":2,"assigned_to_id":23,"start_date":"2017-03-20","description":"","custom_fields":[{"id":1,"name":"Subdivision","value":"EC"},{"id":4,"name":"Milepost","value":"23.3303"},{"id":17,"name":"Train ID","value":"149-20"},{"id":16,"name":"Locomotive ID","value":"4003"},{"id":130,"name":"Impact","value":""},{"id":150,"name":"Time of Event (Mountain Time)","value":"10:22:25"},{"id":151,"name":"Denver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4003 --day 2017-03-20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"%USERPROFILE%\AppData\Local\Temp\OnboardLogs"\RTDC4003\*4003*20170320* | grep -SE "(Enforcement Action)|(\[TIMEOUT)|(CHR.+\|PRM\|1\|D.+(SWITCH|SIGNAL).+UNKNOWN)" - &gt;&gt; 2017-03-20-UncaughtWiMAX.txt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712</v>
      </c>
      <c r="B62" s="7">
        <v>4004</v>
      </c>
      <c r="C62" s="21" t="s">
        <v>222</v>
      </c>
      <c r="D62" s="21" t="s">
        <v>518</v>
      </c>
      <c r="E62" s="13">
        <v>42814.439675925925</v>
      </c>
      <c r="F62" s="13">
        <v>42814.445555555554</v>
      </c>
      <c r="G62" s="7">
        <v>1</v>
      </c>
      <c r="H62" s="21" t="s">
        <v>511</v>
      </c>
      <c r="I62" s="13">
        <v>42814.474074074074</v>
      </c>
      <c r="J62" s="7">
        <v>0</v>
      </c>
      <c r="K62" s="98" t="str">
        <f t="shared" si="0"/>
        <v>4003/4004</v>
      </c>
      <c r="L62" s="21" t="str">
        <f>VLOOKUP(A62,'Trips&amp;Operators'!$C$1:$G$99999,5,FALSE)</f>
        <v>GUZMAN DANNY</v>
      </c>
      <c r="M62" s="6">
        <f t="shared" si="1"/>
        <v>2.8518518520286307E-2</v>
      </c>
      <c r="N62" s="7">
        <f t="shared" si="24"/>
        <v>41.066666669212282</v>
      </c>
      <c r="O62" s="7"/>
      <c r="P62" s="7"/>
      <c r="Q62" s="22"/>
      <c r="R62" s="22"/>
      <c r="S62" s="31">
        <f t="shared" si="21"/>
        <v>1</v>
      </c>
      <c r="T62" s="46" t="str">
        <f t="shared" si="4"/>
        <v>Southbound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5"/>
        <v>https://d0f6bd738d7f1b3e5a7ca70fe4ff75f0.us-east-1.aws.found.io/app/kibana#/discover/Steve-Slow-Train-Analysis-(2080s-and-2083s)?_g=(refreshInterval:(display:Off,pause:!f,section:0,value:0),time:(from:'2017-03-20T09:33:08-0600',mode:absolute,to:'2017-03-20T12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2" s="187" t="str">
        <f t="shared" si="6"/>
        <v>N</v>
      </c>
      <c r="X62" s="187">
        <f t="shared" si="22"/>
        <v>1</v>
      </c>
      <c r="Y62" s="62">
        <f t="shared" si="8"/>
        <v>23.297999999999998</v>
      </c>
      <c r="Z62" s="62">
        <f t="shared" si="23"/>
        <v>1.3899999999999999E-2</v>
      </c>
      <c r="AA62" s="62">
        <f t="shared" si="10"/>
        <v>23.284099999999999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0150-20</v>
      </c>
      <c r="AE62" s="85" t="str">
        <f t="shared" si="12"/>
        <v>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 &amp; aws s3 cp s3://rtdc.mdm.uploadarchive.raw/RTDC4004/ "%USERPROFILE%\AppData\Local\Temp\OnboardLogs"\RTDC4004\2017-03-21 --exclude "*" --recursive --include "*20170321*" &amp; "%USERPROFILE%\Documents\GitHub\mrs-test-scripts\Headless Mode &amp; Sideloading\WalkAndUnGZ.bat" "%USERPROFILE%\AppData\Local\Temp\OnboardLogs"\RTDC4004\2017-03-21</v>
      </c>
      <c r="AF62" s="82" t="str">
        <f t="shared" si="13"/>
        <v>"C:\Program Files (x86)\AstroGrep\AstroGrep.exe" /e /r /s /spath="%USERPROFILE%\AppData\Local\Temp\OnboardLogs" /stypes="app*4004*20170320*" /stext=" 17:.+((SYSTEM_STATE.+slice.+state.+changed )|(ment ac)|(multiple cpu faults)|(system.+state.+changed )|(\[timeout)|(PRM\|1\|D)|(kpr)|(kdp)|(\|lc)|(penalty))"</v>
      </c>
      <c r="AG62" s="1" t="str">
        <f t="shared" si="14"/>
        <v>EC</v>
      </c>
      <c r="AH62" s="86" t="str">
        <f t="shared" si="18"/>
        <v>"%USERPROFILE%\Documents\GitHub\eaglep3\Utilities\RefineRTDCRunTimes.py" --tripid 150-20 --locoid 4004 --swversion DE.1.0.9.0 --startMP 204:232980 --initTime 2017-03-20T10:33:08 --startdatetime 2017-03-20T10:41:36 --delay 1 --endMP 204:139 --enddatetime 2017-03-20T11:22:40 --enforcementcount 0 &gt;&gt;C:\Users\stu\Documents\GitHub\eaglep3-reporting\EC\2017-03-20-refined-times.txt</v>
      </c>
      <c r="AI62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{"issue":{"subject":"","project_id":79,"tracker_id":40,"status_id":1,"priority_id":2,"assigned_to_id":23,"start_date":"2017-03-20","description":"","custom_fields":[{"id":1,"name":"Subdivision","value":"EC"},{"id":4,"name":"Milepost","value":"0.0139"},{"id":17,"name":"Train ID","value":"150-20"},{"id":16,"name":"Locomotive ID","value":"4004"},{"id":130,"name":"Impact","value":""},{"id":150,"name":"Time of Event (Mountain Time)","value":"11:22:40"},{"id":151,"name":"Denver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4004 --day 2017-03-20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"%USERPROFILE%\AppData\Local\Temp\OnboardLogs"\RTDC4004\*4004*20170320* | grep -SE "(Enforcement Action)|(\[TIMEOUT)|(CHR.+\|PRM\|1\|D.+(SWITCH|SIGNAL).+UNKNOWN)" - &gt;&gt; 2017-03-20-UncaughtWiMAX.txt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708</v>
      </c>
      <c r="B63" s="7">
        <v>4042</v>
      </c>
      <c r="C63" s="21" t="s">
        <v>222</v>
      </c>
      <c r="D63" s="21" t="s">
        <v>431</v>
      </c>
      <c r="E63" s="13">
        <v>42814.411527777775</v>
      </c>
      <c r="F63" s="13">
        <v>42814.417037037034</v>
      </c>
      <c r="G63" s="7">
        <v>2</v>
      </c>
      <c r="H63" s="21" t="s">
        <v>856</v>
      </c>
      <c r="I63" s="13">
        <v>42814.442094907405</v>
      </c>
      <c r="J63" s="7">
        <v>0</v>
      </c>
      <c r="K63" s="98" t="str">
        <f t="shared" si="0"/>
        <v>4041/4042</v>
      </c>
      <c r="L63" s="21" t="str">
        <f>VLOOKUP(A63,'Trips&amp;Operators'!$C$1:$G$99999,5,FALSE)</f>
        <v>ACKERMAN JARED</v>
      </c>
      <c r="M63" s="6">
        <f t="shared" si="1"/>
        <v>2.5057870370801538E-2</v>
      </c>
      <c r="N63" s="7">
        <f t="shared" si="24"/>
        <v>36.083333333954215</v>
      </c>
      <c r="O63" s="7"/>
      <c r="P63" s="7"/>
      <c r="Q63" s="22"/>
      <c r="R63" s="22"/>
      <c r="S63" s="31">
        <f t="shared" si="21"/>
        <v>1</v>
      </c>
      <c r="T63" s="46" t="str">
        <f t="shared" si="4"/>
        <v>NorthBound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5"/>
        <v>https://d0f6bd738d7f1b3e5a7ca70fe4ff75f0.us-east-1.aws.found.io/app/kibana#/discover/Steve-Slow-Train-Analysis-(2080s-and-2083s)?_g=(refreshInterval:(display:Off,pause:!f,section:0,value:0),time:(from:'2017-03-20T08:52:36-0600',mode:absolute,to:'2017-03-20T11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3" s="187" t="str">
        <f t="shared" si="6"/>
        <v>N</v>
      </c>
      <c r="X63" s="187">
        <f t="shared" si="22"/>
        <v>1</v>
      </c>
      <c r="Y63" s="62">
        <f t="shared" si="8"/>
        <v>4.7300000000000002E-2</v>
      </c>
      <c r="Z63" s="62">
        <f t="shared" si="23"/>
        <v>23.331</v>
      </c>
      <c r="AA63" s="62">
        <f t="shared" si="10"/>
        <v>23.2837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1"/>
        <v>0151-20</v>
      </c>
      <c r="AE63" s="85" t="str">
        <f t="shared" si="12"/>
        <v>aws s3 cp s3://rtdc.mdm.uploadarchive.raw/RTDC4042/ "%USERPROFILE%\AppData\Local\Temp\OnboardLogs"\RTDC4042\2017-03-20 --exclude "*" --recursive --include "*20170320*" &amp; "%USERPROFILE%\Documents\GitHub\mrs-test-scripts\Headless Mode &amp; Sideloading\WalkAndUnGZ.bat" "%USERPROFILE%\AppData\Local\Temp\OnboardLogs"\RTDC4042\2017-03-20 &amp; aws s3 cp s3://rtdc.mdm.uploadarchive.raw/RTDC4042/ "%USERPROFILE%\AppData\Local\Temp\OnboardLogs"\RTDC4042\2017-03-21 --exclude "*" --recursive --include "*20170321*" &amp; "%USERPROFILE%\Documents\GitHub\mrs-test-scripts\Headless Mode &amp; Sideloading\WalkAndUnGZ.bat" "%USERPROFILE%\AppData\Local\Temp\OnboardLogs"\RTDC4042\2017-03-21</v>
      </c>
      <c r="AF63" s="82" t="str">
        <f t="shared" si="13"/>
        <v>"C:\Program Files (x86)\AstroGrep\AstroGrep.exe" /e /r /s /spath="%USERPROFILE%\AppData\Local\Temp\OnboardLogs" /stypes="app*4042*20170320*" /stext=" 16:.+((SYSTEM_STATE.+slice.+state.+changed )|(ment ac)|(multiple cpu faults)|(system.+state.+changed )|(\[timeout)|(PRM\|1\|D)|(kpr)|(kdp)|(\|lc)|(penalty))"</v>
      </c>
      <c r="AG63" s="1" t="str">
        <f t="shared" si="14"/>
        <v>EC</v>
      </c>
      <c r="AH63" s="86" t="str">
        <f t="shared" si="18"/>
        <v>"%USERPROFILE%\Documents\GitHub\eaglep3\Utilities\RefineRTDCRunTimes.py" --tripid 151-20 --locoid 4042 --swversion DE.1.0.9.0 --startMP 204:473 --initTime 2017-03-20T09:52:36 --startdatetime 2017-03-20T10:00:32 --delay 2 --endMP 204:233310 --enddatetime 2017-03-20T10:36:37 --enforcementcount 0 &gt;&gt;C:\Users\stu\Documents\GitHub\eaglep3-reporting\EC\2017-03-20-refined-times.txt</v>
      </c>
      <c r="AI63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{"issue":{"subject":"","project_id":79,"tracker_id":40,"status_id":1,"priority_id":2,"assigned_to_id":23,"start_date":"2017-03-20","description":"","custom_fields":[{"id":1,"name":"Subdivision","value":"EC"},{"id":4,"name":"Milepost","value":"23.331"},{"id":17,"name":"Train ID","value":"151-20"},{"id":16,"name":"Locomotive ID","value":"4042"},{"id":130,"name":"Impact","value":""},{"id":150,"name":"Time of Event (Mountain Time)","value":"10:36:37"},{"id":151,"name":"Denver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4042 --day 2017-03-20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"%USERPROFILE%\AppData\Local\Temp\OnboardLogs"\RTDC4042\*4042*20170320* | grep -SE "(Enforcement Action)|(\[TIMEOUT)|(CHR.+\|PRM\|1\|D.+(SWITCH|SIGNAL).+UNKNOWN)" - &gt;&gt; 2017-03-20-UncaughtWiMAX.txt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714</v>
      </c>
      <c r="B64" s="7">
        <v>4041</v>
      </c>
      <c r="C64" s="21" t="s">
        <v>222</v>
      </c>
      <c r="D64" s="21" t="s">
        <v>855</v>
      </c>
      <c r="E64" s="13">
        <v>42814.44798611111</v>
      </c>
      <c r="F64" s="13">
        <v>42814.45579861111</v>
      </c>
      <c r="G64" s="7">
        <v>2</v>
      </c>
      <c r="H64" s="21" t="s">
        <v>511</v>
      </c>
      <c r="I64" s="13">
        <v>42814.483194444445</v>
      </c>
      <c r="J64" s="7">
        <v>0</v>
      </c>
      <c r="K64" s="98" t="str">
        <f t="shared" si="0"/>
        <v>4041/4042</v>
      </c>
      <c r="L64" s="21" t="str">
        <f>VLOOKUP(A64,'Trips&amp;Operators'!$C$1:$G$99999,5,FALSE)</f>
        <v>ACKERMAN JARED</v>
      </c>
      <c r="M64" s="6">
        <f t="shared" si="1"/>
        <v>2.7395833334594499E-2</v>
      </c>
      <c r="N64" s="7">
        <f t="shared" si="24"/>
        <v>39.450000001816079</v>
      </c>
      <c r="O64" s="7"/>
      <c r="P64" s="7"/>
      <c r="Q64" s="22"/>
      <c r="R64" s="22"/>
      <c r="S64" s="31">
        <f t="shared" si="21"/>
        <v>1</v>
      </c>
      <c r="T64" s="46" t="str">
        <f t="shared" si="4"/>
        <v>Southbound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5"/>
        <v>https://d0f6bd738d7f1b3e5a7ca70fe4ff75f0.us-east-1.aws.found.io/app/kibana#/discover/Steve-Slow-Train-Analysis-(2080s-and-2083s)?_g=(refreshInterval:(display:Off,pause:!f,section:0,value:0),time:(from:'2017-03-20T09:45:06-0600',mode:absolute,to:'2017-03-20T12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4" s="187" t="str">
        <f t="shared" si="6"/>
        <v>N</v>
      </c>
      <c r="X64" s="187">
        <f t="shared" si="22"/>
        <v>1</v>
      </c>
      <c r="Y64" s="62">
        <f t="shared" si="8"/>
        <v>23.299399999999999</v>
      </c>
      <c r="Z64" s="62">
        <f t="shared" si="23"/>
        <v>1.3899999999999999E-2</v>
      </c>
      <c r="AA64" s="62">
        <f t="shared" si="10"/>
        <v>23.285499999999999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0152-20</v>
      </c>
      <c r="AE64" s="85" t="str">
        <f t="shared" si="12"/>
        <v>aws s3 cp s3://rtdc.mdm.uploadarchive.raw/RTDC4041/ "%USERPROFILE%\AppData\Local\Temp\OnboardLogs"\RTDC4041\2017-03-20 --exclude "*" --recursive --include "*20170320*" &amp; "%USERPROFILE%\Documents\GitHub\mrs-test-scripts\Headless Mode &amp; Sideloading\WalkAndUnGZ.bat" "%USERPROFILE%\AppData\Local\Temp\OnboardLogs"\RTDC4041\2017-03-20 &amp; aws s3 cp s3://rtdc.mdm.uploadarchive.raw/RTDC4041/ "%USERPROFILE%\AppData\Local\Temp\OnboardLogs"\RTDC4041\2017-03-21 --exclude "*" --recursive --include "*20170321*" &amp; "%USERPROFILE%\Documents\GitHub\mrs-test-scripts\Headless Mode &amp; Sideloading\WalkAndUnGZ.bat" "%USERPROFILE%\AppData\Local\Temp\OnboardLogs"\RTDC4041\2017-03-21</v>
      </c>
      <c r="AF64" s="82" t="str">
        <f t="shared" si="13"/>
        <v>"C:\Program Files (x86)\AstroGrep\AstroGrep.exe" /e /r /s /spath="%USERPROFILE%\AppData\Local\Temp\OnboardLogs" /stypes="app*4041*20170320*" /stext=" 17:.+((SYSTEM_STATE.+slice.+state.+changed )|(ment ac)|(multiple cpu faults)|(system.+state.+changed )|(\[timeout)|(PRM\|1\|D)|(kpr)|(kdp)|(\|lc)|(penalty))"</v>
      </c>
      <c r="AG64" s="1" t="str">
        <f t="shared" si="14"/>
        <v>EC</v>
      </c>
      <c r="AH64" s="86" t="str">
        <f t="shared" si="18"/>
        <v>"%USERPROFILE%\Documents\GitHub\eaglep3\Utilities\RefineRTDCRunTimes.py" --tripid 152-20 --locoid 4041 --swversion DE.1.0.9.0 --startMP 204:232994 --initTime 2017-03-20T10:45:06 --startdatetime 2017-03-20T10:56:21 --delay 2 --endMP 204:139 --enddatetime 2017-03-20T11:35:48 --enforcementcount 0 &gt;&gt;C:\Users\stu\Documents\GitHub\eaglep3-reporting\EC\2017-03-20-refined-times.txt</v>
      </c>
      <c r="AI64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{"issue":{"subject":"","project_id":79,"tracker_id":40,"status_id":1,"priority_id":2,"assigned_to_id":23,"start_date":"2017-03-20","description":"","custom_fields":[{"id":1,"name":"Subdivision","value":"EC"},{"id":4,"name":"Milepost","value":"0.0139"},{"id":17,"name":"Train ID","value":"152-20"},{"id":16,"name":"Locomotive ID","value":"4041"},{"id":130,"name":"Impact","value":""},{"id":150,"name":"Time of Event (Mountain Time)","value":"11:35:48"},{"id":151,"name":"Denver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4041 --day 2017-03-20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"%USERPROFILE%\AppData\Local\Temp\OnboardLogs"\RTDC4041\*4041*20170320* | grep -SE "(Enforcement Action)|(\[TIMEOUT)|(CHR.+\|PRM\|1\|D.+(SWITCH|SIGNAL).+UNKNOWN)" - &gt;&gt; 2017-03-20-UncaughtWiMAX.txt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619</v>
      </c>
      <c r="B65" s="7">
        <v>4022</v>
      </c>
      <c r="C65" s="21" t="s">
        <v>222</v>
      </c>
      <c r="D65" s="21" t="s">
        <v>223</v>
      </c>
      <c r="E65" s="13">
        <v>42814.422453703701</v>
      </c>
      <c r="F65" s="13">
        <v>42814.427800925929</v>
      </c>
      <c r="G65" s="7">
        <v>2</v>
      </c>
      <c r="H65" s="21" t="s">
        <v>224</v>
      </c>
      <c r="I65" s="13">
        <v>42814.453032407408</v>
      </c>
      <c r="J65" s="7">
        <v>0</v>
      </c>
      <c r="K65" s="98" t="str">
        <f t="shared" si="0"/>
        <v>4021/4022</v>
      </c>
      <c r="L65" s="21" t="str">
        <f>VLOOKUP(A65,'Trips&amp;Operators'!$C$1:$G$99999,5,FALSE)</f>
        <v>WILLIAMS DONTE</v>
      </c>
      <c r="M65" s="6">
        <f t="shared" si="1"/>
        <v>2.5231481478840578E-2</v>
      </c>
      <c r="N65" s="7">
        <f t="shared" si="24"/>
        <v>36.333333329530433</v>
      </c>
      <c r="O65" s="7"/>
      <c r="P65" s="7"/>
      <c r="Q65" s="22"/>
      <c r="R65" s="22"/>
      <c r="S65" s="31">
        <f t="shared" si="21"/>
        <v>1</v>
      </c>
      <c r="T65" s="46" t="str">
        <f t="shared" si="4"/>
        <v>NorthBound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5"/>
        <v>https://d0f6bd738d7f1b3e5a7ca70fe4ff75f0.us-east-1.aws.found.io/app/kibana#/discover/Steve-Slow-Train-Analysis-(2080s-and-2083s)?_g=(refreshInterval:(display:Off,pause:!f,section:0,value:0),time:(from:'2017-03-20T09:08:20-0600',mode:absolute,to:'2017-03-20T11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5" s="187" t="str">
        <f t="shared" si="6"/>
        <v>N</v>
      </c>
      <c r="X65" s="187">
        <f t="shared" si="22"/>
        <v>1</v>
      </c>
      <c r="Y65" s="62">
        <f t="shared" si="8"/>
        <v>4.58E-2</v>
      </c>
      <c r="Z65" s="62">
        <f t="shared" si="23"/>
        <v>23.329699999999999</v>
      </c>
      <c r="AA65" s="62">
        <f t="shared" si="10"/>
        <v>23.283899999999999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0153-20</v>
      </c>
      <c r="AE65" s="85" t="str">
        <f t="shared" si="12"/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AF65" s="82" t="str">
        <f t="shared" si="13"/>
        <v>"C:\Program Files (x86)\AstroGrep\AstroGrep.exe" /e /r /s /spath="%USERPROFILE%\AppData\Local\Temp\OnboardLogs" /stypes="app*4022*20170320*" /stext=" 16:.+((SYSTEM_STATE.+slice.+state.+changed )|(ment ac)|(multiple cpu faults)|(system.+state.+changed )|(\[timeout)|(PRM\|1\|D)|(kpr)|(kdp)|(\|lc)|(penalty))"</v>
      </c>
      <c r="AG65" s="1" t="str">
        <f t="shared" si="14"/>
        <v>EC</v>
      </c>
      <c r="AH65" s="86" t="str">
        <f t="shared" si="18"/>
        <v>"%USERPROFILE%\Documents\GitHub\eaglep3\Utilities\RefineRTDCRunTimes.py" --tripid 153-20 --locoid 4022 --swversion DE.1.0.9.0 --startMP 204:458 --initTime 2017-03-20T10:08:20 --startdatetime 2017-03-20T10:16:02 --delay 2 --endMP 204:233297 --enddatetime 2017-03-20T10:52:22 --enforcementcount 0 &gt;&gt;C:\Users\stu\Documents\GitHub\eaglep3-reporting\EC\2017-03-20-refined-times.txt</v>
      </c>
      <c r="AI65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{"issue":{"subject":"","project_id":79,"tracker_id":40,"status_id":1,"priority_id":2,"assigned_to_id":23,"start_date":"2017-03-20","description":"","custom_fields":[{"id":1,"name":"Subdivision","value":"EC"},{"id":4,"name":"Milepost","value":"23.3297"},{"id":17,"name":"Train ID","value":"153-20"},{"id":16,"name":"Locomotive ID","value":"4022"},{"id":130,"name":"Impact","value":""},{"id":150,"name":"Time of Event (Mountain Time)","value":"10:52:22"},{"id":151,"name":"Denver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4022 --day 2017-03-20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"%USERPROFILE%\AppData\Local\Temp\OnboardLogs"\RTDC4022\*4022*20170320* | grep -SE "(Enforcement Action)|(\[TIMEOUT)|(CHR.+\|PRM\|1\|D.+(SWITCH|SIGNAL).+UNKNOWN)" - &gt;&gt; 2017-03-20-UncaughtWiMAX.txt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623</v>
      </c>
      <c r="B66" s="7">
        <v>4021</v>
      </c>
      <c r="C66" s="21" t="s">
        <v>222</v>
      </c>
      <c r="D66" s="21" t="s">
        <v>581</v>
      </c>
      <c r="E66" s="13">
        <v>42814.454594907409</v>
      </c>
      <c r="F66" s="13">
        <v>42814.466770833336</v>
      </c>
      <c r="G66" s="7">
        <v>2</v>
      </c>
      <c r="H66" s="21" t="s">
        <v>398</v>
      </c>
      <c r="I66" s="13">
        <v>42814.494074074071</v>
      </c>
      <c r="J66" s="7">
        <v>0</v>
      </c>
      <c r="K66" s="98" t="str">
        <f t="shared" si="0"/>
        <v>4021/4022</v>
      </c>
      <c r="L66" s="21" t="str">
        <f>VLOOKUP(A66,'Trips&amp;Operators'!$C$1:$G$99999,5,FALSE)</f>
        <v>WILLIAMS DONTE</v>
      </c>
      <c r="M66" s="6">
        <f t="shared" si="1"/>
        <v>2.7303240734909195E-2</v>
      </c>
      <c r="N66" s="7">
        <f t="shared" si="24"/>
        <v>39.316666658269241</v>
      </c>
      <c r="O66" s="7"/>
      <c r="P66" s="7"/>
      <c r="Q66" s="22"/>
      <c r="R66" s="22"/>
      <c r="S66" s="31">
        <f t="shared" si="21"/>
        <v>1</v>
      </c>
      <c r="T66" s="46" t="str">
        <f t="shared" si="4"/>
        <v>Southbound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5"/>
        <v>https://d0f6bd738d7f1b3e5a7ca70fe4ff75f0.us-east-1.aws.found.io/app/kibana#/discover/Steve-Slow-Train-Analysis-(2080s-and-2083s)?_g=(refreshInterval:(display:Off,pause:!f,section:0,value:0),time:(from:'2017-03-20T09:54:37-0600',mode:absolute,to:'2017-03-20T12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6" s="187" t="str">
        <f t="shared" si="6"/>
        <v>N</v>
      </c>
      <c r="X66" s="187">
        <f t="shared" si="22"/>
        <v>1</v>
      </c>
      <c r="Y66" s="62">
        <f t="shared" si="8"/>
        <v>23.296900000000001</v>
      </c>
      <c r="Z66" s="62">
        <f t="shared" si="23"/>
        <v>1.38E-2</v>
      </c>
      <c r="AA66" s="62">
        <f t="shared" si="10"/>
        <v>23.283100000000001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0154-20</v>
      </c>
      <c r="AE66" s="85" t="str">
        <f t="shared" si="12"/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AF66" s="82" t="str">
        <f t="shared" si="13"/>
        <v>"C:\Program Files (x86)\AstroGrep\AstroGrep.exe" /e /r /s /spath="%USERPROFILE%\AppData\Local\Temp\OnboardLogs" /stypes="app*4021*20170320*" /stext=" 17:.+((SYSTEM_STATE.+slice.+state.+changed )|(ment ac)|(multiple cpu faults)|(system.+state.+changed )|(\[timeout)|(PRM\|1\|D)|(kpr)|(kdp)|(\|lc)|(penalty))"</v>
      </c>
      <c r="AG66" s="1" t="str">
        <f t="shared" si="14"/>
        <v>EC</v>
      </c>
      <c r="AH66" s="86" t="str">
        <f t="shared" si="18"/>
        <v>"%USERPROFILE%\Documents\GitHub\eaglep3\Utilities\RefineRTDCRunTimes.py" --tripid 154-20 --locoid 4021 --swversion DE.1.0.9.0 --startMP 204:232969 --initTime 2017-03-20T10:54:37 --startdatetime 2017-03-20T11:12:09 --delay 2 --endMP 204:138 --enddatetime 2017-03-20T11:51:28 --enforcementcount 0 &gt;&gt;C:\Users\stu\Documents\GitHub\eaglep3-reporting\EC\2017-03-20-refined-times.txt</v>
      </c>
      <c r="AI66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{"issue":{"subject":"","project_id":79,"tracker_id":40,"status_id":1,"priority_id":2,"assigned_to_id":23,"start_date":"2017-03-20","description":"","custom_fields":[{"id":1,"name":"Subdivision","value":"EC"},{"id":4,"name":"Milepost","value":"0.0138"},{"id":17,"name":"Train ID","value":"154-20"},{"id":16,"name":"Locomotive ID","value":"4021"},{"id":130,"name":"Impact","value":""},{"id":150,"name":"Time of Event (Mountain Time)","value":"11:51:28"},{"id":151,"name":"Denver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4021 --day 2017-03-20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"%USERPROFILE%\AppData\Local\Temp\OnboardLogs"\RTDC4021\*4021*20170320* | grep -SE "(Enforcement Action)|(\[TIMEOUT)|(CHR.+\|PRM\|1\|D.+(SWITCH|SIGNAL).+UNKNOWN)" - &gt;&gt; 2017-03-20-UncaughtWiMAX.txt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620</v>
      </c>
      <c r="B67" s="7">
        <v>4018</v>
      </c>
      <c r="C67" s="21" t="s">
        <v>222</v>
      </c>
      <c r="D67" s="21" t="s">
        <v>397</v>
      </c>
      <c r="E67" s="13">
        <v>42814.432962962965</v>
      </c>
      <c r="F67" s="13">
        <v>42814.437858796293</v>
      </c>
      <c r="G67" s="7">
        <v>2</v>
      </c>
      <c r="H67" s="21" t="s">
        <v>841</v>
      </c>
      <c r="I67" s="13">
        <v>42814.464548611111</v>
      </c>
      <c r="J67" s="7">
        <v>0</v>
      </c>
      <c r="K67" s="98" t="str">
        <f t="shared" si="0"/>
        <v>4017/4018</v>
      </c>
      <c r="L67" s="21" t="str">
        <f>VLOOKUP(A67,'Trips&amp;Operators'!$C$1:$G$99999,5,FALSE)</f>
        <v>DAVIS WENDY</v>
      </c>
      <c r="M67" s="6">
        <f t="shared" si="1"/>
        <v>2.6689814818382729E-2</v>
      </c>
      <c r="N67" s="7">
        <f t="shared" si="24"/>
        <v>38.43333333847113</v>
      </c>
      <c r="O67" s="7"/>
      <c r="P67" s="7"/>
      <c r="Q67" s="22"/>
      <c r="R67" s="22"/>
      <c r="S67" s="31">
        <f t="shared" si="21"/>
        <v>1</v>
      </c>
      <c r="T67" s="46" t="str">
        <f t="shared" si="4"/>
        <v>NorthBound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5"/>
        <v>https://d0f6bd738d7f1b3e5a7ca70fe4ff75f0.us-east-1.aws.found.io/app/kibana#/discover/Steve-Slow-Train-Analysis-(2080s-and-2083s)?_g=(refreshInterval:(display:Off,pause:!f,section:0,value:0),time:(from:'2017-03-20T09:23:28-0600',mode:absolute,to:'2017-03-20T12:08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7" s="187" t="str">
        <f t="shared" si="6"/>
        <v>N</v>
      </c>
      <c r="X67" s="187">
        <f t="shared" si="22"/>
        <v>1</v>
      </c>
      <c r="Y67" s="62">
        <f t="shared" si="8"/>
        <v>4.6199999999999998E-2</v>
      </c>
      <c r="Z67" s="62">
        <f t="shared" si="23"/>
        <v>23.330200000000001</v>
      </c>
      <c r="AA67" s="62">
        <f t="shared" si="10"/>
        <v>23.284000000000002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0155-20</v>
      </c>
      <c r="AE67" s="85" t="str">
        <f t="shared" si="12"/>
        <v>aws s3 cp s3://rtdc.mdm.uploadarchive.raw/RTDC4018/ "%USERPROFILE%\AppData\Local\Temp\OnboardLogs"\RTDC4018\2017-03-20 --exclude "*" --recursive --include "*20170320*" &amp; "%USERPROFILE%\Documents\GitHub\mrs-test-scripts\Headless Mode &amp; Sideloading\WalkAndUnGZ.bat" "%USERPROFILE%\AppData\Local\Temp\OnboardLogs"\RTDC4018\2017-03-20 &amp; aws s3 cp s3://rtdc.mdm.uploadarchive.raw/RTDC4018/ "%USERPROFILE%\AppData\Local\Temp\OnboardLogs"\RTDC4018\2017-03-21 --exclude "*" --recursive --include "*20170321*" &amp; "%USERPROFILE%\Documents\GitHub\mrs-test-scripts\Headless Mode &amp; Sideloading\WalkAndUnGZ.bat" "%USERPROFILE%\AppData\Local\Temp\OnboardLogs"\RTDC4018\2017-03-21</v>
      </c>
      <c r="AF67" s="82" t="str">
        <f t="shared" si="13"/>
        <v>"C:\Program Files (x86)\AstroGrep\AstroGrep.exe" /e /r /s /spath="%USERPROFILE%\AppData\Local\Temp\OnboardLogs" /stypes="app*4018*20170320*" /stext=" 17:.+((SYSTEM_STATE.+slice.+state.+changed )|(ment ac)|(multiple cpu faults)|(system.+state.+changed )|(\[timeout)|(PRM\|1\|D)|(kpr)|(kdp)|(\|lc)|(penalty))"</v>
      </c>
      <c r="AG67" s="1" t="str">
        <f t="shared" si="14"/>
        <v>EC</v>
      </c>
      <c r="AH67" s="86" t="str">
        <f t="shared" si="18"/>
        <v>"%USERPROFILE%\Documents\GitHub\eaglep3\Utilities\RefineRTDCRunTimes.py" --tripid 155-20 --locoid 4018 --swversion DE.1.0.9.0 --startMP 204:462 --initTime 2017-03-20T10:23:28 --startdatetime 2017-03-20T10:30:31 --delay 2 --endMP 204:233302 --enddatetime 2017-03-20T11:08:57 --enforcementcount 0 &gt;&gt;C:\Users\stu\Documents\GitHub\eaglep3-reporting\EC\2017-03-20-refined-times.txt</v>
      </c>
      <c r="AI67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{"issue":{"subject":"","project_id":79,"tracker_id":40,"status_id":1,"priority_id":2,"assigned_to_id":23,"start_date":"2017-03-20","description":"","custom_fields":[{"id":1,"name":"Subdivision","value":"EC"},{"id":4,"name":"Milepost","value":"23.3302"},{"id":17,"name":"Train ID","value":"155-20"},{"id":16,"name":"Locomotive ID","value":"4018"},{"id":130,"name":"Impact","value":""},{"id":150,"name":"Time of Event (Mountain Time)","value":"11:08:57"},{"id":151,"name":"Denver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4018 --day 2017-03-20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"%USERPROFILE%\AppData\Local\Temp\OnboardLogs"\RTDC4018\*4018*20170320* | grep -SE "(Enforcement Action)|(\[TIMEOUT)|(CHR.+\|PRM\|1\|D.+(SWITCH|SIGNAL).+UNKNOWN)" - &gt;&gt; 2017-03-20-UncaughtWiMAX.txt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721</v>
      </c>
      <c r="B68" s="7">
        <v>4017</v>
      </c>
      <c r="C68" s="21" t="s">
        <v>222</v>
      </c>
      <c r="D68" s="21" t="s">
        <v>504</v>
      </c>
      <c r="E68" s="13">
        <v>42814.473923611113</v>
      </c>
      <c r="F68" s="13">
        <v>42814.476574074077</v>
      </c>
      <c r="G68" s="7">
        <v>1</v>
      </c>
      <c r="H68" s="21" t="s">
        <v>857</v>
      </c>
      <c r="I68" s="13">
        <v>42814.506631944445</v>
      </c>
      <c r="J68" s="7">
        <v>0</v>
      </c>
      <c r="K68" s="98" t="str">
        <f t="shared" si="0"/>
        <v>4017/4018</v>
      </c>
      <c r="L68" s="21" t="str">
        <f>VLOOKUP(A68,'Trips&amp;Operators'!$C$1:$G$99999,5,FALSE)</f>
        <v>DAVIS WENDY</v>
      </c>
      <c r="M68" s="6">
        <f t="shared" si="1"/>
        <v>3.0057870368182193E-2</v>
      </c>
      <c r="N68" s="7">
        <f t="shared" si="24"/>
        <v>43.283333330182359</v>
      </c>
      <c r="O68" s="7"/>
      <c r="P68" s="7"/>
      <c r="Q68" s="22"/>
      <c r="R68" s="22"/>
      <c r="S68" s="31">
        <f t="shared" si="21"/>
        <v>1</v>
      </c>
      <c r="T68" s="46" t="str">
        <f t="shared" si="4"/>
        <v>Southbound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5"/>
        <v>https://d0f6bd738d7f1b3e5a7ca70fe4ff75f0.us-east-1.aws.found.io/app/kibana#/discover/Steve-Slow-Train-Analysis-(2080s-and-2083s)?_g=(refreshInterval:(display:Off,pause:!f,section:0,value:0),time:(from:'2017-03-20T10:22:27-0600',mode:absolute,to:'2017-03-20T13:09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8" s="187" t="str">
        <f t="shared" si="6"/>
        <v>N</v>
      </c>
      <c r="X68" s="187">
        <f t="shared" si="22"/>
        <v>1</v>
      </c>
      <c r="Y68" s="62">
        <f t="shared" si="8"/>
        <v>23.298100000000002</v>
      </c>
      <c r="Z68" s="62">
        <f t="shared" si="23"/>
        <v>1.2699999999999999E-2</v>
      </c>
      <c r="AA68" s="62">
        <f t="shared" si="10"/>
        <v>23.285400000000003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0156-20</v>
      </c>
      <c r="AE68" s="85" t="str">
        <f t="shared" si="12"/>
        <v>aws s3 cp s3://rtdc.mdm.uploadarchive.raw/RTDC4017/ "%USERPROFILE%\AppData\Local\Temp\OnboardLogs"\RTDC4017\2017-03-20 --exclude "*" --recursive --include "*20170320*" &amp; "%USERPROFILE%\Documents\GitHub\mrs-test-scripts\Headless Mode &amp; Sideloading\WalkAndUnGZ.bat" "%USERPROFILE%\AppData\Local\Temp\OnboardLogs"\RTDC4017\2017-03-20 &amp; aws s3 cp s3://rtdc.mdm.uploadarchive.raw/RTDC4017/ "%USERPROFILE%\AppData\Local\Temp\OnboardLogs"\RTDC4017\2017-03-21 --exclude "*" --recursive --include "*20170321*" &amp; "%USERPROFILE%\Documents\GitHub\mrs-test-scripts\Headless Mode &amp; Sideloading\WalkAndUnGZ.bat" "%USERPROFILE%\AppData\Local\Temp\OnboardLogs"\RTDC4017\2017-03-21</v>
      </c>
      <c r="AF68" s="82" t="str">
        <f t="shared" si="13"/>
        <v>"C:\Program Files (x86)\AstroGrep\AstroGrep.exe" /e /r /s /spath="%USERPROFILE%\AppData\Local\Temp\OnboardLogs" /stypes="app*4017*20170320*" /stext=" 18:.+((SYSTEM_STATE.+slice.+state.+changed )|(ment ac)|(multiple cpu faults)|(system.+state.+changed )|(\[timeout)|(PRM\|1\|D)|(kpr)|(kdp)|(\|lc)|(penalty))"</v>
      </c>
      <c r="AG68" s="1" t="str">
        <f t="shared" si="14"/>
        <v>EC</v>
      </c>
      <c r="AH68" s="86" t="str">
        <f t="shared" si="18"/>
        <v>"%USERPROFILE%\Documents\GitHub\eaglep3\Utilities\RefineRTDCRunTimes.py" --tripid 156-20 --locoid 4017 --swversion DE.1.0.9.0 --startMP 204:232981 --initTime 2017-03-20T11:22:27 --startdatetime 2017-03-20T11:26:16 --delay 1 --endMP 204:127 --enddatetime 2017-03-20T12:09:33 --enforcementcount 0 &gt;&gt;C:\Users\stu\Documents\GitHub\eaglep3-reporting\EC\2017-03-20-refined-times.txt</v>
      </c>
      <c r="AI68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{"issue":{"subject":"","project_id":79,"tracker_id":40,"status_id":1,"priority_id":2,"assigned_to_id":23,"start_date":"2017-03-20","description":"","custom_fields":[{"id":1,"name":"Subdivision","value":"EC"},{"id":4,"name":"Milepost","value":"0.0127"},{"id":17,"name":"Train ID","value":"156-20"},{"id":16,"name":"Locomotive ID","value":"4017"},{"id":130,"name":"Impact","value":""},{"id":150,"name":"Time of Event (Mountain Time)","value":"12:09:33"},{"id":151,"name":"Denver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4017 --day 2017-03-20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"%USERPROFILE%\AppData\Local\Temp\OnboardLogs"\RTDC4017\*4017*20170320* | grep -SE "(Enforcement Action)|(\[TIMEOUT)|(CHR.+\|PRM\|1\|D.+(SWITCH|SIGNAL).+UNKNOWN)" - &gt;&gt; 2017-03-20-UncaughtWiMAX.txt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713</v>
      </c>
      <c r="B69" s="7">
        <v>4046</v>
      </c>
      <c r="C69" s="21" t="s">
        <v>222</v>
      </c>
      <c r="D69" s="21" t="s">
        <v>428</v>
      </c>
      <c r="E69" s="13">
        <v>42814.443437499998</v>
      </c>
      <c r="F69" s="13">
        <v>42814.448125000003</v>
      </c>
      <c r="G69" s="7">
        <v>1</v>
      </c>
      <c r="H69" s="21" t="s">
        <v>507</v>
      </c>
      <c r="I69" s="13">
        <v>42814.472812499997</v>
      </c>
      <c r="J69" s="7">
        <v>0</v>
      </c>
      <c r="K69" s="98" t="str">
        <f t="shared" si="0"/>
        <v>4045/4046</v>
      </c>
      <c r="L69" s="21" t="str">
        <f>VLOOKUP(A69,'Trips&amp;Operators'!$C$1:$G$99999,5,FALSE)</f>
        <v>ROBINSON KADDIBA</v>
      </c>
      <c r="M69" s="6">
        <f t="shared" si="1"/>
        <v>2.4687499993888196E-2</v>
      </c>
      <c r="N69" s="7">
        <f t="shared" si="24"/>
        <v>35.549999991199002</v>
      </c>
      <c r="O69" s="7"/>
      <c r="P69" s="7"/>
      <c r="Q69" s="22"/>
      <c r="R69" s="22"/>
      <c r="S69" s="31">
        <f t="shared" si="21"/>
        <v>1</v>
      </c>
      <c r="T69" s="46" t="str">
        <f t="shared" si="4"/>
        <v>NorthBound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5"/>
        <v>https://d0f6bd738d7f1b3e5a7ca70fe4ff75f0.us-east-1.aws.found.io/app/kibana#/discover/Steve-Slow-Train-Analysis-(2080s-and-2083s)?_g=(refreshInterval:(display:Off,pause:!f,section:0,value:0),time:(from:'2017-03-20T09:38:33-0600',mode:absolute,to:'2017-03-20T12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9" s="187" t="str">
        <f t="shared" si="6"/>
        <v>N</v>
      </c>
      <c r="X69" s="187">
        <f t="shared" si="22"/>
        <v>1</v>
      </c>
      <c r="Y69" s="62">
        <f t="shared" si="8"/>
        <v>4.4600000000000001E-2</v>
      </c>
      <c r="Z69" s="62">
        <f t="shared" si="23"/>
        <v>23.330300000000001</v>
      </c>
      <c r="AA69" s="62">
        <f t="shared" si="10"/>
        <v>23.285700000000002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0157-20</v>
      </c>
      <c r="AE69" s="85" t="str">
        <f t="shared" si="12"/>
        <v>aws s3 cp s3://rtdc.mdm.uploadarchive.raw/RTDC4046/ "%USERPROFILE%\AppData\Local\Temp\OnboardLogs"\RTDC4046\2017-03-20 --exclude "*" --recursive --include "*20170320*" &amp; "%USERPROFILE%\Documents\GitHub\mrs-test-scripts\Headless Mode &amp; Sideloading\WalkAndUnGZ.bat" "%USERPROFILE%\AppData\Local\Temp\OnboardLogs"\RTDC4046\2017-03-20 &amp; aws s3 cp s3://rtdc.mdm.uploadarchive.raw/RTDC4046/ "%USERPROFILE%\AppData\Local\Temp\OnboardLogs"\RTDC4046\2017-03-21 --exclude "*" --recursive --include "*20170321*" &amp; "%USERPROFILE%\Documents\GitHub\mrs-test-scripts\Headless Mode &amp; Sideloading\WalkAndUnGZ.bat" "%USERPROFILE%\AppData\Local\Temp\OnboardLogs"\RTDC4046\2017-03-21</v>
      </c>
      <c r="AF69" s="82" t="str">
        <f t="shared" si="13"/>
        <v>"C:\Program Files (x86)\AstroGrep\AstroGrep.exe" /e /r /s /spath="%USERPROFILE%\AppData\Local\Temp\OnboardLogs" /stypes="app*4046*20170320*" /stext=" 17:.+((SYSTEM_STATE.+slice.+state.+changed )|(ment ac)|(multiple cpu faults)|(system.+state.+changed )|(\[timeout)|(PRM\|1\|D)|(kpr)|(kdp)|(\|lc)|(penalty))"</v>
      </c>
      <c r="AG69" s="1" t="str">
        <f t="shared" si="14"/>
        <v>EC</v>
      </c>
      <c r="AH69" s="86" t="str">
        <f t="shared" si="18"/>
        <v>"%USERPROFILE%\Documents\GitHub\eaglep3\Utilities\RefineRTDCRunTimes.py" --tripid 157-20 --locoid 4046 --swversion DE.1.0.9.0 --startMP 204:446 --initTime 2017-03-20T10:38:33 --startdatetime 2017-03-20T10:45:18 --delay 1 --endMP 204:233303 --enddatetime 2017-03-20T11:20:51 --enforcementcount 0 &gt;&gt;C:\Users\stu\Documents\GitHub\eaglep3-reporting\EC\2017-03-20-refined-times.txt</v>
      </c>
      <c r="AI69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{"issue":{"subject":"","project_id":79,"tracker_id":40,"status_id":1,"priority_id":2,"assigned_to_id":23,"start_date":"2017-03-20","description":"","custom_fields":[{"id":1,"name":"Subdivision","value":"EC"},{"id":4,"name":"Milepost","value":"23.3303"},{"id":17,"name":"Train ID","value":"157-20"},{"id":16,"name":"Locomotive ID","value":"4046"},{"id":130,"name":"Impact","value":""},{"id":150,"name":"Time of Event (Mountain Time)","value":"11:20:51"},{"id":151,"name":"Denver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4046 --day 2017-03-20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"%USERPROFILE%\AppData\Local\Temp\OnboardLogs"\RTDC4046\*4046*20170320* | grep -SE "(Enforcement Action)|(\[TIMEOUT)|(CHR.+\|PRM\|1\|D.+(SWITCH|SIGNAL).+UNKNOWN)" - &gt;&gt; 2017-03-20-UncaughtWiMAX.txt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725</v>
      </c>
      <c r="B70" s="7">
        <v>4045</v>
      </c>
      <c r="C70" s="21" t="s">
        <v>222</v>
      </c>
      <c r="D70" s="21" t="s">
        <v>512</v>
      </c>
      <c r="E70" s="13">
        <v>42814.481226851851</v>
      </c>
      <c r="F70" s="13">
        <v>42814.487129629626</v>
      </c>
      <c r="G70" s="7">
        <v>1</v>
      </c>
      <c r="H70" s="21" t="s">
        <v>216</v>
      </c>
      <c r="I70" s="13">
        <v>42814.516446759262</v>
      </c>
      <c r="J70" s="7">
        <v>0</v>
      </c>
      <c r="K70" s="98" t="str">
        <f t="shared" si="0"/>
        <v>4045/4046</v>
      </c>
      <c r="L70" s="21" t="str">
        <f>VLOOKUP(A70,'Trips&amp;Operators'!$C$1:$G$99999,5,FALSE)</f>
        <v>ROBINSON KADDIBA</v>
      </c>
      <c r="M70" s="6">
        <f t="shared" si="1"/>
        <v>2.9317129636183381E-2</v>
      </c>
      <c r="N70" s="7">
        <f t="shared" si="24"/>
        <v>42.216666676104069</v>
      </c>
      <c r="O70" s="7"/>
      <c r="P70" s="7"/>
      <c r="Q70" s="22"/>
      <c r="R70" s="22"/>
      <c r="S70" s="31">
        <f t="shared" si="21"/>
        <v>1</v>
      </c>
      <c r="T70" s="46" t="str">
        <f t="shared" si="4"/>
        <v>Southbound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5"/>
        <v>https://d0f6bd738d7f1b3e5a7ca70fe4ff75f0.us-east-1.aws.found.io/app/kibana#/discover/Steve-Slow-Train-Analysis-(2080s-and-2083s)?_g=(refreshInterval:(display:Off,pause:!f,section:0,value:0),time:(from:'2017-03-20T10:32:58-0600',mode:absolute,to:'2017-03-20T13:23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0" s="187" t="str">
        <f t="shared" si="6"/>
        <v>N</v>
      </c>
      <c r="X70" s="187">
        <f t="shared" si="22"/>
        <v>1</v>
      </c>
      <c r="Y70" s="62">
        <f t="shared" si="8"/>
        <v>23.2973</v>
      </c>
      <c r="Z70" s="62">
        <f t="shared" si="23"/>
        <v>1.5599999999999999E-2</v>
      </c>
      <c r="AA70" s="62">
        <f t="shared" si="10"/>
        <v>23.281700000000001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0158-20</v>
      </c>
      <c r="AE70" s="85" t="str">
        <f t="shared" si="12"/>
        <v>aws s3 cp s3://rtdc.mdm.uploadarchive.raw/RTDC4045/ "%USERPROFILE%\AppData\Local\Temp\OnboardLogs"\RTDC4045\2017-03-20 --exclude "*" --recursive --include "*20170320*" &amp; "%USERPROFILE%\Documents\GitHub\mrs-test-scripts\Headless Mode &amp; Sideloading\WalkAndUnGZ.bat" "%USERPROFILE%\AppData\Local\Temp\OnboardLogs"\RTDC4045\2017-03-20 &amp; aws s3 cp s3://rtdc.mdm.uploadarchive.raw/RTDC4045/ "%USERPROFILE%\AppData\Local\Temp\OnboardLogs"\RTDC4045\2017-03-21 --exclude "*" --recursive --include "*20170321*" &amp; "%USERPROFILE%\Documents\GitHub\mrs-test-scripts\Headless Mode &amp; Sideloading\WalkAndUnGZ.bat" "%USERPROFILE%\AppData\Local\Temp\OnboardLogs"\RTDC4045\2017-03-21</v>
      </c>
      <c r="AF70" s="82" t="str">
        <f t="shared" si="13"/>
        <v>"C:\Program Files (x86)\AstroGrep\AstroGrep.exe" /e /r /s /spath="%USERPROFILE%\AppData\Local\Temp\OnboardLogs" /stypes="app*4045*20170320*" /stext=" 18:.+((SYSTEM_STATE.+slice.+state.+changed )|(ment ac)|(multiple cpu faults)|(system.+state.+changed )|(\[timeout)|(PRM\|1\|D)|(kpr)|(kdp)|(\|lc)|(penalty))"</v>
      </c>
      <c r="AG70" s="1" t="str">
        <f t="shared" si="14"/>
        <v>EC</v>
      </c>
      <c r="AH70" s="86" t="str">
        <f t="shared" si="18"/>
        <v>"%USERPROFILE%\Documents\GitHub\eaglep3\Utilities\RefineRTDCRunTimes.py" --tripid 158-20 --locoid 4045 --swversion DE.1.0.9.0 --startMP 204:232973 --initTime 2017-03-20T11:32:58 --startdatetime 2017-03-20T11:41:28 --delay 1 --endMP 204:156 --enddatetime 2017-03-20T12:23:41 --enforcementcount 0 &gt;&gt;C:\Users\stu\Documents\GitHub\eaglep3-reporting\EC\2017-03-20-refined-times.txt</v>
      </c>
      <c r="AI70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{"issue":{"subject":"","project_id":79,"tracker_id":40,"status_id":1,"priority_id":2,"assigned_to_id":23,"start_date":"2017-03-20","description":"","custom_fields":[{"id":1,"name":"Subdivision","value":"EC"},{"id":4,"name":"Milepost","value":"0.0156"},{"id":17,"name":"Train ID","value":"158-20"},{"id":16,"name":"Locomotive ID","value":"4045"},{"id":130,"name":"Impact","value":""},{"id":150,"name":"Time of Event (Mountain Time)","value":"12:23:41"},{"id":151,"name":"Denver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4045 --day 2017-03-20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"%USERPROFILE%\AppData\Local\Temp\OnboardLogs"\RTDC4045\*4045*20170320* | grep -SE "(Enforcement Action)|(\[TIMEOUT)|(CHR.+\|PRM\|1\|D.+(SWITCH|SIGNAL).+UNKNOWN)" - &gt;&gt; 2017-03-20-UncaughtWiMAX.txt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715</v>
      </c>
      <c r="B71" s="7">
        <v>4025</v>
      </c>
      <c r="C71" s="21" t="s">
        <v>222</v>
      </c>
      <c r="D71" s="21" t="s">
        <v>582</v>
      </c>
      <c r="E71" s="13">
        <v>42814.454050925924</v>
      </c>
      <c r="F71" s="13">
        <v>42814.458587962959</v>
      </c>
      <c r="G71" s="7">
        <v>2</v>
      </c>
      <c r="H71" s="21" t="s">
        <v>858</v>
      </c>
      <c r="I71" s="13">
        <v>42814.484039351853</v>
      </c>
      <c r="J71" s="7">
        <v>0</v>
      </c>
      <c r="K71" s="98" t="str">
        <f t="shared" si="0"/>
        <v>4025/4026</v>
      </c>
      <c r="L71" s="21" t="str">
        <f>VLOOKUP(A71,'Trips&amp;Operators'!$C$1:$G$99999,5,FALSE)</f>
        <v>STEWART MICHAEL</v>
      </c>
      <c r="M71" s="6">
        <f t="shared" si="1"/>
        <v>2.5451388893998228E-2</v>
      </c>
      <c r="N71" s="7">
        <f t="shared" si="24"/>
        <v>36.650000007357448</v>
      </c>
      <c r="O71" s="7"/>
      <c r="P71" s="7"/>
      <c r="Q71" s="22"/>
      <c r="R71" s="22"/>
      <c r="S71" s="31">
        <f t="shared" si="21"/>
        <v>1</v>
      </c>
      <c r="T71" s="46" t="str">
        <f t="shared" si="4"/>
        <v>NorthBound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5"/>
        <v>https://d0f6bd738d7f1b3e5a7ca70fe4ff75f0.us-east-1.aws.found.io/app/kibana#/discover/Steve-Slow-Train-Analysis-(2080s-and-2083s)?_g=(refreshInterval:(display:Off,pause:!f,section:0,value:0),time:(from:'2017-03-20T09:53:50-0600',mode:absolute,to:'2017-03-20T12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1" s="187" t="str">
        <f t="shared" si="6"/>
        <v>N</v>
      </c>
      <c r="X71" s="187">
        <f t="shared" si="22"/>
        <v>1</v>
      </c>
      <c r="Y71" s="62">
        <f t="shared" si="8"/>
        <v>4.6399999999999997E-2</v>
      </c>
      <c r="Z71" s="62">
        <f t="shared" si="23"/>
        <v>23.328700000000001</v>
      </c>
      <c r="AA71" s="62">
        <f t="shared" si="10"/>
        <v>23.282300000000003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0159-20</v>
      </c>
      <c r="AE71" s="85" t="str">
        <f t="shared" si="12"/>
        <v>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 &amp; aws s3 cp s3://rtdc.mdm.uploadarchive.raw/RTDC4025/ "%USERPROFILE%\AppData\Local\Temp\OnboardLogs"\RTDC4025\2017-03-21 --exclude "*" --recursive --include "*20170321*" &amp; "%USERPROFILE%\Documents\GitHub\mrs-test-scripts\Headless Mode &amp; Sideloading\WalkAndUnGZ.bat" "%USERPROFILE%\AppData\Local\Temp\OnboardLogs"\RTDC4025\2017-03-21</v>
      </c>
      <c r="AF71" s="82" t="str">
        <f t="shared" si="13"/>
        <v>"C:\Program Files (x86)\AstroGrep\AstroGrep.exe" /e /r /s /spath="%USERPROFILE%\AppData\Local\Temp\OnboardLogs" /stypes="app*4025*20170320*" /stext=" 17:.+((SYSTEM_STATE.+slice.+state.+changed )|(ment ac)|(multiple cpu faults)|(system.+state.+changed )|(\[timeout)|(PRM\|1\|D)|(kpr)|(kdp)|(\|lc)|(penalty))"</v>
      </c>
      <c r="AG71" s="1" t="str">
        <f t="shared" si="14"/>
        <v>EC</v>
      </c>
      <c r="AH71" s="86" t="str">
        <f t="shared" si="18"/>
        <v>"%USERPROFILE%\Documents\GitHub\eaglep3\Utilities\RefineRTDCRunTimes.py" --tripid 159-20 --locoid 4025 --swversion DE.1.0.9.0 --startMP 204:464 --initTime 2017-03-20T10:53:50 --startdatetime 2017-03-20T11:00:22 --delay 2 --endMP 204:233287 --enddatetime 2017-03-20T11:37:01 --enforcementcount 0 &gt;&gt;C:\Users\stu\Documents\GitHub\eaglep3-reporting\EC\2017-03-20-refined-times.txt</v>
      </c>
      <c r="AI71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{"issue":{"subject":"","project_id":79,"tracker_id":40,"status_id":1,"priority_id":2,"assigned_to_id":23,"start_date":"2017-03-20","description":"","custom_fields":[{"id":1,"name":"Subdivision","value":"EC"},{"id":4,"name":"Milepost","value":"23.3287"},{"id":17,"name":"Train ID","value":"159-20"},{"id":16,"name":"Locomotive ID","value":"4025"},{"id":130,"name":"Impact","value":""},{"id":150,"name":"Time of Event (Mountain Time)","value":"11:37:01"},{"id":151,"name":"Denver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4025 --day 2017-03-20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"%USERPROFILE%\AppData\Local\Temp\OnboardLogs"\RTDC4025\*4025*20170320* | grep -SE "(Enforcement Action)|(\[TIMEOUT)|(CHR.+\|PRM\|1\|D.+(SWITCH|SIGNAL).+UNKNOWN)" - &gt;&gt; 2017-03-20-UncaughtWiMAX.txt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727</v>
      </c>
      <c r="B72" s="7">
        <v>4026</v>
      </c>
      <c r="C72" s="21" t="s">
        <v>222</v>
      </c>
      <c r="D72" s="21" t="s">
        <v>842</v>
      </c>
      <c r="E72" s="13">
        <v>42814.49590277778</v>
      </c>
      <c r="F72" s="13">
        <v>42814.497800925928</v>
      </c>
      <c r="G72" s="7">
        <v>1</v>
      </c>
      <c r="H72" s="21" t="s">
        <v>859</v>
      </c>
      <c r="I72" s="13">
        <v>42814.528298611112</v>
      </c>
      <c r="J72" s="7">
        <v>0</v>
      </c>
      <c r="K72" s="98" t="str">
        <f t="shared" si="0"/>
        <v>4025/4026</v>
      </c>
      <c r="L72" s="21" t="str">
        <f>VLOOKUP(A72,'Trips&amp;Operators'!$C$1:$G$99999,5,FALSE)</f>
        <v>STEWART MICHAEL</v>
      </c>
      <c r="M72" s="6">
        <f t="shared" si="1"/>
        <v>3.0497685183945578E-2</v>
      </c>
      <c r="N72" s="7">
        <f t="shared" si="24"/>
        <v>43.916666664881632</v>
      </c>
      <c r="O72" s="7"/>
      <c r="P72" s="7"/>
      <c r="Q72" s="22"/>
      <c r="R72" s="22"/>
      <c r="S72" s="31">
        <f t="shared" si="21"/>
        <v>1</v>
      </c>
      <c r="T72" s="46" t="str">
        <f t="shared" si="4"/>
        <v>Southbound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5"/>
        <v>https://d0f6bd738d7f1b3e5a7ca70fe4ff75f0.us-east-1.aws.found.io/app/kibana#/discover/Steve-Slow-Train-Analysis-(2080s-and-2083s)?_g=(refreshInterval:(display:Off,pause:!f,section:0,value:0),time:(from:'2017-03-20T10:54:06-0600',mode:absolute,to:'2017-03-20T13:40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2" s="187" t="str">
        <f t="shared" si="6"/>
        <v>N</v>
      </c>
      <c r="X72" s="187">
        <f t="shared" si="22"/>
        <v>1</v>
      </c>
      <c r="Y72" s="62">
        <f t="shared" si="8"/>
        <v>23.297899999999998</v>
      </c>
      <c r="Z72" s="62">
        <f t="shared" si="23"/>
        <v>1.7399999999999999E-2</v>
      </c>
      <c r="AA72" s="62">
        <f t="shared" si="10"/>
        <v>23.2805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0160-20</v>
      </c>
      <c r="AE72" s="85" t="str">
        <f t="shared" si="12"/>
        <v>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 &amp; 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</v>
      </c>
      <c r="AF72" s="82" t="str">
        <f t="shared" si="13"/>
        <v>"C:\Program Files (x86)\AstroGrep\AstroGrep.exe" /e /r /s /spath="%USERPROFILE%\AppData\Local\Temp\OnboardLogs" /stypes="app*4026*20170320*" /stext=" 18:.+((SYSTEM_STATE.+slice.+state.+changed )|(ment ac)|(multiple cpu faults)|(system.+state.+changed )|(\[timeout)|(PRM\|1\|D)|(kpr)|(kdp)|(\|lc)|(penalty))"</v>
      </c>
      <c r="AG72" s="1" t="str">
        <f t="shared" si="14"/>
        <v>EC</v>
      </c>
      <c r="AH72" s="86" t="str">
        <f t="shared" si="18"/>
        <v>"%USERPROFILE%\Documents\GitHub\eaglep3\Utilities\RefineRTDCRunTimes.py" --tripid 160-20 --locoid 4026 --swversion DE.1.0.9.0 --startMP 204:232979 --initTime 2017-03-20T11:54:06 --startdatetime 2017-03-20T11:56:50 --delay 1 --endMP 204:174 --enddatetime 2017-03-20T12:40:45 --enforcementcount 0 &gt;&gt;C:\Users\stu\Documents\GitHub\eaglep3-reporting\EC\2017-03-20-refined-times.txt</v>
      </c>
      <c r="AI72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{"issue":{"subject":"","project_id":79,"tracker_id":40,"status_id":1,"priority_id":2,"assigned_to_id":23,"start_date":"2017-03-20","description":"","custom_fields":[{"id":1,"name":"Subdivision","value":"EC"},{"id":4,"name":"Milepost","value":"0.0174"},{"id":17,"name":"Train ID","value":"160-20"},{"id":16,"name":"Locomotive ID","value":"4026"},{"id":130,"name":"Impact","value":""},{"id":150,"name":"Time of Event (Mountain Time)","value":"12:40:45"},{"id":151,"name":"Denver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4026 --day 2017-03-20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"%USERPROFILE%\AppData\Local\Temp\OnboardLogs"\RTDC4026\*4026*20170320* | grep -SE "(Enforcement Action)|(\[TIMEOUT)|(CHR.+\|PRM\|1\|D.+(SWITCH|SIGNAL).+UNKNOWN)" - &gt;&gt; 2017-03-20-UncaughtWiMAX.txt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720</v>
      </c>
      <c r="B73" s="7">
        <v>4027</v>
      </c>
      <c r="C73" s="21" t="s">
        <v>222</v>
      </c>
      <c r="D73" s="21" t="s">
        <v>567</v>
      </c>
      <c r="E73" s="13">
        <v>42814.465879629628</v>
      </c>
      <c r="F73" s="13">
        <v>42814.469178240739</v>
      </c>
      <c r="G73" s="7">
        <v>2</v>
      </c>
      <c r="H73" s="21" t="s">
        <v>851</v>
      </c>
      <c r="I73" s="13">
        <v>42814.49759259259</v>
      </c>
      <c r="J73" s="7">
        <v>0</v>
      </c>
      <c r="K73" s="98" t="str">
        <f t="shared" si="0"/>
        <v>4027/4028</v>
      </c>
      <c r="L73" s="21" t="str">
        <f>VLOOKUP(A73,'Trips&amp;Operators'!$C$1:$G$99999,5,FALSE)</f>
        <v>DAVIS MICHAEL</v>
      </c>
      <c r="M73" s="6">
        <f t="shared" si="1"/>
        <v>2.8414351851097308E-2</v>
      </c>
      <c r="N73" s="7">
        <f t="shared" si="24"/>
        <v>40.916666665580124</v>
      </c>
      <c r="O73" s="7"/>
      <c r="P73" s="7"/>
      <c r="Q73" s="22"/>
      <c r="R73" s="22"/>
      <c r="S73" s="31">
        <f t="shared" si="21"/>
        <v>1</v>
      </c>
      <c r="T73" s="46" t="str">
        <f t="shared" si="4"/>
        <v>NorthBound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5"/>
        <v>https://d0f6bd738d7f1b3e5a7ca70fe4ff75f0.us-east-1.aws.found.io/app/kibana#/discover/Steve-Slow-Train-Analysis-(2080s-and-2083s)?_g=(refreshInterval:(display:Off,pause:!f,section:0,value:0),time:(from:'2017-03-20T10:10:52-0600',mode:absolute,to:'2017-03-20T12:56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3" s="187" t="str">
        <f t="shared" si="6"/>
        <v>N</v>
      </c>
      <c r="X73" s="187">
        <f t="shared" si="22"/>
        <v>1</v>
      </c>
      <c r="Y73" s="62">
        <f t="shared" si="8"/>
        <v>4.2900000000000001E-2</v>
      </c>
      <c r="Z73" s="62">
        <f t="shared" si="23"/>
        <v>23.331099999999999</v>
      </c>
      <c r="AA73" s="62">
        <f t="shared" si="10"/>
        <v>23.2882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0161-20</v>
      </c>
      <c r="AE73" s="85" t="str">
        <f t="shared" si="12"/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AF73" s="82" t="str">
        <f t="shared" si="13"/>
        <v>"C:\Program Files (x86)\AstroGrep\AstroGrep.exe" /e /r /s /spath="%USERPROFILE%\AppData\Local\Temp\OnboardLogs" /stypes="app*4027*20170320*" /stext=" 17:.+((SYSTEM_STATE.+slice.+state.+changed )|(ment ac)|(multiple cpu faults)|(system.+state.+changed )|(\[timeout)|(PRM\|1\|D)|(kpr)|(kdp)|(\|lc)|(penalty))"</v>
      </c>
      <c r="AG73" s="1" t="str">
        <f t="shared" si="14"/>
        <v>EC</v>
      </c>
      <c r="AH73" s="86" t="str">
        <f t="shared" si="18"/>
        <v>"%USERPROFILE%\Documents\GitHub\eaglep3\Utilities\RefineRTDCRunTimes.py" --tripid 161-20 --locoid 4027 --swversion DE.1.0.9.0 --startMP 204:429 --initTime 2017-03-20T11:10:52 --startdatetime 2017-03-20T11:15:37 --delay 2 --endMP 204:233311 --enddatetime 2017-03-20T11:56:32 --enforcementcount 0 &gt;&gt;C:\Users\stu\Documents\GitHub\eaglep3-reporting\EC\2017-03-20-refined-times.txt</v>
      </c>
      <c r="AI73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{"issue":{"subject":"","project_id":79,"tracker_id":40,"status_id":1,"priority_id":2,"assigned_to_id":23,"start_date":"2017-03-20","description":"","custom_fields":[{"id":1,"name":"Subdivision","value":"EC"},{"id":4,"name":"Milepost","value":"23.3311"},{"id":17,"name":"Train ID","value":"161-20"},{"id":16,"name":"Locomotive ID","value":"4027"},{"id":130,"name":"Impact","value":""},{"id":150,"name":"Time of Event (Mountain Time)","value":"11:56:32"},{"id":151,"name":"Denver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4027 --day 2017-03-20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"%USERPROFILE%\AppData\Local\Temp\OnboardLogs"\RTDC4027\*4027*20170320* | grep -SE "(Enforcement Action)|(\[TIMEOUT)|(CHR.+\|PRM\|1\|D.+(SWITCH|SIGNAL).+UNKNOWN)" - &gt;&gt; 2017-03-20-UncaughtWiMAX.txt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729</v>
      </c>
      <c r="B74" s="7">
        <v>4028</v>
      </c>
      <c r="C74" s="21" t="s">
        <v>222</v>
      </c>
      <c r="D74" s="21" t="s">
        <v>430</v>
      </c>
      <c r="E74" s="13">
        <v>42814.505613425928</v>
      </c>
      <c r="F74" s="13">
        <v>42814.507928240739</v>
      </c>
      <c r="G74" s="7">
        <v>2</v>
      </c>
      <c r="H74" s="21" t="s">
        <v>214</v>
      </c>
      <c r="I74" s="13">
        <v>42814.539490740739</v>
      </c>
      <c r="J74" s="7">
        <v>0</v>
      </c>
      <c r="K74" s="98" t="str">
        <f t="shared" si="0"/>
        <v>4027/4028</v>
      </c>
      <c r="L74" s="21" t="str">
        <f>VLOOKUP(A74,'Trips&amp;Operators'!$C$1:$G$99999,5,FALSE)</f>
        <v>DAVIS MICHAEL</v>
      </c>
      <c r="M74" s="6">
        <f t="shared" si="1"/>
        <v>3.1562500000291038E-2</v>
      </c>
      <c r="N74" s="7">
        <f t="shared" si="24"/>
        <v>45.450000000419095</v>
      </c>
      <c r="O74" s="7"/>
      <c r="P74" s="7"/>
      <c r="Q74" s="22"/>
      <c r="R74" s="22"/>
      <c r="S74" s="31">
        <f t="shared" si="21"/>
        <v>1</v>
      </c>
      <c r="T74" s="46" t="str">
        <f t="shared" si="4"/>
        <v>Southbound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5"/>
        <v>https://d0f6bd738d7f1b3e5a7ca70fe4ff75f0.us-east-1.aws.found.io/app/kibana#/discover/Steve-Slow-Train-Analysis-(2080s-and-2083s)?_g=(refreshInterval:(display:Off,pause:!f,section:0,value:0),time:(from:'2017-03-20T11:08:05-0600',mode:absolute,to:'2017-03-20T13:56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4" s="187" t="str">
        <f t="shared" si="6"/>
        <v>N</v>
      </c>
      <c r="X74" s="187">
        <f t="shared" si="22"/>
        <v>1</v>
      </c>
      <c r="Y74" s="62">
        <f t="shared" si="8"/>
        <v>23.298999999999999</v>
      </c>
      <c r="Z74" s="62">
        <f t="shared" si="23"/>
        <v>1.41E-2</v>
      </c>
      <c r="AA74" s="62">
        <f t="shared" si="10"/>
        <v>23.2849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0162-20</v>
      </c>
      <c r="AE74" s="85" t="str">
        <f t="shared" si="12"/>
        <v>aws s3 cp s3://rtdc.mdm.uploadarchive.raw/RTDC4028/ "%USERPROFILE%\AppData\Local\Temp\OnboardLogs"\RTDC4028\2017-03-20 --exclude "*" --recursive --include "*20170320*" &amp; "%USERPROFILE%\Documents\GitHub\mrs-test-scripts\Headless Mode &amp; Sideloading\WalkAndUnGZ.bat" "%USERPROFILE%\AppData\Local\Temp\OnboardLogs"\RTDC4028\2017-03-20 &amp; aws s3 cp s3://rtdc.mdm.uploadarchive.raw/RTDC4028/ "%USERPROFILE%\AppData\Local\Temp\OnboardLogs"\RTDC4028\2017-03-21 --exclude "*" --recursive --include "*20170321*" &amp; "%USERPROFILE%\Documents\GitHub\mrs-test-scripts\Headless Mode &amp; Sideloading\WalkAndUnGZ.bat" "%USERPROFILE%\AppData\Local\Temp\OnboardLogs"\RTDC4028\2017-03-21</v>
      </c>
      <c r="AF74" s="82" t="str">
        <f t="shared" si="13"/>
        <v>"C:\Program Files (x86)\AstroGrep\AstroGrep.exe" /e /r /s /spath="%USERPROFILE%\AppData\Local\Temp\OnboardLogs" /stypes="app*4028*20170320*" /stext=" 18:.+((SYSTEM_STATE.+slice.+state.+changed )|(ment ac)|(multiple cpu faults)|(system.+state.+changed )|(\[timeout)|(PRM\|1\|D)|(kpr)|(kdp)|(\|lc)|(penalty))"</v>
      </c>
      <c r="AG74" s="1" t="str">
        <f t="shared" si="14"/>
        <v>EC</v>
      </c>
      <c r="AH74" s="86" t="str">
        <f t="shared" si="18"/>
        <v>"%USERPROFILE%\Documents\GitHub\eaglep3\Utilities\RefineRTDCRunTimes.py" --tripid 162-20 --locoid 4028 --swversion DE.1.0.9.0 --startMP 204:232990 --initTime 2017-03-20T12:08:05 --startdatetime 2017-03-20T12:11:25 --delay 2 --endMP 204:141 --enddatetime 2017-03-20T12:56:52 --enforcementcount 0 &gt;&gt;C:\Users\stu\Documents\GitHub\eaglep3-reporting\EC\2017-03-20-refined-times.txt</v>
      </c>
      <c r="AI74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{"issue":{"subject":"","project_id":79,"tracker_id":40,"status_id":1,"priority_id":2,"assigned_to_id":23,"start_date":"2017-03-20","description":"","custom_fields":[{"id":1,"name":"Subdivision","value":"EC"},{"id":4,"name":"Milepost","value":"0.0141"},{"id":17,"name":"Train ID","value":"162-20"},{"id":16,"name":"Locomotive ID","value":"4028"},{"id":130,"name":"Impact","value":""},{"id":150,"name":"Time of Event (Mountain Time)","value":"12:56:52"},{"id":151,"name":"Denver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4028 --day 2017-03-20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"%USERPROFILE%\AppData\Local\Temp\OnboardLogs"\RTDC4028\*4028*20170320* | grep -SE "(Enforcement Action)|(\[TIMEOUT)|(CHR.+\|PRM\|1\|D.+(SWITCH|SIGNAL).+UNKNOWN)" - &gt;&gt; 2017-03-20-UncaughtWiMAX.txt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722</v>
      </c>
      <c r="B75" s="7">
        <v>4003</v>
      </c>
      <c r="C75" s="21" t="s">
        <v>222</v>
      </c>
      <c r="D75" s="21" t="s">
        <v>428</v>
      </c>
      <c r="E75" s="13">
        <v>42814.476666666669</v>
      </c>
      <c r="F75" s="13">
        <v>42814.479375000003</v>
      </c>
      <c r="G75" s="7">
        <v>1</v>
      </c>
      <c r="H75" s="21" t="s">
        <v>395</v>
      </c>
      <c r="I75" s="13">
        <v>42814.505972222221</v>
      </c>
      <c r="J75" s="7">
        <v>0</v>
      </c>
      <c r="K75" s="98" t="str">
        <f t="shared" si="0"/>
        <v>4003/4004</v>
      </c>
      <c r="L75" s="21" t="str">
        <f>VLOOKUP(A75,'Trips&amp;Operators'!$C$1:$G$99999,5,FALSE)</f>
        <v>CLARK KATHLEEN</v>
      </c>
      <c r="M75" s="6">
        <f t="shared" si="1"/>
        <v>2.6597222218697425E-2</v>
      </c>
      <c r="N75" s="7">
        <f t="shared" si="24"/>
        <v>38.299999994924292</v>
      </c>
      <c r="O75" s="7"/>
      <c r="P75" s="7"/>
      <c r="Q75" s="22"/>
      <c r="R75" s="22"/>
      <c r="S75" s="31">
        <f t="shared" si="21"/>
        <v>1</v>
      </c>
      <c r="T75" s="46" t="str">
        <f t="shared" si="4"/>
        <v>NorthBound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5"/>
        <v>https://d0f6bd738d7f1b3e5a7ca70fe4ff75f0.us-east-1.aws.found.io/app/kibana#/discover/Steve-Slow-Train-Analysis-(2080s-and-2083s)?_g=(refreshInterval:(display:Off,pause:!f,section:0,value:0),time:(from:'2017-03-20T10:26:24-0600',mode:absolute,to:'2017-03-20T13:08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5" s="187" t="str">
        <f t="shared" si="6"/>
        <v>N</v>
      </c>
      <c r="X75" s="187">
        <f t="shared" si="22"/>
        <v>1</v>
      </c>
      <c r="Y75" s="62">
        <f t="shared" si="8"/>
        <v>4.4600000000000001E-2</v>
      </c>
      <c r="Z75" s="62">
        <f t="shared" si="23"/>
        <v>23.3306</v>
      </c>
      <c r="AA75" s="62">
        <f t="shared" si="10"/>
        <v>23.286000000000001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0163-20</v>
      </c>
      <c r="AE75" s="85" t="str">
        <f t="shared" si="12"/>
        <v>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 &amp; 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</v>
      </c>
      <c r="AF75" s="82" t="str">
        <f t="shared" si="13"/>
        <v>"C:\Program Files (x86)\AstroGrep\AstroGrep.exe" /e /r /s /spath="%USERPROFILE%\AppData\Local\Temp\OnboardLogs" /stypes="app*4003*20170320*" /stext=" 18:.+((SYSTEM_STATE.+slice.+state.+changed )|(ment ac)|(multiple cpu faults)|(system.+state.+changed )|(\[timeout)|(PRM\|1\|D)|(kpr)|(kdp)|(\|lc)|(penalty))"</v>
      </c>
      <c r="AG75" s="1" t="str">
        <f t="shared" si="14"/>
        <v>EC</v>
      </c>
      <c r="AH75" s="86" t="str">
        <f t="shared" si="18"/>
        <v>"%USERPROFILE%\Documents\GitHub\eaglep3\Utilities\RefineRTDCRunTimes.py" --tripid 163-20 --locoid 4003 --swversion DE.1.0.9.0 --startMP 204:446 --initTime 2017-03-20T11:26:24 --startdatetime 2017-03-20T11:30:18 --delay 1 --endMP 204:233306 --enddatetime 2017-03-20T12:08:36 --enforcementcount 0 &gt;&gt;C:\Users\stu\Documents\GitHub\eaglep3-reporting\EC\2017-03-20-refined-times.txt</v>
      </c>
      <c r="AI75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{"issue":{"subject":"","project_id":79,"tracker_id":40,"status_id":1,"priority_id":2,"assigned_to_id":23,"start_date":"2017-03-20","description":"","custom_fields":[{"id":1,"name":"Subdivision","value":"EC"},{"id":4,"name":"Milepost","value":"23.3306"},{"id":17,"name":"Train ID","value":"163-20"},{"id":16,"name":"Locomotive ID","value":"4003"},{"id":130,"name":"Impact","value":""},{"id":150,"name":"Time of Event (Mountain Time)","value":"12:08:36"},{"id":151,"name":"Denver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4003 --day 2017-03-20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"%USERPROFILE%\AppData\Local\Temp\OnboardLogs"\RTDC4003\*4003*20170320* | grep -SE "(Enforcement Action)|(\[TIMEOUT)|(CHR.+\|PRM\|1\|D.+(SWITCH|SIGNAL).+UNKNOWN)" - &gt;&gt; 2017-03-20-UncaughtWiMAX.txt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732</v>
      </c>
      <c r="B76" s="7">
        <v>4004</v>
      </c>
      <c r="C76" s="21" t="s">
        <v>222</v>
      </c>
      <c r="D76" s="21" t="s">
        <v>586</v>
      </c>
      <c r="E76" s="13">
        <v>42814.51353009259</v>
      </c>
      <c r="F76" s="13">
        <v>42814.518217592595</v>
      </c>
      <c r="G76" s="7">
        <v>1</v>
      </c>
      <c r="H76" s="21" t="s">
        <v>860</v>
      </c>
      <c r="I76" s="13">
        <v>42814.550509259258</v>
      </c>
      <c r="J76" s="7">
        <v>0</v>
      </c>
      <c r="K76" s="98" t="str">
        <f t="shared" si="0"/>
        <v>4003/4004</v>
      </c>
      <c r="L76" s="21" t="str">
        <f>VLOOKUP(A76,'Trips&amp;Operators'!$C$1:$G$99999,5,FALSE)</f>
        <v>CLARK KATHLEEN</v>
      </c>
      <c r="M76" s="6">
        <f t="shared" si="1"/>
        <v>3.2291666662786156E-2</v>
      </c>
      <c r="N76" s="7">
        <f t="shared" si="24"/>
        <v>46.499999994412065</v>
      </c>
      <c r="O76" s="7"/>
      <c r="P76" s="7"/>
      <c r="Q76" s="22"/>
      <c r="R76" s="22"/>
      <c r="S76" s="31">
        <f t="shared" si="21"/>
        <v>1</v>
      </c>
      <c r="T76" s="46" t="str">
        <f t="shared" si="4"/>
        <v>Southbound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5"/>
        <v>https://d0f6bd738d7f1b3e5a7ca70fe4ff75f0.us-east-1.aws.found.io/app/kibana#/discover/Steve-Slow-Train-Analysis-(2080s-and-2083s)?_g=(refreshInterval:(display:Off,pause:!f,section:0,value:0),time:(from:'2017-03-20T11:19:29-0600',mode:absolute,to:'2017-03-20T14:12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6" s="187" t="str">
        <f t="shared" si="6"/>
        <v>N</v>
      </c>
      <c r="X76" s="187">
        <f t="shared" si="22"/>
        <v>1</v>
      </c>
      <c r="Y76" s="62">
        <f t="shared" si="8"/>
        <v>23.299099999999999</v>
      </c>
      <c r="Z76" s="62">
        <f t="shared" si="23"/>
        <v>1.8499999999999999E-2</v>
      </c>
      <c r="AA76" s="62">
        <f t="shared" si="10"/>
        <v>23.2806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0164-20</v>
      </c>
      <c r="AE76" s="85" t="str">
        <f t="shared" si="12"/>
        <v>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 &amp; aws s3 cp s3://rtdc.mdm.uploadarchive.raw/RTDC4004/ "%USERPROFILE%\AppData\Local\Temp\OnboardLogs"\RTDC4004\2017-03-21 --exclude "*" --recursive --include "*20170321*" &amp; "%USERPROFILE%\Documents\GitHub\mrs-test-scripts\Headless Mode &amp; Sideloading\WalkAndUnGZ.bat" "%USERPROFILE%\AppData\Local\Temp\OnboardLogs"\RTDC4004\2017-03-21</v>
      </c>
      <c r="AF76" s="82" t="str">
        <f t="shared" si="13"/>
        <v>"C:\Program Files (x86)\AstroGrep\AstroGrep.exe" /e /r /s /spath="%USERPROFILE%\AppData\Local\Temp\OnboardLogs" /stypes="app*4004*20170320*" /stext=" 19:.+((SYSTEM_STATE.+slice.+state.+changed )|(ment ac)|(multiple cpu faults)|(system.+state.+changed )|(\[timeout)|(PRM\|1\|D)|(kpr)|(kdp)|(\|lc)|(penalty))"</v>
      </c>
      <c r="AG76" s="1" t="str">
        <f t="shared" si="14"/>
        <v>EC</v>
      </c>
      <c r="AH76" s="86" t="str">
        <f t="shared" si="18"/>
        <v>"%USERPROFILE%\Documents\GitHub\eaglep3\Utilities\RefineRTDCRunTimes.py" --tripid 164-20 --locoid 4004 --swversion DE.1.0.9.0 --startMP 204:232991 --initTime 2017-03-20T12:19:29 --startdatetime 2017-03-20T12:26:14 --delay 1 --endMP 204:185 --enddatetime 2017-03-20T13:12:44 --enforcementcount 0 &gt;&gt;C:\Users\stu\Documents\GitHub\eaglep3-reporting\EC\2017-03-20-refined-times.txt</v>
      </c>
      <c r="AI76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{"issue":{"subject":"","project_id":79,"tracker_id":40,"status_id":1,"priority_id":2,"assigned_to_id":23,"start_date":"2017-03-20","description":"","custom_fields":[{"id":1,"name":"Subdivision","value":"EC"},{"id":4,"name":"Milepost","value":"0.0185"},{"id":17,"name":"Train ID","value":"164-20"},{"id":16,"name":"Locomotive ID","value":"4004"},{"id":130,"name":"Impact","value":""},{"id":150,"name":"Time of Event (Mountain Time)","value":"13:12:44"},{"id":151,"name":"Denver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4004 --day 2017-03-20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"%USERPROFILE%\AppData\Local\Temp\OnboardLogs"\RTDC4004\*4004*20170320* | grep -SE "(Enforcement Action)|(\[TIMEOUT)|(CHR.+\|PRM\|1\|D.+(SWITCH|SIGNAL).+UNKNOWN)" - &gt;&gt; 2017-03-20-UncaughtWiMAX.txt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726</v>
      </c>
      <c r="B77" s="7">
        <v>4042</v>
      </c>
      <c r="C77" s="21" t="s">
        <v>222</v>
      </c>
      <c r="D77" s="21" t="s">
        <v>207</v>
      </c>
      <c r="E77" s="13">
        <v>42814.486886574072</v>
      </c>
      <c r="F77" s="13">
        <v>42814.489756944444</v>
      </c>
      <c r="G77" s="7">
        <v>1</v>
      </c>
      <c r="H77" s="21" t="s">
        <v>861</v>
      </c>
      <c r="I77" s="13">
        <v>42814.513888888891</v>
      </c>
      <c r="J77" s="7">
        <v>0</v>
      </c>
      <c r="K77" s="98" t="str">
        <f t="shared" ref="K77:K140" si="25">IF(ISEVEN(B77),(B77-1)&amp;"/"&amp;B77,B77&amp;"/"&amp;(B77+1))</f>
        <v>4041/4042</v>
      </c>
      <c r="L77" s="21" t="str">
        <f>VLOOKUP(A77,'Trips&amp;Operators'!$C$1:$G$99999,5,FALSE)</f>
        <v>ROMERO CHAD</v>
      </c>
      <c r="M77" s="6">
        <f t="shared" ref="M77:M140" si="26">I77-F77</f>
        <v>2.4131944446708076E-2</v>
      </c>
      <c r="N77" s="7">
        <f t="shared" si="24"/>
        <v>34.750000003259629</v>
      </c>
      <c r="O77" s="7"/>
      <c r="P77" s="7"/>
      <c r="Q77" s="22"/>
      <c r="R77" s="22"/>
      <c r="S77" s="31">
        <f t="shared" ref="S77:S108" si="27">SUM(U77:U77)/IF(AG77="EC",12,1)</f>
        <v>1</v>
      </c>
      <c r="T77" s="46" t="str">
        <f t="shared" ref="T77:T140" si="28">IF(ISEVEN(LEFT(AD77,4)),"Southbound","NorthBound")</f>
        <v>NorthBound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0" si="29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-20T10:41:07-0600',mode:absolute,to:'2017-03-20T13:20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7" s="187" t="str">
        <f t="shared" ref="W77:W140" si="30">IF(AA77&lt;IF(AG77="EC",23,5.65),"Y","N")</f>
        <v>N</v>
      </c>
      <c r="X77" s="187">
        <f t="shared" ref="X77:X108" si="31">VALUE(LEFT(AD77,4))-VALUE(LEFT(AD76,4))</f>
        <v>1</v>
      </c>
      <c r="Y77" s="62">
        <f t="shared" ref="Y77:Y140" si="32">RIGHT(D77,LEN(D77)-4)/10000</f>
        <v>4.5100000000000001E-2</v>
      </c>
      <c r="Z77" s="62">
        <f t="shared" ref="Z77:Z102" si="33">RIGHT(H77,LEN(H77)-4)/10000</f>
        <v>23.341999999999999</v>
      </c>
      <c r="AA77" s="62">
        <f t="shared" ref="AA77:AA140" si="34">ABS(Z77-Y77)</f>
        <v>23.296899999999997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5">IF(LEN(A77)=6,"0"&amp;A77,A77)</f>
        <v>0165-20</v>
      </c>
      <c r="AE77" s="85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s3://rtdc.mdm.uploadarchive.raw/RTDC4042/ "%USERPROFILE%\AppData\Local\Temp\OnboardLogs"\RTDC4042\2017-03-20 --exclude "*" --recursive --include "*20170320*" &amp; "%USERPROFILE%\Documents\GitHub\mrs-test-scripts\Headless Mode &amp; Sideloading\WalkAndUnGZ.bat" "%USERPROFILE%\AppData\Local\Temp\OnboardLogs"\RTDC4042\2017-03-20 &amp; aws s3 cp s3://rtdc.mdm.uploadarchive.raw/RTDC4042/ "%USERPROFILE%\AppData\Local\Temp\OnboardLogs"\RTDC4042\2017-03-21 --exclude "*" --recursive --include "*20170321*" &amp; "%USERPROFILE%\Documents\GitHub\mrs-test-scripts\Headless Mode &amp; Sideloading\WalkAndUnGZ.bat" "%USERPROFILE%\AppData\Local\Temp\OnboardLogs"\RTDC4042\2017-03-21</v>
      </c>
      <c r="AF77" s="82" t="str">
        <f t="shared" ref="AF77:AF140" si="3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/stypes="app*4042*20170320*" /stext=" 18:.+((SYSTEM_STATE.+slice.+state.+changed )|(ment ac)|(multiple cpu faults)|(system.+state.+changed )|(\[timeout)|(PRM\|1\|D)|(kpr)|(kdp)|(\|lc)|(penalty))"</v>
      </c>
      <c r="AG77" s="1" t="str">
        <f t="shared" ref="AG77:AG140" si="38">IFERROR(IF(VALUE(LEFT(AD77,2))&lt;=2,"EC",IF(OR(VALUE(LEFT(AD77,2))=8,VALUE(LEFT(AD77,2))=18),"NW","Other")),"Other")</f>
        <v>EC</v>
      </c>
      <c r="AH77" s="86" t="str">
        <f t="shared" si="18"/>
        <v>"%USERPROFILE%\Documents\GitHub\eaglep3\Utilities\RefineRTDCRunTimes.py" --tripid 165-20 --locoid 4042 --swversion DE.1.0.9.0 --startMP 204:451 --initTime 2017-03-20T11:41:07 --startdatetime 2017-03-20T11:45:15 --delay 1 --endMP 204:233420 --enddatetime 2017-03-20T12:20:00 --enforcementcount 0 &gt;&gt;C:\Users\stu\Documents\GitHub\eaglep3-reporting\EC\2017-03-20-refined-times.txt</v>
      </c>
      <c r="AI77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{"issue":{"subject":"","project_id":79,"tracker_id":40,"status_id":1,"priority_id":2,"assigned_to_id":23,"start_date":"2017-03-20","description":"","custom_fields":[{"id":1,"name":"Subdivision","value":"EC"},{"id":4,"name":"Milepost","value":"23.342"},{"id":17,"name":"Train ID","value":"165-20"},{"id":16,"name":"Locomotive ID","value":"4042"},{"id":130,"name":"Impact","value":""},{"id":150,"name":"Time of Event (Mountain Time)","value":"12:20:00"},{"id":151,"name":"Denver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0"/>
        <v>start /low /b %USERPROFILE%\Documents\GitHub\eaglep3\Utilities\DownloadLogsFromS3.py --loco 4042 --day 2017-03-20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"%USERPROFILE%\AppData\Local\Temp\OnboardLogs"\RTDC4042\*4042*20170320* | grep -SE "(Enforcement Action)|(\[TIMEOUT)|(CHR.+\|PRM\|1\|D.+(SWITCH|SIGNAL).+UNKNOWN)" - &gt;&gt; 2017-03-20-UncaughtWiMAX.txt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736</v>
      </c>
      <c r="B78" s="7">
        <v>4041</v>
      </c>
      <c r="C78" s="21" t="s">
        <v>222</v>
      </c>
      <c r="D78" s="21" t="s">
        <v>862</v>
      </c>
      <c r="E78" s="13">
        <v>42814.519490740742</v>
      </c>
      <c r="F78" s="13">
        <v>42814.528784722221</v>
      </c>
      <c r="G78" s="7">
        <v>1</v>
      </c>
      <c r="H78" s="21" t="s">
        <v>447</v>
      </c>
      <c r="I78" s="13">
        <v>42814.557939814818</v>
      </c>
      <c r="J78" s="7">
        <v>0</v>
      </c>
      <c r="K78" s="98" t="str">
        <f t="shared" si="25"/>
        <v>4041/4042</v>
      </c>
      <c r="L78" s="21" t="str">
        <f>VLOOKUP(A78,'Trips&amp;Operators'!$C$1:$G$99999,5,FALSE)</f>
        <v>ROMERO CHAD</v>
      </c>
      <c r="M78" s="6">
        <f t="shared" si="26"/>
        <v>2.9155092597648036E-2</v>
      </c>
      <c r="N78" s="7">
        <f t="shared" si="24"/>
        <v>41.983333340613171</v>
      </c>
      <c r="O78" s="7"/>
      <c r="P78" s="7"/>
      <c r="Q78" s="22"/>
      <c r="R78" s="22"/>
      <c r="S78" s="31">
        <f t="shared" si="27"/>
        <v>1</v>
      </c>
      <c r="T78" s="46" t="str">
        <f t="shared" si="28"/>
        <v>Southbound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29"/>
        <v>https://d0f6bd738d7f1b3e5a7ca70fe4ff75f0.us-east-1.aws.found.io/app/kibana#/discover/Steve-Slow-Train-Analysis-(2080s-and-2083s)?_g=(refreshInterval:(display:Off,pause:!f,section:0,value:0),time:(from:'2017-03-20T11:28:04-0600',mode:absolute,to:'2017-03-20T14:23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8" s="187" t="str">
        <f t="shared" si="30"/>
        <v>N</v>
      </c>
      <c r="X78" s="187">
        <f t="shared" si="31"/>
        <v>1</v>
      </c>
      <c r="Y78" s="62">
        <f t="shared" si="32"/>
        <v>23.3094</v>
      </c>
      <c r="Z78" s="62">
        <f t="shared" si="33"/>
        <v>1.29E-2</v>
      </c>
      <c r="AA78" s="62">
        <f t="shared" si="34"/>
        <v>23.296500000000002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5"/>
        <v>0166-20</v>
      </c>
      <c r="AE78" s="85" t="str">
        <f t="shared" si="36"/>
        <v>aws s3 cp s3://rtdc.mdm.uploadarchive.raw/RTDC4041/ "%USERPROFILE%\AppData\Local\Temp\OnboardLogs"\RTDC4041\2017-03-20 --exclude "*" --recursive --include "*20170320*" &amp; "%USERPROFILE%\Documents\GitHub\mrs-test-scripts\Headless Mode &amp; Sideloading\WalkAndUnGZ.bat" "%USERPROFILE%\AppData\Local\Temp\OnboardLogs"\RTDC4041\2017-03-20 &amp; aws s3 cp s3://rtdc.mdm.uploadarchive.raw/RTDC4041/ "%USERPROFILE%\AppData\Local\Temp\OnboardLogs"\RTDC4041\2017-03-21 --exclude "*" --recursive --include "*20170321*" &amp; "%USERPROFILE%\Documents\GitHub\mrs-test-scripts\Headless Mode &amp; Sideloading\WalkAndUnGZ.bat" "%USERPROFILE%\AppData\Local\Temp\OnboardLogs"\RTDC4041\2017-03-21</v>
      </c>
      <c r="AF78" s="82" t="str">
        <f t="shared" si="37"/>
        <v>"C:\Program Files (x86)\AstroGrep\AstroGrep.exe" /e /r /s /spath="%USERPROFILE%\AppData\Local\Temp\OnboardLogs" /stypes="app*4041*20170320*" /stext=" 19:.+((SYSTEM_STATE.+slice.+state.+changed )|(ment ac)|(multiple cpu faults)|(system.+state.+changed )|(\[timeout)|(PRM\|1\|D)|(kpr)|(kdp)|(\|lc)|(penalty))"</v>
      </c>
      <c r="AG78" s="1" t="str">
        <f t="shared" si="38"/>
        <v>EC</v>
      </c>
      <c r="AH78" s="86" t="str">
        <f t="shared" ref="AH78:AH141" si="39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166-20 --locoid 4041 --swversion DE.1.0.9.0 --startMP 204:233094 --initTime 2017-03-20T12:28:04 --startdatetime 2017-03-20T12:41:27 --delay 1 --endMP 204:129 --enddatetime 2017-03-20T13:23:26 --enforcementcount 0 &gt;&gt;C:\Users\stu\Documents\GitHub\eaglep3-reporting\EC\2017-03-20-refined-times.txt</v>
      </c>
      <c r="AI78" s="108" t="str">
        <f t="shared" ref="AI78:AI141" si="40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{"issue":{"subject":"","project_id":79,"tracker_id":40,"status_id":1,"priority_id":2,"assigned_to_id":23,"start_date":"2017-03-20","description":"","custom_fields":[{"id":1,"name":"Subdivision","value":"EC"},{"id":4,"name":"Milepost","value":"0.0129"},{"id":17,"name":"Train ID","value":"166-20"},{"id":16,"name":"Locomotive ID","value":"4041"},{"id":130,"name":"Impact","value":""},{"id":150,"name":"Time of Event (Mountain Time)","value":"13:23:26"},{"id":151,"name":"Denver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1" si="41">"start /low /b "&amp;dls3logs&amp;" --loco "&amp;B78&amp;" --day "&amp;TEXT(F78,"YYYY-MM-DD")</f>
        <v>start /low /b %USERPROFILE%\Documents\GitHub\eaglep3\Utilities\DownloadLogsFromS3.py --loco 4041 --day 2017-03-20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"%USERPROFILE%\AppData\Local\Temp\OnboardLogs"\RTDC4041\*4041*20170320* | grep -SE "(Enforcement Action)|(\[TIMEOUT)|(CHR.+\|PRM\|1\|D.+(SWITCH|SIGNAL).+UNKNOWN)" - &gt;&gt; 2017-03-20-UncaughtWiMAX.txt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728</v>
      </c>
      <c r="B79" s="7">
        <v>4022</v>
      </c>
      <c r="C79" s="21" t="s">
        <v>222</v>
      </c>
      <c r="D79" s="21" t="s">
        <v>591</v>
      </c>
      <c r="E79" s="13">
        <v>42814.497071759259</v>
      </c>
      <c r="F79" s="13">
        <v>42814.500150462962</v>
      </c>
      <c r="G79" s="7">
        <v>1</v>
      </c>
      <c r="H79" s="21" t="s">
        <v>568</v>
      </c>
      <c r="I79" s="13">
        <v>42814.527060185188</v>
      </c>
      <c r="J79" s="7">
        <v>0</v>
      </c>
      <c r="K79" s="98" t="str">
        <f t="shared" si="25"/>
        <v>4021/4022</v>
      </c>
      <c r="L79" s="21" t="str">
        <f>VLOOKUP(A79,'Trips&amp;Operators'!$C$1:$G$99999,5,FALSE)</f>
        <v>LOCKLEAR TRAVIS</v>
      </c>
      <c r="M79" s="6">
        <f t="shared" si="26"/>
        <v>2.6909722226264421E-2</v>
      </c>
      <c r="N79" s="7">
        <f t="shared" ref="N79:N110" si="42">24*60*SUM($M79:$M79)</f>
        <v>38.750000005820766</v>
      </c>
      <c r="O79" s="7"/>
      <c r="P79" s="7"/>
      <c r="Q79" s="22"/>
      <c r="R79" s="22"/>
      <c r="S79" s="31">
        <f t="shared" si="27"/>
        <v>1</v>
      </c>
      <c r="T79" s="46" t="str">
        <f t="shared" si="28"/>
        <v>NorthBound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29"/>
        <v>https://d0f6bd738d7f1b3e5a7ca70fe4ff75f0.us-east-1.aws.found.io/app/kibana#/discover/Steve-Slow-Train-Analysis-(2080s-and-2083s)?_g=(refreshInterval:(display:Off,pause:!f,section:0,value:0),time:(from:'2017-03-20T10:55:47-0600',mode:absolute,to:'2017-03-20T13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9" s="187" t="str">
        <f t="shared" si="30"/>
        <v>N</v>
      </c>
      <c r="X79" s="187">
        <f t="shared" si="31"/>
        <v>1</v>
      </c>
      <c r="Y79" s="62">
        <f t="shared" si="32"/>
        <v>4.4200000000000003E-2</v>
      </c>
      <c r="Z79" s="62">
        <f t="shared" si="33"/>
        <v>23.333400000000001</v>
      </c>
      <c r="AA79" s="62">
        <f t="shared" si="34"/>
        <v>23.289200000000001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5"/>
        <v>0167-20</v>
      </c>
      <c r="AE79" s="85" t="str">
        <f t="shared" si="36"/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AF79" s="82" t="str">
        <f t="shared" si="37"/>
        <v>"C:\Program Files (x86)\AstroGrep\AstroGrep.exe" /e /r /s /spath="%USERPROFILE%\AppData\Local\Temp\OnboardLogs" /stypes="app*4022*20170320*" /stext=" 18:.+((SYSTEM_STATE.+slice.+state.+changed )|(ment ac)|(multiple cpu faults)|(system.+state.+changed )|(\[timeout)|(PRM\|1\|D)|(kpr)|(kdp)|(\|lc)|(penalty))"</v>
      </c>
      <c r="AG79" s="1" t="str">
        <f t="shared" si="38"/>
        <v>EC</v>
      </c>
      <c r="AH79" s="86" t="str">
        <f t="shared" si="39"/>
        <v>"%USERPROFILE%\Documents\GitHub\eaglep3\Utilities\RefineRTDCRunTimes.py" --tripid 167-20 --locoid 4022 --swversion DE.1.0.9.0 --startMP 204:442 --initTime 2017-03-20T11:55:47 --startdatetime 2017-03-20T12:00:13 --delay 1 --endMP 204:233334 --enddatetime 2017-03-20T12:38:58 --enforcementcount 0 &gt;&gt;C:\Users\stu\Documents\GitHub\eaglep3-reporting\EC\2017-03-20-refined-times.txt</v>
      </c>
      <c r="AI79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{"issue":{"subject":"","project_id":79,"tracker_id":40,"status_id":1,"priority_id":2,"assigned_to_id":23,"start_date":"2017-03-20","description":"","custom_fields":[{"id":1,"name":"Subdivision","value":"EC"},{"id":4,"name":"Milepost","value":"23.3334"},{"id":17,"name":"Train ID","value":"167-20"},{"id":16,"name":"Locomotive ID","value":"4022"},{"id":130,"name":"Impact","value":""},{"id":150,"name":"Time of Event (Mountain Time)","value":"12:38:58"},{"id":151,"name":"Denver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41"/>
        <v>start /low /b %USERPROFILE%\Documents\GitHub\eaglep3\Utilities\DownloadLogsFromS3.py --loco 4022 --day 2017-03-20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"%USERPROFILE%\AppData\Local\Temp\OnboardLogs"\RTDC4022\*4022*20170320* | grep -SE "(Enforcement Action)|(\[TIMEOUT)|(CHR.+\|PRM\|1\|D.+(SWITCH|SIGNAL).+UNKNOWN)" - &gt;&gt; 2017-03-20-UncaughtWiMAX.txt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739</v>
      </c>
      <c r="B80" s="7">
        <v>4021</v>
      </c>
      <c r="C80" s="21" t="s">
        <v>222</v>
      </c>
      <c r="D80" s="21" t="s">
        <v>863</v>
      </c>
      <c r="E80" s="13">
        <v>42814.536412037036</v>
      </c>
      <c r="F80" s="13">
        <v>42814.539201388892</v>
      </c>
      <c r="G80" s="7">
        <v>1</v>
      </c>
      <c r="H80" s="21" t="s">
        <v>184</v>
      </c>
      <c r="I80" s="13">
        <v>42814.569398148145</v>
      </c>
      <c r="J80" s="7">
        <v>0</v>
      </c>
      <c r="K80" s="98" t="str">
        <f t="shared" si="25"/>
        <v>4021/4022</v>
      </c>
      <c r="L80" s="21" t="str">
        <f>VLOOKUP(A80,'Trips&amp;Operators'!$C$1:$G$99999,5,FALSE)</f>
        <v>LOCKLEAR TRAVIS</v>
      </c>
      <c r="M80" s="6">
        <f t="shared" si="26"/>
        <v>3.0196759253158234E-2</v>
      </c>
      <c r="N80" s="7">
        <f t="shared" si="42"/>
        <v>43.483333324547857</v>
      </c>
      <c r="O80" s="7"/>
      <c r="P80" s="7"/>
      <c r="Q80" s="22"/>
      <c r="R80" s="22"/>
      <c r="S80" s="31">
        <f t="shared" si="27"/>
        <v>1</v>
      </c>
      <c r="T80" s="46" t="str">
        <f t="shared" si="28"/>
        <v>Southbound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29"/>
        <v>https://d0f6bd738d7f1b3e5a7ca70fe4ff75f0.us-east-1.aws.found.io/app/kibana#/discover/Steve-Slow-Train-Analysis-(2080s-and-2083s)?_g=(refreshInterval:(display:Off,pause:!f,section:0,value:0),time:(from:'2017-03-20T11:52:26-0600',mode:absolute,to:'2017-03-20T14:39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0" s="187" t="str">
        <f t="shared" si="30"/>
        <v>N</v>
      </c>
      <c r="X80" s="187">
        <f t="shared" si="31"/>
        <v>1</v>
      </c>
      <c r="Y80" s="62">
        <f t="shared" si="32"/>
        <v>23.302299999999999</v>
      </c>
      <c r="Z80" s="62">
        <f t="shared" si="33"/>
        <v>1.49E-2</v>
      </c>
      <c r="AA80" s="62">
        <f t="shared" si="34"/>
        <v>23.287399999999998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5"/>
        <v>0168-20</v>
      </c>
      <c r="AE80" s="85" t="str">
        <f t="shared" si="36"/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AF80" s="82" t="str">
        <f t="shared" si="37"/>
        <v>"C:\Program Files (x86)\AstroGrep\AstroGrep.exe" /e /r /s /spath="%USERPROFILE%\AppData\Local\Temp\OnboardLogs" /stypes="app*4021*20170320*" /stext=" 19:.+((SYSTEM_STATE.+slice.+state.+changed )|(ment ac)|(multiple cpu faults)|(system.+state.+changed )|(\[timeout)|(PRM\|1\|D)|(kpr)|(kdp)|(\|lc)|(penalty))"</v>
      </c>
      <c r="AG80" s="1" t="str">
        <f t="shared" si="38"/>
        <v>EC</v>
      </c>
      <c r="AH80" s="86" t="str">
        <f t="shared" si="39"/>
        <v>"%USERPROFILE%\Documents\GitHub\eaglep3\Utilities\RefineRTDCRunTimes.py" --tripid 168-20 --locoid 4021 --swversion DE.1.0.9.0 --startMP 204:233023 --initTime 2017-03-20T12:52:26 --startdatetime 2017-03-20T12:56:27 --delay 1 --endMP 204:149 --enddatetime 2017-03-20T13:39:56 --enforcementcount 0 &gt;&gt;C:\Users\stu\Documents\GitHub\eaglep3-reporting\EC\2017-03-20-refined-times.txt</v>
      </c>
      <c r="AI80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{"issue":{"subject":"","project_id":79,"tracker_id":40,"status_id":1,"priority_id":2,"assigned_to_id":23,"start_date":"2017-03-20","description":"","custom_fields":[{"id":1,"name":"Subdivision","value":"EC"},{"id":4,"name":"Milepost","value":"0.0149"},{"id":17,"name":"Train ID","value":"168-20"},{"id":16,"name":"Locomotive ID","value":"4021"},{"id":130,"name":"Impact","value":""},{"id":150,"name":"Time of Event (Mountain Time)","value":"13:39:56"},{"id":151,"name":"Denver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41"/>
        <v>start /low /b %USERPROFILE%\Documents\GitHub\eaglep3\Utilities\DownloadLogsFromS3.py --loco 4021 --day 2017-03-20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"%USERPROFILE%\AppData\Local\Temp\OnboardLogs"\RTDC4021\*4021*20170320* | grep -SE "(Enforcement Action)|(\[TIMEOUT)|(CHR.+\|PRM\|1\|D.+(SWITCH|SIGNAL).+UNKNOWN)" - &gt;&gt; 2017-03-20-UncaughtWiMAX.txt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3" t="s">
        <v>730</v>
      </c>
      <c r="B81" s="7">
        <v>4018</v>
      </c>
      <c r="C81" s="21" t="s">
        <v>222</v>
      </c>
      <c r="D81" s="21" t="s">
        <v>207</v>
      </c>
      <c r="E81" s="13">
        <v>42814.508831018517</v>
      </c>
      <c r="F81" s="13">
        <v>42814.511493055557</v>
      </c>
      <c r="G81" s="7">
        <v>1</v>
      </c>
      <c r="H81" s="21" t="s">
        <v>228</v>
      </c>
      <c r="I81" s="13">
        <v>42814.539733796293</v>
      </c>
      <c r="J81" s="7">
        <v>0</v>
      </c>
      <c r="K81" s="98" t="str">
        <f t="shared" si="25"/>
        <v>4017/4018</v>
      </c>
      <c r="L81" s="21" t="str">
        <f>VLOOKUP(A81,'Trips&amp;Operators'!$C$1:$G$99999,5,FALSE)</f>
        <v>MENGES BRAD</v>
      </c>
      <c r="M81" s="6">
        <f t="shared" si="26"/>
        <v>2.824074073578231E-2</v>
      </c>
      <c r="N81" s="7">
        <f t="shared" si="42"/>
        <v>40.666666659526527</v>
      </c>
      <c r="O81" s="7"/>
      <c r="P81" s="7"/>
      <c r="Q81" s="22"/>
      <c r="R81" s="22"/>
      <c r="S81" s="31">
        <f t="shared" si="27"/>
        <v>1</v>
      </c>
      <c r="T81" s="46" t="str">
        <f t="shared" si="28"/>
        <v>NorthBound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29"/>
        <v>https://d0f6bd738d7f1b3e5a7ca70fe4ff75f0.us-east-1.aws.found.io/app/kibana#/discover/Steve-Slow-Train-Analysis-(2080s-and-2083s)?_g=(refreshInterval:(display:Off,pause:!f,section:0,value:0),time:(from:'2017-03-20T11:12:43-0600',mode:absolute,to:'2017-03-20T13:57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1" s="187" t="str">
        <f t="shared" si="30"/>
        <v>N</v>
      </c>
      <c r="X81" s="187">
        <f t="shared" si="31"/>
        <v>1</v>
      </c>
      <c r="Y81" s="62">
        <f t="shared" si="32"/>
        <v>4.5100000000000001E-2</v>
      </c>
      <c r="Z81" s="62">
        <f t="shared" si="33"/>
        <v>23.329499999999999</v>
      </c>
      <c r="AA81" s="62">
        <f t="shared" si="34"/>
        <v>23.284399999999998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5"/>
        <v>0169-20</v>
      </c>
      <c r="AE81" s="85" t="str">
        <f t="shared" si="36"/>
        <v>aws s3 cp s3://rtdc.mdm.uploadarchive.raw/RTDC4018/ "%USERPROFILE%\AppData\Local\Temp\OnboardLogs"\RTDC4018\2017-03-20 --exclude "*" --recursive --include "*20170320*" &amp; "%USERPROFILE%\Documents\GitHub\mrs-test-scripts\Headless Mode &amp; Sideloading\WalkAndUnGZ.bat" "%USERPROFILE%\AppData\Local\Temp\OnboardLogs"\RTDC4018\2017-03-20 &amp; aws s3 cp s3://rtdc.mdm.uploadarchive.raw/RTDC4018/ "%USERPROFILE%\AppData\Local\Temp\OnboardLogs"\RTDC4018\2017-03-21 --exclude "*" --recursive --include "*20170321*" &amp; "%USERPROFILE%\Documents\GitHub\mrs-test-scripts\Headless Mode &amp; Sideloading\WalkAndUnGZ.bat" "%USERPROFILE%\AppData\Local\Temp\OnboardLogs"\RTDC4018\2017-03-21</v>
      </c>
      <c r="AF81" s="82" t="str">
        <f t="shared" si="37"/>
        <v>"C:\Program Files (x86)\AstroGrep\AstroGrep.exe" /e /r /s /spath="%USERPROFILE%\AppData\Local\Temp\OnboardLogs" /stypes="app*4018*20170320*" /stext=" 18:.+((SYSTEM_STATE.+slice.+state.+changed )|(ment ac)|(multiple cpu faults)|(system.+state.+changed )|(\[timeout)|(PRM\|1\|D)|(kpr)|(kdp)|(\|lc)|(penalty))"</v>
      </c>
      <c r="AG81" s="1" t="str">
        <f t="shared" si="38"/>
        <v>EC</v>
      </c>
      <c r="AH81" s="86" t="str">
        <f t="shared" si="39"/>
        <v>"%USERPROFILE%\Documents\GitHub\eaglep3\Utilities\RefineRTDCRunTimes.py" --tripid 169-20 --locoid 4018 --swversion DE.1.0.9.0 --startMP 204:451 --initTime 2017-03-20T12:12:43 --startdatetime 2017-03-20T12:16:33 --delay 1 --endMP 204:233295 --enddatetime 2017-03-20T12:57:13 --enforcementcount 0 &gt;&gt;C:\Users\stu\Documents\GitHub\eaglep3-reporting\EC\2017-03-20-refined-times.txt</v>
      </c>
      <c r="AI81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{"issue":{"subject":"","project_id":79,"tracker_id":40,"status_id":1,"priority_id":2,"assigned_to_id":23,"start_date":"2017-03-20","description":"","custom_fields":[{"id":1,"name":"Subdivision","value":"EC"},{"id":4,"name":"Milepost","value":"23.3295"},{"id":17,"name":"Train ID","value":"169-20"},{"id":16,"name":"Locomotive ID","value":"4018"},{"id":130,"name":"Impact","value":""},{"id":150,"name":"Time of Event (Mountain Time)","value":"12:57:13"},{"id":151,"name":"Denver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41"/>
        <v>start /low /b %USERPROFILE%\Documents\GitHub\eaglep3\Utilities\DownloadLogsFromS3.py --loco 4018 --day 2017-03-20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"%USERPROFILE%\AppData\Local\Temp\OnboardLogs"\RTDC4018\*4018*20170320* | grep -SE "(Enforcement Action)|(\[TIMEOUT)|(CHR.+\|PRM\|1\|D.+(SWITCH|SIGNAL).+UNKNOWN)" - &gt;&gt; 2017-03-20-UncaughtWiMAX.txt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3" t="s">
        <v>741</v>
      </c>
      <c r="B82" s="7">
        <v>4017</v>
      </c>
      <c r="C82" s="21" t="s">
        <v>222</v>
      </c>
      <c r="D82" s="21" t="s">
        <v>584</v>
      </c>
      <c r="E82" s="13">
        <v>42814.543981481482</v>
      </c>
      <c r="F82" s="13">
        <v>42814.549467592595</v>
      </c>
      <c r="G82" s="7">
        <v>1</v>
      </c>
      <c r="H82" s="21" t="s">
        <v>216</v>
      </c>
      <c r="I82" s="13">
        <v>42814.580659722225</v>
      </c>
      <c r="J82" s="7">
        <v>0</v>
      </c>
      <c r="K82" s="98" t="str">
        <f t="shared" si="25"/>
        <v>4017/4018</v>
      </c>
      <c r="L82" s="21" t="str">
        <f>VLOOKUP(A82,'Trips&amp;Operators'!$C$1:$G$99999,5,FALSE)</f>
        <v>MENGES BRAD</v>
      </c>
      <c r="M82" s="6">
        <f t="shared" si="26"/>
        <v>3.1192129630653653E-2</v>
      </c>
      <c r="N82" s="7">
        <f t="shared" si="42"/>
        <v>44.916666668141261</v>
      </c>
      <c r="O82" s="7"/>
      <c r="P82" s="7"/>
      <c r="Q82" s="22"/>
      <c r="R82" s="22"/>
      <c r="S82" s="31">
        <f t="shared" si="27"/>
        <v>1</v>
      </c>
      <c r="T82" s="46" t="str">
        <f t="shared" si="28"/>
        <v>Southbound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29"/>
        <v>https://d0f6bd738d7f1b3e5a7ca70fe4ff75f0.us-east-1.aws.found.io/app/kibana#/discover/Steve-Slow-Train-Analysis-(2080s-and-2083s)?_g=(refreshInterval:(display:Off,pause:!f,section:0,value:0),time:(from:'2017-03-20T12:03:20-0600',mode:absolute,to:'2017-03-20T14:56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2" s="187" t="str">
        <f t="shared" si="30"/>
        <v>N</v>
      </c>
      <c r="X82" s="187">
        <f t="shared" si="31"/>
        <v>1</v>
      </c>
      <c r="Y82" s="62">
        <f t="shared" si="32"/>
        <v>23.296700000000001</v>
      </c>
      <c r="Z82" s="62">
        <f t="shared" si="33"/>
        <v>1.5599999999999999E-2</v>
      </c>
      <c r="AA82" s="62">
        <f t="shared" si="34"/>
        <v>23.281100000000002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5"/>
        <v>0170-20</v>
      </c>
      <c r="AE82" s="85" t="str">
        <f t="shared" si="36"/>
        <v>aws s3 cp s3://rtdc.mdm.uploadarchive.raw/RTDC4017/ "%USERPROFILE%\AppData\Local\Temp\OnboardLogs"\RTDC4017\2017-03-20 --exclude "*" --recursive --include "*20170320*" &amp; "%USERPROFILE%\Documents\GitHub\mrs-test-scripts\Headless Mode &amp; Sideloading\WalkAndUnGZ.bat" "%USERPROFILE%\AppData\Local\Temp\OnboardLogs"\RTDC4017\2017-03-20 &amp; aws s3 cp s3://rtdc.mdm.uploadarchive.raw/RTDC4017/ "%USERPROFILE%\AppData\Local\Temp\OnboardLogs"\RTDC4017\2017-03-21 --exclude "*" --recursive --include "*20170321*" &amp; "%USERPROFILE%\Documents\GitHub\mrs-test-scripts\Headless Mode &amp; Sideloading\WalkAndUnGZ.bat" "%USERPROFILE%\AppData\Local\Temp\OnboardLogs"\RTDC4017\2017-03-21</v>
      </c>
      <c r="AF82" s="82" t="str">
        <f t="shared" si="37"/>
        <v>"C:\Program Files (x86)\AstroGrep\AstroGrep.exe" /e /r /s /spath="%USERPROFILE%\AppData\Local\Temp\OnboardLogs" /stypes="app*4017*20170320*" /stext=" 19:.+((SYSTEM_STATE.+slice.+state.+changed )|(ment ac)|(multiple cpu faults)|(system.+state.+changed )|(\[timeout)|(PRM\|1\|D)|(kpr)|(kdp)|(\|lc)|(penalty))"</v>
      </c>
      <c r="AG82" s="1" t="str">
        <f t="shared" si="38"/>
        <v>EC</v>
      </c>
      <c r="AH82" s="86" t="str">
        <f t="shared" si="39"/>
        <v>"%USERPROFILE%\Documents\GitHub\eaglep3\Utilities\RefineRTDCRunTimes.py" --tripid 170-20 --locoid 4017 --swversion DE.1.0.9.0 --startMP 204:232967 --initTime 2017-03-20T13:03:20 --startdatetime 2017-03-20T13:11:14 --delay 1 --endMP 204:156 --enddatetime 2017-03-20T13:56:09 --enforcementcount 0 &gt;&gt;C:\Users\stu\Documents\GitHub\eaglep3-reporting\EC\2017-03-20-refined-times.txt</v>
      </c>
      <c r="AI82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{"issue":{"subject":"","project_id":79,"tracker_id":40,"status_id":1,"priority_id":2,"assigned_to_id":23,"start_date":"2017-03-20","description":"","custom_fields":[{"id":1,"name":"Subdivision","value":"EC"},{"id":4,"name":"Milepost","value":"0.0156"},{"id":17,"name":"Train ID","value":"170-20"},{"id":16,"name":"Locomotive ID","value":"4017"},{"id":130,"name":"Impact","value":""},{"id":150,"name":"Time of Event (Mountain Time)","value":"13:56:09"},{"id":151,"name":"Denver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41"/>
        <v>start /low /b %USERPROFILE%\Documents\GitHub\eaglep3\Utilities\DownloadLogsFromS3.py --loco 4017 --day 2017-03-20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"%USERPROFILE%\AppData\Local\Temp\OnboardLogs"\RTDC4017\*4017*20170320* | grep -SE "(Enforcement Action)|(\[TIMEOUT)|(CHR.+\|PRM\|1\|D.+(SWITCH|SIGNAL).+UNKNOWN)" - &gt;&gt; 2017-03-20-UncaughtWiMAX.txt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733</v>
      </c>
      <c r="B83" s="7">
        <v>4046</v>
      </c>
      <c r="C83" s="21" t="s">
        <v>222</v>
      </c>
      <c r="D83" s="21" t="s">
        <v>209</v>
      </c>
      <c r="E83" s="13">
        <v>42814.518020833333</v>
      </c>
      <c r="F83" s="13">
        <v>42814.521377314813</v>
      </c>
      <c r="G83" s="7">
        <v>2</v>
      </c>
      <c r="H83" s="21" t="s">
        <v>508</v>
      </c>
      <c r="I83" s="13">
        <v>42814.549618055556</v>
      </c>
      <c r="J83" s="7">
        <v>0</v>
      </c>
      <c r="K83" s="98" t="str">
        <f t="shared" si="25"/>
        <v>4045/4046</v>
      </c>
      <c r="L83" s="21" t="str">
        <f>VLOOKUP(A83,'Trips&amp;Operators'!$C$1:$G$99999,5,FALSE)</f>
        <v>DAVIDSON DAVID</v>
      </c>
      <c r="M83" s="6">
        <f t="shared" si="26"/>
        <v>2.8240740743058268E-2</v>
      </c>
      <c r="N83" s="7">
        <f t="shared" si="42"/>
        <v>40.666666670003906</v>
      </c>
      <c r="O83" s="7"/>
      <c r="P83" s="7"/>
      <c r="Q83" s="22"/>
      <c r="R83" s="22"/>
      <c r="S83" s="31">
        <f t="shared" si="27"/>
        <v>1</v>
      </c>
      <c r="T83" s="46" t="str">
        <f t="shared" si="28"/>
        <v>NorthBound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29"/>
        <v>https://d0f6bd738d7f1b3e5a7ca70fe4ff75f0.us-east-1.aws.found.io/app/kibana#/discover/Steve-Slow-Train-Analysis-(2080s-and-2083s)?_g=(refreshInterval:(display:Off,pause:!f,section:0,value:0),time:(from:'2017-03-20T11:25:57-0600',mode:absolute,to:'2017-03-20T14:11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3" s="187" t="str">
        <f t="shared" si="30"/>
        <v>N</v>
      </c>
      <c r="X83" s="187">
        <f t="shared" si="31"/>
        <v>1</v>
      </c>
      <c r="Y83" s="62">
        <f t="shared" si="32"/>
        <v>4.5999999999999999E-2</v>
      </c>
      <c r="Z83" s="62">
        <f t="shared" si="33"/>
        <v>23.331399999999999</v>
      </c>
      <c r="AA83" s="62">
        <f t="shared" si="34"/>
        <v>23.285399999999999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5"/>
        <v>0171-20</v>
      </c>
      <c r="AE83" s="85" t="str">
        <f t="shared" si="36"/>
        <v>aws s3 cp s3://rtdc.mdm.uploadarchive.raw/RTDC4046/ "%USERPROFILE%\AppData\Local\Temp\OnboardLogs"\RTDC4046\2017-03-20 --exclude "*" --recursive --include "*20170320*" &amp; "%USERPROFILE%\Documents\GitHub\mrs-test-scripts\Headless Mode &amp; Sideloading\WalkAndUnGZ.bat" "%USERPROFILE%\AppData\Local\Temp\OnboardLogs"\RTDC4046\2017-03-20 &amp; aws s3 cp s3://rtdc.mdm.uploadarchive.raw/RTDC4046/ "%USERPROFILE%\AppData\Local\Temp\OnboardLogs"\RTDC4046\2017-03-21 --exclude "*" --recursive --include "*20170321*" &amp; "%USERPROFILE%\Documents\GitHub\mrs-test-scripts\Headless Mode &amp; Sideloading\WalkAndUnGZ.bat" "%USERPROFILE%\AppData\Local\Temp\OnboardLogs"\RTDC4046\2017-03-21</v>
      </c>
      <c r="AF83" s="82" t="str">
        <f t="shared" si="37"/>
        <v>"C:\Program Files (x86)\AstroGrep\AstroGrep.exe" /e /r /s /spath="%USERPROFILE%\AppData\Local\Temp\OnboardLogs" /stypes="app*4046*20170320*" /stext=" 19:.+((SYSTEM_STATE.+slice.+state.+changed )|(ment ac)|(multiple cpu faults)|(system.+state.+changed )|(\[timeout)|(PRM\|1\|D)|(kpr)|(kdp)|(\|lc)|(penalty))"</v>
      </c>
      <c r="AG83" s="1" t="str">
        <f t="shared" si="38"/>
        <v>EC</v>
      </c>
      <c r="AH83" s="86" t="str">
        <f t="shared" si="39"/>
        <v>"%USERPROFILE%\Documents\GitHub\eaglep3\Utilities\RefineRTDCRunTimes.py" --tripid 171-20 --locoid 4046 --swversion DE.1.0.9.0 --startMP 204:460 --initTime 2017-03-20T12:25:57 --startdatetime 2017-03-20T12:30:47 --delay 2 --endMP 204:233314 --enddatetime 2017-03-20T13:11:27 --enforcementcount 0 &gt;&gt;C:\Users\stu\Documents\GitHub\eaglep3-reporting\EC\2017-03-20-refined-times.txt</v>
      </c>
      <c r="AI83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{"issue":{"subject":"","project_id":79,"tracker_id":40,"status_id":1,"priority_id":2,"assigned_to_id":23,"start_date":"2017-03-20","description":"","custom_fields":[{"id":1,"name":"Subdivision","value":"EC"},{"id":4,"name":"Milepost","value":"23.3314"},{"id":17,"name":"Train ID","value":"171-20"},{"id":16,"name":"Locomotive ID","value":"4046"},{"id":130,"name":"Impact","value":""},{"id":150,"name":"Time of Event (Mountain Time)","value":"13:11:27"},{"id":151,"name":"Denver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41"/>
        <v>start /low /b %USERPROFILE%\Documents\GitHub\eaglep3\Utilities\DownloadLogsFromS3.py --loco 4046 --day 2017-03-20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"%USERPROFILE%\AppData\Local\Temp\OnboardLogs"\RTDC4046\*4046*20170320* | grep -SE "(Enforcement Action)|(\[TIMEOUT)|(CHR.+\|PRM\|1\|D.+(SWITCH|SIGNAL).+UNKNOWN)" - &gt;&gt; 2017-03-20-UncaughtWiMAX.txt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746</v>
      </c>
      <c r="B84" s="7">
        <v>4045</v>
      </c>
      <c r="C84" s="21" t="s">
        <v>222</v>
      </c>
      <c r="D84" s="21" t="s">
        <v>514</v>
      </c>
      <c r="E84" s="13">
        <v>42814.551168981481</v>
      </c>
      <c r="F84" s="13">
        <v>42814.560150462959</v>
      </c>
      <c r="G84" s="7">
        <v>1</v>
      </c>
      <c r="H84" s="21" t="s">
        <v>579</v>
      </c>
      <c r="I84" s="13">
        <v>42814.59</v>
      </c>
      <c r="J84" s="7">
        <v>0</v>
      </c>
      <c r="K84" s="98" t="str">
        <f t="shared" si="25"/>
        <v>4045/4046</v>
      </c>
      <c r="L84" s="21" t="str">
        <f>VLOOKUP(A84,'Trips&amp;Operators'!$C$1:$G$99999,5,FALSE)</f>
        <v>DAVIDSON DAVID</v>
      </c>
      <c r="M84" s="6">
        <f t="shared" si="26"/>
        <v>2.9849537037080154E-2</v>
      </c>
      <c r="N84" s="7">
        <f t="shared" si="42"/>
        <v>42.983333333395422</v>
      </c>
      <c r="O84" s="7"/>
      <c r="P84" s="7"/>
      <c r="Q84" s="22"/>
      <c r="R84" s="22"/>
      <c r="S84" s="31">
        <f t="shared" si="27"/>
        <v>1</v>
      </c>
      <c r="T84" s="46" t="str">
        <f t="shared" si="28"/>
        <v>Southbound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29"/>
        <v>https://d0f6bd738d7f1b3e5a7ca70fe4ff75f0.us-east-1.aws.found.io/app/kibana#/discover/Steve-Slow-Train-Analysis-(2080s-and-2083s)?_g=(refreshInterval:(display:Off,pause:!f,section:0,value:0),time:(from:'2017-03-20T12:13:41-0600',mode:absolute,to:'2017-03-20T15:09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4" s="187" t="str">
        <f t="shared" si="30"/>
        <v>N</v>
      </c>
      <c r="X84" s="187">
        <f t="shared" si="31"/>
        <v>1</v>
      </c>
      <c r="Y84" s="62">
        <f t="shared" si="32"/>
        <v>23.299299999999999</v>
      </c>
      <c r="Z84" s="62">
        <f t="shared" si="33"/>
        <v>1.6500000000000001E-2</v>
      </c>
      <c r="AA84" s="62">
        <f t="shared" si="34"/>
        <v>23.282799999999998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5"/>
        <v>0172-20</v>
      </c>
      <c r="AE84" s="85" t="str">
        <f t="shared" si="36"/>
        <v>aws s3 cp s3://rtdc.mdm.uploadarchive.raw/RTDC4045/ "%USERPROFILE%\AppData\Local\Temp\OnboardLogs"\RTDC4045\2017-03-20 --exclude "*" --recursive --include "*20170320*" &amp; "%USERPROFILE%\Documents\GitHub\mrs-test-scripts\Headless Mode &amp; Sideloading\WalkAndUnGZ.bat" "%USERPROFILE%\AppData\Local\Temp\OnboardLogs"\RTDC4045\2017-03-20 &amp; aws s3 cp s3://rtdc.mdm.uploadarchive.raw/RTDC4045/ "%USERPROFILE%\AppData\Local\Temp\OnboardLogs"\RTDC4045\2017-03-21 --exclude "*" --recursive --include "*20170321*" &amp; "%USERPROFILE%\Documents\GitHub\mrs-test-scripts\Headless Mode &amp; Sideloading\WalkAndUnGZ.bat" "%USERPROFILE%\AppData\Local\Temp\OnboardLogs"\RTDC4045\2017-03-21</v>
      </c>
      <c r="AF84" s="82" t="str">
        <f t="shared" si="37"/>
        <v>"C:\Program Files (x86)\AstroGrep\AstroGrep.exe" /e /r /s /spath="%USERPROFILE%\AppData\Local\Temp\OnboardLogs" /stypes="app*4045*20170320*" /stext=" 20:.+((SYSTEM_STATE.+slice.+state.+changed )|(ment ac)|(multiple cpu faults)|(system.+state.+changed )|(\[timeout)|(PRM\|1\|D)|(kpr)|(kdp)|(\|lc)|(penalty))"</v>
      </c>
      <c r="AG84" s="1" t="str">
        <f t="shared" si="38"/>
        <v>EC</v>
      </c>
      <c r="AH84" s="86" t="str">
        <f t="shared" si="39"/>
        <v>"%USERPROFILE%\Documents\GitHub\eaglep3\Utilities\RefineRTDCRunTimes.py" --tripid 172-20 --locoid 4045 --swversion DE.1.0.9.0 --startMP 204:232993 --initTime 2017-03-20T13:13:41 --startdatetime 2017-03-20T13:26:37 --delay 1 --endMP 204:165 --enddatetime 2017-03-20T14:09:36 --enforcementcount 0 &gt;&gt;C:\Users\stu\Documents\GitHub\eaglep3-reporting\EC\2017-03-20-refined-times.txt</v>
      </c>
      <c r="AI84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{"issue":{"subject":"","project_id":79,"tracker_id":40,"status_id":1,"priority_id":2,"assigned_to_id":23,"start_date":"2017-03-20","description":"","custom_fields":[{"id":1,"name":"Subdivision","value":"EC"},{"id":4,"name":"Milepost","value":"0.0165"},{"id":17,"name":"Train ID","value":"172-20"},{"id":16,"name":"Locomotive ID","value":"4045"},{"id":130,"name":"Impact","value":""},{"id":150,"name":"Time of Event (Mountain Time)","value":"14:09:36"},{"id":151,"name":"Denver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41"/>
        <v>start /low /b %USERPROFILE%\Documents\GitHub\eaglep3\Utilities\DownloadLogsFromS3.py --loco 4045 --day 2017-03-20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"%USERPROFILE%\AppData\Local\Temp\OnboardLogs"\RTDC4045\*4045*20170320* | grep -SE "(Enforcement Action)|(\[TIMEOUT)|(CHR.+\|PRM\|1\|D.+(SWITCH|SIGNAL).+UNKNOWN)" - &gt;&gt; 2017-03-20-UncaughtWiMAX.txt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738</v>
      </c>
      <c r="B85" s="7">
        <v>4025</v>
      </c>
      <c r="C85" s="21" t="s">
        <v>222</v>
      </c>
      <c r="D85" s="21" t="s">
        <v>429</v>
      </c>
      <c r="E85" s="13">
        <v>42814.530416666668</v>
      </c>
      <c r="F85" s="13">
        <v>42814.53193287037</v>
      </c>
      <c r="G85" s="7">
        <v>1</v>
      </c>
      <c r="H85" s="21" t="s">
        <v>368</v>
      </c>
      <c r="I85" s="13">
        <v>42814.557708333334</v>
      </c>
      <c r="J85" s="7">
        <v>0</v>
      </c>
      <c r="K85" s="98" t="str">
        <f t="shared" si="25"/>
        <v>4025/4026</v>
      </c>
      <c r="L85" s="21" t="str">
        <f>VLOOKUP(A85,'Trips&amp;Operators'!$C$1:$G$99999,5,FALSE)</f>
        <v>STEWART MICHAEL</v>
      </c>
      <c r="M85" s="6">
        <f t="shared" si="26"/>
        <v>2.5775462963792961E-2</v>
      </c>
      <c r="N85" s="7">
        <f t="shared" si="42"/>
        <v>37.116666667861864</v>
      </c>
      <c r="O85" s="7"/>
      <c r="P85" s="7"/>
      <c r="Q85" s="22"/>
      <c r="R85" s="22"/>
      <c r="S85" s="31">
        <f t="shared" si="27"/>
        <v>1</v>
      </c>
      <c r="T85" s="46" t="str">
        <f t="shared" si="28"/>
        <v>NorthBound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29"/>
        <v>https://d0f6bd738d7f1b3e5a7ca70fe4ff75f0.us-east-1.aws.found.io/app/kibana#/discover/Steve-Slow-Train-Analysis-(2080s-and-2083s)?_g=(refreshInterval:(display:Off,pause:!f,section:0,value:0),time:(from:'2017-03-20T11:43:48-0600',mode:absolute,to:'2017-03-20T14:23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5" s="187" t="str">
        <f t="shared" si="30"/>
        <v>N</v>
      </c>
      <c r="X85" s="187">
        <f t="shared" si="31"/>
        <v>1</v>
      </c>
      <c r="Y85" s="62">
        <f t="shared" si="32"/>
        <v>4.4400000000000002E-2</v>
      </c>
      <c r="Z85" s="62">
        <f t="shared" si="33"/>
        <v>23.3307</v>
      </c>
      <c r="AA85" s="62">
        <f t="shared" si="34"/>
        <v>23.286300000000001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5"/>
        <v>0173-20</v>
      </c>
      <c r="AE85" s="85" t="str">
        <f t="shared" si="36"/>
        <v>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 &amp; aws s3 cp s3://rtdc.mdm.uploadarchive.raw/RTDC4025/ "%USERPROFILE%\AppData\Local\Temp\OnboardLogs"\RTDC4025\2017-03-21 --exclude "*" --recursive --include "*20170321*" &amp; "%USERPROFILE%\Documents\GitHub\mrs-test-scripts\Headless Mode &amp; Sideloading\WalkAndUnGZ.bat" "%USERPROFILE%\AppData\Local\Temp\OnboardLogs"\RTDC4025\2017-03-21</v>
      </c>
      <c r="AF85" s="82" t="str">
        <f t="shared" si="37"/>
        <v>"C:\Program Files (x86)\AstroGrep\AstroGrep.exe" /e /r /s /spath="%USERPROFILE%\AppData\Local\Temp\OnboardLogs" /stypes="app*4025*20170320*" /stext=" 19:.+((SYSTEM_STATE.+slice.+state.+changed )|(ment ac)|(multiple cpu faults)|(system.+state.+changed )|(\[timeout)|(PRM\|1\|D)|(kpr)|(kdp)|(\|lc)|(penalty))"</v>
      </c>
      <c r="AG85" s="1" t="str">
        <f t="shared" si="38"/>
        <v>EC</v>
      </c>
      <c r="AH85" s="86" t="str">
        <f t="shared" si="39"/>
        <v>"%USERPROFILE%\Documents\GitHub\eaglep3\Utilities\RefineRTDCRunTimes.py" --tripid 173-20 --locoid 4025 --swversion DE.1.0.9.0 --startMP 204:444 --initTime 2017-03-20T12:43:48 --startdatetime 2017-03-20T12:45:59 --delay 1 --endMP 204:233307 --enddatetime 2017-03-20T13:23:06 --enforcementcount 0 &gt;&gt;C:\Users\stu\Documents\GitHub\eaglep3-reporting\EC\2017-03-20-refined-times.txt</v>
      </c>
      <c r="AI85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{"issue":{"subject":"","project_id":79,"tracker_id":40,"status_id":1,"priority_id":2,"assigned_to_id":23,"start_date":"2017-03-20","description":"","custom_fields":[{"id":1,"name":"Subdivision","value":"EC"},{"id":4,"name":"Milepost","value":"23.3307"},{"id":17,"name":"Train ID","value":"173-20"},{"id":16,"name":"Locomotive ID","value":"4025"},{"id":130,"name":"Impact","value":""},{"id":150,"name":"Time of Event (Mountain Time)","value":"13:23:06"},{"id":151,"name":"Denver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41"/>
        <v>start /low /b %USERPROFILE%\Documents\GitHub\eaglep3\Utilities\DownloadLogsFromS3.py --loco 4025 --day 2017-03-20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"%USERPROFILE%\AppData\Local\Temp\OnboardLogs"\RTDC4025\*4025*20170320* | grep -SE "(Enforcement Action)|(\[TIMEOUT)|(CHR.+\|PRM\|1\|D.+(SWITCH|SIGNAL).+UNKNOWN)" - &gt;&gt; 2017-03-20-UncaughtWiMAX.txt</v>
      </c>
    </row>
    <row r="86" spans="1:91" s="20" customFormat="1" x14ac:dyDescent="0.25">
      <c r="A86" s="33" t="s">
        <v>748</v>
      </c>
      <c r="B86" s="7">
        <v>4026</v>
      </c>
      <c r="C86" s="21" t="s">
        <v>222</v>
      </c>
      <c r="D86" s="21" t="s">
        <v>843</v>
      </c>
      <c r="E86" s="13">
        <v>42814.566759259258</v>
      </c>
      <c r="F86" s="13">
        <v>42814.570370370369</v>
      </c>
      <c r="G86" s="7">
        <v>1</v>
      </c>
      <c r="H86" s="21" t="s">
        <v>417</v>
      </c>
      <c r="I86" s="13">
        <v>42814.601388888892</v>
      </c>
      <c r="J86" s="7">
        <v>0</v>
      </c>
      <c r="K86" s="98" t="str">
        <f t="shared" si="25"/>
        <v>4025/4026</v>
      </c>
      <c r="L86" s="21" t="str">
        <f>VLOOKUP(A86,'Trips&amp;Operators'!$C$1:$G$99999,5,FALSE)</f>
        <v>STEWART MICHAEL</v>
      </c>
      <c r="M86" s="6">
        <f t="shared" si="26"/>
        <v>3.1018518522614613E-2</v>
      </c>
      <c r="N86" s="7">
        <f t="shared" si="42"/>
        <v>44.666666672565043</v>
      </c>
      <c r="O86" s="7"/>
      <c r="P86" s="7"/>
      <c r="Q86" s="22"/>
      <c r="R86" s="22"/>
      <c r="S86" s="31">
        <f t="shared" si="27"/>
        <v>1</v>
      </c>
      <c r="T86" s="46" t="str">
        <f t="shared" si="28"/>
        <v>Southbound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29"/>
        <v>https://d0f6bd738d7f1b3e5a7ca70fe4ff75f0.us-east-1.aws.found.io/app/kibana#/discover/Steve-Slow-Train-Analysis-(2080s-and-2083s)?_g=(refreshInterval:(display:Off,pause:!f,section:0,value:0),time:(from:'2017-03-20T12:36:08-0600',mode:absolute,to:'2017-03-20T15:26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6" s="187" t="str">
        <f t="shared" si="30"/>
        <v>N</v>
      </c>
      <c r="X86" s="187">
        <f t="shared" si="31"/>
        <v>1</v>
      </c>
      <c r="Y86" s="62">
        <f t="shared" si="32"/>
        <v>23.297699999999999</v>
      </c>
      <c r="Z86" s="62">
        <f t="shared" si="33"/>
        <v>1.43E-2</v>
      </c>
      <c r="AA86" s="62">
        <f t="shared" si="34"/>
        <v>23.2834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5"/>
        <v>0174-20</v>
      </c>
      <c r="AE86" s="85" t="str">
        <f t="shared" si="36"/>
        <v>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 &amp; 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</v>
      </c>
      <c r="AF86" s="82" t="str">
        <f t="shared" si="37"/>
        <v>"C:\Program Files (x86)\AstroGrep\AstroGrep.exe" /e /r /s /spath="%USERPROFILE%\AppData\Local\Temp\OnboardLogs" /stypes="app*4026*20170320*" /stext=" 20:.+((SYSTEM_STATE.+slice.+state.+changed )|(ment ac)|(multiple cpu faults)|(system.+state.+changed )|(\[timeout)|(PRM\|1\|D)|(kpr)|(kdp)|(\|lc)|(penalty))"</v>
      </c>
      <c r="AG86" s="1" t="str">
        <f t="shared" si="38"/>
        <v>EC</v>
      </c>
      <c r="AH86" s="86" t="str">
        <f t="shared" si="39"/>
        <v>"%USERPROFILE%\Documents\GitHub\eaglep3\Utilities\RefineRTDCRunTimes.py" --tripid 174-20 --locoid 4026 --swversion DE.1.0.9.0 --startMP 204:232977 --initTime 2017-03-20T13:36:08 --startdatetime 2017-03-20T13:41:20 --delay 1 --endMP 204:143 --enddatetime 2017-03-20T14:26:00 --enforcementcount 0 &gt;&gt;C:\Users\stu\Documents\GitHub\eaglep3-reporting\EC\2017-03-20-refined-times.txt</v>
      </c>
      <c r="AI86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{"issue":{"subject":"","project_id":79,"tracker_id":40,"status_id":1,"priority_id":2,"assigned_to_id":23,"start_date":"2017-03-20","description":"","custom_fields":[{"id":1,"name":"Subdivision","value":"EC"},{"id":4,"name":"Milepost","value":"0.0143"},{"id":17,"name":"Train ID","value":"174-20"},{"id":16,"name":"Locomotive ID","value":"4026"},{"id":130,"name":"Impact","value":""},{"id":150,"name":"Time of Event (Mountain Time)","value":"14:26:00"},{"id":151,"name":"Denver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41"/>
        <v>start /low /b %USERPROFILE%\Documents\GitHub\eaglep3\Utilities\DownloadLogsFromS3.py --loco 4026 --day 2017-03-20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"%USERPROFILE%\AppData\Local\Temp\OnboardLogs"\RTDC4026\*4026*20170320* | grep -SE "(Enforcement Action)|(\[TIMEOUT)|(CHR.+\|PRM\|1\|D.+(SWITCH|SIGNAL).+UNKNOWN)" - &gt;&gt; 2017-03-20-UncaughtWiMAX.txt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740</v>
      </c>
      <c r="B87" s="7">
        <v>4027</v>
      </c>
      <c r="C87" s="21" t="s">
        <v>222</v>
      </c>
      <c r="D87" s="21" t="s">
        <v>209</v>
      </c>
      <c r="E87" s="13">
        <v>42814.54115740741</v>
      </c>
      <c r="F87" s="13">
        <v>42814.542708333334</v>
      </c>
      <c r="G87" s="7">
        <v>1</v>
      </c>
      <c r="H87" s="21" t="s">
        <v>864</v>
      </c>
      <c r="I87" s="13">
        <v>42814.57439814815</v>
      </c>
      <c r="J87" s="7">
        <v>0</v>
      </c>
      <c r="K87" s="98" t="str">
        <f t="shared" si="25"/>
        <v>4027/4028</v>
      </c>
      <c r="L87" s="21" t="str">
        <f>VLOOKUP(A87,'Trips&amp;Operators'!$C$1:$G$99999,5,FALSE)</f>
        <v>DAVIS MICHAEL</v>
      </c>
      <c r="M87" s="6">
        <f t="shared" si="26"/>
        <v>3.1689814815763384E-2</v>
      </c>
      <c r="N87" s="7">
        <f t="shared" si="42"/>
        <v>45.633333334699273</v>
      </c>
      <c r="O87" s="7"/>
      <c r="P87" s="7"/>
      <c r="Q87" s="22"/>
      <c r="R87" s="22"/>
      <c r="S87" s="31">
        <f t="shared" si="27"/>
        <v>1</v>
      </c>
      <c r="T87" s="46" t="str">
        <f t="shared" si="28"/>
        <v>NorthBound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29"/>
        <v>https://d0f6bd738d7f1b3e5a7ca70fe4ff75f0.us-east-1.aws.found.io/app/kibana#/discover/Steve-Slow-Train-Analysis-(2080s-and-2083s)?_g=(refreshInterval:(display:Off,pause:!f,section:0,value:0),time:(from:'2017-03-20T11:59:16-0600',mode:absolute,to:'2017-03-20T14:47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7" s="187" t="str">
        <f t="shared" si="30"/>
        <v>N</v>
      </c>
      <c r="X87" s="187">
        <f t="shared" si="31"/>
        <v>1</v>
      </c>
      <c r="Y87" s="62">
        <f t="shared" si="32"/>
        <v>4.5999999999999999E-2</v>
      </c>
      <c r="Z87" s="62">
        <f t="shared" si="33"/>
        <v>23.332899999999999</v>
      </c>
      <c r="AA87" s="62">
        <f t="shared" si="34"/>
        <v>23.286899999999999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5"/>
        <v>0175-20</v>
      </c>
      <c r="AE87" s="85" t="str">
        <f t="shared" si="36"/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AF87" s="82" t="str">
        <f t="shared" si="37"/>
        <v>"C:\Program Files (x86)\AstroGrep\AstroGrep.exe" /e /r /s /spath="%USERPROFILE%\AppData\Local\Temp\OnboardLogs" /stypes="app*4027*20170320*" /stext=" 19:.+((SYSTEM_STATE.+slice.+state.+changed )|(ment ac)|(multiple cpu faults)|(system.+state.+changed )|(\[timeout)|(PRM\|1\|D)|(kpr)|(kdp)|(\|lc)|(penalty))"</v>
      </c>
      <c r="AG87" s="1" t="str">
        <f t="shared" si="38"/>
        <v>EC</v>
      </c>
      <c r="AH87" s="86" t="str">
        <f t="shared" si="39"/>
        <v>"%USERPROFILE%\Documents\GitHub\eaglep3\Utilities\RefineRTDCRunTimes.py" --tripid 175-20 --locoid 4027 --swversion DE.1.0.9.0 --startMP 204:460 --initTime 2017-03-20T12:59:16 --startdatetime 2017-03-20T13:01:30 --delay 1 --endMP 204:233329 --enddatetime 2017-03-20T13:47:08 --enforcementcount 0 &gt;&gt;C:\Users\stu\Documents\GitHub\eaglep3-reporting\EC\2017-03-20-refined-times.txt</v>
      </c>
      <c r="AI87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{"issue":{"subject":"","project_id":79,"tracker_id":40,"status_id":1,"priority_id":2,"assigned_to_id":23,"start_date":"2017-03-20","description":"","custom_fields":[{"id":1,"name":"Subdivision","value":"EC"},{"id":4,"name":"Milepost","value":"23.3329"},{"id":17,"name":"Train ID","value":"175-20"},{"id":16,"name":"Locomotive ID","value":"4027"},{"id":130,"name":"Impact","value":""},{"id":150,"name":"Time of Event (Mountain Time)","value":"13:47:08"},{"id":151,"name":"Denver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41"/>
        <v>start /low /b %USERPROFILE%\Documents\GitHub\eaglep3\Utilities\DownloadLogsFromS3.py --loco 4027 --day 2017-03-20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"%USERPROFILE%\AppData\Local\Temp\OnboardLogs"\RTDC4027\*4027*20170320* | grep -SE "(Enforcement Action)|(\[TIMEOUT)|(CHR.+\|PRM\|1\|D.+(SWITCH|SIGNAL).+UNKNOWN)" - &gt;&gt; 2017-03-20-UncaughtWiMAX.txt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749</v>
      </c>
      <c r="B88" s="7">
        <v>4028</v>
      </c>
      <c r="C88" s="21" t="s">
        <v>222</v>
      </c>
      <c r="D88" s="21" t="s">
        <v>510</v>
      </c>
      <c r="E88" s="13">
        <v>42814.579664351855</v>
      </c>
      <c r="F88" s="13">
        <v>42814.581273148149</v>
      </c>
      <c r="G88" s="7">
        <v>1</v>
      </c>
      <c r="H88" s="21" t="s">
        <v>865</v>
      </c>
      <c r="I88" s="13">
        <v>42814.610972222225</v>
      </c>
      <c r="J88" s="7">
        <v>0</v>
      </c>
      <c r="K88" s="98" t="str">
        <f t="shared" si="25"/>
        <v>4027/4028</v>
      </c>
      <c r="L88" s="21" t="str">
        <f>VLOOKUP(A88,'Trips&amp;Operators'!$C$1:$G$99999,5,FALSE)</f>
        <v>DAVIS MICHAEL</v>
      </c>
      <c r="M88" s="6">
        <f t="shared" si="26"/>
        <v>2.9699074075324461E-2</v>
      </c>
      <c r="N88" s="7">
        <f t="shared" si="42"/>
        <v>42.766666668467224</v>
      </c>
      <c r="O88" s="7"/>
      <c r="P88" s="7"/>
      <c r="Q88" s="22"/>
      <c r="R88" s="22"/>
      <c r="S88" s="31">
        <f t="shared" si="27"/>
        <v>1</v>
      </c>
      <c r="T88" s="46" t="str">
        <f t="shared" si="28"/>
        <v>Southbound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29"/>
        <v>https://d0f6bd738d7f1b3e5a7ca70fe4ff75f0.us-east-1.aws.found.io/app/kibana#/discover/Steve-Slow-Train-Analysis-(2080s-and-2083s)?_g=(refreshInterval:(display:Off,pause:!f,section:0,value:0),time:(from:'2017-03-20T12:54:43-0600',mode:absolute,to:'2017-03-20T15:39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8" s="187" t="str">
        <f t="shared" si="30"/>
        <v>N</v>
      </c>
      <c r="X88" s="187">
        <f t="shared" si="31"/>
        <v>1</v>
      </c>
      <c r="Y88" s="62">
        <f t="shared" si="32"/>
        <v>23.2989</v>
      </c>
      <c r="Z88" s="62">
        <f t="shared" si="33"/>
        <v>1.09E-2</v>
      </c>
      <c r="AA88" s="62">
        <f t="shared" si="34"/>
        <v>23.288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5"/>
        <v>0176-20</v>
      </c>
      <c r="AE88" s="85" t="str">
        <f t="shared" si="36"/>
        <v>aws s3 cp s3://rtdc.mdm.uploadarchive.raw/RTDC4028/ "%USERPROFILE%\AppData\Local\Temp\OnboardLogs"\RTDC4028\2017-03-20 --exclude "*" --recursive --include "*20170320*" &amp; "%USERPROFILE%\Documents\GitHub\mrs-test-scripts\Headless Mode &amp; Sideloading\WalkAndUnGZ.bat" "%USERPROFILE%\AppData\Local\Temp\OnboardLogs"\RTDC4028\2017-03-20 &amp; aws s3 cp s3://rtdc.mdm.uploadarchive.raw/RTDC4028/ "%USERPROFILE%\AppData\Local\Temp\OnboardLogs"\RTDC4028\2017-03-21 --exclude "*" --recursive --include "*20170321*" &amp; "%USERPROFILE%\Documents\GitHub\mrs-test-scripts\Headless Mode &amp; Sideloading\WalkAndUnGZ.bat" "%USERPROFILE%\AppData\Local\Temp\OnboardLogs"\RTDC4028\2017-03-21</v>
      </c>
      <c r="AF88" s="82" t="str">
        <f t="shared" si="37"/>
        <v>"C:\Program Files (x86)\AstroGrep\AstroGrep.exe" /e /r /s /spath="%USERPROFILE%\AppData\Local\Temp\OnboardLogs" /stypes="app*4028*20170320*" /stext=" 20:.+((SYSTEM_STATE.+slice.+state.+changed )|(ment ac)|(multiple cpu faults)|(system.+state.+changed )|(\[timeout)|(PRM\|1\|D)|(kpr)|(kdp)|(\|lc)|(penalty))"</v>
      </c>
      <c r="AG88" s="1" t="str">
        <f t="shared" si="38"/>
        <v>EC</v>
      </c>
      <c r="AH88" s="86" t="str">
        <f t="shared" si="39"/>
        <v>"%USERPROFILE%\Documents\GitHub\eaglep3\Utilities\RefineRTDCRunTimes.py" --tripid 176-20 --locoid 4028 --swversion DE.1.0.9.0 --startMP 204:232989 --initTime 2017-03-20T13:54:43 --startdatetime 2017-03-20T13:57:02 --delay 1 --endMP 204:109 --enddatetime 2017-03-20T14:39:48 --enforcementcount 0 &gt;&gt;C:\Users\stu\Documents\GitHub\eaglep3-reporting\EC\2017-03-20-refined-times.txt</v>
      </c>
      <c r="AI88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{"issue":{"subject":"","project_id":79,"tracker_id":40,"status_id":1,"priority_id":2,"assigned_to_id":23,"start_date":"2017-03-20","description":"","custom_fields":[{"id":1,"name":"Subdivision","value":"EC"},{"id":4,"name":"Milepost","value":"0.0109"},{"id":17,"name":"Train ID","value":"176-20"},{"id":16,"name":"Locomotive ID","value":"4028"},{"id":130,"name":"Impact","value":""},{"id":150,"name":"Time of Event (Mountain Time)","value":"14:39:48"},{"id":151,"name":"Denver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41"/>
        <v>start /low /b %USERPROFILE%\Documents\GitHub\eaglep3\Utilities\DownloadLogsFromS3.py --loco 4028 --day 2017-03-20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"%USERPROFILE%\AppData\Local\Temp\OnboardLogs"\RTDC4028\*4028*20170320* | grep -SE "(Enforcement Action)|(\[TIMEOUT)|(CHR.+\|PRM\|1\|D.+(SWITCH|SIGNAL).+UNKNOWN)" - &gt;&gt; 2017-03-20-UncaughtWiMAX.txt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 s="33" t="s">
        <v>745</v>
      </c>
      <c r="B89" s="7">
        <v>4003</v>
      </c>
      <c r="C89" s="21" t="s">
        <v>222</v>
      </c>
      <c r="D89" s="21" t="s">
        <v>866</v>
      </c>
      <c r="E89" s="13">
        <v>42814.551574074074</v>
      </c>
      <c r="F89" s="13">
        <v>42814.55327546296</v>
      </c>
      <c r="G89" s="7">
        <v>1</v>
      </c>
      <c r="H89" s="21" t="s">
        <v>867</v>
      </c>
      <c r="I89" s="13">
        <v>42814.581226851849</v>
      </c>
      <c r="J89" s="7">
        <v>0</v>
      </c>
      <c r="K89" s="98" t="str">
        <f t="shared" si="25"/>
        <v>4003/4004</v>
      </c>
      <c r="L89" s="21" t="str">
        <f>VLOOKUP(A89,'Trips&amp;Operators'!$C$1:$G$99999,5,FALSE)</f>
        <v>CLARK KATHLEEN</v>
      </c>
      <c r="M89" s="6">
        <f t="shared" si="26"/>
        <v>2.7951388889050577E-2</v>
      </c>
      <c r="N89" s="7">
        <f t="shared" si="42"/>
        <v>40.250000000232831</v>
      </c>
      <c r="O89" s="7"/>
      <c r="P89" s="7"/>
      <c r="Q89" s="22"/>
      <c r="R89" s="22"/>
      <c r="S89" s="31">
        <f t="shared" si="27"/>
        <v>1</v>
      </c>
      <c r="T89" s="46" t="str">
        <f t="shared" si="28"/>
        <v>NorthBound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29"/>
        <v>https://d0f6bd738d7f1b3e5a7ca70fe4ff75f0.us-east-1.aws.found.io/app/kibana#/discover/Steve-Slow-Train-Analysis-(2080s-and-2083s)?_g=(refreshInterval:(display:Off,pause:!f,section:0,value:0),time:(from:'2017-03-20T12:14:16-0600',mode:absolute,to:'2017-03-20T14:56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9" s="187" t="str">
        <f t="shared" si="30"/>
        <v>N</v>
      </c>
      <c r="X89" s="187">
        <f t="shared" si="31"/>
        <v>1</v>
      </c>
      <c r="Y89" s="62">
        <f t="shared" si="32"/>
        <v>4.9099999999999998E-2</v>
      </c>
      <c r="Z89" s="62">
        <f t="shared" si="33"/>
        <v>23.3264</v>
      </c>
      <c r="AA89" s="62">
        <f t="shared" si="34"/>
        <v>23.2773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5"/>
        <v>0177-20</v>
      </c>
      <c r="AE89" s="85" t="str">
        <f t="shared" si="36"/>
        <v>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 &amp; 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</v>
      </c>
      <c r="AF89" s="82" t="str">
        <f t="shared" si="37"/>
        <v>"C:\Program Files (x86)\AstroGrep\AstroGrep.exe" /e /r /s /spath="%USERPROFILE%\AppData\Local\Temp\OnboardLogs" /stypes="app*4003*20170320*" /stext=" 19:.+((SYSTEM_STATE.+slice.+state.+changed )|(ment ac)|(multiple cpu faults)|(system.+state.+changed )|(\[timeout)|(PRM\|1\|D)|(kpr)|(kdp)|(\|lc)|(penalty))"</v>
      </c>
      <c r="AG89" s="1" t="str">
        <f t="shared" si="38"/>
        <v>EC</v>
      </c>
      <c r="AH89" s="86" t="str">
        <f t="shared" si="39"/>
        <v>"%USERPROFILE%\Documents\GitHub\eaglep3\Utilities\RefineRTDCRunTimes.py" --tripid 177-20 --locoid 4003 --swversion DE.1.0.9.0 --startMP 204:491 --initTime 2017-03-20T13:14:16 --startdatetime 2017-03-20T13:16:43 --delay 1 --endMP 204:233264 --enddatetime 2017-03-20T13:56:58 --enforcementcount 0 &gt;&gt;C:\Users\stu\Documents\GitHub\eaglep3-reporting\EC\2017-03-20-refined-times.txt</v>
      </c>
      <c r="AI89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{"issue":{"subject":"","project_id":79,"tracker_id":40,"status_id":1,"priority_id":2,"assigned_to_id":23,"start_date":"2017-03-20","description":"","custom_fields":[{"id":1,"name":"Subdivision","value":"EC"},{"id":4,"name":"Milepost","value":"23.3264"},{"id":17,"name":"Train ID","value":"177-20"},{"id":16,"name":"Locomotive ID","value":"4003"},{"id":130,"name":"Impact","value":""},{"id":150,"name":"Time of Event (Mountain Time)","value":"13:56:58"},{"id":151,"name":"Denver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41"/>
        <v>start /low /b %USERPROFILE%\Documents\GitHub\eaglep3\Utilities\DownloadLogsFromS3.py --loco 4003 --day 2017-03-20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"%USERPROFILE%\AppData\Local\Temp\OnboardLogs"\RTDC4003\*4003*20170320* | grep -SE "(Enforcement Action)|(\[TIMEOUT)|(CHR.+\|PRM\|1\|D.+(SWITCH|SIGNAL).+UNKNOWN)" - &gt;&gt; 2017-03-20-UncaughtWiMAX.txt</v>
      </c>
    </row>
    <row r="90" spans="1:91" s="20" customFormat="1" x14ac:dyDescent="0.25">
      <c r="A90" s="33" t="s">
        <v>751</v>
      </c>
      <c r="B90" s="7">
        <v>4004</v>
      </c>
      <c r="C90" s="21" t="s">
        <v>222</v>
      </c>
      <c r="D90" s="21" t="s">
        <v>868</v>
      </c>
      <c r="E90" s="13">
        <v>42814.587569444448</v>
      </c>
      <c r="F90" s="13">
        <v>42814.591435185182</v>
      </c>
      <c r="G90" s="7">
        <v>1</v>
      </c>
      <c r="H90" s="21" t="s">
        <v>450</v>
      </c>
      <c r="I90" s="13">
        <v>42814.622893518521</v>
      </c>
      <c r="J90" s="7">
        <v>0</v>
      </c>
      <c r="K90" s="98" t="str">
        <f t="shared" si="25"/>
        <v>4003/4004</v>
      </c>
      <c r="L90" s="21" t="str">
        <f>VLOOKUP(A90,'Trips&amp;Operators'!$C$1:$G$99999,5,FALSE)</f>
        <v>CLARK KATHLEEN</v>
      </c>
      <c r="M90" s="6">
        <f t="shared" si="26"/>
        <v>3.1458333338377997E-2</v>
      </c>
      <c r="N90" s="7">
        <f t="shared" si="42"/>
        <v>45.300000007264316</v>
      </c>
      <c r="O90" s="7"/>
      <c r="P90" s="7"/>
      <c r="Q90" s="22"/>
      <c r="R90" s="22"/>
      <c r="S90" s="31">
        <f t="shared" si="27"/>
        <v>1</v>
      </c>
      <c r="T90" s="46" t="str">
        <f t="shared" si="28"/>
        <v>Southbound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29"/>
        <v>https://d0f6bd738d7f1b3e5a7ca70fe4ff75f0.us-east-1.aws.found.io/app/kibana#/discover/Steve-Slow-Train-Analysis-(2080s-and-2083s)?_g=(refreshInterval:(display:Off,pause:!f,section:0,value:0),time:(from:'2017-03-20T13:06:06-0600',mode:absolute,to:'2017-03-20T15:56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0" s="187" t="str">
        <f t="shared" si="30"/>
        <v>N</v>
      </c>
      <c r="X90" s="187">
        <f t="shared" si="31"/>
        <v>1</v>
      </c>
      <c r="Y90" s="62">
        <f t="shared" si="32"/>
        <v>23.2942</v>
      </c>
      <c r="Z90" s="62">
        <f t="shared" si="33"/>
        <v>1.6E-2</v>
      </c>
      <c r="AA90" s="62">
        <f t="shared" si="34"/>
        <v>23.278200000000002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5"/>
        <v>0178-20</v>
      </c>
      <c r="AE90" s="85" t="str">
        <f t="shared" si="36"/>
        <v>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 &amp; aws s3 cp s3://rtdc.mdm.uploadarchive.raw/RTDC4004/ "%USERPROFILE%\AppData\Local\Temp\OnboardLogs"\RTDC4004\2017-03-21 --exclude "*" --recursive --include "*20170321*" &amp; "%USERPROFILE%\Documents\GitHub\mrs-test-scripts\Headless Mode &amp; Sideloading\WalkAndUnGZ.bat" "%USERPROFILE%\AppData\Local\Temp\OnboardLogs"\RTDC4004\2017-03-21</v>
      </c>
      <c r="AF90" s="82" t="str">
        <f t="shared" si="37"/>
        <v>"C:\Program Files (x86)\AstroGrep\AstroGrep.exe" /e /r /s /spath="%USERPROFILE%\AppData\Local\Temp\OnboardLogs" /stypes="app*4004*20170320*" /stext=" 20:.+((SYSTEM_STATE.+slice.+state.+changed )|(ment ac)|(multiple cpu faults)|(system.+state.+changed )|(\[timeout)|(PRM\|1\|D)|(kpr)|(kdp)|(\|lc)|(penalty))"</v>
      </c>
      <c r="AG90" s="1" t="str">
        <f t="shared" si="38"/>
        <v>EC</v>
      </c>
      <c r="AH90" s="86" t="str">
        <f t="shared" si="39"/>
        <v>"%USERPROFILE%\Documents\GitHub\eaglep3\Utilities\RefineRTDCRunTimes.py" --tripid 178-20 --locoid 4004 --swversion DE.1.0.9.0 --startMP 204:232942 --initTime 2017-03-20T14:06:06 --startdatetime 2017-03-20T14:11:40 --delay 1 --endMP 204:160 --enddatetime 2017-03-20T14:56:58 --enforcementcount 0 &gt;&gt;C:\Users\stu\Documents\GitHub\eaglep3-reporting\EC\2017-03-20-refined-times.txt</v>
      </c>
      <c r="AI90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{"issue":{"subject":"","project_id":79,"tracker_id":40,"status_id":1,"priority_id":2,"assigned_to_id":23,"start_date":"2017-03-20","description":"","custom_fields":[{"id":1,"name":"Subdivision","value":"EC"},{"id":4,"name":"Milepost","value":"0.016"},{"id":17,"name":"Train ID","value":"178-20"},{"id":16,"name":"Locomotive ID","value":"4004"},{"id":130,"name":"Impact","value":""},{"id":150,"name":"Time of Event (Mountain Time)","value":"14:56:58"},{"id":151,"name":"Denver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41"/>
        <v>start /low /b %USERPROFILE%\Documents\GitHub\eaglep3\Utilities\DownloadLogsFromS3.py --loco 4004 --day 2017-03-20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"%USERPROFILE%\AppData\Local\Temp\OnboardLogs"\RTDC4004\*4004*20170320* | grep -SE "(Enforcement Action)|(\[TIMEOUT)|(CHR.+\|PRM\|1\|D.+(SWITCH|SIGNAL).+UNKNOWN)" - &gt;&gt; 2017-03-20-UncaughtWiMAX.txt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747</v>
      </c>
      <c r="B91" s="7">
        <v>4042</v>
      </c>
      <c r="C91" s="21" t="s">
        <v>222</v>
      </c>
      <c r="D91" s="21" t="s">
        <v>406</v>
      </c>
      <c r="E91" s="13">
        <v>42814.559918981482</v>
      </c>
      <c r="F91" s="13">
        <v>42814.562777777777</v>
      </c>
      <c r="G91" s="7">
        <v>1</v>
      </c>
      <c r="H91" s="21" t="s">
        <v>869</v>
      </c>
      <c r="I91" s="13">
        <v>42814.589004629626</v>
      </c>
      <c r="J91" s="7">
        <v>0</v>
      </c>
      <c r="K91" s="98" t="str">
        <f t="shared" si="25"/>
        <v>4041/4042</v>
      </c>
      <c r="L91" s="21" t="str">
        <f>VLOOKUP(A91,'Trips&amp;Operators'!$C$1:$G$99999,5,FALSE)</f>
        <v>LALONDE GREGORY</v>
      </c>
      <c r="M91" s="6">
        <f t="shared" si="26"/>
        <v>2.622685184906004E-2</v>
      </c>
      <c r="N91" s="7">
        <f t="shared" si="42"/>
        <v>37.766666662646458</v>
      </c>
      <c r="O91" s="7"/>
      <c r="P91" s="7"/>
      <c r="Q91" s="22"/>
      <c r="R91" s="22"/>
      <c r="S91" s="31">
        <f t="shared" si="27"/>
        <v>1</v>
      </c>
      <c r="T91" s="46" t="str">
        <f t="shared" si="28"/>
        <v>NorthBound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29"/>
        <v>https://d0f6bd738d7f1b3e5a7ca70fe4ff75f0.us-east-1.aws.found.io/app/kibana#/discover/Steve-Slow-Train-Analysis-(2080s-and-2083s)?_g=(refreshInterval:(display:Off,pause:!f,section:0,value:0),time:(from:'2017-03-20T12:26:17-0600',mode:absolute,to:'2017-03-20T15:08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1" s="187" t="str">
        <f t="shared" si="30"/>
        <v>N</v>
      </c>
      <c r="X91" s="187">
        <f t="shared" si="31"/>
        <v>1</v>
      </c>
      <c r="Y91" s="62">
        <f t="shared" si="32"/>
        <v>4.7100000000000003E-2</v>
      </c>
      <c r="Z91" s="62">
        <f t="shared" si="33"/>
        <v>23.3383</v>
      </c>
      <c r="AA91" s="62">
        <f t="shared" si="34"/>
        <v>23.2912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5"/>
        <v>0179-20</v>
      </c>
      <c r="AE91" s="85" t="str">
        <f t="shared" si="36"/>
        <v>aws s3 cp s3://rtdc.mdm.uploadarchive.raw/RTDC4042/ "%USERPROFILE%\AppData\Local\Temp\OnboardLogs"\RTDC4042\2017-03-20 --exclude "*" --recursive --include "*20170320*" &amp; "%USERPROFILE%\Documents\GitHub\mrs-test-scripts\Headless Mode &amp; Sideloading\WalkAndUnGZ.bat" "%USERPROFILE%\AppData\Local\Temp\OnboardLogs"\RTDC4042\2017-03-20 &amp; aws s3 cp s3://rtdc.mdm.uploadarchive.raw/RTDC4042/ "%USERPROFILE%\AppData\Local\Temp\OnboardLogs"\RTDC4042\2017-03-21 --exclude "*" --recursive --include "*20170321*" &amp; "%USERPROFILE%\Documents\GitHub\mrs-test-scripts\Headless Mode &amp; Sideloading\WalkAndUnGZ.bat" "%USERPROFILE%\AppData\Local\Temp\OnboardLogs"\RTDC4042\2017-03-21</v>
      </c>
      <c r="AF91" s="82" t="str">
        <f t="shared" si="37"/>
        <v>"C:\Program Files (x86)\AstroGrep\AstroGrep.exe" /e /r /s /spath="%USERPROFILE%\AppData\Local\Temp\OnboardLogs" /stypes="app*4042*20170320*" /stext=" 20:.+((SYSTEM_STATE.+slice.+state.+changed )|(ment ac)|(multiple cpu faults)|(system.+state.+changed )|(\[timeout)|(PRM\|1\|D)|(kpr)|(kdp)|(\|lc)|(penalty))"</v>
      </c>
      <c r="AG91" s="1" t="str">
        <f t="shared" si="38"/>
        <v>EC</v>
      </c>
      <c r="AH91" s="86" t="str">
        <f t="shared" si="39"/>
        <v>"%USERPROFILE%\Documents\GitHub\eaglep3\Utilities\RefineRTDCRunTimes.py" --tripid 179-20 --locoid 4042 --swversion DE.1.0.9.0 --startMP 204:471 --initTime 2017-03-20T13:26:17 --startdatetime 2017-03-20T13:30:24 --delay 1 --endMP 204:233383 --enddatetime 2017-03-20T14:08:10 --enforcementcount 0 &gt;&gt;C:\Users\stu\Documents\GitHub\eaglep3-reporting\EC\2017-03-20-refined-times.txt</v>
      </c>
      <c r="AI91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{"issue":{"subject":"","project_id":79,"tracker_id":40,"status_id":1,"priority_id":2,"assigned_to_id":23,"start_date":"2017-03-20","description":"","custom_fields":[{"id":1,"name":"Subdivision","value":"EC"},{"id":4,"name":"Milepost","value":"23.3383"},{"id":17,"name":"Train ID","value":"179-20"},{"id":16,"name":"Locomotive ID","value":"4042"},{"id":130,"name":"Impact","value":""},{"id":150,"name":"Time of Event (Mountain Time)","value":"14:08:10"},{"id":151,"name":"Denver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41"/>
        <v>start /low /b %USERPROFILE%\Documents\GitHub\eaglep3\Utilities\DownloadLogsFromS3.py --loco 4042 --day 2017-03-20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"%USERPROFILE%\AppData\Local\Temp\OnboardLogs"\RTDC4042\*4042*20170320* | grep -SE "(Enforcement Action)|(\[TIMEOUT)|(CHR.+\|PRM\|1\|D.+(SWITCH|SIGNAL).+UNKNOWN)" - &gt;&gt; 2017-03-20-UncaughtWiMAX.txt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754</v>
      </c>
      <c r="B92" s="7">
        <v>4041</v>
      </c>
      <c r="C92" s="21" t="s">
        <v>222</v>
      </c>
      <c r="D92" s="21" t="s">
        <v>870</v>
      </c>
      <c r="E92" s="13">
        <v>42814.594039351854</v>
      </c>
      <c r="F92" s="13">
        <v>42814.601550925923</v>
      </c>
      <c r="G92" s="7">
        <v>1</v>
      </c>
      <c r="H92" s="21" t="s">
        <v>557</v>
      </c>
      <c r="I92" s="13">
        <v>42814.628460648149</v>
      </c>
      <c r="J92" s="7">
        <v>0</v>
      </c>
      <c r="K92" s="98" t="str">
        <f t="shared" si="25"/>
        <v>4041/4042</v>
      </c>
      <c r="L92" s="21" t="str">
        <f>VLOOKUP(A92,'Trips&amp;Operators'!$C$1:$G$99999,5,FALSE)</f>
        <v>LALONDE GREGORY</v>
      </c>
      <c r="M92" s="6">
        <f t="shared" si="26"/>
        <v>2.6909722226264421E-2</v>
      </c>
      <c r="N92" s="7">
        <f t="shared" si="42"/>
        <v>38.750000005820766</v>
      </c>
      <c r="O92" s="7"/>
      <c r="P92" s="7"/>
      <c r="Q92" s="22"/>
      <c r="R92" s="22"/>
      <c r="S92" s="31">
        <f t="shared" si="27"/>
        <v>1</v>
      </c>
      <c r="T92" s="46" t="str">
        <f t="shared" si="28"/>
        <v>Southbound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29"/>
        <v>https://d0f6bd738d7f1b3e5a7ca70fe4ff75f0.us-east-1.aws.found.io/app/kibana#/discover/Steve-Slow-Train-Analysis-(2080s-and-2083s)?_g=(refreshInterval:(display:Off,pause:!f,section:0,value:0),time:(from:'2017-03-20T13:15:25-0600',mode:absolute,to:'2017-03-20T16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2" s="187" t="str">
        <f t="shared" si="30"/>
        <v>N</v>
      </c>
      <c r="X92" s="187">
        <f t="shared" si="31"/>
        <v>1</v>
      </c>
      <c r="Y92" s="62">
        <f t="shared" si="32"/>
        <v>23.308700000000002</v>
      </c>
      <c r="Z92" s="62">
        <f t="shared" si="33"/>
        <v>1.61E-2</v>
      </c>
      <c r="AA92" s="62">
        <f t="shared" si="34"/>
        <v>23.2926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5"/>
        <v>0180-20</v>
      </c>
      <c r="AE92" s="85" t="str">
        <f t="shared" si="36"/>
        <v>aws s3 cp s3://rtdc.mdm.uploadarchive.raw/RTDC4041/ "%USERPROFILE%\AppData\Local\Temp\OnboardLogs"\RTDC4041\2017-03-20 --exclude "*" --recursive --include "*20170320*" &amp; "%USERPROFILE%\Documents\GitHub\mrs-test-scripts\Headless Mode &amp; Sideloading\WalkAndUnGZ.bat" "%USERPROFILE%\AppData\Local\Temp\OnboardLogs"\RTDC4041\2017-03-20 &amp; aws s3 cp s3://rtdc.mdm.uploadarchive.raw/RTDC4041/ "%USERPROFILE%\AppData\Local\Temp\OnboardLogs"\RTDC4041\2017-03-21 --exclude "*" --recursive --include "*20170321*" &amp; "%USERPROFILE%\Documents\GitHub\mrs-test-scripts\Headless Mode &amp; Sideloading\WalkAndUnGZ.bat" "%USERPROFILE%\AppData\Local\Temp\OnboardLogs"\RTDC4041\2017-03-21</v>
      </c>
      <c r="AF92" s="82" t="str">
        <f t="shared" si="37"/>
        <v>"C:\Program Files (x86)\AstroGrep\AstroGrep.exe" /e /r /s /spath="%USERPROFILE%\AppData\Local\Temp\OnboardLogs" /stypes="app*4041*20170320*" /stext=" 21:.+((SYSTEM_STATE.+slice.+state.+changed )|(ment ac)|(multiple cpu faults)|(system.+state.+changed )|(\[timeout)|(PRM\|1\|D)|(kpr)|(kdp)|(\|lc)|(penalty))"</v>
      </c>
      <c r="AG92" s="1" t="str">
        <f t="shared" si="38"/>
        <v>EC</v>
      </c>
      <c r="AH92" s="86" t="str">
        <f t="shared" si="39"/>
        <v>"%USERPROFILE%\Documents\GitHub\eaglep3\Utilities\RefineRTDCRunTimes.py" --tripid 180-20 --locoid 4041 --swversion DE.1.0.9.0 --startMP 204:233087 --initTime 2017-03-20T14:15:25 --startdatetime 2017-03-20T14:26:14 --delay 1 --endMP 204:161 --enddatetime 2017-03-20T15:04:59 --enforcementcount 0 &gt;&gt;C:\Users\stu\Documents\GitHub\eaglep3-reporting\EC\2017-03-20-refined-times.txt</v>
      </c>
      <c r="AI92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{"issue":{"subject":"","project_id":79,"tracker_id":40,"status_id":1,"priority_id":2,"assigned_to_id":23,"start_date":"2017-03-20","description":"","custom_fields":[{"id":1,"name":"Subdivision","value":"EC"},{"id":4,"name":"Milepost","value":"0.0161"},{"id":17,"name":"Train ID","value":"180-20"},{"id":16,"name":"Locomotive ID","value":"4041"},{"id":130,"name":"Impact","value":""},{"id":150,"name":"Time of Event (Mountain Time)","value":"15:04:59"},{"id":151,"name":"Denver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41"/>
        <v>start /low /b %USERPROFILE%\Documents\GitHub\eaglep3\Utilities\DownloadLogsFromS3.py --loco 4041 --day 2017-03-20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"%USERPROFILE%\AppData\Local\Temp\OnboardLogs"\RTDC4041\*4041*20170320* | grep -SE "(Enforcement Action)|(\[TIMEOUT)|(CHR.+\|PRM\|1\|D.+(SWITCH|SIGNAL).+UNKNOWN)" - &gt;&gt; 2017-03-20-UncaughtWiMAX.txt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625</v>
      </c>
      <c r="B93" s="7">
        <v>4022</v>
      </c>
      <c r="C93" s="21" t="s">
        <v>222</v>
      </c>
      <c r="D93" s="21" t="s">
        <v>591</v>
      </c>
      <c r="E93" s="13">
        <v>42814.570532407408</v>
      </c>
      <c r="F93" s="13">
        <v>42814.573125000003</v>
      </c>
      <c r="G93" s="7">
        <v>1</v>
      </c>
      <c r="H93" s="21" t="s">
        <v>871</v>
      </c>
      <c r="I93" s="13">
        <v>42814.600763888891</v>
      </c>
      <c r="J93" s="7">
        <v>0</v>
      </c>
      <c r="K93" s="98" t="str">
        <f t="shared" si="25"/>
        <v>4021/4022</v>
      </c>
      <c r="L93" s="21" t="str">
        <f>VLOOKUP(A93,'Trips&amp;Operators'!$C$1:$G$99999,5,FALSE)</f>
        <v>LOCKLEAR TRAVIS</v>
      </c>
      <c r="M93" s="6">
        <f t="shared" si="26"/>
        <v>2.7638888888759539E-2</v>
      </c>
      <c r="N93" s="7">
        <f t="shared" si="42"/>
        <v>39.799999999813735</v>
      </c>
      <c r="O93" s="7"/>
      <c r="P93" s="7"/>
      <c r="Q93" s="22"/>
      <c r="R93" s="22"/>
      <c r="S93" s="31">
        <f t="shared" si="27"/>
        <v>1</v>
      </c>
      <c r="T93" s="46" t="str">
        <f t="shared" si="28"/>
        <v>NorthBound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29"/>
        <v>https://d0f6bd738d7f1b3e5a7ca70fe4ff75f0.us-east-1.aws.found.io/app/kibana#/discover/Steve-Slow-Train-Analysis-(2080s-and-2083s)?_g=(refreshInterval:(display:Off,pause:!f,section:0,value:0),time:(from:'2017-03-20T12:41:34-0600',mode:absolute,to:'2017-03-20T15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3" s="187" t="str">
        <f t="shared" si="30"/>
        <v>N</v>
      </c>
      <c r="X93" s="187">
        <f t="shared" si="31"/>
        <v>1</v>
      </c>
      <c r="Y93" s="62">
        <f t="shared" si="32"/>
        <v>4.4200000000000003E-2</v>
      </c>
      <c r="Z93" s="62">
        <f t="shared" si="33"/>
        <v>23.346</v>
      </c>
      <c r="AA93" s="62">
        <f t="shared" si="34"/>
        <v>23.3018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5"/>
        <v>0181-20</v>
      </c>
      <c r="AE93" s="85" t="str">
        <f t="shared" si="36"/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AF93" s="82" t="str">
        <f t="shared" si="37"/>
        <v>"C:\Program Files (x86)\AstroGrep\AstroGrep.exe" /e /r /s /spath="%USERPROFILE%\AppData\Local\Temp\OnboardLogs" /stypes="app*4022*20170320*" /stext=" 20:.+((SYSTEM_STATE.+slice.+state.+changed )|(ment ac)|(multiple cpu faults)|(system.+state.+changed )|(\[timeout)|(PRM\|1\|D)|(kpr)|(kdp)|(\|lc)|(penalty))"</v>
      </c>
      <c r="AG93" s="1" t="str">
        <f t="shared" si="38"/>
        <v>EC</v>
      </c>
      <c r="AH93" s="86" t="str">
        <f t="shared" si="39"/>
        <v>"%USERPROFILE%\Documents\GitHub\eaglep3\Utilities\RefineRTDCRunTimes.py" --tripid 181-20 --locoid 4022 --swversion DE.1.0.9.0 --startMP 204:442 --initTime 2017-03-20T13:41:34 --startdatetime 2017-03-20T13:45:18 --delay 1 --endMP 204:233460 --enddatetime 2017-03-20T14:25:06 --enforcementcount 0 &gt;&gt;C:\Users\stu\Documents\GitHub\eaglep3-reporting\EC\2017-03-20-refined-times.txt</v>
      </c>
      <c r="AI93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{"issue":{"subject":"","project_id":79,"tracker_id":40,"status_id":1,"priority_id":2,"assigned_to_id":23,"start_date":"2017-03-20","description":"","custom_fields":[{"id":1,"name":"Subdivision","value":"EC"},{"id":4,"name":"Milepost","value":"23.346"},{"id":17,"name":"Train ID","value":"181-20"},{"id":16,"name":"Locomotive ID","value":"4022"},{"id":130,"name":"Impact","value":""},{"id":150,"name":"Time of Event (Mountain Time)","value":"14:25:06"},{"id":151,"name":"Denver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41"/>
        <v>start /low /b %USERPROFILE%\Documents\GitHub\eaglep3\Utilities\DownloadLogsFromS3.py --loco 4022 --day 2017-03-20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"%USERPROFILE%\AppData\Local\Temp\OnboardLogs"\RTDC4022\*4022*20170320* | grep -SE "(Enforcement Action)|(\[TIMEOUT)|(CHR.+\|PRM\|1\|D.+(SWITCH|SIGNAL).+UNKNOWN)" - &gt;&gt; 2017-03-20-UncaughtWiMAX.txt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627</v>
      </c>
      <c r="B94" s="7">
        <v>4021</v>
      </c>
      <c r="C94" s="21" t="s">
        <v>222</v>
      </c>
      <c r="D94" s="21" t="s">
        <v>872</v>
      </c>
      <c r="E94" s="13">
        <v>42814.610034722224</v>
      </c>
      <c r="F94" s="13">
        <v>42814.612175925926</v>
      </c>
      <c r="G94" s="7">
        <v>1</v>
      </c>
      <c r="H94" s="21" t="s">
        <v>205</v>
      </c>
      <c r="I94" s="13">
        <v>42814.641412037039</v>
      </c>
      <c r="J94" s="7">
        <v>0</v>
      </c>
      <c r="K94" s="98" t="str">
        <f t="shared" si="25"/>
        <v>4021/4022</v>
      </c>
      <c r="L94" s="21" t="str">
        <f>VLOOKUP(A94,'Trips&amp;Operators'!$C$1:$G$99999,5,FALSE)</f>
        <v>LOCKLEAR TRAVIS</v>
      </c>
      <c r="M94" s="6">
        <f t="shared" si="26"/>
        <v>2.923611111327773E-2</v>
      </c>
      <c r="N94" s="7">
        <f t="shared" si="42"/>
        <v>42.100000003119931</v>
      </c>
      <c r="O94" s="7"/>
      <c r="P94" s="7"/>
      <c r="Q94" s="22"/>
      <c r="R94" s="22"/>
      <c r="S94" s="31">
        <f t="shared" si="27"/>
        <v>1</v>
      </c>
      <c r="T94" s="46" t="str">
        <f t="shared" si="28"/>
        <v>Southbound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29"/>
        <v>https://d0f6bd738d7f1b3e5a7ca70fe4ff75f0.us-east-1.aws.found.io/app/kibana#/discover/Steve-Slow-Train-Analysis-(2080s-and-2083s)?_g=(refreshInterval:(display:Off,pause:!f,section:0,value:0),time:(from:'2017-03-20T13:38:27-0600',mode:absolute,to:'2017-03-20T16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4" s="187" t="str">
        <f t="shared" si="30"/>
        <v>N</v>
      </c>
      <c r="X94" s="187">
        <f t="shared" si="31"/>
        <v>1</v>
      </c>
      <c r="Y94" s="62">
        <f t="shared" si="32"/>
        <v>23.312000000000001</v>
      </c>
      <c r="Z94" s="62">
        <f t="shared" si="33"/>
        <v>1.54E-2</v>
      </c>
      <c r="AA94" s="62">
        <f t="shared" si="34"/>
        <v>23.296600000000002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5"/>
        <v>0182-20</v>
      </c>
      <c r="AE94" s="85" t="str">
        <f t="shared" si="36"/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AF94" s="82" t="str">
        <f t="shared" si="37"/>
        <v>"C:\Program Files (x86)\AstroGrep\AstroGrep.exe" /e /r /s /spath="%USERPROFILE%\AppData\Local\Temp\OnboardLogs" /stypes="app*4021*20170320*" /stext=" 21:.+((SYSTEM_STATE.+slice.+state.+changed )|(ment ac)|(multiple cpu faults)|(system.+state.+changed )|(\[timeout)|(PRM\|1\|D)|(kpr)|(kdp)|(\|lc)|(penalty))"</v>
      </c>
      <c r="AG94" s="1" t="str">
        <f t="shared" si="38"/>
        <v>EC</v>
      </c>
      <c r="AH94" s="86" t="str">
        <f t="shared" si="39"/>
        <v>"%USERPROFILE%\Documents\GitHub\eaglep3\Utilities\RefineRTDCRunTimes.py" --tripid 182-20 --locoid 4021 --swversion DE.1.0.9.0 --startMP 204:233120 --initTime 2017-03-20T14:38:27 --startdatetime 2017-03-20T14:41:32 --delay 1 --endMP 204:154 --enddatetime 2017-03-20T15:23:38 --enforcementcount 0 &gt;&gt;C:\Users\stu\Documents\GitHub\eaglep3-reporting\EC\2017-03-20-refined-times.txt</v>
      </c>
      <c r="AI94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{"issue":{"subject":"","project_id":79,"tracker_id":40,"status_id":1,"priority_id":2,"assigned_to_id":23,"start_date":"2017-03-20","description":"","custom_fields":[{"id":1,"name":"Subdivision","value":"EC"},{"id":4,"name":"Milepost","value":"0.0154"},{"id":17,"name":"Train ID","value":"182-20"},{"id":16,"name":"Locomotive ID","value":"4021"},{"id":130,"name":"Impact","value":""},{"id":150,"name":"Time of Event (Mountain Time)","value":"15:23:38"},{"id":151,"name":"Denver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41"/>
        <v>start /low /b %USERPROFILE%\Documents\GitHub\eaglep3\Utilities\DownloadLogsFromS3.py --loco 4021 --day 2017-03-20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"%USERPROFILE%\AppData\Local\Temp\OnboardLogs"\RTDC4021\*4021*20170320* | grep -SE "(Enforcement Action)|(\[TIMEOUT)|(CHR.+\|PRM\|1\|D.+(SWITCH|SIGNAL).+UNKNOWN)" - &gt;&gt; 2017-03-20-UncaughtWiMAX.txt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750</v>
      </c>
      <c r="B95" s="7">
        <v>4018</v>
      </c>
      <c r="C95" s="21" t="s">
        <v>222</v>
      </c>
      <c r="D95" s="21" t="s">
        <v>565</v>
      </c>
      <c r="E95" s="13">
        <v>42814.581666666665</v>
      </c>
      <c r="F95" s="13">
        <v>42814.583599537036</v>
      </c>
      <c r="G95" s="7">
        <v>1</v>
      </c>
      <c r="H95" s="21" t="s">
        <v>849</v>
      </c>
      <c r="I95" s="13">
        <v>42814.609780092593</v>
      </c>
      <c r="J95" s="7">
        <v>0</v>
      </c>
      <c r="K95" s="98" t="str">
        <f t="shared" si="25"/>
        <v>4017/4018</v>
      </c>
      <c r="L95" s="21" t="str">
        <f>VLOOKUP(A95,'Trips&amp;Operators'!$C$1:$G$99999,5,FALSE)</f>
        <v>MENGES BRAD</v>
      </c>
      <c r="M95" s="6">
        <f t="shared" si="26"/>
        <v>2.6180555556493346E-2</v>
      </c>
      <c r="N95" s="7">
        <f t="shared" si="42"/>
        <v>37.700000001350418</v>
      </c>
      <c r="O95" s="7"/>
      <c r="P95" s="7"/>
      <c r="Q95" s="22"/>
      <c r="R95" s="22"/>
      <c r="S95" s="31">
        <f t="shared" si="27"/>
        <v>1</v>
      </c>
      <c r="T95" s="46" t="str">
        <f t="shared" si="28"/>
        <v>NorthBound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29"/>
        <v>https://d0f6bd738d7f1b3e5a7ca70fe4ff75f0.us-east-1.aws.found.io/app/kibana#/discover/Steve-Slow-Train-Analysis-(2080s-and-2083s)?_g=(refreshInterval:(display:Off,pause:!f,section:0,value:0),time:(from:'2017-03-20T12:57:36-0600',mode:absolute,to:'2017-03-20T15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5" s="187" t="str">
        <f t="shared" si="30"/>
        <v>N</v>
      </c>
      <c r="X95" s="187">
        <f t="shared" si="31"/>
        <v>1</v>
      </c>
      <c r="Y95" s="62">
        <f t="shared" si="32"/>
        <v>4.8000000000000001E-2</v>
      </c>
      <c r="Z95" s="62">
        <f t="shared" si="33"/>
        <v>23.33</v>
      </c>
      <c r="AA95" s="62">
        <f t="shared" si="34"/>
        <v>23.282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5"/>
        <v>0183-20</v>
      </c>
      <c r="AE95" s="85" t="str">
        <f t="shared" si="36"/>
        <v>aws s3 cp s3://rtdc.mdm.uploadarchive.raw/RTDC4018/ "%USERPROFILE%\AppData\Local\Temp\OnboardLogs"\RTDC4018\2017-03-20 --exclude "*" --recursive --include "*20170320*" &amp; "%USERPROFILE%\Documents\GitHub\mrs-test-scripts\Headless Mode &amp; Sideloading\WalkAndUnGZ.bat" "%USERPROFILE%\AppData\Local\Temp\OnboardLogs"\RTDC4018\2017-03-20 &amp; aws s3 cp s3://rtdc.mdm.uploadarchive.raw/RTDC4018/ "%USERPROFILE%\AppData\Local\Temp\OnboardLogs"\RTDC4018\2017-03-21 --exclude "*" --recursive --include "*20170321*" &amp; "%USERPROFILE%\Documents\GitHub\mrs-test-scripts\Headless Mode &amp; Sideloading\WalkAndUnGZ.bat" "%USERPROFILE%\AppData\Local\Temp\OnboardLogs"\RTDC4018\2017-03-21</v>
      </c>
      <c r="AF95" s="82" t="str">
        <f t="shared" si="37"/>
        <v>"C:\Program Files (x86)\AstroGrep\AstroGrep.exe" /e /r /s /spath="%USERPROFILE%\AppData\Local\Temp\OnboardLogs" /stypes="app*4018*20170320*" /stext=" 20:.+((SYSTEM_STATE.+slice.+state.+changed )|(ment ac)|(multiple cpu faults)|(system.+state.+changed )|(\[timeout)|(PRM\|1\|D)|(kpr)|(kdp)|(\|lc)|(penalty))"</v>
      </c>
      <c r="AG95" s="1" t="str">
        <f t="shared" si="38"/>
        <v>EC</v>
      </c>
      <c r="AH95" s="86" t="str">
        <f t="shared" si="39"/>
        <v>"%USERPROFILE%\Documents\GitHub\eaglep3\Utilities\RefineRTDCRunTimes.py" --tripid 183-20 --locoid 4018 --swversion DE.1.0.9.0 --startMP 204:480 --initTime 2017-03-20T13:57:36 --startdatetime 2017-03-20T14:00:23 --delay 1 --endMP 204:233300 --enddatetime 2017-03-20T14:38:05 --enforcementcount 0 &gt;&gt;C:\Users\stu\Documents\GitHub\eaglep3-reporting\EC\2017-03-20-refined-times.txt</v>
      </c>
      <c r="AI95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{"issue":{"subject":"","project_id":79,"tracker_id":40,"status_id":1,"priority_id":2,"assigned_to_id":23,"start_date":"2017-03-20","description":"","custom_fields":[{"id":1,"name":"Subdivision","value":"EC"},{"id":4,"name":"Milepost","value":"23.33"},{"id":17,"name":"Train ID","value":"183-20"},{"id":16,"name":"Locomotive ID","value":"4018"},{"id":130,"name":"Impact","value":""},{"id":150,"name":"Time of Event (Mountain Time)","value":"14:38:05"},{"id":151,"name":"Denver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41"/>
        <v>start /low /b %USERPROFILE%\Documents\GitHub\eaglep3\Utilities\DownloadLogsFromS3.py --loco 4018 --day 2017-03-20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"%USERPROFILE%\AppData\Local\Temp\OnboardLogs"\RTDC4018\*4018*20170320* | grep -SE "(Enforcement Action)|(\[TIMEOUT)|(CHR.+\|PRM\|1\|D.+(SWITCH|SIGNAL).+UNKNOWN)" - &gt;&gt; 2017-03-20-UncaughtWiMAX.txt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758</v>
      </c>
      <c r="B96" s="7">
        <v>4017</v>
      </c>
      <c r="C96" s="21" t="s">
        <v>222</v>
      </c>
      <c r="D96" s="21" t="s">
        <v>504</v>
      </c>
      <c r="E96" s="13">
        <v>42814.614710648151</v>
      </c>
      <c r="F96" s="13">
        <v>42814.622534722221</v>
      </c>
      <c r="G96" s="7">
        <v>1</v>
      </c>
      <c r="H96" s="21" t="s">
        <v>217</v>
      </c>
      <c r="I96" s="13">
        <v>42814.653773148151</v>
      </c>
      <c r="J96" s="7">
        <v>0</v>
      </c>
      <c r="K96" s="98" t="str">
        <f t="shared" si="25"/>
        <v>4017/4018</v>
      </c>
      <c r="L96" s="21" t="str">
        <f>VLOOKUP(A96,'Trips&amp;Operators'!$C$1:$G$99999,5,FALSE)</f>
        <v>MENGES BRAD</v>
      </c>
      <c r="M96" s="6">
        <f t="shared" si="26"/>
        <v>3.1238425930496305E-2</v>
      </c>
      <c r="N96" s="7">
        <f t="shared" si="42"/>
        <v>44.98333333991468</v>
      </c>
      <c r="O96" s="7"/>
      <c r="P96" s="7"/>
      <c r="Q96" s="22"/>
      <c r="R96" s="22"/>
      <c r="S96" s="31">
        <f t="shared" si="27"/>
        <v>1</v>
      </c>
      <c r="T96" s="46" t="str">
        <f t="shared" si="28"/>
        <v>Southbound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29"/>
        <v>https://d0f6bd738d7f1b3e5a7ca70fe4ff75f0.us-east-1.aws.found.io/app/kibana#/discover/Steve-Slow-Train-Analysis-(2080s-and-2083s)?_g=(refreshInterval:(display:Off,pause:!f,section:0,value:0),time:(from:'2017-03-20T13:45:11-0600',mode:absolute,to:'2017-03-20T16:41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6" s="187" t="str">
        <f t="shared" si="30"/>
        <v>N</v>
      </c>
      <c r="X96" s="187">
        <f t="shared" si="31"/>
        <v>1</v>
      </c>
      <c r="Y96" s="62">
        <f t="shared" si="32"/>
        <v>23.298100000000002</v>
      </c>
      <c r="Z96" s="62">
        <f t="shared" si="33"/>
        <v>1.47E-2</v>
      </c>
      <c r="AA96" s="62">
        <f t="shared" si="34"/>
        <v>23.2834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5"/>
        <v>0184-20</v>
      </c>
      <c r="AE96" s="85" t="str">
        <f t="shared" si="36"/>
        <v>aws s3 cp s3://rtdc.mdm.uploadarchive.raw/RTDC4017/ "%USERPROFILE%\AppData\Local\Temp\OnboardLogs"\RTDC4017\2017-03-20 --exclude "*" --recursive --include "*20170320*" &amp; "%USERPROFILE%\Documents\GitHub\mrs-test-scripts\Headless Mode &amp; Sideloading\WalkAndUnGZ.bat" "%USERPROFILE%\AppData\Local\Temp\OnboardLogs"\RTDC4017\2017-03-20 &amp; aws s3 cp s3://rtdc.mdm.uploadarchive.raw/RTDC4017/ "%USERPROFILE%\AppData\Local\Temp\OnboardLogs"\RTDC4017\2017-03-21 --exclude "*" --recursive --include "*20170321*" &amp; "%USERPROFILE%\Documents\GitHub\mrs-test-scripts\Headless Mode &amp; Sideloading\WalkAndUnGZ.bat" "%USERPROFILE%\AppData\Local\Temp\OnboardLogs"\RTDC4017\2017-03-21</v>
      </c>
      <c r="AF96" s="82" t="str">
        <f t="shared" si="37"/>
        <v>"C:\Program Files (x86)\AstroGrep\AstroGrep.exe" /e /r /s /spath="%USERPROFILE%\AppData\Local\Temp\OnboardLogs" /stypes="app*4017*20170320*" /stext=" 21:.+((SYSTEM_STATE.+slice.+state.+changed )|(ment ac)|(multiple cpu faults)|(system.+state.+changed )|(\[timeout)|(PRM\|1\|D)|(kpr)|(kdp)|(\|lc)|(penalty))"</v>
      </c>
      <c r="AG96" s="1" t="str">
        <f t="shared" si="38"/>
        <v>EC</v>
      </c>
      <c r="AH96" s="86" t="str">
        <f t="shared" si="39"/>
        <v>"%USERPROFILE%\Documents\GitHub\eaglep3\Utilities\RefineRTDCRunTimes.py" --tripid 184-20 --locoid 4017 --swversion DE.1.0.9.0 --startMP 204:232981 --initTime 2017-03-20T14:45:11 --startdatetime 2017-03-20T14:56:27 --delay 1 --endMP 204:147 --enddatetime 2017-03-20T15:41:26 --enforcementcount 0 &gt;&gt;C:\Users\stu\Documents\GitHub\eaglep3-reporting\EC\2017-03-20-refined-times.txt</v>
      </c>
      <c r="AI96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{"issue":{"subject":"","project_id":79,"tracker_id":40,"status_id":1,"priority_id":2,"assigned_to_id":23,"start_date":"2017-03-20","description":"","custom_fields":[{"id":1,"name":"Subdivision","value":"EC"},{"id":4,"name":"Milepost","value":"0.0147"},{"id":17,"name":"Train ID","value":"184-20"},{"id":16,"name":"Locomotive ID","value":"4017"},{"id":130,"name":"Impact","value":""},{"id":150,"name":"Time of Event (Mountain Time)","value":"15:41:26"},{"id":151,"name":"Denver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41"/>
        <v>start /low /b %USERPROFILE%\Documents\GitHub\eaglep3\Utilities\DownloadLogsFromS3.py --loco 4017 --day 2017-03-20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"%USERPROFILE%\AppData\Local\Temp\OnboardLogs"\RTDC4017\*4017*20170320* | grep -SE "(Enforcement Action)|(\[TIMEOUT)|(CHR.+\|PRM\|1\|D.+(SWITCH|SIGNAL).+UNKNOWN)" - &gt;&gt; 2017-03-20-UncaughtWiMAX.txt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3" t="s">
        <v>752</v>
      </c>
      <c r="B97" s="7">
        <v>4046</v>
      </c>
      <c r="C97" s="21" t="s">
        <v>222</v>
      </c>
      <c r="D97" s="21" t="s">
        <v>212</v>
      </c>
      <c r="E97" s="13">
        <v>42814.591435185182</v>
      </c>
      <c r="F97" s="13">
        <v>42814.594247685185</v>
      </c>
      <c r="G97" s="7">
        <v>2</v>
      </c>
      <c r="H97" s="21" t="s">
        <v>851</v>
      </c>
      <c r="I97" s="13">
        <v>42814.621053240742</v>
      </c>
      <c r="J97" s="7">
        <v>0</v>
      </c>
      <c r="K97" s="98" t="str">
        <f t="shared" si="25"/>
        <v>4045/4046</v>
      </c>
      <c r="L97" s="21" t="str">
        <f>VLOOKUP(A97,'Trips&amp;Operators'!$C$1:$G$99999,5,FALSE)</f>
        <v>BRANDNER MELINDA</v>
      </c>
      <c r="M97" s="6">
        <f t="shared" si="26"/>
        <v>2.6805555557075422E-2</v>
      </c>
      <c r="N97" s="7">
        <f t="shared" si="42"/>
        <v>38.600000002188608</v>
      </c>
      <c r="O97" s="7"/>
      <c r="P97" s="7"/>
      <c r="Q97" s="22"/>
      <c r="R97" s="22"/>
      <c r="S97" s="31">
        <f t="shared" si="27"/>
        <v>1</v>
      </c>
      <c r="T97" s="46" t="str">
        <f t="shared" si="28"/>
        <v>NorthBound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29"/>
        <v>https://d0f6bd738d7f1b3e5a7ca70fe4ff75f0.us-east-1.aws.found.io/app/kibana#/discover/Steve-Slow-Train-Analysis-(2080s-and-2083s)?_g=(refreshInterval:(display:Off,pause:!f,section:0,value:0),time:(from:'2017-03-20T13:11:40-0600',mode:absolute,to:'2017-03-20T15:54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7" s="187" t="str">
        <f t="shared" si="30"/>
        <v>N</v>
      </c>
      <c r="X97" s="187">
        <f t="shared" si="31"/>
        <v>1</v>
      </c>
      <c r="Y97" s="62">
        <f t="shared" si="32"/>
        <v>4.53E-2</v>
      </c>
      <c r="Z97" s="62">
        <f t="shared" si="33"/>
        <v>23.331099999999999</v>
      </c>
      <c r="AA97" s="62">
        <f t="shared" si="34"/>
        <v>23.285799999999998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5"/>
        <v>0185-20</v>
      </c>
      <c r="AE97" s="85" t="str">
        <f t="shared" si="36"/>
        <v>aws s3 cp s3://rtdc.mdm.uploadarchive.raw/RTDC4046/ "%USERPROFILE%\AppData\Local\Temp\OnboardLogs"\RTDC4046\2017-03-20 --exclude "*" --recursive --include "*20170320*" &amp; "%USERPROFILE%\Documents\GitHub\mrs-test-scripts\Headless Mode &amp; Sideloading\WalkAndUnGZ.bat" "%USERPROFILE%\AppData\Local\Temp\OnboardLogs"\RTDC4046\2017-03-20 &amp; aws s3 cp s3://rtdc.mdm.uploadarchive.raw/RTDC4046/ "%USERPROFILE%\AppData\Local\Temp\OnboardLogs"\RTDC4046\2017-03-21 --exclude "*" --recursive --include "*20170321*" &amp; "%USERPROFILE%\Documents\GitHub\mrs-test-scripts\Headless Mode &amp; Sideloading\WalkAndUnGZ.bat" "%USERPROFILE%\AppData\Local\Temp\OnboardLogs"\RTDC4046\2017-03-21</v>
      </c>
      <c r="AF97" s="82" t="str">
        <f t="shared" si="37"/>
        <v>"C:\Program Files (x86)\AstroGrep\AstroGrep.exe" /e /r /s /spath="%USERPROFILE%\AppData\Local\Temp\OnboardLogs" /stypes="app*4046*20170320*" /stext=" 20:.+((SYSTEM_STATE.+slice.+state.+changed )|(ment ac)|(multiple cpu faults)|(system.+state.+changed )|(\[timeout)|(PRM\|1\|D)|(kpr)|(kdp)|(\|lc)|(penalty))"</v>
      </c>
      <c r="AG97" s="1" t="str">
        <f t="shared" si="38"/>
        <v>EC</v>
      </c>
      <c r="AH97" s="86" t="str">
        <f t="shared" si="39"/>
        <v>"%USERPROFILE%\Documents\GitHub\eaglep3\Utilities\RefineRTDCRunTimes.py" --tripid 185-20 --locoid 4046 --swversion DE.1.0.9.0 --startMP 204:453 --initTime 2017-03-20T14:11:40 --startdatetime 2017-03-20T14:15:43 --delay 2 --endMP 204:233311 --enddatetime 2017-03-20T14:54:19 --enforcementcount 0 &gt;&gt;C:\Users\stu\Documents\GitHub\eaglep3-reporting\EC\2017-03-20-refined-times.txt</v>
      </c>
      <c r="AI97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{"issue":{"subject":"","project_id":79,"tracker_id":40,"status_id":1,"priority_id":2,"assigned_to_id":23,"start_date":"2017-03-20","description":"","custom_fields":[{"id":1,"name":"Subdivision","value":"EC"},{"id":4,"name":"Milepost","value":"23.3311"},{"id":17,"name":"Train ID","value":"185-20"},{"id":16,"name":"Locomotive ID","value":"4046"},{"id":130,"name":"Impact","value":""},{"id":150,"name":"Time of Event (Mountain Time)","value":"14:54:19"},{"id":151,"name":"Denver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41"/>
        <v>start /low /b %USERPROFILE%\Documents\GitHub\eaglep3\Utilities\DownloadLogsFromS3.py --loco 4046 --day 2017-03-20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"%USERPROFILE%\AppData\Local\Temp\OnboardLogs"\RTDC4046\*4046*20170320* | grep -SE "(Enforcement Action)|(\[TIMEOUT)|(CHR.+\|PRM\|1\|D.+(SWITCH|SIGNAL).+UNKNOWN)" - &gt;&gt; 2017-03-20-UncaughtWiMAX.txt</v>
      </c>
    </row>
    <row r="98" spans="1:91" s="20" customFormat="1" x14ac:dyDescent="0.25">
      <c r="A98" s="33" t="s">
        <v>759</v>
      </c>
      <c r="B98" s="7">
        <v>4045</v>
      </c>
      <c r="C98" s="21" t="s">
        <v>222</v>
      </c>
      <c r="D98" s="21" t="s">
        <v>873</v>
      </c>
      <c r="E98" s="13">
        <v>42814.627476851849</v>
      </c>
      <c r="F98" s="13">
        <v>42814.632800925923</v>
      </c>
      <c r="G98" s="7">
        <v>2</v>
      </c>
      <c r="H98" s="21" t="s">
        <v>432</v>
      </c>
      <c r="I98" s="13">
        <v>42814.662094907406</v>
      </c>
      <c r="J98" s="7">
        <v>0</v>
      </c>
      <c r="K98" s="98" t="str">
        <f t="shared" si="25"/>
        <v>4045/4046</v>
      </c>
      <c r="L98" s="21" t="str">
        <f>VLOOKUP(A98,'Trips&amp;Operators'!$C$1:$G$99999,5,FALSE)</f>
        <v>BRANDNER MELINDA</v>
      </c>
      <c r="M98" s="6">
        <f t="shared" si="26"/>
        <v>2.9293981482624076E-2</v>
      </c>
      <c r="N98" s="7">
        <f t="shared" si="42"/>
        <v>42.18333333497867</v>
      </c>
      <c r="O98" s="7"/>
      <c r="P98" s="7"/>
      <c r="Q98" s="22"/>
      <c r="R98" s="22"/>
      <c r="S98" s="31">
        <f t="shared" si="27"/>
        <v>1</v>
      </c>
      <c r="T98" s="46" t="str">
        <f t="shared" si="28"/>
        <v>Southbound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29"/>
        <v>https://d0f6bd738d7f1b3e5a7ca70fe4ff75f0.us-east-1.aws.found.io/app/kibana#/discover/Steve-Slow-Train-Analysis-(2080s-and-2083s)?_g=(refreshInterval:(display:Off,pause:!f,section:0,value:0),time:(from:'2017-03-20T14:03:34-0600',mode:absolute,to:'2017-03-20T16:53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8" s="187" t="str">
        <f t="shared" si="30"/>
        <v>N</v>
      </c>
      <c r="X98" s="187">
        <f t="shared" si="31"/>
        <v>1</v>
      </c>
      <c r="Y98" s="62">
        <f t="shared" si="32"/>
        <v>23.297799999999999</v>
      </c>
      <c r="Z98" s="62">
        <f t="shared" si="33"/>
        <v>1.3599999999999999E-2</v>
      </c>
      <c r="AA98" s="62">
        <f t="shared" si="34"/>
        <v>23.284199999999998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5"/>
        <v>0186-20</v>
      </c>
      <c r="AE98" s="85" t="str">
        <f t="shared" si="36"/>
        <v>aws s3 cp s3://rtdc.mdm.uploadarchive.raw/RTDC4045/ "%USERPROFILE%\AppData\Local\Temp\OnboardLogs"\RTDC4045\2017-03-20 --exclude "*" --recursive --include "*20170320*" &amp; "%USERPROFILE%\Documents\GitHub\mrs-test-scripts\Headless Mode &amp; Sideloading\WalkAndUnGZ.bat" "%USERPROFILE%\AppData\Local\Temp\OnboardLogs"\RTDC4045\2017-03-20 &amp; aws s3 cp s3://rtdc.mdm.uploadarchive.raw/RTDC4045/ "%USERPROFILE%\AppData\Local\Temp\OnboardLogs"\RTDC4045\2017-03-21 --exclude "*" --recursive --include "*20170321*" &amp; "%USERPROFILE%\Documents\GitHub\mrs-test-scripts\Headless Mode &amp; Sideloading\WalkAndUnGZ.bat" "%USERPROFILE%\AppData\Local\Temp\OnboardLogs"\RTDC4045\2017-03-21</v>
      </c>
      <c r="AF98" s="82" t="str">
        <f t="shared" si="37"/>
        <v>"C:\Program Files (x86)\AstroGrep\AstroGrep.exe" /e /r /s /spath="%USERPROFILE%\AppData\Local\Temp\OnboardLogs" /stypes="app*4045*20170320*" /stext=" 21:.+((SYSTEM_STATE.+slice.+state.+changed )|(ment ac)|(multiple cpu faults)|(system.+state.+changed )|(\[timeout)|(PRM\|1\|D)|(kpr)|(kdp)|(\|lc)|(penalty))"</v>
      </c>
      <c r="AG98" s="1" t="str">
        <f t="shared" si="38"/>
        <v>EC</v>
      </c>
      <c r="AH98" s="86" t="str">
        <f t="shared" si="39"/>
        <v>"%USERPROFILE%\Documents\GitHub\eaglep3\Utilities\RefineRTDCRunTimes.py" --tripid 186-20 --locoid 4045 --swversion DE.1.0.9.0 --startMP 204:232978 --initTime 2017-03-20T15:03:34 --startdatetime 2017-03-20T15:11:14 --delay 2 --endMP 204:136 --enddatetime 2017-03-20T15:53:25 --enforcementcount 0 &gt;&gt;C:\Users\stu\Documents\GitHub\eaglep3-reporting\EC\2017-03-20-refined-times.txt</v>
      </c>
      <c r="AI98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{"issue":{"subject":"","project_id":79,"tracker_id":40,"status_id":1,"priority_id":2,"assigned_to_id":23,"start_date":"2017-03-20","description":"","custom_fields":[{"id":1,"name":"Subdivision","value":"EC"},{"id":4,"name":"Milepost","value":"0.0136"},{"id":17,"name":"Train ID","value":"186-20"},{"id":16,"name":"Locomotive ID","value":"4045"},{"id":130,"name":"Impact","value":""},{"id":150,"name":"Time of Event (Mountain Time)","value":"15:53:25"},{"id":151,"name":"Denver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41"/>
        <v>start /low /b %USERPROFILE%\Documents\GitHub\eaglep3\Utilities\DownloadLogsFromS3.py --loco 4045 --day 2017-03-20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"%USERPROFILE%\AppData\Local\Temp\OnboardLogs"\RTDC4045\*4045*20170320* | grep -SE "(Enforcement Action)|(\[TIMEOUT)|(CHR.+\|PRM\|1\|D.+(SWITCH|SIGNAL).+UNKNOWN)" - &gt;&gt; 2017-03-20-UncaughtWiMAX.txt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755</v>
      </c>
      <c r="B99" s="7">
        <v>4025</v>
      </c>
      <c r="C99" s="21" t="s">
        <v>222</v>
      </c>
      <c r="D99" s="21" t="s">
        <v>874</v>
      </c>
      <c r="E99" s="13">
        <v>42814.603101851855</v>
      </c>
      <c r="F99" s="13">
        <v>42814.605138888888</v>
      </c>
      <c r="G99" s="7">
        <v>3</v>
      </c>
      <c r="H99" s="21" t="s">
        <v>420</v>
      </c>
      <c r="I99" s="13">
        <v>42814.630011574074</v>
      </c>
      <c r="J99" s="7">
        <v>0</v>
      </c>
      <c r="K99" s="98" t="str">
        <f t="shared" si="25"/>
        <v>4025/4026</v>
      </c>
      <c r="L99" s="21" t="str">
        <f>VLOOKUP(A99,'Trips&amp;Operators'!$C$1:$G$99999,5,FALSE)</f>
        <v>STEWART MICHAEL</v>
      </c>
      <c r="M99" s="6">
        <f t="shared" si="26"/>
        <v>2.4872685185982846E-2</v>
      </c>
      <c r="N99" s="7">
        <f t="shared" si="42"/>
        <v>35.816666667815298</v>
      </c>
      <c r="O99" s="7"/>
      <c r="P99" s="7"/>
      <c r="Q99" s="22"/>
      <c r="R99" s="22"/>
      <c r="S99" s="31">
        <f t="shared" si="27"/>
        <v>1</v>
      </c>
      <c r="T99" s="46" t="str">
        <f t="shared" si="28"/>
        <v>NorthBound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29"/>
        <v>https://d0f6bd738d7f1b3e5a7ca70fe4ff75f0.us-east-1.aws.found.io/app/kibana#/discover/Steve-Slow-Train-Analysis-(2080s-and-2083s)?_g=(refreshInterval:(display:Off,pause:!f,section:0,value:0),time:(from:'2017-03-20T13:28:28-0600',mode:absolute,to:'2017-03-20T16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9" s="187" t="str">
        <f t="shared" si="30"/>
        <v>N</v>
      </c>
      <c r="X99" s="187">
        <f t="shared" si="31"/>
        <v>1</v>
      </c>
      <c r="Y99" s="62">
        <f t="shared" si="32"/>
        <v>0.12509999999999999</v>
      </c>
      <c r="Z99" s="62">
        <f t="shared" si="33"/>
        <v>23.3308</v>
      </c>
      <c r="AA99" s="62">
        <f t="shared" si="34"/>
        <v>23.2057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5"/>
        <v>0187-20</v>
      </c>
      <c r="AE99" s="85" t="str">
        <f t="shared" si="36"/>
        <v>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 &amp; aws s3 cp s3://rtdc.mdm.uploadarchive.raw/RTDC4025/ "%USERPROFILE%\AppData\Local\Temp\OnboardLogs"\RTDC4025\2017-03-21 --exclude "*" --recursive --include "*20170321*" &amp; "%USERPROFILE%\Documents\GitHub\mrs-test-scripts\Headless Mode &amp; Sideloading\WalkAndUnGZ.bat" "%USERPROFILE%\AppData\Local\Temp\OnboardLogs"\RTDC4025\2017-03-21</v>
      </c>
      <c r="AF99" s="82" t="str">
        <f t="shared" si="37"/>
        <v>"C:\Program Files (x86)\AstroGrep\AstroGrep.exe" /e /r /s /spath="%USERPROFILE%\AppData\Local\Temp\OnboardLogs" /stypes="app*4025*20170320*" /stext=" 21:.+((SYSTEM_STATE.+slice.+state.+changed )|(ment ac)|(multiple cpu faults)|(system.+state.+changed )|(\[timeout)|(PRM\|1\|D)|(kpr)|(kdp)|(\|lc)|(penalty))"</v>
      </c>
      <c r="AG99" s="1" t="str">
        <f t="shared" si="38"/>
        <v>EC</v>
      </c>
      <c r="AH99" s="86" t="str">
        <f t="shared" si="39"/>
        <v>"%USERPROFILE%\Documents\GitHub\eaglep3\Utilities\RefineRTDCRunTimes.py" --tripid 187-20 --locoid 4025 --swversion DE.1.0.9.0 --startMP 204:1251 --initTime 2017-03-20T14:28:28 --startdatetime 2017-03-20T14:31:24 --delay 3 --endMP 204:233308 --enddatetime 2017-03-20T15:07:13 --enforcementcount 0 &gt;&gt;C:\Users\stu\Documents\GitHub\eaglep3-reporting\EC\2017-03-20-refined-times.txt</v>
      </c>
      <c r="AI99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{"issue":{"subject":"","project_id":79,"tracker_id":40,"status_id":1,"priority_id":2,"assigned_to_id":23,"start_date":"2017-03-20","description":"","custom_fields":[{"id":1,"name":"Subdivision","value":"EC"},{"id":4,"name":"Milepost","value":"23.3308"},{"id":17,"name":"Train ID","value":"187-20"},{"id":16,"name":"Locomotive ID","value":"4025"},{"id":130,"name":"Impact","value":""},{"id":150,"name":"Time of Event (Mountain Time)","value":"15:07:13"},{"id":151,"name":"Denver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41"/>
        <v>start /low /b %USERPROFILE%\Documents\GitHub\eaglep3\Utilities\DownloadLogsFromS3.py --loco 4025 --day 2017-03-20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"%USERPROFILE%\AppData\Local\Temp\OnboardLogs"\RTDC4025\*4025*20170320* | grep -SE "(Enforcement Action)|(\[TIMEOUT)|(CHR.+\|PRM\|1\|D.+(SWITCH|SIGNAL).+UNKNOWN)" - &gt;&gt; 2017-03-20-UncaughtWiMAX.txt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629</v>
      </c>
      <c r="B100" s="7">
        <v>4026</v>
      </c>
      <c r="C100" s="21" t="s">
        <v>222</v>
      </c>
      <c r="D100" s="21" t="s">
        <v>875</v>
      </c>
      <c r="E100" s="13">
        <v>42814.638356481482</v>
      </c>
      <c r="F100" s="13">
        <v>42814.643333333333</v>
      </c>
      <c r="G100" s="7">
        <v>2</v>
      </c>
      <c r="H100" s="21" t="s">
        <v>592</v>
      </c>
      <c r="I100" s="13">
        <v>42814.67224537037</v>
      </c>
      <c r="J100" s="7">
        <v>0</v>
      </c>
      <c r="K100" s="98" t="str">
        <f t="shared" si="25"/>
        <v>4025/4026</v>
      </c>
      <c r="L100" s="21" t="str">
        <f>VLOOKUP(A100,'Trips&amp;Operators'!$C$1:$G$99999,5,FALSE)</f>
        <v>STEWART MICHAEL</v>
      </c>
      <c r="M100" s="6">
        <f t="shared" si="26"/>
        <v>2.8912037036207039E-2</v>
      </c>
      <c r="N100" s="7">
        <f t="shared" si="42"/>
        <v>41.633333332138136</v>
      </c>
      <c r="O100" s="7"/>
      <c r="P100" s="7"/>
      <c r="Q100" s="22"/>
      <c r="R100" s="22"/>
      <c r="S100" s="31">
        <f t="shared" si="27"/>
        <v>1</v>
      </c>
      <c r="T100" s="46" t="str">
        <f t="shared" si="28"/>
        <v>Southbound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29"/>
        <v>https://d0f6bd738d7f1b3e5a7ca70fe4ff75f0.us-east-1.aws.found.io/app/kibana#/discover/Steve-Slow-Train-Analysis-(2080s-and-2083s)?_g=(refreshInterval:(display:Off,pause:!f,section:0,value:0),time:(from:'2017-03-20T14:19:14-0600',mode:absolute,to:'2017-03-20T17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0" s="187" t="str">
        <f t="shared" si="30"/>
        <v>N</v>
      </c>
      <c r="X100" s="187">
        <f t="shared" si="31"/>
        <v>1</v>
      </c>
      <c r="Y100" s="62">
        <f t="shared" si="32"/>
        <v>23.296600000000002</v>
      </c>
      <c r="Z100" s="62">
        <f t="shared" si="33"/>
        <v>4.3700000000000003E-2</v>
      </c>
      <c r="AA100" s="62">
        <f t="shared" si="34"/>
        <v>23.2529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5"/>
        <v>0188-20</v>
      </c>
      <c r="AE100" s="85" t="str">
        <f t="shared" si="36"/>
        <v>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 &amp; 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</v>
      </c>
      <c r="AF100" s="82" t="str">
        <f t="shared" si="37"/>
        <v>"C:\Program Files (x86)\AstroGrep\AstroGrep.exe" /e /r /s /spath="%USERPROFILE%\AppData\Local\Temp\OnboardLogs" /stypes="app*4026*20170320*" /stext=" 22:.+((SYSTEM_STATE.+slice.+state.+changed )|(ment ac)|(multiple cpu faults)|(system.+state.+changed )|(\[timeout)|(PRM\|1\|D)|(kpr)|(kdp)|(\|lc)|(penalty))"</v>
      </c>
      <c r="AG100" s="1" t="str">
        <f t="shared" si="38"/>
        <v>EC</v>
      </c>
      <c r="AH100" s="86" t="str">
        <f t="shared" si="39"/>
        <v>"%USERPROFILE%\Documents\GitHub\eaglep3\Utilities\RefineRTDCRunTimes.py" --tripid 188-20 --locoid 4026 --swversion DE.1.0.9.0 --startMP 204:232966 --initTime 2017-03-20T15:19:14 --startdatetime 2017-03-20T15:26:24 --delay 2 --endMP 204:437 --enddatetime 2017-03-20T16:08:02 --enforcementcount 0 &gt;&gt;C:\Users\stu\Documents\GitHub\eaglep3-reporting\EC\2017-03-20-refined-times.txt</v>
      </c>
      <c r="AI100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{"issue":{"subject":"","project_id":79,"tracker_id":40,"status_id":1,"priority_id":2,"assigned_to_id":23,"start_date":"2017-03-20","description":"","custom_fields":[{"id":1,"name":"Subdivision","value":"EC"},{"id":4,"name":"Milepost","value":"0.0437"},{"id":17,"name":"Train ID","value":"188-20"},{"id":16,"name":"Locomotive ID","value":"4026"},{"id":130,"name":"Impact","value":""},{"id":150,"name":"Time of Event (Mountain Time)","value":"16:08:02"},{"id":151,"name":"Denver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41"/>
        <v>start /low /b %USERPROFILE%\Documents\GitHub\eaglep3\Utilities\DownloadLogsFromS3.py --loco 4026 --day 2017-03-20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"%USERPROFILE%\AppData\Local\Temp\OnboardLogs"\RTDC4026\*4026*20170320* | grep -SE "(Enforcement Action)|(\[TIMEOUT)|(CHR.+\|PRM\|1\|D.+(SWITCH|SIGNAL).+UNKNOWN)" - &gt;&gt; 2017-03-20-UncaughtWiMAX.txt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757</v>
      </c>
      <c r="B101" s="7">
        <v>4027</v>
      </c>
      <c r="C101" s="21" t="s">
        <v>222</v>
      </c>
      <c r="D101" s="21" t="s">
        <v>503</v>
      </c>
      <c r="E101" s="13">
        <v>42814.61341435185</v>
      </c>
      <c r="F101" s="13">
        <v>42814.618472222224</v>
      </c>
      <c r="G101" s="7">
        <v>1</v>
      </c>
      <c r="H101" s="21" t="s">
        <v>876</v>
      </c>
      <c r="I101" s="13">
        <v>42814.64607638889</v>
      </c>
      <c r="J101" s="7">
        <v>0</v>
      </c>
      <c r="K101" s="98" t="str">
        <f t="shared" si="25"/>
        <v>4027/4028</v>
      </c>
      <c r="L101" s="21" t="str">
        <f>VLOOKUP(A101,'Trips&amp;Operators'!$C$1:$G$99999,5,FALSE)</f>
        <v>DAVIS MICHAEL</v>
      </c>
      <c r="M101" s="6">
        <f t="shared" si="26"/>
        <v>2.7604166665696539E-2</v>
      </c>
      <c r="N101" s="7">
        <f t="shared" si="42"/>
        <v>39.749999998603016</v>
      </c>
      <c r="O101" s="7"/>
      <c r="P101" s="7"/>
      <c r="Q101" s="22"/>
      <c r="R101" s="22"/>
      <c r="S101" s="31">
        <f t="shared" si="27"/>
        <v>1</v>
      </c>
      <c r="T101" s="46" t="str">
        <f t="shared" si="28"/>
        <v>NorthBound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29"/>
        <v>https://d0f6bd738d7f1b3e5a7ca70fe4ff75f0.us-east-1.aws.found.io/app/kibana#/discover/Steve-Slow-Train-Analysis-(2080s-and-2083s)?_g=(refreshInterval:(display:Off,pause:!f,section:0,value:0),time:(from:'2017-03-20T13:43:19-0600',mode:absolute,to:'2017-03-20T16:30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1" s="187" t="str">
        <f t="shared" si="30"/>
        <v>N</v>
      </c>
      <c r="X101" s="187">
        <f t="shared" si="31"/>
        <v>1</v>
      </c>
      <c r="Y101" s="62">
        <f t="shared" si="32"/>
        <v>4.4900000000000002E-2</v>
      </c>
      <c r="Z101" s="62">
        <f t="shared" si="33"/>
        <v>23.329899999999999</v>
      </c>
      <c r="AA101" s="62">
        <f t="shared" si="34"/>
        <v>23.285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5"/>
        <v>0189-20</v>
      </c>
      <c r="AE101" s="85" t="str">
        <f t="shared" si="36"/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AF101" s="82" t="str">
        <f t="shared" si="37"/>
        <v>"C:\Program Files (x86)\AstroGrep\AstroGrep.exe" /e /r /s /spath="%USERPROFILE%\AppData\Local\Temp\OnboardLogs" /stypes="app*4027*20170320*" /stext=" 21:.+((SYSTEM_STATE.+slice.+state.+changed )|(ment ac)|(multiple cpu faults)|(system.+state.+changed )|(\[timeout)|(PRM\|1\|D)|(kpr)|(kdp)|(\|lc)|(penalty))"</v>
      </c>
      <c r="AG101" s="1" t="str">
        <f t="shared" si="38"/>
        <v>EC</v>
      </c>
      <c r="AH101" s="86" t="str">
        <f t="shared" si="39"/>
        <v>"%USERPROFILE%\Documents\GitHub\eaglep3\Utilities\RefineRTDCRunTimes.py" --tripid 189-20 --locoid 4027 --swversion DE.1.0.9.0 --startMP 204:449 --initTime 2017-03-20T14:43:19 --startdatetime 2017-03-20T14:50:36 --delay 1 --endMP 204:233299 --enddatetime 2017-03-20T15:30:21 --enforcementcount 0 &gt;&gt;C:\Users\stu\Documents\GitHub\eaglep3-reporting\EC\2017-03-20-refined-times.txt</v>
      </c>
      <c r="AI101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{"issue":{"subject":"","project_id":79,"tracker_id":40,"status_id":1,"priority_id":2,"assigned_to_id":23,"start_date":"2017-03-20","description":"","custom_fields":[{"id":1,"name":"Subdivision","value":"EC"},{"id":4,"name":"Milepost","value":"23.3299"},{"id":17,"name":"Train ID","value":"189-20"},{"id":16,"name":"Locomotive ID","value":"4027"},{"id":130,"name":"Impact","value":""},{"id":150,"name":"Time of Event (Mountain Time)","value":"15:30:21"},{"id":151,"name":"Denver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41"/>
        <v>start /low /b %USERPROFILE%\Documents\GitHub\eaglep3\Utilities\DownloadLogsFromS3.py --loco 4027 --day 2017-03-20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"%USERPROFILE%\AppData\Local\Temp\OnboardLogs"\RTDC4027\*4027*20170320* | grep -SE "(Enforcement Action)|(\[TIMEOUT)|(CHR.+\|PRM\|1\|D.+(SWITCH|SIGNAL).+UNKNOWN)" - &gt;&gt; 2017-03-20-UncaughtWiMAX.txt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631</v>
      </c>
      <c r="B102" s="7">
        <v>4028</v>
      </c>
      <c r="C102" s="21" t="s">
        <v>222</v>
      </c>
      <c r="D102" s="21" t="s">
        <v>873</v>
      </c>
      <c r="E102" s="13">
        <v>42814.651550925926</v>
      </c>
      <c r="F102" s="13">
        <v>42814.653726851851</v>
      </c>
      <c r="G102" s="7">
        <v>1</v>
      </c>
      <c r="H102" s="21" t="s">
        <v>877</v>
      </c>
      <c r="I102" s="13">
        <v>42814.683379629627</v>
      </c>
      <c r="J102" s="7">
        <v>0</v>
      </c>
      <c r="K102" s="98" t="str">
        <f t="shared" si="25"/>
        <v>4027/4028</v>
      </c>
      <c r="L102" s="21" t="str">
        <f>VLOOKUP(A102,'Trips&amp;Operators'!$C$1:$G$99999,5,FALSE)</f>
        <v>DAVIS MICHAEL</v>
      </c>
      <c r="M102" s="6">
        <f t="shared" si="26"/>
        <v>2.9652777775481809E-2</v>
      </c>
      <c r="N102" s="7">
        <f t="shared" si="42"/>
        <v>42.699999996693805</v>
      </c>
      <c r="O102" s="7"/>
      <c r="P102" s="7"/>
      <c r="Q102" s="22"/>
      <c r="R102" s="22"/>
      <c r="S102" s="31">
        <f t="shared" si="27"/>
        <v>1</v>
      </c>
      <c r="T102" s="46" t="str">
        <f t="shared" si="28"/>
        <v>Southbound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29"/>
        <v>https://d0f6bd738d7f1b3e5a7ca70fe4ff75f0.us-east-1.aws.found.io/app/kibana#/discover/Steve-Slow-Train-Analysis-(2080s-and-2083s)?_g=(refreshInterval:(display:Off,pause:!f,section:0,value:0),time:(from:'2017-03-20T14:38:14-0600',mode:absolute,to:'2017-03-20T17:24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2" s="187" t="str">
        <f t="shared" si="30"/>
        <v>N</v>
      </c>
      <c r="X102" s="187">
        <f t="shared" si="31"/>
        <v>1</v>
      </c>
      <c r="Y102" s="62">
        <f t="shared" si="32"/>
        <v>23.297799999999999</v>
      </c>
      <c r="Z102" s="62">
        <f t="shared" si="33"/>
        <v>1.78E-2</v>
      </c>
      <c r="AA102" s="62">
        <f t="shared" si="34"/>
        <v>23.279999999999998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5"/>
        <v>0190-20</v>
      </c>
      <c r="AE102" s="85" t="str">
        <f t="shared" si="36"/>
        <v>aws s3 cp s3://rtdc.mdm.uploadarchive.raw/RTDC4028/ "%USERPROFILE%\AppData\Local\Temp\OnboardLogs"\RTDC4028\2017-03-20 --exclude "*" --recursive --include "*20170320*" &amp; "%USERPROFILE%\Documents\GitHub\mrs-test-scripts\Headless Mode &amp; Sideloading\WalkAndUnGZ.bat" "%USERPROFILE%\AppData\Local\Temp\OnboardLogs"\RTDC4028\2017-03-20 &amp; aws s3 cp s3://rtdc.mdm.uploadarchive.raw/RTDC4028/ "%USERPROFILE%\AppData\Local\Temp\OnboardLogs"\RTDC4028\2017-03-21 --exclude "*" --recursive --include "*20170321*" &amp; "%USERPROFILE%\Documents\GitHub\mrs-test-scripts\Headless Mode &amp; Sideloading\WalkAndUnGZ.bat" "%USERPROFILE%\AppData\Local\Temp\OnboardLogs"\RTDC4028\2017-03-21</v>
      </c>
      <c r="AF102" s="82" t="str">
        <f t="shared" si="37"/>
        <v>"C:\Program Files (x86)\AstroGrep\AstroGrep.exe" /e /r /s /spath="%USERPROFILE%\AppData\Local\Temp\OnboardLogs" /stypes="app*4028*20170320*" /stext=" 22:.+((SYSTEM_STATE.+slice.+state.+changed )|(ment ac)|(multiple cpu faults)|(system.+state.+changed )|(\[timeout)|(PRM\|1\|D)|(kpr)|(kdp)|(\|lc)|(penalty))"</v>
      </c>
      <c r="AG102" s="1" t="str">
        <f t="shared" si="38"/>
        <v>EC</v>
      </c>
      <c r="AH102" s="86" t="str">
        <f t="shared" si="39"/>
        <v>"%USERPROFILE%\Documents\GitHub\eaglep3\Utilities\RefineRTDCRunTimes.py" --tripid 190-20 --locoid 4028 --swversion DE.1.0.9.0 --startMP 204:232978 --initTime 2017-03-20T15:38:14 --startdatetime 2017-03-20T15:41:22 --delay 1 --endMP 204:178 --enddatetime 2017-03-20T16:24:04 --enforcementcount 0 &gt;&gt;C:\Users\stu\Documents\GitHub\eaglep3-reporting\EC\2017-03-20-refined-times.txt</v>
      </c>
      <c r="AI102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{"issue":{"subject":"","project_id":79,"tracker_id":40,"status_id":1,"priority_id":2,"assigned_to_id":23,"start_date":"2017-03-20","description":"","custom_fields":[{"id":1,"name":"Subdivision","value":"EC"},{"id":4,"name":"Milepost","value":"0.0178"},{"id":17,"name":"Train ID","value":"190-20"},{"id":16,"name":"Locomotive ID","value":"4028"},{"id":130,"name":"Impact","value":""},{"id":150,"name":"Time of Event (Mountain Time)","value":"16:24:04"},{"id":151,"name":"Denver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41"/>
        <v>start /low /b %USERPROFILE%\Documents\GitHub\eaglep3\Utilities\DownloadLogsFromS3.py --loco 4028 --day 2017-03-20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"%USERPROFILE%\AppData\Local\Temp\OnboardLogs"\RTDC4028\*4028*20170320* | grep -SE "(Enforcement Action)|(\[TIMEOUT)|(CHR.+\|PRM\|1\|D.+(SWITCH|SIGNAL).+UNKNOWN)" - &gt;&gt; 2017-03-20-UncaughtWiMAX.txt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628</v>
      </c>
      <c r="B103" s="7">
        <v>4003</v>
      </c>
      <c r="C103" s="21" t="s">
        <v>222</v>
      </c>
      <c r="D103" s="21" t="s">
        <v>208</v>
      </c>
      <c r="E103" s="13">
        <v>42814.624120370368</v>
      </c>
      <c r="F103" s="13">
        <v>42814.625752314816</v>
      </c>
      <c r="G103" s="7">
        <v>1</v>
      </c>
      <c r="H103" s="21" t="s">
        <v>878</v>
      </c>
      <c r="I103" s="13">
        <v>42814.651782407411</v>
      </c>
      <c r="J103" s="7">
        <v>0</v>
      </c>
      <c r="K103" s="98" t="str">
        <f t="shared" si="25"/>
        <v>4003/4004</v>
      </c>
      <c r="L103" s="21" t="str">
        <f>VLOOKUP(A103,'Trips&amp;Operators'!$C$1:$G$99999,5,FALSE)</f>
        <v>MOSES BRADLEY</v>
      </c>
      <c r="M103" s="6">
        <f t="shared" si="26"/>
        <v>2.6030092594737653E-2</v>
      </c>
      <c r="N103" s="7">
        <f t="shared" si="42"/>
        <v>37.48333333642222</v>
      </c>
      <c r="O103" s="7"/>
      <c r="P103" s="7"/>
      <c r="Q103" s="22"/>
      <c r="R103" s="22"/>
      <c r="S103" s="31">
        <f t="shared" si="27"/>
        <v>1</v>
      </c>
      <c r="T103" s="46" t="str">
        <f t="shared" si="28"/>
        <v>NorthBound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29"/>
        <v>https://d0f6bd738d7f1b3e5a7ca70fe4ff75f0.us-east-1.aws.found.io/app/kibana#/discover/Steve-Slow-Train-Analysis-(2080s-and-2083s)?_g=(refreshInterval:(display:Off,pause:!f,section:0,value:0),time:(from:'2017-03-20T13:58:44-0600',mode:absolute,to:'2017-03-20T16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3" s="187" t="str">
        <f t="shared" si="30"/>
        <v>N</v>
      </c>
      <c r="X103" s="187">
        <f t="shared" si="31"/>
        <v>1</v>
      </c>
      <c r="Y103" s="62">
        <f t="shared" si="32"/>
        <v>4.5699999999999998E-2</v>
      </c>
      <c r="Z103" s="62">
        <v>23.3</v>
      </c>
      <c r="AA103" s="62">
        <f t="shared" si="34"/>
        <v>23.254300000000001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5"/>
        <v>0191-20</v>
      </c>
      <c r="AE103" s="85" t="str">
        <f t="shared" si="36"/>
        <v>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 &amp; 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</v>
      </c>
      <c r="AF103" s="82" t="str">
        <f t="shared" si="37"/>
        <v>"C:\Program Files (x86)\AstroGrep\AstroGrep.exe" /e /r /s /spath="%USERPROFILE%\AppData\Local\Temp\OnboardLogs" /stypes="app*4003*20170320*" /stext=" 21:.+((SYSTEM_STATE.+slice.+state.+changed )|(ment ac)|(multiple cpu faults)|(system.+state.+changed )|(\[timeout)|(PRM\|1\|D)|(kpr)|(kdp)|(\|lc)|(penalty))"</v>
      </c>
      <c r="AG103" s="1" t="str">
        <f t="shared" si="38"/>
        <v>EC</v>
      </c>
      <c r="AH103" s="86" t="str">
        <f t="shared" si="39"/>
        <v>"%USERPROFILE%\Documents\GitHub\eaglep3\Utilities\RefineRTDCRunTimes.py" --tripid 191-20 --locoid 4003 --swversion DE.1.0.9.0 --startMP 204:457 --initTime 2017-03-20T14:58:44 --startdatetime 2017-03-20T15:01:05 --delay 1 --endMP 204:131007 --enddatetime 2017-03-20T15:38:34 --enforcementcount 0 &gt;&gt;C:\Users\stu\Documents\GitHub\eaglep3-reporting\EC\2017-03-20-refined-times.txt</v>
      </c>
      <c r="AI103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{"issue":{"subject":"","project_id":79,"tracker_id":40,"status_id":1,"priority_id":2,"assigned_to_id":23,"start_date":"2017-03-20","description":"","custom_fields":[{"id":1,"name":"Subdivision","value":"EC"},{"id":4,"name":"Milepost","value":"23.3"},{"id":17,"name":"Train ID","value":"191-20"},{"id":16,"name":"Locomotive ID","value":"4003"},{"id":130,"name":"Impact","value":""},{"id":150,"name":"Time of Event (Mountain Time)","value":"15:38:34"},{"id":151,"name":"Denver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41"/>
        <v>start /low /b %USERPROFILE%\Documents\GitHub\eaglep3\Utilities\DownloadLogsFromS3.py --loco 4003 --day 2017-03-20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"%USERPROFILE%\AppData\Local\Temp\OnboardLogs"\RTDC4003\*4003*20170320* | grep -SE "(Enforcement Action)|(\[TIMEOUT)|(CHR.+\|PRM\|1\|D.+(SWITCH|SIGNAL).+UNKNOWN)" - &gt;&gt; 2017-03-20-UncaughtWiMAX.txt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766</v>
      </c>
      <c r="B104" s="7">
        <v>4004</v>
      </c>
      <c r="C104" s="21" t="s">
        <v>222</v>
      </c>
      <c r="D104" s="21" t="s">
        <v>855</v>
      </c>
      <c r="E104" s="13">
        <v>42814.661111111112</v>
      </c>
      <c r="F104" s="13">
        <v>42814.6640625</v>
      </c>
      <c r="G104" s="7">
        <v>1</v>
      </c>
      <c r="H104" s="21" t="s">
        <v>557</v>
      </c>
      <c r="I104" s="13">
        <v>42814.69189814815</v>
      </c>
      <c r="J104" s="7">
        <v>0</v>
      </c>
      <c r="K104" s="98" t="str">
        <f t="shared" si="25"/>
        <v>4003/4004</v>
      </c>
      <c r="L104" s="21" t="str">
        <f>VLOOKUP(A104,'Trips&amp;Operators'!$C$1:$G$99999,5,FALSE)</f>
        <v>MOSES BRADLEY</v>
      </c>
      <c r="M104" s="6">
        <f t="shared" si="26"/>
        <v>2.7835648150357883E-2</v>
      </c>
      <c r="N104" s="7">
        <f t="shared" si="42"/>
        <v>40.083333336515352</v>
      </c>
      <c r="O104" s="7"/>
      <c r="P104" s="7"/>
      <c r="Q104" s="22"/>
      <c r="R104" s="22"/>
      <c r="S104" s="31">
        <f t="shared" si="27"/>
        <v>1</v>
      </c>
      <c r="T104" s="46" t="str">
        <f t="shared" si="28"/>
        <v>Southbound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29"/>
        <v>https://d0f6bd738d7f1b3e5a7ca70fe4ff75f0.us-east-1.aws.found.io/app/kibana#/discover/Steve-Slow-Train-Analysis-(2080s-and-2083s)?_g=(refreshInterval:(display:Off,pause:!f,section:0,value:0),time:(from:'2017-03-20T14:52:00-0600',mode:absolute,to:'2017-03-20T17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4" s="187" t="str">
        <f t="shared" si="30"/>
        <v>N</v>
      </c>
      <c r="X104" s="187">
        <f t="shared" si="31"/>
        <v>1</v>
      </c>
      <c r="Y104" s="62">
        <f t="shared" si="32"/>
        <v>23.299399999999999</v>
      </c>
      <c r="Z104" s="62">
        <f t="shared" ref="Z104:Z148" si="43">RIGHT(H104,LEN(H104)-4)/10000</f>
        <v>1.61E-2</v>
      </c>
      <c r="AA104" s="62">
        <f t="shared" si="34"/>
        <v>23.283299999999997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5"/>
        <v>0192-20</v>
      </c>
      <c r="AE104" s="85" t="str">
        <f t="shared" si="36"/>
        <v>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 &amp; aws s3 cp s3://rtdc.mdm.uploadarchive.raw/RTDC4004/ "%USERPROFILE%\AppData\Local\Temp\OnboardLogs"\RTDC4004\2017-03-21 --exclude "*" --recursive --include "*20170321*" &amp; "%USERPROFILE%\Documents\GitHub\mrs-test-scripts\Headless Mode &amp; Sideloading\WalkAndUnGZ.bat" "%USERPROFILE%\AppData\Local\Temp\OnboardLogs"\RTDC4004\2017-03-21</v>
      </c>
      <c r="AF104" s="82" t="str">
        <f t="shared" si="37"/>
        <v>"C:\Program Files (x86)\AstroGrep\AstroGrep.exe" /e /r /s /spath="%USERPROFILE%\AppData\Local\Temp\OnboardLogs" /stypes="app*4004*20170320*" /stext=" 22:.+((SYSTEM_STATE.+slice.+state.+changed )|(ment ac)|(multiple cpu faults)|(system.+state.+changed )|(\[timeout)|(PRM\|1\|D)|(kpr)|(kdp)|(\|lc)|(penalty))"</v>
      </c>
      <c r="AG104" s="1" t="str">
        <f t="shared" si="38"/>
        <v>EC</v>
      </c>
      <c r="AH104" s="86" t="str">
        <f t="shared" si="39"/>
        <v>"%USERPROFILE%\Documents\GitHub\eaglep3\Utilities\RefineRTDCRunTimes.py" --tripid 192-20 --locoid 4004 --swversion DE.1.0.9.0 --startMP 204:232994 --initTime 2017-03-20T15:52:00 --startdatetime 2017-03-20T15:56:15 --delay 1 --endMP 204:161 --enddatetime 2017-03-20T16:36:20 --enforcementcount 0 &gt;&gt;C:\Users\stu\Documents\GitHub\eaglep3-reporting\EC\2017-03-20-refined-times.txt</v>
      </c>
      <c r="AI104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{"issue":{"subject":"","project_id":79,"tracker_id":40,"status_id":1,"priority_id":2,"assigned_to_id":23,"start_date":"2017-03-20","description":"","custom_fields":[{"id":1,"name":"Subdivision","value":"EC"},{"id":4,"name":"Milepost","value":"0.0161"},{"id":17,"name":"Train ID","value":"192-20"},{"id":16,"name":"Locomotive ID","value":"4004"},{"id":130,"name":"Impact","value":""},{"id":150,"name":"Time of Event (Mountain Time)","value":"16:36:20"},{"id":151,"name":"Denver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41"/>
        <v>start /low /b %USERPROFILE%\Documents\GitHub\eaglep3\Utilities\DownloadLogsFromS3.py --loco 4004 --day 2017-03-20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"%USERPROFILE%\AppData\Local\Temp\OnboardLogs"\RTDC4004\*4004*20170320* | grep -SE "(Enforcement Action)|(\[TIMEOUT)|(CHR.+\|PRM\|1\|D.+(SWITCH|SIGNAL).+UNKNOWN)" - &gt;&gt; 2017-03-20-UncaughtWiMAX.txt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760</v>
      </c>
      <c r="B105" s="7">
        <v>4042</v>
      </c>
      <c r="C105" s="21" t="s">
        <v>222</v>
      </c>
      <c r="D105" s="21" t="s">
        <v>397</v>
      </c>
      <c r="E105" s="13">
        <v>42814.630416666667</v>
      </c>
      <c r="F105" s="13">
        <v>42814.635775462964</v>
      </c>
      <c r="G105" s="7">
        <v>3</v>
      </c>
      <c r="H105" s="21" t="s">
        <v>851</v>
      </c>
      <c r="I105" s="13">
        <v>42814.663634259261</v>
      </c>
      <c r="J105" s="7">
        <v>0</v>
      </c>
      <c r="K105" s="98" t="str">
        <f t="shared" si="25"/>
        <v>4041/4042</v>
      </c>
      <c r="L105" s="21" t="str">
        <f>VLOOKUP(A105,'Trips&amp;Operators'!$C$1:$G$99999,5,FALSE)</f>
        <v>MACDONALD THOMAS</v>
      </c>
      <c r="M105" s="6">
        <f t="shared" si="26"/>
        <v>2.7858796296641231E-2</v>
      </c>
      <c r="N105" s="7">
        <f t="shared" si="42"/>
        <v>40.116666667163372</v>
      </c>
      <c r="O105" s="7"/>
      <c r="P105" s="7"/>
      <c r="Q105" s="22"/>
      <c r="R105" s="22"/>
      <c r="S105" s="31">
        <f t="shared" si="27"/>
        <v>1</v>
      </c>
      <c r="T105" s="46" t="str">
        <f t="shared" si="28"/>
        <v>NorthBound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29"/>
        <v>https://d0f6bd738d7f1b3e5a7ca70fe4ff75f0.us-east-1.aws.found.io/app/kibana#/discover/Steve-Slow-Train-Analysis-(2080s-and-2083s)?_g=(refreshInterval:(display:Off,pause:!f,section:0,value:0),time:(from:'2017-03-20T14:07:48-0600',mode:absolute,to:'2017-03-20T16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5" s="187" t="str">
        <f t="shared" si="30"/>
        <v>N</v>
      </c>
      <c r="X105" s="187">
        <f t="shared" si="31"/>
        <v>1</v>
      </c>
      <c r="Y105" s="62">
        <f t="shared" si="32"/>
        <v>4.6199999999999998E-2</v>
      </c>
      <c r="Z105" s="62">
        <f t="shared" si="43"/>
        <v>23.331099999999999</v>
      </c>
      <c r="AA105" s="62">
        <f t="shared" si="34"/>
        <v>23.2849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5"/>
        <v>0193-20</v>
      </c>
      <c r="AE105" s="85" t="str">
        <f t="shared" si="36"/>
        <v>aws s3 cp s3://rtdc.mdm.uploadarchive.raw/RTDC4042/ "%USERPROFILE%\AppData\Local\Temp\OnboardLogs"\RTDC4042\2017-03-20 --exclude "*" --recursive --include "*20170320*" &amp; "%USERPROFILE%\Documents\GitHub\mrs-test-scripts\Headless Mode &amp; Sideloading\WalkAndUnGZ.bat" "%USERPROFILE%\AppData\Local\Temp\OnboardLogs"\RTDC4042\2017-03-20 &amp; aws s3 cp s3://rtdc.mdm.uploadarchive.raw/RTDC4042/ "%USERPROFILE%\AppData\Local\Temp\OnboardLogs"\RTDC4042\2017-03-21 --exclude "*" --recursive --include "*20170321*" &amp; "%USERPROFILE%\Documents\GitHub\mrs-test-scripts\Headless Mode &amp; Sideloading\WalkAndUnGZ.bat" "%USERPROFILE%\AppData\Local\Temp\OnboardLogs"\RTDC4042\2017-03-21</v>
      </c>
      <c r="AF105" s="82" t="str">
        <f t="shared" si="37"/>
        <v>"C:\Program Files (x86)\AstroGrep\AstroGrep.exe" /e /r /s /spath="%USERPROFILE%\AppData\Local\Temp\OnboardLogs" /stypes="app*4042*20170320*" /stext=" 21:.+((SYSTEM_STATE.+slice.+state.+changed )|(ment ac)|(multiple cpu faults)|(system.+state.+changed )|(\[timeout)|(PRM\|1\|D)|(kpr)|(kdp)|(\|lc)|(penalty))"</v>
      </c>
      <c r="AG105" s="1" t="str">
        <f t="shared" si="38"/>
        <v>EC</v>
      </c>
      <c r="AH105" s="86" t="str">
        <f t="shared" si="39"/>
        <v>"%USERPROFILE%\Documents\GitHub\eaglep3\Utilities\RefineRTDCRunTimes.py" --tripid 193-20 --locoid 4042 --swversion DE.1.0.9.0 --startMP 204:462 --initTime 2017-03-20T15:07:48 --startdatetime 2017-03-20T15:15:31 --delay 3 --endMP 204:233311 --enddatetime 2017-03-20T15:55:38 --enforcementcount 0 &gt;&gt;C:\Users\stu\Documents\GitHub\eaglep3-reporting\EC\2017-03-20-refined-times.txt</v>
      </c>
      <c r="AI105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{"issue":{"subject":"","project_id":79,"tracker_id":40,"status_id":1,"priority_id":2,"assigned_to_id":23,"start_date":"2017-03-20","description":"","custom_fields":[{"id":1,"name":"Subdivision","value":"EC"},{"id":4,"name":"Milepost","value":"23.3311"},{"id":17,"name":"Train ID","value":"193-20"},{"id":16,"name":"Locomotive ID","value":"4042"},{"id":130,"name":"Impact","value":""},{"id":150,"name":"Time of Event (Mountain Time)","value":"15:55:38"},{"id":151,"name":"Denver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41"/>
        <v>start /low /b %USERPROFILE%\Documents\GitHub\eaglep3\Utilities\DownloadLogsFromS3.py --loco 4042 --day 2017-03-20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"%USERPROFILE%\AppData\Local\Temp\OnboardLogs"\RTDC4042\*4042*20170320* | grep -SE "(Enforcement Action)|(\[TIMEOUT)|(CHR.+\|PRM\|1\|D.+(SWITCH|SIGNAL).+UNKNOWN)" - &gt;&gt; 2017-03-20-UncaughtWiMAX.txt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769</v>
      </c>
      <c r="B106" s="7">
        <v>4041</v>
      </c>
      <c r="C106" s="21" t="s">
        <v>222</v>
      </c>
      <c r="D106" s="21" t="s">
        <v>873</v>
      </c>
      <c r="E106" s="13">
        <v>42814.670995370368</v>
      </c>
      <c r="F106" s="13">
        <v>42814.674907407411</v>
      </c>
      <c r="G106" s="7">
        <v>3</v>
      </c>
      <c r="H106" s="21" t="s">
        <v>579</v>
      </c>
      <c r="I106" s="13">
        <v>42814.70511574074</v>
      </c>
      <c r="J106" s="7">
        <v>0</v>
      </c>
      <c r="K106" s="98" t="str">
        <f t="shared" si="25"/>
        <v>4041/4042</v>
      </c>
      <c r="L106" s="21" t="str">
        <f>VLOOKUP(A106,'Trips&amp;Operators'!$C$1:$G$99999,5,FALSE)</f>
        <v>MACDONALD THOMAS</v>
      </c>
      <c r="M106" s="6">
        <f t="shared" si="26"/>
        <v>3.0208333329937886E-2</v>
      </c>
      <c r="N106" s="7">
        <f t="shared" si="42"/>
        <v>43.499999995110556</v>
      </c>
      <c r="O106" s="7"/>
      <c r="P106" s="7"/>
      <c r="Q106" s="22"/>
      <c r="R106" s="22"/>
      <c r="S106" s="31">
        <f t="shared" si="27"/>
        <v>1</v>
      </c>
      <c r="T106" s="46" t="str">
        <f t="shared" si="28"/>
        <v>Southbound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29"/>
        <v>https://d0f6bd738d7f1b3e5a7ca70fe4ff75f0.us-east-1.aws.found.io/app/kibana#/discover/Steve-Slow-Train-Analysis-(2080s-and-2083s)?_g=(refreshInterval:(display:Off,pause:!f,section:0,value:0),time:(from:'2017-03-20T15:06:14-0600',mode:absolute,to:'2017-03-20T17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6" s="187" t="str">
        <f t="shared" si="30"/>
        <v>N</v>
      </c>
      <c r="X106" s="187">
        <f t="shared" si="31"/>
        <v>1</v>
      </c>
      <c r="Y106" s="62">
        <f t="shared" si="32"/>
        <v>23.297799999999999</v>
      </c>
      <c r="Z106" s="62">
        <f t="shared" si="43"/>
        <v>1.6500000000000001E-2</v>
      </c>
      <c r="AA106" s="62">
        <f t="shared" si="34"/>
        <v>23.281299999999998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5"/>
        <v>0194-20</v>
      </c>
      <c r="AE106" s="85" t="str">
        <f t="shared" si="36"/>
        <v>aws s3 cp s3://rtdc.mdm.uploadarchive.raw/RTDC4041/ "%USERPROFILE%\AppData\Local\Temp\OnboardLogs"\RTDC4041\2017-03-20 --exclude "*" --recursive --include "*20170320*" &amp; "%USERPROFILE%\Documents\GitHub\mrs-test-scripts\Headless Mode &amp; Sideloading\WalkAndUnGZ.bat" "%USERPROFILE%\AppData\Local\Temp\OnboardLogs"\RTDC4041\2017-03-20 &amp; aws s3 cp s3://rtdc.mdm.uploadarchive.raw/RTDC4041/ "%USERPROFILE%\AppData\Local\Temp\OnboardLogs"\RTDC4041\2017-03-21 --exclude "*" --recursive --include "*20170321*" &amp; "%USERPROFILE%\Documents\GitHub\mrs-test-scripts\Headless Mode &amp; Sideloading\WalkAndUnGZ.bat" "%USERPROFILE%\AppData\Local\Temp\OnboardLogs"\RTDC4041\2017-03-21</v>
      </c>
      <c r="AF106" s="82" t="str">
        <f t="shared" si="37"/>
        <v>"C:\Program Files (x86)\AstroGrep\AstroGrep.exe" /e /r /s /spath="%USERPROFILE%\AppData\Local\Temp\OnboardLogs" /stypes="app*4041*20170320*" /stext=" 22:.+((SYSTEM_STATE.+slice.+state.+changed )|(ment ac)|(multiple cpu faults)|(system.+state.+changed )|(\[timeout)|(PRM\|1\|D)|(kpr)|(kdp)|(\|lc)|(penalty))"</v>
      </c>
      <c r="AG106" s="1" t="str">
        <f t="shared" si="38"/>
        <v>EC</v>
      </c>
      <c r="AH106" s="86" t="str">
        <f t="shared" si="39"/>
        <v>"%USERPROFILE%\Documents\GitHub\eaglep3\Utilities\RefineRTDCRunTimes.py" --tripid 194-20 --locoid 4041 --swversion DE.1.0.9.0 --startMP 204:232978 --initTime 2017-03-20T16:06:14 --startdatetime 2017-03-20T16:11:52 --delay 3 --endMP 204:165 --enddatetime 2017-03-20T16:55:22 --enforcementcount 0 &gt;&gt;C:\Users\stu\Documents\GitHub\eaglep3-reporting\EC\2017-03-20-refined-times.txt</v>
      </c>
      <c r="AI106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{"issue":{"subject":"","project_id":79,"tracker_id":40,"status_id":1,"priority_id":2,"assigned_to_id":23,"start_date":"2017-03-20","description":"","custom_fields":[{"id":1,"name":"Subdivision","value":"EC"},{"id":4,"name":"Milepost","value":"0.0165"},{"id":17,"name":"Train ID","value":"194-20"},{"id":16,"name":"Locomotive ID","value":"4041"},{"id":130,"name":"Impact","value":""},{"id":150,"name":"Time of Event (Mountain Time)","value":"16:55:22"},{"id":151,"name":"Denver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41"/>
        <v>start /low /b %USERPROFILE%\Documents\GitHub\eaglep3\Utilities\DownloadLogsFromS3.py --loco 4041 --day 2017-03-20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"%USERPROFILE%\AppData\Local\Temp\OnboardLogs"\RTDC4041\*4041*20170320* | grep -SE "(Enforcement Action)|(\[TIMEOUT)|(CHR.+\|PRM\|1\|D.+(SWITCH|SIGNAL).+UNKNOWN)" - &gt;&gt; 2017-03-20-UncaughtWiMAX.txt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763</v>
      </c>
      <c r="B107" s="7">
        <v>4022</v>
      </c>
      <c r="C107" s="21" t="s">
        <v>222</v>
      </c>
      <c r="D107" s="21" t="s">
        <v>208</v>
      </c>
      <c r="E107" s="13">
        <v>42814.642604166664</v>
      </c>
      <c r="F107" s="13">
        <v>42814.646053240744</v>
      </c>
      <c r="G107" s="7">
        <v>1</v>
      </c>
      <c r="H107" s="21" t="s">
        <v>879</v>
      </c>
      <c r="I107" s="13">
        <v>42814.6715625</v>
      </c>
      <c r="J107" s="7">
        <v>0</v>
      </c>
      <c r="K107" s="98" t="str">
        <f t="shared" si="25"/>
        <v>4021/4022</v>
      </c>
      <c r="L107" s="21" t="str">
        <f>VLOOKUP(A107,'Trips&amp;Operators'!$C$1:$G$99999,5,FALSE)</f>
        <v>LOCKLEAR TRAVIS</v>
      </c>
      <c r="M107" s="6">
        <f t="shared" si="26"/>
        <v>2.5509259256068617E-2</v>
      </c>
      <c r="N107" s="7">
        <f t="shared" si="42"/>
        <v>36.733333328738809</v>
      </c>
      <c r="O107" s="7"/>
      <c r="P107" s="7"/>
      <c r="Q107" s="22"/>
      <c r="R107" s="22"/>
      <c r="S107" s="31">
        <f t="shared" si="27"/>
        <v>1</v>
      </c>
      <c r="T107" s="46" t="str">
        <f t="shared" si="28"/>
        <v>NorthBound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29"/>
        <v>https://d0f6bd738d7f1b3e5a7ca70fe4ff75f0.us-east-1.aws.found.io/app/kibana#/discover/Steve-Slow-Train-Analysis-(2080s-and-2083s)?_g=(refreshInterval:(display:Off,pause:!f,section:0,value:0),time:(from:'2017-03-20T14:25:21-0600',mode:absolute,to:'2017-03-20T17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7" s="187" t="str">
        <f t="shared" si="30"/>
        <v>N</v>
      </c>
      <c r="X107" s="187">
        <f t="shared" si="31"/>
        <v>1</v>
      </c>
      <c r="Y107" s="62">
        <f t="shared" si="32"/>
        <v>4.5699999999999998E-2</v>
      </c>
      <c r="Z107" s="62">
        <f t="shared" si="43"/>
        <v>23.335100000000001</v>
      </c>
      <c r="AA107" s="62">
        <f t="shared" si="34"/>
        <v>23.289400000000001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5"/>
        <v>0195-20</v>
      </c>
      <c r="AE107" s="85" t="str">
        <f t="shared" si="36"/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AF107" s="82" t="str">
        <f t="shared" si="37"/>
        <v>"C:\Program Files (x86)\AstroGrep\AstroGrep.exe" /e /r /s /spath="%USERPROFILE%\AppData\Local\Temp\OnboardLogs" /stypes="app*4022*20170320*" /stext=" 22:.+((SYSTEM_STATE.+slice.+state.+changed )|(ment ac)|(multiple cpu faults)|(system.+state.+changed )|(\[timeout)|(PRM\|1\|D)|(kpr)|(kdp)|(\|lc)|(penalty))"</v>
      </c>
      <c r="AG107" s="1" t="str">
        <f t="shared" si="38"/>
        <v>EC</v>
      </c>
      <c r="AH107" s="86" t="str">
        <f t="shared" si="39"/>
        <v>"%USERPROFILE%\Documents\GitHub\eaglep3\Utilities\RefineRTDCRunTimes.py" --tripid 195-20 --locoid 4022 --swversion DE.1.0.9.0 --startMP 204:457 --initTime 2017-03-20T15:25:21 --startdatetime 2017-03-20T15:30:19 --delay 1 --endMP 204:233351 --enddatetime 2017-03-20T16:07:03 --enforcementcount 0 &gt;&gt;C:\Users\stu\Documents\GitHub\eaglep3-reporting\EC\2017-03-20-refined-times.txt</v>
      </c>
      <c r="AI107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{"issue":{"subject":"","project_id":79,"tracker_id":40,"status_id":1,"priority_id":2,"assigned_to_id":23,"start_date":"2017-03-20","description":"","custom_fields":[{"id":1,"name":"Subdivision","value":"EC"},{"id":4,"name":"Milepost","value":"23.3351"},{"id":17,"name":"Train ID","value":"195-20"},{"id":16,"name":"Locomotive ID","value":"4022"},{"id":130,"name":"Impact","value":""},{"id":150,"name":"Time of Event (Mountain Time)","value":"16:07:03"},{"id":151,"name":"Denver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41"/>
        <v>start /low /b %USERPROFILE%\Documents\GitHub\eaglep3\Utilities\DownloadLogsFromS3.py --loco 4022 --day 2017-03-20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"%USERPROFILE%\AppData\Local\Temp\OnboardLogs"\RTDC4022\*4022*20170320* | grep -SE "(Enforcement Action)|(\[TIMEOUT)|(CHR.+\|PRM\|1\|D.+(SWITCH|SIGNAL).+UNKNOWN)" - &gt;&gt; 2017-03-20-UncaughtWiMAX.txt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772</v>
      </c>
      <c r="B108" s="7">
        <v>4021</v>
      </c>
      <c r="C108" s="21" t="s">
        <v>222</v>
      </c>
      <c r="D108" s="21" t="s">
        <v>880</v>
      </c>
      <c r="E108" s="13">
        <v>42814.682280092595</v>
      </c>
      <c r="F108" s="13">
        <v>42814.684907407405</v>
      </c>
      <c r="G108" s="7">
        <v>1</v>
      </c>
      <c r="H108" s="21" t="s">
        <v>450</v>
      </c>
      <c r="I108" s="13">
        <v>42814.712951388887</v>
      </c>
      <c r="J108" s="7">
        <v>0</v>
      </c>
      <c r="K108" s="98" t="str">
        <f t="shared" si="25"/>
        <v>4021/4022</v>
      </c>
      <c r="L108" s="21" t="str">
        <f>VLOOKUP(A108,'Trips&amp;Operators'!$C$1:$G$99999,5,FALSE)</f>
        <v>LOCKLEAR TRAVIS</v>
      </c>
      <c r="M108" s="6">
        <f t="shared" si="26"/>
        <v>2.8043981481459923E-2</v>
      </c>
      <c r="N108" s="7">
        <f t="shared" si="42"/>
        <v>40.383333333302289</v>
      </c>
      <c r="O108" s="7"/>
      <c r="P108" s="7"/>
      <c r="Q108" s="22"/>
      <c r="R108" s="22"/>
      <c r="S108" s="31">
        <f t="shared" si="27"/>
        <v>1</v>
      </c>
      <c r="T108" s="46" t="str">
        <f t="shared" si="28"/>
        <v>Southbound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29"/>
        <v>https://d0f6bd738d7f1b3e5a7ca70fe4ff75f0.us-east-1.aws.found.io/app/kibana#/discover/Steve-Slow-Train-Analysis-(2080s-and-2083s)?_g=(refreshInterval:(display:Off,pause:!f,section:0,value:0),time:(from:'2017-03-20T15:22:29-0600',mode:absolute,to:'2017-03-20T18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8" s="187" t="str">
        <f t="shared" si="30"/>
        <v>N</v>
      </c>
      <c r="X108" s="187">
        <f t="shared" si="31"/>
        <v>1</v>
      </c>
      <c r="Y108" s="62">
        <f t="shared" si="32"/>
        <v>23.305299999999999</v>
      </c>
      <c r="Z108" s="62">
        <f t="shared" si="43"/>
        <v>1.6E-2</v>
      </c>
      <c r="AA108" s="62">
        <f t="shared" si="34"/>
        <v>23.289300000000001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5"/>
        <v>0196-20</v>
      </c>
      <c r="AE108" s="85" t="str">
        <f t="shared" si="36"/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AF108" s="82" t="str">
        <f t="shared" si="37"/>
        <v>"C:\Program Files (x86)\AstroGrep\AstroGrep.exe" /e /r /s /spath="%USERPROFILE%\AppData\Local\Temp\OnboardLogs" /stypes="app*4021*20170320*" /stext=" 23:.+((SYSTEM_STATE.+slice.+state.+changed )|(ment ac)|(multiple cpu faults)|(system.+state.+changed )|(\[timeout)|(PRM\|1\|D)|(kpr)|(kdp)|(\|lc)|(penalty))"</v>
      </c>
      <c r="AG108" s="1" t="str">
        <f t="shared" si="38"/>
        <v>EC</v>
      </c>
      <c r="AH108" s="86" t="str">
        <f t="shared" si="39"/>
        <v>"%USERPROFILE%\Documents\GitHub\eaglep3\Utilities\RefineRTDCRunTimes.py" --tripid 196-20 --locoid 4021 --swversion DE.1.0.9.0 --startMP 204:233053 --initTime 2017-03-20T16:22:29 --startdatetime 2017-03-20T16:26:16 --delay 1 --endMP 204:160 --enddatetime 2017-03-20T17:06:39 --enforcementcount 0 &gt;&gt;C:\Users\stu\Documents\GitHub\eaglep3-reporting\EC\2017-03-20-refined-times.txt</v>
      </c>
      <c r="AI108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{"issue":{"subject":"","project_id":79,"tracker_id":40,"status_id":1,"priority_id":2,"assigned_to_id":23,"start_date":"2017-03-20","description":"","custom_fields":[{"id":1,"name":"Subdivision","value":"EC"},{"id":4,"name":"Milepost","value":"0.016"},{"id":17,"name":"Train ID","value":"196-20"},{"id":16,"name":"Locomotive ID","value":"4021"},{"id":130,"name":"Impact","value":""},{"id":150,"name":"Time of Event (Mountain Time)","value":"17:06:39"},{"id":151,"name":"Denver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41"/>
        <v>start /low /b %USERPROFILE%\Documents\GitHub\eaglep3\Utilities\DownloadLogsFromS3.py --loco 4021 --day 2017-03-20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"%USERPROFILE%\AppData\Local\Temp\OnboardLogs"\RTDC4021\*4021*20170320* | grep -SE "(Enforcement Action)|(\[TIMEOUT)|(CHR.+\|PRM\|1\|D.+(SWITCH|SIGNAL).+UNKNOWN)" - &gt;&gt; 2017-03-20-UncaughtWiMAX.txt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765</v>
      </c>
      <c r="B109" s="7">
        <v>4018</v>
      </c>
      <c r="C109" s="21" t="s">
        <v>222</v>
      </c>
      <c r="D109" s="21" t="s">
        <v>397</v>
      </c>
      <c r="E109" s="13">
        <v>42814.655416666668</v>
      </c>
      <c r="F109" s="13">
        <v>42814.65729166667</v>
      </c>
      <c r="G109" s="7">
        <v>1</v>
      </c>
      <c r="H109" s="21" t="s">
        <v>561</v>
      </c>
      <c r="I109" s="13">
        <v>42814.684398148151</v>
      </c>
      <c r="J109" s="7">
        <v>0</v>
      </c>
      <c r="K109" s="98" t="str">
        <f t="shared" si="25"/>
        <v>4017/4018</v>
      </c>
      <c r="L109" s="21" t="str">
        <f>VLOOKUP(A109,'Trips&amp;Operators'!$C$1:$G$99999,5,FALSE)</f>
        <v>MENGES BRAD</v>
      </c>
      <c r="M109" s="6">
        <f t="shared" si="26"/>
        <v>2.7106481480586808E-2</v>
      </c>
      <c r="N109" s="7">
        <f t="shared" si="42"/>
        <v>39.033333332045004</v>
      </c>
      <c r="O109" s="7"/>
      <c r="P109" s="7"/>
      <c r="Q109" s="22"/>
      <c r="R109" s="22"/>
      <c r="S109" s="31">
        <f t="shared" ref="S109:S123" si="44">SUM(U109:U109)/IF(AG109="EC",12,1)</f>
        <v>1</v>
      </c>
      <c r="T109" s="46" t="str">
        <f t="shared" si="28"/>
        <v>NorthBound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29"/>
        <v>https://d0f6bd738d7f1b3e5a7ca70fe4ff75f0.us-east-1.aws.found.io/app/kibana#/discover/Steve-Slow-Train-Analysis-(2080s-and-2083s)?_g=(refreshInterval:(display:Off,pause:!f,section:0,value:0),time:(from:'2017-03-20T14:43:48-0600',mode:absolute,to:'2017-03-20T17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9" s="187" t="str">
        <f t="shared" si="30"/>
        <v>N</v>
      </c>
      <c r="X109" s="187">
        <f t="shared" ref="X109:X140" si="45">VALUE(LEFT(AD109,4))-VALUE(LEFT(AD108,4))</f>
        <v>1</v>
      </c>
      <c r="Y109" s="62">
        <f t="shared" si="32"/>
        <v>4.6199999999999998E-2</v>
      </c>
      <c r="Z109" s="62">
        <f t="shared" si="43"/>
        <v>23.327999999999999</v>
      </c>
      <c r="AA109" s="62">
        <f t="shared" si="34"/>
        <v>23.2818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5"/>
        <v>0197-20</v>
      </c>
      <c r="AE109" s="85" t="str">
        <f t="shared" si="36"/>
        <v>aws s3 cp s3://rtdc.mdm.uploadarchive.raw/RTDC4018/ "%USERPROFILE%\AppData\Local\Temp\OnboardLogs"\RTDC4018\2017-03-20 --exclude "*" --recursive --include "*20170320*" &amp; "%USERPROFILE%\Documents\GitHub\mrs-test-scripts\Headless Mode &amp; Sideloading\WalkAndUnGZ.bat" "%USERPROFILE%\AppData\Local\Temp\OnboardLogs"\RTDC4018\2017-03-20 &amp; aws s3 cp s3://rtdc.mdm.uploadarchive.raw/RTDC4018/ "%USERPROFILE%\AppData\Local\Temp\OnboardLogs"\RTDC4018\2017-03-21 --exclude "*" --recursive --include "*20170321*" &amp; "%USERPROFILE%\Documents\GitHub\mrs-test-scripts\Headless Mode &amp; Sideloading\WalkAndUnGZ.bat" "%USERPROFILE%\AppData\Local\Temp\OnboardLogs"\RTDC4018\2017-03-21</v>
      </c>
      <c r="AF109" s="82" t="str">
        <f t="shared" si="37"/>
        <v>"C:\Program Files (x86)\AstroGrep\AstroGrep.exe" /e /r /s /spath="%USERPROFILE%\AppData\Local\Temp\OnboardLogs" /stypes="app*4018*20170320*" /stext=" 22:.+((SYSTEM_STATE.+slice.+state.+changed )|(ment ac)|(multiple cpu faults)|(system.+state.+changed )|(\[timeout)|(PRM\|1\|D)|(kpr)|(kdp)|(\|lc)|(penalty))"</v>
      </c>
      <c r="AG109" s="1" t="str">
        <f t="shared" si="38"/>
        <v>EC</v>
      </c>
      <c r="AH109" s="86" t="str">
        <f t="shared" si="39"/>
        <v>"%USERPROFILE%\Documents\GitHub\eaglep3\Utilities\RefineRTDCRunTimes.py" --tripid 197-20 --locoid 4018 --swversion DE.1.0.9.0 --startMP 204:462 --initTime 2017-03-20T15:43:48 --startdatetime 2017-03-20T15:46:30 --delay 1 --endMP 204:233280 --enddatetime 2017-03-20T16:25:32 --enforcementcount 0 &gt;&gt;C:\Users\stu\Documents\GitHub\eaglep3-reporting\EC\2017-03-20-refined-times.txt</v>
      </c>
      <c r="AI109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{"issue":{"subject":"","project_id":79,"tracker_id":40,"status_id":1,"priority_id":2,"assigned_to_id":23,"start_date":"2017-03-20","description":"","custom_fields":[{"id":1,"name":"Subdivision","value":"EC"},{"id":4,"name":"Milepost","value":"23.328"},{"id":17,"name":"Train ID","value":"197-20"},{"id":16,"name":"Locomotive ID","value":"4018"},{"id":130,"name":"Impact","value":""},{"id":150,"name":"Time of Event (Mountain Time)","value":"16:25:32"},{"id":151,"name":"Denver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41"/>
        <v>start /low /b %USERPROFILE%\Documents\GitHub\eaglep3\Utilities\DownloadLogsFromS3.py --loco 4018 --day 2017-03-20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"%USERPROFILE%\AppData\Local\Temp\OnboardLogs"\RTDC4018\*4018*20170320* | grep -SE "(Enforcement Action)|(\[TIMEOUT)|(CHR.+\|PRM\|1\|D.+(SWITCH|SIGNAL).+UNKNOWN)" - &gt;&gt; 2017-03-20-UncaughtWiMAX.txt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633</v>
      </c>
      <c r="B110" s="7">
        <v>4017</v>
      </c>
      <c r="C110" s="21" t="s">
        <v>222</v>
      </c>
      <c r="D110" s="21" t="s">
        <v>562</v>
      </c>
      <c r="E110" s="13">
        <v>42814.690625000003</v>
      </c>
      <c r="F110" s="13">
        <v>42814.695439814815</v>
      </c>
      <c r="G110" s="7">
        <v>1</v>
      </c>
      <c r="H110" s="21" t="s">
        <v>184</v>
      </c>
      <c r="I110" s="13">
        <v>42814.724062499998</v>
      </c>
      <c r="J110" s="7">
        <v>0</v>
      </c>
      <c r="K110" s="98" t="str">
        <f t="shared" si="25"/>
        <v>4017/4018</v>
      </c>
      <c r="L110" s="21" t="str">
        <f>VLOOKUP(A110,'Trips&amp;Operators'!$C$1:$G$99999,5,FALSE)</f>
        <v>MENGES BRAD</v>
      </c>
      <c r="M110" s="6">
        <f t="shared" si="26"/>
        <v>2.8622685182199348E-2</v>
      </c>
      <c r="N110" s="7">
        <f t="shared" si="42"/>
        <v>41.216666662367061</v>
      </c>
      <c r="O110" s="7"/>
      <c r="P110" s="7"/>
      <c r="Q110" s="22"/>
      <c r="R110" s="22"/>
      <c r="S110" s="31">
        <f t="shared" si="44"/>
        <v>1</v>
      </c>
      <c r="T110" s="46" t="str">
        <f t="shared" si="28"/>
        <v>Southbound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29"/>
        <v>https://d0f6bd738d7f1b3e5a7ca70fe4ff75f0.us-east-1.aws.found.io/app/kibana#/discover/Steve-Slow-Train-Analysis-(2080s-and-2083s)?_g=(refreshInterval:(display:Off,pause:!f,section:0,value:0),time:(from:'2017-03-20T15:34:30-0600',mode:absolute,to:'2017-03-20T18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0" s="187" t="str">
        <f t="shared" si="30"/>
        <v>N</v>
      </c>
      <c r="X110" s="187">
        <f t="shared" si="45"/>
        <v>1</v>
      </c>
      <c r="Y110" s="62">
        <f t="shared" si="32"/>
        <v>23.2957</v>
      </c>
      <c r="Z110" s="62">
        <f t="shared" si="43"/>
        <v>1.49E-2</v>
      </c>
      <c r="AA110" s="62">
        <f t="shared" si="34"/>
        <v>23.280799999999999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5"/>
        <v>0198-20</v>
      </c>
      <c r="AE110" s="85" t="str">
        <f t="shared" si="36"/>
        <v>aws s3 cp s3://rtdc.mdm.uploadarchive.raw/RTDC4017/ "%USERPROFILE%\AppData\Local\Temp\OnboardLogs"\RTDC4017\2017-03-20 --exclude "*" --recursive --include "*20170320*" &amp; "%USERPROFILE%\Documents\GitHub\mrs-test-scripts\Headless Mode &amp; Sideloading\WalkAndUnGZ.bat" "%USERPROFILE%\AppData\Local\Temp\OnboardLogs"\RTDC4017\2017-03-20 &amp; aws s3 cp s3://rtdc.mdm.uploadarchive.raw/RTDC4017/ "%USERPROFILE%\AppData\Local\Temp\OnboardLogs"\RTDC4017\2017-03-21 --exclude "*" --recursive --include "*20170321*" &amp; "%USERPROFILE%\Documents\GitHub\mrs-test-scripts\Headless Mode &amp; Sideloading\WalkAndUnGZ.bat" "%USERPROFILE%\AppData\Local\Temp\OnboardLogs"\RTDC4017\2017-03-21</v>
      </c>
      <c r="AF110" s="82" t="str">
        <f t="shared" si="37"/>
        <v>"C:\Program Files (x86)\AstroGrep\AstroGrep.exe" /e /r /s /spath="%USERPROFILE%\AppData\Local\Temp\OnboardLogs" /stypes="app*4017*20170320*" /stext=" 23:.+((SYSTEM_STATE.+slice.+state.+changed )|(ment ac)|(multiple cpu faults)|(system.+state.+changed )|(\[timeout)|(PRM\|1\|D)|(kpr)|(kdp)|(\|lc)|(penalty))"</v>
      </c>
      <c r="AG110" s="1" t="str">
        <f t="shared" si="38"/>
        <v>EC</v>
      </c>
      <c r="AH110" s="86" t="str">
        <f t="shared" si="39"/>
        <v>"%USERPROFILE%\Documents\GitHub\eaglep3\Utilities\RefineRTDCRunTimes.py" --tripid 198-20 --locoid 4017 --swversion DE.1.0.9.0 --startMP 204:232957 --initTime 2017-03-20T16:34:30 --startdatetime 2017-03-20T16:41:26 --delay 1 --endMP 204:149 --enddatetime 2017-03-20T17:22:39 --enforcementcount 0 &gt;&gt;C:\Users\stu\Documents\GitHub\eaglep3-reporting\EC\2017-03-20-refined-times.txt</v>
      </c>
      <c r="AI110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{"issue":{"subject":"","project_id":79,"tracker_id":40,"status_id":1,"priority_id":2,"assigned_to_id":23,"start_date":"2017-03-20","description":"","custom_fields":[{"id":1,"name":"Subdivision","value":"EC"},{"id":4,"name":"Milepost","value":"0.0149"},{"id":17,"name":"Train ID","value":"198-20"},{"id":16,"name":"Locomotive ID","value":"4017"},{"id":130,"name":"Impact","value":""},{"id":150,"name":"Time of Event (Mountain Time)","value":"17:22:39"},{"id":151,"name":"Denver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41"/>
        <v>start /low /b %USERPROFILE%\Documents\GitHub\eaglep3\Utilities\DownloadLogsFromS3.py --loco 4017 --day 2017-03-20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"%USERPROFILE%\AppData\Local\Temp\OnboardLogs"\RTDC4017\*4017*20170320* | grep -SE "(Enforcement Action)|(\[TIMEOUT)|(CHR.+\|PRM\|1\|D.+(SWITCH|SIGNAL).+UNKNOWN)" - &gt;&gt; 2017-03-20-UncaughtWiMAX.txt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767</v>
      </c>
      <c r="B111" s="7">
        <v>4046</v>
      </c>
      <c r="C111" s="21" t="s">
        <v>222</v>
      </c>
      <c r="D111" s="21" t="s">
        <v>208</v>
      </c>
      <c r="E111" s="13">
        <v>42814.664479166669</v>
      </c>
      <c r="F111" s="13">
        <v>42814.666898148149</v>
      </c>
      <c r="G111" s="7">
        <v>1</v>
      </c>
      <c r="H111" s="21" t="s">
        <v>841</v>
      </c>
      <c r="I111" s="13">
        <v>42814.692893518521</v>
      </c>
      <c r="J111" s="7">
        <v>0</v>
      </c>
      <c r="K111" s="98" t="str">
        <f t="shared" si="25"/>
        <v>4045/4046</v>
      </c>
      <c r="L111" s="21" t="str">
        <f>VLOOKUP(A111,'Trips&amp;Operators'!$C$1:$G$99999,5,FALSE)</f>
        <v>BRANDNER MELINDA</v>
      </c>
      <c r="M111" s="6">
        <f t="shared" si="26"/>
        <v>2.5995370371674653E-2</v>
      </c>
      <c r="N111" s="7">
        <f t="shared" ref="N111:N122" si="46">24*60*SUM($M111:$M111)</f>
        <v>37.433333335211501</v>
      </c>
      <c r="O111" s="7"/>
      <c r="P111" s="7"/>
      <c r="Q111" s="22"/>
      <c r="R111" s="22"/>
      <c r="S111" s="31">
        <f t="shared" si="44"/>
        <v>1</v>
      </c>
      <c r="T111" s="46" t="str">
        <f t="shared" si="28"/>
        <v>NorthBound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29"/>
        <v>https://d0f6bd738d7f1b3e5a7ca70fe4ff75f0.us-east-1.aws.found.io/app/kibana#/discover/Steve-Slow-Train-Analysis-(2080s-and-2083s)?_g=(refreshInterval:(display:Off,pause:!f,section:0,value:0),time:(from:'2017-03-20T14:56:51-0600',mode:absolute,to:'2017-03-20T17:37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1" s="187" t="str">
        <f t="shared" si="30"/>
        <v>N</v>
      </c>
      <c r="X111" s="187">
        <f t="shared" si="45"/>
        <v>1</v>
      </c>
      <c r="Y111" s="62">
        <f t="shared" si="32"/>
        <v>4.5699999999999998E-2</v>
      </c>
      <c r="Z111" s="62">
        <f t="shared" si="43"/>
        <v>23.330200000000001</v>
      </c>
      <c r="AA111" s="62">
        <f t="shared" si="34"/>
        <v>23.284500000000001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5"/>
        <v>0199-20</v>
      </c>
      <c r="AE111" s="85" t="str">
        <f t="shared" si="36"/>
        <v>aws s3 cp s3://rtdc.mdm.uploadarchive.raw/RTDC4046/ "%USERPROFILE%\AppData\Local\Temp\OnboardLogs"\RTDC4046\2017-03-20 --exclude "*" --recursive --include "*20170320*" &amp; "%USERPROFILE%\Documents\GitHub\mrs-test-scripts\Headless Mode &amp; Sideloading\WalkAndUnGZ.bat" "%USERPROFILE%\AppData\Local\Temp\OnboardLogs"\RTDC4046\2017-03-20 &amp; aws s3 cp s3://rtdc.mdm.uploadarchive.raw/RTDC4046/ "%USERPROFILE%\AppData\Local\Temp\OnboardLogs"\RTDC4046\2017-03-21 --exclude "*" --recursive --include "*20170321*" &amp; "%USERPROFILE%\Documents\GitHub\mrs-test-scripts\Headless Mode &amp; Sideloading\WalkAndUnGZ.bat" "%USERPROFILE%\AppData\Local\Temp\OnboardLogs"\RTDC4046\2017-03-21</v>
      </c>
      <c r="AF111" s="82" t="str">
        <f t="shared" si="37"/>
        <v>"C:\Program Files (x86)\AstroGrep\AstroGrep.exe" /e /r /s /spath="%USERPROFILE%\AppData\Local\Temp\OnboardLogs" /stypes="app*4046*20170320*" /stext=" 22:.+((SYSTEM_STATE.+slice.+state.+changed )|(ment ac)|(multiple cpu faults)|(system.+state.+changed )|(\[timeout)|(PRM\|1\|D)|(kpr)|(kdp)|(\|lc)|(penalty))"</v>
      </c>
      <c r="AG111" s="1" t="str">
        <f t="shared" si="38"/>
        <v>EC</v>
      </c>
      <c r="AH111" s="86" t="str">
        <f t="shared" si="39"/>
        <v>"%USERPROFILE%\Documents\GitHub\eaglep3\Utilities\RefineRTDCRunTimes.py" --tripid 199-20 --locoid 4046 --swversion DE.1.0.9.0 --startMP 204:457 --initTime 2017-03-20T15:56:51 --startdatetime 2017-03-20T16:00:20 --delay 1 --endMP 204:233302 --enddatetime 2017-03-20T16:37:46 --enforcementcount 0 &gt;&gt;C:\Users\stu\Documents\GitHub\eaglep3-reporting\EC\2017-03-20-refined-times.txt</v>
      </c>
      <c r="AI111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{"issue":{"subject":"","project_id":79,"tracker_id":40,"status_id":1,"priority_id":2,"assigned_to_id":23,"start_date":"2017-03-20","description":"","custom_fields":[{"id":1,"name":"Subdivision","value":"EC"},{"id":4,"name":"Milepost","value":"23.3302"},{"id":17,"name":"Train ID","value":"199-20"},{"id":16,"name":"Locomotive ID","value":"4046"},{"id":130,"name":"Impact","value":""},{"id":150,"name":"Time of Event (Mountain Time)","value":"16:37:46"},{"id":151,"name":"Denver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41"/>
        <v>start /low /b %USERPROFILE%\Documents\GitHub\eaglep3\Utilities\DownloadLogsFromS3.py --loco 4046 --day 2017-03-20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"%USERPROFILE%\AppData\Local\Temp\OnboardLogs"\RTDC4046\*4046*20170320* | grep -SE "(Enforcement Action)|(\[TIMEOUT)|(CHR.+\|PRM\|1\|D.+(SWITCH|SIGNAL).+UNKNOWN)" - &gt;&gt; 2017-03-20-UncaughtWiMAX.txt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636</v>
      </c>
      <c r="B112" s="7">
        <v>4045</v>
      </c>
      <c r="C112" s="21" t="s">
        <v>222</v>
      </c>
      <c r="D112" s="21" t="s">
        <v>881</v>
      </c>
      <c r="E112" s="13">
        <v>42814.699317129627</v>
      </c>
      <c r="F112" s="13">
        <v>42814.70585648148</v>
      </c>
      <c r="G112" s="7">
        <v>1</v>
      </c>
      <c r="H112" s="21" t="s">
        <v>449</v>
      </c>
      <c r="I112" s="13">
        <v>42814.735243055555</v>
      </c>
      <c r="J112" s="7">
        <v>0</v>
      </c>
      <c r="K112" s="98" t="str">
        <f t="shared" si="25"/>
        <v>4045/4046</v>
      </c>
      <c r="L112" s="21" t="str">
        <f>VLOOKUP(A112,'Trips&amp;Operators'!$C$1:$G$99999,5,FALSE)</f>
        <v>BRANDNER MELINDA</v>
      </c>
      <c r="M112" s="6">
        <f t="shared" si="26"/>
        <v>2.9386574075033423E-2</v>
      </c>
      <c r="N112" s="7">
        <f t="shared" si="46"/>
        <v>42.316666668048128</v>
      </c>
      <c r="O112" s="7"/>
      <c r="P112" s="7"/>
      <c r="Q112" s="22"/>
      <c r="R112" s="22"/>
      <c r="S112" s="31">
        <f t="shared" si="44"/>
        <v>1</v>
      </c>
      <c r="T112" s="46" t="str">
        <f t="shared" si="28"/>
        <v>Southbound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29"/>
        <v>https://d0f6bd738d7f1b3e5a7ca70fe4ff75f0.us-east-1.aws.found.io/app/kibana#/discover/Steve-Slow-Train-Analysis-(2080s-and-2083s)?_g=(refreshInterval:(display:Off,pause:!f,section:0,value:0),time:(from:'2017-03-20T15:47:01-0600',mode:absolute,to:'2017-03-20T18:38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2" s="187" t="str">
        <f t="shared" si="30"/>
        <v>N</v>
      </c>
      <c r="X112" s="187">
        <f t="shared" si="45"/>
        <v>1</v>
      </c>
      <c r="Y112" s="62">
        <f t="shared" si="32"/>
        <v>23.299800000000001</v>
      </c>
      <c r="Z112" s="62">
        <f t="shared" si="43"/>
        <v>1.7000000000000001E-2</v>
      </c>
      <c r="AA112" s="62">
        <f t="shared" si="34"/>
        <v>23.282800000000002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5"/>
        <v>0200-20</v>
      </c>
      <c r="AE112" s="85" t="str">
        <f t="shared" si="36"/>
        <v>aws s3 cp s3://rtdc.mdm.uploadarchive.raw/RTDC4045/ "%USERPROFILE%\AppData\Local\Temp\OnboardLogs"\RTDC4045\2017-03-20 --exclude "*" --recursive --include "*20170320*" &amp; "%USERPROFILE%\Documents\GitHub\mrs-test-scripts\Headless Mode &amp; Sideloading\WalkAndUnGZ.bat" "%USERPROFILE%\AppData\Local\Temp\OnboardLogs"\RTDC4045\2017-03-20 &amp; aws s3 cp s3://rtdc.mdm.uploadarchive.raw/RTDC4045/ "%USERPROFILE%\AppData\Local\Temp\OnboardLogs"\RTDC4045\2017-03-21 --exclude "*" --recursive --include "*20170321*" &amp; "%USERPROFILE%\Documents\GitHub\mrs-test-scripts\Headless Mode &amp; Sideloading\WalkAndUnGZ.bat" "%USERPROFILE%\AppData\Local\Temp\OnboardLogs"\RTDC4045\2017-03-21</v>
      </c>
      <c r="AF112" s="82" t="str">
        <f t="shared" si="37"/>
        <v>"C:\Program Files (x86)\AstroGrep\AstroGrep.exe" /e /r /s /spath="%USERPROFILE%\AppData\Local\Temp\OnboardLogs" /stypes="app*4045*20170320*" /stext=" 23:.+((SYSTEM_STATE.+slice.+state.+changed )|(ment ac)|(multiple cpu faults)|(system.+state.+changed )|(\[timeout)|(PRM\|1\|D)|(kpr)|(kdp)|(\|lc)|(penalty))"</v>
      </c>
      <c r="AG112" s="1" t="str">
        <f t="shared" si="38"/>
        <v>EC</v>
      </c>
      <c r="AH112" s="86" t="str">
        <f t="shared" si="39"/>
        <v>"%USERPROFILE%\Documents\GitHub\eaglep3\Utilities\RefineRTDCRunTimes.py" --tripid 200-20 --locoid 4045 --swversion DE.1.0.9.0 --startMP 204:232998 --initTime 2017-03-20T16:47:01 --startdatetime 2017-03-20T16:56:26 --delay 1 --endMP 204:170 --enddatetime 2017-03-20T17:38:45 --enforcementcount 0 &gt;&gt;C:\Users\stu\Documents\GitHub\eaglep3-reporting\EC\2017-03-20-refined-times.txt</v>
      </c>
      <c r="AI112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{"issue":{"subject":"","project_id":79,"tracker_id":40,"status_id":1,"priority_id":2,"assigned_to_id":23,"start_date":"2017-03-20","description":"","custom_fields":[{"id":1,"name":"Subdivision","value":"EC"},{"id":4,"name":"Milepost","value":"0.017"},{"id":17,"name":"Train ID","value":"200-20"},{"id":16,"name":"Locomotive ID","value":"4045"},{"id":130,"name":"Impact","value":""},{"id":150,"name":"Time of Event (Mountain Time)","value":"17:38:45"},{"id":151,"name":"Denver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41"/>
        <v>start /low /b %USERPROFILE%\Documents\GitHub\eaglep3\Utilities\DownloadLogsFromS3.py --loco 4045 --day 2017-03-20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"%USERPROFILE%\AppData\Local\Temp\OnboardLogs"\RTDC4045\*4045*20170320* | grep -SE "(Enforcement Action)|(\[TIMEOUT)|(CHR.+\|PRM\|1\|D.+(SWITCH|SIGNAL).+UNKNOWN)" - &gt;&gt; 2017-03-20-UncaughtWiMAX.txt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770</v>
      </c>
      <c r="B113" s="7">
        <v>4025</v>
      </c>
      <c r="C113" s="21" t="s">
        <v>222</v>
      </c>
      <c r="D113" s="21" t="s">
        <v>212</v>
      </c>
      <c r="E113" s="13">
        <v>42814.674513888887</v>
      </c>
      <c r="F113" s="13">
        <v>42814.677546296298</v>
      </c>
      <c r="G113" s="7">
        <v>1</v>
      </c>
      <c r="H113" s="21" t="s">
        <v>882</v>
      </c>
      <c r="I113" s="13">
        <v>42814.702986111108</v>
      </c>
      <c r="J113" s="7">
        <v>0</v>
      </c>
      <c r="K113" s="98" t="str">
        <f t="shared" si="25"/>
        <v>4025/4026</v>
      </c>
      <c r="L113" s="21" t="str">
        <f>VLOOKUP(A113,'Trips&amp;Operators'!$C$1:$G$99999,5,FALSE)</f>
        <v>STEWART MICHAEL</v>
      </c>
      <c r="M113" s="6">
        <f t="shared" si="26"/>
        <v>2.5439814809942618E-2</v>
      </c>
      <c r="N113" s="7">
        <f t="shared" si="46"/>
        <v>36.63333332631737</v>
      </c>
      <c r="O113" s="7"/>
      <c r="P113" s="7"/>
      <c r="Q113" s="22"/>
      <c r="R113" s="22"/>
      <c r="S113" s="31">
        <f t="shared" si="44"/>
        <v>1</v>
      </c>
      <c r="T113" s="46" t="str">
        <f t="shared" si="28"/>
        <v>NorthBound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29"/>
        <v>https://d0f6bd738d7f1b3e5a7ca70fe4ff75f0.us-east-1.aws.found.io/app/kibana#/discover/Steve-Slow-Train-Analysis-(2080s-and-2083s)?_g=(refreshInterval:(display:Off,pause:!f,section:0,value:0),time:(from:'2017-03-20T15:11:18-0600',mode:absolute,to:'2017-03-20T17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3" s="187" t="str">
        <f t="shared" si="30"/>
        <v>N</v>
      </c>
      <c r="X113" s="187">
        <f t="shared" si="45"/>
        <v>1</v>
      </c>
      <c r="Y113" s="62">
        <f t="shared" si="32"/>
        <v>4.53E-2</v>
      </c>
      <c r="Z113" s="62">
        <f t="shared" si="43"/>
        <v>23.328199999999999</v>
      </c>
      <c r="AA113" s="62">
        <f t="shared" si="34"/>
        <v>23.282899999999998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5"/>
        <v>0201-20</v>
      </c>
      <c r="AE113" s="85" t="str">
        <f t="shared" si="36"/>
        <v>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 &amp; aws s3 cp s3://rtdc.mdm.uploadarchive.raw/RTDC4025/ "%USERPROFILE%\AppData\Local\Temp\OnboardLogs"\RTDC4025\2017-03-21 --exclude "*" --recursive --include "*20170321*" &amp; "%USERPROFILE%\Documents\GitHub\mrs-test-scripts\Headless Mode &amp; Sideloading\WalkAndUnGZ.bat" "%USERPROFILE%\AppData\Local\Temp\OnboardLogs"\RTDC4025\2017-03-21</v>
      </c>
      <c r="AF113" s="82" t="str">
        <f t="shared" si="37"/>
        <v>"C:\Program Files (x86)\AstroGrep\AstroGrep.exe" /e /r /s /spath="%USERPROFILE%\AppData\Local\Temp\OnboardLogs" /stypes="app*4025*20170320*" /stext=" 22:.+((SYSTEM_STATE.+slice.+state.+changed )|(ment ac)|(multiple cpu faults)|(system.+state.+changed )|(\[timeout)|(PRM\|1\|D)|(kpr)|(kdp)|(\|lc)|(penalty))"</v>
      </c>
      <c r="AG113" s="1" t="str">
        <f t="shared" si="38"/>
        <v>EC</v>
      </c>
      <c r="AH113" s="86" t="str">
        <f t="shared" si="39"/>
        <v>"%USERPROFILE%\Documents\GitHub\eaglep3\Utilities\RefineRTDCRunTimes.py" --tripid 201-20 --locoid 4025 --swversion DE.1.0.9.0 --startMP 204:453 --initTime 2017-03-20T16:11:18 --startdatetime 2017-03-20T16:15:40 --delay 1 --endMP 204:233282 --enddatetime 2017-03-20T16:52:18 --enforcementcount 0 &gt;&gt;C:\Users\stu\Documents\GitHub\eaglep3-reporting\EC\2017-03-20-refined-times.txt</v>
      </c>
      <c r="AI113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{"issue":{"subject":"","project_id":79,"tracker_id":40,"status_id":1,"priority_id":2,"assigned_to_id":23,"start_date":"2017-03-20","description":"","custom_fields":[{"id":1,"name":"Subdivision","value":"EC"},{"id":4,"name":"Milepost","value":"23.3282"},{"id":17,"name":"Train ID","value":"201-20"},{"id":16,"name":"Locomotive ID","value":"4025"},{"id":130,"name":"Impact","value":""},{"id":150,"name":"Time of Event (Mountain Time)","value":"16:52:18"},{"id":151,"name":"Denver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41"/>
        <v>start /low /b %USERPROFILE%\Documents\GitHub\eaglep3\Utilities\DownloadLogsFromS3.py --loco 4025 --day 2017-03-20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"%USERPROFILE%\AppData\Local\Temp\OnboardLogs"\RTDC4025\*4025*20170320* | grep -SE "(Enforcement Action)|(\[TIMEOUT)|(CHR.+\|PRM\|1\|D.+(SWITCH|SIGNAL).+UNKNOWN)" - &gt;&gt; 2017-03-20-UncaughtWiMAX.txt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x14ac:dyDescent="0.25">
      <c r="A114" s="33" t="s">
        <v>776</v>
      </c>
      <c r="B114" s="7">
        <v>4026</v>
      </c>
      <c r="C114" s="21" t="s">
        <v>222</v>
      </c>
      <c r="D114" s="21" t="s">
        <v>581</v>
      </c>
      <c r="E114" s="13">
        <v>42814.711562500001</v>
      </c>
      <c r="F114" s="13">
        <v>42814.716354166667</v>
      </c>
      <c r="G114" s="7">
        <v>1</v>
      </c>
      <c r="H114" s="21" t="s">
        <v>579</v>
      </c>
      <c r="I114" s="13">
        <v>42814.743738425925</v>
      </c>
      <c r="J114" s="7">
        <v>0</v>
      </c>
      <c r="K114" s="98" t="str">
        <f t="shared" si="25"/>
        <v>4025/4026</v>
      </c>
      <c r="L114" s="21" t="str">
        <f>VLOOKUP(A114,'Trips&amp;Operators'!$C$1:$G$99999,5,FALSE)</f>
        <v>STEWART MICHAEL</v>
      </c>
      <c r="M114" s="6">
        <f t="shared" si="26"/>
        <v>2.7384259257814847E-2</v>
      </c>
      <c r="N114" s="7">
        <f t="shared" si="46"/>
        <v>39.43333333125338</v>
      </c>
      <c r="O114" s="7"/>
      <c r="P114" s="7"/>
      <c r="Q114" s="22"/>
      <c r="R114" s="22"/>
      <c r="S114" s="31">
        <f t="shared" si="44"/>
        <v>1</v>
      </c>
      <c r="T114" s="46" t="str">
        <f t="shared" si="28"/>
        <v>Southbound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29"/>
        <v>https://d0f6bd738d7f1b3e5a7ca70fe4ff75f0.us-east-1.aws.found.io/app/kibana#/discover/Steve-Slow-Train-Analysis-(2080s-and-2083s)?_g=(refreshInterval:(display:Off,pause:!f,section:0,value:0),time:(from:'2017-03-20T16:04:39-0600',mode:absolute,to:'2017-03-20T18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4" s="187" t="str">
        <f t="shared" si="30"/>
        <v>N</v>
      </c>
      <c r="X114" s="187">
        <f t="shared" si="45"/>
        <v>1</v>
      </c>
      <c r="Y114" s="62">
        <f t="shared" si="32"/>
        <v>23.296900000000001</v>
      </c>
      <c r="Z114" s="62">
        <f t="shared" si="43"/>
        <v>1.6500000000000001E-2</v>
      </c>
      <c r="AA114" s="62">
        <f t="shared" si="34"/>
        <v>23.2804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5"/>
        <v>0202-20</v>
      </c>
      <c r="AE114" s="85" t="str">
        <f t="shared" si="36"/>
        <v>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 &amp; 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</v>
      </c>
      <c r="AF114" s="82" t="str">
        <f t="shared" si="37"/>
        <v>"C:\Program Files (x86)\AstroGrep\AstroGrep.exe" /e /r /s /spath="%USERPROFILE%\AppData\Local\Temp\OnboardLogs" /stypes="app*4026*20170320*" /stext=" 23:.+((SYSTEM_STATE.+slice.+state.+changed )|(ment ac)|(multiple cpu faults)|(system.+state.+changed )|(\[timeout)|(PRM\|1\|D)|(kpr)|(kdp)|(\|lc)|(penalty))"</v>
      </c>
      <c r="AG114" s="1" t="str">
        <f t="shared" si="38"/>
        <v>EC</v>
      </c>
      <c r="AH114" s="86" t="str">
        <f t="shared" si="39"/>
        <v>"%USERPROFILE%\Documents\GitHub\eaglep3\Utilities\RefineRTDCRunTimes.py" --tripid 202-20 --locoid 4026 --swversion DE.1.0.9.0 --startMP 204:232969 --initTime 2017-03-20T17:04:39 --startdatetime 2017-03-20T17:11:33 --delay 1 --endMP 204:165 --enddatetime 2017-03-20T17:50:59 --enforcementcount 0 &gt;&gt;C:\Users\stu\Documents\GitHub\eaglep3-reporting\EC\2017-03-20-refined-times.txt</v>
      </c>
      <c r="AI114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{"issue":{"subject":"","project_id":79,"tracker_id":40,"status_id":1,"priority_id":2,"assigned_to_id":23,"start_date":"2017-03-20","description":"","custom_fields":[{"id":1,"name":"Subdivision","value":"EC"},{"id":4,"name":"Milepost","value":"0.0165"},{"id":17,"name":"Train ID","value":"202-20"},{"id":16,"name":"Locomotive ID","value":"4026"},{"id":130,"name":"Impact","value":""},{"id":150,"name":"Time of Event (Mountain Time)","value":"17:50:59"},{"id":151,"name":"Denver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41"/>
        <v>start /low /b %USERPROFILE%\Documents\GitHub\eaglep3\Utilities\DownloadLogsFromS3.py --loco 4026 --day 2017-03-20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"%USERPROFILE%\AppData\Local\Temp\OnboardLogs"\RTDC4026\*4026*20170320* | grep -SE "(Enforcement Action)|(\[TIMEOUT)|(CHR.+\|PRM\|1\|D.+(SWITCH|SIGNAL).+UNKNOWN)" - &gt;&gt; 2017-03-20-UncaughtWiMAX.txt</v>
      </c>
    </row>
    <row r="115" spans="1:91" s="20" customFormat="1" x14ac:dyDescent="0.25">
      <c r="A115" s="33" t="s">
        <v>773</v>
      </c>
      <c r="B115" s="7">
        <v>4027</v>
      </c>
      <c r="C115" s="21" t="s">
        <v>222</v>
      </c>
      <c r="D115" s="21" t="s">
        <v>883</v>
      </c>
      <c r="E115" s="13">
        <v>42814.685439814813</v>
      </c>
      <c r="F115" s="13">
        <v>42814.687743055554</v>
      </c>
      <c r="G115" s="7">
        <v>1</v>
      </c>
      <c r="H115" s="21" t="s">
        <v>561</v>
      </c>
      <c r="I115" s="13">
        <v>42814.714050925926</v>
      </c>
      <c r="J115" s="7">
        <v>0</v>
      </c>
      <c r="K115" s="98" t="str">
        <f t="shared" si="25"/>
        <v>4027/4028</v>
      </c>
      <c r="L115" s="21" t="str">
        <f>VLOOKUP(A115,'Trips&amp;Operators'!$C$1:$G$99999,5,FALSE)</f>
        <v>DAVIS MICHAEL</v>
      </c>
      <c r="M115" s="6">
        <f t="shared" si="26"/>
        <v>2.6307870371965691E-2</v>
      </c>
      <c r="N115" s="7">
        <f t="shared" si="46"/>
        <v>37.883333335630596</v>
      </c>
      <c r="O115" s="7"/>
      <c r="P115" s="7"/>
      <c r="Q115" s="22"/>
      <c r="R115" s="22"/>
      <c r="S115" s="31">
        <f t="shared" si="44"/>
        <v>1</v>
      </c>
      <c r="T115" s="46" t="str">
        <f t="shared" si="28"/>
        <v>NorthBound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29"/>
        <v>https://d0f6bd738d7f1b3e5a7ca70fe4ff75f0.us-east-1.aws.found.io/app/kibana#/discover/Steve-Slow-Train-Analysis-(2080s-and-2083s)?_g=(refreshInterval:(display:Off,pause:!f,section:0,value:0),time:(from:'2017-03-20T15:27:02-0600',mode:absolute,to:'2017-03-20T18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5" s="187" t="str">
        <f t="shared" si="30"/>
        <v>N</v>
      </c>
      <c r="X115" s="187">
        <f t="shared" si="45"/>
        <v>1</v>
      </c>
      <c r="Y115" s="62">
        <f t="shared" si="32"/>
        <v>5.0799999999999998E-2</v>
      </c>
      <c r="Z115" s="62">
        <f t="shared" si="43"/>
        <v>23.327999999999999</v>
      </c>
      <c r="AA115" s="62">
        <f t="shared" si="34"/>
        <v>23.277200000000001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5"/>
        <v>0203-20</v>
      </c>
      <c r="AE115" s="85" t="str">
        <f t="shared" si="36"/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AF115" s="82" t="str">
        <f t="shared" si="37"/>
        <v>"C:\Program Files (x86)\AstroGrep\AstroGrep.exe" /e /r /s /spath="%USERPROFILE%\AppData\Local\Temp\OnboardLogs" /stypes="app*4027*20170320*" /stext=" 23:.+((SYSTEM_STATE.+slice.+state.+changed )|(ment ac)|(multiple cpu faults)|(system.+state.+changed )|(\[timeout)|(PRM\|1\|D)|(kpr)|(kdp)|(\|lc)|(penalty))"</v>
      </c>
      <c r="AG115" s="1" t="str">
        <f t="shared" si="38"/>
        <v>EC</v>
      </c>
      <c r="AH115" s="86" t="str">
        <f t="shared" si="39"/>
        <v>"%USERPROFILE%\Documents\GitHub\eaglep3\Utilities\RefineRTDCRunTimes.py" --tripid 203-20 --locoid 4027 --swversion DE.1.0.9.0 --startMP 204:508 --initTime 2017-03-20T16:27:02 --startdatetime 2017-03-20T16:30:21 --delay 1 --endMP 204:233280 --enddatetime 2017-03-20T17:08:14 --enforcementcount 0 &gt;&gt;C:\Users\stu\Documents\GitHub\eaglep3-reporting\EC\2017-03-20-refined-times.txt</v>
      </c>
      <c r="AI115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{"issue":{"subject":"","project_id":79,"tracker_id":40,"status_id":1,"priority_id":2,"assigned_to_id":23,"start_date":"2017-03-20","description":"","custom_fields":[{"id":1,"name":"Subdivision","value":"EC"},{"id":4,"name":"Milepost","value":"23.328"},{"id":17,"name":"Train ID","value":"203-20"},{"id":16,"name":"Locomotive ID","value":"4027"},{"id":130,"name":"Impact","value":""},{"id":150,"name":"Time of Event (Mountain Time)","value":"17:08:14"},{"id":151,"name":"Denver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41"/>
        <v>start /low /b %USERPROFILE%\Documents\GitHub\eaglep3\Utilities\DownloadLogsFromS3.py --loco 4027 --day 2017-03-20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"%USERPROFILE%\AppData\Local\Temp\OnboardLogs"\RTDC4027\*4027*20170320* | grep -SE "(Enforcement Action)|(\[TIMEOUT)|(CHR.+\|PRM\|1\|D.+(SWITCH|SIGNAL).+UNKNOWN)" - &gt;&gt; 2017-03-20-UncaughtWiMAX.txt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x14ac:dyDescent="0.25">
      <c r="A116" s="33" t="s">
        <v>637</v>
      </c>
      <c r="B116" s="7">
        <v>4028</v>
      </c>
      <c r="C116" s="21" t="s">
        <v>222</v>
      </c>
      <c r="D116" s="21" t="s">
        <v>517</v>
      </c>
      <c r="E116" s="13">
        <v>42814.723935185182</v>
      </c>
      <c r="F116" s="13">
        <v>42814.726840277777</v>
      </c>
      <c r="G116" s="7">
        <v>1</v>
      </c>
      <c r="H116" s="21" t="s">
        <v>184</v>
      </c>
      <c r="I116" s="13">
        <v>42814.755613425928</v>
      </c>
      <c r="J116" s="7">
        <v>0</v>
      </c>
      <c r="K116" s="98" t="str">
        <f t="shared" si="25"/>
        <v>4027/4028</v>
      </c>
      <c r="L116" s="21" t="str">
        <f>VLOOKUP(A116,'Trips&amp;Operators'!$C$1:$G$99999,5,FALSE)</f>
        <v>DAVIS MICHAEL</v>
      </c>
      <c r="M116" s="6">
        <f t="shared" si="26"/>
        <v>2.8773148151230998E-2</v>
      </c>
      <c r="N116" s="7">
        <f t="shared" si="46"/>
        <v>41.433333337772638</v>
      </c>
      <c r="O116" s="7"/>
      <c r="P116" s="7"/>
      <c r="Q116" s="22"/>
      <c r="R116" s="22"/>
      <c r="S116" s="31">
        <f t="shared" si="44"/>
        <v>1</v>
      </c>
      <c r="T116" s="46" t="str">
        <f t="shared" si="28"/>
        <v>Southbound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29"/>
        <v>https://d0f6bd738d7f1b3e5a7ca70fe4ff75f0.us-east-1.aws.found.io/app/kibana#/discover/Steve-Slow-Train-Analysis-(2080s-and-2083s)?_g=(refreshInterval:(display:Off,pause:!f,section:0,value:0),time:(from:'2017-03-20T16:22:28-0600',mode:absolute,to:'2017-03-20T19:08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6" s="187" t="str">
        <f t="shared" si="30"/>
        <v>N</v>
      </c>
      <c r="X116" s="187">
        <f t="shared" si="45"/>
        <v>1</v>
      </c>
      <c r="Y116" s="62">
        <f t="shared" si="32"/>
        <v>23.299600000000002</v>
      </c>
      <c r="Z116" s="62">
        <f t="shared" si="43"/>
        <v>1.49E-2</v>
      </c>
      <c r="AA116" s="62">
        <f t="shared" si="34"/>
        <v>23.284700000000001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5"/>
        <v>0204-20</v>
      </c>
      <c r="AE116" s="85" t="str">
        <f t="shared" si="36"/>
        <v>aws s3 cp s3://rtdc.mdm.uploadarchive.raw/RTDC4028/ "%USERPROFILE%\AppData\Local\Temp\OnboardLogs"\RTDC4028\2017-03-20 --exclude "*" --recursive --include "*20170320*" &amp; "%USERPROFILE%\Documents\GitHub\mrs-test-scripts\Headless Mode &amp; Sideloading\WalkAndUnGZ.bat" "%USERPROFILE%\AppData\Local\Temp\OnboardLogs"\RTDC4028\2017-03-20 &amp; aws s3 cp s3://rtdc.mdm.uploadarchive.raw/RTDC4028/ "%USERPROFILE%\AppData\Local\Temp\OnboardLogs"\RTDC4028\2017-03-21 --exclude "*" --recursive --include "*20170321*" &amp; "%USERPROFILE%\Documents\GitHub\mrs-test-scripts\Headless Mode &amp; Sideloading\WalkAndUnGZ.bat" "%USERPROFILE%\AppData\Local\Temp\OnboardLogs"\RTDC4028\2017-03-21</v>
      </c>
      <c r="AF116" s="82" t="str">
        <f t="shared" si="37"/>
        <v>"C:\Program Files (x86)\AstroGrep\AstroGrep.exe" /e /r /s /spath="%USERPROFILE%\AppData\Local\Temp\OnboardLogs" /stypes="app*4028*20170321*" /stext=" 00:.+((SYSTEM_STATE.+slice.+state.+changed )|(ment ac)|(multiple cpu faults)|(system.+state.+changed )|(\[timeout)|(PRM\|1\|D)|(kpr)|(kdp)|(\|lc)|(penalty))"</v>
      </c>
      <c r="AG116" s="1" t="str">
        <f t="shared" si="38"/>
        <v>EC</v>
      </c>
      <c r="AH116" s="86" t="str">
        <f t="shared" si="39"/>
        <v>"%USERPROFILE%\Documents\GitHub\eaglep3\Utilities\RefineRTDCRunTimes.py" --tripid 204-20 --locoid 4028 --swversion DE.1.0.9.0 --startMP 204:232996 --initTime 2017-03-20T17:22:28 --startdatetime 2017-03-20T17:26:39 --delay 1 --endMP 204:149 --enddatetime 2017-03-20T18:08:05 --enforcementcount 0 &gt;&gt;C:\Users\stu\Documents\GitHub\eaglep3-reporting\EC\2017-03-20-refined-times.txt</v>
      </c>
      <c r="AI116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{"issue":{"subject":"","project_id":79,"tracker_id":40,"status_id":1,"priority_id":2,"assigned_to_id":23,"start_date":"2017-03-20","description":"","custom_fields":[{"id":1,"name":"Subdivision","value":"EC"},{"id":4,"name":"Milepost","value":"0.0149"},{"id":17,"name":"Train ID","value":"204-20"},{"id":16,"name":"Locomotive ID","value":"4028"},{"id":130,"name":"Impact","value":""},{"id":150,"name":"Time of Event (Mountain Time)","value":"18:08:05"},{"id":151,"name":"Denver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41"/>
        <v>start /low /b %USERPROFILE%\Documents\GitHub\eaglep3\Utilities\DownloadLogsFromS3.py --loco 4028 --day 2017-03-20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"%USERPROFILE%\AppData\Local\Temp\OnboardLogs"\RTDC4028\*4028*20170320* | grep -SE "(Enforcement Action)|(\[TIMEOUT)|(CHR.+\|PRM\|1\|D.+(SWITCH|SIGNAL).+UNKNOWN)" - &gt;&gt; 2017-03-20-UncaughtWiMAX.txt</v>
      </c>
    </row>
    <row r="117" spans="1:91" s="20" customFormat="1" x14ac:dyDescent="0.25">
      <c r="A117" s="33" t="s">
        <v>634</v>
      </c>
      <c r="B117" s="7">
        <v>4003</v>
      </c>
      <c r="C117" s="21" t="s">
        <v>222</v>
      </c>
      <c r="D117" s="21" t="s">
        <v>208</v>
      </c>
      <c r="E117" s="13">
        <v>42814.693148148152</v>
      </c>
      <c r="F117" s="13">
        <v>42814.698067129626</v>
      </c>
      <c r="G117" s="7">
        <v>1</v>
      </c>
      <c r="H117" s="21" t="s">
        <v>884</v>
      </c>
      <c r="I117" s="13">
        <v>42814.726805555554</v>
      </c>
      <c r="J117" s="7">
        <v>0</v>
      </c>
      <c r="K117" s="98" t="str">
        <f t="shared" si="25"/>
        <v>4003/4004</v>
      </c>
      <c r="L117" s="21" t="str">
        <f>VLOOKUP(A117,'Trips&amp;Operators'!$C$1:$G$99999,5,FALSE)</f>
        <v>CLARK KATHLEEN</v>
      </c>
      <c r="M117" s="6">
        <f t="shared" si="26"/>
        <v>2.8738425928167999E-2</v>
      </c>
      <c r="N117" s="7">
        <f t="shared" si="46"/>
        <v>41.383333336561918</v>
      </c>
      <c r="O117" s="7"/>
      <c r="P117" s="7"/>
      <c r="Q117" s="22"/>
      <c r="R117" s="22"/>
      <c r="S117" s="31">
        <f t="shared" si="44"/>
        <v>1</v>
      </c>
      <c r="T117" s="46" t="str">
        <f t="shared" si="28"/>
        <v>NorthBound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29"/>
        <v>https://d0f6bd738d7f1b3e5a7ca70fe4ff75f0.us-east-1.aws.found.io/app/kibana#/discover/Steve-Slow-Train-Analysis-(2080s-and-2083s)?_g=(refreshInterval:(display:Off,pause:!f,section:0,value:0),time:(from:'2017-03-20T15:38:08-0600',mode:absolute,to:'2017-03-20T18:26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7" s="187" t="str">
        <f t="shared" si="30"/>
        <v>N</v>
      </c>
      <c r="X117" s="187">
        <f t="shared" si="45"/>
        <v>1</v>
      </c>
      <c r="Y117" s="62">
        <f t="shared" si="32"/>
        <v>4.5699999999999998E-2</v>
      </c>
      <c r="Z117" s="62">
        <f t="shared" si="43"/>
        <v>23.3261</v>
      </c>
      <c r="AA117" s="62">
        <f t="shared" si="34"/>
        <v>23.2804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5"/>
        <v>0205-20</v>
      </c>
      <c r="AE117" s="85" t="str">
        <f t="shared" si="36"/>
        <v>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 &amp; 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</v>
      </c>
      <c r="AF117" s="82" t="str">
        <f t="shared" si="37"/>
        <v>"C:\Program Files (x86)\AstroGrep\AstroGrep.exe" /e /r /s /spath="%USERPROFILE%\AppData\Local\Temp\OnboardLogs" /stypes="app*4003*20170320*" /stext=" 23:.+((SYSTEM_STATE.+slice.+state.+changed )|(ment ac)|(multiple cpu faults)|(system.+state.+changed )|(\[timeout)|(PRM\|1\|D)|(kpr)|(kdp)|(\|lc)|(penalty))"</v>
      </c>
      <c r="AG117" s="1" t="str">
        <f t="shared" si="38"/>
        <v>EC</v>
      </c>
      <c r="AH117" s="86" t="str">
        <f t="shared" si="39"/>
        <v>"%USERPROFILE%\Documents\GitHub\eaglep3\Utilities\RefineRTDCRunTimes.py" --tripid 205-20 --locoid 4003 --swversion DE.1.0.9.0 --startMP 204:457 --initTime 2017-03-20T16:38:08 --startdatetime 2017-03-20T16:45:13 --delay 1 --endMP 204:233261 --enddatetime 2017-03-20T17:26:36 --enforcementcount 0 &gt;&gt;C:\Users\stu\Documents\GitHub\eaglep3-reporting\EC\2017-03-20-refined-times.txt</v>
      </c>
      <c r="AI117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{"issue":{"subject":"","project_id":79,"tracker_id":40,"status_id":1,"priority_id":2,"assigned_to_id":23,"start_date":"2017-03-20","description":"","custom_fields":[{"id":1,"name":"Subdivision","value":"EC"},{"id":4,"name":"Milepost","value":"23.3261"},{"id":17,"name":"Train ID","value":"205-20"},{"id":16,"name":"Locomotive ID","value":"4003"},{"id":130,"name":"Impact","value":""},{"id":150,"name":"Time of Event (Mountain Time)","value":"17:26:36"},{"id":151,"name":"Denver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41"/>
        <v>start /low /b %USERPROFILE%\Documents\GitHub\eaglep3\Utilities\DownloadLogsFromS3.py --loco 4003 --day 2017-03-20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"%USERPROFILE%\AppData\Local\Temp\OnboardLogs"\RTDC4003\*4003*20170320* | grep -SE "(Enforcement Action)|(\[TIMEOUT)|(CHR.+\|PRM\|1\|D.+(SWITCH|SIGNAL).+UNKNOWN)" - &gt;&gt; 2017-03-20-UncaughtWiMAX.txt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781</v>
      </c>
      <c r="B118" s="7">
        <v>4004</v>
      </c>
      <c r="C118" s="21" t="s">
        <v>222</v>
      </c>
      <c r="D118" s="21" t="s">
        <v>584</v>
      </c>
      <c r="E118" s="13">
        <v>42814.733888888892</v>
      </c>
      <c r="F118" s="13">
        <v>42814.736979166664</v>
      </c>
      <c r="G118" s="7">
        <v>1</v>
      </c>
      <c r="H118" s="21" t="s">
        <v>877</v>
      </c>
      <c r="I118" s="13">
        <v>42814.765856481485</v>
      </c>
      <c r="J118" s="7">
        <v>0</v>
      </c>
      <c r="K118" s="98" t="str">
        <f t="shared" si="25"/>
        <v>4003/4004</v>
      </c>
      <c r="L118" s="21" t="str">
        <f>VLOOKUP(A118,'Trips&amp;Operators'!$C$1:$G$99999,5,FALSE)</f>
        <v>CLARK KATHLEEN</v>
      </c>
      <c r="M118" s="6">
        <f t="shared" si="26"/>
        <v>2.8877314820419997E-2</v>
      </c>
      <c r="N118" s="7">
        <f t="shared" si="46"/>
        <v>41.583333341404796</v>
      </c>
      <c r="O118" s="7"/>
      <c r="P118" s="7"/>
      <c r="Q118" s="22"/>
      <c r="R118" s="22"/>
      <c r="S118" s="31">
        <f t="shared" si="44"/>
        <v>1</v>
      </c>
      <c r="T118" s="46" t="str">
        <f t="shared" si="28"/>
        <v>Southbound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29"/>
        <v>https://d0f6bd738d7f1b3e5a7ca70fe4ff75f0.us-east-1.aws.found.io/app/kibana#/discover/Steve-Slow-Train-Analysis-(2080s-and-2083s)?_g=(refreshInterval:(display:Off,pause:!f,section:0,value:0),time:(from:'2017-03-20T16:36:48-0600',mode:absolute,to:'2017-03-20T19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8" s="187" t="str">
        <f t="shared" si="30"/>
        <v>N</v>
      </c>
      <c r="X118" s="187">
        <f t="shared" si="45"/>
        <v>1</v>
      </c>
      <c r="Y118" s="62">
        <f t="shared" si="32"/>
        <v>23.296700000000001</v>
      </c>
      <c r="Z118" s="62">
        <f t="shared" si="43"/>
        <v>1.78E-2</v>
      </c>
      <c r="AA118" s="62">
        <f t="shared" si="34"/>
        <v>23.2789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5"/>
        <v>0206-20</v>
      </c>
      <c r="AE118" s="85" t="str">
        <f t="shared" si="36"/>
        <v>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 &amp; aws s3 cp s3://rtdc.mdm.uploadarchive.raw/RTDC4004/ "%USERPROFILE%\AppData\Local\Temp\OnboardLogs"\RTDC4004\2017-03-21 --exclude "*" --recursive --include "*20170321*" &amp; "%USERPROFILE%\Documents\GitHub\mrs-test-scripts\Headless Mode &amp; Sideloading\WalkAndUnGZ.bat" "%USERPROFILE%\AppData\Local\Temp\OnboardLogs"\RTDC4004\2017-03-21</v>
      </c>
      <c r="AF118" s="82" t="str">
        <f t="shared" si="37"/>
        <v>"C:\Program Files (x86)\AstroGrep\AstroGrep.exe" /e /r /s /spath="%USERPROFILE%\AppData\Local\Temp\OnboardLogs" /stypes="app*4004*20170321*" /stext=" 00:.+((SYSTEM_STATE.+slice.+state.+changed )|(ment ac)|(multiple cpu faults)|(system.+state.+changed )|(\[timeout)|(PRM\|1\|D)|(kpr)|(kdp)|(\|lc)|(penalty))"</v>
      </c>
      <c r="AG118" s="1" t="str">
        <f t="shared" si="38"/>
        <v>EC</v>
      </c>
      <c r="AH118" s="86" t="str">
        <f t="shared" si="39"/>
        <v>"%USERPROFILE%\Documents\GitHub\eaglep3\Utilities\RefineRTDCRunTimes.py" --tripid 206-20 --locoid 4004 --swversion DE.1.0.9.0 --startMP 204:232967 --initTime 2017-03-20T17:36:48 --startdatetime 2017-03-20T17:41:15 --delay 1 --endMP 204:178 --enddatetime 2017-03-20T18:22:50 --enforcementcount 0 &gt;&gt;C:\Users\stu\Documents\GitHub\eaglep3-reporting\EC\2017-03-20-refined-times.txt</v>
      </c>
      <c r="AI118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{"issue":{"subject":"","project_id":79,"tracker_id":40,"status_id":1,"priority_id":2,"assigned_to_id":23,"start_date":"2017-03-20","description":"","custom_fields":[{"id":1,"name":"Subdivision","value":"EC"},{"id":4,"name":"Milepost","value":"0.0178"},{"id":17,"name":"Train ID","value":"206-20"},{"id":16,"name":"Locomotive ID","value":"4004"},{"id":130,"name":"Impact","value":""},{"id":150,"name":"Time of Event (Mountain Time)","value":"18:22:50"},{"id":151,"name":"Denver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41"/>
        <v>start /low /b %USERPROFILE%\Documents\GitHub\eaglep3\Utilities\DownloadLogsFromS3.py --loco 4004 --day 2017-03-20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"%USERPROFILE%\AppData\Local\Temp\OnboardLogs"\RTDC4004\*4004*20170321* | grep -SE "(Enforcement Action)|(\[TIMEOUT)|(CHR.+\|PRM\|1\|D.+(SWITCH|SIGNAL).+UNKNOWN)" - &gt;&gt; 2017-03-20-UncaughtWiMAX.txt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775</v>
      </c>
      <c r="B119" s="7">
        <v>4042</v>
      </c>
      <c r="C119" s="21" t="s">
        <v>222</v>
      </c>
      <c r="D119" s="21" t="s">
        <v>575</v>
      </c>
      <c r="E119" s="13">
        <v>42814.706631944442</v>
      </c>
      <c r="F119" s="13">
        <v>42814.70853009259</v>
      </c>
      <c r="G119" s="7">
        <v>1</v>
      </c>
      <c r="H119" s="21" t="s">
        <v>885</v>
      </c>
      <c r="I119" s="13">
        <v>42814.733020833337</v>
      </c>
      <c r="J119" s="7">
        <v>0</v>
      </c>
      <c r="K119" s="98" t="str">
        <f t="shared" si="25"/>
        <v>4041/4042</v>
      </c>
      <c r="L119" s="21" t="str">
        <f>VLOOKUP(A119,'Trips&amp;Operators'!$C$1:$G$99999,5,FALSE)</f>
        <v>ROMERO CHAD</v>
      </c>
      <c r="M119" s="6">
        <f t="shared" si="26"/>
        <v>2.4490740746841766E-2</v>
      </c>
      <c r="N119" s="7">
        <f t="shared" si="46"/>
        <v>35.266666675452143</v>
      </c>
      <c r="O119" s="7"/>
      <c r="P119" s="7"/>
      <c r="Q119" s="22"/>
      <c r="R119" s="22"/>
      <c r="S119" s="31">
        <f t="shared" si="44"/>
        <v>1</v>
      </c>
      <c r="T119" s="46" t="str">
        <f t="shared" si="28"/>
        <v>NorthBound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29"/>
        <v>https://d0f6bd738d7f1b3e5a7ca70fe4ff75f0.us-east-1.aws.found.io/app/kibana#/discover/Steve-Slow-Train-Analysis-(2080s-and-2083s)?_g=(refreshInterval:(display:Off,pause:!f,section:0,value:0),time:(from:'2017-03-20T15:57:33-0600',mode:absolute,to:'2017-03-20T18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9" s="187" t="str">
        <f t="shared" si="30"/>
        <v>N</v>
      </c>
      <c r="X119" s="187">
        <f t="shared" si="45"/>
        <v>1</v>
      </c>
      <c r="Y119" s="62">
        <f t="shared" si="32"/>
        <v>4.7500000000000001E-2</v>
      </c>
      <c r="Z119" s="62">
        <f t="shared" si="43"/>
        <v>23.340599999999998</v>
      </c>
      <c r="AA119" s="62">
        <f t="shared" si="34"/>
        <v>23.293099999999999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5"/>
        <v>0207-20</v>
      </c>
      <c r="AE119" s="85" t="str">
        <f t="shared" si="36"/>
        <v>aws s3 cp s3://rtdc.mdm.uploadarchive.raw/RTDC4042/ "%USERPROFILE%\AppData\Local\Temp\OnboardLogs"\RTDC4042\2017-03-20 --exclude "*" --recursive --include "*20170320*" &amp; "%USERPROFILE%\Documents\GitHub\mrs-test-scripts\Headless Mode &amp; Sideloading\WalkAndUnGZ.bat" "%USERPROFILE%\AppData\Local\Temp\OnboardLogs"\RTDC4042\2017-03-20 &amp; aws s3 cp s3://rtdc.mdm.uploadarchive.raw/RTDC4042/ "%USERPROFILE%\AppData\Local\Temp\OnboardLogs"\RTDC4042\2017-03-21 --exclude "*" --recursive --include "*20170321*" &amp; "%USERPROFILE%\Documents\GitHub\mrs-test-scripts\Headless Mode &amp; Sideloading\WalkAndUnGZ.bat" "%USERPROFILE%\AppData\Local\Temp\OnboardLogs"\RTDC4042\2017-03-21</v>
      </c>
      <c r="AF119" s="82" t="str">
        <f t="shared" si="37"/>
        <v>"C:\Program Files (x86)\AstroGrep\AstroGrep.exe" /e /r /s /spath="%USERPROFILE%\AppData\Local\Temp\OnboardLogs" /stypes="app*4042*20170320*" /stext=" 23:.+((SYSTEM_STATE.+slice.+state.+changed )|(ment ac)|(multiple cpu faults)|(system.+state.+changed )|(\[timeout)|(PRM\|1\|D)|(kpr)|(kdp)|(\|lc)|(penalty))"</v>
      </c>
      <c r="AG119" s="1" t="str">
        <f t="shared" si="38"/>
        <v>EC</v>
      </c>
      <c r="AH119" s="86" t="str">
        <f t="shared" si="39"/>
        <v>"%USERPROFILE%\Documents\GitHub\eaglep3\Utilities\RefineRTDCRunTimes.py" --tripid 207-20 --locoid 4042 --swversion DE.1.0.9.0 --startMP 204:475 --initTime 2017-03-20T16:57:33 --startdatetime 2017-03-20T17:00:17 --delay 1 --endMP 204:233406 --enddatetime 2017-03-20T17:35:33 --enforcementcount 0 &gt;&gt;C:\Users\stu\Documents\GitHub\eaglep3-reporting\EC\2017-03-20-refined-times.txt</v>
      </c>
      <c r="AI119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{"issue":{"subject":"","project_id":79,"tracker_id":40,"status_id":1,"priority_id":2,"assigned_to_id":23,"start_date":"2017-03-20","description":"","custom_fields":[{"id":1,"name":"Subdivision","value":"EC"},{"id":4,"name":"Milepost","value":"23.3406"},{"id":17,"name":"Train ID","value":"207-20"},{"id":16,"name":"Locomotive ID","value":"4042"},{"id":130,"name":"Impact","value":""},{"id":150,"name":"Time of Event (Mountain Time)","value":"17:35:33"},{"id":151,"name":"Denver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41"/>
        <v>start /low /b %USERPROFILE%\Documents\GitHub\eaglep3\Utilities\DownloadLogsFromS3.py --loco 4042 --day 2017-03-20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"%USERPROFILE%\AppData\Local\Temp\OnboardLogs"\RTDC4042\*4042*20170320* | grep -SE "(Enforcement Action)|(\[TIMEOUT)|(CHR.+\|PRM\|1\|D.+(SWITCH|SIGNAL).+UNKNOWN)" - &gt;&gt; 2017-03-20-UncaughtWiMAX.txt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785</v>
      </c>
      <c r="B120" s="7">
        <v>4041</v>
      </c>
      <c r="C120" s="21" t="s">
        <v>222</v>
      </c>
      <c r="D120" s="21" t="s">
        <v>886</v>
      </c>
      <c r="E120" s="13">
        <v>42814.744351851848</v>
      </c>
      <c r="F120" s="13">
        <v>42814.747673611113</v>
      </c>
      <c r="G120" s="7">
        <v>1</v>
      </c>
      <c r="H120" s="21" t="s">
        <v>578</v>
      </c>
      <c r="I120" s="13">
        <v>42814.773622685185</v>
      </c>
      <c r="J120" s="7">
        <v>0</v>
      </c>
      <c r="K120" s="98" t="str">
        <f t="shared" si="25"/>
        <v>4041/4042</v>
      </c>
      <c r="L120" s="21" t="str">
        <f>VLOOKUP(A120,'Trips&amp;Operators'!$C$1:$G$99999,5,FALSE)</f>
        <v>ROMERO CHAD</v>
      </c>
      <c r="M120" s="6">
        <f t="shared" si="26"/>
        <v>2.5949074071832001E-2</v>
      </c>
      <c r="N120" s="7">
        <f t="shared" si="46"/>
        <v>37.366666663438082</v>
      </c>
      <c r="O120" s="7"/>
      <c r="P120" s="7"/>
      <c r="Q120" s="22"/>
      <c r="R120" s="22"/>
      <c r="S120" s="31">
        <f t="shared" si="44"/>
        <v>1</v>
      </c>
      <c r="T120" s="46" t="str">
        <f t="shared" si="28"/>
        <v>Southbound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29"/>
        <v>https://d0f6bd738d7f1b3e5a7ca70fe4ff75f0.us-east-1.aws.found.io/app/kibana#/discover/Steve-Slow-Train-Analysis-(2080s-and-2083s)?_g=(refreshInterval:(display:Off,pause:!f,section:0,value:0),time:(from:'2017-03-20T16:51:52-0600',mode:absolute,to:'2017-03-20T19:34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0" s="187" t="str">
        <f t="shared" si="30"/>
        <v>N</v>
      </c>
      <c r="X120" s="187">
        <f t="shared" si="45"/>
        <v>1</v>
      </c>
      <c r="Y120" s="62">
        <f t="shared" si="32"/>
        <v>23.3125</v>
      </c>
      <c r="Z120" s="62">
        <f t="shared" si="43"/>
        <v>1.34E-2</v>
      </c>
      <c r="AA120" s="62">
        <f t="shared" si="34"/>
        <v>23.299099999999999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5"/>
        <v>0208-20</v>
      </c>
      <c r="AE120" s="85" t="str">
        <f t="shared" si="36"/>
        <v>aws s3 cp s3://rtdc.mdm.uploadarchive.raw/RTDC4041/ "%USERPROFILE%\AppData\Local\Temp\OnboardLogs"\RTDC4041\2017-03-20 --exclude "*" --recursive --include "*20170320*" &amp; "%USERPROFILE%\Documents\GitHub\mrs-test-scripts\Headless Mode &amp; Sideloading\WalkAndUnGZ.bat" "%USERPROFILE%\AppData\Local\Temp\OnboardLogs"\RTDC4041\2017-03-20 &amp; aws s3 cp s3://rtdc.mdm.uploadarchive.raw/RTDC4041/ "%USERPROFILE%\AppData\Local\Temp\OnboardLogs"\RTDC4041\2017-03-21 --exclude "*" --recursive --include "*20170321*" &amp; "%USERPROFILE%\Documents\GitHub\mrs-test-scripts\Headless Mode &amp; Sideloading\WalkAndUnGZ.bat" "%USERPROFILE%\AppData\Local\Temp\OnboardLogs"\RTDC4041\2017-03-21</v>
      </c>
      <c r="AF120" s="82" t="str">
        <f t="shared" si="37"/>
        <v>"C:\Program Files (x86)\AstroGrep\AstroGrep.exe" /e /r /s /spath="%USERPROFILE%\AppData\Local\Temp\OnboardLogs" /stypes="app*4041*20170321*" /stext=" 00:.+((SYSTEM_STATE.+slice.+state.+changed )|(ment ac)|(multiple cpu faults)|(system.+state.+changed )|(\[timeout)|(PRM\|1\|D)|(kpr)|(kdp)|(\|lc)|(penalty))"</v>
      </c>
      <c r="AG120" s="1" t="str">
        <f t="shared" si="38"/>
        <v>EC</v>
      </c>
      <c r="AH120" s="86" t="str">
        <f t="shared" si="39"/>
        <v>"%USERPROFILE%\Documents\GitHub\eaglep3\Utilities\RefineRTDCRunTimes.py" --tripid 208-20 --locoid 4041 --swversion DE.1.0.9.0 --startMP 204:233125 --initTime 2017-03-20T17:51:52 --startdatetime 2017-03-20T17:56:39 --delay 1 --endMP 204:134 --enddatetime 2017-03-20T18:34:01 --enforcementcount 0 &gt;&gt;C:\Users\stu\Documents\GitHub\eaglep3-reporting\EC\2017-03-20-refined-times.txt</v>
      </c>
      <c r="AI120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{"issue":{"subject":"","project_id":79,"tracker_id":40,"status_id":1,"priority_id":2,"assigned_to_id":23,"start_date":"2017-03-20","description":"","custom_fields":[{"id":1,"name":"Subdivision","value":"EC"},{"id":4,"name":"Milepost","value":"0.0134"},{"id":17,"name":"Train ID","value":"208-20"},{"id":16,"name":"Locomotive ID","value":"4041"},{"id":130,"name":"Impact","value":""},{"id":150,"name":"Time of Event (Mountain Time)","value":"18:34:01"},{"id":151,"name":"Denver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41"/>
        <v>start /low /b %USERPROFILE%\Documents\GitHub\eaglep3\Utilities\DownloadLogsFromS3.py --loco 4041 --day 2017-03-20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"%USERPROFILE%\AppData\Local\Temp\OnboardLogs"\RTDC4041\*4041*20170321* | grep -SE "(Enforcement Action)|(\[TIMEOUT)|(CHR.+\|PRM\|1\|D.+(SWITCH|SIGNAL).+UNKNOWN)" - &gt;&gt; 2017-03-20-UncaughtWiMAX.txt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778</v>
      </c>
      <c r="B121" s="7">
        <v>4022</v>
      </c>
      <c r="C121" s="21" t="s">
        <v>222</v>
      </c>
      <c r="D121" s="21" t="s">
        <v>575</v>
      </c>
      <c r="E121" s="13">
        <v>42814.718136574076</v>
      </c>
      <c r="F121" s="13">
        <v>42814.719224537039</v>
      </c>
      <c r="G121" s="7">
        <v>1</v>
      </c>
      <c r="H121" s="21" t="s">
        <v>419</v>
      </c>
      <c r="I121" s="13">
        <v>42814.746481481481</v>
      </c>
      <c r="J121" s="7">
        <v>0</v>
      </c>
      <c r="K121" s="98" t="str">
        <f t="shared" si="25"/>
        <v>4021/4022</v>
      </c>
      <c r="L121" s="21" t="str">
        <f>VLOOKUP(A121,'Trips&amp;Operators'!$C$1:$G$99999,5,FALSE)</f>
        <v>CHANDLER KELVIN</v>
      </c>
      <c r="M121" s="6">
        <f t="shared" si="26"/>
        <v>2.7256944442342501E-2</v>
      </c>
      <c r="N121" s="7">
        <f t="shared" si="46"/>
        <v>39.249999996973202</v>
      </c>
      <c r="O121" s="7"/>
      <c r="P121" s="7"/>
      <c r="Q121" s="22"/>
      <c r="R121" s="22"/>
      <c r="S121" s="31">
        <f t="shared" si="44"/>
        <v>1</v>
      </c>
      <c r="T121" s="46" t="str">
        <f t="shared" si="28"/>
        <v>NorthBound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29"/>
        <v>https://d0f6bd738d7f1b3e5a7ca70fe4ff75f0.us-east-1.aws.found.io/app/kibana#/discover/Steve-Slow-Train-Analysis-(2080s-and-2083s)?_g=(refreshInterval:(display:Off,pause:!f,section:0,value:0),time:(from:'2017-03-20T16:14:07-0600',mode:absolute,to:'2017-03-20T18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1" s="187" t="str">
        <f t="shared" si="30"/>
        <v>N</v>
      </c>
      <c r="X121" s="187">
        <f t="shared" si="45"/>
        <v>1</v>
      </c>
      <c r="Y121" s="62">
        <f t="shared" si="32"/>
        <v>4.7500000000000001E-2</v>
      </c>
      <c r="Z121" s="62">
        <f t="shared" si="43"/>
        <v>23.328600000000002</v>
      </c>
      <c r="AA121" s="62">
        <f t="shared" si="34"/>
        <v>23.281100000000002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5"/>
        <v>0209-20</v>
      </c>
      <c r="AE121" s="85" t="str">
        <f t="shared" si="36"/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AF121" s="82" t="str">
        <f t="shared" si="37"/>
        <v>"C:\Program Files (x86)\AstroGrep\AstroGrep.exe" /e /r /s /spath="%USERPROFILE%\AppData\Local\Temp\OnboardLogs" /stypes="app*4022*20170320*" /stext=" 23:.+((SYSTEM_STATE.+slice.+state.+changed )|(ment ac)|(multiple cpu faults)|(system.+state.+changed )|(\[timeout)|(PRM\|1\|D)|(kpr)|(kdp)|(\|lc)|(penalty))"</v>
      </c>
      <c r="AG121" s="1" t="str">
        <f t="shared" si="38"/>
        <v>EC</v>
      </c>
      <c r="AH121" s="86" t="str">
        <f t="shared" si="39"/>
        <v>"%USERPROFILE%\Documents\GitHub\eaglep3\Utilities\RefineRTDCRunTimes.py" --tripid 209-20 --locoid 4022 --swversion DE.1.0.9.0 --startMP 204:475 --initTime 2017-03-20T17:14:07 --startdatetime 2017-03-20T17:15:41 --delay 1 --endMP 204:233286 --enddatetime 2017-03-20T17:54:56 --enforcementcount 0 &gt;&gt;C:\Users\stu\Documents\GitHub\eaglep3-reporting\EC\2017-03-20-refined-times.txt</v>
      </c>
      <c r="AI121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{"issue":{"subject":"","project_id":79,"tracker_id":40,"status_id":1,"priority_id":2,"assigned_to_id":23,"start_date":"2017-03-20","description":"","custom_fields":[{"id":1,"name":"Subdivision","value":"EC"},{"id":4,"name":"Milepost","value":"23.3286"},{"id":17,"name":"Train ID","value":"209-20"},{"id":16,"name":"Locomotive ID","value":"4022"},{"id":130,"name":"Impact","value":""},{"id":150,"name":"Time of Event (Mountain Time)","value":"17:54:56"},{"id":151,"name":"Denver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41"/>
        <v>start /low /b %USERPROFILE%\Documents\GitHub\eaglep3\Utilities\DownloadLogsFromS3.py --loco 4022 --day 2017-03-20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"%USERPROFILE%\AppData\Local\Temp\OnboardLogs"\RTDC4022\*4022*20170320* | grep -SE "(Enforcement Action)|(\[TIMEOUT)|(CHR.+\|PRM\|1\|D.+(SWITCH|SIGNAL).+UNKNOWN)" - &gt;&gt; 2017-03-20-UncaughtWiMAX.txt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789</v>
      </c>
      <c r="B122" s="7">
        <v>4021</v>
      </c>
      <c r="C122" s="21" t="s">
        <v>222</v>
      </c>
      <c r="D122" s="21" t="s">
        <v>887</v>
      </c>
      <c r="E122" s="13">
        <v>42814.756608796299</v>
      </c>
      <c r="F122" s="13">
        <v>42814.758067129631</v>
      </c>
      <c r="G122" s="7">
        <v>1</v>
      </c>
      <c r="H122" s="21" t="s">
        <v>191</v>
      </c>
      <c r="I122" s="13">
        <v>42814.785601851851</v>
      </c>
      <c r="J122" s="7">
        <v>0</v>
      </c>
      <c r="K122" s="98" t="str">
        <f t="shared" si="25"/>
        <v>4021/4022</v>
      </c>
      <c r="L122" s="21" t="str">
        <f>VLOOKUP(A122,'Trips&amp;Operators'!$C$1:$G$99999,5,FALSE)</f>
        <v>CHANDLER KELVIN</v>
      </c>
      <c r="M122" s="6">
        <f t="shared" si="26"/>
        <v>2.753472221957054E-2</v>
      </c>
      <c r="N122" s="7">
        <f t="shared" si="46"/>
        <v>39.649999996181577</v>
      </c>
      <c r="O122" s="7"/>
      <c r="P122" s="7"/>
      <c r="Q122" s="22"/>
      <c r="R122" s="22"/>
      <c r="S122" s="31">
        <f t="shared" si="44"/>
        <v>1</v>
      </c>
      <c r="T122" s="46" t="str">
        <f t="shared" si="28"/>
        <v>Southbound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29"/>
        <v>https://d0f6bd738d7f1b3e5a7ca70fe4ff75f0.us-east-1.aws.found.io/app/kibana#/discover/Steve-Slow-Train-Analysis-(2080s-and-2083s)?_g=(refreshInterval:(display:Off,pause:!f,section:0,value:0),time:(from:'2017-03-20T17:09:31-0600',mode:absolute,to:'2017-03-20T19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2" s="187" t="str">
        <f t="shared" si="30"/>
        <v>N</v>
      </c>
      <c r="X122" s="187">
        <f t="shared" si="45"/>
        <v>1</v>
      </c>
      <c r="Y122" s="62">
        <f t="shared" si="32"/>
        <v>23.296299999999999</v>
      </c>
      <c r="Z122" s="62">
        <f t="shared" si="43"/>
        <v>1.4999999999999999E-2</v>
      </c>
      <c r="AA122" s="62">
        <f t="shared" si="34"/>
        <v>23.281299999999998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5"/>
        <v>0210-20</v>
      </c>
      <c r="AE122" s="85" t="str">
        <f t="shared" si="36"/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AF122" s="82" t="str">
        <f t="shared" si="37"/>
        <v>"C:\Program Files (x86)\AstroGrep\AstroGrep.exe" /e /r /s /spath="%USERPROFILE%\AppData\Local\Temp\OnboardLogs" /stypes="app*4021*20170321*" /stext=" 00:.+((SYSTEM_STATE.+slice.+state.+changed )|(ment ac)|(multiple cpu faults)|(system.+state.+changed )|(\[timeout)|(PRM\|1\|D)|(kpr)|(kdp)|(\|lc)|(penalty))"</v>
      </c>
      <c r="AG122" s="1" t="str">
        <f t="shared" si="38"/>
        <v>EC</v>
      </c>
      <c r="AH122" s="86" t="str">
        <f t="shared" si="39"/>
        <v>"%USERPROFILE%\Documents\GitHub\eaglep3\Utilities\RefineRTDCRunTimes.py" --tripid 210-20 --locoid 4021 --swversion DE.1.0.9.0 --startMP 204:232963 --initTime 2017-03-20T18:09:31 --startdatetime 2017-03-20T18:11:37 --delay 1 --endMP 204:150 --enddatetime 2017-03-20T18:51:16 --enforcementcount 0 &gt;&gt;C:\Users\stu\Documents\GitHub\eaglep3-reporting\EC\2017-03-20-refined-times.txt</v>
      </c>
      <c r="AI122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{"issue":{"subject":"","project_id":79,"tracker_id":40,"status_id":1,"priority_id":2,"assigned_to_id":23,"start_date":"2017-03-20","description":"","custom_fields":[{"id":1,"name":"Subdivision","value":"EC"},{"id":4,"name":"Milepost","value":"0.015"},{"id":17,"name":"Train ID","value":"210-20"},{"id":16,"name":"Locomotive ID","value":"4021"},{"id":130,"name":"Impact","value":""},{"id":150,"name":"Time of Event (Mountain Time)","value":"18:51:16"},{"id":151,"name":"Denver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41"/>
        <v>start /low /b %USERPROFILE%\Documents\GitHub\eaglep3\Utilities\DownloadLogsFromS3.py --loco 4021 --day 2017-03-20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"%USERPROFILE%\AppData\Local\Temp\OnboardLogs"\RTDC4021\*4021*20170321* | grep -SE "(Enforcement Action)|(\[TIMEOUT)|(CHR.+\|PRM\|1\|D.+(SWITCH|SIGNAL).+UNKNOWN)" - &gt;&gt; 2017-03-20-UncaughtWiMAX.txt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635</v>
      </c>
      <c r="B123" s="7">
        <v>4018</v>
      </c>
      <c r="C123" s="21" t="s">
        <v>222</v>
      </c>
      <c r="D123" s="21" t="s">
        <v>888</v>
      </c>
      <c r="E123" s="13">
        <v>42814.733124999999</v>
      </c>
      <c r="F123" s="13">
        <v>42814.733969907407</v>
      </c>
      <c r="G123" s="7">
        <v>1</v>
      </c>
      <c r="H123" s="21" t="s">
        <v>889</v>
      </c>
      <c r="I123" s="13">
        <v>42814.755798611113</v>
      </c>
      <c r="J123" s="7">
        <v>0</v>
      </c>
      <c r="K123" s="98" t="str">
        <f t="shared" si="25"/>
        <v>4017/4018</v>
      </c>
      <c r="L123" s="21" t="str">
        <f>VLOOKUP(A123,'Trips&amp;Operators'!$C$1:$G$99999,5,FALSE)</f>
        <v>LOCKLEAR TRAVIS</v>
      </c>
      <c r="M123" s="6">
        <f t="shared" si="26"/>
        <v>2.1828703705978114E-2</v>
      </c>
      <c r="N123" s="7"/>
      <c r="O123" s="7"/>
      <c r="P123" s="7">
        <f>24*60*SUM($M123:$M123)</f>
        <v>31.433333336608484</v>
      </c>
      <c r="Q123" s="22"/>
      <c r="R123" s="22" t="s">
        <v>595</v>
      </c>
      <c r="S123" s="31">
        <f t="shared" si="44"/>
        <v>1</v>
      </c>
      <c r="T123" s="46" t="str">
        <f t="shared" si="28"/>
        <v>NorthBound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29"/>
        <v>https://d0f6bd738d7f1b3e5a7ca70fe4ff75f0.us-east-1.aws.found.io/app/kibana#/discover/Steve-Slow-Train-Analysis-(2080s-and-2083s)?_g=(refreshInterval:(display:Off,pause:!f,section:0,value:0),time:(from:'2017-03-20T16:35:42-0600',mode:absolute,to:'2017-03-20T19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3" s="187" t="str">
        <f t="shared" si="30"/>
        <v>Y</v>
      </c>
      <c r="X123" s="187">
        <f t="shared" si="45"/>
        <v>1</v>
      </c>
      <c r="Y123" s="62">
        <f t="shared" si="32"/>
        <v>2.0634000000000001</v>
      </c>
      <c r="Z123" s="62">
        <f t="shared" si="43"/>
        <v>23.334199999999999</v>
      </c>
      <c r="AA123" s="62">
        <f t="shared" si="34"/>
        <v>21.270799999999998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5"/>
        <v>0211-20</v>
      </c>
      <c r="AE123" s="85" t="str">
        <f t="shared" si="36"/>
        <v>aws s3 cp s3://rtdc.mdm.uploadarchive.raw/RTDC4018/ "%USERPROFILE%\AppData\Local\Temp\OnboardLogs"\RTDC4018\2017-03-20 --exclude "*" --recursive --include "*20170320*" &amp; "%USERPROFILE%\Documents\GitHub\mrs-test-scripts\Headless Mode &amp; Sideloading\WalkAndUnGZ.bat" "%USERPROFILE%\AppData\Local\Temp\OnboardLogs"\RTDC4018\2017-03-20 &amp; aws s3 cp s3://rtdc.mdm.uploadarchive.raw/RTDC4018/ "%USERPROFILE%\AppData\Local\Temp\OnboardLogs"\RTDC4018\2017-03-21 --exclude "*" --recursive --include "*20170321*" &amp; "%USERPROFILE%\Documents\GitHub\mrs-test-scripts\Headless Mode &amp; Sideloading\WalkAndUnGZ.bat" "%USERPROFILE%\AppData\Local\Temp\OnboardLogs"\RTDC4018\2017-03-21</v>
      </c>
      <c r="AF123" s="82" t="str">
        <f t="shared" si="37"/>
        <v>"C:\Program Files (x86)\AstroGrep\AstroGrep.exe" /e /r /s /spath="%USERPROFILE%\AppData\Local\Temp\OnboardLogs" /stypes="app*4018*20170321*" /stext=" 00:.+((SYSTEM_STATE.+slice.+state.+changed )|(ment ac)|(multiple cpu faults)|(system.+state.+changed )|(\[timeout)|(PRM\|1\|D)|(kpr)|(kdp)|(\|lc)|(penalty))"</v>
      </c>
      <c r="AG123" s="1" t="str">
        <f t="shared" si="38"/>
        <v>EC</v>
      </c>
      <c r="AH123" s="86" t="str">
        <f t="shared" si="39"/>
        <v>"%USERPROFILE%\Documents\GitHub\eaglep3\Utilities\RefineRTDCRunTimes.py" --tripid 211-20 --locoid 4018 --swversion DE.1.0.9.0 --startMP 204:20634 --initTime 2017-03-20T17:35:42 --startdatetime 2017-03-20T17:36:55 --delay 1 --endMP 204:233342 --enddatetime 2017-03-20T18:08:21 --enforcementcount 0 &gt;&gt;C:\Users\stu\Documents\GitHub\eaglep3-reporting\EC\2017-03-20-refined-times.txt</v>
      </c>
      <c r="AI123" s="108" t="str">
        <f t="shared" si="40"/>
        <v>echo {"issue":{"subject":"Selected wrong track","project_id":79,"tracker_id":40,"status_id":1,"priority_id":2,"assigned_to_id":23,"start_date":"2017-03-20","description":"","custom_fields":[{"id":1,"name":"Subdivision","value":"EC"},{"id":4,"name":"Milepost","value":"23.3342"},{"id":17,"name":"Train ID","value":"211-20"},{"id":16,"name":"Locomotive ID","value":"4018"},{"id":130,"name":"Impact","value":""},{"id":150,"name":"Time of Event (Mountain Time)","value":"18:08:21"},{"id":151,"name":"Denver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41"/>
        <v>start /low /b %USERPROFILE%\Documents\GitHub\eaglep3\Utilities\DownloadLogsFromS3.py --loco 4018 --day 2017-03-20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"%USERPROFILE%\AppData\Local\Temp\OnboardLogs"\RTDC4018\*4018*20170320* | grep -SE "(Enforcement Action)|(\[TIMEOUT)|(CHR.+\|PRM\|1\|D.+(SWITCH|SIGNAL).+UNKNOWN)" - &gt;&gt; 2017-03-20-UncaughtWiMAX.txt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635</v>
      </c>
      <c r="B124" s="7">
        <v>4018</v>
      </c>
      <c r="C124" s="21" t="s">
        <v>222</v>
      </c>
      <c r="D124" s="21" t="s">
        <v>230</v>
      </c>
      <c r="E124" s="13">
        <v>42814.726087962961</v>
      </c>
      <c r="F124" s="13">
        <v>42814.733969907407</v>
      </c>
      <c r="G124" s="7">
        <v>1</v>
      </c>
      <c r="H124" s="21" t="s">
        <v>890</v>
      </c>
      <c r="I124" s="13">
        <v>42814.755798611113</v>
      </c>
      <c r="J124" s="7">
        <v>0</v>
      </c>
      <c r="K124" s="98" t="str">
        <f t="shared" si="25"/>
        <v>4017/4018</v>
      </c>
      <c r="L124" s="21" t="str">
        <f>VLOOKUP(A124,'Trips&amp;Operators'!$C$1:$G$99999,5,FALSE)</f>
        <v>LOCKLEAR TRAVIS</v>
      </c>
      <c r="M124" s="6">
        <f t="shared" si="26"/>
        <v>2.1828703705978114E-2</v>
      </c>
      <c r="N124" s="7"/>
      <c r="O124" s="7"/>
      <c r="P124" s="7"/>
      <c r="Q124" s="22"/>
      <c r="R124" s="22"/>
      <c r="S124" s="31"/>
      <c r="T124" s="46" t="str">
        <f t="shared" si="28"/>
        <v>NorthBound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0</v>
      </c>
      <c r="V124" s="186" t="str">
        <f t="shared" si="29"/>
        <v>https://d0f6bd738d7f1b3e5a7ca70fe4ff75f0.us-east-1.aws.found.io/app/kibana#/discover/Steve-Slow-Train-Analysis-(2080s-and-2083s)?_g=(refreshInterval:(display:Off,pause:!f,section:0,value:0),time:(from:'2017-03-20T16:25:34-0600',mode:absolute,to:'2017-03-20T19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4" s="187" t="str">
        <f t="shared" si="30"/>
        <v>Y</v>
      </c>
      <c r="X124" s="187">
        <f t="shared" si="45"/>
        <v>0</v>
      </c>
      <c r="Y124" s="62">
        <f t="shared" si="32"/>
        <v>4.6899999999999997E-2</v>
      </c>
      <c r="Z124" s="62">
        <f t="shared" si="43"/>
        <v>0.1145</v>
      </c>
      <c r="AA124" s="62">
        <f t="shared" si="34"/>
        <v>6.7600000000000007E-2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5"/>
        <v>0211-20</v>
      </c>
      <c r="AE124" s="85" t="str">
        <f t="shared" si="36"/>
        <v>aws s3 cp s3://rtdc.mdm.uploadarchive.raw/RTDC4018/ "%USERPROFILE%\AppData\Local\Temp\OnboardLogs"\RTDC4018\2017-03-20 --exclude "*" --recursive --include "*20170320*" &amp; "%USERPROFILE%\Documents\GitHub\mrs-test-scripts\Headless Mode &amp; Sideloading\WalkAndUnGZ.bat" "%USERPROFILE%\AppData\Local\Temp\OnboardLogs"\RTDC4018\2017-03-20 &amp; aws s3 cp s3://rtdc.mdm.uploadarchive.raw/RTDC4018/ "%USERPROFILE%\AppData\Local\Temp\OnboardLogs"\RTDC4018\2017-03-21 --exclude "*" --recursive --include "*20170321*" &amp; "%USERPROFILE%\Documents\GitHub\mrs-test-scripts\Headless Mode &amp; Sideloading\WalkAndUnGZ.bat" "%USERPROFILE%\AppData\Local\Temp\OnboardLogs"\RTDC4018\2017-03-21</v>
      </c>
      <c r="AF124" s="82" t="str">
        <f t="shared" si="37"/>
        <v>"C:\Program Files (x86)\AstroGrep\AstroGrep.exe" /e /r /s /spath="%USERPROFILE%\AppData\Local\Temp\OnboardLogs" /stypes="app*4018*20170321*" /stext=" 00:.+((SYSTEM_STATE.+slice.+state.+changed )|(ment ac)|(multiple cpu faults)|(system.+state.+changed )|(\[timeout)|(PRM\|1\|D)|(kpr)|(kdp)|(\|lc)|(penalty))"</v>
      </c>
      <c r="AG124" s="1" t="str">
        <f t="shared" si="38"/>
        <v>EC</v>
      </c>
      <c r="AH124" s="86" t="str">
        <f t="shared" si="39"/>
        <v>"%USERPROFILE%\Documents\GitHub\eaglep3\Utilities\RefineRTDCRunTimes.py" --tripid 211-20 --locoid 4018 --swversion DE.1.0.9.0 --startMP 204:469 --initTime 2017-03-20T17:25:34 --startdatetime 2017-03-20T17:36:55 --delay 1 --endMP 204:1145 --enddatetime 2017-03-20T18:08:21 --enforcementcount 0 &gt;&gt;C:\Users\stu\Documents\GitHub\eaglep3-reporting\EC\2017-03-20-refined-times.txt</v>
      </c>
      <c r="AI124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{"issue":{"subject":"","project_id":79,"tracker_id":40,"status_id":1,"priority_id":2,"assigned_to_id":23,"start_date":"2017-03-20","description":"","custom_fields":[{"id":1,"name":"Subdivision","value":"EC"},{"id":4,"name":"Milepost","value":"0.1145"},{"id":17,"name":"Train ID","value":"211-20"},{"id":16,"name":"Locomotive ID","value":"4018"},{"id":130,"name":"Impact","value":""},{"id":150,"name":"Time of Event (Mountain Time)","value":"18:08:21"},{"id":151,"name":"Denver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41"/>
        <v>start /low /b %USERPROFILE%\Documents\GitHub\eaglep3\Utilities\DownloadLogsFromS3.py --loco 4018 --day 2017-03-20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"%USERPROFILE%\AppData\Local\Temp\OnboardLogs"\RTDC4018\*4018*20170320* | grep -SE "(Enforcement Action)|(\[TIMEOUT)|(CHR.+\|PRM\|1\|D.+(SWITCH|SIGNAL).+UNKNOWN)" - &gt;&gt; 2017-03-20-UncaughtWiMAX.txt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793</v>
      </c>
      <c r="B125" s="7">
        <v>4017</v>
      </c>
      <c r="C125" s="21" t="s">
        <v>222</v>
      </c>
      <c r="D125" s="21" t="s">
        <v>513</v>
      </c>
      <c r="E125" s="13">
        <v>42814.765231481484</v>
      </c>
      <c r="F125" s="13">
        <v>42814.768263888887</v>
      </c>
      <c r="G125" s="7">
        <v>1</v>
      </c>
      <c r="H125" s="21" t="s">
        <v>577</v>
      </c>
      <c r="I125" s="13">
        <v>42814.795347222222</v>
      </c>
      <c r="J125" s="7">
        <v>0</v>
      </c>
      <c r="K125" s="98" t="str">
        <f t="shared" si="25"/>
        <v>4017/4018</v>
      </c>
      <c r="L125" s="21" t="str">
        <f>VLOOKUP(A125,'Trips&amp;Operators'!$C$1:$G$99999,5,FALSE)</f>
        <v>LOCKLEAR TRAVIS</v>
      </c>
      <c r="M125" s="6">
        <f t="shared" si="26"/>
        <v>2.7083333334303461E-2</v>
      </c>
      <c r="N125" s="7">
        <f t="shared" ref="N125:N156" si="47">24*60*SUM($M125:$M125)</f>
        <v>39.000000001396984</v>
      </c>
      <c r="O125" s="7"/>
      <c r="P125" s="7"/>
      <c r="Q125" s="22"/>
      <c r="R125" s="22"/>
      <c r="S125" s="31">
        <f t="shared" ref="S125:S156" si="48">SUM(U125:U125)/IF(AG125="EC",12,1)</f>
        <v>1</v>
      </c>
      <c r="T125" s="46" t="str">
        <f t="shared" si="28"/>
        <v>Southbound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29"/>
        <v>https://d0f6bd738d7f1b3e5a7ca70fe4ff75f0.us-east-1.aws.found.io/app/kibana#/discover/Steve-Slow-Train-Analysis-(2080s-and-2083s)?_g=(refreshInterval:(display:Off,pause:!f,section:0,value:0),time:(from:'2017-03-20T17:21:56-0600',mode:absolute,to:'2017-03-20T20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5" s="187" t="str">
        <f t="shared" si="30"/>
        <v>N</v>
      </c>
      <c r="X125" s="187">
        <f t="shared" si="45"/>
        <v>1</v>
      </c>
      <c r="Y125" s="62">
        <f t="shared" si="32"/>
        <v>23.302099999999999</v>
      </c>
      <c r="Z125" s="62">
        <f t="shared" si="43"/>
        <v>1.67E-2</v>
      </c>
      <c r="AA125" s="62">
        <f t="shared" si="34"/>
        <v>23.285399999999999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5"/>
        <v>0212-20</v>
      </c>
      <c r="AE125" s="85" t="str">
        <f t="shared" si="36"/>
        <v>aws s3 cp s3://rtdc.mdm.uploadarchive.raw/RTDC4017/ "%USERPROFILE%\AppData\Local\Temp\OnboardLogs"\RTDC4017\2017-03-20 --exclude "*" --recursive --include "*20170320*" &amp; "%USERPROFILE%\Documents\GitHub\mrs-test-scripts\Headless Mode &amp; Sideloading\WalkAndUnGZ.bat" "%USERPROFILE%\AppData\Local\Temp\OnboardLogs"\RTDC4017\2017-03-20 &amp; aws s3 cp s3://rtdc.mdm.uploadarchive.raw/RTDC4017/ "%USERPROFILE%\AppData\Local\Temp\OnboardLogs"\RTDC4017\2017-03-21 --exclude "*" --recursive --include "*20170321*" &amp; "%USERPROFILE%\Documents\GitHub\mrs-test-scripts\Headless Mode &amp; Sideloading\WalkAndUnGZ.bat" "%USERPROFILE%\AppData\Local\Temp\OnboardLogs"\RTDC4017\2017-03-21</v>
      </c>
      <c r="AF125" s="82" t="str">
        <f t="shared" si="37"/>
        <v>"C:\Program Files (x86)\AstroGrep\AstroGrep.exe" /e /r /s /spath="%USERPROFILE%\AppData\Local\Temp\OnboardLogs" /stypes="app*4017*20170321*" /stext=" 01:.+((SYSTEM_STATE.+slice.+state.+changed )|(ment ac)|(multiple cpu faults)|(system.+state.+changed )|(\[timeout)|(PRM\|1\|D)|(kpr)|(kdp)|(\|lc)|(penalty))"</v>
      </c>
      <c r="AG125" s="1" t="str">
        <f t="shared" si="38"/>
        <v>EC</v>
      </c>
      <c r="AH125" s="86" t="str">
        <f t="shared" si="39"/>
        <v>"%USERPROFILE%\Documents\GitHub\eaglep3\Utilities\RefineRTDCRunTimes.py" --tripid 212-20 --locoid 4017 --swversion DE.1.0.9.0 --startMP 204:233021 --initTime 2017-03-20T18:21:56 --startdatetime 2017-03-20T18:26:18 --delay 1 --endMP 204:167 --enddatetime 2017-03-20T19:05:18 --enforcementcount 0 &gt;&gt;C:\Users\stu\Documents\GitHub\eaglep3-reporting\EC\2017-03-20-refined-times.txt</v>
      </c>
      <c r="AI125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{"issue":{"subject":"","project_id":79,"tracker_id":40,"status_id":1,"priority_id":2,"assigned_to_id":23,"start_date":"2017-03-20","description":"","custom_fields":[{"id":1,"name":"Subdivision","value":"EC"},{"id":4,"name":"Milepost","value":"0.0167"},{"id":17,"name":"Train ID","value":"212-20"},{"id":16,"name":"Locomotive ID","value":"4017"},{"id":130,"name":"Impact","value":""},{"id":150,"name":"Time of Event (Mountain Time)","value":"19:05:18"},{"id":151,"name":"Denver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41"/>
        <v>start /low /b %USERPROFILE%\Documents\GitHub\eaglep3\Utilities\DownloadLogsFromS3.py --loco 4017 --day 2017-03-20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"%USERPROFILE%\AppData\Local\Temp\OnboardLogs"\RTDC4017\*4017*20170321* | grep -SE "(Enforcement Action)|(\[TIMEOUT)|(CHR.+\|PRM\|1\|D.+(SWITCH|SIGNAL).+UNKNOWN)" - &gt;&gt; 2017-03-20-UncaughtWiMAX.txt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783</v>
      </c>
      <c r="B126" s="7">
        <v>4046</v>
      </c>
      <c r="C126" s="21" t="s">
        <v>222</v>
      </c>
      <c r="D126" s="21" t="s">
        <v>565</v>
      </c>
      <c r="E126" s="13">
        <v>42814.738449074073</v>
      </c>
      <c r="F126" s="13">
        <v>42814.740069444444</v>
      </c>
      <c r="G126" s="7">
        <v>1</v>
      </c>
      <c r="H126" s="21" t="s">
        <v>564</v>
      </c>
      <c r="I126" s="13">
        <v>42814.765509259261</v>
      </c>
      <c r="J126" s="7">
        <v>0</v>
      </c>
      <c r="K126" s="98" t="str">
        <f t="shared" si="25"/>
        <v>4045/4046</v>
      </c>
      <c r="L126" s="21" t="str">
        <f>VLOOKUP(A126,'Trips&amp;Operators'!$C$1:$G$99999,5,FALSE)</f>
        <v>SMITH MICHAEL</v>
      </c>
      <c r="M126" s="6">
        <f t="shared" si="26"/>
        <v>2.5439814817218576E-2</v>
      </c>
      <c r="N126" s="7">
        <f t="shared" si="47"/>
        <v>36.633333336794749</v>
      </c>
      <c r="O126" s="7"/>
      <c r="P126" s="7"/>
      <c r="Q126" s="22"/>
      <c r="R126" s="22"/>
      <c r="S126" s="31">
        <f t="shared" si="48"/>
        <v>1</v>
      </c>
      <c r="T126" s="46" t="str">
        <f t="shared" si="28"/>
        <v>NorthBound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29"/>
        <v>https://d0f6bd738d7f1b3e5a7ca70fe4ff75f0.us-east-1.aws.found.io/app/kibana#/discover/Steve-Slow-Train-Analysis-(2080s-and-2083s)?_g=(refreshInterval:(display:Off,pause:!f,section:0,value:0),time:(from:'2017-03-20T16:43:22-0600',mode:absolute,to:'2017-03-20T19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6" s="187" t="str">
        <f t="shared" si="30"/>
        <v>N</v>
      </c>
      <c r="X126" s="187">
        <f t="shared" si="45"/>
        <v>1</v>
      </c>
      <c r="Y126" s="62">
        <f t="shared" si="32"/>
        <v>4.8000000000000001E-2</v>
      </c>
      <c r="Z126" s="62">
        <f t="shared" si="43"/>
        <v>23.328800000000001</v>
      </c>
      <c r="AA126" s="62">
        <f t="shared" si="34"/>
        <v>23.280800000000003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5"/>
        <v>0213-20</v>
      </c>
      <c r="AE126" s="85" t="str">
        <f t="shared" si="36"/>
        <v>aws s3 cp s3://rtdc.mdm.uploadarchive.raw/RTDC4046/ "%USERPROFILE%\AppData\Local\Temp\OnboardLogs"\RTDC4046\2017-03-20 --exclude "*" --recursive --include "*20170320*" &amp; "%USERPROFILE%\Documents\GitHub\mrs-test-scripts\Headless Mode &amp; Sideloading\WalkAndUnGZ.bat" "%USERPROFILE%\AppData\Local\Temp\OnboardLogs"\RTDC4046\2017-03-20 &amp; aws s3 cp s3://rtdc.mdm.uploadarchive.raw/RTDC4046/ "%USERPROFILE%\AppData\Local\Temp\OnboardLogs"\RTDC4046\2017-03-21 --exclude "*" --recursive --include "*20170321*" &amp; "%USERPROFILE%\Documents\GitHub\mrs-test-scripts\Headless Mode &amp; Sideloading\WalkAndUnGZ.bat" "%USERPROFILE%\AppData\Local\Temp\OnboardLogs"\RTDC4046\2017-03-21</v>
      </c>
      <c r="AF126" s="82" t="str">
        <f t="shared" si="37"/>
        <v>"C:\Program Files (x86)\AstroGrep\AstroGrep.exe" /e /r /s /spath="%USERPROFILE%\AppData\Local\Temp\OnboardLogs" /stypes="app*4046*20170321*" /stext=" 00:.+((SYSTEM_STATE.+slice.+state.+changed )|(ment ac)|(multiple cpu faults)|(system.+state.+changed )|(\[timeout)|(PRM\|1\|D)|(kpr)|(kdp)|(\|lc)|(penalty))"</v>
      </c>
      <c r="AG126" s="1" t="str">
        <f t="shared" si="38"/>
        <v>EC</v>
      </c>
      <c r="AH126" s="86" t="str">
        <f t="shared" si="39"/>
        <v>"%USERPROFILE%\Documents\GitHub\eaglep3\Utilities\RefineRTDCRunTimes.py" --tripid 213-20 --locoid 4046 --swversion DE.1.0.9.0 --startMP 204:480 --initTime 2017-03-20T17:43:22 --startdatetime 2017-03-20T17:45:42 --delay 1 --endMP 204:233288 --enddatetime 2017-03-20T18:22:20 --enforcementcount 0 &gt;&gt;C:\Users\stu\Documents\GitHub\eaglep3-reporting\EC\2017-03-20-refined-times.txt</v>
      </c>
      <c r="AI126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{"issue":{"subject":"","project_id":79,"tracker_id":40,"status_id":1,"priority_id":2,"assigned_to_id":23,"start_date":"2017-03-20","description":"","custom_fields":[{"id":1,"name":"Subdivision","value":"EC"},{"id":4,"name":"Milepost","value":"23.3288"},{"id":17,"name":"Train ID","value":"213-20"},{"id":16,"name":"Locomotive ID","value":"4046"},{"id":130,"name":"Impact","value":""},{"id":150,"name":"Time of Event (Mountain Time)","value":"18:22:20"},{"id":151,"name":"Denver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41"/>
        <v>start /low /b %USERPROFILE%\Documents\GitHub\eaglep3\Utilities\DownloadLogsFromS3.py --loco 4046 --day 2017-03-20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"%USERPROFILE%\AppData\Local\Temp\OnboardLogs"\RTDC4046\*4046*20170321* | grep -SE "(Enforcement Action)|(\[TIMEOUT)|(CHR.+\|PRM\|1\|D.+(SWITCH|SIGNAL).+UNKNOWN)" - &gt;&gt; 2017-03-20-UncaughtWiMAX.txt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797</v>
      </c>
      <c r="B127" s="7">
        <v>4045</v>
      </c>
      <c r="C127" s="21" t="s">
        <v>222</v>
      </c>
      <c r="D127" s="21" t="s">
        <v>584</v>
      </c>
      <c r="E127" s="13">
        <v>42814.772349537037</v>
      </c>
      <c r="F127" s="13">
        <v>42814.778668981482</v>
      </c>
      <c r="G127" s="7">
        <v>1</v>
      </c>
      <c r="H127" s="21" t="s">
        <v>216</v>
      </c>
      <c r="I127" s="13">
        <v>42814.806319444448</v>
      </c>
      <c r="J127" s="7">
        <v>0</v>
      </c>
      <c r="K127" s="98" t="str">
        <f t="shared" si="25"/>
        <v>4045/4046</v>
      </c>
      <c r="L127" s="21" t="str">
        <f>VLOOKUP(A127,'Trips&amp;Operators'!$C$1:$G$99999,5,FALSE)</f>
        <v>SMITH MICHAEL</v>
      </c>
      <c r="M127" s="6">
        <f t="shared" si="26"/>
        <v>2.7650462965539191E-2</v>
      </c>
      <c r="N127" s="7">
        <f t="shared" si="47"/>
        <v>39.816666670376435</v>
      </c>
      <c r="O127" s="7"/>
      <c r="P127" s="7"/>
      <c r="Q127" s="22"/>
      <c r="R127" s="22"/>
      <c r="S127" s="31">
        <f t="shared" si="48"/>
        <v>1</v>
      </c>
      <c r="T127" s="46" t="str">
        <f t="shared" si="28"/>
        <v>Southbound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29"/>
        <v>https://d0f6bd738d7f1b3e5a7ca70fe4ff75f0.us-east-1.aws.found.io/app/kibana#/discover/Steve-Slow-Train-Analysis-(2080s-and-2083s)?_g=(refreshInterval:(display:Off,pause:!f,section:0,value:0),time:(from:'2017-03-20T17:32:11-0600',mode:absolute,to:'2017-03-20T20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7" s="187" t="str">
        <f t="shared" si="30"/>
        <v>N</v>
      </c>
      <c r="X127" s="187">
        <f t="shared" si="45"/>
        <v>1</v>
      </c>
      <c r="Y127" s="62">
        <f t="shared" si="32"/>
        <v>23.296700000000001</v>
      </c>
      <c r="Z127" s="62">
        <f t="shared" si="43"/>
        <v>1.5599999999999999E-2</v>
      </c>
      <c r="AA127" s="62">
        <f t="shared" si="34"/>
        <v>23.281100000000002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5"/>
        <v>0214-20</v>
      </c>
      <c r="AE127" s="85" t="str">
        <f t="shared" si="36"/>
        <v>aws s3 cp s3://rtdc.mdm.uploadarchive.raw/RTDC4045/ "%USERPROFILE%\AppData\Local\Temp\OnboardLogs"\RTDC4045\2017-03-20 --exclude "*" --recursive --include "*20170320*" &amp; "%USERPROFILE%\Documents\GitHub\mrs-test-scripts\Headless Mode &amp; Sideloading\WalkAndUnGZ.bat" "%USERPROFILE%\AppData\Local\Temp\OnboardLogs"\RTDC4045\2017-03-20 &amp; aws s3 cp s3://rtdc.mdm.uploadarchive.raw/RTDC4045/ "%USERPROFILE%\AppData\Local\Temp\OnboardLogs"\RTDC4045\2017-03-21 --exclude "*" --recursive --include "*20170321*" &amp; "%USERPROFILE%\Documents\GitHub\mrs-test-scripts\Headless Mode &amp; Sideloading\WalkAndUnGZ.bat" "%USERPROFILE%\AppData\Local\Temp\OnboardLogs"\RTDC4045\2017-03-21</v>
      </c>
      <c r="AF127" s="82" t="str">
        <f t="shared" si="37"/>
        <v>"C:\Program Files (x86)\AstroGrep\AstroGrep.exe" /e /r /s /spath="%USERPROFILE%\AppData\Local\Temp\OnboardLogs" /stypes="app*4045*20170321*" /stext=" 01:.+((SYSTEM_STATE.+slice.+state.+changed )|(ment ac)|(multiple cpu faults)|(system.+state.+changed )|(\[timeout)|(PRM\|1\|D)|(kpr)|(kdp)|(\|lc)|(penalty))"</v>
      </c>
      <c r="AG127" s="1" t="str">
        <f t="shared" si="38"/>
        <v>EC</v>
      </c>
      <c r="AH127" s="86" t="str">
        <f t="shared" si="39"/>
        <v>"%USERPROFILE%\Documents\GitHub\eaglep3\Utilities\RefineRTDCRunTimes.py" --tripid 214-20 --locoid 4045 --swversion DE.1.0.9.0 --startMP 204:232967 --initTime 2017-03-20T18:32:11 --startdatetime 2017-03-20T18:41:17 --delay 1 --endMP 204:156 --enddatetime 2017-03-20T19:21:06 --enforcementcount 0 &gt;&gt;C:\Users\stu\Documents\GitHub\eaglep3-reporting\EC\2017-03-20-refined-times.txt</v>
      </c>
      <c r="AI127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{"issue":{"subject":"","project_id":79,"tracker_id":40,"status_id":1,"priority_id":2,"assigned_to_id":23,"start_date":"2017-03-20","description":"","custom_fields":[{"id":1,"name":"Subdivision","value":"EC"},{"id":4,"name":"Milepost","value":"0.0156"},{"id":17,"name":"Train ID","value":"214-20"},{"id":16,"name":"Locomotive ID","value":"4045"},{"id":130,"name":"Impact","value":""},{"id":150,"name":"Time of Event (Mountain Time)","value":"19:21:06"},{"id":151,"name":"Denver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41"/>
        <v>start /low /b %USERPROFILE%\Documents\GitHub\eaglep3\Utilities\DownloadLogsFromS3.py --loco 4045 --day 2017-03-20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"%USERPROFILE%\AppData\Local\Temp\OnboardLogs"\RTDC4045\*4045*20170321* | grep -SE "(Enforcement Action)|(\[TIMEOUT)|(CHR.+\|PRM\|1\|D.+(SWITCH|SIGNAL).+UNKNOWN)" - &gt;&gt; 2017-03-20-UncaughtWiMAX.txt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786</v>
      </c>
      <c r="B128" s="7">
        <v>4025</v>
      </c>
      <c r="C128" s="21" t="s">
        <v>222</v>
      </c>
      <c r="D128" s="21" t="s">
        <v>397</v>
      </c>
      <c r="E128" s="13">
        <v>42814.746006944442</v>
      </c>
      <c r="F128" s="13">
        <v>42814.750208333331</v>
      </c>
      <c r="G128" s="7">
        <v>1</v>
      </c>
      <c r="H128" s="21" t="s">
        <v>506</v>
      </c>
      <c r="I128" s="13">
        <v>42814.776192129626</v>
      </c>
      <c r="J128" s="7">
        <v>0</v>
      </c>
      <c r="K128" s="98" t="str">
        <f t="shared" si="25"/>
        <v>4025/4026</v>
      </c>
      <c r="L128" s="21" t="str">
        <f>VLOOKUP(A128,'Trips&amp;Operators'!$C$1:$G$99999,5,FALSE)</f>
        <v>BRANDNER MELINDA</v>
      </c>
      <c r="M128" s="6">
        <f t="shared" si="26"/>
        <v>2.5983796294895001E-2</v>
      </c>
      <c r="N128" s="7">
        <f t="shared" si="47"/>
        <v>37.416666664648801</v>
      </c>
      <c r="O128" s="7"/>
      <c r="P128" s="7"/>
      <c r="Q128" s="22"/>
      <c r="R128" s="22"/>
      <c r="S128" s="31">
        <f t="shared" si="48"/>
        <v>1</v>
      </c>
      <c r="T128" s="46" t="str">
        <f t="shared" si="28"/>
        <v>NorthBound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29"/>
        <v>https://d0f6bd738d7f1b3e5a7ca70fe4ff75f0.us-east-1.aws.found.io/app/kibana#/discover/Steve-Slow-Train-Analysis-(2080s-and-2083s)?_g=(refreshInterval:(display:Off,pause:!f,section:0,value:0),time:(from:'2017-03-20T16:54:15-0600',mode:absolute,to:'2017-03-20T19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8" s="187" t="str">
        <f t="shared" si="30"/>
        <v>N</v>
      </c>
      <c r="X128" s="187">
        <f t="shared" si="45"/>
        <v>1</v>
      </c>
      <c r="Y128" s="62">
        <f t="shared" si="32"/>
        <v>4.6199999999999998E-2</v>
      </c>
      <c r="Z128" s="62">
        <f t="shared" si="43"/>
        <v>23.331700000000001</v>
      </c>
      <c r="AA128" s="62">
        <f t="shared" si="34"/>
        <v>23.285500000000003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5"/>
        <v>0215-20</v>
      </c>
      <c r="AE128" s="85" t="str">
        <f t="shared" si="36"/>
        <v>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 &amp; aws s3 cp s3://rtdc.mdm.uploadarchive.raw/RTDC4025/ "%USERPROFILE%\AppData\Local\Temp\OnboardLogs"\RTDC4025\2017-03-21 --exclude "*" --recursive --include "*20170321*" &amp; "%USERPROFILE%\Documents\GitHub\mrs-test-scripts\Headless Mode &amp; Sideloading\WalkAndUnGZ.bat" "%USERPROFILE%\AppData\Local\Temp\OnboardLogs"\RTDC4025\2017-03-21</v>
      </c>
      <c r="AF128" s="82" t="str">
        <f t="shared" si="37"/>
        <v>"C:\Program Files (x86)\AstroGrep\AstroGrep.exe" /e /r /s /spath="%USERPROFILE%\AppData\Local\Temp\OnboardLogs" /stypes="app*4025*20170321*" /stext=" 00:.+((SYSTEM_STATE.+slice.+state.+changed )|(ment ac)|(multiple cpu faults)|(system.+state.+changed )|(\[timeout)|(PRM\|1\|D)|(kpr)|(kdp)|(\|lc)|(penalty))"</v>
      </c>
      <c r="AG128" s="1" t="str">
        <f t="shared" si="38"/>
        <v>EC</v>
      </c>
      <c r="AH128" s="86" t="str">
        <f t="shared" si="39"/>
        <v>"%USERPROFILE%\Documents\GitHub\eaglep3\Utilities\RefineRTDCRunTimes.py" --tripid 215-20 --locoid 4025 --swversion DE.1.0.9.0 --startMP 204:462 --initTime 2017-03-20T17:54:15 --startdatetime 2017-03-20T18:00:18 --delay 1 --endMP 204:233317 --enddatetime 2017-03-20T18:37:43 --enforcementcount 0 &gt;&gt;C:\Users\stu\Documents\GitHub\eaglep3-reporting\EC\2017-03-20-refined-times.txt</v>
      </c>
      <c r="AI128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{"issue":{"subject":"","project_id":79,"tracker_id":40,"status_id":1,"priority_id":2,"assigned_to_id":23,"start_date":"2017-03-20","description":"","custom_fields":[{"id":1,"name":"Subdivision","value":"EC"},{"id":4,"name":"Milepost","value":"23.3317"},{"id":17,"name":"Train ID","value":"215-20"},{"id":16,"name":"Locomotive ID","value":"4025"},{"id":130,"name":"Impact","value":""},{"id":150,"name":"Time of Event (Mountain Time)","value":"18:37:43"},{"id":151,"name":"Denver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41"/>
        <v>start /low /b %USERPROFILE%\Documents\GitHub\eaglep3\Utilities\DownloadLogsFromS3.py --loco 4025 --day 2017-03-20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"%USERPROFILE%\AppData\Local\Temp\OnboardLogs"\RTDC4025\*4025*20170321* | grep -SE "(Enforcement Action)|(\[TIMEOUT)|(CHR.+\|PRM\|1\|D.+(SWITCH|SIGNAL).+UNKNOWN)" - &gt;&gt; 2017-03-20-UncaughtWiMAX.txt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800</v>
      </c>
      <c r="B129" s="7">
        <v>4026</v>
      </c>
      <c r="C129" s="21" t="s">
        <v>222</v>
      </c>
      <c r="D129" s="21" t="s">
        <v>891</v>
      </c>
      <c r="E129" s="13">
        <v>42814.782141203701</v>
      </c>
      <c r="F129" s="13">
        <v>42814.789050925923</v>
      </c>
      <c r="G129" s="7">
        <v>1</v>
      </c>
      <c r="H129" s="21" t="s">
        <v>191</v>
      </c>
      <c r="I129" s="13">
        <v>42814.817395833335</v>
      </c>
      <c r="J129" s="7">
        <v>0</v>
      </c>
      <c r="K129" s="98" t="str">
        <f t="shared" si="25"/>
        <v>4025/4026</v>
      </c>
      <c r="L129" s="21" t="str">
        <f>VLOOKUP(A129,'Trips&amp;Operators'!$C$1:$G$99999,5,FALSE)</f>
        <v>BRANDNER MELINDA</v>
      </c>
      <c r="M129" s="6">
        <f t="shared" si="26"/>
        <v>2.8344907412247267E-2</v>
      </c>
      <c r="N129" s="7">
        <f t="shared" si="47"/>
        <v>40.816666673636064</v>
      </c>
      <c r="O129" s="7"/>
      <c r="P129" s="7"/>
      <c r="Q129" s="22"/>
      <c r="R129" s="22"/>
      <c r="S129" s="31">
        <f t="shared" si="48"/>
        <v>1</v>
      </c>
      <c r="T129" s="46" t="str">
        <f t="shared" si="28"/>
        <v>Southbound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29"/>
        <v>https://d0f6bd738d7f1b3e5a7ca70fe4ff75f0.us-east-1.aws.found.io/app/kibana#/discover/Steve-Slow-Train-Analysis-(2080s-and-2083s)?_g=(refreshInterval:(display:Off,pause:!f,section:0,value:0),time:(from:'2017-03-20T17:46:17-0600',mode:absolute,to:'2017-03-20T20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9" s="187" t="str">
        <f t="shared" si="30"/>
        <v>N</v>
      </c>
      <c r="X129" s="187">
        <f t="shared" si="45"/>
        <v>1</v>
      </c>
      <c r="Y129" s="62">
        <f t="shared" si="32"/>
        <v>23.298500000000001</v>
      </c>
      <c r="Z129" s="62">
        <f t="shared" si="43"/>
        <v>1.4999999999999999E-2</v>
      </c>
      <c r="AA129" s="62">
        <f t="shared" si="34"/>
        <v>23.2835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5"/>
        <v>0216-20</v>
      </c>
      <c r="AE129" s="85" t="str">
        <f t="shared" si="36"/>
        <v>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 &amp; 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</v>
      </c>
      <c r="AF129" s="82" t="str">
        <f t="shared" si="37"/>
        <v>"C:\Program Files (x86)\AstroGrep\AstroGrep.exe" /e /r /s /spath="%USERPROFILE%\AppData\Local\Temp\OnboardLogs" /stypes="app*4026*20170321*" /stext=" 01:.+((SYSTEM_STATE.+slice.+state.+changed )|(ment ac)|(multiple cpu faults)|(system.+state.+changed )|(\[timeout)|(PRM\|1\|D)|(kpr)|(kdp)|(\|lc)|(penalty))"</v>
      </c>
      <c r="AG129" s="1" t="str">
        <f t="shared" si="38"/>
        <v>EC</v>
      </c>
      <c r="AH129" s="86" t="str">
        <f t="shared" si="39"/>
        <v>"%USERPROFILE%\Documents\GitHub\eaglep3\Utilities\RefineRTDCRunTimes.py" --tripid 216-20 --locoid 4026 --swversion DE.1.0.9.0 --startMP 204:232985 --initTime 2017-03-20T18:46:17 --startdatetime 2017-03-20T18:56:14 --delay 1 --endMP 204:150 --enddatetime 2017-03-20T19:37:03 --enforcementcount 0 &gt;&gt;C:\Users\stu\Documents\GitHub\eaglep3-reporting\EC\2017-03-20-refined-times.txt</v>
      </c>
      <c r="AI129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{"issue":{"subject":"","project_id":79,"tracker_id":40,"status_id":1,"priority_id":2,"assigned_to_id":23,"start_date":"2017-03-20","description":"","custom_fields":[{"id":1,"name":"Subdivision","value":"EC"},{"id":4,"name":"Milepost","value":"0.015"},{"id":17,"name":"Train ID","value":"216-20"},{"id":16,"name":"Locomotive ID","value":"4026"},{"id":130,"name":"Impact","value":""},{"id":150,"name":"Time of Event (Mountain Time)","value":"19:37:03"},{"id":151,"name":"Denver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41"/>
        <v>start /low /b %USERPROFILE%\Documents\GitHub\eaglep3\Utilities\DownloadLogsFromS3.py --loco 4026 --day 2017-03-20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"%USERPROFILE%\AppData\Local\Temp\OnboardLogs"\RTDC4026\*4026*20170321* | grep -SE "(Enforcement Action)|(\[TIMEOUT)|(CHR.+\|PRM\|1\|D.+(SWITCH|SIGNAL).+UNKNOWN)" - &gt;&gt; 2017-03-20-UncaughtWiMAX.txt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638</v>
      </c>
      <c r="B130" s="7">
        <v>4027</v>
      </c>
      <c r="C130" s="21" t="s">
        <v>222</v>
      </c>
      <c r="D130" s="21" t="s">
        <v>591</v>
      </c>
      <c r="E130" s="13">
        <v>42814.757384259261</v>
      </c>
      <c r="F130" s="13">
        <v>42814.760891203703</v>
      </c>
      <c r="G130" s="7">
        <v>1</v>
      </c>
      <c r="H130" s="21" t="s">
        <v>521</v>
      </c>
      <c r="I130" s="13">
        <v>42814.785694444443</v>
      </c>
      <c r="J130" s="7">
        <v>0</v>
      </c>
      <c r="K130" s="98" t="str">
        <f t="shared" si="25"/>
        <v>4027/4028</v>
      </c>
      <c r="L130" s="21" t="str">
        <f>VLOOKUP(A130,'Trips&amp;Operators'!$C$1:$G$99999,5,FALSE)</f>
        <v>STAMBAUGH JAMES</v>
      </c>
      <c r="M130" s="6">
        <f t="shared" si="26"/>
        <v>2.4803240739856847E-2</v>
      </c>
      <c r="N130" s="7">
        <f t="shared" si="47"/>
        <v>35.716666665393859</v>
      </c>
      <c r="O130" s="7"/>
      <c r="P130" s="7"/>
      <c r="Q130" s="22"/>
      <c r="R130" s="22"/>
      <c r="S130" s="31">
        <f t="shared" si="48"/>
        <v>1</v>
      </c>
      <c r="T130" s="46" t="str">
        <f t="shared" si="28"/>
        <v>NorthBound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29"/>
        <v>https://d0f6bd738d7f1b3e5a7ca70fe4ff75f0.us-east-1.aws.found.io/app/kibana#/discover/Steve-Slow-Train-Analysis-(2080s-and-2083s)?_g=(refreshInterval:(display:Off,pause:!f,section:0,value:0),time:(from:'2017-03-20T17:10:38-0600',mode:absolute,to:'2017-03-20T19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0" s="187" t="str">
        <f t="shared" si="30"/>
        <v>N</v>
      </c>
      <c r="X130" s="187">
        <f t="shared" si="45"/>
        <v>1</v>
      </c>
      <c r="Y130" s="62">
        <f t="shared" si="32"/>
        <v>4.4200000000000003E-2</v>
      </c>
      <c r="Z130" s="62">
        <f t="shared" si="43"/>
        <v>23.332599999999999</v>
      </c>
      <c r="AA130" s="62">
        <f t="shared" si="34"/>
        <v>23.288399999999999</v>
      </c>
      <c r="AB130" s="59" t="str">
        <f>VLOOKUP(A130,Enforcements!$C$7:$K$13,8,0)</f>
        <v>Bulletin (2)</v>
      </c>
      <c r="AC130" s="55" t="str">
        <f>VLOOKUP(A130,Enforcements!$C$7:$E$13,3,0)</f>
        <v>GRADE CROSSING</v>
      </c>
      <c r="AD130" s="56" t="str">
        <f t="shared" si="35"/>
        <v>0217-20</v>
      </c>
      <c r="AE130" s="85" t="str">
        <f t="shared" si="36"/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AF130" s="82" t="str">
        <f t="shared" si="37"/>
        <v>"C:\Program Files (x86)\AstroGrep\AstroGrep.exe" /e /r /s /spath="%USERPROFILE%\AppData\Local\Temp\OnboardLogs" /stypes="app*4027*20170321*" /stext=" 00:.+((SYSTEM_STATE.+slice.+state.+changed )|(ment ac)|(multiple cpu faults)|(system.+state.+changed )|(\[timeout)|(PRM\|1\|D)|(kpr)|(kdp)|(\|lc)|(penalty))"</v>
      </c>
      <c r="AG130" s="1" t="str">
        <f t="shared" si="38"/>
        <v>EC</v>
      </c>
      <c r="AH130" s="86" t="str">
        <f t="shared" si="39"/>
        <v>"%USERPROFILE%\Documents\GitHub\eaglep3\Utilities\RefineRTDCRunTimes.py" --tripid 217-20 --locoid 4027 --swversion DE.1.0.9.0 --startMP 204:442 --initTime 2017-03-20T18:10:38 --startdatetime 2017-03-20T18:15:41 --delay 1 --endMP 204:233326 --enddatetime 2017-03-20T18:51:24 --enforcementcount 0 &gt;&gt;C:\Users\stu\Documents\GitHub\eaglep3-reporting\EC\2017-03-20-refined-times.txt</v>
      </c>
      <c r="AI130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{"issue":{"subject":"","project_id":79,"tracker_id":40,"status_id":1,"priority_id":2,"assigned_to_id":23,"start_date":"2017-03-20","description":"","custom_fields":[{"id":1,"name":"Subdivision","value":"EC"},{"id":4,"name":"Milepost","value":"23.3326"},{"id":17,"name":"Train ID","value":"217-20"},{"id":16,"name":"Locomotive ID","value":"4027"},{"id":130,"name":"Impact","value":""},{"id":150,"name":"Time of Event (Mountain Time)","value":"18:51:24"},{"id":151,"name":"Denver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41"/>
        <v>start /low /b %USERPROFILE%\Documents\GitHub\eaglep3\Utilities\DownloadLogsFromS3.py --loco 4027 --day 2017-03-20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"%USERPROFILE%\AppData\Local\Temp\OnboardLogs"\RTDC4027\*4027*20170321* | grep -SE "(Enforcement Action)|(\[TIMEOUT)|(CHR.+\|PRM\|1\|D.+(SWITCH|SIGNAL).+UNKNOWN)" - &gt;&gt; 2017-03-20-UncaughtWiMAX.txt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802</v>
      </c>
      <c r="B131" s="7">
        <v>4028</v>
      </c>
      <c r="C131" s="21" t="s">
        <v>222</v>
      </c>
      <c r="D131" s="21" t="s">
        <v>573</v>
      </c>
      <c r="E131" s="13">
        <v>42814.7968287037</v>
      </c>
      <c r="F131" s="13">
        <v>42814.799780092595</v>
      </c>
      <c r="G131" s="7">
        <v>1</v>
      </c>
      <c r="H131" s="21" t="s">
        <v>199</v>
      </c>
      <c r="I131" s="13">
        <v>42814.825613425928</v>
      </c>
      <c r="J131" s="7">
        <v>0</v>
      </c>
      <c r="K131" s="98" t="str">
        <f t="shared" si="25"/>
        <v>4027/4028</v>
      </c>
      <c r="L131" s="21" t="str">
        <f>VLOOKUP(A131,'Trips&amp;Operators'!$C$1:$G$99999,5,FALSE)</f>
        <v>STAMBAUGH JAMES</v>
      </c>
      <c r="M131" s="6">
        <f t="shared" si="26"/>
        <v>2.5833333333139308E-2</v>
      </c>
      <c r="N131" s="7">
        <f t="shared" si="47"/>
        <v>37.199999999720603</v>
      </c>
      <c r="O131" s="7"/>
      <c r="P131" s="7"/>
      <c r="Q131" s="22"/>
      <c r="R131" s="22"/>
      <c r="S131" s="31">
        <f t="shared" si="48"/>
        <v>1</v>
      </c>
      <c r="T131" s="46" t="str">
        <f t="shared" si="28"/>
        <v>Southbound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29"/>
        <v>https://d0f6bd738d7f1b3e5a7ca70fe4ff75f0.us-east-1.aws.found.io/app/kibana#/discover/Steve-Slow-Train-Analysis-(2080s-and-2083s)?_g=(refreshInterval:(display:Off,pause:!f,section:0,value:0),time:(from:'2017-03-20T18:07:26-0600',mode:absolute,to:'2017-03-20T20:48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1" s="187" t="str">
        <f t="shared" si="30"/>
        <v>N</v>
      </c>
      <c r="X131" s="187">
        <f t="shared" si="45"/>
        <v>1</v>
      </c>
      <c r="Y131" s="62">
        <f t="shared" si="32"/>
        <v>23.3005</v>
      </c>
      <c r="Z131" s="62">
        <f t="shared" si="43"/>
        <v>1.52E-2</v>
      </c>
      <c r="AA131" s="62">
        <f t="shared" si="34"/>
        <v>23.285299999999999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5"/>
        <v>0218-20</v>
      </c>
      <c r="AE131" s="85" t="str">
        <f t="shared" si="36"/>
        <v>aws s3 cp s3://rtdc.mdm.uploadarchive.raw/RTDC4028/ "%USERPROFILE%\AppData\Local\Temp\OnboardLogs"\RTDC4028\2017-03-20 --exclude "*" --recursive --include "*20170320*" &amp; "%USERPROFILE%\Documents\GitHub\mrs-test-scripts\Headless Mode &amp; Sideloading\WalkAndUnGZ.bat" "%USERPROFILE%\AppData\Local\Temp\OnboardLogs"\RTDC4028\2017-03-20 &amp; aws s3 cp s3://rtdc.mdm.uploadarchive.raw/RTDC4028/ "%USERPROFILE%\AppData\Local\Temp\OnboardLogs"\RTDC4028\2017-03-21 --exclude "*" --recursive --include "*20170321*" &amp; "%USERPROFILE%\Documents\GitHub\mrs-test-scripts\Headless Mode &amp; Sideloading\WalkAndUnGZ.bat" "%USERPROFILE%\AppData\Local\Temp\OnboardLogs"\RTDC4028\2017-03-21</v>
      </c>
      <c r="AF131" s="82" t="str">
        <f t="shared" si="37"/>
        <v>"C:\Program Files (x86)\AstroGrep\AstroGrep.exe" /e /r /s /spath="%USERPROFILE%\AppData\Local\Temp\OnboardLogs" /stypes="app*4028*20170321*" /stext=" 01:.+((SYSTEM_STATE.+slice.+state.+changed )|(ment ac)|(multiple cpu faults)|(system.+state.+changed )|(\[timeout)|(PRM\|1\|D)|(kpr)|(kdp)|(\|lc)|(penalty))"</v>
      </c>
      <c r="AG131" s="1" t="str">
        <f t="shared" si="38"/>
        <v>EC</v>
      </c>
      <c r="AH131" s="86" t="str">
        <f t="shared" si="39"/>
        <v>"%USERPROFILE%\Documents\GitHub\eaglep3\Utilities\RefineRTDCRunTimes.py" --tripid 218-20 --locoid 4028 --swversion DE.1.0.9.0 --startMP 204:233005 --initTime 2017-03-20T19:07:26 --startdatetime 2017-03-20T19:11:41 --delay 1 --endMP 204:152 --enddatetime 2017-03-20T19:48:53 --enforcementcount 0 &gt;&gt;C:\Users\stu\Documents\GitHub\eaglep3-reporting\EC\2017-03-20-refined-times.txt</v>
      </c>
      <c r="AI131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{"issue":{"subject":"","project_id":79,"tracker_id":40,"status_id":1,"priority_id":2,"assigned_to_id":23,"start_date":"2017-03-20","description":"","custom_fields":[{"id":1,"name":"Subdivision","value":"EC"},{"id":4,"name":"Milepost","value":"0.0152"},{"id":17,"name":"Train ID","value":"218-20"},{"id":16,"name":"Locomotive ID","value":"4028"},{"id":130,"name":"Impact","value":""},{"id":150,"name":"Time of Event (Mountain Time)","value":"19:48:53"},{"id":151,"name":"Denver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41"/>
        <v>start /low /b %USERPROFILE%\Documents\GitHub\eaglep3\Utilities\DownloadLogsFromS3.py --loco 4028 --day 2017-03-20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"%USERPROFILE%\AppData\Local\Temp\OnboardLogs"\RTDC4028\*4028*20170321* | grep -SE "(Enforcement Action)|(\[TIMEOUT)|(CHR.+\|PRM\|1\|D.+(SWITCH|SIGNAL).+UNKNOWN)" - &gt;&gt; 2017-03-20-UncaughtWiMAX.txt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639</v>
      </c>
      <c r="B132" s="7">
        <v>4003</v>
      </c>
      <c r="C132" s="21" t="s">
        <v>222</v>
      </c>
      <c r="D132" s="21" t="s">
        <v>502</v>
      </c>
      <c r="E132" s="13">
        <v>42814.769120370373</v>
      </c>
      <c r="F132" s="13">
        <v>42814.771168981482</v>
      </c>
      <c r="G132" s="7">
        <v>1</v>
      </c>
      <c r="H132" s="21" t="s">
        <v>418</v>
      </c>
      <c r="I132" s="13">
        <v>42814.796481481484</v>
      </c>
      <c r="J132" s="7">
        <v>0</v>
      </c>
      <c r="K132" s="98" t="str">
        <f t="shared" si="25"/>
        <v>4003/4004</v>
      </c>
      <c r="L132" s="21" t="str">
        <f>VLOOKUP(A132,'Trips&amp;Operators'!$C$1:$G$99999,5,FALSE)</f>
        <v>STORY SAMANTHA</v>
      </c>
      <c r="M132" s="6">
        <f t="shared" si="26"/>
        <v>2.531250000174623E-2</v>
      </c>
      <c r="N132" s="7">
        <f t="shared" si="47"/>
        <v>36.450000002514571</v>
      </c>
      <c r="O132" s="7"/>
      <c r="P132" s="7"/>
      <c r="Q132" s="22"/>
      <c r="R132" s="22"/>
      <c r="S132" s="31">
        <f t="shared" si="48"/>
        <v>1</v>
      </c>
      <c r="T132" s="46" t="str">
        <f t="shared" si="28"/>
        <v>NorthBound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29"/>
        <v>https://d0f6bd738d7f1b3e5a7ca70fe4ff75f0.us-east-1.aws.found.io/app/kibana#/discover/Steve-Slow-Train-Analysis-(2080s-and-2083s)?_g=(refreshInterval:(display:Off,pause:!f,section:0,value:0),time:(from:'2017-03-20T17:27:32-0600',mode:absolute,to:'2017-03-20T20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2" s="187" t="str">
        <f t="shared" si="30"/>
        <v>N</v>
      </c>
      <c r="X132" s="187">
        <f t="shared" si="45"/>
        <v>1</v>
      </c>
      <c r="Y132" s="62">
        <f t="shared" si="32"/>
        <v>4.8599999999999997E-2</v>
      </c>
      <c r="Z132" s="62">
        <f t="shared" si="43"/>
        <v>23.330400000000001</v>
      </c>
      <c r="AA132" s="62">
        <f t="shared" si="34"/>
        <v>23.2818</v>
      </c>
      <c r="AB132" s="59" t="str">
        <f>VLOOKUP(A132,Enforcements!$C$7:$K$13,8,0)</f>
        <v>Bulletin (2)</v>
      </c>
      <c r="AC132" s="55" t="str">
        <f>VLOOKUP(A132,Enforcements!$C$7:$E$13,3,0)</f>
        <v>GRADE CROSSING</v>
      </c>
      <c r="AD132" s="56" t="str">
        <f t="shared" si="35"/>
        <v>0219-20</v>
      </c>
      <c r="AE132" s="85" t="str">
        <f t="shared" si="36"/>
        <v>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 &amp; 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</v>
      </c>
      <c r="AF132" s="82" t="str">
        <f t="shared" si="37"/>
        <v>"C:\Program Files (x86)\AstroGrep\AstroGrep.exe" /e /r /s /spath="%USERPROFILE%\AppData\Local\Temp\OnboardLogs" /stypes="app*4003*20170321*" /stext=" 01:.+((SYSTEM_STATE.+slice.+state.+changed )|(ment ac)|(multiple cpu faults)|(system.+state.+changed )|(\[timeout)|(PRM\|1\|D)|(kpr)|(kdp)|(\|lc)|(penalty))"</v>
      </c>
      <c r="AG132" s="1" t="str">
        <f t="shared" si="38"/>
        <v>EC</v>
      </c>
      <c r="AH132" s="86" t="str">
        <f t="shared" si="39"/>
        <v>"%USERPROFILE%\Documents\GitHub\eaglep3\Utilities\RefineRTDCRunTimes.py" --tripid 219-20 --locoid 4003 --swversion DE.1.0.9.0 --startMP 204:486 --initTime 2017-03-20T18:27:32 --startdatetime 2017-03-20T18:30:29 --delay 1 --endMP 204:233304 --enddatetime 2017-03-20T19:06:56 --enforcementcount 0 &gt;&gt;C:\Users\stu\Documents\GitHub\eaglep3-reporting\EC\2017-03-20-refined-times.txt</v>
      </c>
      <c r="AI132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{"issue":{"subject":"","project_id":79,"tracker_id":40,"status_id":1,"priority_id":2,"assigned_to_id":23,"start_date":"2017-03-20","description":"","custom_fields":[{"id":1,"name":"Subdivision","value":"EC"},{"id":4,"name":"Milepost","value":"23.3304"},{"id":17,"name":"Train ID","value":"219-20"},{"id":16,"name":"Locomotive ID","value":"4003"},{"id":130,"name":"Impact","value":""},{"id":150,"name":"Time of Event (Mountain Time)","value":"19:06:56"},{"id":151,"name":"Denver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41"/>
        <v>start /low /b %USERPROFILE%\Documents\GitHub\eaglep3\Utilities\DownloadLogsFromS3.py --loco 4003 --day 2017-03-20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"%USERPROFILE%\AppData\Local\Temp\OnboardLogs"\RTDC4003\*4003*20170321* | grep -SE "(Enforcement Action)|(\[TIMEOUT)|(CHR.+\|PRM\|1\|D.+(SWITCH|SIGNAL).+UNKNOWN)" - &gt;&gt; 2017-03-20-UncaughtWiMAX.txt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804</v>
      </c>
      <c r="B133" s="7">
        <v>4004</v>
      </c>
      <c r="C133" s="21" t="s">
        <v>222</v>
      </c>
      <c r="D133" s="21" t="s">
        <v>892</v>
      </c>
      <c r="E133" s="13">
        <v>42814.808206018519</v>
      </c>
      <c r="F133" s="13">
        <v>42814.809988425928</v>
      </c>
      <c r="G133" s="7">
        <v>1</v>
      </c>
      <c r="H133" s="21" t="s">
        <v>200</v>
      </c>
      <c r="I133" s="13">
        <v>42814.837766203702</v>
      </c>
      <c r="J133" s="7">
        <v>0</v>
      </c>
      <c r="K133" s="98" t="str">
        <f t="shared" si="25"/>
        <v>4003/4004</v>
      </c>
      <c r="L133" s="21" t="str">
        <f>VLOOKUP(A133,'Trips&amp;Operators'!$C$1:$G$99999,5,FALSE)</f>
        <v>STORY SAMANTHA</v>
      </c>
      <c r="M133" s="6">
        <f t="shared" si="26"/>
        <v>2.7777777773735579E-2</v>
      </c>
      <c r="N133" s="7">
        <f t="shared" si="47"/>
        <v>39.999999994179234</v>
      </c>
      <c r="O133" s="7"/>
      <c r="P133" s="7"/>
      <c r="Q133" s="22"/>
      <c r="R133" s="22"/>
      <c r="S133" s="31">
        <f t="shared" si="48"/>
        <v>1</v>
      </c>
      <c r="T133" s="46" t="str">
        <f t="shared" si="28"/>
        <v>Southbound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29"/>
        <v>https://d0f6bd738d7f1b3e5a7ca70fe4ff75f0.us-east-1.aws.found.io/app/kibana#/discover/Steve-Slow-Train-Analysis-(2080s-and-2083s)?_g=(refreshInterval:(display:Off,pause:!f,section:0,value:0),time:(from:'2017-03-20T18:23:49-0600',mode:absolute,to:'2017-03-20T21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3" s="187" t="str">
        <f t="shared" si="30"/>
        <v>N</v>
      </c>
      <c r="X133" s="187">
        <f t="shared" si="45"/>
        <v>1</v>
      </c>
      <c r="Y133" s="62">
        <f t="shared" si="32"/>
        <v>23.302499999999998</v>
      </c>
      <c r="Z133" s="62">
        <f t="shared" si="43"/>
        <v>1.5800000000000002E-2</v>
      </c>
      <c r="AA133" s="62">
        <f t="shared" si="34"/>
        <v>23.2867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5"/>
        <v>0220-20</v>
      </c>
      <c r="AE133" s="85" t="str">
        <f t="shared" si="36"/>
        <v>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 &amp; aws s3 cp s3://rtdc.mdm.uploadarchive.raw/RTDC4004/ "%USERPROFILE%\AppData\Local\Temp\OnboardLogs"\RTDC4004\2017-03-21 --exclude "*" --recursive --include "*20170321*" &amp; "%USERPROFILE%\Documents\GitHub\mrs-test-scripts\Headless Mode &amp; Sideloading\WalkAndUnGZ.bat" "%USERPROFILE%\AppData\Local\Temp\OnboardLogs"\RTDC4004\2017-03-21</v>
      </c>
      <c r="AF133" s="82" t="str">
        <f t="shared" si="37"/>
        <v>"C:\Program Files (x86)\AstroGrep\AstroGrep.exe" /e /r /s /spath="%USERPROFILE%\AppData\Local\Temp\OnboardLogs" /stypes="app*4004*20170321*" /stext=" 02:.+((SYSTEM_STATE.+slice.+state.+changed )|(ment ac)|(multiple cpu faults)|(system.+state.+changed )|(\[timeout)|(PRM\|1\|D)|(kpr)|(kdp)|(\|lc)|(penalty))"</v>
      </c>
      <c r="AG133" s="1" t="str">
        <f t="shared" si="38"/>
        <v>EC</v>
      </c>
      <c r="AH133" s="86" t="str">
        <f t="shared" si="39"/>
        <v>"%USERPROFILE%\Documents\GitHub\eaglep3\Utilities\RefineRTDCRunTimes.py" --tripid 220-20 --locoid 4004 --swversion DE.1.0.9.0 --startMP 204:233025 --initTime 2017-03-20T19:23:49 --startdatetime 2017-03-20T19:26:23 --delay 1 --endMP 204:158 --enddatetime 2017-03-20T20:06:23 --enforcementcount 0 &gt;&gt;C:\Users\stu\Documents\GitHub\eaglep3-reporting\EC\2017-03-20-refined-times.txt</v>
      </c>
      <c r="AI133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{"issue":{"subject":"","project_id":79,"tracker_id":40,"status_id":1,"priority_id":2,"assigned_to_id":23,"start_date":"2017-03-20","description":"","custom_fields":[{"id":1,"name":"Subdivision","value":"EC"},{"id":4,"name":"Milepost","value":"0.0158"},{"id":17,"name":"Train ID","value":"220-20"},{"id":16,"name":"Locomotive ID","value":"4004"},{"id":130,"name":"Impact","value":""},{"id":150,"name":"Time of Event (Mountain Time)","value":"20:06:23"},{"id":151,"name":"Denver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41"/>
        <v>start /low /b %USERPROFILE%\Documents\GitHub\eaglep3\Utilities\DownloadLogsFromS3.py --loco 4004 --day 2017-03-20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"%USERPROFILE%\AppData\Local\Temp\OnboardLogs"\RTDC4004\*4004*20170321* | grep -SE "(Enforcement Action)|(\[TIMEOUT)|(CHR.+\|PRM\|1\|D.+(SWITCH|SIGNAL).+UNKNOWN)" - &gt;&gt; 2017-03-20-UncaughtWiMAX.txt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640</v>
      </c>
      <c r="B134" s="7">
        <v>4022</v>
      </c>
      <c r="C134" s="21" t="s">
        <v>222</v>
      </c>
      <c r="D134" s="21" t="s">
        <v>223</v>
      </c>
      <c r="E134" s="13">
        <v>42814.791087962964</v>
      </c>
      <c r="F134" s="13">
        <v>42814.79210648148</v>
      </c>
      <c r="G134" s="7">
        <v>1</v>
      </c>
      <c r="H134" s="21" t="s">
        <v>893</v>
      </c>
      <c r="I134" s="13">
        <v>42814.818148148152</v>
      </c>
      <c r="J134" s="7">
        <v>0</v>
      </c>
      <c r="K134" s="98" t="str">
        <f t="shared" si="25"/>
        <v>4021/4022</v>
      </c>
      <c r="L134" s="21" t="str">
        <f>VLOOKUP(A134,'Trips&amp;Operators'!$C$1:$G$99999,5,FALSE)</f>
        <v>CHANDLER KELVIN</v>
      </c>
      <c r="M134" s="6">
        <f t="shared" si="26"/>
        <v>2.6041666671517305E-2</v>
      </c>
      <c r="N134" s="7">
        <f t="shared" si="47"/>
        <v>37.500000006984919</v>
      </c>
      <c r="O134" s="7"/>
      <c r="P134" s="7"/>
      <c r="Q134" s="22"/>
      <c r="R134" s="22"/>
      <c r="S134" s="31">
        <f t="shared" si="48"/>
        <v>1</v>
      </c>
      <c r="T134" s="46" t="str">
        <f t="shared" si="28"/>
        <v>NorthBound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29"/>
        <v>https://d0f6bd738d7f1b3e5a7ca70fe4ff75f0.us-east-1.aws.found.io/app/kibana#/discover/Steve-Slow-Train-Analysis-(2080s-and-2083s)?_g=(refreshInterval:(display:Off,pause:!f,section:0,value:0),time:(from:'2017-03-20T17:59:10-0600',mode:absolute,to:'2017-03-20T20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4" s="187" t="str">
        <f t="shared" si="30"/>
        <v>N</v>
      </c>
      <c r="X134" s="187">
        <f t="shared" si="45"/>
        <v>1</v>
      </c>
      <c r="Y134" s="62">
        <f t="shared" si="32"/>
        <v>4.58E-2</v>
      </c>
      <c r="Z134" s="62">
        <f t="shared" si="43"/>
        <v>23.3247</v>
      </c>
      <c r="AA134" s="62">
        <f t="shared" si="34"/>
        <v>23.2789</v>
      </c>
      <c r="AB134" s="59" t="str">
        <f>VLOOKUP(A134,Enforcements!$C$7:$K$13,8,0)</f>
        <v>Bulletin (2)</v>
      </c>
      <c r="AC134" s="55" t="str">
        <f>VLOOKUP(A134,Enforcements!$C$7:$E$13,3,0)</f>
        <v>GRADE CROSSING</v>
      </c>
      <c r="AD134" s="56" t="str">
        <f t="shared" si="35"/>
        <v>0221-20</v>
      </c>
      <c r="AE134" s="85" t="str">
        <f t="shared" si="36"/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AF134" s="82" t="str">
        <f t="shared" si="37"/>
        <v>"C:\Program Files (x86)\AstroGrep\AstroGrep.exe" /e /r /s /spath="%USERPROFILE%\AppData\Local\Temp\OnboardLogs" /stypes="app*4022*20170321*" /stext=" 01:.+((SYSTEM_STATE.+slice.+state.+changed )|(ment ac)|(multiple cpu faults)|(system.+state.+changed )|(\[timeout)|(PRM\|1\|D)|(kpr)|(kdp)|(\|lc)|(penalty))"</v>
      </c>
      <c r="AG134" s="1" t="str">
        <f t="shared" si="38"/>
        <v>EC</v>
      </c>
      <c r="AH134" s="86" t="str">
        <f t="shared" si="39"/>
        <v>"%USERPROFILE%\Documents\GitHub\eaglep3\Utilities\RefineRTDCRunTimes.py" --tripid 221-20 --locoid 4022 --swversion DE.1.0.9.0 --startMP 204:458 --initTime 2017-03-20T18:59:10 --startdatetime 2017-03-20T19:00:38 --delay 1 --endMP 204:233247 --enddatetime 2017-03-20T19:38:08 --enforcementcount 0 &gt;&gt;C:\Users\stu\Documents\GitHub\eaglep3-reporting\EC\2017-03-20-refined-times.txt</v>
      </c>
      <c r="AI134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{"issue":{"subject":"","project_id":79,"tracker_id":40,"status_id":1,"priority_id":2,"assigned_to_id":23,"start_date":"2017-03-20","description":"","custom_fields":[{"id":1,"name":"Subdivision","value":"EC"},{"id":4,"name":"Milepost","value":"23.3247"},{"id":17,"name":"Train ID","value":"221-20"},{"id":16,"name":"Locomotive ID","value":"4022"},{"id":130,"name":"Impact","value":""},{"id":150,"name":"Time of Event (Mountain Time)","value":"19:38:08"},{"id":151,"name":"Denver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41"/>
        <v>start /low /b %USERPROFILE%\Documents\GitHub\eaglep3\Utilities\DownloadLogsFromS3.py --loco 4022 --day 2017-03-20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"%USERPROFILE%\AppData\Local\Temp\OnboardLogs"\RTDC4022\*4022*20170321* | grep -SE "(Enforcement Action)|(\[TIMEOUT)|(CHR.+\|PRM\|1\|D.+(SWITCH|SIGNAL).+UNKNOWN)" - &gt;&gt; 2017-03-20-UncaughtWiMAX.txt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643</v>
      </c>
      <c r="B135" s="7">
        <v>4021</v>
      </c>
      <c r="C135" s="21" t="s">
        <v>222</v>
      </c>
      <c r="D135" s="21" t="s">
        <v>846</v>
      </c>
      <c r="E135" s="13">
        <v>42814.828657407408</v>
      </c>
      <c r="F135" s="13">
        <v>42814.831180555557</v>
      </c>
      <c r="G135" s="7">
        <v>1</v>
      </c>
      <c r="H135" s="21" t="s">
        <v>450</v>
      </c>
      <c r="I135" s="13">
        <v>42814.858761574076</v>
      </c>
      <c r="J135" s="7">
        <v>0</v>
      </c>
      <c r="K135" s="98" t="str">
        <f t="shared" si="25"/>
        <v>4021/4022</v>
      </c>
      <c r="L135" s="21" t="str">
        <f>VLOOKUP(A135,'Trips&amp;Operators'!$C$1:$G$99999,5,FALSE)</f>
        <v>CHANDLER KELVIN</v>
      </c>
      <c r="M135" s="6">
        <f t="shared" si="26"/>
        <v>2.7581018519413192E-2</v>
      </c>
      <c r="N135" s="7">
        <f t="shared" si="47"/>
        <v>39.716666667954996</v>
      </c>
      <c r="O135" s="7"/>
      <c r="P135" s="7"/>
      <c r="Q135" s="22"/>
      <c r="R135" s="22"/>
      <c r="S135" s="31">
        <f t="shared" si="48"/>
        <v>1</v>
      </c>
      <c r="T135" s="46" t="str">
        <f t="shared" si="28"/>
        <v>Southbound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29"/>
        <v>https://d0f6bd738d7f1b3e5a7ca70fe4ff75f0.us-east-1.aws.found.io/app/kibana#/discover/Steve-Slow-Train-Analysis-(2080s-and-2083s)?_g=(refreshInterval:(display:Off,pause:!f,section:0,value:0),time:(from:'2017-03-20T18:53:16-0600',mode:absolute,to:'2017-03-20T21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5" s="187" t="str">
        <f t="shared" si="30"/>
        <v>N</v>
      </c>
      <c r="X135" s="187">
        <f t="shared" si="45"/>
        <v>1</v>
      </c>
      <c r="Y135" s="62">
        <f t="shared" si="32"/>
        <v>23.295300000000001</v>
      </c>
      <c r="Z135" s="62">
        <f t="shared" si="43"/>
        <v>1.6E-2</v>
      </c>
      <c r="AA135" s="62">
        <f t="shared" si="34"/>
        <v>23.279300000000003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5"/>
        <v>0222-20</v>
      </c>
      <c r="AE135" s="85" t="str">
        <f t="shared" si="36"/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AF135" s="82" t="str">
        <f t="shared" si="37"/>
        <v>"C:\Program Files (x86)\AstroGrep\AstroGrep.exe" /e /r /s /spath="%USERPROFILE%\AppData\Local\Temp\OnboardLogs" /stypes="app*4021*20170321*" /stext=" 02:.+((SYSTEM_STATE.+slice.+state.+changed )|(ment ac)|(multiple cpu faults)|(system.+state.+changed )|(\[timeout)|(PRM\|1\|D)|(kpr)|(kdp)|(\|lc)|(penalty))"</v>
      </c>
      <c r="AG135" s="1" t="str">
        <f t="shared" si="38"/>
        <v>EC</v>
      </c>
      <c r="AH135" s="86" t="str">
        <f t="shared" si="39"/>
        <v>"%USERPROFILE%\Documents\GitHub\eaglep3\Utilities\RefineRTDCRunTimes.py" --tripid 222-20 --locoid 4021 --swversion DE.1.0.9.0 --startMP 204:232953 --initTime 2017-03-20T19:53:16 --startdatetime 2017-03-20T19:56:54 --delay 1 --endMP 204:160 --enddatetime 2017-03-20T20:36:37 --enforcementcount 0 &gt;&gt;C:\Users\stu\Documents\GitHub\eaglep3-reporting\EC\2017-03-20-refined-times.txt</v>
      </c>
      <c r="AI135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{"issue":{"subject":"","project_id":79,"tracker_id":40,"status_id":1,"priority_id":2,"assigned_to_id":23,"start_date":"2017-03-20","description":"","custom_fields":[{"id":1,"name":"Subdivision","value":"EC"},{"id":4,"name":"Milepost","value":"0.016"},{"id":17,"name":"Train ID","value":"222-20"},{"id":16,"name":"Locomotive ID","value":"4021"},{"id":130,"name":"Impact","value":""},{"id":150,"name":"Time of Event (Mountain Time)","value":"20:36:37"},{"id":151,"name":"Denver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41"/>
        <v>start /low /b %USERPROFILE%\Documents\GitHub\eaglep3\Utilities\DownloadLogsFromS3.py --loco 4021 --day 2017-03-20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"%USERPROFILE%\AppData\Local\Temp\OnboardLogs"\RTDC4021\*4021*20170321* | grep -SE "(Enforcement Action)|(\[TIMEOUT)|(CHR.+\|PRM\|1\|D.+(SWITCH|SIGNAL).+UNKNOWN)" - &gt;&gt; 2017-03-20-UncaughtWiMAX.txt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805</v>
      </c>
      <c r="B136" s="7">
        <v>4046</v>
      </c>
      <c r="C136" s="21" t="s">
        <v>222</v>
      </c>
      <c r="D136" s="21" t="s">
        <v>406</v>
      </c>
      <c r="E136" s="13">
        <v>42814.80840277778</v>
      </c>
      <c r="F136" s="13">
        <v>42814.812696759262</v>
      </c>
      <c r="G136" s="7">
        <v>1</v>
      </c>
      <c r="H136" s="21" t="s">
        <v>849</v>
      </c>
      <c r="I136" s="13">
        <v>42814.838182870371</v>
      </c>
      <c r="J136" s="7">
        <v>0</v>
      </c>
      <c r="K136" s="98" t="str">
        <f t="shared" si="25"/>
        <v>4045/4046</v>
      </c>
      <c r="L136" s="21" t="str">
        <f>VLOOKUP(A136,'Trips&amp;Operators'!$C$1:$G$99999,5,FALSE)</f>
        <v>SMITH MICHAEL</v>
      </c>
      <c r="M136" s="6">
        <f t="shared" si="26"/>
        <v>2.548611110978527E-2</v>
      </c>
      <c r="N136" s="7">
        <f t="shared" si="47"/>
        <v>36.699999998090789</v>
      </c>
      <c r="O136" s="7"/>
      <c r="P136" s="7"/>
      <c r="Q136" s="22"/>
      <c r="R136" s="22"/>
      <c r="S136" s="31">
        <f t="shared" si="48"/>
        <v>1</v>
      </c>
      <c r="T136" s="46" t="str">
        <f t="shared" si="28"/>
        <v>NorthBound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29"/>
        <v>https://d0f6bd738d7f1b3e5a7ca70fe4ff75f0.us-east-1.aws.found.io/app/kibana#/discover/Steve-Slow-Train-Analysis-(2080s-and-2083s)?_g=(refreshInterval:(display:Off,pause:!f,section:0,value:0),time:(from:'2017-03-20T18:24:06-0600',mode:absolute,to:'2017-03-20T21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6" s="187" t="str">
        <f t="shared" si="30"/>
        <v>N</v>
      </c>
      <c r="X136" s="187">
        <f t="shared" si="45"/>
        <v>1</v>
      </c>
      <c r="Y136" s="62">
        <f t="shared" si="32"/>
        <v>4.7100000000000003E-2</v>
      </c>
      <c r="Z136" s="62">
        <f t="shared" si="43"/>
        <v>23.33</v>
      </c>
      <c r="AA136" s="62">
        <f t="shared" si="34"/>
        <v>23.282899999999998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5"/>
        <v>0223-20</v>
      </c>
      <c r="AE136" s="85" t="str">
        <f t="shared" si="36"/>
        <v>aws s3 cp s3://rtdc.mdm.uploadarchive.raw/RTDC4046/ "%USERPROFILE%\AppData\Local\Temp\OnboardLogs"\RTDC4046\2017-03-20 --exclude "*" --recursive --include "*20170320*" &amp; "%USERPROFILE%\Documents\GitHub\mrs-test-scripts\Headless Mode &amp; Sideloading\WalkAndUnGZ.bat" "%USERPROFILE%\AppData\Local\Temp\OnboardLogs"\RTDC4046\2017-03-20 &amp; aws s3 cp s3://rtdc.mdm.uploadarchive.raw/RTDC4046/ "%USERPROFILE%\AppData\Local\Temp\OnboardLogs"\RTDC4046\2017-03-21 --exclude "*" --recursive --include "*20170321*" &amp; "%USERPROFILE%\Documents\GitHub\mrs-test-scripts\Headless Mode &amp; Sideloading\WalkAndUnGZ.bat" "%USERPROFILE%\AppData\Local\Temp\OnboardLogs"\RTDC4046\2017-03-21</v>
      </c>
      <c r="AF136" s="82" t="str">
        <f t="shared" si="37"/>
        <v>"C:\Program Files (x86)\AstroGrep\AstroGrep.exe" /e /r /s /spath="%USERPROFILE%\AppData\Local\Temp\OnboardLogs" /stypes="app*4046*20170321*" /stext=" 02:.+((SYSTEM_STATE.+slice.+state.+changed )|(ment ac)|(multiple cpu faults)|(system.+state.+changed )|(\[timeout)|(PRM\|1\|D)|(kpr)|(kdp)|(\|lc)|(penalty))"</v>
      </c>
      <c r="AG136" s="1" t="str">
        <f t="shared" si="38"/>
        <v>EC</v>
      </c>
      <c r="AH136" s="86" t="str">
        <f t="shared" si="39"/>
        <v>"%USERPROFILE%\Documents\GitHub\eaglep3\Utilities\RefineRTDCRunTimes.py" --tripid 223-20 --locoid 4046 --swversion DE.1.0.9.0 --startMP 204:471 --initTime 2017-03-20T19:24:06 --startdatetime 2017-03-20T19:30:17 --delay 1 --endMP 204:233300 --enddatetime 2017-03-20T20:06:59 --enforcementcount 0 &gt;&gt;C:\Users\stu\Documents\GitHub\eaglep3-reporting\EC\2017-03-20-refined-times.txt</v>
      </c>
      <c r="AI136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{"issue":{"subject":"","project_id":79,"tracker_id":40,"status_id":1,"priority_id":2,"assigned_to_id":23,"start_date":"2017-03-20","description":"","custom_fields":[{"id":1,"name":"Subdivision","value":"EC"},{"id":4,"name":"Milepost","value":"23.33"},{"id":17,"name":"Train ID","value":"223-20"},{"id":16,"name":"Locomotive ID","value":"4046"},{"id":130,"name":"Impact","value":""},{"id":150,"name":"Time of Event (Mountain Time)","value":"20:06:59"},{"id":151,"name":"Denver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41"/>
        <v>start /low /b %USERPROFILE%\Documents\GitHub\eaglep3\Utilities\DownloadLogsFromS3.py --loco 4046 --day 2017-03-20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"%USERPROFILE%\AppData\Local\Temp\OnboardLogs"\RTDC4046\*4046*20170321* | grep -SE "(Enforcement Action)|(\[TIMEOUT)|(CHR.+\|PRM\|1\|D.+(SWITCH|SIGNAL).+UNKNOWN)" - &gt;&gt; 2017-03-20-UncaughtWiMAX.txt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809</v>
      </c>
      <c r="B137" s="7">
        <v>4045</v>
      </c>
      <c r="C137" s="21" t="s">
        <v>222</v>
      </c>
      <c r="D137" s="21" t="s">
        <v>843</v>
      </c>
      <c r="E137" s="13">
        <v>42814.844375000001</v>
      </c>
      <c r="F137" s="13">
        <v>42814.851597222223</v>
      </c>
      <c r="G137" s="7">
        <v>1</v>
      </c>
      <c r="H137" s="21" t="s">
        <v>450</v>
      </c>
      <c r="I137" s="13">
        <v>42814.878912037035</v>
      </c>
      <c r="J137" s="7">
        <v>0</v>
      </c>
      <c r="K137" s="98" t="str">
        <f t="shared" si="25"/>
        <v>4045/4046</v>
      </c>
      <c r="L137" s="21" t="str">
        <f>VLOOKUP(A137,'Trips&amp;Operators'!$C$1:$G$99999,5,FALSE)</f>
        <v>SMITH MICHAEL</v>
      </c>
      <c r="M137" s="6">
        <f t="shared" si="26"/>
        <v>2.7314814811688848E-2</v>
      </c>
      <c r="N137" s="7">
        <f t="shared" si="47"/>
        <v>39.333333328831941</v>
      </c>
      <c r="O137" s="7"/>
      <c r="P137" s="7"/>
      <c r="Q137" s="22"/>
      <c r="R137" s="22"/>
      <c r="S137" s="31">
        <f t="shared" si="48"/>
        <v>1</v>
      </c>
      <c r="T137" s="46" t="str">
        <f t="shared" si="28"/>
        <v>Southbound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29"/>
        <v>https://d0f6bd738d7f1b3e5a7ca70fe4ff75f0.us-east-1.aws.found.io/app/kibana#/discover/Steve-Slow-Train-Analysis-(2080s-and-2083s)?_g=(refreshInterval:(display:Off,pause:!f,section:0,value:0),time:(from:'2017-03-20T19:15:54-0600',mode:absolute,to:'2017-03-20T22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7" s="187" t="str">
        <f t="shared" si="30"/>
        <v>N</v>
      </c>
      <c r="X137" s="187">
        <f t="shared" si="45"/>
        <v>1</v>
      </c>
      <c r="Y137" s="62">
        <f t="shared" si="32"/>
        <v>23.297699999999999</v>
      </c>
      <c r="Z137" s="62">
        <f t="shared" si="43"/>
        <v>1.6E-2</v>
      </c>
      <c r="AA137" s="62">
        <f t="shared" si="34"/>
        <v>23.281700000000001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5"/>
        <v>0224-20</v>
      </c>
      <c r="AE137" s="85" t="str">
        <f t="shared" si="36"/>
        <v>aws s3 cp s3://rtdc.mdm.uploadarchive.raw/RTDC4045/ "%USERPROFILE%\AppData\Local\Temp\OnboardLogs"\RTDC4045\2017-03-20 --exclude "*" --recursive --include "*20170320*" &amp; "%USERPROFILE%\Documents\GitHub\mrs-test-scripts\Headless Mode &amp; Sideloading\WalkAndUnGZ.bat" "%USERPROFILE%\AppData\Local\Temp\OnboardLogs"\RTDC4045\2017-03-20 &amp; aws s3 cp s3://rtdc.mdm.uploadarchive.raw/RTDC4045/ "%USERPROFILE%\AppData\Local\Temp\OnboardLogs"\RTDC4045\2017-03-21 --exclude "*" --recursive --include "*20170321*" &amp; "%USERPROFILE%\Documents\GitHub\mrs-test-scripts\Headless Mode &amp; Sideloading\WalkAndUnGZ.bat" "%USERPROFILE%\AppData\Local\Temp\OnboardLogs"\RTDC4045\2017-03-21</v>
      </c>
      <c r="AF137" s="82" t="str">
        <f t="shared" si="37"/>
        <v>"C:\Program Files (x86)\AstroGrep\AstroGrep.exe" /e /r /s /spath="%USERPROFILE%\AppData\Local\Temp\OnboardLogs" /stypes="app*4045*20170321*" /stext=" 03:.+((SYSTEM_STATE.+slice.+state.+changed )|(ment ac)|(multiple cpu faults)|(system.+state.+changed )|(\[timeout)|(PRM\|1\|D)|(kpr)|(kdp)|(\|lc)|(penalty))"</v>
      </c>
      <c r="AG137" s="1" t="str">
        <f t="shared" si="38"/>
        <v>EC</v>
      </c>
      <c r="AH137" s="86" t="str">
        <f t="shared" si="39"/>
        <v>"%USERPROFILE%\Documents\GitHub\eaglep3\Utilities\RefineRTDCRunTimes.py" --tripid 224-20 --locoid 4045 --swversion DE.1.0.9.0 --startMP 204:232977 --initTime 2017-03-20T20:15:54 --startdatetime 2017-03-20T20:26:18 --delay 1 --endMP 204:160 --enddatetime 2017-03-20T21:05:38 --enforcementcount 0 &gt;&gt;C:\Users\stu\Documents\GitHub\eaglep3-reporting\EC\2017-03-20-refined-times.txt</v>
      </c>
      <c r="AI137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{"issue":{"subject":"","project_id":79,"tracker_id":40,"status_id":1,"priority_id":2,"assigned_to_id":23,"start_date":"2017-03-20","description":"","custom_fields":[{"id":1,"name":"Subdivision","value":"EC"},{"id":4,"name":"Milepost","value":"0.016"},{"id":17,"name":"Train ID","value":"224-20"},{"id":16,"name":"Locomotive ID","value":"4045"},{"id":130,"name":"Impact","value":""},{"id":150,"name":"Time of Event (Mountain Time)","value":"21:05:38"},{"id":151,"name":"Denver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41"/>
        <v>start /low /b %USERPROFILE%\Documents\GitHub\eaglep3\Utilities\DownloadLogsFromS3.py --loco 4045 --day 2017-03-20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"%USERPROFILE%\AppData\Local\Temp\OnboardLogs"\RTDC4045\*4045*20170321* | grep -SE "(Enforcement Action)|(\[TIMEOUT)|(CHR.+\|PRM\|1\|D.+(SWITCH|SIGNAL).+UNKNOWN)" - &gt;&gt; 2017-03-20-UncaughtWiMAX.txt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807</v>
      </c>
      <c r="B138" s="7">
        <v>4027</v>
      </c>
      <c r="C138" s="21" t="s">
        <v>222</v>
      </c>
      <c r="D138" s="21" t="s">
        <v>585</v>
      </c>
      <c r="E138" s="13">
        <v>42814.827222222222</v>
      </c>
      <c r="F138" s="13">
        <v>42814.833657407406</v>
      </c>
      <c r="G138" s="7">
        <v>2</v>
      </c>
      <c r="H138" s="21" t="s">
        <v>841</v>
      </c>
      <c r="I138" s="13">
        <v>42814.859120370369</v>
      </c>
      <c r="J138" s="7">
        <v>0</v>
      </c>
      <c r="K138" s="98" t="str">
        <f t="shared" si="25"/>
        <v>4027/4028</v>
      </c>
      <c r="L138" s="21" t="str">
        <f>VLOOKUP(A138,'Trips&amp;Operators'!$C$1:$G$99999,5,FALSE)</f>
        <v>STAMBAUGH JAMES</v>
      </c>
      <c r="M138" s="6">
        <f t="shared" si="26"/>
        <v>2.5462962963501923E-2</v>
      </c>
      <c r="N138" s="7">
        <f t="shared" si="47"/>
        <v>36.666666667442769</v>
      </c>
      <c r="O138" s="7"/>
      <c r="P138" s="7"/>
      <c r="Q138" s="22"/>
      <c r="R138" s="22"/>
      <c r="S138" s="31">
        <f t="shared" si="48"/>
        <v>1</v>
      </c>
      <c r="T138" s="46" t="str">
        <f t="shared" si="28"/>
        <v>NorthBound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29"/>
        <v>https://d0f6bd738d7f1b3e5a7ca70fe4ff75f0.us-east-1.aws.found.io/app/kibana#/discover/Steve-Slow-Train-Analysis-(2080s-and-2083s)?_g=(refreshInterval:(display:Off,pause:!f,section:0,value:0),time:(from:'2017-03-20T18:51:12-0600',mode:absolute,to:'2017-03-20T21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8" s="187" t="str">
        <f t="shared" si="30"/>
        <v>N</v>
      </c>
      <c r="X138" s="187">
        <f t="shared" si="45"/>
        <v>1</v>
      </c>
      <c r="Y138" s="62">
        <f t="shared" si="32"/>
        <v>4.3499999999999997E-2</v>
      </c>
      <c r="Z138" s="62">
        <f t="shared" si="43"/>
        <v>23.330200000000001</v>
      </c>
      <c r="AA138" s="62">
        <f t="shared" si="34"/>
        <v>23.2867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5"/>
        <v>0225-20</v>
      </c>
      <c r="AE138" s="85" t="str">
        <f t="shared" si="36"/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AF138" s="82" t="str">
        <f t="shared" si="37"/>
        <v>"C:\Program Files (x86)\AstroGrep\AstroGrep.exe" /e /r /s /spath="%USERPROFILE%\AppData\Local\Temp\OnboardLogs" /stypes="app*4027*20170321*" /stext=" 02:.+((SYSTEM_STATE.+slice.+state.+changed )|(ment ac)|(multiple cpu faults)|(system.+state.+changed )|(\[timeout)|(PRM\|1\|D)|(kpr)|(kdp)|(\|lc)|(penalty))"</v>
      </c>
      <c r="AG138" s="1" t="str">
        <f t="shared" si="38"/>
        <v>EC</v>
      </c>
      <c r="AH138" s="86" t="str">
        <f t="shared" si="39"/>
        <v>"%USERPROFILE%\Documents\GitHub\eaglep3\Utilities\RefineRTDCRunTimes.py" --tripid 225-20 --locoid 4027 --swversion DE.1.0.9.0 --startMP 204:435 --initTime 2017-03-20T19:51:12 --startdatetime 2017-03-20T20:00:28 --delay 2 --endMP 204:233302 --enddatetime 2017-03-20T20:37:08 --enforcementcount 0 &gt;&gt;C:\Users\stu\Documents\GitHub\eaglep3-reporting\EC\2017-03-20-refined-times.txt</v>
      </c>
      <c r="AI138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{"issue":{"subject":"","project_id":79,"tracker_id":40,"status_id":1,"priority_id":2,"assigned_to_id":23,"start_date":"2017-03-20","description":"","custom_fields":[{"id":1,"name":"Subdivision","value":"EC"},{"id":4,"name":"Milepost","value":"23.3302"},{"id":17,"name":"Train ID","value":"225-20"},{"id":16,"name":"Locomotive ID","value":"4027"},{"id":130,"name":"Impact","value":""},{"id":150,"name":"Time of Event (Mountain Time)","value":"20:37:08"},{"id":151,"name":"Denver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41"/>
        <v>start /low /b %USERPROFILE%\Documents\GitHub\eaglep3\Utilities\DownloadLogsFromS3.py --loco 4027 --day 2017-03-20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"%USERPROFILE%\AppData\Local\Temp\OnboardLogs"\RTDC4027\*4027*20170321* | grep -SE "(Enforcement Action)|(\[TIMEOUT)|(CHR.+\|PRM\|1\|D.+(SWITCH|SIGNAL).+UNKNOWN)" - &gt;&gt; 2017-03-20-UncaughtWiMAX.txt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814</v>
      </c>
      <c r="B139" s="7">
        <v>4028</v>
      </c>
      <c r="C139" s="21" t="s">
        <v>222</v>
      </c>
      <c r="D139" s="21" t="s">
        <v>586</v>
      </c>
      <c r="E139" s="13">
        <v>42814.866354166668</v>
      </c>
      <c r="F139" s="13">
        <v>42814.872754629629</v>
      </c>
      <c r="G139" s="7">
        <v>2</v>
      </c>
      <c r="H139" s="21" t="s">
        <v>894</v>
      </c>
      <c r="I139" s="13">
        <v>42814.899513888886</v>
      </c>
      <c r="J139" s="7">
        <v>0</v>
      </c>
      <c r="K139" s="98" t="str">
        <f t="shared" si="25"/>
        <v>4027/4028</v>
      </c>
      <c r="L139" s="21" t="str">
        <f>VLOOKUP(A139,'Trips&amp;Operators'!$C$1:$G$99999,5,FALSE)</f>
        <v>STAMBAUGH JAMES</v>
      </c>
      <c r="M139" s="6">
        <f t="shared" si="26"/>
        <v>2.675925925723277E-2</v>
      </c>
      <c r="N139" s="7">
        <f t="shared" si="47"/>
        <v>38.533333330415189</v>
      </c>
      <c r="O139" s="7"/>
      <c r="P139" s="7"/>
      <c r="Q139" s="22"/>
      <c r="R139" s="22"/>
      <c r="S139" s="31">
        <f t="shared" si="48"/>
        <v>1</v>
      </c>
      <c r="T139" s="46" t="str">
        <f t="shared" si="28"/>
        <v>Southbound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29"/>
        <v>https://d0f6bd738d7f1b3e5a7ca70fe4ff75f0.us-east-1.aws.found.io/app/kibana#/discover/Steve-Slow-Train-Analysis-(2080s-and-2083s)?_g=(refreshInterval:(display:Off,pause:!f,section:0,value:0),time:(from:'2017-03-20T19:47:33-0600',mode:absolute,to:'2017-03-20T22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9" s="187" t="str">
        <f t="shared" si="30"/>
        <v>N</v>
      </c>
      <c r="X139" s="187">
        <f t="shared" si="45"/>
        <v>1</v>
      </c>
      <c r="Y139" s="62">
        <f t="shared" si="32"/>
        <v>23.299099999999999</v>
      </c>
      <c r="Z139" s="62">
        <f t="shared" si="43"/>
        <v>1.03E-2</v>
      </c>
      <c r="AA139" s="62">
        <f t="shared" si="34"/>
        <v>23.288799999999998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5"/>
        <v>0226-20</v>
      </c>
      <c r="AE139" s="85" t="str">
        <f t="shared" si="36"/>
        <v>aws s3 cp s3://rtdc.mdm.uploadarchive.raw/RTDC4028/ "%USERPROFILE%\AppData\Local\Temp\OnboardLogs"\RTDC4028\2017-03-20 --exclude "*" --recursive --include "*20170320*" &amp; "%USERPROFILE%\Documents\GitHub\mrs-test-scripts\Headless Mode &amp; Sideloading\WalkAndUnGZ.bat" "%USERPROFILE%\AppData\Local\Temp\OnboardLogs"\RTDC4028\2017-03-20 &amp; aws s3 cp s3://rtdc.mdm.uploadarchive.raw/RTDC4028/ "%USERPROFILE%\AppData\Local\Temp\OnboardLogs"\RTDC4028\2017-03-21 --exclude "*" --recursive --include "*20170321*" &amp; "%USERPROFILE%\Documents\GitHub\mrs-test-scripts\Headless Mode &amp; Sideloading\WalkAndUnGZ.bat" "%USERPROFILE%\AppData\Local\Temp\OnboardLogs"\RTDC4028\2017-03-21</v>
      </c>
      <c r="AF139" s="82" t="str">
        <f t="shared" si="37"/>
        <v>"C:\Program Files (x86)\AstroGrep\AstroGrep.exe" /e /r /s /spath="%USERPROFILE%\AppData\Local\Temp\OnboardLogs" /stypes="app*4028*20170321*" /stext=" 03:.+((SYSTEM_STATE.+slice.+state.+changed )|(ment ac)|(multiple cpu faults)|(system.+state.+changed )|(\[timeout)|(PRM\|1\|D)|(kpr)|(kdp)|(\|lc)|(penalty))"</v>
      </c>
      <c r="AG139" s="1" t="str">
        <f t="shared" si="38"/>
        <v>EC</v>
      </c>
      <c r="AH139" s="86" t="str">
        <f t="shared" si="39"/>
        <v>"%USERPROFILE%\Documents\GitHub\eaglep3\Utilities\RefineRTDCRunTimes.py" --tripid 226-20 --locoid 4028 --swversion DE.1.0.9.0 --startMP 204:232991 --initTime 2017-03-20T20:47:33 --startdatetime 2017-03-20T20:56:46 --delay 2 --endMP 204:103 --enddatetime 2017-03-20T21:35:18 --enforcementcount 0 &gt;&gt;C:\Users\stu\Documents\GitHub\eaglep3-reporting\EC\2017-03-20-refined-times.txt</v>
      </c>
      <c r="AI139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{"issue":{"subject":"","project_id":79,"tracker_id":40,"status_id":1,"priority_id":2,"assigned_to_id":23,"start_date":"2017-03-20","description":"","custom_fields":[{"id":1,"name":"Subdivision","value":"EC"},{"id":4,"name":"Milepost","value":"0.0103"},{"id":17,"name":"Train ID","value":"226-20"},{"id":16,"name":"Locomotive ID","value":"4028"},{"id":130,"name":"Impact","value":""},{"id":150,"name":"Time of Event (Mountain Time)","value":"21:35:18"},{"id":151,"name":"Denver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41"/>
        <v>start /low /b %USERPROFILE%\Documents\GitHub\eaglep3\Utilities\DownloadLogsFromS3.py --loco 4028 --day 2017-03-20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"%USERPROFILE%\AppData\Local\Temp\OnboardLogs"\RTDC4028\*4028*20170321* | grep -SE "(Enforcement Action)|(\[TIMEOUT)|(CHR.+\|PRM\|1\|D.+(SWITCH|SIGNAL).+UNKNOWN)" - &gt;&gt; 2017-03-20-UncaughtWiMAX.txt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812</v>
      </c>
      <c r="B140" s="7">
        <v>4003</v>
      </c>
      <c r="C140" s="21" t="s">
        <v>222</v>
      </c>
      <c r="D140" s="21" t="s">
        <v>226</v>
      </c>
      <c r="E140" s="13">
        <v>42814.85224537037</v>
      </c>
      <c r="F140" s="13">
        <v>42814.854351851849</v>
      </c>
      <c r="G140" s="7">
        <v>1</v>
      </c>
      <c r="H140" s="21" t="s">
        <v>566</v>
      </c>
      <c r="I140" s="13">
        <v>42814.881585648145</v>
      </c>
      <c r="J140" s="7">
        <v>0</v>
      </c>
      <c r="K140" s="98" t="str">
        <f t="shared" si="25"/>
        <v>4003/4004</v>
      </c>
      <c r="L140" s="21" t="str">
        <f>VLOOKUP(A140,'Trips&amp;Operators'!$C$1:$G$99999,5,FALSE)</f>
        <v>DUNCAN SHEILA</v>
      </c>
      <c r="M140" s="6">
        <f t="shared" si="26"/>
        <v>2.7233796296059154E-2</v>
      </c>
      <c r="N140" s="7">
        <f t="shared" si="47"/>
        <v>39.216666666325182</v>
      </c>
      <c r="O140" s="7"/>
      <c r="P140" s="7"/>
      <c r="Q140" s="22"/>
      <c r="R140" s="22"/>
      <c r="S140" s="31">
        <f t="shared" si="48"/>
        <v>1</v>
      </c>
      <c r="T140" s="46" t="str">
        <f t="shared" si="28"/>
        <v>NorthBound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29"/>
        <v>https://d0f6bd738d7f1b3e5a7ca70fe4ff75f0.us-east-1.aws.found.io/app/kibana#/discover/Steve-Slow-Train-Analysis-(2080s-and-2083s)?_g=(refreshInterval:(display:Off,pause:!f,section:0,value:0),time:(from:'2017-03-20T19:27:14-0600',mode:absolute,to:'2017-03-20T22:09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0" s="187" t="str">
        <f t="shared" si="30"/>
        <v>N</v>
      </c>
      <c r="X140" s="187">
        <f t="shared" si="45"/>
        <v>1</v>
      </c>
      <c r="Y140" s="62">
        <f t="shared" si="32"/>
        <v>4.6699999999999998E-2</v>
      </c>
      <c r="Z140" s="62">
        <f t="shared" si="43"/>
        <v>23.328499999999998</v>
      </c>
      <c r="AA140" s="62">
        <f t="shared" si="34"/>
        <v>23.281799999999997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5"/>
        <v>0227-20</v>
      </c>
      <c r="AE140" s="85" t="str">
        <f t="shared" si="36"/>
        <v>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 &amp; 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</v>
      </c>
      <c r="AF140" s="82" t="str">
        <f t="shared" si="37"/>
        <v>"C:\Program Files (x86)\AstroGrep\AstroGrep.exe" /e /r /s /spath="%USERPROFILE%\AppData\Local\Temp\OnboardLogs" /stypes="app*4003*20170321*" /stext=" 03:.+((SYSTEM_STATE.+slice.+state.+changed )|(ment ac)|(multiple cpu faults)|(system.+state.+changed )|(\[timeout)|(PRM\|1\|D)|(kpr)|(kdp)|(\|lc)|(penalty))"</v>
      </c>
      <c r="AG140" s="1" t="str">
        <f t="shared" si="38"/>
        <v>EC</v>
      </c>
      <c r="AH140" s="86" t="str">
        <f t="shared" si="39"/>
        <v>"%USERPROFILE%\Documents\GitHub\eaglep3\Utilities\RefineRTDCRunTimes.py" --tripid 227-20 --locoid 4003 --swversion DE.1.0.9.0 --startMP 204:467 --initTime 2017-03-20T20:27:14 --startdatetime 2017-03-20T20:30:16 --delay 1 --endMP 204:233285 --enddatetime 2017-03-20T21:09:29 --enforcementcount 0 &gt;&gt;C:\Users\stu\Documents\GitHub\eaglep3-reporting\EC\2017-03-20-refined-times.txt</v>
      </c>
      <c r="AI140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{"issue":{"subject":"","project_id":79,"tracker_id":40,"status_id":1,"priority_id":2,"assigned_to_id":23,"start_date":"2017-03-20","description":"","custom_fields":[{"id":1,"name":"Subdivision","value":"EC"},{"id":4,"name":"Milepost","value":"23.3285"},{"id":17,"name":"Train ID","value":"227-20"},{"id":16,"name":"Locomotive ID","value":"4003"},{"id":130,"name":"Impact","value":""},{"id":150,"name":"Time of Event (Mountain Time)","value":"21:09:29"},{"id":151,"name":"Denver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41"/>
        <v>start /low /b %USERPROFILE%\Documents\GitHub\eaglep3\Utilities\DownloadLogsFromS3.py --loco 4003 --day 2017-03-20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"%USERPROFILE%\AppData\Local\Temp\OnboardLogs"\RTDC4003\*4003*20170321* | grep -SE "(Enforcement Action)|(\[TIMEOUT)|(CHR.+\|PRM\|1\|D.+(SWITCH|SIGNAL).+UNKNOWN)" - &gt;&gt; 2017-03-20-UncaughtWiMAX.txt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818</v>
      </c>
      <c r="B141" s="7">
        <v>4004</v>
      </c>
      <c r="C141" s="21" t="s">
        <v>222</v>
      </c>
      <c r="D141" s="21" t="s">
        <v>559</v>
      </c>
      <c r="E141" s="13">
        <v>42814.88753472222</v>
      </c>
      <c r="F141" s="13">
        <v>42814.893275462964</v>
      </c>
      <c r="G141" s="7">
        <v>1</v>
      </c>
      <c r="H141" s="21" t="s">
        <v>184</v>
      </c>
      <c r="I141" s="13">
        <v>42814.921770833331</v>
      </c>
      <c r="J141" s="7">
        <v>0</v>
      </c>
      <c r="K141" s="98" t="str">
        <f t="shared" ref="K141:K204" si="49">IF(ISEVEN(B141),(B141-1)&amp;"/"&amp;B141,B141&amp;"/"&amp;(B141+1))</f>
        <v>4003/4004</v>
      </c>
      <c r="L141" s="21" t="str">
        <f>VLOOKUP(A141,'Trips&amp;Operators'!$C$1:$G$99999,5,FALSE)</f>
        <v>DUNCAN SHEILA</v>
      </c>
      <c r="M141" s="6">
        <f t="shared" ref="M141:M204" si="50">I141-F141</f>
        <v>2.8495370366727002E-2</v>
      </c>
      <c r="N141" s="7">
        <f t="shared" si="47"/>
        <v>41.033333328086883</v>
      </c>
      <c r="O141" s="7"/>
      <c r="P141" s="7"/>
      <c r="Q141" s="22"/>
      <c r="R141" s="22"/>
      <c r="S141" s="31">
        <f t="shared" si="48"/>
        <v>1</v>
      </c>
      <c r="T141" s="46" t="str">
        <f t="shared" ref="T141:T204" si="51">IF(ISEVEN(LEFT(AD141,4)),"Southbound","NorthBound")</f>
        <v>Southbound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ref="V141:V204" si="5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-20T20:18:03-0600',mode:absolute,to:'2017-03-20T23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1" s="187" t="str">
        <f t="shared" ref="W141:W204" si="53">IF(AA141&lt;IF(AG141="EC",23,5.65),"Y","N")</f>
        <v>N</v>
      </c>
      <c r="X141" s="187">
        <f t="shared" ref="X141:X160" si="54">VALUE(LEFT(AD141,4))-VALUE(LEFT(AD140,4))</f>
        <v>1</v>
      </c>
      <c r="Y141" s="62">
        <f t="shared" ref="Y141:Y204" si="55">RIGHT(D141,LEN(D141)-4)/10000</f>
        <v>23.297599999999999</v>
      </c>
      <c r="Z141" s="62">
        <f t="shared" si="43"/>
        <v>1.49E-2</v>
      </c>
      <c r="AA141" s="62">
        <f t="shared" ref="AA141:AA204" si="56">ABS(Z141-Y141)</f>
        <v>23.282699999999998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57">IF(LEN(A141)=6,"0"&amp;A141,A141)</f>
        <v>0228-20</v>
      </c>
      <c r="AE141" s="85" t="str">
        <f t="shared" ref="AE141:AE204" si="5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 &amp; aws s3 cp s3://rtdc.mdm.uploadarchive.raw/RTDC4004/ "%USERPROFILE%\AppData\Local\Temp\OnboardLogs"\RTDC4004\2017-03-21 --exclude "*" --recursive --include "*20170321*" &amp; "%USERPROFILE%\Documents\GitHub\mrs-test-scripts\Headless Mode &amp; Sideloading\WalkAndUnGZ.bat" "%USERPROFILE%\AppData\Local\Temp\OnboardLogs"\RTDC4004\2017-03-21</v>
      </c>
      <c r="AF141" s="82" t="str">
        <f t="shared" ref="AF141:AF204" si="59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/stypes="app*4004*20170321*" /stext=" 04:.+((SYSTEM_STATE.+slice.+state.+changed )|(ment ac)|(multiple cpu faults)|(system.+state.+changed )|(\[timeout)|(PRM\|1\|D)|(kpr)|(kdp)|(\|lc)|(penalty))"</v>
      </c>
      <c r="AG141" s="1" t="str">
        <f t="shared" ref="AG141:AG204" si="60">IFERROR(IF(VALUE(LEFT(AD141,2))&lt;=2,"EC",IF(OR(VALUE(LEFT(AD141,2))=8,VALUE(LEFT(AD141,2))=18),"NW","Other")),"Other")</f>
        <v>EC</v>
      </c>
      <c r="AH141" s="86" t="str">
        <f t="shared" si="39"/>
        <v>"%USERPROFILE%\Documents\GitHub\eaglep3\Utilities\RefineRTDCRunTimes.py" --tripid 228-20 --locoid 4004 --swversion DE.1.0.9.0 --startMP 204:232976 --initTime 2017-03-20T21:18:03 --startdatetime 2017-03-20T21:26:19 --delay 1 --endMP 204:149 --enddatetime 2017-03-20T22:07:21 --enforcementcount 0 &gt;&gt;C:\Users\stu\Documents\GitHub\eaglep3-reporting\EC\2017-03-20-refined-times.txt</v>
      </c>
      <c r="AI141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{"issue":{"subject":"","project_id":79,"tracker_id":40,"status_id":1,"priority_id":2,"assigned_to_id":23,"start_date":"2017-03-20","description":"","custom_fields":[{"id":1,"name":"Subdivision","value":"EC"},{"id":4,"name":"Milepost","value":"0.0149"},{"id":17,"name":"Train ID","value":"228-20"},{"id":16,"name":"Locomotive ID","value":"4004"},{"id":130,"name":"Impact","value":""},{"id":150,"name":"Time of Event (Mountain Time)","value":"22:07:21"},{"id":151,"name":"Denver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41"/>
        <v>start /low /b %USERPROFILE%\Documents\GitHub\eaglep3\Utilities\DownloadLogsFromS3.py --loco 4004 --day 2017-03-20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"%USERPROFILE%\AppData\Local\Temp\OnboardLogs"\RTDC4004\*4004*20170321* | grep -SE "(Enforcement Action)|(\[TIMEOUT)|(CHR.+\|PRM\|1\|D.+(SWITCH|SIGNAL).+UNKNOWN)" - &gt;&gt; 2017-03-20-UncaughtWiMAX.txt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815</v>
      </c>
      <c r="B142" s="7">
        <v>4022</v>
      </c>
      <c r="C142" s="21" t="s">
        <v>222</v>
      </c>
      <c r="D142" s="21" t="s">
        <v>212</v>
      </c>
      <c r="E142" s="13">
        <v>42814.872106481482</v>
      </c>
      <c r="F142" s="13">
        <v>42814.875289351854</v>
      </c>
      <c r="G142" s="7">
        <v>1</v>
      </c>
      <c r="H142" s="21" t="s">
        <v>895</v>
      </c>
      <c r="I142" s="13">
        <v>42814.900636574072</v>
      </c>
      <c r="J142" s="7">
        <v>0</v>
      </c>
      <c r="K142" s="98" t="str">
        <f t="shared" si="49"/>
        <v>4021/4022</v>
      </c>
      <c r="L142" s="21" t="str">
        <f>VLOOKUP(A142,'Trips&amp;Operators'!$C$1:$G$99999,5,FALSE)</f>
        <v>CHANDLER KELVIN</v>
      </c>
      <c r="M142" s="6">
        <f t="shared" si="50"/>
        <v>2.5347222217533272E-2</v>
      </c>
      <c r="N142" s="7">
        <f t="shared" si="47"/>
        <v>36.499999993247911</v>
      </c>
      <c r="O142" s="7"/>
      <c r="P142" s="7"/>
      <c r="Q142" s="22"/>
      <c r="R142" s="22"/>
      <c r="S142" s="31">
        <f t="shared" si="48"/>
        <v>1</v>
      </c>
      <c r="T142" s="46" t="str">
        <f t="shared" si="51"/>
        <v>NorthBound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si="52"/>
        <v>https://d0f6bd738d7f1b3e5a7ca70fe4ff75f0.us-east-1.aws.found.io/app/kibana#/discover/Steve-Slow-Train-Analysis-(2080s-and-2083s)?_g=(refreshInterval:(display:Off,pause:!f,section:0,value:0),time:(from:'2017-03-20T19:55:50-0600',mode:absolute,to:'2017-03-20T22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2" s="187" t="str">
        <f t="shared" si="53"/>
        <v>N</v>
      </c>
      <c r="X142" s="187">
        <f t="shared" si="54"/>
        <v>1</v>
      </c>
      <c r="Y142" s="62">
        <f t="shared" si="55"/>
        <v>4.53E-2</v>
      </c>
      <c r="Z142" s="62">
        <f t="shared" si="43"/>
        <v>23.328299999999999</v>
      </c>
      <c r="AA142" s="62">
        <f t="shared" si="56"/>
        <v>23.282999999999998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7"/>
        <v>0229-20</v>
      </c>
      <c r="AE142" s="85" t="str">
        <f t="shared" si="58"/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AF142" s="82" t="str">
        <f t="shared" si="59"/>
        <v>"C:\Program Files (x86)\AstroGrep\AstroGrep.exe" /e /r /s /spath="%USERPROFILE%\AppData\Local\Temp\OnboardLogs" /stypes="app*4022*20170321*" /stext=" 03:.+((SYSTEM_STATE.+slice.+state.+changed )|(ment ac)|(multiple cpu faults)|(system.+state.+changed )|(\[timeout)|(PRM\|1\|D)|(kpr)|(kdp)|(\|lc)|(penalty))"</v>
      </c>
      <c r="AG142" s="1" t="str">
        <f t="shared" si="60"/>
        <v>EC</v>
      </c>
      <c r="AH142" s="86" t="str">
        <f t="shared" ref="AH142:AH205" si="61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229-20 --locoid 4022 --swversion DE.1.0.9.0 --startMP 204:453 --initTime 2017-03-20T20:55:50 --startdatetime 2017-03-20T21:00:25 --delay 1 --endMP 204:233283 --enddatetime 2017-03-20T21:36:55 --enforcementcount 0 &gt;&gt;C:\Users\stu\Documents\GitHub\eaglep3-reporting\EC\2017-03-20-refined-times.txt</v>
      </c>
      <c r="AI142" s="108" t="str">
        <f t="shared" ref="AI142:AI205" si="62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{"issue":{"subject":"","project_id":79,"tracker_id":40,"status_id":1,"priority_id":2,"assigned_to_id":23,"start_date":"2017-03-20","description":"","custom_fields":[{"id":1,"name":"Subdivision","value":"EC"},{"id":4,"name":"Milepost","value":"23.3283"},{"id":17,"name":"Train ID","value":"229-20"},{"id":16,"name":"Locomotive ID","value":"4022"},{"id":130,"name":"Impact","value":""},{"id":150,"name":"Time of Event (Mountain Time)","value":"21:36:55"},{"id":151,"name":"Denver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ref="AM142:AM205" si="63">"start /low /b "&amp;dls3logs&amp;" --loco "&amp;B142&amp;" --day "&amp;TEXT(F142,"YYYY-MM-DD")</f>
        <v>start /low /b %USERPROFILE%\Documents\GitHub\eaglep3\Utilities\DownloadLogsFromS3.py --loco 4022 --day 2017-03-20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"%USERPROFILE%\AppData\Local\Temp\OnboardLogs"\RTDC4022\*4022*20170321* | grep -SE "(Enforcement Action)|(\[TIMEOUT)|(CHR.+\|PRM\|1\|D.+(SWITCH|SIGNAL).+UNKNOWN)" - &gt;&gt; 2017-03-20-UncaughtWiMAX.txt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820</v>
      </c>
      <c r="B143" s="7">
        <v>4021</v>
      </c>
      <c r="C143" s="21" t="s">
        <v>222</v>
      </c>
      <c r="D143" s="21" t="s">
        <v>896</v>
      </c>
      <c r="E143" s="13">
        <v>42814.913101851853</v>
      </c>
      <c r="F143" s="13">
        <v>42814.914560185185</v>
      </c>
      <c r="G143" s="7">
        <v>1</v>
      </c>
      <c r="H143" s="21" t="s">
        <v>579</v>
      </c>
      <c r="I143" s="13">
        <v>42814.943032407406</v>
      </c>
      <c r="J143" s="7">
        <v>0</v>
      </c>
      <c r="K143" s="98" t="str">
        <f t="shared" si="49"/>
        <v>4021/4022</v>
      </c>
      <c r="L143" s="21" t="str">
        <f>VLOOKUP(A143,'Trips&amp;Operators'!$C$1:$G$99999,5,FALSE)</f>
        <v>CHANDLER KELVIN</v>
      </c>
      <c r="M143" s="6">
        <f t="shared" si="50"/>
        <v>2.8472222220443655E-2</v>
      </c>
      <c r="N143" s="7">
        <f t="shared" si="47"/>
        <v>40.999999997438863</v>
      </c>
      <c r="O143" s="7"/>
      <c r="P143" s="7"/>
      <c r="Q143" s="22"/>
      <c r="R143" s="22"/>
      <c r="S143" s="31">
        <f t="shared" si="48"/>
        <v>1</v>
      </c>
      <c r="T143" s="46" t="str">
        <f t="shared" si="51"/>
        <v>Southbound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 t="shared" si="52"/>
        <v>https://d0f6bd738d7f1b3e5a7ca70fe4ff75f0.us-east-1.aws.found.io/app/kibana#/discover/Steve-Slow-Train-Analysis-(2080s-and-2083s)?_g=(refreshInterval:(display:Off,pause:!f,section:0,value:0),time:(from:'2017-03-20T20:54:52-0600',mode:absolute,to:'2017-03-20T23:37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3" s="187" t="str">
        <f t="shared" si="53"/>
        <v>N</v>
      </c>
      <c r="X143" s="187">
        <f t="shared" si="54"/>
        <v>1</v>
      </c>
      <c r="Y143" s="62">
        <f t="shared" si="55"/>
        <v>23.296199999999999</v>
      </c>
      <c r="Z143" s="62">
        <f t="shared" si="43"/>
        <v>1.6500000000000001E-2</v>
      </c>
      <c r="AA143" s="62">
        <f t="shared" si="56"/>
        <v>23.279699999999998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7"/>
        <v>0230-20</v>
      </c>
      <c r="AE143" s="85" t="str">
        <f t="shared" si="58"/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AF143" s="82" t="str">
        <f t="shared" si="59"/>
        <v>"C:\Program Files (x86)\AstroGrep\AstroGrep.exe" /e /r /s /spath="%USERPROFILE%\AppData\Local\Temp\OnboardLogs" /stypes="app*4021*20170321*" /stext=" 04:.+((SYSTEM_STATE.+slice.+state.+changed )|(ment ac)|(multiple cpu faults)|(system.+state.+changed )|(\[timeout)|(PRM\|1\|D)|(kpr)|(kdp)|(\|lc)|(penalty))"</v>
      </c>
      <c r="AG143" s="1" t="str">
        <f t="shared" si="60"/>
        <v>EC</v>
      </c>
      <c r="AH143" s="86" t="str">
        <f t="shared" si="61"/>
        <v>"%USERPROFILE%\Documents\GitHub\eaglep3\Utilities\RefineRTDCRunTimes.py" --tripid 230-20 --locoid 4021 --swversion DE.1.0.9.0 --startMP 204:232962 --initTime 2017-03-20T21:54:52 --startdatetime 2017-03-20T21:56:58 --delay 1 --endMP 204:165 --enddatetime 2017-03-20T22:37:58 --enforcementcount 0 &gt;&gt;C:\Users\stu\Documents\GitHub\eaglep3-reporting\EC\2017-03-20-refined-times.txt</v>
      </c>
      <c r="AI143" s="108" t="str">
        <f t="shared" si="62"/>
        <v>echo {"issue":{"subject":"","project_id":79,"tracker_id":40,"status_id":1,"priority_id":2,"assigned_to_id":23,"start_date":"2017-03-20","description":"","custom_fields":[{"id":1,"name":"Subdivision","value":"EC"},{"id":4,"name":"Milepost","value":"0.0165"},{"id":17,"name":"Train ID","value":"230-20"},{"id":16,"name":"Locomotive ID","value":"4021"},{"id":130,"name":"Impact","value":""},{"id":150,"name":"Time of Event (Mountain Time)","value":"22:37:58"},{"id":151,"name":"Denver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63"/>
        <v>start /low /b %USERPROFILE%\Documents\GitHub\eaglep3\Utilities\DownloadLogsFromS3.py --loco 4021 --day 2017-03-20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"%USERPROFILE%\AppData\Local\Temp\OnboardLogs"\RTDC4021\*4021*20170321* | grep -SE "(Enforcement Action)|(\[TIMEOUT)|(CHR.+\|PRM\|1\|D.+(SWITCH|SIGNAL).+UNKNOWN)" - &gt;&gt; 2017-03-20-UncaughtWiMAX.txt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817</v>
      </c>
      <c r="B144" s="7">
        <v>4046</v>
      </c>
      <c r="C144" s="21" t="s">
        <v>222</v>
      </c>
      <c r="D144" s="21" t="s">
        <v>219</v>
      </c>
      <c r="E144" s="13">
        <v>42814.886701388888</v>
      </c>
      <c r="F144" s="13">
        <v>42814.896006944444</v>
      </c>
      <c r="G144" s="7">
        <v>1</v>
      </c>
      <c r="H144" s="21" t="s">
        <v>849</v>
      </c>
      <c r="I144" s="13">
        <v>42814.922013888892</v>
      </c>
      <c r="J144" s="7">
        <v>0</v>
      </c>
      <c r="K144" s="98" t="str">
        <f t="shared" si="49"/>
        <v>4045/4046</v>
      </c>
      <c r="L144" s="21" t="str">
        <f>VLOOKUP(A144,'Trips&amp;Operators'!$C$1:$G$99999,5,FALSE)</f>
        <v>SMITH MICHAEL</v>
      </c>
      <c r="M144" s="6">
        <f t="shared" si="50"/>
        <v>2.6006944448454306E-2</v>
      </c>
      <c r="N144" s="7">
        <f t="shared" si="47"/>
        <v>37.4500000057742</v>
      </c>
      <c r="O144" s="7"/>
      <c r="P144" s="7"/>
      <c r="Q144" s="22"/>
      <c r="R144" s="22"/>
      <c r="S144" s="31">
        <f t="shared" si="48"/>
        <v>1</v>
      </c>
      <c r="T144" s="46" t="str">
        <f t="shared" si="51"/>
        <v>NorthBound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6" t="str">
        <f t="shared" si="52"/>
        <v>https://d0f6bd738d7f1b3e5a7ca70fe4ff75f0.us-east-1.aws.found.io/app/kibana#/discover/Steve-Slow-Train-Analysis-(2080s-and-2083s)?_g=(refreshInterval:(display:Off,pause:!f,section:0,value:0),time:(from:'2017-03-20T20:16:51-0600',mode:absolute,to:'2017-03-20T23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4" s="187" t="str">
        <f t="shared" si="53"/>
        <v>N</v>
      </c>
      <c r="X144" s="187">
        <f t="shared" si="54"/>
        <v>1</v>
      </c>
      <c r="Y144" s="62">
        <f t="shared" si="55"/>
        <v>4.6600000000000003E-2</v>
      </c>
      <c r="Z144" s="62">
        <f t="shared" si="43"/>
        <v>23.33</v>
      </c>
      <c r="AA144" s="62">
        <f t="shared" si="56"/>
        <v>23.283399999999997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7"/>
        <v>0231-20</v>
      </c>
      <c r="AE144" s="85" t="str">
        <f t="shared" si="58"/>
        <v>aws s3 cp s3://rtdc.mdm.uploadarchive.raw/RTDC4046/ "%USERPROFILE%\AppData\Local\Temp\OnboardLogs"\RTDC4046\2017-03-20 --exclude "*" --recursive --include "*20170320*" &amp; "%USERPROFILE%\Documents\GitHub\mrs-test-scripts\Headless Mode &amp; Sideloading\WalkAndUnGZ.bat" "%USERPROFILE%\AppData\Local\Temp\OnboardLogs"\RTDC4046\2017-03-20 &amp; aws s3 cp s3://rtdc.mdm.uploadarchive.raw/RTDC4046/ "%USERPROFILE%\AppData\Local\Temp\OnboardLogs"\RTDC4046\2017-03-21 --exclude "*" --recursive --include "*20170321*" &amp; "%USERPROFILE%\Documents\GitHub\mrs-test-scripts\Headless Mode &amp; Sideloading\WalkAndUnGZ.bat" "%USERPROFILE%\AppData\Local\Temp\OnboardLogs"\RTDC4046\2017-03-21</v>
      </c>
      <c r="AF144" s="82" t="str">
        <f t="shared" si="59"/>
        <v>"C:\Program Files (x86)\AstroGrep\AstroGrep.exe" /e /r /s /spath="%USERPROFILE%\AppData\Local\Temp\OnboardLogs" /stypes="app*4046*20170321*" /stext=" 04:.+((SYSTEM_STATE.+slice.+state.+changed )|(ment ac)|(multiple cpu faults)|(system.+state.+changed )|(\[timeout)|(PRM\|1\|D)|(kpr)|(kdp)|(\|lc)|(penalty))"</v>
      </c>
      <c r="AG144" s="1" t="str">
        <f t="shared" si="60"/>
        <v>EC</v>
      </c>
      <c r="AH144" s="86" t="str">
        <f t="shared" si="61"/>
        <v>"%USERPROFILE%\Documents\GitHub\eaglep3\Utilities\RefineRTDCRunTimes.py" --tripid 231-20 --locoid 4046 --swversion DE.1.0.9.0 --startMP 204:466 --initTime 2017-03-20T21:16:51 --startdatetime 2017-03-20T21:30:15 --delay 1 --endMP 204:233300 --enddatetime 2017-03-20T22:07:42 --enforcementcount 0 &gt;&gt;C:\Users\stu\Documents\GitHub\eaglep3-reporting\EC\2017-03-20-refined-times.txt</v>
      </c>
      <c r="AI144" s="108" t="str">
        <f t="shared" si="62"/>
        <v>echo {"issue":{"subject":"","project_id":79,"tracker_id":40,"status_id":1,"priority_id":2,"assigned_to_id":23,"start_date":"2017-03-20","description":"","custom_fields":[{"id":1,"name":"Subdivision","value":"EC"},{"id":4,"name":"Milepost","value":"23.33"},{"id":17,"name":"Train ID","value":"231-20"},{"id":16,"name":"Locomotive ID","value":"4046"},{"id":130,"name":"Impact","value":""},{"id":150,"name":"Time of Event (Mountain Time)","value":"22:07:42"},{"id":151,"name":"Denver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3"/>
        <v>start /low /b %USERPROFILE%\Documents\GitHub\eaglep3\Utilities\DownloadLogsFromS3.py --loco 4046 --day 2017-03-20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"%USERPROFILE%\AppData\Local\Temp\OnboardLogs"\RTDC4046\*4046*20170321* | grep -SE "(Enforcement Action)|(\[TIMEOUT)|(CHR.+\|PRM\|1\|D.+(SWITCH|SIGNAL).+UNKNOWN)" - &gt;&gt; 2017-03-20-UncaughtWiMAX.txt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821</v>
      </c>
      <c r="B145" s="7">
        <v>4045</v>
      </c>
      <c r="C145" s="21" t="s">
        <v>222</v>
      </c>
      <c r="D145" s="21" t="s">
        <v>227</v>
      </c>
      <c r="E145" s="13">
        <v>42814.926793981482</v>
      </c>
      <c r="F145" s="13">
        <v>42814.935243055559</v>
      </c>
      <c r="G145" s="7">
        <v>1</v>
      </c>
      <c r="H145" s="21" t="s">
        <v>217</v>
      </c>
      <c r="I145" s="13">
        <v>42814.962743055556</v>
      </c>
      <c r="J145" s="7">
        <v>0</v>
      </c>
      <c r="K145" s="98" t="str">
        <f t="shared" si="49"/>
        <v>4045/4046</v>
      </c>
      <c r="L145" s="21" t="str">
        <f>VLOOKUP(A145,'Trips&amp;Operators'!$C$1:$G$99999,5,FALSE)</f>
        <v>SMITH MICHAEL</v>
      </c>
      <c r="M145" s="6">
        <f t="shared" si="50"/>
        <v>2.749999999650754E-2</v>
      </c>
      <c r="N145" s="7">
        <f t="shared" si="47"/>
        <v>39.599999994970858</v>
      </c>
      <c r="O145" s="7"/>
      <c r="P145" s="7"/>
      <c r="Q145" s="22"/>
      <c r="R145" s="22"/>
      <c r="S145" s="31">
        <f t="shared" si="48"/>
        <v>1</v>
      </c>
      <c r="T145" s="46" t="str">
        <f t="shared" si="51"/>
        <v>Southbound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 t="shared" si="52"/>
        <v>https://d0f6bd738d7f1b3e5a7ca70fe4ff75f0.us-east-1.aws.found.io/app/kibana#/discover/Steve-Slow-Train-Analysis-(2080s-and-2083s)?_g=(refreshInterval:(display:Off,pause:!f,section:0,value:0),time:(from:'2017-03-20T21:14:35-0600',mode:absolute,to:'2017-03-21T00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5" s="187" t="str">
        <f t="shared" si="53"/>
        <v>N</v>
      </c>
      <c r="X145" s="187">
        <f t="shared" si="54"/>
        <v>1</v>
      </c>
      <c r="Y145" s="62">
        <f t="shared" si="55"/>
        <v>23.3</v>
      </c>
      <c r="Z145" s="62">
        <f t="shared" si="43"/>
        <v>1.47E-2</v>
      </c>
      <c r="AA145" s="62">
        <f t="shared" si="56"/>
        <v>23.285299999999999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7"/>
        <v>0232-20</v>
      </c>
      <c r="AE145" s="85" t="str">
        <f t="shared" si="58"/>
        <v>aws s3 cp s3://rtdc.mdm.uploadarchive.raw/RTDC4045/ "%USERPROFILE%\AppData\Local\Temp\OnboardLogs"\RTDC4045\2017-03-20 --exclude "*" --recursive --include "*20170320*" &amp; "%USERPROFILE%\Documents\GitHub\mrs-test-scripts\Headless Mode &amp; Sideloading\WalkAndUnGZ.bat" "%USERPROFILE%\AppData\Local\Temp\OnboardLogs"\RTDC4045\2017-03-20 &amp; aws s3 cp s3://rtdc.mdm.uploadarchive.raw/RTDC4045/ "%USERPROFILE%\AppData\Local\Temp\OnboardLogs"\RTDC4045\2017-03-21 --exclude "*" --recursive --include "*20170321*" &amp; "%USERPROFILE%\Documents\GitHub\mrs-test-scripts\Headless Mode &amp; Sideloading\WalkAndUnGZ.bat" "%USERPROFILE%\AppData\Local\Temp\OnboardLogs"\RTDC4045\2017-03-21</v>
      </c>
      <c r="AF145" s="82" t="str">
        <f t="shared" si="59"/>
        <v>"C:\Program Files (x86)\AstroGrep\AstroGrep.exe" /e /r /s /spath="%USERPROFILE%\AppData\Local\Temp\OnboardLogs" /stypes="app*4045*20170321*" /stext=" 05:.+((SYSTEM_STATE.+slice.+state.+changed )|(ment ac)|(multiple cpu faults)|(system.+state.+changed )|(\[timeout)|(PRM\|1\|D)|(kpr)|(kdp)|(\|lc)|(penalty))"</v>
      </c>
      <c r="AG145" s="1" t="str">
        <f t="shared" si="60"/>
        <v>EC</v>
      </c>
      <c r="AH145" s="86" t="str">
        <f t="shared" si="61"/>
        <v>"%USERPROFILE%\Documents\GitHub\eaglep3\Utilities\RefineRTDCRunTimes.py" --tripid 232-20 --locoid 4045 --swversion DE.1.0.9.0 --startMP 204:233000 --initTime 2017-03-20T22:14:35 --startdatetime 2017-03-20T22:26:45 --delay 1 --endMP 204:147 --enddatetime 2017-03-20T23:06:21 --enforcementcount 0 &gt;&gt;C:\Users\stu\Documents\GitHub\eaglep3-reporting\EC\2017-03-20-refined-times.txt</v>
      </c>
      <c r="AI145" s="108" t="str">
        <f t="shared" si="62"/>
        <v>echo {"issue":{"subject":"","project_id":79,"tracker_id":40,"status_id":1,"priority_id":2,"assigned_to_id":23,"start_date":"2017-03-20","description":"","custom_fields":[{"id":1,"name":"Subdivision","value":"EC"},{"id":4,"name":"Milepost","value":"0.0147"},{"id":17,"name":"Train ID","value":"232-20"},{"id":16,"name":"Locomotive ID","value":"4045"},{"id":130,"name":"Impact","value":""},{"id":150,"name":"Time of Event (Mountain Time)","value":"23:06:21"},{"id":151,"name":"Denver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63"/>
        <v>start /low /b %USERPROFILE%\Documents\GitHub\eaglep3\Utilities\DownloadLogsFromS3.py --loco 4045 --day 2017-03-20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"%USERPROFILE%\AppData\Local\Temp\OnboardLogs"\RTDC4045\*4045*20170321* | grep -SE "(Enforcement Action)|(\[TIMEOUT)|(CHR.+\|PRM\|1\|D.+(SWITCH|SIGNAL).+UNKNOWN)" - &gt;&gt; 2017-03-20-UncaughtWiMAX.txt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644</v>
      </c>
      <c r="B146" s="7">
        <v>4027</v>
      </c>
      <c r="C146" s="21" t="s">
        <v>222</v>
      </c>
      <c r="D146" s="21" t="s">
        <v>897</v>
      </c>
      <c r="E146" s="13">
        <v>42814.901018518518</v>
      </c>
      <c r="F146" s="13">
        <v>42814.917384259257</v>
      </c>
      <c r="G146" s="7">
        <v>1</v>
      </c>
      <c r="H146" s="21" t="s">
        <v>898</v>
      </c>
      <c r="I146" s="13">
        <v>42814.941620370373</v>
      </c>
      <c r="J146" s="7">
        <v>0</v>
      </c>
      <c r="K146" s="98" t="str">
        <f t="shared" si="49"/>
        <v>4027/4028</v>
      </c>
      <c r="L146" s="21" t="str">
        <f>VLOOKUP(A146,'Trips&amp;Operators'!$C$1:$G$99999,5,FALSE)</f>
        <v>STAMBAUGH JAMES</v>
      </c>
      <c r="M146" s="6">
        <f t="shared" si="50"/>
        <v>2.4236111115897074E-2</v>
      </c>
      <c r="N146" s="7">
        <f t="shared" si="47"/>
        <v>34.900000006891787</v>
      </c>
      <c r="O146" s="7"/>
      <c r="P146" s="7"/>
      <c r="Q146" s="22"/>
      <c r="R146" s="22"/>
      <c r="S146" s="31">
        <f t="shared" si="48"/>
        <v>1</v>
      </c>
      <c r="T146" s="46" t="str">
        <f t="shared" si="51"/>
        <v>NorthBound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 t="shared" si="52"/>
        <v>https://d0f6bd738d7f1b3e5a7ca70fe4ff75f0.us-east-1.aws.found.io/app/kibana#/discover/Steve-Slow-Train-Analysis-(2080s-and-2083s)?_g=(refreshInterval:(display:Off,pause:!f,section:0,value:0),time:(from:'2017-03-20T20:37:28-0600',mode:absolute,to:'2017-03-20T23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6" s="187" t="str">
        <f t="shared" si="53"/>
        <v>N</v>
      </c>
      <c r="X146" s="187">
        <f t="shared" si="54"/>
        <v>1</v>
      </c>
      <c r="Y146" s="62">
        <f t="shared" si="55"/>
        <v>4.1599999999999998E-2</v>
      </c>
      <c r="Z146" s="62">
        <f t="shared" si="43"/>
        <v>23.3416</v>
      </c>
      <c r="AA146" s="62">
        <f t="shared" si="56"/>
        <v>23.3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7"/>
        <v>0233-20</v>
      </c>
      <c r="AE146" s="85" t="str">
        <f t="shared" si="58"/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AF146" s="82" t="str">
        <f t="shared" si="59"/>
        <v>"C:\Program Files (x86)\AstroGrep\AstroGrep.exe" /e /r /s /spath="%USERPROFILE%\AppData\Local\Temp\OnboardLogs" /stypes="app*4027*20170321*" /stext=" 04:.+((SYSTEM_STATE.+slice.+state.+changed )|(ment ac)|(multiple cpu faults)|(system.+state.+changed )|(\[timeout)|(PRM\|1\|D)|(kpr)|(kdp)|(\|lc)|(penalty))"</v>
      </c>
      <c r="AG146" s="1" t="str">
        <f t="shared" si="60"/>
        <v>EC</v>
      </c>
      <c r="AH146" s="86" t="str">
        <f t="shared" si="61"/>
        <v>"%USERPROFILE%\Documents\GitHub\eaglep3\Utilities\RefineRTDCRunTimes.py" --tripid 233-20 --locoid 4027 --swversion DE.1.0.9.0 --startMP 204:416 --initTime 2017-03-20T21:37:28 --startdatetime 2017-03-20T22:01:02 --delay 1 --endMP 204:233416 --enddatetime 2017-03-20T22:35:56 --enforcementcount 0 &gt;&gt;C:\Users\stu\Documents\GitHub\eaglep3-reporting\EC\2017-03-20-refined-times.txt</v>
      </c>
      <c r="AI146" s="108" t="str">
        <f t="shared" si="62"/>
        <v>echo {"issue":{"subject":"","project_id":79,"tracker_id":40,"status_id":1,"priority_id":2,"assigned_to_id":23,"start_date":"2017-03-20","description":"","custom_fields":[{"id":1,"name":"Subdivision","value":"EC"},{"id":4,"name":"Milepost","value":"23.3416"},{"id":17,"name":"Train ID","value":"233-20"},{"id":16,"name":"Locomotive ID","value":"4027"},{"id":130,"name":"Impact","value":""},{"id":150,"name":"Time of Event (Mountain Time)","value":"22:35:56"},{"id":151,"name":"Denver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3"/>
        <v>start /low /b %USERPROFILE%\Documents\GitHub\eaglep3\Utilities\DownloadLogsFromS3.py --loco 4027 --day 2017-03-20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"%USERPROFILE%\AppData\Local\Temp\OnboardLogs"\RTDC4027\*4027*20170321* | grep -SE "(Enforcement Action)|(\[TIMEOUT)|(CHR.+\|PRM\|1\|D.+(SWITCH|SIGNAL).+UNKNOWN)" - &gt;&gt; 2017-03-20-UncaughtWiMAX.txt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825</v>
      </c>
      <c r="B147" s="7">
        <v>4028</v>
      </c>
      <c r="C147" s="21" t="s">
        <v>222</v>
      </c>
      <c r="D147" s="21" t="s">
        <v>899</v>
      </c>
      <c r="E147" s="13">
        <v>42814.953449074077</v>
      </c>
      <c r="F147" s="13">
        <v>42814.957349537035</v>
      </c>
      <c r="G147" s="7">
        <v>1</v>
      </c>
      <c r="H147" s="21" t="s">
        <v>900</v>
      </c>
      <c r="I147" s="13">
        <v>42814.984201388892</v>
      </c>
      <c r="J147" s="7">
        <v>0</v>
      </c>
      <c r="K147" s="98" t="str">
        <f t="shared" si="49"/>
        <v>4027/4028</v>
      </c>
      <c r="L147" s="21" t="str">
        <f>VLOOKUP(A147,'Trips&amp;Operators'!$C$1:$G$99999,5,FALSE)</f>
        <v>STAMBAUGH JAMES</v>
      </c>
      <c r="M147" s="6">
        <f t="shared" si="50"/>
        <v>2.6851851856918074E-2</v>
      </c>
      <c r="N147" s="7">
        <f t="shared" si="47"/>
        <v>38.666666673962027</v>
      </c>
      <c r="O147" s="7"/>
      <c r="P147" s="7"/>
      <c r="Q147" s="22"/>
      <c r="R147" s="22"/>
      <c r="S147" s="31">
        <f t="shared" si="48"/>
        <v>1</v>
      </c>
      <c r="T147" s="46" t="str">
        <f t="shared" si="51"/>
        <v>Southbound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52"/>
        <v>https://d0f6bd738d7f1b3e5a7ca70fe4ff75f0.us-east-1.aws.found.io/app/kibana#/discover/Steve-Slow-Train-Analysis-(2080s-and-2083s)?_g=(refreshInterval:(display:Off,pause:!f,section:0,value:0),time:(from:'2017-03-20T21:52:58-0600',mode:absolute,to:'2017-03-21T00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7" s="187" t="str">
        <f t="shared" si="53"/>
        <v>N</v>
      </c>
      <c r="X147" s="187">
        <f t="shared" si="54"/>
        <v>1</v>
      </c>
      <c r="Y147" s="62">
        <f t="shared" si="55"/>
        <v>23.305700000000002</v>
      </c>
      <c r="Z147" s="62">
        <f t="shared" si="43"/>
        <v>1.2500000000000001E-2</v>
      </c>
      <c r="AA147" s="62">
        <f t="shared" si="56"/>
        <v>23.293200000000002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7"/>
        <v>0234-20</v>
      </c>
      <c r="AE147" s="85" t="str">
        <f t="shared" si="58"/>
        <v>aws s3 cp s3://rtdc.mdm.uploadarchive.raw/RTDC4028/ "%USERPROFILE%\AppData\Local\Temp\OnboardLogs"\RTDC4028\2017-03-20 --exclude "*" --recursive --include "*20170320*" &amp; "%USERPROFILE%\Documents\GitHub\mrs-test-scripts\Headless Mode &amp; Sideloading\WalkAndUnGZ.bat" "%USERPROFILE%\AppData\Local\Temp\OnboardLogs"\RTDC4028\2017-03-20 &amp; aws s3 cp s3://rtdc.mdm.uploadarchive.raw/RTDC4028/ "%USERPROFILE%\AppData\Local\Temp\OnboardLogs"\RTDC4028\2017-03-21 --exclude "*" --recursive --include "*20170321*" &amp; "%USERPROFILE%\Documents\GitHub\mrs-test-scripts\Headless Mode &amp; Sideloading\WalkAndUnGZ.bat" "%USERPROFILE%\AppData\Local\Temp\OnboardLogs"\RTDC4028\2017-03-21</v>
      </c>
      <c r="AF147" s="82" t="str">
        <f t="shared" si="59"/>
        <v>"C:\Program Files (x86)\AstroGrep\AstroGrep.exe" /e /r /s /spath="%USERPROFILE%\AppData\Local\Temp\OnboardLogs" /stypes="app*4028*20170321*" /stext=" 05:.+((SYSTEM_STATE.+slice.+state.+changed )|(ment ac)|(multiple cpu faults)|(system.+state.+changed )|(\[timeout)|(PRM\|1\|D)|(kpr)|(kdp)|(\|lc)|(penalty))"</v>
      </c>
      <c r="AG147" s="1" t="str">
        <f t="shared" si="60"/>
        <v>EC</v>
      </c>
      <c r="AH147" s="86" t="str">
        <f t="shared" si="61"/>
        <v>"%USERPROFILE%\Documents\GitHub\eaglep3\Utilities\RefineRTDCRunTimes.py" --tripid 234-20 --locoid 4028 --swversion DE.1.0.9.0 --startMP 204:233057 --initTime 2017-03-20T22:52:58 --startdatetime 2017-03-20T22:58:35 --delay 1 --endMP 204:125 --enddatetime 2017-03-20T23:37:15 --enforcementcount 0 &gt;&gt;C:\Users\stu\Documents\GitHub\eaglep3-reporting\EC\2017-03-20-refined-times.txt</v>
      </c>
      <c r="AI147" s="108" t="str">
        <f t="shared" si="62"/>
        <v>echo {"issue":{"subject":"","project_id":79,"tracker_id":40,"status_id":1,"priority_id":2,"assigned_to_id":23,"start_date":"2017-03-20","description":"","custom_fields":[{"id":1,"name":"Subdivision","value":"EC"},{"id":4,"name":"Milepost","value":"0.0125"},{"id":17,"name":"Train ID","value":"234-20"},{"id":16,"name":"Locomotive ID","value":"4028"},{"id":130,"name":"Impact","value":""},{"id":150,"name":"Time of Event (Mountain Time)","value":"23:37:15"},{"id":151,"name":"Denver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3"/>
        <v>start /low /b %USERPROFILE%\Documents\GitHub\eaglep3\Utilities\DownloadLogsFromS3.py --loco 4028 --day 2017-03-20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"%USERPROFILE%\AppData\Local\Temp\OnboardLogs"\RTDC4028\*4028*20170321* | grep -SE "(Enforcement Action)|(\[TIMEOUT)|(CHR.+\|PRM\|1\|D.+(SWITCH|SIGNAL).+UNKNOWN)" - &gt;&gt; 2017-03-20-UncaughtWiMAX.txt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823</v>
      </c>
      <c r="B148" s="7">
        <v>4003</v>
      </c>
      <c r="C148" s="21" t="s">
        <v>222</v>
      </c>
      <c r="D148" s="21" t="s">
        <v>592</v>
      </c>
      <c r="E148" s="13">
        <v>42814.934837962966</v>
      </c>
      <c r="F148" s="13">
        <v>42814.937662037039</v>
      </c>
      <c r="G148" s="7">
        <v>2</v>
      </c>
      <c r="H148" s="21" t="s">
        <v>507</v>
      </c>
      <c r="I148" s="13">
        <v>42814.966412037036</v>
      </c>
      <c r="J148" s="7">
        <v>0</v>
      </c>
      <c r="K148" s="98" t="str">
        <f t="shared" si="49"/>
        <v>4003/4004</v>
      </c>
      <c r="L148" s="21" t="str">
        <f>VLOOKUP(A148,'Trips&amp;Operators'!$C$1:$G$99999,5,FALSE)</f>
        <v>STORY SAMANTHA</v>
      </c>
      <c r="M148" s="6">
        <f t="shared" si="50"/>
        <v>2.8749999997671694E-2</v>
      </c>
      <c r="N148" s="7">
        <f t="shared" si="47"/>
        <v>41.399999996647239</v>
      </c>
      <c r="O148" s="7"/>
      <c r="P148" s="7"/>
      <c r="Q148" s="22"/>
      <c r="R148" s="22"/>
      <c r="S148" s="31">
        <f t="shared" si="48"/>
        <v>1</v>
      </c>
      <c r="T148" s="46" t="str">
        <f t="shared" si="51"/>
        <v>NorthBound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52"/>
        <v>https://d0f6bd738d7f1b3e5a7ca70fe4ff75f0.us-east-1.aws.found.io/app/kibana#/discover/Steve-Slow-Train-Analysis-(2080s-and-2083s)?_g=(refreshInterval:(display:Off,pause:!f,section:0,value:0),time:(from:'2017-03-20T21:26:10-0600',mode:absolute,to:'2017-03-21T00:11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8" s="187" t="str">
        <f t="shared" si="53"/>
        <v>N</v>
      </c>
      <c r="X148" s="187">
        <f t="shared" si="54"/>
        <v>1</v>
      </c>
      <c r="Y148" s="62">
        <f t="shared" si="55"/>
        <v>4.3700000000000003E-2</v>
      </c>
      <c r="Z148" s="62">
        <f t="shared" si="43"/>
        <v>23.330300000000001</v>
      </c>
      <c r="AA148" s="62">
        <f t="shared" si="56"/>
        <v>23.2866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7"/>
        <v>0235-20</v>
      </c>
      <c r="AE148" s="85" t="str">
        <f t="shared" si="58"/>
        <v>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 &amp; 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</v>
      </c>
      <c r="AF148" s="82" t="str">
        <f t="shared" si="59"/>
        <v>"C:\Program Files (x86)\AstroGrep\AstroGrep.exe" /e /r /s /spath="%USERPROFILE%\AppData\Local\Temp\OnboardLogs" /stypes="app*4003*20170321*" /stext=" 05:.+((SYSTEM_STATE.+slice.+state.+changed )|(ment ac)|(multiple cpu faults)|(system.+state.+changed )|(\[timeout)|(PRM\|1\|D)|(kpr)|(kdp)|(\|lc)|(penalty))"</v>
      </c>
      <c r="AG148" s="1" t="str">
        <f t="shared" si="60"/>
        <v>EC</v>
      </c>
      <c r="AH148" s="86" t="str">
        <f t="shared" si="61"/>
        <v>"%USERPROFILE%\Documents\GitHub\eaglep3\Utilities\RefineRTDCRunTimes.py" --tripid 235-20 --locoid 4003 --swversion DE.1.0.9.0 --startMP 204:437 --initTime 2017-03-20T22:26:10 --startdatetime 2017-03-20T22:30:14 --delay 2 --endMP 204:233303 --enddatetime 2017-03-20T23:11:38 --enforcementcount 0 &gt;&gt;C:\Users\stu\Documents\GitHub\eaglep3-reporting\EC\2017-03-20-refined-times.txt</v>
      </c>
      <c r="AI148" s="108" t="str">
        <f t="shared" si="62"/>
        <v>echo {"issue":{"subject":"","project_id":79,"tracker_id":40,"status_id":1,"priority_id":2,"assigned_to_id":23,"start_date":"2017-03-20","description":"","custom_fields":[{"id":1,"name":"Subdivision","value":"EC"},{"id":4,"name":"Milepost","value":"23.3303"},{"id":17,"name":"Train ID","value":"235-20"},{"id":16,"name":"Locomotive ID","value":"4003"},{"id":130,"name":"Impact","value":""},{"id":150,"name":"Time of Event (Mountain Time)","value":"23:11:38"},{"id":151,"name":"Denver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3"/>
        <v>start /low /b %USERPROFILE%\Documents\GitHub\eaglep3\Utilities\DownloadLogsFromS3.py --loco 4003 --day 2017-03-20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"%USERPROFILE%\AppData\Local\Temp\OnboardLogs"\RTDC4003\*4003*20170321* | grep -SE "(Enforcement Action)|(\[TIMEOUT)|(CHR.+\|PRM\|1\|D.+(SWITCH|SIGNAL).+UNKNOWN)" - &gt;&gt; 2017-03-20-UncaughtWiMAX.txt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3" t="s">
        <v>828</v>
      </c>
      <c r="B149" s="7">
        <v>4004</v>
      </c>
      <c r="C149" s="21" t="s">
        <v>222</v>
      </c>
      <c r="D149" s="21" t="s">
        <v>873</v>
      </c>
      <c r="E149" s="13">
        <v>42814.973611111112</v>
      </c>
      <c r="F149" s="13">
        <v>42814.975694444445</v>
      </c>
      <c r="G149" s="7">
        <v>12</v>
      </c>
      <c r="H149" s="21" t="s">
        <v>569</v>
      </c>
      <c r="I149" s="13">
        <v>42815.012835648151</v>
      </c>
      <c r="J149" s="7">
        <v>0</v>
      </c>
      <c r="K149" s="98" t="str">
        <f t="shared" si="49"/>
        <v>4003/4004</v>
      </c>
      <c r="L149" s="21" t="str">
        <f>VLOOKUP(A149,'Trips&amp;Operators'!$C$1:$G$99999,5,FALSE)</f>
        <v>STORY SAMANTHA</v>
      </c>
      <c r="M149" s="6">
        <f t="shared" si="50"/>
        <v>3.7141203705687076E-2</v>
      </c>
      <c r="N149" s="7">
        <f t="shared" si="47"/>
        <v>53.483333336189389</v>
      </c>
      <c r="O149" s="7"/>
      <c r="P149" s="7"/>
      <c r="Q149" s="22"/>
      <c r="R149" s="22" t="s">
        <v>1013</v>
      </c>
      <c r="S149" s="31">
        <f t="shared" si="48"/>
        <v>1</v>
      </c>
      <c r="T149" s="46" t="str">
        <f t="shared" si="51"/>
        <v>Southbound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52"/>
        <v>https://d0f6bd738d7f1b3e5a7ca70fe4ff75f0.us-east-1.aws.found.io/app/kibana#/discover/Steve-Slow-Train-Analysis-(2080s-and-2083s)?_g=(refreshInterval:(display:Off,pause:!f,section:0,value:0),time:(from:'2017-03-20T22:22:00-0600',mode:absolute,to:'2017-03-21T01:18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9" s="187" t="str">
        <f t="shared" si="53"/>
        <v>N</v>
      </c>
      <c r="X149" s="187">
        <f t="shared" si="54"/>
        <v>1</v>
      </c>
      <c r="Y149" s="62">
        <f t="shared" si="55"/>
        <v>23.297799999999999</v>
      </c>
      <c r="Z149" s="62">
        <v>0.01</v>
      </c>
      <c r="AA149" s="62">
        <f t="shared" si="56"/>
        <v>23.287799999999997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7"/>
        <v>0236-20</v>
      </c>
      <c r="AE149" s="85" t="str">
        <f t="shared" si="58"/>
        <v>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 &amp; aws s3 cp s3://rtdc.mdm.uploadarchive.raw/RTDC4004/ "%USERPROFILE%\AppData\Local\Temp\OnboardLogs"\RTDC4004\2017-03-21 --exclude "*" --recursive --include "*20170321*" &amp; "%USERPROFILE%\Documents\GitHub\mrs-test-scripts\Headless Mode &amp; Sideloading\WalkAndUnGZ.bat" "%USERPROFILE%\AppData\Local\Temp\OnboardLogs"\RTDC4004\2017-03-21</v>
      </c>
      <c r="AF149" s="82" t="str">
        <f t="shared" si="59"/>
        <v>"C:\Program Files (x86)\AstroGrep\AstroGrep.exe" /e /r /s /spath="%USERPROFILE%\AppData\Local\Temp\OnboardLogs" /stypes="app*4004*20170321*" /stext=" 06:.+((SYSTEM_STATE.+slice.+state.+changed )|(ment ac)|(multiple cpu faults)|(system.+state.+changed )|(\[timeout)|(PRM\|1\|D)|(kpr)|(kdp)|(\|lc)|(penalty))"</v>
      </c>
      <c r="AG149" s="1" t="str">
        <f t="shared" si="60"/>
        <v>EC</v>
      </c>
      <c r="AH149" s="86" t="str">
        <f t="shared" si="61"/>
        <v>"%USERPROFILE%\Documents\GitHub\eaglep3\Utilities\RefineRTDCRunTimes.py" --tripid 236-20 --locoid 4004 --swversion DE.1.0.9.0 --startMP 204:232978 --initTime 2017-03-20T23:22:00 --startdatetime 2017-03-20T23:25:00 --delay 12 --endMP 204:232988 --enddatetime 2017-03-21T00:18:29 --enforcementcount 0 &gt;&gt;C:\Users\stu\Documents\GitHub\eaglep3-reporting\EC\2017-03-20-refined-times.txt</v>
      </c>
      <c r="AI149" s="108" t="str">
        <f t="shared" si="62"/>
        <v>echo {"issue":{"subject":"Delayed by onboard in-route failure","project_id":79,"tracker_id":40,"status_id":1,"priority_id":2,"assigned_to_id":23,"start_date":"2017-03-21","description":"","custom_fields":[{"id":1,"name":"Subdivision","value":"EC"},{"id":4,"name":"Milepost","value":"0.01"},{"id":17,"name":"Train ID","value":"236-20"},{"id":16,"name":"Locomotive ID","value":"4004"},{"id":130,"name":"Impact","value":""},{"id":150,"name":"Time of Event (Mountain Time)","value":"00:18:29"},{"id":151,"name":"Denver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3"/>
        <v>start /low /b %USERPROFILE%\Documents\GitHub\eaglep3\Utilities\DownloadLogsFromS3.py --loco 4004 --day 2017-03-20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"%USERPROFILE%\AppData\Local\Temp\OnboardLogs"\RTDC4004\*4004*20170321* | grep -SE "(Enforcement Action)|(\[TIMEOUT)|(CHR.+\|PRM\|1\|D.+(SWITCH|SIGNAL).+UNKNOWN)" - &gt;&gt; 2017-03-20-UncaughtWiMAX.txt</v>
      </c>
    </row>
    <row r="150" spans="1:91" s="20" customFormat="1" x14ac:dyDescent="0.25">
      <c r="A150" s="33" t="s">
        <v>826</v>
      </c>
      <c r="B150" s="7">
        <v>4022</v>
      </c>
      <c r="C150" s="21" t="s">
        <v>222</v>
      </c>
      <c r="D150" s="21" t="s">
        <v>580</v>
      </c>
      <c r="E150" s="13">
        <v>42814.956608796296</v>
      </c>
      <c r="F150" s="13">
        <v>42814.958587962959</v>
      </c>
      <c r="G150" s="7">
        <v>1</v>
      </c>
      <c r="H150" s="21" t="s">
        <v>228</v>
      </c>
      <c r="I150" s="13">
        <v>42814.983668981484</v>
      </c>
      <c r="J150" s="7">
        <v>0</v>
      </c>
      <c r="K150" s="98" t="str">
        <f t="shared" si="49"/>
        <v>4021/4022</v>
      </c>
      <c r="L150" s="21" t="str">
        <f>VLOOKUP(A150,'Trips&amp;Operators'!$C$1:$G$99999,5,FALSE)</f>
        <v>CHANDLER KELVIN</v>
      </c>
      <c r="M150" s="6">
        <f t="shared" si="50"/>
        <v>2.5081018524360843E-2</v>
      </c>
      <c r="N150" s="7">
        <f t="shared" si="47"/>
        <v>36.116666675079614</v>
      </c>
      <c r="O150" s="7"/>
      <c r="P150" s="7"/>
      <c r="Q150" s="22"/>
      <c r="R150" s="22"/>
      <c r="S150" s="31">
        <f t="shared" si="48"/>
        <v>1</v>
      </c>
      <c r="T150" s="46" t="str">
        <f t="shared" si="51"/>
        <v>NorthBound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52"/>
        <v>https://d0f6bd738d7f1b3e5a7ca70fe4ff75f0.us-east-1.aws.found.io/app/kibana#/discover/Steve-Slow-Train-Analysis-(2080s-and-2083s)?_g=(refreshInterval:(display:Off,pause:!f,section:0,value:0),time:(from:'2017-03-20T21:57:31-0600',mode:absolute,to:'2017-03-21T00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0" s="187" t="str">
        <f t="shared" si="53"/>
        <v>N</v>
      </c>
      <c r="X150" s="187">
        <f t="shared" si="54"/>
        <v>1</v>
      </c>
      <c r="Y150" s="62">
        <f t="shared" si="55"/>
        <v>4.8399999999999999E-2</v>
      </c>
      <c r="Z150" s="62">
        <f t="shared" ref="Z150:Z181" si="64">RIGHT(H150,LEN(H150)-4)/10000</f>
        <v>23.329499999999999</v>
      </c>
      <c r="AA150" s="62">
        <f t="shared" si="56"/>
        <v>23.281099999999999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7"/>
        <v>0237-20</v>
      </c>
      <c r="AE150" s="85" t="str">
        <f t="shared" si="58"/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AF150" s="82" t="str">
        <f t="shared" si="59"/>
        <v>"C:\Program Files (x86)\AstroGrep\AstroGrep.exe" /e /r /s /spath="%USERPROFILE%\AppData\Local\Temp\OnboardLogs" /stypes="app*4022*20170321*" /stext=" 05:.+((SYSTEM_STATE.+slice.+state.+changed )|(ment ac)|(multiple cpu faults)|(system.+state.+changed )|(\[timeout)|(PRM\|1\|D)|(kpr)|(kdp)|(\|lc)|(penalty))"</v>
      </c>
      <c r="AG150" s="1" t="str">
        <f t="shared" si="60"/>
        <v>EC</v>
      </c>
      <c r="AH150" s="86" t="str">
        <f t="shared" si="61"/>
        <v>"%USERPROFILE%\Documents\GitHub\eaglep3\Utilities\RefineRTDCRunTimes.py" --tripid 237-20 --locoid 4022 --swversion DE.1.0.9.0 --startMP 204:484 --initTime 2017-03-20T22:57:31 --startdatetime 2017-03-20T23:00:22 --delay 1 --endMP 204:233295 --enddatetime 2017-03-20T23:36:29 --enforcementcount 0 &gt;&gt;C:\Users\stu\Documents\GitHub\eaglep3-reporting\EC\2017-03-20-refined-times.txt</v>
      </c>
      <c r="AI150" s="108" t="str">
        <f t="shared" si="62"/>
        <v>echo {"issue":{"subject":"","project_id":79,"tracker_id":40,"status_id":1,"priority_id":2,"assigned_to_id":23,"start_date":"2017-03-20","description":"","custom_fields":[{"id":1,"name":"Subdivision","value":"EC"},{"id":4,"name":"Milepost","value":"23.3295"},{"id":17,"name":"Train ID","value":"237-20"},{"id":16,"name":"Locomotive ID","value":"4022"},{"id":130,"name":"Impact","value":""},{"id":150,"name":"Time of Event (Mountain Time)","value":"23:36:29"},{"id":151,"name":"Denver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3"/>
        <v>start /low /b %USERPROFILE%\Documents\GitHub\eaglep3\Utilities\DownloadLogsFromS3.py --loco 4022 --day 2017-03-20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"%USERPROFILE%\AppData\Local\Temp\OnboardLogs"\RTDC4022\*4022*20170321* | grep -SE "(Enforcement Action)|(\[TIMEOUT)|(CHR.+\|PRM\|1\|D.+(SWITCH|SIGNAL).+UNKNOWN)" - &gt;&gt; 2017-03-20-UncaughtWiMAX.txt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829</v>
      </c>
      <c r="B151" s="7">
        <v>4021</v>
      </c>
      <c r="C151" s="21" t="s">
        <v>222</v>
      </c>
      <c r="D151" s="21" t="s">
        <v>559</v>
      </c>
      <c r="E151" s="13">
        <v>42814.993460648147</v>
      </c>
      <c r="F151" s="13">
        <v>42814.997604166667</v>
      </c>
      <c r="G151" s="7">
        <v>1</v>
      </c>
      <c r="H151" s="21" t="s">
        <v>579</v>
      </c>
      <c r="I151" s="13">
        <v>42815.025312500002</v>
      </c>
      <c r="J151" s="7">
        <v>0</v>
      </c>
      <c r="K151" s="98" t="str">
        <f t="shared" si="49"/>
        <v>4021/4022</v>
      </c>
      <c r="L151" s="21" t="str">
        <f>VLOOKUP(A151,'Trips&amp;Operators'!$C$1:$G$99999,5,FALSE)</f>
        <v>CHANDLER KELVIN</v>
      </c>
      <c r="M151" s="6">
        <f t="shared" si="50"/>
        <v>2.7708333334885538E-2</v>
      </c>
      <c r="N151" s="7">
        <f t="shared" si="47"/>
        <v>39.900000002235174</v>
      </c>
      <c r="O151" s="7"/>
      <c r="P151" s="7"/>
      <c r="Q151" s="22"/>
      <c r="R151" s="22"/>
      <c r="S151" s="31">
        <f t="shared" si="48"/>
        <v>1</v>
      </c>
      <c r="T151" s="46" t="str">
        <f t="shared" si="51"/>
        <v>Southbound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52"/>
        <v>https://d0f6bd738d7f1b3e5a7ca70fe4ff75f0.us-east-1.aws.found.io/app/kibana#/discover/Steve-Slow-Train-Analysis-(2080s-and-2083s)?_g=(refreshInterval:(display:Off,pause:!f,section:0,value:0),time:(from:'2017-03-20T22:50:35-0600',mode:absolute,to:'2017-03-21T01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1" s="187" t="str">
        <f t="shared" si="53"/>
        <v>N</v>
      </c>
      <c r="X151" s="187">
        <f t="shared" si="54"/>
        <v>1</v>
      </c>
      <c r="Y151" s="62">
        <f t="shared" si="55"/>
        <v>23.297599999999999</v>
      </c>
      <c r="Z151" s="62">
        <f t="shared" si="64"/>
        <v>1.6500000000000001E-2</v>
      </c>
      <c r="AA151" s="62">
        <f t="shared" si="56"/>
        <v>23.281099999999999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7"/>
        <v>0238-20</v>
      </c>
      <c r="AE151" s="85" t="str">
        <f t="shared" si="58"/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AF151" s="82" t="str">
        <f t="shared" si="59"/>
        <v>"C:\Program Files (x86)\AstroGrep\AstroGrep.exe" /e /r /s /spath="%USERPROFILE%\AppData\Local\Temp\OnboardLogs" /stypes="app*4021*20170321*" /stext=" 06:.+((SYSTEM_STATE.+slice.+state.+changed )|(ment ac)|(multiple cpu faults)|(system.+state.+changed )|(\[timeout)|(PRM\|1\|D)|(kpr)|(kdp)|(\|lc)|(penalty))"</v>
      </c>
      <c r="AG151" s="1" t="str">
        <f t="shared" si="60"/>
        <v>EC</v>
      </c>
      <c r="AH151" s="86" t="str">
        <f t="shared" si="61"/>
        <v>"%USERPROFILE%\Documents\GitHub\eaglep3\Utilities\RefineRTDCRunTimes.py" --tripid 238-20 --locoid 4021 --swversion DE.1.0.9.0 --startMP 204:232976 --initTime 2017-03-20T23:50:35 --startdatetime 2017-03-20T23:56:33 --delay 1 --endMP 204:165 --enddatetime 2017-03-21T00:36:27 --enforcementcount 0 &gt;&gt;C:\Users\stu\Documents\GitHub\eaglep3-reporting\EC\2017-03-20-refined-times.txt</v>
      </c>
      <c r="AI151" s="108" t="str">
        <f t="shared" si="62"/>
        <v>echo {"issue":{"subject":"","project_id":79,"tracker_id":40,"status_id":1,"priority_id":2,"assigned_to_id":23,"start_date":"2017-03-21","description":"","custom_fields":[{"id":1,"name":"Subdivision","value":"EC"},{"id":4,"name":"Milepost","value":"0.0165"},{"id":17,"name":"Train ID","value":"238-20"},{"id":16,"name":"Locomotive ID","value":"4021"},{"id":130,"name":"Impact","value":""},{"id":150,"name":"Time of Event (Mountain Time)","value":"00:36:27"},{"id":151,"name":"Denver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3"/>
        <v>start /low /b %USERPROFILE%\Documents\GitHub\eaglep3\Utilities\DownloadLogsFromS3.py --loco 4021 --day 2017-03-20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"%USERPROFILE%\AppData\Local\Temp\OnboardLogs"\RTDC4021\*4021*20170321* | grep -SE "(Enforcement Action)|(\[TIMEOUT)|(CHR.+\|PRM\|1\|D.+(SWITCH|SIGNAL).+UNKNOWN)" - &gt;&gt; 2017-03-20-UncaughtWiMAX.txt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827</v>
      </c>
      <c r="B152" s="7">
        <v>4046</v>
      </c>
      <c r="C152" s="21" t="s">
        <v>222</v>
      </c>
      <c r="D152" s="21" t="s">
        <v>503</v>
      </c>
      <c r="E152" s="13">
        <v>42814.964907407404</v>
      </c>
      <c r="F152" s="13">
        <v>42814.97934027778</v>
      </c>
      <c r="G152" s="7">
        <v>1</v>
      </c>
      <c r="H152" s="21" t="s">
        <v>901</v>
      </c>
      <c r="I152" s="13">
        <v>42815.004236111112</v>
      </c>
      <c r="J152" s="7">
        <v>0</v>
      </c>
      <c r="K152" s="98" t="str">
        <f t="shared" si="49"/>
        <v>4045/4046</v>
      </c>
      <c r="L152" s="21" t="str">
        <f>VLOOKUP(A152,'Trips&amp;Operators'!$C$1:$G$99999,5,FALSE)</f>
        <v>SMITH MICHAEL</v>
      </c>
      <c r="M152" s="6">
        <f t="shared" si="50"/>
        <v>2.4895833332266193E-2</v>
      </c>
      <c r="N152" s="7">
        <f t="shared" si="47"/>
        <v>35.849999998463318</v>
      </c>
      <c r="O152" s="7"/>
      <c r="P152" s="7"/>
      <c r="Q152" s="22"/>
      <c r="R152" s="22"/>
      <c r="S152" s="31">
        <f t="shared" si="48"/>
        <v>1</v>
      </c>
      <c r="T152" s="46" t="str">
        <f t="shared" si="51"/>
        <v>NorthBound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52"/>
        <v>https://d0f6bd738d7f1b3e5a7ca70fe4ff75f0.us-east-1.aws.found.io/app/kibana#/discover/Steve-Slow-Train-Analysis-(2080s-and-2083s)?_g=(refreshInterval:(display:Off,pause:!f,section:0,value:0),time:(from:'2017-03-20T22:09:28-0600',mode:absolute,to:'2017-03-21T01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2" s="187" t="str">
        <f t="shared" si="53"/>
        <v>N</v>
      </c>
      <c r="X152" s="187">
        <f t="shared" si="54"/>
        <v>1</v>
      </c>
      <c r="Y152" s="62">
        <f t="shared" si="55"/>
        <v>4.4900000000000002E-2</v>
      </c>
      <c r="Z152" s="62">
        <f t="shared" si="64"/>
        <v>23.338200000000001</v>
      </c>
      <c r="AA152" s="62">
        <f t="shared" si="56"/>
        <v>23.293300000000002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7"/>
        <v>0239-20</v>
      </c>
      <c r="AE152" s="85" t="str">
        <f t="shared" si="58"/>
        <v>aws s3 cp s3://rtdc.mdm.uploadarchive.raw/RTDC4046/ "%USERPROFILE%\AppData\Local\Temp\OnboardLogs"\RTDC4046\2017-03-20 --exclude "*" --recursive --include "*20170320*" &amp; "%USERPROFILE%\Documents\GitHub\mrs-test-scripts\Headless Mode &amp; Sideloading\WalkAndUnGZ.bat" "%USERPROFILE%\AppData\Local\Temp\OnboardLogs"\RTDC4046\2017-03-20 &amp; aws s3 cp s3://rtdc.mdm.uploadarchive.raw/RTDC4046/ "%USERPROFILE%\AppData\Local\Temp\OnboardLogs"\RTDC4046\2017-03-21 --exclude "*" --recursive --include "*20170321*" &amp; "%USERPROFILE%\Documents\GitHub\mrs-test-scripts\Headless Mode &amp; Sideloading\WalkAndUnGZ.bat" "%USERPROFILE%\AppData\Local\Temp\OnboardLogs"\RTDC4046\2017-03-21</v>
      </c>
      <c r="AF152" s="82" t="str">
        <f t="shared" si="59"/>
        <v>"C:\Program Files (x86)\AstroGrep\AstroGrep.exe" /e /r /s /spath="%USERPROFILE%\AppData\Local\Temp\OnboardLogs" /stypes="app*4046*20170321*" /stext=" 06:.+((SYSTEM_STATE.+slice.+state.+changed )|(ment ac)|(multiple cpu faults)|(system.+state.+changed )|(\[timeout)|(PRM\|1\|D)|(kpr)|(kdp)|(\|lc)|(penalty))"</v>
      </c>
      <c r="AG152" s="1" t="str">
        <f t="shared" si="60"/>
        <v>EC</v>
      </c>
      <c r="AH152" s="86" t="str">
        <f t="shared" si="61"/>
        <v>"%USERPROFILE%\Documents\GitHub\eaglep3\Utilities\RefineRTDCRunTimes.py" --tripid 239-20 --locoid 4046 --swversion DE.1.0.9.0 --startMP 204:449 --initTime 2017-03-20T23:09:28 --startdatetime 2017-03-20T23:30:15 --delay 1 --endMP 204:233382 --enddatetime 2017-03-21T00:06:06 --enforcementcount 0 &gt;&gt;C:\Users\stu\Documents\GitHub\eaglep3-reporting\EC\2017-03-20-refined-times.txt</v>
      </c>
      <c r="AI152" s="108" t="str">
        <f t="shared" si="62"/>
        <v>echo {"issue":{"subject":"","project_id":79,"tracker_id":40,"status_id":1,"priority_id":2,"assigned_to_id":23,"start_date":"2017-03-21","description":"","custom_fields":[{"id":1,"name":"Subdivision","value":"EC"},{"id":4,"name":"Milepost","value":"23.3382"},{"id":17,"name":"Train ID","value":"239-20"},{"id":16,"name":"Locomotive ID","value":"4046"},{"id":130,"name":"Impact","value":""},{"id":150,"name":"Time of Event (Mountain Time)","value":"00:06:06"},{"id":151,"name":"Denver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63"/>
        <v>start /low /b %USERPROFILE%\Documents\GitHub\eaglep3\Utilities\DownloadLogsFromS3.py --loco 4046 --day 2017-03-20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"%USERPROFILE%\AppData\Local\Temp\OnboardLogs"\RTDC4046\*4046*20170321* | grep -SE "(Enforcement Action)|(\[TIMEOUT)|(CHR.+\|PRM\|1\|D.+(SWITCH|SIGNAL).+UNKNOWN)" - &gt;&gt; 2017-03-20-UncaughtWiMAX.txt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830</v>
      </c>
      <c r="B153" s="7">
        <v>4045</v>
      </c>
      <c r="C153" s="21" t="s">
        <v>222</v>
      </c>
      <c r="D153" s="21" t="s">
        <v>587</v>
      </c>
      <c r="E153" s="13">
        <v>42815.008391203701</v>
      </c>
      <c r="F153" s="13">
        <v>42815.018333333333</v>
      </c>
      <c r="G153" s="7">
        <v>1</v>
      </c>
      <c r="H153" s="21" t="s">
        <v>214</v>
      </c>
      <c r="I153" s="13">
        <v>42815.04583333333</v>
      </c>
      <c r="J153" s="7">
        <v>0</v>
      </c>
      <c r="K153" s="98" t="str">
        <f t="shared" si="49"/>
        <v>4045/4046</v>
      </c>
      <c r="L153" s="21" t="str">
        <f>VLOOKUP(A153,'Trips&amp;Operators'!$C$1:$G$99999,5,FALSE)</f>
        <v>SMITH MICHAEL</v>
      </c>
      <c r="M153" s="6">
        <f t="shared" si="50"/>
        <v>2.749999999650754E-2</v>
      </c>
      <c r="N153" s="7">
        <f t="shared" si="47"/>
        <v>39.599999994970858</v>
      </c>
      <c r="O153" s="7"/>
      <c r="P153" s="7"/>
      <c r="Q153" s="22"/>
      <c r="R153" s="22"/>
      <c r="S153" s="31">
        <f t="shared" si="48"/>
        <v>1</v>
      </c>
      <c r="T153" s="46" t="str">
        <f t="shared" si="51"/>
        <v>Southbound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52"/>
        <v>https://d0f6bd738d7f1b3e5a7ca70fe4ff75f0.us-east-1.aws.found.io/app/kibana#/discover/Steve-Slow-Train-Analysis-(2080s-and-2083s)?_g=(refreshInterval:(display:Off,pause:!f,section:0,value:0),time:(from:'2017-03-20T23:12:05-0600',mode:absolute,to:'2017-03-21T02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3" s="187" t="str">
        <f t="shared" si="53"/>
        <v>N</v>
      </c>
      <c r="X153" s="187">
        <f t="shared" si="54"/>
        <v>1</v>
      </c>
      <c r="Y153" s="62">
        <f t="shared" si="55"/>
        <v>23.307099999999998</v>
      </c>
      <c r="Z153" s="62">
        <f t="shared" si="64"/>
        <v>1.41E-2</v>
      </c>
      <c r="AA153" s="62">
        <f t="shared" si="56"/>
        <v>23.292999999999999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7"/>
        <v>0240-20</v>
      </c>
      <c r="AE153" s="85" t="str">
        <f t="shared" si="58"/>
        <v>aws s3 cp s3://rtdc.mdm.uploadarchive.raw/RTDC4045/ "%USERPROFILE%\AppData\Local\Temp\OnboardLogs"\RTDC4045\2017-03-21 --exclude "*" --recursive --include "*20170321*" &amp; "%USERPROFILE%\Documents\GitHub\mrs-test-scripts\Headless Mode &amp; Sideloading\WalkAndUnGZ.bat" "%USERPROFILE%\AppData\Local\Temp\OnboardLogs"\RTDC4045\2017-03-21 &amp; aws s3 cp s3://rtdc.mdm.uploadarchive.raw/RTDC4045/ "%USERPROFILE%\AppData\Local\Temp\OnboardLogs"\RTDC4045\2017-03-22 --exclude "*" --recursive --include "*20170322*" &amp; "%USERPROFILE%\Documents\GitHub\mrs-test-scripts\Headless Mode &amp; Sideloading\WalkAndUnGZ.bat" "%USERPROFILE%\AppData\Local\Temp\OnboardLogs"\RTDC4045\2017-03-22</v>
      </c>
      <c r="AF153" s="82" t="str">
        <f t="shared" si="59"/>
        <v>"C:\Program Files (x86)\AstroGrep\AstroGrep.exe" /e /r /s /spath="%USERPROFILE%\AppData\Local\Temp\OnboardLogs" /stypes="app*4045*20170321*" /stext=" 07:.+((SYSTEM_STATE.+slice.+state.+changed )|(ment ac)|(multiple cpu faults)|(system.+state.+changed )|(\[timeout)|(PRM\|1\|D)|(kpr)|(kdp)|(\|lc)|(penalty))"</v>
      </c>
      <c r="AG153" s="1" t="str">
        <f t="shared" si="60"/>
        <v>EC</v>
      </c>
      <c r="AH153" s="86" t="str">
        <f t="shared" si="61"/>
        <v>"%USERPROFILE%\Documents\GitHub\eaglep3\Utilities\RefineRTDCRunTimes.py" --tripid 240-20 --locoid 4045 --swversion DE.1.0.9.0 --startMP 204:233071 --initTime 2017-03-21T00:12:05 --startdatetime 2017-03-21T00:26:24 --delay 1 --endMP 204:141 --enddatetime 2017-03-21T01:06:00 --enforcementcount 0 &gt;&gt;C:\Users\stu\Documents\GitHub\eaglep3-reporting\EC\2017-03-20-refined-times.txt</v>
      </c>
      <c r="AI153" s="108" t="str">
        <f t="shared" si="62"/>
        <v>echo {"issue":{"subject":"","project_id":79,"tracker_id":40,"status_id":1,"priority_id":2,"assigned_to_id":23,"start_date":"2017-03-21","description":"","custom_fields":[{"id":1,"name":"Subdivision","value":"EC"},{"id":4,"name":"Milepost","value":"0.0141"},{"id":17,"name":"Train ID","value":"240-20"},{"id":16,"name":"Locomotive ID","value":"4045"},{"id":130,"name":"Impact","value":""},{"id":150,"name":"Time of Event (Mountain Time)","value":"01:06:00"},{"id":151,"name":"Denver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3"/>
        <v>start /low /b %USERPROFILE%\Documents\GitHub\eaglep3\Utilities\DownloadLogsFromS3.py --loco 4045 --day 2017-03-21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"%USERPROFILE%\AppData\Local\Temp\OnboardLogs"\RTDC4045\*4045*20170321* | grep -SE "(Enforcement Action)|(\[TIMEOUT)|(CHR.+\|PRM\|1\|D.+(SWITCH|SIGNAL).+UNKNOWN)" - &gt;&gt; 2017-03-20-UncaughtWiMAX.txt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645</v>
      </c>
      <c r="B154" s="7">
        <v>4027</v>
      </c>
      <c r="C154" s="21" t="s">
        <v>222</v>
      </c>
      <c r="D154" s="21" t="s">
        <v>446</v>
      </c>
      <c r="E154" s="13">
        <v>42814.987002314818</v>
      </c>
      <c r="F154" s="13">
        <v>42815.000567129631</v>
      </c>
      <c r="G154" s="7">
        <v>1</v>
      </c>
      <c r="H154" s="21" t="s">
        <v>902</v>
      </c>
      <c r="I154" s="13">
        <v>42815.025879629633</v>
      </c>
      <c r="J154" s="7">
        <v>0</v>
      </c>
      <c r="K154" s="98" t="str">
        <f t="shared" si="49"/>
        <v>4027/4028</v>
      </c>
      <c r="L154" s="21" t="str">
        <f>VLOOKUP(A154,'Trips&amp;Operators'!$C$1:$G$99999,5,FALSE)</f>
        <v>STAMBAUGH JAMES</v>
      </c>
      <c r="M154" s="6">
        <f t="shared" si="50"/>
        <v>2.531250000174623E-2</v>
      </c>
      <c r="N154" s="7">
        <f t="shared" si="47"/>
        <v>36.450000002514571</v>
      </c>
      <c r="O154" s="7"/>
      <c r="P154" s="7"/>
      <c r="Q154" s="22"/>
      <c r="R154" s="22"/>
      <c r="S154" s="31">
        <f t="shared" si="48"/>
        <v>1</v>
      </c>
      <c r="T154" s="46" t="str">
        <f t="shared" si="51"/>
        <v>NorthBound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52"/>
        <v>https://d0f6bd738d7f1b3e5a7ca70fe4ff75f0.us-east-1.aws.found.io/app/kibana#/discover/Steve-Slow-Train-Analysis-(2080s-and-2083s)?_g=(refreshInterval:(display:Off,pause:!f,section:0,value:0),time:(from:'2017-03-20T22:41:17-0600',mode:absolute,to:'2017-03-21T01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4" s="187" t="str">
        <f t="shared" si="53"/>
        <v>N</v>
      </c>
      <c r="X154" s="187">
        <f t="shared" si="54"/>
        <v>1</v>
      </c>
      <c r="Y154" s="62">
        <f t="shared" si="55"/>
        <v>4.3099999999999999E-2</v>
      </c>
      <c r="Z154" s="62">
        <f t="shared" si="64"/>
        <v>23.339700000000001</v>
      </c>
      <c r="AA154" s="62">
        <f t="shared" si="56"/>
        <v>23.296600000000002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7"/>
        <v>0241-20</v>
      </c>
      <c r="AE154" s="85" t="str">
        <f t="shared" si="58"/>
        <v>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 &amp; aws s3 cp s3://rtdc.mdm.uploadarchive.raw/RTDC4027/ "%USERPROFILE%\AppData\Local\Temp\OnboardLogs"\RTDC4027\2017-03-22 --exclude "*" --recursive --include "*20170322*" &amp; "%USERPROFILE%\Documents\GitHub\mrs-test-scripts\Headless Mode &amp; Sideloading\WalkAndUnGZ.bat" "%USERPROFILE%\AppData\Local\Temp\OnboardLogs"\RTDC4027\2017-03-22</v>
      </c>
      <c r="AF154" s="82" t="str">
        <f t="shared" si="59"/>
        <v>"C:\Program Files (x86)\AstroGrep\AstroGrep.exe" /e /r /s /spath="%USERPROFILE%\AppData\Local\Temp\OnboardLogs" /stypes="app*4027*20170321*" /stext=" 06:.+((SYSTEM_STATE.+slice.+state.+changed )|(ment ac)|(multiple cpu faults)|(system.+state.+changed )|(\[timeout)|(PRM\|1\|D)|(kpr)|(kdp)|(\|lc)|(penalty))"</v>
      </c>
      <c r="AG154" s="1" t="str">
        <f t="shared" si="60"/>
        <v>EC</v>
      </c>
      <c r="AH154" s="86" t="str">
        <f t="shared" si="61"/>
        <v>"%USERPROFILE%\Documents\GitHub\eaglep3\Utilities\RefineRTDCRunTimes.py" --tripid 241-20 --locoid 4027 --swversion DE.1.0.9.0 --startMP 204:431 --initTime 2017-03-20T23:41:17 --startdatetime 2017-03-21T00:00:49 --delay 1 --endMP 204:233397 --enddatetime 2017-03-21T00:37:16 --enforcementcount 0 &gt;&gt;C:\Users\stu\Documents\GitHub\eaglep3-reporting\EC\2017-03-20-refined-times.txt</v>
      </c>
      <c r="AI154" s="108" t="str">
        <f t="shared" si="62"/>
        <v>echo {"issue":{"subject":"","project_id":79,"tracker_id":40,"status_id":1,"priority_id":2,"assigned_to_id":23,"start_date":"2017-03-21","description":"","custom_fields":[{"id":1,"name":"Subdivision","value":"EC"},{"id":4,"name":"Milepost","value":"23.3397"},{"id":17,"name":"Train ID","value":"241-20"},{"id":16,"name":"Locomotive ID","value":"4027"},{"id":130,"name":"Impact","value":""},{"id":150,"name":"Time of Event (Mountain Time)","value":"00:37:16"},{"id":151,"name":"Denver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63"/>
        <v>start /low /b %USERPROFILE%\Documents\GitHub\eaglep3\Utilities\DownloadLogsFromS3.py --loco 4027 --day 2017-03-21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"%USERPROFILE%\AppData\Local\Temp\OnboardLogs"\RTDC4027\*4027*20170321* | grep -SE "(Enforcement Action)|(\[TIMEOUT)|(CHR.+\|PRM\|1\|D.+(SWITCH|SIGNAL).+UNKNOWN)" - &gt;&gt; 2017-03-20-UncaughtWiMAX.txt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3" t="s">
        <v>646</v>
      </c>
      <c r="B155" s="7">
        <v>4028</v>
      </c>
      <c r="C155" s="21" t="s">
        <v>222</v>
      </c>
      <c r="D155" s="21" t="s">
        <v>903</v>
      </c>
      <c r="E155" s="13">
        <v>42815.037523148145</v>
      </c>
      <c r="F155" s="13">
        <v>42815.039803240739</v>
      </c>
      <c r="G155" s="7">
        <v>1</v>
      </c>
      <c r="H155" s="21" t="s">
        <v>432</v>
      </c>
      <c r="I155" s="13">
        <v>42815.06453703704</v>
      </c>
      <c r="J155" s="7">
        <v>0</v>
      </c>
      <c r="K155" s="98" t="str">
        <f t="shared" si="49"/>
        <v>4027/4028</v>
      </c>
      <c r="L155" s="21" t="str">
        <f>VLOOKUP(A155,'Trips&amp;Operators'!$C$1:$G$99999,5,FALSE)</f>
        <v>STAMBAUGH JAMES</v>
      </c>
      <c r="M155" s="6">
        <f t="shared" si="50"/>
        <v>2.4733796301006805E-2</v>
      </c>
      <c r="N155" s="7">
        <f t="shared" si="47"/>
        <v>35.616666673449799</v>
      </c>
      <c r="O155" s="7"/>
      <c r="P155" s="7"/>
      <c r="Q155" s="22"/>
      <c r="R155" s="22"/>
      <c r="S155" s="31">
        <f t="shared" si="48"/>
        <v>1</v>
      </c>
      <c r="T155" s="46" t="str">
        <f t="shared" si="51"/>
        <v>Southbound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52"/>
        <v>https://d0f6bd738d7f1b3e5a7ca70fe4ff75f0.us-east-1.aws.found.io/app/kibana#/discover/Steve-Slow-Train-Analysis-(2080s-and-2083s)?_g=(refreshInterval:(display:Off,pause:!f,section:0,value:0),time:(from:'2017-03-20T23:54:02-0600',mode:absolute,to:'2017-03-21T02:32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5" s="187" t="str">
        <f t="shared" si="53"/>
        <v>N</v>
      </c>
      <c r="X155" s="187">
        <f t="shared" si="54"/>
        <v>1</v>
      </c>
      <c r="Y155" s="62">
        <f t="shared" si="55"/>
        <v>23.307700000000001</v>
      </c>
      <c r="Z155" s="62">
        <f t="shared" si="64"/>
        <v>1.3599999999999999E-2</v>
      </c>
      <c r="AA155" s="62">
        <f t="shared" si="56"/>
        <v>23.2941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7"/>
        <v>0242-20</v>
      </c>
      <c r="AE155" s="85" t="str">
        <f t="shared" si="58"/>
        <v>aws s3 cp s3://rtdc.mdm.uploadarchive.raw/RTDC4028/ "%USERPROFILE%\AppData\Local\Temp\OnboardLogs"\RTDC4028\2017-03-21 --exclude "*" --recursive --include "*20170321*" &amp; "%USERPROFILE%\Documents\GitHub\mrs-test-scripts\Headless Mode &amp; Sideloading\WalkAndUnGZ.bat" "%USERPROFILE%\AppData\Local\Temp\OnboardLogs"\RTDC4028\2017-03-21 &amp; aws s3 cp s3://rtdc.mdm.uploadarchive.raw/RTDC4028/ "%USERPROFILE%\AppData\Local\Temp\OnboardLogs"\RTDC4028\2017-03-22 --exclude "*" --recursive --include "*20170322*" &amp; "%USERPROFILE%\Documents\GitHub\mrs-test-scripts\Headless Mode &amp; Sideloading\WalkAndUnGZ.bat" "%USERPROFILE%\AppData\Local\Temp\OnboardLogs"\RTDC4028\2017-03-22</v>
      </c>
      <c r="AF155" s="82" t="str">
        <f t="shared" si="59"/>
        <v>"C:\Program Files (x86)\AstroGrep\AstroGrep.exe" /e /r /s /spath="%USERPROFILE%\AppData\Local\Temp\OnboardLogs" /stypes="app*4028*20170321*" /stext=" 07:.+((SYSTEM_STATE.+slice.+state.+changed )|(ment ac)|(multiple cpu faults)|(system.+state.+changed )|(\[timeout)|(PRM\|1\|D)|(kpr)|(kdp)|(\|lc)|(penalty))"</v>
      </c>
      <c r="AG155" s="1" t="str">
        <f t="shared" si="60"/>
        <v>EC</v>
      </c>
      <c r="AH155" s="86" t="str">
        <f t="shared" si="61"/>
        <v>"%USERPROFILE%\Documents\GitHub\eaglep3\Utilities\RefineRTDCRunTimes.py" --tripid 242-20 --locoid 4028 --swversion DE.1.0.9.0 --startMP 204:233077 --initTime 2017-03-21T00:54:02 --startdatetime 2017-03-21T00:57:19 --delay 1 --endMP 204:136 --enddatetime 2017-03-21T01:32:56 --enforcementcount 0 &gt;&gt;C:\Users\stu\Documents\GitHub\eaglep3-reporting\EC\2017-03-20-refined-times.txt</v>
      </c>
      <c r="AI155" s="108" t="str">
        <f t="shared" si="62"/>
        <v>echo {"issue":{"subject":"","project_id":79,"tracker_id":40,"status_id":1,"priority_id":2,"assigned_to_id":23,"start_date":"2017-03-21","description":"","custom_fields":[{"id":1,"name":"Subdivision","value":"EC"},{"id":4,"name":"Milepost","value":"0.0136"},{"id":17,"name":"Train ID","value":"242-20"},{"id":16,"name":"Locomotive ID","value":"4028"},{"id":130,"name":"Impact","value":""},{"id":150,"name":"Time of Event (Mountain Time)","value":"01:32:56"},{"id":151,"name":"Denver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63"/>
        <v>start /low /b %USERPROFILE%\Documents\GitHub\eaglep3\Utilities\DownloadLogsFromS3.py --loco 4028 --day 2017-03-21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"%USERPROFILE%\AppData\Local\Temp\OnboardLogs"\RTDC4028\*4028*20170321* | grep -SE "(Enforcement Action)|(\[TIMEOUT)|(CHR.+\|PRM\|1\|D.+(SWITCH|SIGNAL).+UNKNOWN)" - &gt;&gt; 2017-03-20-UncaughtWiMAX.txt</v>
      </c>
    </row>
    <row r="156" spans="1:91" s="20" customFormat="1" x14ac:dyDescent="0.25">
      <c r="A156" s="33" t="s">
        <v>831</v>
      </c>
      <c r="B156" s="7">
        <v>4003</v>
      </c>
      <c r="C156" s="21" t="s">
        <v>222</v>
      </c>
      <c r="D156" s="21" t="s">
        <v>230</v>
      </c>
      <c r="E156" s="13">
        <v>42815.017870370371</v>
      </c>
      <c r="F156" s="13">
        <v>42815.021215277775</v>
      </c>
      <c r="G156" s="7">
        <v>1</v>
      </c>
      <c r="H156" s="21" t="s">
        <v>396</v>
      </c>
      <c r="I156" s="13">
        <v>42815.046342592592</v>
      </c>
      <c r="J156" s="7">
        <v>0</v>
      </c>
      <c r="K156" s="98" t="str">
        <f t="shared" si="49"/>
        <v>4003/4004</v>
      </c>
      <c r="L156" s="21" t="str">
        <f>VLOOKUP(A156,'Trips&amp;Operators'!$C$1:$G$99999,5,FALSE)</f>
        <v>STORY SAMANTHA</v>
      </c>
      <c r="M156" s="6">
        <f t="shared" si="50"/>
        <v>2.5127314816927537E-2</v>
      </c>
      <c r="N156" s="7">
        <f t="shared" si="47"/>
        <v>36.183333336375654</v>
      </c>
      <c r="O156" s="7"/>
      <c r="P156" s="7"/>
      <c r="Q156" s="22"/>
      <c r="R156" s="22"/>
      <c r="S156" s="31">
        <f t="shared" si="48"/>
        <v>1</v>
      </c>
      <c r="T156" s="46" t="str">
        <f t="shared" si="51"/>
        <v>NorthBound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52"/>
        <v>https://d0f6bd738d7f1b3e5a7ca70fe4ff75f0.us-east-1.aws.found.io/app/kibana#/discover/Steve-Slow-Train-Analysis-(2080s-and-2083s)?_g=(refreshInterval:(display:Off,pause:!f,section:0,value:0),time:(from:'2017-03-20T23:25:44-0600',mode:absolute,to:'2017-03-21T02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6" s="187" t="str">
        <f t="shared" si="53"/>
        <v>N</v>
      </c>
      <c r="X156" s="187">
        <f t="shared" si="54"/>
        <v>1</v>
      </c>
      <c r="Y156" s="62">
        <f t="shared" si="55"/>
        <v>4.6899999999999997E-2</v>
      </c>
      <c r="Z156" s="62">
        <f t="shared" si="64"/>
        <v>23.3293</v>
      </c>
      <c r="AA156" s="62">
        <f t="shared" si="56"/>
        <v>23.282399999999999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7"/>
        <v>0243-20</v>
      </c>
      <c r="AE156" s="85" t="str">
        <f t="shared" si="58"/>
        <v>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 &amp; 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</v>
      </c>
      <c r="AF156" s="82" t="str">
        <f t="shared" si="59"/>
        <v>"C:\Program Files (x86)\AstroGrep\AstroGrep.exe" /e /r /s /spath="%USERPROFILE%\AppData\Local\Temp\OnboardLogs" /stypes="app*4003*20170321*" /stext=" 07:.+((SYSTEM_STATE.+slice.+state.+changed )|(ment ac)|(multiple cpu faults)|(system.+state.+changed )|(\[timeout)|(PRM\|1\|D)|(kpr)|(kdp)|(\|lc)|(penalty))"</v>
      </c>
      <c r="AG156" s="1" t="str">
        <f t="shared" si="60"/>
        <v>EC</v>
      </c>
      <c r="AH156" s="86" t="str">
        <f t="shared" si="61"/>
        <v>"%USERPROFILE%\Documents\GitHub\eaglep3\Utilities\RefineRTDCRunTimes.py" --tripid 243-20 --locoid 4003 --swversion DE.1.0.9.0 --startMP 204:469 --initTime 2017-03-21T00:25:44 --startdatetime 2017-03-21T00:30:33 --delay 1 --endMP 204:233293 --enddatetime 2017-03-21T01:06:44 --enforcementcount 0 &gt;&gt;C:\Users\stu\Documents\GitHub\eaglep3-reporting\EC\2017-03-20-refined-times.txt</v>
      </c>
      <c r="AI156" s="108" t="str">
        <f t="shared" si="62"/>
        <v>echo {"issue":{"subject":"","project_id":79,"tracker_id":40,"status_id":1,"priority_id":2,"assigned_to_id":23,"start_date":"2017-03-21","description":"","custom_fields":[{"id":1,"name":"Subdivision","value":"EC"},{"id":4,"name":"Milepost","value":"23.3293"},{"id":17,"name":"Train ID","value":"243-20"},{"id":16,"name":"Locomotive ID","value":"4003"},{"id":130,"name":"Impact","value":""},{"id":150,"name":"Time of Event (Mountain Time)","value":"01:06:44"},{"id":151,"name":"Denver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63"/>
        <v>start /low /b %USERPROFILE%\Documents\GitHub\eaglep3\Utilities\DownloadLogsFromS3.py --loco 4003 --day 2017-03-21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"%USERPROFILE%\AppData\Local\Temp\OnboardLogs"\RTDC4003\*4003*20170321* | grep -SE "(Enforcement Action)|(\[TIMEOUT)|(CHR.+\|PRM\|1\|D.+(SWITCH|SIGNAL).+UNKNOWN)" - &gt;&gt; 2017-03-20-UncaughtWiMAX.txt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834</v>
      </c>
      <c r="B157" s="7">
        <v>4004</v>
      </c>
      <c r="C157" s="21" t="s">
        <v>222</v>
      </c>
      <c r="D157" s="21" t="s">
        <v>405</v>
      </c>
      <c r="E157" s="13">
        <v>42815.05232638889</v>
      </c>
      <c r="F157" s="13">
        <v>42815.060115740744</v>
      </c>
      <c r="G157" s="7">
        <v>1</v>
      </c>
      <c r="H157" s="21" t="s">
        <v>450</v>
      </c>
      <c r="I157" s="13">
        <v>42815.087488425925</v>
      </c>
      <c r="J157" s="7">
        <v>0</v>
      </c>
      <c r="K157" s="98" t="str">
        <f t="shared" si="49"/>
        <v>4003/4004</v>
      </c>
      <c r="L157" s="21" t="str">
        <f>VLOOKUP(A157,'Trips&amp;Operators'!$C$1:$G$99999,5,FALSE)</f>
        <v>STORY SAMANTHA</v>
      </c>
      <c r="M157" s="6">
        <f t="shared" si="50"/>
        <v>2.7372685181035195E-2</v>
      </c>
      <c r="N157" s="7">
        <f t="shared" ref="N157:N185" si="65">24*60*SUM($M157:$M157)</f>
        <v>39.41666666069068</v>
      </c>
      <c r="O157" s="7"/>
      <c r="P157" s="7"/>
      <c r="Q157" s="22"/>
      <c r="R157" s="22"/>
      <c r="S157" s="31">
        <f t="shared" ref="S157:S188" si="66">SUM(U157:U157)/IF(AG157="EC",12,1)</f>
        <v>1</v>
      </c>
      <c r="T157" s="46" t="str">
        <f t="shared" si="51"/>
        <v>Southbound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6" t="str">
        <f t="shared" si="52"/>
        <v>https://d0f6bd738d7f1b3e5a7ca70fe4ff75f0.us-east-1.aws.found.io/app/kibana#/discover/Steve-Slow-Train-Analysis-(2080s-and-2083s)?_g=(refreshInterval:(display:Off,pause:!f,section:0,value:0),time:(from:'2017-03-21T00:15:21-0600',mode:absolute,to:'2017-03-21T03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7" s="187" t="str">
        <f t="shared" si="53"/>
        <v>N</v>
      </c>
      <c r="X157" s="187">
        <f t="shared" si="54"/>
        <v>1</v>
      </c>
      <c r="Y157" s="62">
        <f t="shared" si="55"/>
        <v>23.2987</v>
      </c>
      <c r="Z157" s="62">
        <f t="shared" si="64"/>
        <v>1.6E-2</v>
      </c>
      <c r="AA157" s="62">
        <f t="shared" si="56"/>
        <v>23.282700000000002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7"/>
        <v>0244-20</v>
      </c>
      <c r="AE157" s="85" t="str">
        <f t="shared" si="58"/>
        <v>aws s3 cp s3://rtdc.mdm.uploadarchive.raw/RTDC4004/ "%USERPROFILE%\AppData\Local\Temp\OnboardLogs"\RTDC4004\2017-03-21 --exclude "*" --recursive --include "*20170321*" &amp; "%USERPROFILE%\Documents\GitHub\mrs-test-scripts\Headless Mode &amp; Sideloading\WalkAndUnGZ.bat" "%USERPROFILE%\AppData\Local\Temp\OnboardLogs"\RTDC4004\2017-03-21 &amp; aws s3 cp s3://rtdc.mdm.uploadarchive.raw/RTDC4004/ "%USERPROFILE%\AppData\Local\Temp\OnboardLogs"\RTDC4004\2017-03-22 --exclude "*" --recursive --include "*20170322*" &amp; "%USERPROFILE%\Documents\GitHub\mrs-test-scripts\Headless Mode &amp; Sideloading\WalkAndUnGZ.bat" "%USERPROFILE%\AppData\Local\Temp\OnboardLogs"\RTDC4004\2017-03-22</v>
      </c>
      <c r="AF157" s="82" t="str">
        <f t="shared" si="59"/>
        <v>"C:\Program Files (x86)\AstroGrep\AstroGrep.exe" /e /r /s /spath="%USERPROFILE%\AppData\Local\Temp\OnboardLogs" /stypes="app*4004*20170321*" /stext=" 08:.+((SYSTEM_STATE.+slice.+state.+changed )|(ment ac)|(multiple cpu faults)|(system.+state.+changed )|(\[timeout)|(PRM\|1\|D)|(kpr)|(kdp)|(\|lc)|(penalty))"</v>
      </c>
      <c r="AG157" s="1" t="str">
        <f t="shared" si="60"/>
        <v>EC</v>
      </c>
      <c r="AH157" s="86" t="str">
        <f t="shared" si="61"/>
        <v>"%USERPROFILE%\Documents\GitHub\eaglep3\Utilities\RefineRTDCRunTimes.py" --tripid 244-20 --locoid 4004 --swversion DE.1.0.9.0 --startMP 204:232987 --initTime 2017-03-21T01:15:21 --startdatetime 2017-03-21T01:26:34 --delay 1 --endMP 204:160 --enddatetime 2017-03-21T02:05:59 --enforcementcount 0 &gt;&gt;C:\Users\stu\Documents\GitHub\eaglep3-reporting\EC\2017-03-20-refined-times.txt</v>
      </c>
      <c r="AI157" s="108" t="str">
        <f t="shared" si="62"/>
        <v>echo {"issue":{"subject":"","project_id":79,"tracker_id":40,"status_id":1,"priority_id":2,"assigned_to_id":23,"start_date":"2017-03-21","description":"","custom_fields":[{"id":1,"name":"Subdivision","value":"EC"},{"id":4,"name":"Milepost","value":"0.016"},{"id":17,"name":"Train ID","value":"244-20"},{"id":16,"name":"Locomotive ID","value":"4004"},{"id":130,"name":"Impact","value":""},{"id":150,"name":"Time of Event (Mountain Time)","value":"02:05:59"},{"id":151,"name":"Denver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63"/>
        <v>start /low /b %USERPROFILE%\Documents\GitHub\eaglep3\Utilities\DownloadLogsFromS3.py --loco 4004 --day 2017-03-21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"%USERPROFILE%\AppData\Local\Temp\OnboardLogs"\RTDC4004\*4004*20170321* | grep -SE "(Enforcement Action)|(\[TIMEOUT)|(CHR.+\|PRM\|1\|D.+(SWITCH|SIGNAL).+UNKNOWN)" - &gt;&gt; 2017-03-20-UncaughtWiMAX.txt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670</v>
      </c>
      <c r="B158" s="7">
        <v>4032</v>
      </c>
      <c r="C158" s="21" t="s">
        <v>222</v>
      </c>
      <c r="D158" s="21" t="s">
        <v>924</v>
      </c>
      <c r="E158" s="13">
        <v>42814.214259259257</v>
      </c>
      <c r="F158" s="13">
        <v>42814.215451388889</v>
      </c>
      <c r="G158" s="7">
        <v>1</v>
      </c>
      <c r="H158" s="21" t="s">
        <v>925</v>
      </c>
      <c r="I158" s="13">
        <v>42814.226030092592</v>
      </c>
      <c r="J158" s="7">
        <v>0</v>
      </c>
      <c r="K158" s="98" t="str">
        <f t="shared" si="49"/>
        <v>4031/4032</v>
      </c>
      <c r="L158" s="21" t="str">
        <f>VLOOKUP(A158,'Trips&amp;Operators'!$C$1:$G$99999,5,FALSE)</f>
        <v>DAVIS WENDY</v>
      </c>
      <c r="M158" s="6">
        <f t="shared" si="50"/>
        <v>1.0578703702776693E-2</v>
      </c>
      <c r="N158" s="7">
        <f t="shared" si="65"/>
        <v>15.233333331998438</v>
      </c>
      <c r="O158" s="7"/>
      <c r="P158" s="7"/>
      <c r="Q158" s="22"/>
      <c r="R158" s="22"/>
      <c r="S158" s="31">
        <f t="shared" si="66"/>
        <v>1</v>
      </c>
      <c r="T158" s="46" t="str">
        <f t="shared" si="51"/>
        <v>Southbound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6" t="str">
        <f t="shared" si="52"/>
        <v>https://d0f6bd738d7f1b3e5a7ca70fe4ff75f0.us-east-1.aws.found.io/app/kibana#/discover/Steve-Slow-Train-Analysis-(2080s-and-2083s)?_g=(refreshInterval:(display:Off,pause:!f,section:0,value:0),time:(from:'2017-03-20T04:08:32-0600',mode:absolute,to:'2017-03-20T06:25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8" s="187" t="str">
        <f t="shared" si="53"/>
        <v>N</v>
      </c>
      <c r="X158" s="187">
        <f t="shared" si="54"/>
        <v>556</v>
      </c>
      <c r="Y158" s="62">
        <f t="shared" si="55"/>
        <v>5.8691000000000004</v>
      </c>
      <c r="Z158" s="62">
        <f t="shared" si="64"/>
        <v>6.2199999999999998E-2</v>
      </c>
      <c r="AA158" s="62">
        <f t="shared" si="56"/>
        <v>5.8069000000000006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7"/>
        <v>0800-20</v>
      </c>
      <c r="AE158" s="85" t="str">
        <f t="shared" si="58"/>
        <v>aws s3 cp s3://rtdc.mdm.uploadarchive.raw/RTDC4032/ "%USERPROFILE%\AppData\Local\Temp\OnboardLogs"\RTDC4032\2017-03-20 --exclude "*" --recursive --include "*20170320*" &amp; "%USERPROFILE%\Documents\GitHub\mrs-test-scripts\Headless Mode &amp; Sideloading\WalkAndUnGZ.bat" "%USERPROFILE%\AppData\Local\Temp\OnboardLogs"\RTDC4032\2017-03-20 &amp; 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</v>
      </c>
      <c r="AF158" s="82" t="str">
        <f t="shared" si="59"/>
        <v>"C:\Program Files (x86)\AstroGrep\AstroGrep.exe" /e /r /s /spath="%USERPROFILE%\AppData\Local\Temp\OnboardLogs" /stypes="app*4032*20170320*" /stext=" 11:.+((SYSTEM_STATE.+slice.+state.+changed )|(ment ac)|(multiple cpu faults)|(system.+state.+changed )|(\[timeout)|(PRM\|1\|D)|(kpr)|(kdp)|(\|lc)|(penalty))"</v>
      </c>
      <c r="AG158" s="1" t="str">
        <f t="shared" si="60"/>
        <v>NW</v>
      </c>
      <c r="AH158" s="86" t="str">
        <f t="shared" si="61"/>
        <v>"%USERPROFILE%\Documents\GitHub\eaglep3\Utilities\RefineRTDCRunTimes.py" --tripid 800-20 --locoid 4032 --swversion DE.1.0.9.0 --startMP 300:58691 --initTime 2017-03-20T05:08:32 --startdatetime 2017-03-20T05:10:15 --delay 1 --endMP 204:622 --enddatetime 2017-03-20T05:25:29 --enforcementcount 0 &gt;&gt;C:\Users\stu\Documents\GitHub\eaglep3-reporting\EC\2017-03-20-refined-times.txt</v>
      </c>
      <c r="AI158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{"issue":{"subject":"","project_id":79,"tracker_id":40,"status_id":1,"priority_id":2,"assigned_to_id":23,"start_date":"2017-03-20","description":"","custom_fields":[{"id":1,"name":"Subdivision","value":"NW"},{"id":4,"name":"Milepost","value":"0.0622"},{"id":17,"name":"Train ID","value":"800-20"},{"id":16,"name":"Locomotive ID","value":"4032"},{"id":130,"name":"Impact","value":""},{"id":150,"name":"Time of Event (Mountain Time)","value":"05:25:29"},{"id":151,"name":"Denver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63"/>
        <v>start /low /b %USERPROFILE%\Documents\GitHub\eaglep3\Utilities\DownloadLogsFromS3.py --loco 4032 --day 2017-03-20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"%USERPROFILE%\AppData\Local\Temp\OnboardLogs"\RTDC4032\*4032*20170320* | grep -SE "(Enforcement Action)|(\[TIMEOUT)|(CHR.+\|PRM\|1\|D.+(SWITCH|SIGNAL).+UNKNOWN)" - &gt;&gt; 2017-03-20-UncaughtWiMAX.txt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3" t="s">
        <v>598</v>
      </c>
      <c r="B159" s="7">
        <v>4031</v>
      </c>
      <c r="C159" s="21" t="s">
        <v>222</v>
      </c>
      <c r="D159" s="21" t="s">
        <v>926</v>
      </c>
      <c r="E159" s="13">
        <v>42814.241030092591</v>
      </c>
      <c r="F159" s="13">
        <v>42814.243935185186</v>
      </c>
      <c r="G159" s="7">
        <v>1</v>
      </c>
      <c r="H159" s="21" t="s">
        <v>927</v>
      </c>
      <c r="I159" s="13">
        <v>42814.253819444442</v>
      </c>
      <c r="J159" s="7">
        <v>0</v>
      </c>
      <c r="K159" s="98" t="str">
        <f t="shared" si="49"/>
        <v>4031/4032</v>
      </c>
      <c r="L159" s="21" t="str">
        <f>VLOOKUP(A159,'Trips&amp;Operators'!$C$1:$G$99999,5,FALSE)</f>
        <v>DAVIS WENDY</v>
      </c>
      <c r="M159" s="6">
        <f t="shared" si="50"/>
        <v>9.8842592560686171E-3</v>
      </c>
      <c r="N159" s="7">
        <f t="shared" si="65"/>
        <v>14.233333328738809</v>
      </c>
      <c r="O159" s="7"/>
      <c r="P159" s="7"/>
      <c r="Q159" s="22"/>
      <c r="R159" s="22"/>
      <c r="S159" s="31">
        <f t="shared" si="66"/>
        <v>1</v>
      </c>
      <c r="T159" s="46" t="str">
        <f t="shared" si="51"/>
        <v>NorthBound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6" t="str">
        <f t="shared" si="52"/>
        <v>https://d0f6bd738d7f1b3e5a7ca70fe4ff75f0.us-east-1.aws.found.io/app/kibana#/discover/Steve-Slow-Train-Analysis-(2080s-and-2083s)?_g=(refreshInterval:(display:Off,pause:!f,section:0,value:0),time:(from:'2017-03-20T04:47:05-0600',mode:absolute,to:'2017-03-20T07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9" s="187" t="str">
        <f t="shared" si="53"/>
        <v>N</v>
      </c>
      <c r="X159" s="187">
        <f t="shared" si="54"/>
        <v>1</v>
      </c>
      <c r="Y159" s="62">
        <f t="shared" si="55"/>
        <v>9.2200000000000004E-2</v>
      </c>
      <c r="Z159" s="62">
        <f t="shared" si="64"/>
        <v>5.9017999999999997</v>
      </c>
      <c r="AA159" s="62">
        <f t="shared" si="56"/>
        <v>5.8095999999999997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7"/>
        <v>0801-20</v>
      </c>
      <c r="AE159" s="85" t="str">
        <f t="shared" si="58"/>
        <v>aws s3 cp s3://rtdc.mdm.uploadarchive.raw/RTDC4031/ "%USERPROFILE%\AppData\Local\Temp\OnboardLogs"\RTDC4031\2017-03-20 --exclude "*" --recursive --include "*20170320*" &amp; "%USERPROFILE%\Documents\GitHub\mrs-test-scripts\Headless Mode &amp; Sideloading\WalkAndUnGZ.bat" "%USERPROFILE%\AppData\Local\Temp\OnboardLogs"\RTDC4031\2017-03-20 &amp; 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</v>
      </c>
      <c r="AF159" s="82" t="str">
        <f t="shared" si="59"/>
        <v>"C:\Program Files (x86)\AstroGrep\AstroGrep.exe" /e /r /s /spath="%USERPROFILE%\AppData\Local\Temp\OnboardLogs" /stypes="app*4031*20170320*" /stext=" 12:.+((SYSTEM_STATE.+slice.+state.+changed )|(ment ac)|(multiple cpu faults)|(system.+state.+changed )|(\[timeout)|(PRM\|1\|D)|(kpr)|(kdp)|(\|lc)|(penalty))"</v>
      </c>
      <c r="AG159" s="1" t="str">
        <f t="shared" si="60"/>
        <v>NW</v>
      </c>
      <c r="AH159" s="86" t="str">
        <f t="shared" si="61"/>
        <v>"%USERPROFILE%\Documents\GitHub\eaglep3\Utilities\RefineRTDCRunTimes.py" --tripid 801-20 --locoid 4031 --swversion DE.1.0.9.0 --startMP 204:922 --initTime 2017-03-20T05:47:05 --startdatetime 2017-03-20T05:51:16 --delay 1 --endMP 300:59018 --enddatetime 2017-03-20T06:05:30 --enforcementcount 0 &gt;&gt;C:\Users\stu\Documents\GitHub\eaglep3-reporting\EC\2017-03-20-refined-times.txt</v>
      </c>
      <c r="AI159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{"issue":{"subject":"","project_id":79,"tracker_id":40,"status_id":1,"priority_id":2,"assigned_to_id":23,"start_date":"2017-03-20","description":"","custom_fields":[{"id":1,"name":"Subdivision","value":"NW"},{"id":4,"name":"Milepost","value":"5.9018"},{"id":17,"name":"Train ID","value":"801-20"},{"id":16,"name":"Locomotive ID","value":"4031"},{"id":130,"name":"Impact","value":""},{"id":150,"name":"Time of Event (Mountain Time)","value":"06:05:30"},{"id":151,"name":"Denver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63"/>
        <v>start /low /b %USERPROFILE%\Documents\GitHub\eaglep3\Utilities\DownloadLogsFromS3.py --loco 4031 --day 2017-03-20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"%USERPROFILE%\AppData\Local\Temp\OnboardLogs"\RTDC4031\*4031*20170320* | grep -SE "(Enforcement Action)|(\[TIMEOUT)|(CHR.+\|PRM\|1\|D.+(SWITCH|SIGNAL).+UNKNOWN)" - &gt;&gt; 2017-03-20-UncaughtWiMAX.txt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3" t="s">
        <v>599</v>
      </c>
      <c r="B160" s="7">
        <v>4032</v>
      </c>
      <c r="C160" s="21" t="s">
        <v>222</v>
      </c>
      <c r="D160" s="21" t="s">
        <v>928</v>
      </c>
      <c r="E160" s="13">
        <v>42814.254965277774</v>
      </c>
      <c r="F160" s="13">
        <v>42814.256030092591</v>
      </c>
      <c r="G160" s="7">
        <v>1</v>
      </c>
      <c r="H160" s="21" t="s">
        <v>929</v>
      </c>
      <c r="I160" s="13">
        <v>42814.26902777778</v>
      </c>
      <c r="J160" s="7">
        <v>0</v>
      </c>
      <c r="K160" s="98" t="str">
        <f t="shared" si="49"/>
        <v>4031/4032</v>
      </c>
      <c r="L160" s="21" t="str">
        <f>VLOOKUP(A160,'Trips&amp;Operators'!$C$1:$G$99999,5,FALSE)</f>
        <v>DAVIS WENDY</v>
      </c>
      <c r="M160" s="6">
        <f t="shared" si="50"/>
        <v>1.2997685189475305E-2</v>
      </c>
      <c r="N160" s="7">
        <f t="shared" si="65"/>
        <v>18.71666667284444</v>
      </c>
      <c r="O160" s="7"/>
      <c r="P160" s="7"/>
      <c r="Q160" s="22"/>
      <c r="R160" s="22"/>
      <c r="S160" s="31">
        <f t="shared" si="66"/>
        <v>1</v>
      </c>
      <c r="T160" s="46" t="str">
        <f t="shared" si="51"/>
        <v>Southbound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 t="shared" si="52"/>
        <v>https://d0f6bd738d7f1b3e5a7ca70fe4ff75f0.us-east-1.aws.found.io/app/kibana#/discover/Steve-Slow-Train-Analysis-(2080s-and-2083s)?_g=(refreshInterval:(display:Off,pause:!f,section:0,value:0),time:(from:'2017-03-20T05:07:09-0600',mode:absolute,to:'2017-03-20T07:27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0" s="187" t="str">
        <f t="shared" si="53"/>
        <v>N</v>
      </c>
      <c r="X160" s="187">
        <f t="shared" si="54"/>
        <v>1</v>
      </c>
      <c r="Y160" s="62">
        <f t="shared" si="55"/>
        <v>5.8697999999999997</v>
      </c>
      <c r="Z160" s="62">
        <f t="shared" si="64"/>
        <v>6.2600000000000003E-2</v>
      </c>
      <c r="AA160" s="62">
        <f t="shared" si="56"/>
        <v>5.8071999999999999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7"/>
        <v>0802-20</v>
      </c>
      <c r="AE160" s="85" t="str">
        <f t="shared" si="58"/>
        <v>aws s3 cp s3://rtdc.mdm.uploadarchive.raw/RTDC4032/ "%USERPROFILE%\AppData\Local\Temp\OnboardLogs"\RTDC4032\2017-03-20 --exclude "*" --recursive --include "*20170320*" &amp; "%USERPROFILE%\Documents\GitHub\mrs-test-scripts\Headless Mode &amp; Sideloading\WalkAndUnGZ.bat" "%USERPROFILE%\AppData\Local\Temp\OnboardLogs"\RTDC4032\2017-03-20 &amp; 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</v>
      </c>
      <c r="AF160" s="82" t="str">
        <f t="shared" si="59"/>
        <v>"C:\Program Files (x86)\AstroGrep\AstroGrep.exe" /e /r /s /spath="%USERPROFILE%\AppData\Local\Temp\OnboardLogs" /stypes="app*4032*20170320*" /stext=" 12:.+((SYSTEM_STATE.+slice.+state.+changed )|(ment ac)|(multiple cpu faults)|(system.+state.+changed )|(\[timeout)|(PRM\|1\|D)|(kpr)|(kdp)|(\|lc)|(penalty))"</v>
      </c>
      <c r="AG160" s="1" t="str">
        <f t="shared" si="60"/>
        <v>NW</v>
      </c>
      <c r="AH160" s="86" t="str">
        <f t="shared" si="61"/>
        <v>"%USERPROFILE%\Documents\GitHub\eaglep3\Utilities\RefineRTDCRunTimes.py" --tripid 802-20 --locoid 4032 --swversion DE.1.0.9.0 --startMP 300:58698 --initTime 2017-03-20T06:07:09 --startdatetime 2017-03-20T06:08:41 --delay 1 --endMP 204:626 --enddatetime 2017-03-20T06:27:24 --enforcementcount 0 &gt;&gt;C:\Users\stu\Documents\GitHub\eaglep3-reporting\EC\2017-03-20-refined-times.txt</v>
      </c>
      <c r="AI160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{"issue":{"subject":"","project_id":79,"tracker_id":40,"status_id":1,"priority_id":2,"assigned_to_id":23,"start_date":"2017-03-20","description":"","custom_fields":[{"id":1,"name":"Subdivision","value":"NW"},{"id":4,"name":"Milepost","value":"0.0626"},{"id":17,"name":"Train ID","value":"802-20"},{"id":16,"name":"Locomotive ID","value":"4032"},{"id":130,"name":"Impact","value":""},{"id":150,"name":"Time of Event (Mountain Time)","value":"06:27:24"},{"id":151,"name":"Denver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63"/>
        <v>start /low /b %USERPROFILE%\Documents\GitHub\eaglep3\Utilities\DownloadLogsFromS3.py --loco 4032 --day 2017-03-20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"%USERPROFILE%\AppData\Local\Temp\OnboardLogs"\RTDC4032\*4032*20170320* | grep -SE "(Enforcement Action)|(\[TIMEOUT)|(CHR.+\|PRM\|1\|D.+(SWITCH|SIGNAL).+UNKNOWN)" - &gt;&gt; 2017-03-20-UncaughtWiMAX.txt</v>
      </c>
    </row>
    <row r="161" spans="1:91" s="20" customFormat="1" x14ac:dyDescent="0.25">
      <c r="A161" s="33" t="s">
        <v>601</v>
      </c>
      <c r="B161" s="7">
        <v>4039</v>
      </c>
      <c r="C161" s="21" t="s">
        <v>222</v>
      </c>
      <c r="D161" s="21" t="s">
        <v>930</v>
      </c>
      <c r="E161" s="13">
        <v>42814.279421296298</v>
      </c>
      <c r="F161" s="13">
        <v>42814.280810185184</v>
      </c>
      <c r="G161" s="7">
        <v>1</v>
      </c>
      <c r="H161" s="21" t="s">
        <v>931</v>
      </c>
      <c r="I161" s="13">
        <v>42814.289803240739</v>
      </c>
      <c r="J161" s="7">
        <v>0</v>
      </c>
      <c r="K161" s="98" t="str">
        <f t="shared" si="49"/>
        <v>4039/4040</v>
      </c>
      <c r="L161" s="21" t="str">
        <f>VLOOKUP(A161,'Trips&amp;Operators'!$C$1:$G$99999,5,FALSE)</f>
        <v>SULLIVAN BRANDON</v>
      </c>
      <c r="M161" s="6">
        <f t="shared" si="50"/>
        <v>8.9930555550381541E-3</v>
      </c>
      <c r="N161" s="7">
        <f t="shared" si="65"/>
        <v>12.949999999254942</v>
      </c>
      <c r="O161" s="7"/>
      <c r="P161" s="7"/>
      <c r="Q161" s="22"/>
      <c r="R161" s="22"/>
      <c r="S161" s="31">
        <f t="shared" si="66"/>
        <v>1</v>
      </c>
      <c r="T161" s="46" t="str">
        <f t="shared" si="51"/>
        <v>Southbound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52"/>
        <v>https://d0f6bd738d7f1b3e5a7ca70fe4ff75f0.us-east-1.aws.found.io/app/kibana#/discover/Steve-Slow-Train-Analysis-(2080s-and-2083s)?_g=(refreshInterval:(display:Off,pause:!f,section:0,value:0),time:(from:'2017-03-20T05:42:22-0600',mode:absolute,to:'2017-03-20T07:57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1" s="187" t="str">
        <f t="shared" si="53"/>
        <v>N</v>
      </c>
      <c r="X161" s="187">
        <f t="shared" ref="X161:X164" si="67">VALUE(LEFT(AD161,4))-VALUE(LEFT(AD160,4))</f>
        <v>2</v>
      </c>
      <c r="Y161" s="62">
        <f t="shared" si="55"/>
        <v>5.8701999999999996</v>
      </c>
      <c r="Z161" s="62">
        <f t="shared" si="64"/>
        <v>6.7299999999999999E-2</v>
      </c>
      <c r="AA161" s="62">
        <f t="shared" si="56"/>
        <v>5.8028999999999993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7"/>
        <v>0804-20</v>
      </c>
      <c r="AE161" s="85" t="str">
        <f t="shared" si="58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161" s="82" t="str">
        <f t="shared" si="59"/>
        <v>"C:\Program Files (x86)\AstroGrep\AstroGrep.exe" /e /r /s /spath="%USERPROFILE%\AppData\Local\Temp\OnboardLogs" /stypes="app*4039*20170320*" /stext=" 12:.+((SYSTEM_STATE.+slice.+state.+changed )|(ment ac)|(multiple cpu faults)|(system.+state.+changed )|(\[timeout)|(PRM\|1\|D)|(kpr)|(kdp)|(\|lc)|(penalty))"</v>
      </c>
      <c r="AG161" s="1" t="str">
        <f t="shared" si="60"/>
        <v>NW</v>
      </c>
      <c r="AH161" s="86" t="str">
        <f t="shared" si="61"/>
        <v>"%USERPROFILE%\Documents\GitHub\eaglep3\Utilities\RefineRTDCRunTimes.py" --tripid 804-20 --locoid 4039 --swversion DE.1.0.9.0 --startMP 300:58702 --initTime 2017-03-20T06:42:22 --startdatetime 2017-03-20T06:44:22 --delay 1 --endMP 204:673 --enddatetime 2017-03-20T06:57:19 --enforcementcount 0 &gt;&gt;C:\Users\stu\Documents\GitHub\eaglep3-reporting\EC\2017-03-20-refined-times.txt</v>
      </c>
      <c r="AI161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{"issue":{"subject":"","project_id":79,"tracker_id":40,"status_id":1,"priority_id":2,"assigned_to_id":23,"start_date":"2017-03-20","description":"","custom_fields":[{"id":1,"name":"Subdivision","value":"NW"},{"id":4,"name":"Milepost","value":"0.0673"},{"id":17,"name":"Train ID","value":"804-20"},{"id":16,"name":"Locomotive ID","value":"4039"},{"id":130,"name":"Impact","value":""},{"id":150,"name":"Time of Event (Mountain Time)","value":"06:57:19"},{"id":151,"name":"Denver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63"/>
        <v>start /low /b %USERPROFILE%\Documents\GitHub\eaglep3\Utilities\DownloadLogsFromS3.py --loco 4039 --day 2017-03-20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"%USERPROFILE%\AppData\Local\Temp\OnboardLogs"\RTDC4039\*4039*20170320* | grep -SE "(Enforcement Action)|(\[TIMEOUT)|(CHR.+\|PRM\|1\|D.+(SWITCH|SIGNAL).+UNKNOWN)" - &gt;&gt; 2017-03-20-UncaughtWiMAX.txt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3" t="s">
        <v>604</v>
      </c>
      <c r="B162" s="7">
        <v>4031</v>
      </c>
      <c r="C162" s="21" t="s">
        <v>222</v>
      </c>
      <c r="D162" s="21" t="s">
        <v>932</v>
      </c>
      <c r="E162" s="13">
        <v>42814.282210648147</v>
      </c>
      <c r="F162" s="13">
        <v>42814.285601851851</v>
      </c>
      <c r="G162" s="7">
        <v>1</v>
      </c>
      <c r="H162" s="21" t="s">
        <v>933</v>
      </c>
      <c r="I162" s="13">
        <v>42814.296076388891</v>
      </c>
      <c r="J162" s="7">
        <v>0</v>
      </c>
      <c r="K162" s="98" t="str">
        <f t="shared" si="49"/>
        <v>4031/4032</v>
      </c>
      <c r="L162" s="21" t="str">
        <f>VLOOKUP(A162,'Trips&amp;Operators'!$C$1:$G$99999,5,FALSE)</f>
        <v>DAVIS WENDY</v>
      </c>
      <c r="M162" s="6">
        <f t="shared" si="50"/>
        <v>1.0474537040863652E-2</v>
      </c>
      <c r="N162" s="7">
        <f t="shared" si="65"/>
        <v>15.083333338843659</v>
      </c>
      <c r="O162" s="7"/>
      <c r="P162" s="7"/>
      <c r="Q162" s="22"/>
      <c r="R162" s="22"/>
      <c r="S162" s="31">
        <f t="shared" si="66"/>
        <v>1</v>
      </c>
      <c r="T162" s="46" t="str">
        <f t="shared" si="51"/>
        <v>NorthBound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52"/>
        <v>https://d0f6bd738d7f1b3e5a7ca70fe4ff75f0.us-east-1.aws.found.io/app/kibana#/discover/Steve-Slow-Train-Analysis-(2080s-and-2083s)?_g=(refreshInterval:(display:Off,pause:!f,section:0,value:0),time:(from:'2017-03-20T05:46:23-0600',mode:absolute,to:'2017-03-20T08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2" s="187" t="str">
        <f t="shared" si="53"/>
        <v>N</v>
      </c>
      <c r="X162" s="187">
        <f t="shared" si="67"/>
        <v>1</v>
      </c>
      <c r="Y162" s="62">
        <f t="shared" si="55"/>
        <v>9.1999999999999998E-2</v>
      </c>
      <c r="Z162" s="62">
        <f t="shared" si="64"/>
        <v>5.8992000000000004</v>
      </c>
      <c r="AA162" s="62">
        <f t="shared" si="56"/>
        <v>5.8072000000000008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7"/>
        <v>0805-20</v>
      </c>
      <c r="AE162" s="85" t="str">
        <f t="shared" si="58"/>
        <v>aws s3 cp s3://rtdc.mdm.uploadarchive.raw/RTDC4031/ "%USERPROFILE%\AppData\Local\Temp\OnboardLogs"\RTDC4031\2017-03-20 --exclude "*" --recursive --include "*20170320*" &amp; "%USERPROFILE%\Documents\GitHub\mrs-test-scripts\Headless Mode &amp; Sideloading\WalkAndUnGZ.bat" "%USERPROFILE%\AppData\Local\Temp\OnboardLogs"\RTDC4031\2017-03-20 &amp; 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</v>
      </c>
      <c r="AF162" s="82" t="str">
        <f t="shared" si="59"/>
        <v>"C:\Program Files (x86)\AstroGrep\AstroGrep.exe" /e /r /s /spath="%USERPROFILE%\AppData\Local\Temp\OnboardLogs" /stypes="app*4031*20170320*" /stext=" 13:.+((SYSTEM_STATE.+slice.+state.+changed )|(ment ac)|(multiple cpu faults)|(system.+state.+changed )|(\[timeout)|(PRM\|1\|D)|(kpr)|(kdp)|(\|lc)|(penalty))"</v>
      </c>
      <c r="AG162" s="1" t="str">
        <f t="shared" si="60"/>
        <v>NW</v>
      </c>
      <c r="AH162" s="86" t="str">
        <f t="shared" si="61"/>
        <v>"%USERPROFILE%\Documents\GitHub\eaglep3\Utilities\RefineRTDCRunTimes.py" --tripid 805-20 --locoid 4031 --swversion DE.1.0.9.0 --startMP 204:920 --initTime 2017-03-20T06:46:23 --startdatetime 2017-03-20T06:51:16 --delay 1 --endMP 300:58992 --enddatetime 2017-03-20T07:06:21 --enforcementcount 0 &gt;&gt;C:\Users\stu\Documents\GitHub\eaglep3-reporting\EC\2017-03-20-refined-times.txt</v>
      </c>
      <c r="AI162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{"issue":{"subject":"","project_id":79,"tracker_id":40,"status_id":1,"priority_id":2,"assigned_to_id":23,"start_date":"2017-03-20","description":"","custom_fields":[{"id":1,"name":"Subdivision","value":"NW"},{"id":4,"name":"Milepost","value":"5.8992"},{"id":17,"name":"Train ID","value":"805-20"},{"id":16,"name":"Locomotive ID","value":"4031"},{"id":130,"name":"Impact","value":""},{"id":150,"name":"Time of Event (Mountain Time)","value":"07:06:21"},{"id":151,"name":"Denver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63"/>
        <v>start /low /b %USERPROFILE%\Documents\GitHub\eaglep3\Utilities\DownloadLogsFromS3.py --loco 4031 --day 2017-03-20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"%USERPROFILE%\AppData\Local\Temp\OnboardLogs"\RTDC4031\*4031*20170320* | grep -SE "(Enforcement Action)|(\[TIMEOUT)|(CHR.+\|PRM\|1\|D.+(SWITCH|SIGNAL).+UNKNOWN)" - &gt;&gt; 2017-03-20-UncaughtWiMAX.txt</v>
      </c>
    </row>
    <row r="163" spans="1:91" x14ac:dyDescent="0.25">
      <c r="A163" s="33" t="s">
        <v>605</v>
      </c>
      <c r="B163" s="7">
        <v>4032</v>
      </c>
      <c r="C163" s="21" t="s">
        <v>222</v>
      </c>
      <c r="D163" s="21" t="s">
        <v>934</v>
      </c>
      <c r="E163" s="13">
        <v>42814.297349537039</v>
      </c>
      <c r="F163" s="13">
        <v>42814.298460648148</v>
      </c>
      <c r="G163" s="7">
        <v>1</v>
      </c>
      <c r="H163" s="21" t="s">
        <v>925</v>
      </c>
      <c r="I163" s="13">
        <v>42814.310115740744</v>
      </c>
      <c r="J163" s="7">
        <v>0</v>
      </c>
      <c r="K163" s="98" t="str">
        <f t="shared" si="49"/>
        <v>4031/4032</v>
      </c>
      <c r="L163" s="21" t="str">
        <f>VLOOKUP(A163,'Trips&amp;Operators'!$C$1:$G$99999,5,FALSE)</f>
        <v>DAVIS WENDY</v>
      </c>
      <c r="M163" s="6">
        <f t="shared" si="50"/>
        <v>1.1655092595901806E-2</v>
      </c>
      <c r="N163" s="7">
        <f t="shared" si="65"/>
        <v>16.783333338098601</v>
      </c>
      <c r="O163" s="7"/>
      <c r="P163" s="7"/>
      <c r="Q163" s="22"/>
      <c r="R163" s="22"/>
      <c r="S163" s="31">
        <f t="shared" si="66"/>
        <v>1</v>
      </c>
      <c r="T163" s="46" t="str">
        <f t="shared" si="51"/>
        <v>Southbound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52"/>
        <v>https://d0f6bd738d7f1b3e5a7ca70fe4ff75f0.us-east-1.aws.found.io/app/kibana#/discover/Steve-Slow-Train-Analysis-(2080s-and-2083s)?_g=(refreshInterval:(display:Off,pause:!f,section:0,value:0),time:(from:'2017-03-20T06:08:11-0600',mode:absolute,to:'2017-03-20T08:26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3" s="187" t="str">
        <f t="shared" si="53"/>
        <v>N</v>
      </c>
      <c r="X163" s="187">
        <f t="shared" si="67"/>
        <v>1</v>
      </c>
      <c r="Y163" s="62">
        <f t="shared" si="55"/>
        <v>5.8704000000000001</v>
      </c>
      <c r="Z163" s="62">
        <f t="shared" si="64"/>
        <v>6.2199999999999998E-2</v>
      </c>
      <c r="AA163" s="62">
        <f t="shared" si="56"/>
        <v>5.8082000000000003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7"/>
        <v>0806-20</v>
      </c>
      <c r="AE163" s="85" t="str">
        <f t="shared" si="58"/>
        <v>aws s3 cp s3://rtdc.mdm.uploadarchive.raw/RTDC4032/ "%USERPROFILE%\AppData\Local\Temp\OnboardLogs"\RTDC4032\2017-03-20 --exclude "*" --recursive --include "*20170320*" &amp; "%USERPROFILE%\Documents\GitHub\mrs-test-scripts\Headless Mode &amp; Sideloading\WalkAndUnGZ.bat" "%USERPROFILE%\AppData\Local\Temp\OnboardLogs"\RTDC4032\2017-03-20 &amp; 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</v>
      </c>
      <c r="AF163" s="82" t="str">
        <f t="shared" si="59"/>
        <v>"C:\Program Files (x86)\AstroGrep\AstroGrep.exe" /e /r /s /spath="%USERPROFILE%\AppData\Local\Temp\OnboardLogs" /stypes="app*4032*20170320*" /stext=" 13:.+((SYSTEM_STATE.+slice.+state.+changed )|(ment ac)|(multiple cpu faults)|(system.+state.+changed )|(\[timeout)|(PRM\|1\|D)|(kpr)|(kdp)|(\|lc)|(penalty))"</v>
      </c>
      <c r="AG163" s="1" t="str">
        <f t="shared" si="60"/>
        <v>NW</v>
      </c>
      <c r="AH163" s="86" t="str">
        <f t="shared" si="61"/>
        <v>"%USERPROFILE%\Documents\GitHub\eaglep3\Utilities\RefineRTDCRunTimes.py" --tripid 806-20 --locoid 4032 --swversion DE.1.0.9.0 --startMP 300:58704 --initTime 2017-03-20T07:08:11 --startdatetime 2017-03-20T07:09:47 --delay 1 --endMP 204:622 --enddatetime 2017-03-20T07:26:34 --enforcementcount 0 &gt;&gt;C:\Users\stu\Documents\GitHub\eaglep3-reporting\EC\2017-03-20-refined-times.txt</v>
      </c>
      <c r="AI163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{"issue":{"subject":"","project_id":79,"tracker_id":40,"status_id":1,"priority_id":2,"assigned_to_id":23,"start_date":"2017-03-20","description":"","custom_fields":[{"id":1,"name":"Subdivision","value":"NW"},{"id":4,"name":"Milepost","value":"0.0622"},{"id":17,"name":"Train ID","value":"806-20"},{"id":16,"name":"Locomotive ID","value":"4032"},{"id":130,"name":"Impact","value":""},{"id":150,"name":"Time of Event (Mountain Time)","value":"07:26:34"},{"id":151,"name":"Denver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63"/>
        <v>start /low /b %USERPROFILE%\Documents\GitHub\eaglep3\Utilities\DownloadLogsFromS3.py --loco 4032 --day 2017-03-20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"%USERPROFILE%\AppData\Local\Temp\OnboardLogs"\RTDC4032\*4032*20170320* | grep -SE "(Enforcement Action)|(\[TIMEOUT)|(CHR.+\|PRM\|1\|D.+(SWITCH|SIGNAL).+UNKNOWN)" - &gt;&gt; 2017-03-20-UncaughtWiMAX.txt</v>
      </c>
    </row>
    <row r="164" spans="1:91" x14ac:dyDescent="0.25">
      <c r="A164" s="33" t="s">
        <v>606</v>
      </c>
      <c r="B164" s="7">
        <v>4040</v>
      </c>
      <c r="C164" s="21" t="s">
        <v>222</v>
      </c>
      <c r="D164" s="21" t="s">
        <v>935</v>
      </c>
      <c r="E164" s="13">
        <v>42814.303472222222</v>
      </c>
      <c r="F164" s="13">
        <v>42814.307233796295</v>
      </c>
      <c r="G164" s="7">
        <v>1</v>
      </c>
      <c r="H164" s="21" t="s">
        <v>936</v>
      </c>
      <c r="I164" s="13">
        <v>42814.318622685183</v>
      </c>
      <c r="J164" s="7">
        <v>0</v>
      </c>
      <c r="K164" s="98" t="str">
        <f t="shared" si="49"/>
        <v>4039/4040</v>
      </c>
      <c r="L164" s="21" t="str">
        <f>VLOOKUP(A164,'Trips&amp;Operators'!$C$1:$G$99999,5,FALSE)</f>
        <v>SULLIVAN BRANDON</v>
      </c>
      <c r="M164" s="6">
        <f t="shared" si="50"/>
        <v>1.1388888888177462E-2</v>
      </c>
      <c r="N164" s="7">
        <f t="shared" si="65"/>
        <v>16.399999998975545</v>
      </c>
      <c r="O164" s="7"/>
      <c r="P164" s="7"/>
      <c r="Q164" s="22"/>
      <c r="R164" s="22"/>
      <c r="S164" s="31">
        <f t="shared" si="66"/>
        <v>1</v>
      </c>
      <c r="T164" s="46" t="str">
        <f t="shared" si="51"/>
        <v>NorthBound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52"/>
        <v>https://d0f6bd738d7f1b3e5a7ca70fe4ff75f0.us-east-1.aws.found.io/app/kibana#/discover/Steve-Slow-Train-Analysis-(2080s-and-2083s)?_g=(refreshInterval:(display:Off,pause:!f,section:0,value:0),time:(from:'2017-03-20T06:17:00-0600',mode:absolute,to:'2017-03-20T08:38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4" s="187" t="str">
        <f t="shared" si="53"/>
        <v>N</v>
      </c>
      <c r="X164" s="187">
        <f t="shared" si="67"/>
        <v>1</v>
      </c>
      <c r="Y164" s="62">
        <f t="shared" si="55"/>
        <v>9.7100000000000006E-2</v>
      </c>
      <c r="Z164" s="62">
        <f t="shared" si="64"/>
        <v>5.8917999999999999</v>
      </c>
      <c r="AA164" s="62">
        <f t="shared" si="56"/>
        <v>5.7946999999999997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7"/>
        <v>0807-20</v>
      </c>
      <c r="AE164" s="85" t="str">
        <f t="shared" si="58"/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AF164" s="82" t="str">
        <f t="shared" si="59"/>
        <v>"C:\Program Files (x86)\AstroGrep\AstroGrep.exe" /e /r /s /spath="%USERPROFILE%\AppData\Local\Temp\OnboardLogs" /stypes="app*4040*20170320*" /stext=" 13:.+((SYSTEM_STATE.+slice.+state.+changed )|(ment ac)|(multiple cpu faults)|(system.+state.+changed )|(\[timeout)|(PRM\|1\|D)|(kpr)|(kdp)|(\|lc)|(penalty))"</v>
      </c>
      <c r="AG164" s="1" t="str">
        <f t="shared" si="60"/>
        <v>NW</v>
      </c>
      <c r="AH164" s="86" t="str">
        <f t="shared" si="61"/>
        <v>"%USERPROFILE%\Documents\GitHub\eaglep3\Utilities\RefineRTDCRunTimes.py" --tripid 807-20 --locoid 4040 --swversion DE.1.0.9.0 --startMP 204:971 --initTime 2017-03-20T07:17:00 --startdatetime 2017-03-20T07:22:25 --delay 1 --endMP 300:58918 --enddatetime 2017-03-20T07:38:49 --enforcementcount 0 &gt;&gt;C:\Users\stu\Documents\GitHub\eaglep3-reporting\EC\2017-03-20-refined-times.txt</v>
      </c>
      <c r="AI164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{"issue":{"subject":"","project_id":79,"tracker_id":40,"status_id":1,"priority_id":2,"assigned_to_id":23,"start_date":"2017-03-20","description":"","custom_fields":[{"id":1,"name":"Subdivision","value":"NW"},{"id":4,"name":"Milepost","value":"5.8918"},{"id":17,"name":"Train ID","value":"807-20"},{"id":16,"name":"Locomotive ID","value":"4040"},{"id":130,"name":"Impact","value":""},{"id":150,"name":"Time of Event (Mountain Time)","value":"07:38:49"},{"id":151,"name":"Denver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63"/>
        <v>start /low /b %USERPROFILE%\Documents\GitHub\eaglep3\Utilities\DownloadLogsFromS3.py --loco 4040 --day 2017-03-20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"%USERPROFILE%\AppData\Local\Temp\OnboardLogs"\RTDC4040\*4040*20170320* | grep -SE "(Enforcement Action)|(\[TIMEOUT)|(CHR.+\|PRM\|1\|D.+(SWITCH|SIGNAL).+UNKNOWN)" - &gt;&gt; 2017-03-20-UncaughtWiMAX.txt</v>
      </c>
    </row>
    <row r="165" spans="1:91" x14ac:dyDescent="0.25">
      <c r="A165" s="33" t="s">
        <v>609</v>
      </c>
      <c r="B165" s="7">
        <v>4039</v>
      </c>
      <c r="C165" s="21" t="s">
        <v>222</v>
      </c>
      <c r="D165" s="21" t="s">
        <v>937</v>
      </c>
      <c r="E165" s="13">
        <v>42814.320138888892</v>
      </c>
      <c r="F165" s="13">
        <v>42814.322210648148</v>
      </c>
      <c r="G165" s="7">
        <v>2</v>
      </c>
      <c r="H165" s="21" t="s">
        <v>572</v>
      </c>
      <c r="I165" s="13">
        <v>42814.331909722219</v>
      </c>
      <c r="J165" s="7">
        <v>0</v>
      </c>
      <c r="K165" s="98" t="str">
        <f t="shared" si="49"/>
        <v>4039/4040</v>
      </c>
      <c r="L165" s="21" t="str">
        <f>VLOOKUP(A165,'Trips&amp;Operators'!$C$1:$G$99999,5,FALSE)</f>
        <v>SULLIVAN BRANDON</v>
      </c>
      <c r="M165" s="6">
        <f t="shared" si="50"/>
        <v>9.6990740712499246E-3</v>
      </c>
      <c r="N165" s="7">
        <f t="shared" si="65"/>
        <v>13.966666662599891</v>
      </c>
      <c r="O165" s="7"/>
      <c r="P165" s="7"/>
      <c r="Q165" s="22"/>
      <c r="R165" s="22"/>
      <c r="S165" s="31">
        <f t="shared" si="66"/>
        <v>1</v>
      </c>
      <c r="T165" s="46" t="str">
        <f t="shared" si="51"/>
        <v>Southbound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52"/>
        <v>https://d0f6bd738d7f1b3e5a7ca70fe4ff75f0.us-east-1.aws.found.io/app/kibana#/discover/Steve-Slow-Train-Analysis-(2080s-and-2083s)?_g=(refreshInterval:(display:Off,pause:!f,section:0,value:0),time:(from:'2017-03-20T06:41:00-0600',mode:absolute,to:'2017-03-20T08:57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5" s="187" t="str">
        <f t="shared" si="53"/>
        <v>N</v>
      </c>
      <c r="X165" s="187">
        <f t="shared" ref="X165:X196" si="68">VALUE(LEFT(AD165,4))-VALUE(LEFT(AD164,4))</f>
        <v>1</v>
      </c>
      <c r="Y165" s="62">
        <f t="shared" si="55"/>
        <v>5.8608000000000002</v>
      </c>
      <c r="Z165" s="62">
        <f t="shared" si="64"/>
        <v>7.6799999999999993E-2</v>
      </c>
      <c r="AA165" s="62">
        <f t="shared" si="56"/>
        <v>5.7839999999999998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7"/>
        <v>0808-20</v>
      </c>
      <c r="AE165" s="85" t="str">
        <f t="shared" si="58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165" s="82" t="str">
        <f t="shared" si="59"/>
        <v>"C:\Program Files (x86)\AstroGrep\AstroGrep.exe" /e /r /s /spath="%USERPROFILE%\AppData\Local\Temp\OnboardLogs" /stypes="app*4039*20170320*" /stext=" 13:.+((SYSTEM_STATE.+slice.+state.+changed )|(ment ac)|(multiple cpu faults)|(system.+state.+changed )|(\[timeout)|(PRM\|1\|D)|(kpr)|(kdp)|(\|lc)|(penalty))"</v>
      </c>
      <c r="AG165" s="1" t="str">
        <f t="shared" si="60"/>
        <v>NW</v>
      </c>
      <c r="AH165" s="86" t="str">
        <f t="shared" si="61"/>
        <v>"%USERPROFILE%\Documents\GitHub\eaglep3\Utilities\RefineRTDCRunTimes.py" --tripid 808-20 --locoid 4039 --swversion DE.1.0.9.0 --startMP 300:58608 --initTime 2017-03-20T07:41:00 --startdatetime 2017-03-20T07:43:59 --delay 2 --endMP 204:768 --enddatetime 2017-03-20T07:57:57 --enforcementcount 0 &gt;&gt;C:\Users\stu\Documents\GitHub\eaglep3-reporting\EC\2017-03-20-refined-times.txt</v>
      </c>
      <c r="AI165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{"issue":{"subject":"","project_id":79,"tracker_id":40,"status_id":1,"priority_id":2,"assigned_to_id":23,"start_date":"2017-03-20","description":"","custom_fields":[{"id":1,"name":"Subdivision","value":"NW"},{"id":4,"name":"Milepost","value":"0.0768"},{"id":17,"name":"Train ID","value":"808-20"},{"id":16,"name":"Locomotive ID","value":"4039"},{"id":130,"name":"Impact","value":""},{"id":150,"name":"Time of Event (Mountain Time)","value":"07:57:57"},{"id":151,"name":"Denver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63"/>
        <v>start /low /b %USERPROFILE%\Documents\GitHub\eaglep3\Utilities\DownloadLogsFromS3.py --loco 4039 --day 2017-03-20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"%USERPROFILE%\AppData\Local\Temp\OnboardLogs"\RTDC4039\*4039*20170320* | grep -SE "(Enforcement Action)|(\[TIMEOUT)|(CHR.+\|PRM\|1\|D.+(SWITCH|SIGNAL).+UNKNOWN)" - &gt;&gt; 2017-03-20-UncaughtWiMAX.txt</v>
      </c>
    </row>
    <row r="166" spans="1:91" x14ac:dyDescent="0.25">
      <c r="A166" s="33" t="s">
        <v>610</v>
      </c>
      <c r="B166" s="7">
        <v>4031</v>
      </c>
      <c r="C166" s="21" t="s">
        <v>222</v>
      </c>
      <c r="D166" s="21" t="s">
        <v>938</v>
      </c>
      <c r="E166" s="13">
        <v>42814.32408564815</v>
      </c>
      <c r="F166" s="13">
        <v>42814.327256944445</v>
      </c>
      <c r="G166" s="7">
        <v>1</v>
      </c>
      <c r="H166" s="21" t="s">
        <v>927</v>
      </c>
      <c r="I166" s="13">
        <v>42814.336423611108</v>
      </c>
      <c r="J166" s="7">
        <v>0</v>
      </c>
      <c r="K166" s="98" t="str">
        <f t="shared" si="49"/>
        <v>4031/4032</v>
      </c>
      <c r="L166" s="21" t="str">
        <f>VLOOKUP(A166,'Trips&amp;Operators'!$C$1:$G$99999,5,FALSE)</f>
        <v>DAVIS WENDY</v>
      </c>
      <c r="M166" s="6">
        <f t="shared" si="50"/>
        <v>9.1666666630771942E-3</v>
      </c>
      <c r="N166" s="7">
        <f t="shared" si="65"/>
        <v>13.19999999483116</v>
      </c>
      <c r="O166" s="7"/>
      <c r="P166" s="7"/>
      <c r="Q166" s="22"/>
      <c r="R166" s="22"/>
      <c r="S166" s="31">
        <f t="shared" si="66"/>
        <v>1</v>
      </c>
      <c r="T166" s="46" t="str">
        <f t="shared" si="51"/>
        <v>NorthBound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52"/>
        <v>https://d0f6bd738d7f1b3e5a7ca70fe4ff75f0.us-east-1.aws.found.io/app/kibana#/discover/Steve-Slow-Train-Analysis-(2080s-and-2083s)?_g=(refreshInterval:(display:Off,pause:!f,section:0,value:0),time:(from:'2017-03-20T06:46:41-0600',mode:absolute,to:'2017-03-20T09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6" s="187" t="str">
        <f t="shared" si="53"/>
        <v>N</v>
      </c>
      <c r="X166" s="187">
        <f t="shared" si="68"/>
        <v>1</v>
      </c>
      <c r="Y166" s="62">
        <f t="shared" si="55"/>
        <v>9.3399999999999997E-2</v>
      </c>
      <c r="Z166" s="62">
        <f t="shared" si="64"/>
        <v>5.9017999999999997</v>
      </c>
      <c r="AA166" s="62">
        <f t="shared" si="56"/>
        <v>5.8083999999999998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7"/>
        <v>0809-20</v>
      </c>
      <c r="AE166" s="85" t="str">
        <f t="shared" si="58"/>
        <v>aws s3 cp s3://rtdc.mdm.uploadarchive.raw/RTDC4031/ "%USERPROFILE%\AppData\Local\Temp\OnboardLogs"\RTDC4031\2017-03-20 --exclude "*" --recursive --include "*20170320*" &amp; "%USERPROFILE%\Documents\GitHub\mrs-test-scripts\Headless Mode &amp; Sideloading\WalkAndUnGZ.bat" "%USERPROFILE%\AppData\Local\Temp\OnboardLogs"\RTDC4031\2017-03-20 &amp; 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</v>
      </c>
      <c r="AF166" s="82" t="str">
        <f t="shared" si="59"/>
        <v>"C:\Program Files (x86)\AstroGrep\AstroGrep.exe" /e /r /s /spath="%USERPROFILE%\AppData\Local\Temp\OnboardLogs" /stypes="app*4031*20170320*" /stext=" 14:.+((SYSTEM_STATE.+slice.+state.+changed )|(ment ac)|(multiple cpu faults)|(system.+state.+changed )|(\[timeout)|(PRM\|1\|D)|(kpr)|(kdp)|(\|lc)|(penalty))"</v>
      </c>
      <c r="AG166" s="1" t="str">
        <f t="shared" si="60"/>
        <v>NW</v>
      </c>
      <c r="AH166" s="86" t="str">
        <f t="shared" si="61"/>
        <v>"%USERPROFILE%\Documents\GitHub\eaglep3\Utilities\RefineRTDCRunTimes.py" --tripid 809-20 --locoid 4031 --swversion DE.1.0.9.0 --startMP 204:934 --initTime 2017-03-20T07:46:41 --startdatetime 2017-03-20T07:51:15 --delay 1 --endMP 300:59018 --enddatetime 2017-03-20T08:04:27 --enforcementcount 0 &gt;&gt;C:\Users\stu\Documents\GitHub\eaglep3-reporting\EC\2017-03-20-refined-times.txt</v>
      </c>
      <c r="AI166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{"issue":{"subject":"","project_id":79,"tracker_id":40,"status_id":1,"priority_id":2,"assigned_to_id":23,"start_date":"2017-03-20","description":"","custom_fields":[{"id":1,"name":"Subdivision","value":"NW"},{"id":4,"name":"Milepost","value":"5.9018"},{"id":17,"name":"Train ID","value":"809-20"},{"id":16,"name":"Locomotive ID","value":"4031"},{"id":130,"name":"Impact","value":""},{"id":150,"name":"Time of Event (Mountain Time)","value":"08:04:27"},{"id":151,"name":"Denver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63"/>
        <v>start /low /b %USERPROFILE%\Documents\GitHub\eaglep3\Utilities\DownloadLogsFromS3.py --loco 4031 --day 2017-03-20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"%USERPROFILE%\AppData\Local\Temp\OnboardLogs"\RTDC4031\*4031*20170320* | grep -SE "(Enforcement Action)|(\[TIMEOUT)|(CHR.+\|PRM\|1\|D.+(SWITCH|SIGNAL).+UNKNOWN)" - &gt;&gt; 2017-03-20-UncaughtWiMAX.txt</v>
      </c>
    </row>
    <row r="167" spans="1:91" x14ac:dyDescent="0.25">
      <c r="A167" s="33" t="s">
        <v>611</v>
      </c>
      <c r="B167" s="7">
        <v>4032</v>
      </c>
      <c r="C167" s="21" t="s">
        <v>222</v>
      </c>
      <c r="D167" s="21" t="s">
        <v>928</v>
      </c>
      <c r="E167" s="13">
        <v>42814.337442129632</v>
      </c>
      <c r="F167" s="13">
        <v>42814.338495370372</v>
      </c>
      <c r="G167" s="7">
        <v>1</v>
      </c>
      <c r="H167" s="21" t="s">
        <v>941</v>
      </c>
      <c r="I167" s="13">
        <v>42814.351377314815</v>
      </c>
      <c r="J167" s="7">
        <v>0</v>
      </c>
      <c r="K167" s="98" t="str">
        <f t="shared" si="49"/>
        <v>4031/4032</v>
      </c>
      <c r="L167" s="21" t="str">
        <f>VLOOKUP(A167,'Trips&amp;Operators'!$C$1:$G$99999,5,FALSE)</f>
        <v>DAVIS WENDY</v>
      </c>
      <c r="M167" s="6">
        <f t="shared" si="50"/>
        <v>1.2881944443506654E-2</v>
      </c>
      <c r="N167" s="7">
        <f t="shared" si="65"/>
        <v>18.549999998649582</v>
      </c>
      <c r="O167" s="7"/>
      <c r="P167" s="7"/>
      <c r="Q167" s="22"/>
      <c r="R167" s="22"/>
      <c r="S167" s="31">
        <f t="shared" si="66"/>
        <v>1</v>
      </c>
      <c r="T167" s="46" t="str">
        <f t="shared" si="51"/>
        <v>Southbound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52"/>
        <v>https://d0f6bd738d7f1b3e5a7ca70fe4ff75f0.us-east-1.aws.found.io/app/kibana#/discover/Steve-Slow-Train-Analysis-(2080s-and-2083s)?_g=(refreshInterval:(display:Off,pause:!f,section:0,value:0),time:(from:'2017-03-20T07:05:55-0600',mode:absolute,to:'2017-03-20T09:25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7" s="187" t="str">
        <f t="shared" si="53"/>
        <v>N</v>
      </c>
      <c r="X167" s="187">
        <f t="shared" si="68"/>
        <v>1</v>
      </c>
      <c r="Y167" s="62">
        <f t="shared" si="55"/>
        <v>5.8697999999999997</v>
      </c>
      <c r="Z167" s="62">
        <f t="shared" si="64"/>
        <v>6.3799999999999996E-2</v>
      </c>
      <c r="AA167" s="62">
        <f t="shared" si="56"/>
        <v>5.806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7"/>
        <v>0810-20</v>
      </c>
      <c r="AE167" s="85" t="str">
        <f t="shared" si="58"/>
        <v>aws s3 cp s3://rtdc.mdm.uploadarchive.raw/RTDC4032/ "%USERPROFILE%\AppData\Local\Temp\OnboardLogs"\RTDC4032\2017-03-20 --exclude "*" --recursive --include "*20170320*" &amp; "%USERPROFILE%\Documents\GitHub\mrs-test-scripts\Headless Mode &amp; Sideloading\WalkAndUnGZ.bat" "%USERPROFILE%\AppData\Local\Temp\OnboardLogs"\RTDC4032\2017-03-20 &amp; 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</v>
      </c>
      <c r="AF167" s="82" t="str">
        <f t="shared" si="59"/>
        <v>"C:\Program Files (x86)\AstroGrep\AstroGrep.exe" /e /r /s /spath="%USERPROFILE%\AppData\Local\Temp\OnboardLogs" /stypes="app*4032*20170320*" /stext=" 14:.+((SYSTEM_STATE.+slice.+state.+changed )|(ment ac)|(multiple cpu faults)|(system.+state.+changed )|(\[timeout)|(PRM\|1\|D)|(kpr)|(kdp)|(\|lc)|(penalty))"</v>
      </c>
      <c r="AG167" s="1" t="str">
        <f t="shared" si="60"/>
        <v>NW</v>
      </c>
      <c r="AH167" s="86" t="str">
        <f t="shared" si="61"/>
        <v>"%USERPROFILE%\Documents\GitHub\eaglep3\Utilities\RefineRTDCRunTimes.py" --tripid 810-20 --locoid 4032 --swversion DE.1.0.9.0 --startMP 300:58698 --initTime 2017-03-20T08:05:55 --startdatetime 2017-03-20T08:07:26 --delay 1 --endMP 204:638 --enddatetime 2017-03-20T08:25:59 --enforcementcount 0 &gt;&gt;C:\Users\stu\Documents\GitHub\eaglep3-reporting\EC\2017-03-20-refined-times.txt</v>
      </c>
      <c r="AI167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{"issue":{"subject":"","project_id":79,"tracker_id":40,"status_id":1,"priority_id":2,"assigned_to_id":23,"start_date":"2017-03-20","description":"","custom_fields":[{"id":1,"name":"Subdivision","value":"NW"},{"id":4,"name":"Milepost","value":"0.0638"},{"id":17,"name":"Train ID","value":"810-20"},{"id":16,"name":"Locomotive ID","value":"4032"},{"id":130,"name":"Impact","value":""},{"id":150,"name":"Time of Event (Mountain Time)","value":"08:25:59"},{"id":151,"name":"Denver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63"/>
        <v>start /low /b %USERPROFILE%\Documents\GitHub\eaglep3\Utilities\DownloadLogsFromS3.py --loco 4032 --day 2017-03-20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"%USERPROFILE%\AppData\Local\Temp\OnboardLogs"\RTDC4032\*4032*20170320* | grep -SE "(Enforcement Action)|(\[TIMEOUT)|(CHR.+\|PRM\|1\|D.+(SWITCH|SIGNAL).+UNKNOWN)" - &gt;&gt; 2017-03-20-UncaughtWiMAX.txt</v>
      </c>
    </row>
    <row r="168" spans="1:91" x14ac:dyDescent="0.25">
      <c r="A168" s="33" t="s">
        <v>612</v>
      </c>
      <c r="B168" s="7">
        <v>4040</v>
      </c>
      <c r="C168" s="21" t="s">
        <v>222</v>
      </c>
      <c r="D168" s="21" t="s">
        <v>505</v>
      </c>
      <c r="E168" s="13">
        <v>42814.346689814818</v>
      </c>
      <c r="F168" s="13">
        <v>42814.348252314812</v>
      </c>
      <c r="G168" s="7">
        <v>0</v>
      </c>
      <c r="H168" s="21" t="s">
        <v>434</v>
      </c>
      <c r="I168" s="13">
        <v>42814.357199074075</v>
      </c>
      <c r="J168" s="7">
        <v>0</v>
      </c>
      <c r="K168" s="98" t="str">
        <f t="shared" si="49"/>
        <v>4039/4040</v>
      </c>
      <c r="L168" s="21" t="str">
        <f>VLOOKUP(A168,'Trips&amp;Operators'!$C$1:$G$99999,5,FALSE)</f>
        <v>SULLIVAN BRANDON</v>
      </c>
      <c r="M168" s="6">
        <f t="shared" si="50"/>
        <v>8.9467592624714598E-3</v>
      </c>
      <c r="N168" s="7">
        <f t="shared" si="65"/>
        <v>12.883333337958902</v>
      </c>
      <c r="O168" s="7"/>
      <c r="P168" s="7"/>
      <c r="Q168" s="22"/>
      <c r="R168" s="22"/>
      <c r="S168" s="31">
        <f t="shared" si="66"/>
        <v>1</v>
      </c>
      <c r="T168" s="46" t="str">
        <f t="shared" si="51"/>
        <v>NorthBound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52"/>
        <v>https://d0f6bd738d7f1b3e5a7ca70fe4ff75f0.us-east-1.aws.found.io/app/kibana#/discover/Steve-Slow-Train-Analysis-(2080s-and-2083s)?_g=(refreshInterval:(display:Off,pause:!f,section:0,value:0),time:(from:'2017-03-20T07:19:14-0600',mode:absolute,to:'2017-03-20T09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8" s="187" t="str">
        <f t="shared" si="53"/>
        <v>N</v>
      </c>
      <c r="X168" s="187">
        <f t="shared" si="68"/>
        <v>1</v>
      </c>
      <c r="Y168" s="62">
        <f t="shared" si="55"/>
        <v>0.1032</v>
      </c>
      <c r="Z168" s="62">
        <f t="shared" si="64"/>
        <v>5.8925999999999998</v>
      </c>
      <c r="AA168" s="62">
        <f t="shared" si="56"/>
        <v>5.7893999999999997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7"/>
        <v>0811-20</v>
      </c>
      <c r="AE168" s="85" t="str">
        <f t="shared" si="58"/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AF168" s="82" t="str">
        <f t="shared" si="59"/>
        <v>"C:\Program Files (x86)\AstroGrep\AstroGrep.exe" /e /r /s /spath="%USERPROFILE%\AppData\Local\Temp\OnboardLogs" /stypes="app*4040*20170320*" /stext=" 14:.+((SYSTEM_STATE.+slice.+state.+changed )|(ment ac)|(multiple cpu faults)|(system.+state.+changed )|(\[timeout)|(PRM\|1\|D)|(kpr)|(kdp)|(\|lc)|(penalty))"</v>
      </c>
      <c r="AG168" s="1" t="str">
        <f t="shared" si="60"/>
        <v>NW</v>
      </c>
      <c r="AH168" s="86" t="str">
        <f t="shared" si="61"/>
        <v>"%USERPROFILE%\Documents\GitHub\eaglep3\Utilities\RefineRTDCRunTimes.py" --tripid 811-20 --locoid 4040 --swversion DE.1.0.9.0 --startMP 204:1032 --initTime 2017-03-20T08:19:14 --startdatetime 2017-03-20T08:21:29 --delay 0 --endMP 300:58926 --enddatetime 2017-03-20T08:34:22 --enforcementcount 0 &gt;&gt;C:\Users\stu\Documents\GitHub\eaglep3-reporting\EC\2017-03-20-refined-times.txt</v>
      </c>
      <c r="AI168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{"issue":{"subject":"","project_id":79,"tracker_id":40,"status_id":1,"priority_id":2,"assigned_to_id":23,"start_date":"2017-03-20","description":"","custom_fields":[{"id":1,"name":"Subdivision","value":"NW"},{"id":4,"name":"Milepost","value":"5.8926"},{"id":17,"name":"Train ID","value":"811-20"},{"id":16,"name":"Locomotive ID","value":"4040"},{"id":130,"name":"Impact","value":""},{"id":150,"name":"Time of Event (Mountain Time)","value":"08:34:22"},{"id":151,"name":"Denver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63"/>
        <v>start /low /b %USERPROFILE%\Documents\GitHub\eaglep3\Utilities\DownloadLogsFromS3.py --loco 4040 --day 2017-03-20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"%USERPROFILE%\AppData\Local\Temp\OnboardLogs"\RTDC4040\*4040*20170320* | grep -SE "(Enforcement Action)|(\[TIMEOUT)|(CHR.+\|PRM\|1\|D.+(SWITCH|SIGNAL).+UNKNOWN)" - &gt;&gt; 2017-03-20-UncaughtWiMAX.txt</v>
      </c>
    </row>
    <row r="169" spans="1:91" s="20" customFormat="1" x14ac:dyDescent="0.25">
      <c r="A169" s="33" t="s">
        <v>699</v>
      </c>
      <c r="B169" s="7">
        <v>4039</v>
      </c>
      <c r="C169" s="21" t="s">
        <v>222</v>
      </c>
      <c r="D169" s="21" t="s">
        <v>937</v>
      </c>
      <c r="E169" s="13">
        <v>42814.358402777776</v>
      </c>
      <c r="F169" s="13">
        <v>42814.360034722224</v>
      </c>
      <c r="G169" s="7">
        <v>1</v>
      </c>
      <c r="H169" s="21" t="s">
        <v>942</v>
      </c>
      <c r="I169" s="13">
        <v>42814.371296296296</v>
      </c>
      <c r="J169" s="7">
        <v>0</v>
      </c>
      <c r="K169" s="98" t="str">
        <f t="shared" si="49"/>
        <v>4039/4040</v>
      </c>
      <c r="L169" s="21" t="str">
        <f>VLOOKUP(A169,'Trips&amp;Operators'!$C$1:$G$99999,5,FALSE)</f>
        <v>SULLIVAN BRANDON</v>
      </c>
      <c r="M169" s="6">
        <f t="shared" si="50"/>
        <v>1.1261574072705116E-2</v>
      </c>
      <c r="N169" s="7">
        <f t="shared" si="65"/>
        <v>16.216666664695367</v>
      </c>
      <c r="O169" s="7"/>
      <c r="P169" s="7"/>
      <c r="Q169" s="22"/>
      <c r="R169" s="22"/>
      <c r="S169" s="31">
        <f t="shared" si="66"/>
        <v>1</v>
      </c>
      <c r="T169" s="46" t="str">
        <f t="shared" si="51"/>
        <v>Southbound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52"/>
        <v>https://d0f6bd738d7f1b3e5a7ca70fe4ff75f0.us-east-1.aws.found.io/app/kibana#/discover/Steve-Slow-Train-Analysis-(2080s-and-2083s)?_g=(refreshInterval:(display:Off,pause:!f,section:0,value:0),time:(from:'2017-03-20T07:36:06-0600',mode:absolute,to:'2017-03-20T09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9" s="187" t="str">
        <f t="shared" si="53"/>
        <v>N</v>
      </c>
      <c r="X169" s="187">
        <f t="shared" si="68"/>
        <v>1</v>
      </c>
      <c r="Y169" s="62">
        <f t="shared" si="55"/>
        <v>5.8608000000000002</v>
      </c>
      <c r="Z169" s="62">
        <f t="shared" si="64"/>
        <v>6.6600000000000006E-2</v>
      </c>
      <c r="AA169" s="62">
        <f t="shared" si="56"/>
        <v>5.7942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7"/>
        <v>0812-20</v>
      </c>
      <c r="AE169" s="85" t="str">
        <f t="shared" si="58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169" s="82" t="str">
        <f t="shared" si="59"/>
        <v>"C:\Program Files (x86)\AstroGrep\AstroGrep.exe" /e /r /s /spath="%USERPROFILE%\AppData\Local\Temp\OnboardLogs" /stypes="app*4039*20170320*" /stext=" 14:.+((SYSTEM_STATE.+slice.+state.+changed )|(ment ac)|(multiple cpu faults)|(system.+state.+changed )|(\[timeout)|(PRM\|1\|D)|(kpr)|(kdp)|(\|lc)|(penalty))"</v>
      </c>
      <c r="AG169" s="1" t="str">
        <f t="shared" si="60"/>
        <v>NW</v>
      </c>
      <c r="AH169" s="86" t="str">
        <f t="shared" si="61"/>
        <v>"%USERPROFILE%\Documents\GitHub\eaglep3\Utilities\RefineRTDCRunTimes.py" --tripid 812-20 --locoid 4039 --swversion DE.1.0.9.0 --startMP 300:58608 --initTime 2017-03-20T08:36:06 --startdatetime 2017-03-20T08:38:27 --delay 1 --endMP 204:666 --enddatetime 2017-03-20T08:54:40 --enforcementcount 0 &gt;&gt;C:\Users\stu\Documents\GitHub\eaglep3-reporting\EC\2017-03-20-refined-times.txt</v>
      </c>
      <c r="AI169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{"issue":{"subject":"","project_id":79,"tracker_id":40,"status_id":1,"priority_id":2,"assigned_to_id":23,"start_date":"2017-03-20","description":"","custom_fields":[{"id":1,"name":"Subdivision","value":"NW"},{"id":4,"name":"Milepost","value":"0.0666"},{"id":17,"name":"Train ID","value":"812-20"},{"id":16,"name":"Locomotive ID","value":"4039"},{"id":130,"name":"Impact","value":""},{"id":150,"name":"Time of Event (Mountain Time)","value":"08:54:40"},{"id":151,"name":"Denver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63"/>
        <v>start /low /b %USERPROFILE%\Documents\GitHub\eaglep3\Utilities\DownloadLogsFromS3.py --loco 4039 --day 2017-03-20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"%USERPROFILE%\AppData\Local\Temp\OnboardLogs"\RTDC4039\*4039*20170320* | grep -SE "(Enforcement Action)|(\[TIMEOUT)|(CHR.+\|PRM\|1\|D.+(SWITCH|SIGNAL).+UNKNOWN)" - &gt;&gt; 2017-03-20-UncaughtWiMAX.txt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3" t="s">
        <v>704</v>
      </c>
      <c r="B170" s="7">
        <v>4040</v>
      </c>
      <c r="C170" s="21" t="s">
        <v>222</v>
      </c>
      <c r="D170" s="21" t="s">
        <v>522</v>
      </c>
      <c r="E170" s="13">
        <v>42814.382187499999</v>
      </c>
      <c r="F170" s="13">
        <v>42814.389861111114</v>
      </c>
      <c r="G170" s="7">
        <v>1</v>
      </c>
      <c r="H170" s="21" t="s">
        <v>943</v>
      </c>
      <c r="I170" s="13">
        <v>42814.399976851855</v>
      </c>
      <c r="J170" s="7">
        <v>0</v>
      </c>
      <c r="K170" s="98" t="str">
        <f t="shared" si="49"/>
        <v>4039/4040</v>
      </c>
      <c r="L170" s="21" t="str">
        <f>VLOOKUP(A170,'Trips&amp;Operators'!$C$1:$G$99999,5,FALSE)</f>
        <v>SULLIVAN BRANDON</v>
      </c>
      <c r="M170" s="6">
        <f t="shared" si="50"/>
        <v>1.0115740740729962E-2</v>
      </c>
      <c r="N170" s="7">
        <f t="shared" si="65"/>
        <v>14.566666666651145</v>
      </c>
      <c r="O170" s="7"/>
      <c r="P170" s="7"/>
      <c r="Q170" s="22"/>
      <c r="R170" s="22"/>
      <c r="S170" s="31">
        <f t="shared" si="66"/>
        <v>1</v>
      </c>
      <c r="T170" s="46" t="str">
        <f t="shared" si="51"/>
        <v>NorthBound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52"/>
        <v>https://d0f6bd738d7f1b3e5a7ca70fe4ff75f0.us-east-1.aws.found.io/app/kibana#/discover/Steve-Slow-Train-Analysis-(2080s-and-2083s)?_g=(refreshInterval:(display:Off,pause:!f,section:0,value:0),time:(from:'2017-03-20T08:10:21-0600',mode:absolute,to:'2017-03-20T10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0" s="187" t="str">
        <f t="shared" si="53"/>
        <v>N</v>
      </c>
      <c r="X170" s="187">
        <f t="shared" si="68"/>
        <v>1</v>
      </c>
      <c r="Y170" s="62">
        <f t="shared" si="55"/>
        <v>9.3899999999999997E-2</v>
      </c>
      <c r="Z170" s="62">
        <f t="shared" si="64"/>
        <v>5.8909000000000002</v>
      </c>
      <c r="AA170" s="62">
        <f t="shared" si="56"/>
        <v>5.7970000000000006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7"/>
        <v>0813-20</v>
      </c>
      <c r="AE170" s="85" t="str">
        <f t="shared" si="58"/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AF170" s="82" t="str">
        <f t="shared" si="59"/>
        <v>"C:\Program Files (x86)\AstroGrep\AstroGrep.exe" /e /r /s /spath="%USERPROFILE%\AppData\Local\Temp\OnboardLogs" /stypes="app*4040*20170320*" /stext=" 15:.+((SYSTEM_STATE.+slice.+state.+changed )|(ment ac)|(multiple cpu faults)|(system.+state.+changed )|(\[timeout)|(PRM\|1\|D)|(kpr)|(kdp)|(\|lc)|(penalty))"</v>
      </c>
      <c r="AG170" s="1" t="str">
        <f t="shared" si="60"/>
        <v>NW</v>
      </c>
      <c r="AH170" s="86" t="str">
        <f t="shared" si="61"/>
        <v>"%USERPROFILE%\Documents\GitHub\eaglep3\Utilities\RefineRTDCRunTimes.py" --tripid 813-20 --locoid 4040 --swversion DE.1.0.9.0 --startMP 204:939 --initTime 2017-03-20T09:10:21 --startdatetime 2017-03-20T09:21:24 --delay 1 --endMP 300:58909 --enddatetime 2017-03-20T09:35:58 --enforcementcount 0 &gt;&gt;C:\Users\stu\Documents\GitHub\eaglep3-reporting\EC\2017-03-20-refined-times.txt</v>
      </c>
      <c r="AI170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{"issue":{"subject":"","project_id":79,"tracker_id":40,"status_id":1,"priority_id":2,"assigned_to_id":23,"start_date":"2017-03-20","description":"","custom_fields":[{"id":1,"name":"Subdivision","value":"NW"},{"id":4,"name":"Milepost","value":"5.8909"},{"id":17,"name":"Train ID","value":"813-20"},{"id":16,"name":"Locomotive ID","value":"4040"},{"id":130,"name":"Impact","value":""},{"id":150,"name":"Time of Event (Mountain Time)","value":"09:35:58"},{"id":151,"name":"Denver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63"/>
        <v>start /low /b %USERPROFILE%\Documents\GitHub\eaglep3\Utilities\DownloadLogsFromS3.py --loco 4040 --day 2017-03-20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"%USERPROFILE%\AppData\Local\Temp\OnboardLogs"\RTDC4040\*4040*20170320* | grep -SE "(Enforcement Action)|(\[TIMEOUT)|(CHR.+\|PRM\|1\|D.+(SWITCH|SIGNAL).+UNKNOWN)" - &gt;&gt; 2017-03-20-UncaughtWiMAX.txt</v>
      </c>
    </row>
    <row r="171" spans="1:91" x14ac:dyDescent="0.25">
      <c r="A171" s="33" t="s">
        <v>706</v>
      </c>
      <c r="B171" s="7">
        <v>4039</v>
      </c>
      <c r="C171" s="21" t="s">
        <v>222</v>
      </c>
      <c r="D171" s="21" t="s">
        <v>944</v>
      </c>
      <c r="E171" s="13">
        <v>42814.401145833333</v>
      </c>
      <c r="F171" s="13">
        <v>42814.40315972222</v>
      </c>
      <c r="G171" s="7">
        <v>2</v>
      </c>
      <c r="H171" s="21" t="s">
        <v>945</v>
      </c>
      <c r="I171" s="13">
        <v>42814.414317129631</v>
      </c>
      <c r="J171" s="7">
        <v>0</v>
      </c>
      <c r="K171" s="98" t="str">
        <f t="shared" si="49"/>
        <v>4039/4040</v>
      </c>
      <c r="L171" s="21" t="str">
        <f>VLOOKUP(A171,'Trips&amp;Operators'!$C$1:$G$99999,5,FALSE)</f>
        <v>SULLIVAN BRANDON</v>
      </c>
      <c r="M171" s="6">
        <f t="shared" si="50"/>
        <v>1.1157407410792075E-2</v>
      </c>
      <c r="N171" s="7">
        <f t="shared" si="65"/>
        <v>16.066666671540588</v>
      </c>
      <c r="O171" s="7"/>
      <c r="P171" s="7"/>
      <c r="Q171" s="22"/>
      <c r="R171" s="22"/>
      <c r="S171" s="31">
        <f t="shared" si="66"/>
        <v>1</v>
      </c>
      <c r="T171" s="46" t="str">
        <f t="shared" si="51"/>
        <v>Southbound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52"/>
        <v>https://d0f6bd738d7f1b3e5a7ca70fe4ff75f0.us-east-1.aws.found.io/app/kibana#/discover/Steve-Slow-Train-Analysis-(2080s-and-2083s)?_g=(refreshInterval:(display:Off,pause:!f,section:0,value:0),time:(from:'2017-03-20T08:37:39-0600',mode:absolute,to:'2017-03-20T10:56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1" s="187" t="str">
        <f t="shared" si="53"/>
        <v>N</v>
      </c>
      <c r="X171" s="187">
        <f t="shared" si="68"/>
        <v>1</v>
      </c>
      <c r="Y171" s="62">
        <f t="shared" si="55"/>
        <v>5.8597999999999999</v>
      </c>
      <c r="Z171" s="62">
        <f t="shared" si="64"/>
        <v>6.6299999999999998E-2</v>
      </c>
      <c r="AA171" s="62">
        <f t="shared" si="56"/>
        <v>5.7934999999999999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7"/>
        <v>0814-20</v>
      </c>
      <c r="AE171" s="85" t="str">
        <f t="shared" si="58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171" s="82" t="str">
        <f t="shared" si="59"/>
        <v>"C:\Program Files (x86)\AstroGrep\AstroGrep.exe" /e /r /s /spath="%USERPROFILE%\AppData\Local\Temp\OnboardLogs" /stypes="app*4039*20170320*" /stext=" 15:.+((SYSTEM_STATE.+slice.+state.+changed )|(ment ac)|(multiple cpu faults)|(system.+state.+changed )|(\[timeout)|(PRM\|1\|D)|(kpr)|(kdp)|(\|lc)|(penalty))"</v>
      </c>
      <c r="AG171" s="1" t="str">
        <f t="shared" si="60"/>
        <v>NW</v>
      </c>
      <c r="AH171" s="86" t="str">
        <f t="shared" si="61"/>
        <v>"%USERPROFILE%\Documents\GitHub\eaglep3\Utilities\RefineRTDCRunTimes.py" --tripid 814-20 --locoid 4039 --swversion DE.1.0.9.0 --startMP 300:58598 --initTime 2017-03-20T09:37:39 --startdatetime 2017-03-20T09:40:33 --delay 2 --endMP 204:663 --enddatetime 2017-03-20T09:56:37 --enforcementcount 0 &gt;&gt;C:\Users\stu\Documents\GitHub\eaglep3-reporting\EC\2017-03-20-refined-times.txt</v>
      </c>
      <c r="AI171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{"issue":{"subject":"","project_id":79,"tracker_id":40,"status_id":1,"priority_id":2,"assigned_to_id":23,"start_date":"2017-03-20","description":"","custom_fields":[{"id":1,"name":"Subdivision","value":"NW"},{"id":4,"name":"Milepost","value":"0.0663"},{"id":17,"name":"Train ID","value":"814-20"},{"id":16,"name":"Locomotive ID","value":"4039"},{"id":130,"name":"Impact","value":""},{"id":150,"name":"Time of Event (Mountain Time)","value":"09:56:37"},{"id":151,"name":"Denver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63"/>
        <v>start /low /b %USERPROFILE%\Documents\GitHub\eaglep3\Utilities\DownloadLogsFromS3.py --loco 4039 --day 2017-03-20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"%USERPROFILE%\AppData\Local\Temp\OnboardLogs"\RTDC4039\*4039*20170320* | grep -SE "(Enforcement Action)|(\[TIMEOUT)|(CHR.+\|PRM\|1\|D.+(SWITCH|SIGNAL).+UNKNOWN)" - &gt;&gt; 2017-03-20-UncaughtWiMAX.txt</v>
      </c>
    </row>
    <row r="172" spans="1:91" x14ac:dyDescent="0.25">
      <c r="A172" s="33" t="s">
        <v>710</v>
      </c>
      <c r="B172" s="7">
        <v>4040</v>
      </c>
      <c r="C172" s="21" t="s">
        <v>222</v>
      </c>
      <c r="D172" s="21" t="s">
        <v>946</v>
      </c>
      <c r="E172" s="13">
        <v>42814.424120370371</v>
      </c>
      <c r="F172" s="13">
        <v>42814.431585648148</v>
      </c>
      <c r="G172" s="7">
        <v>2</v>
      </c>
      <c r="H172" s="21" t="s">
        <v>947</v>
      </c>
      <c r="I172" s="13">
        <v>42814.440694444442</v>
      </c>
      <c r="J172" s="7">
        <v>0</v>
      </c>
      <c r="K172" s="98" t="str">
        <f t="shared" si="49"/>
        <v>4039/4040</v>
      </c>
      <c r="L172" s="21" t="str">
        <f>VLOOKUP(A172,'Trips&amp;Operators'!$C$1:$G$99999,5,FALSE)</f>
        <v>SULLIVAN BRANDON</v>
      </c>
      <c r="M172" s="6">
        <f t="shared" si="50"/>
        <v>9.1087962937308475E-3</v>
      </c>
      <c r="N172" s="7">
        <f t="shared" si="65"/>
        <v>13.11666666297242</v>
      </c>
      <c r="O172" s="7"/>
      <c r="P172" s="7"/>
      <c r="Q172" s="22"/>
      <c r="R172" s="22"/>
      <c r="S172" s="31">
        <f t="shared" si="66"/>
        <v>1</v>
      </c>
      <c r="T172" s="46" t="str">
        <f t="shared" si="51"/>
        <v>NorthBound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52"/>
        <v>https://d0f6bd738d7f1b3e5a7ca70fe4ff75f0.us-east-1.aws.found.io/app/kibana#/discover/Steve-Slow-Train-Analysis-(2080s-and-2083s)?_g=(refreshInterval:(display:Off,pause:!f,section:0,value:0),time:(from:'2017-03-20T09:10:44-0600',mode:absolute,to:'2017-03-20T11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2" s="187" t="str">
        <f t="shared" si="53"/>
        <v>N</v>
      </c>
      <c r="X172" s="187">
        <f t="shared" si="68"/>
        <v>1</v>
      </c>
      <c r="Y172" s="62">
        <f t="shared" si="55"/>
        <v>9.5699999999999993E-2</v>
      </c>
      <c r="Z172" s="62">
        <f t="shared" si="64"/>
        <v>5.8944000000000001</v>
      </c>
      <c r="AA172" s="62">
        <f t="shared" si="56"/>
        <v>5.7987000000000002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7"/>
        <v>0815-20</v>
      </c>
      <c r="AE172" s="85" t="str">
        <f t="shared" si="58"/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AF172" s="82" t="str">
        <f t="shared" si="59"/>
        <v>"C:\Program Files (x86)\AstroGrep\AstroGrep.exe" /e /r /s /spath="%USERPROFILE%\AppData\Local\Temp\OnboardLogs" /stypes="app*4040*20170320*" /stext=" 16:.+((SYSTEM_STATE.+slice.+state.+changed )|(ment ac)|(multiple cpu faults)|(system.+state.+changed )|(\[timeout)|(PRM\|1\|D)|(kpr)|(kdp)|(\|lc)|(penalty))"</v>
      </c>
      <c r="AG172" s="1" t="str">
        <f t="shared" si="60"/>
        <v>NW</v>
      </c>
      <c r="AH172" s="86" t="str">
        <f t="shared" si="61"/>
        <v>"%USERPROFILE%\Documents\GitHub\eaglep3\Utilities\RefineRTDCRunTimes.py" --tripid 815-20 --locoid 4040 --swversion DE.1.0.9.0 --startMP 204:957 --initTime 2017-03-20T10:10:44 --startdatetime 2017-03-20T10:21:29 --delay 2 --endMP 300:58944 --enddatetime 2017-03-20T10:34:36 --enforcementcount 0 &gt;&gt;C:\Users\stu\Documents\GitHub\eaglep3-reporting\EC\2017-03-20-refined-times.txt</v>
      </c>
      <c r="AI172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{"issue":{"subject":"","project_id":79,"tracker_id":40,"status_id":1,"priority_id":2,"assigned_to_id":23,"start_date":"2017-03-20","description":"","custom_fields":[{"id":1,"name":"Subdivision","value":"NW"},{"id":4,"name":"Milepost","value":"5.8944"},{"id":17,"name":"Train ID","value":"815-20"},{"id":16,"name":"Locomotive ID","value":"4040"},{"id":130,"name":"Impact","value":""},{"id":150,"name":"Time of Event (Mountain Time)","value":"10:34:36"},{"id":151,"name":"Denver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63"/>
        <v>start /low /b %USERPROFILE%\Documents\GitHub\eaglep3\Utilities\DownloadLogsFromS3.py --loco 4040 --day 2017-03-20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"%USERPROFILE%\AppData\Local\Temp\OnboardLogs"\RTDC4040\*4040*20170320* | grep -SE "(Enforcement Action)|(\[TIMEOUT)|(CHR.+\|PRM\|1\|D.+(SWITCH|SIGNAL).+UNKNOWN)" - &gt;&gt; 2017-03-20-UncaughtWiMAX.txt</v>
      </c>
    </row>
    <row r="173" spans="1:91" s="20" customFormat="1" x14ac:dyDescent="0.25">
      <c r="A173" s="33" t="s">
        <v>621</v>
      </c>
      <c r="B173" s="7">
        <v>4039</v>
      </c>
      <c r="C173" s="21" t="s">
        <v>222</v>
      </c>
      <c r="D173" s="21" t="s">
        <v>574</v>
      </c>
      <c r="E173" s="13">
        <v>42814.442245370374</v>
      </c>
      <c r="F173" s="13">
        <v>42814.443645833337</v>
      </c>
      <c r="G173" s="7">
        <v>1</v>
      </c>
      <c r="H173" s="21" t="s">
        <v>942</v>
      </c>
      <c r="I173" s="13">
        <v>42814.455069444448</v>
      </c>
      <c r="J173" s="7">
        <v>0</v>
      </c>
      <c r="K173" s="98" t="str">
        <f t="shared" si="49"/>
        <v>4039/4040</v>
      </c>
      <c r="L173" s="21" t="str">
        <f>VLOOKUP(A173,'Trips&amp;Operators'!$C$1:$G$99999,5,FALSE)</f>
        <v>SULLIVAN BRANDON</v>
      </c>
      <c r="M173" s="6">
        <f t="shared" si="50"/>
        <v>1.1423611111240461E-2</v>
      </c>
      <c r="N173" s="7">
        <f t="shared" si="65"/>
        <v>16.450000000186265</v>
      </c>
      <c r="O173" s="7"/>
      <c r="P173" s="7"/>
      <c r="Q173" s="22"/>
      <c r="R173" s="22"/>
      <c r="S173" s="31">
        <f t="shared" si="66"/>
        <v>1</v>
      </c>
      <c r="T173" s="46" t="str">
        <f t="shared" si="51"/>
        <v>Southbound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52"/>
        <v>https://d0f6bd738d7f1b3e5a7ca70fe4ff75f0.us-east-1.aws.found.io/app/kibana#/discover/Steve-Slow-Train-Analysis-(2080s-and-2083s)?_g=(refreshInterval:(display:Off,pause:!f,section:0,value:0),time:(from:'2017-03-20T09:36:50-0600',mode:absolute,to:'2017-03-20T11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3" s="187" t="str">
        <f t="shared" si="53"/>
        <v>N</v>
      </c>
      <c r="X173" s="187">
        <f t="shared" si="68"/>
        <v>1</v>
      </c>
      <c r="Y173" s="62">
        <f t="shared" si="55"/>
        <v>5.8624000000000001</v>
      </c>
      <c r="Z173" s="62">
        <f t="shared" si="64"/>
        <v>6.6600000000000006E-2</v>
      </c>
      <c r="AA173" s="62">
        <f t="shared" si="56"/>
        <v>5.7957999999999998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7"/>
        <v>0816-20</v>
      </c>
      <c r="AE173" s="85" t="str">
        <f t="shared" si="58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173" s="82" t="str">
        <f t="shared" si="59"/>
        <v>"C:\Program Files (x86)\AstroGrep\AstroGrep.exe" /e /r /s /spath="%USERPROFILE%\AppData\Local\Temp\OnboardLogs" /stypes="app*4039*20170320*" /stext=" 16:.+((SYSTEM_STATE.+slice.+state.+changed )|(ment ac)|(multiple cpu faults)|(system.+state.+changed )|(\[timeout)|(PRM\|1\|D)|(kpr)|(kdp)|(\|lc)|(penalty))"</v>
      </c>
      <c r="AG173" s="1" t="str">
        <f t="shared" si="60"/>
        <v>NW</v>
      </c>
      <c r="AH173" s="86" t="str">
        <f t="shared" si="61"/>
        <v>"%USERPROFILE%\Documents\GitHub\eaglep3\Utilities\RefineRTDCRunTimes.py" --tripid 816-20 --locoid 4039 --swversion DE.1.0.9.0 --startMP 300:58624 --initTime 2017-03-20T10:36:50 --startdatetime 2017-03-20T10:38:51 --delay 1 --endMP 204:666 --enddatetime 2017-03-20T10:55:18 --enforcementcount 0 &gt;&gt;C:\Users\stu\Documents\GitHub\eaglep3-reporting\EC\2017-03-20-refined-times.txt</v>
      </c>
      <c r="AI173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{"issue":{"subject":"","project_id":79,"tracker_id":40,"status_id":1,"priority_id":2,"assigned_to_id":23,"start_date":"2017-03-20","description":"","custom_fields":[{"id":1,"name":"Subdivision","value":"NW"},{"id":4,"name":"Milepost","value":"0.0666"},{"id":17,"name":"Train ID","value":"816-20"},{"id":16,"name":"Locomotive ID","value":"4039"},{"id":130,"name":"Impact","value":""},{"id":150,"name":"Time of Event (Mountain Time)","value":"10:55:18"},{"id":151,"name":"Denver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63"/>
        <v>start /low /b %USERPROFILE%\Documents\GitHub\eaglep3\Utilities\DownloadLogsFromS3.py --loco 4039 --day 2017-03-20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"%USERPROFILE%\AppData\Local\Temp\OnboardLogs"\RTDC4039\*4039*20170320* | grep -SE "(Enforcement Action)|(\[TIMEOUT)|(CHR.+\|PRM\|1\|D.+(SWITCH|SIGNAL).+UNKNOWN)" - &gt;&gt; 2017-03-20-UncaughtWiMAX.txt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3" t="s">
        <v>719</v>
      </c>
      <c r="B174" s="7">
        <v>4040</v>
      </c>
      <c r="C174" s="21" t="s">
        <v>222</v>
      </c>
      <c r="D174" s="21" t="s">
        <v>948</v>
      </c>
      <c r="E174" s="13">
        <v>42814.460960648146</v>
      </c>
      <c r="F174" s="13">
        <v>42814.473229166666</v>
      </c>
      <c r="G174" s="7">
        <v>2</v>
      </c>
      <c r="H174" s="21" t="s">
        <v>949</v>
      </c>
      <c r="I174" s="13">
        <v>42814.483055555553</v>
      </c>
      <c r="J174" s="7">
        <v>0</v>
      </c>
      <c r="K174" s="98" t="str">
        <f t="shared" si="49"/>
        <v>4039/4040</v>
      </c>
      <c r="L174" s="21" t="str">
        <f>VLOOKUP(A174,'Trips&amp;Operators'!$C$1:$G$99999,5,FALSE)</f>
        <v>SULLIVAN BRANDON</v>
      </c>
      <c r="M174" s="6">
        <f t="shared" si="50"/>
        <v>9.8263888867222704E-3</v>
      </c>
      <c r="N174" s="7">
        <f t="shared" si="65"/>
        <v>14.149999996880069</v>
      </c>
      <c r="O174" s="7"/>
      <c r="P174" s="7"/>
      <c r="Q174" s="22"/>
      <c r="R174" s="22"/>
      <c r="S174" s="31">
        <f t="shared" si="66"/>
        <v>1</v>
      </c>
      <c r="T174" s="46" t="str">
        <f t="shared" si="51"/>
        <v>NorthBound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52"/>
        <v>https://d0f6bd738d7f1b3e5a7ca70fe4ff75f0.us-east-1.aws.found.io/app/kibana#/discover/Steve-Slow-Train-Analysis-(2080s-and-2083s)?_g=(refreshInterval:(display:Off,pause:!f,section:0,value:0),time:(from:'2017-03-20T10:03:47-0600',mode:absolute,to:'2017-03-20T12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4" s="187" t="str">
        <f t="shared" si="53"/>
        <v>N</v>
      </c>
      <c r="X174" s="187">
        <f t="shared" si="68"/>
        <v>1</v>
      </c>
      <c r="Y174" s="62">
        <f t="shared" si="55"/>
        <v>9.6000000000000002E-2</v>
      </c>
      <c r="Z174" s="62">
        <f t="shared" si="64"/>
        <v>5.8921999999999999</v>
      </c>
      <c r="AA174" s="62">
        <f t="shared" si="56"/>
        <v>5.7961999999999998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7"/>
        <v>0817-20</v>
      </c>
      <c r="AE174" s="85" t="str">
        <f t="shared" si="58"/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AF174" s="82" t="str">
        <f t="shared" si="59"/>
        <v>"C:\Program Files (x86)\AstroGrep\AstroGrep.exe" /e /r /s /spath="%USERPROFILE%\AppData\Local\Temp\OnboardLogs" /stypes="app*4040*20170320*" /stext=" 17:.+((SYSTEM_STATE.+slice.+state.+changed )|(ment ac)|(multiple cpu faults)|(system.+state.+changed )|(\[timeout)|(PRM\|1\|D)|(kpr)|(kdp)|(\|lc)|(penalty))"</v>
      </c>
      <c r="AG174" s="1" t="str">
        <f t="shared" si="60"/>
        <v>NW</v>
      </c>
      <c r="AH174" s="86" t="str">
        <f t="shared" si="61"/>
        <v>"%USERPROFILE%\Documents\GitHub\eaglep3\Utilities\RefineRTDCRunTimes.py" --tripid 817-20 --locoid 4040 --swversion DE.1.0.9.0 --startMP 204:960 --initTime 2017-03-20T11:03:47 --startdatetime 2017-03-20T11:21:27 --delay 2 --endMP 300:58922 --enddatetime 2017-03-20T11:35:36 --enforcementcount 0 &gt;&gt;C:\Users\stu\Documents\GitHub\eaglep3-reporting\EC\2017-03-20-refined-times.txt</v>
      </c>
      <c r="AI174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{"issue":{"subject":"","project_id":79,"tracker_id":40,"status_id":1,"priority_id":2,"assigned_to_id":23,"start_date":"2017-03-20","description":"","custom_fields":[{"id":1,"name":"Subdivision","value":"NW"},{"id":4,"name":"Milepost","value":"5.8922"},{"id":17,"name":"Train ID","value":"817-20"},{"id":16,"name":"Locomotive ID","value":"4040"},{"id":130,"name":"Impact","value":""},{"id":150,"name":"Time of Event (Mountain Time)","value":"11:35:36"},{"id":151,"name":"Denver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63"/>
        <v>start /low /b %USERPROFILE%\Documents\GitHub\eaglep3\Utilities\DownloadLogsFromS3.py --loco 4040 --day 2017-03-20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"%USERPROFILE%\AppData\Local\Temp\OnboardLogs"\RTDC4040\*4040*20170320* | grep -SE "(Enforcement Action)|(\[TIMEOUT)|(CHR.+\|PRM\|1\|D.+(SWITCH|SIGNAL).+UNKNOWN)" - &gt;&gt; 2017-03-20-UncaughtWiMAX.txt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3" t="s">
        <v>624</v>
      </c>
      <c r="B175" s="7">
        <v>4039</v>
      </c>
      <c r="C175" s="21" t="s">
        <v>222</v>
      </c>
      <c r="D175" s="21" t="s">
        <v>950</v>
      </c>
      <c r="E175" s="13">
        <v>42814.484305555554</v>
      </c>
      <c r="F175" s="13">
        <v>42814.486273148148</v>
      </c>
      <c r="G175" s="7">
        <v>2</v>
      </c>
      <c r="H175" s="21" t="s">
        <v>951</v>
      </c>
      <c r="I175" s="13">
        <v>42814.496990740743</v>
      </c>
      <c r="J175" s="7">
        <v>0</v>
      </c>
      <c r="K175" s="98" t="str">
        <f t="shared" si="49"/>
        <v>4039/4040</v>
      </c>
      <c r="L175" s="21" t="str">
        <f>VLOOKUP(A175,'Trips&amp;Operators'!$C$1:$G$99999,5,FALSE)</f>
        <v>SULLIVAN BRANDON</v>
      </c>
      <c r="M175" s="6">
        <f t="shared" si="50"/>
        <v>1.0717592595028691E-2</v>
      </c>
      <c r="N175" s="7">
        <f t="shared" si="65"/>
        <v>15.433333336841315</v>
      </c>
      <c r="O175" s="7"/>
      <c r="P175" s="7"/>
      <c r="Q175" s="22"/>
      <c r="R175" s="22"/>
      <c r="S175" s="31">
        <f t="shared" si="66"/>
        <v>1</v>
      </c>
      <c r="T175" s="46" t="str">
        <f t="shared" si="51"/>
        <v>Southbound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52"/>
        <v>https://d0f6bd738d7f1b3e5a7ca70fe4ff75f0.us-east-1.aws.found.io/app/kibana#/discover/Steve-Slow-Train-Analysis-(2080s-and-2083s)?_g=(refreshInterval:(display:Off,pause:!f,section:0,value:0),time:(from:'2017-03-20T10:37:24-0600',mode:absolute,to:'2017-03-20T12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5" s="187" t="str">
        <f t="shared" si="53"/>
        <v>N</v>
      </c>
      <c r="X175" s="187">
        <f t="shared" si="68"/>
        <v>1</v>
      </c>
      <c r="Y175" s="62">
        <f t="shared" si="55"/>
        <v>5.8596000000000004</v>
      </c>
      <c r="Z175" s="62">
        <f t="shared" si="64"/>
        <v>6.6799999999999998E-2</v>
      </c>
      <c r="AA175" s="62">
        <f t="shared" si="56"/>
        <v>5.7928000000000006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7"/>
        <v>0818-20</v>
      </c>
      <c r="AE175" s="85" t="str">
        <f t="shared" si="58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175" s="82" t="str">
        <f t="shared" si="59"/>
        <v>"C:\Program Files (x86)\AstroGrep\AstroGrep.exe" /e /r /s /spath="%USERPROFILE%\AppData\Local\Temp\OnboardLogs" /stypes="app*4039*20170320*" /stext=" 17:.+((SYSTEM_STATE.+slice.+state.+changed )|(ment ac)|(multiple cpu faults)|(system.+state.+changed )|(\[timeout)|(PRM\|1\|D)|(kpr)|(kdp)|(\|lc)|(penalty))"</v>
      </c>
      <c r="AG175" s="1" t="str">
        <f t="shared" si="60"/>
        <v>NW</v>
      </c>
      <c r="AH175" s="86" t="str">
        <f t="shared" si="61"/>
        <v>"%USERPROFILE%\Documents\GitHub\eaglep3\Utilities\RefineRTDCRunTimes.py" --tripid 818-20 --locoid 4039 --swversion DE.1.0.9.0 --startMP 300:58596 --initTime 2017-03-20T11:37:24 --startdatetime 2017-03-20T11:40:14 --delay 2 --endMP 204:668 --enddatetime 2017-03-20T11:55:40 --enforcementcount 0 &gt;&gt;C:\Users\stu\Documents\GitHub\eaglep3-reporting\EC\2017-03-20-refined-times.txt</v>
      </c>
      <c r="AI175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{"issue":{"subject":"","project_id":79,"tracker_id":40,"status_id":1,"priority_id":2,"assigned_to_id":23,"start_date":"2017-03-20","description":"","custom_fields":[{"id":1,"name":"Subdivision","value":"NW"},{"id":4,"name":"Milepost","value":"0.0668"},{"id":17,"name":"Train ID","value":"818-20"},{"id":16,"name":"Locomotive ID","value":"4039"},{"id":130,"name":"Impact","value":""},{"id":150,"name":"Time of Event (Mountain Time)","value":"11:55:40"},{"id":151,"name":"Denver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63"/>
        <v>start /low /b %USERPROFILE%\Documents\GitHub\eaglep3\Utilities\DownloadLogsFromS3.py --loco 4039 --day 2017-03-20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"%USERPROFILE%\AppData\Local\Temp\OnboardLogs"\RTDC4039\*4039*20170320* | grep -SE "(Enforcement Action)|(\[TIMEOUT)|(CHR.+\|PRM\|1\|D.+(SWITCH|SIGNAL).+UNKNOWN)" - &gt;&gt; 2017-03-20-UncaughtWiMAX.txt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3" t="s">
        <v>731</v>
      </c>
      <c r="B176" s="7">
        <v>4040</v>
      </c>
      <c r="C176" s="21" t="s">
        <v>222</v>
      </c>
      <c r="D176" s="21" t="s">
        <v>952</v>
      </c>
      <c r="E176" s="13">
        <v>42814.512511574074</v>
      </c>
      <c r="F176" s="13">
        <v>42814.514756944445</v>
      </c>
      <c r="G176" s="7">
        <v>1</v>
      </c>
      <c r="H176" s="21" t="s">
        <v>570</v>
      </c>
      <c r="I176" s="13">
        <v>42814.523865740739</v>
      </c>
      <c r="J176" s="7">
        <v>0</v>
      </c>
      <c r="K176" s="98" t="str">
        <f t="shared" si="49"/>
        <v>4039/4040</v>
      </c>
      <c r="L176" s="21" t="str">
        <f>VLOOKUP(A176,'Trips&amp;Operators'!$C$1:$G$99999,5,FALSE)</f>
        <v>SULLIVAN BRANDON</v>
      </c>
      <c r="M176" s="6">
        <f t="shared" si="50"/>
        <v>9.1087962937308475E-3</v>
      </c>
      <c r="N176" s="7">
        <f t="shared" si="65"/>
        <v>13.11666666297242</v>
      </c>
      <c r="O176" s="7"/>
      <c r="P176" s="7"/>
      <c r="Q176" s="22"/>
      <c r="R176" s="22"/>
      <c r="S176" s="31">
        <f t="shared" si="66"/>
        <v>1</v>
      </c>
      <c r="T176" s="46" t="str">
        <f t="shared" si="51"/>
        <v>NorthBound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52"/>
        <v>https://d0f6bd738d7f1b3e5a7ca70fe4ff75f0.us-east-1.aws.found.io/app/kibana#/discover/Steve-Slow-Train-Analysis-(2080s-and-2083s)?_g=(refreshInterval:(display:Off,pause:!f,section:0,value:0),time:(from:'2017-03-20T11:18:01-0600',mode:absolute,to:'2017-03-20T13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6" s="187" t="str">
        <f t="shared" si="53"/>
        <v>N</v>
      </c>
      <c r="X176" s="187">
        <f t="shared" si="68"/>
        <v>1</v>
      </c>
      <c r="Y176" s="62">
        <f t="shared" si="55"/>
        <v>9.7199999999999995E-2</v>
      </c>
      <c r="Z176" s="62">
        <f t="shared" si="64"/>
        <v>5.8936999999999999</v>
      </c>
      <c r="AA176" s="62">
        <f t="shared" si="56"/>
        <v>5.7965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7"/>
        <v>0819-20</v>
      </c>
      <c r="AE176" s="85" t="str">
        <f t="shared" si="58"/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AF176" s="82" t="str">
        <f t="shared" si="59"/>
        <v>"C:\Program Files (x86)\AstroGrep\AstroGrep.exe" /e /r /s /spath="%USERPROFILE%\AppData\Local\Temp\OnboardLogs" /stypes="app*4040*20170320*" /stext=" 18:.+((SYSTEM_STATE.+slice.+state.+changed )|(ment ac)|(multiple cpu faults)|(system.+state.+changed )|(\[timeout)|(PRM\|1\|D)|(kpr)|(kdp)|(\|lc)|(penalty))"</v>
      </c>
      <c r="AG176" s="1" t="str">
        <f t="shared" si="60"/>
        <v>NW</v>
      </c>
      <c r="AH176" s="86" t="str">
        <f t="shared" si="61"/>
        <v>"%USERPROFILE%\Documents\GitHub\eaglep3\Utilities\RefineRTDCRunTimes.py" --tripid 819-20 --locoid 4040 --swversion DE.1.0.9.0 --startMP 204:972 --initTime 2017-03-20T12:18:01 --startdatetime 2017-03-20T12:21:15 --delay 1 --endMP 300:58937 --enddatetime 2017-03-20T12:34:22 --enforcementcount 0 &gt;&gt;C:\Users\stu\Documents\GitHub\eaglep3-reporting\EC\2017-03-20-refined-times.txt</v>
      </c>
      <c r="AI176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{"issue":{"subject":"","project_id":79,"tracker_id":40,"status_id":1,"priority_id":2,"assigned_to_id":23,"start_date":"2017-03-20","description":"","custom_fields":[{"id":1,"name":"Subdivision","value":"NW"},{"id":4,"name":"Milepost","value":"5.8937"},{"id":17,"name":"Train ID","value":"819-20"},{"id":16,"name":"Locomotive ID","value":"4040"},{"id":130,"name":"Impact","value":""},{"id":150,"name":"Time of Event (Mountain Time)","value":"12:34:22"},{"id":151,"name":"Denver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63"/>
        <v>start /low /b %USERPROFILE%\Documents\GitHub\eaglep3\Utilities\DownloadLogsFromS3.py --loco 4040 --day 2017-03-20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"%USERPROFILE%\AppData\Local\Temp\OnboardLogs"\RTDC4040\*4040*20170320* | grep -SE "(Enforcement Action)|(\[TIMEOUT)|(CHR.+\|PRM\|1\|D.+(SWITCH|SIGNAL).+UNKNOWN)" - &gt;&gt; 2017-03-20-UncaughtWiMAX.txt</v>
      </c>
    </row>
    <row r="177" spans="1:91" s="20" customFormat="1" x14ac:dyDescent="0.25">
      <c r="A177" s="33" t="s">
        <v>737</v>
      </c>
      <c r="B177" s="7">
        <v>4039</v>
      </c>
      <c r="C177" s="21" t="s">
        <v>222</v>
      </c>
      <c r="D177" s="21" t="s">
        <v>953</v>
      </c>
      <c r="E177" s="13">
        <v>42814.525393518517</v>
      </c>
      <c r="F177" s="13">
        <v>42814.526979166665</v>
      </c>
      <c r="G177" s="7">
        <v>1</v>
      </c>
      <c r="H177" s="21" t="s">
        <v>954</v>
      </c>
      <c r="I177" s="13">
        <v>42814.539247685185</v>
      </c>
      <c r="J177" s="7">
        <v>0</v>
      </c>
      <c r="K177" s="98" t="str">
        <f t="shared" si="49"/>
        <v>4039/4040</v>
      </c>
      <c r="L177" s="21" t="str">
        <f>VLOOKUP(A177,'Trips&amp;Operators'!$C$1:$G$99999,5,FALSE)</f>
        <v>SULLIVAN BRANDON</v>
      </c>
      <c r="M177" s="6">
        <f t="shared" si="50"/>
        <v>1.226851851970423E-2</v>
      </c>
      <c r="N177" s="7">
        <f t="shared" si="65"/>
        <v>17.666666668374091</v>
      </c>
      <c r="O177" s="7"/>
      <c r="P177" s="7"/>
      <c r="Q177" s="22"/>
      <c r="R177" s="22"/>
      <c r="S177" s="31">
        <f t="shared" si="66"/>
        <v>1</v>
      </c>
      <c r="T177" s="46" t="str">
        <f t="shared" si="51"/>
        <v>Southbound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52"/>
        <v>https://d0f6bd738d7f1b3e5a7ca70fe4ff75f0.us-east-1.aws.found.io/app/kibana#/discover/Steve-Slow-Train-Analysis-(2080s-and-2083s)?_g=(refreshInterval:(display:Off,pause:!f,section:0,value:0),time:(from:'2017-03-20T11:36:34-0600',mode:absolute,to:'2017-03-20T13:56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7" s="187" t="str">
        <f t="shared" si="53"/>
        <v>N</v>
      </c>
      <c r="X177" s="187">
        <f t="shared" si="68"/>
        <v>1</v>
      </c>
      <c r="Y177" s="62">
        <f t="shared" si="55"/>
        <v>5.8620999999999999</v>
      </c>
      <c r="Z177" s="62">
        <f t="shared" si="64"/>
        <v>6.59E-2</v>
      </c>
      <c r="AA177" s="62">
        <f t="shared" si="56"/>
        <v>5.7961999999999998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7"/>
        <v>0820-20</v>
      </c>
      <c r="AE177" s="85" t="str">
        <f t="shared" si="58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177" s="82" t="str">
        <f t="shared" si="59"/>
        <v>"C:\Program Files (x86)\AstroGrep\AstroGrep.exe" /e /r /s /spath="%USERPROFILE%\AppData\Local\Temp\OnboardLogs" /stypes="app*4039*20170320*" /stext=" 18:.+((SYSTEM_STATE.+slice.+state.+changed )|(ment ac)|(multiple cpu faults)|(system.+state.+changed )|(\[timeout)|(PRM\|1\|D)|(kpr)|(kdp)|(\|lc)|(penalty))"</v>
      </c>
      <c r="AG177" s="1" t="str">
        <f t="shared" si="60"/>
        <v>NW</v>
      </c>
      <c r="AH177" s="86" t="str">
        <f t="shared" si="61"/>
        <v>"%USERPROFILE%\Documents\GitHub\eaglep3\Utilities\RefineRTDCRunTimes.py" --tripid 820-20 --locoid 4039 --swversion DE.1.0.9.0 --startMP 300:58621 --initTime 2017-03-20T12:36:34 --startdatetime 2017-03-20T12:38:51 --delay 1 --endMP 204:659 --enddatetime 2017-03-20T12:56:31 --enforcementcount 0 &gt;&gt;C:\Users\stu\Documents\GitHub\eaglep3-reporting\EC\2017-03-20-refined-times.txt</v>
      </c>
      <c r="AI177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{"issue":{"subject":"","project_id":79,"tracker_id":40,"status_id":1,"priority_id":2,"assigned_to_id":23,"start_date":"2017-03-20","description":"","custom_fields":[{"id":1,"name":"Subdivision","value":"NW"},{"id":4,"name":"Milepost","value":"0.0659"},{"id":17,"name":"Train ID","value":"820-20"},{"id":16,"name":"Locomotive ID","value":"4039"},{"id":130,"name":"Impact","value":""},{"id":150,"name":"Time of Event (Mountain Time)","value":"12:56:31"},{"id":151,"name":"Denver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63"/>
        <v>start /low /b %USERPROFILE%\Documents\GitHub\eaglep3\Utilities\DownloadLogsFromS3.py --loco 4039 --day 2017-03-20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"%USERPROFILE%\AppData\Local\Temp\OnboardLogs"\RTDC4039\*4039*20170320* | grep -SE "(Enforcement Action)|(\[TIMEOUT)|(CHR.+\|PRM\|1\|D.+(SWITCH|SIGNAL).+UNKNOWN)" - &gt;&gt; 2017-03-20-UncaughtWiMAX.txt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3" t="s">
        <v>742</v>
      </c>
      <c r="B178" s="7">
        <v>4040</v>
      </c>
      <c r="C178" s="21" t="s">
        <v>222</v>
      </c>
      <c r="D178" s="21" t="s">
        <v>948</v>
      </c>
      <c r="E178" s="13">
        <v>42814.544490740744</v>
      </c>
      <c r="F178" s="13">
        <v>42814.556481481479</v>
      </c>
      <c r="G178" s="7">
        <v>2</v>
      </c>
      <c r="H178" s="21" t="s">
        <v>433</v>
      </c>
      <c r="I178" s="13">
        <v>42814.566168981481</v>
      </c>
      <c r="J178" s="7">
        <v>0</v>
      </c>
      <c r="K178" s="98" t="str">
        <f t="shared" si="49"/>
        <v>4039/4040</v>
      </c>
      <c r="L178" s="21" t="str">
        <f>VLOOKUP(A178,'Trips&amp;Operators'!$C$1:$G$99999,5,FALSE)</f>
        <v>FORTUNATO FRANK</v>
      </c>
      <c r="M178" s="6">
        <f t="shared" si="50"/>
        <v>9.6875000017462298E-3</v>
      </c>
      <c r="N178" s="7">
        <f t="shared" si="65"/>
        <v>13.950000002514571</v>
      </c>
      <c r="O178" s="7"/>
      <c r="P178" s="7"/>
      <c r="Q178" s="22"/>
      <c r="R178" s="22"/>
      <c r="S178" s="31">
        <f t="shared" si="66"/>
        <v>1</v>
      </c>
      <c r="T178" s="46" t="str">
        <f t="shared" si="51"/>
        <v>NorthBound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52"/>
        <v>https://d0f6bd738d7f1b3e5a7ca70fe4ff75f0.us-east-1.aws.found.io/app/kibana#/discover/Steve-Slow-Train-Analysis-(2080s-and-2083s)?_g=(refreshInterval:(display:Off,pause:!f,section:0,value:0),time:(from:'2017-03-20T12:04:04-0600',mode:absolute,to:'2017-03-20T14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8" s="187" t="str">
        <f t="shared" si="53"/>
        <v>N</v>
      </c>
      <c r="X178" s="187">
        <f t="shared" si="68"/>
        <v>1</v>
      </c>
      <c r="Y178" s="62">
        <f t="shared" si="55"/>
        <v>9.6000000000000002E-2</v>
      </c>
      <c r="Z178" s="62">
        <f t="shared" si="64"/>
        <v>5.8935000000000004</v>
      </c>
      <c r="AA178" s="62">
        <f t="shared" si="56"/>
        <v>5.7975000000000003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7"/>
        <v>0821-20</v>
      </c>
      <c r="AE178" s="85" t="str">
        <f t="shared" si="58"/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AF178" s="82" t="str">
        <f t="shared" si="59"/>
        <v>"C:\Program Files (x86)\AstroGrep\AstroGrep.exe" /e /r /s /spath="%USERPROFILE%\AppData\Local\Temp\OnboardLogs" /stypes="app*4040*20170320*" /stext=" 19:.+((SYSTEM_STATE.+slice.+state.+changed )|(ment ac)|(multiple cpu faults)|(system.+state.+changed )|(\[timeout)|(PRM\|1\|D)|(kpr)|(kdp)|(\|lc)|(penalty))"</v>
      </c>
      <c r="AG178" s="1" t="str">
        <f t="shared" si="60"/>
        <v>NW</v>
      </c>
      <c r="AH178" s="86" t="str">
        <f t="shared" si="61"/>
        <v>"%USERPROFILE%\Documents\GitHub\eaglep3\Utilities\RefineRTDCRunTimes.py" --tripid 821-20 --locoid 4040 --swversion DE.1.0.9.0 --startMP 204:960 --initTime 2017-03-20T13:04:04 --startdatetime 2017-03-20T13:21:20 --delay 2 --endMP 300:58935 --enddatetime 2017-03-20T13:35:17 --enforcementcount 0 &gt;&gt;C:\Users\stu\Documents\GitHub\eaglep3-reporting\EC\2017-03-20-refined-times.txt</v>
      </c>
      <c r="AI178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{"issue":{"subject":"","project_id":79,"tracker_id":40,"status_id":1,"priority_id":2,"assigned_to_id":23,"start_date":"2017-03-20","description":"","custom_fields":[{"id":1,"name":"Subdivision","value":"NW"},{"id":4,"name":"Milepost","value":"5.8935"},{"id":17,"name":"Train ID","value":"821-20"},{"id":16,"name":"Locomotive ID","value":"4040"},{"id":130,"name":"Impact","value":""},{"id":150,"name":"Time of Event (Mountain Time)","value":"13:35:17"},{"id":151,"name":"Denver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63"/>
        <v>start /low /b %USERPROFILE%\Documents\GitHub\eaglep3\Utilities\DownloadLogsFromS3.py --loco 4040 --day 2017-03-20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"%USERPROFILE%\AppData\Local\Temp\OnboardLogs"\RTDC4040\*4040*20170320* | grep -SE "(Enforcement Action)|(\[TIMEOUT)|(CHR.+\|PRM\|1\|D.+(SWITCH|SIGNAL).+UNKNOWN)" - &gt;&gt; 2017-03-20-UncaughtWiMAX.txt</v>
      </c>
    </row>
    <row r="179" spans="1:91" s="20" customFormat="1" x14ac:dyDescent="0.25">
      <c r="A179" s="33" t="s">
        <v>626</v>
      </c>
      <c r="B179" s="7">
        <v>4039</v>
      </c>
      <c r="C179" s="21" t="s">
        <v>222</v>
      </c>
      <c r="D179" s="21" t="s">
        <v>953</v>
      </c>
      <c r="E179" s="13">
        <v>42814.567187499997</v>
      </c>
      <c r="F179" s="13">
        <v>42814.569664351853</v>
      </c>
      <c r="G179" s="7">
        <v>1</v>
      </c>
      <c r="H179" s="21" t="s">
        <v>955</v>
      </c>
      <c r="I179" s="13">
        <v>42814.58048611111</v>
      </c>
      <c r="J179" s="7">
        <v>0</v>
      </c>
      <c r="K179" s="98" t="str">
        <f t="shared" si="49"/>
        <v>4039/4040</v>
      </c>
      <c r="L179" s="21" t="str">
        <f>VLOOKUP(A179,'Trips&amp;Operators'!$C$1:$G$99999,5,FALSE)</f>
        <v>FORTUNATO FRANK</v>
      </c>
      <c r="M179" s="6">
        <f t="shared" si="50"/>
        <v>1.0821759256941732E-2</v>
      </c>
      <c r="N179" s="7">
        <f t="shared" si="65"/>
        <v>15.583333329996094</v>
      </c>
      <c r="O179" s="7"/>
      <c r="P179" s="7"/>
      <c r="Q179" s="22"/>
      <c r="R179" s="22"/>
      <c r="S179" s="31">
        <f t="shared" si="66"/>
        <v>1</v>
      </c>
      <c r="T179" s="46" t="str">
        <f t="shared" si="51"/>
        <v>Southbound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52"/>
        <v>https://d0f6bd738d7f1b3e5a7ca70fe4ff75f0.us-east-1.aws.found.io/app/kibana#/discover/Steve-Slow-Train-Analysis-(2080s-and-2083s)?_g=(refreshInterval:(display:Off,pause:!f,section:0,value:0),time:(from:'2017-03-20T12:36:45-0600',mode:absolute,to:'2017-03-20T14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9" s="187" t="str">
        <f t="shared" si="53"/>
        <v>N</v>
      </c>
      <c r="X179" s="187">
        <f t="shared" si="68"/>
        <v>1</v>
      </c>
      <c r="Y179" s="62">
        <f t="shared" si="55"/>
        <v>5.8620999999999999</v>
      </c>
      <c r="Z179" s="62">
        <f t="shared" si="64"/>
        <v>6.9099999999999995E-2</v>
      </c>
      <c r="AA179" s="62">
        <f t="shared" si="56"/>
        <v>5.7930000000000001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7"/>
        <v>0822-20</v>
      </c>
      <c r="AE179" s="85" t="str">
        <f t="shared" si="58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179" s="82" t="str">
        <f t="shared" si="59"/>
        <v>"C:\Program Files (x86)\AstroGrep\AstroGrep.exe" /e /r /s /spath="%USERPROFILE%\AppData\Local\Temp\OnboardLogs" /stypes="app*4039*20170320*" /stext=" 19:.+((SYSTEM_STATE.+slice.+state.+changed )|(ment ac)|(multiple cpu faults)|(system.+state.+changed )|(\[timeout)|(PRM\|1\|D)|(kpr)|(kdp)|(\|lc)|(penalty))"</v>
      </c>
      <c r="AG179" s="1" t="str">
        <f t="shared" si="60"/>
        <v>NW</v>
      </c>
      <c r="AH179" s="86" t="str">
        <f t="shared" si="61"/>
        <v>"%USERPROFILE%\Documents\GitHub\eaglep3\Utilities\RefineRTDCRunTimes.py" --tripid 822-20 --locoid 4039 --swversion DE.1.0.9.0 --startMP 300:58621 --initTime 2017-03-20T13:36:45 --startdatetime 2017-03-20T13:40:19 --delay 1 --endMP 204:691 --enddatetime 2017-03-20T13:55:54 --enforcementcount 0 &gt;&gt;C:\Users\stu\Documents\GitHub\eaglep3-reporting\EC\2017-03-20-refined-times.txt</v>
      </c>
      <c r="AI179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{"issue":{"subject":"","project_id":79,"tracker_id":40,"status_id":1,"priority_id":2,"assigned_to_id":23,"start_date":"2017-03-20","description":"","custom_fields":[{"id":1,"name":"Subdivision","value":"NW"},{"id":4,"name":"Milepost","value":"0.0691"},{"id":17,"name":"Train ID","value":"822-20"},{"id":16,"name":"Locomotive ID","value":"4039"},{"id":130,"name":"Impact","value":""},{"id":150,"name":"Time of Event (Mountain Time)","value":"13:55:54"},{"id":151,"name":"Denver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63"/>
        <v>start /low /b %USERPROFILE%\Documents\GitHub\eaglep3\Utilities\DownloadLogsFromS3.py --loco 4039 --day 2017-03-20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"%USERPROFILE%\AppData\Local\Temp\OnboardLogs"\RTDC4039\*4039*20170320* | grep -SE "(Enforcement Action)|(\[TIMEOUT)|(CHR.+\|PRM\|1\|D.+(SWITCH|SIGNAL).+UNKNOWN)" - &gt;&gt; 2017-03-20-UncaughtWiMAX.txt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3" t="s">
        <v>753</v>
      </c>
      <c r="B180" s="7">
        <v>4040</v>
      </c>
      <c r="C180" s="21" t="s">
        <v>222</v>
      </c>
      <c r="D180" s="21" t="s">
        <v>956</v>
      </c>
      <c r="E180" s="13">
        <v>42814.592476851853</v>
      </c>
      <c r="F180" s="13">
        <v>42814.598090277781</v>
      </c>
      <c r="G180" s="7">
        <v>1</v>
      </c>
      <c r="H180" s="21" t="s">
        <v>433</v>
      </c>
      <c r="I180" s="13">
        <v>42814.606909722221</v>
      </c>
      <c r="J180" s="7">
        <v>0</v>
      </c>
      <c r="K180" s="98" t="str">
        <f t="shared" si="49"/>
        <v>4039/4040</v>
      </c>
      <c r="L180" s="21" t="str">
        <f>VLOOKUP(A180,'Trips&amp;Operators'!$C$1:$G$99999,5,FALSE)</f>
        <v>FORTUNATO FRANK</v>
      </c>
      <c r="M180" s="6">
        <f t="shared" si="50"/>
        <v>8.8194444397231564E-3</v>
      </c>
      <c r="N180" s="7">
        <f t="shared" si="65"/>
        <v>12.699999993201345</v>
      </c>
      <c r="O180" s="7"/>
      <c r="P180" s="7"/>
      <c r="Q180" s="22"/>
      <c r="R180" s="22"/>
      <c r="S180" s="31">
        <f t="shared" si="66"/>
        <v>1</v>
      </c>
      <c r="T180" s="46" t="str">
        <f t="shared" si="51"/>
        <v>NorthBound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52"/>
        <v>https://d0f6bd738d7f1b3e5a7ca70fe4ff75f0.us-east-1.aws.found.io/app/kibana#/discover/Steve-Slow-Train-Analysis-(2080s-and-2083s)?_g=(refreshInterval:(display:Off,pause:!f,section:0,value:0),time:(from:'2017-03-20T13:13:10-0600',mode:absolute,to:'2017-03-20T15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0" s="187" t="str">
        <f t="shared" si="53"/>
        <v>N</v>
      </c>
      <c r="X180" s="187">
        <f t="shared" si="68"/>
        <v>1</v>
      </c>
      <c r="Y180" s="62">
        <f t="shared" si="55"/>
        <v>0.10249999999999999</v>
      </c>
      <c r="Z180" s="62">
        <f t="shared" si="64"/>
        <v>5.8935000000000004</v>
      </c>
      <c r="AA180" s="62">
        <f t="shared" si="56"/>
        <v>5.7910000000000004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7"/>
        <v>0823-20</v>
      </c>
      <c r="AE180" s="85" t="str">
        <f t="shared" si="58"/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AF180" s="82" t="str">
        <f t="shared" si="59"/>
        <v>"C:\Program Files (x86)\AstroGrep\AstroGrep.exe" /e /r /s /spath="%USERPROFILE%\AppData\Local\Temp\OnboardLogs" /stypes="app*4040*20170320*" /stext=" 20:.+((SYSTEM_STATE.+slice.+state.+changed )|(ment ac)|(multiple cpu faults)|(system.+state.+changed )|(\[timeout)|(PRM\|1\|D)|(kpr)|(kdp)|(\|lc)|(penalty))"</v>
      </c>
      <c r="AG180" s="1" t="str">
        <f t="shared" si="60"/>
        <v>NW</v>
      </c>
      <c r="AH180" s="86" t="str">
        <f t="shared" si="61"/>
        <v>"%USERPROFILE%\Documents\GitHub\eaglep3\Utilities\RefineRTDCRunTimes.py" --tripid 823-20 --locoid 4040 --swversion DE.1.0.9.0 --startMP 204:1025 --initTime 2017-03-20T14:13:10 --startdatetime 2017-03-20T14:21:15 --delay 1 --endMP 300:58935 --enddatetime 2017-03-20T14:33:57 --enforcementcount 0 &gt;&gt;C:\Users\stu\Documents\GitHub\eaglep3-reporting\EC\2017-03-20-refined-times.txt</v>
      </c>
      <c r="AI180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{"issue":{"subject":"","project_id":79,"tracker_id":40,"status_id":1,"priority_id":2,"assigned_to_id":23,"start_date":"2017-03-20","description":"","custom_fields":[{"id":1,"name":"Subdivision","value":"NW"},{"id":4,"name":"Milepost","value":"5.8935"},{"id":17,"name":"Train ID","value":"823-20"},{"id":16,"name":"Locomotive ID","value":"4040"},{"id":130,"name":"Impact","value":""},{"id":150,"name":"Time of Event (Mountain Time)","value":"14:33:57"},{"id":151,"name":"Denver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63"/>
        <v>start /low /b %USERPROFILE%\Documents\GitHub\eaglep3\Utilities\DownloadLogsFromS3.py --loco 4040 --day 2017-03-20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"%USERPROFILE%\AppData\Local\Temp\OnboardLogs"\RTDC4040\*4040*20170320* | grep -SE "(Enforcement Action)|(\[TIMEOUT)|(CHR.+\|PRM\|1\|D.+(SWITCH|SIGNAL).+UNKNOWN)" - &gt;&gt; 2017-03-20-UncaughtWiMAX.txt</v>
      </c>
    </row>
    <row r="181" spans="1:91" s="20" customFormat="1" x14ac:dyDescent="0.25">
      <c r="A181" s="33" t="s">
        <v>756</v>
      </c>
      <c r="B181" s="7">
        <v>4039</v>
      </c>
      <c r="C181" s="21" t="s">
        <v>222</v>
      </c>
      <c r="D181" s="21" t="s">
        <v>957</v>
      </c>
      <c r="E181" s="13">
        <v>42814.608159722222</v>
      </c>
      <c r="F181" s="13">
        <v>42814.609432870369</v>
      </c>
      <c r="G181" s="7">
        <v>1</v>
      </c>
      <c r="H181" s="21" t="s">
        <v>958</v>
      </c>
      <c r="I181" s="13">
        <v>42814.621377314812</v>
      </c>
      <c r="J181" s="7">
        <v>0</v>
      </c>
      <c r="K181" s="98" t="str">
        <f t="shared" si="49"/>
        <v>4039/4040</v>
      </c>
      <c r="L181" s="21" t="str">
        <f>VLOOKUP(A181,'Trips&amp;Operators'!$C$1:$G$99999,5,FALSE)</f>
        <v>FORTUNATO FRANK</v>
      </c>
      <c r="M181" s="6">
        <f t="shared" si="50"/>
        <v>1.1944444442633539E-2</v>
      </c>
      <c r="N181" s="7">
        <f t="shared" si="65"/>
        <v>17.199999997392297</v>
      </c>
      <c r="O181" s="7"/>
      <c r="P181" s="7"/>
      <c r="Q181" s="22"/>
      <c r="R181" s="22"/>
      <c r="S181" s="31">
        <f t="shared" si="66"/>
        <v>1</v>
      </c>
      <c r="T181" s="46" t="str">
        <f t="shared" si="51"/>
        <v>Southbound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52"/>
        <v>https://d0f6bd738d7f1b3e5a7ca70fe4ff75f0.us-east-1.aws.found.io/app/kibana#/discover/Steve-Slow-Train-Analysis-(2080s-and-2083s)?_g=(refreshInterval:(display:Off,pause:!f,section:0,value:0),time:(from:'2017-03-20T13:35:45-0600',mode:absolute,to:'2017-03-20T15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1" s="187" t="str">
        <f t="shared" si="53"/>
        <v>N</v>
      </c>
      <c r="X181" s="187">
        <f t="shared" si="68"/>
        <v>1</v>
      </c>
      <c r="Y181" s="62">
        <f t="shared" si="55"/>
        <v>5.8616999999999999</v>
      </c>
      <c r="Z181" s="62">
        <f t="shared" si="64"/>
        <v>6.8500000000000005E-2</v>
      </c>
      <c r="AA181" s="62">
        <f t="shared" si="56"/>
        <v>5.7931999999999997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7"/>
        <v>0824-20</v>
      </c>
      <c r="AE181" s="85" t="str">
        <f t="shared" si="58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181" s="82" t="str">
        <f t="shared" si="59"/>
        <v>"C:\Program Files (x86)\AstroGrep\AstroGrep.exe" /e /r /s /spath="%USERPROFILE%\AppData\Local\Temp\OnboardLogs" /stypes="app*4039*20170320*" /stext=" 20:.+((SYSTEM_STATE.+slice.+state.+changed )|(ment ac)|(multiple cpu faults)|(system.+state.+changed )|(\[timeout)|(PRM\|1\|D)|(kpr)|(kdp)|(\|lc)|(penalty))"</v>
      </c>
      <c r="AG181" s="1" t="str">
        <f t="shared" si="60"/>
        <v>NW</v>
      </c>
      <c r="AH181" s="86" t="str">
        <f t="shared" si="61"/>
        <v>"%USERPROFILE%\Documents\GitHub\eaglep3\Utilities\RefineRTDCRunTimes.py" --tripid 824-20 --locoid 4039 --swversion DE.1.0.9.0 --startMP 300:58617 --initTime 2017-03-20T14:35:45 --startdatetime 2017-03-20T14:37:35 --delay 1 --endMP 204:685 --enddatetime 2017-03-20T14:54:47 --enforcementcount 0 &gt;&gt;C:\Users\stu\Documents\GitHub\eaglep3-reporting\EC\2017-03-20-refined-times.txt</v>
      </c>
      <c r="AI181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{"issue":{"subject":"","project_id":79,"tracker_id":40,"status_id":1,"priority_id":2,"assigned_to_id":23,"start_date":"2017-03-20","description":"","custom_fields":[{"id":1,"name":"Subdivision","value":"NW"},{"id":4,"name":"Milepost","value":"0.0685"},{"id":17,"name":"Train ID","value":"824-20"},{"id":16,"name":"Locomotive ID","value":"4039"},{"id":130,"name":"Impact","value":""},{"id":150,"name":"Time of Event (Mountain Time)","value":"14:54:47"},{"id":151,"name":"Denver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63"/>
        <v>start /low /b %USERPROFILE%\Documents\GitHub\eaglep3\Utilities\DownloadLogsFromS3.py --loco 4039 --day 2017-03-20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"%USERPROFILE%\AppData\Local\Temp\OnboardLogs"\RTDC4039\*4039*20170320* | grep -SE "(Enforcement Action)|(\[TIMEOUT)|(CHR.+\|PRM\|1\|D.+(SWITCH|SIGNAL).+UNKNOWN)" - &gt;&gt; 2017-03-20-UncaughtWiMAX.txt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3" t="s">
        <v>762</v>
      </c>
      <c r="B182" s="7">
        <v>4040</v>
      </c>
      <c r="C182" s="21" t="s">
        <v>222</v>
      </c>
      <c r="D182" s="21" t="s">
        <v>946</v>
      </c>
      <c r="E182" s="13">
        <v>42814.636446759258</v>
      </c>
      <c r="F182" s="13">
        <v>42814.639837962961</v>
      </c>
      <c r="G182" s="7">
        <v>1</v>
      </c>
      <c r="H182" s="21" t="s">
        <v>515</v>
      </c>
      <c r="I182" s="13">
        <v>42814.649884259263</v>
      </c>
      <c r="J182" s="7">
        <v>0</v>
      </c>
      <c r="K182" s="98" t="str">
        <f t="shared" si="49"/>
        <v>4039/4040</v>
      </c>
      <c r="L182" s="21" t="str">
        <f>VLOOKUP(A182,'Trips&amp;Operators'!$C$1:$G$99999,5,FALSE)</f>
        <v>FORTUNATO FRANK</v>
      </c>
      <c r="M182" s="6">
        <f t="shared" si="50"/>
        <v>1.004629630187992E-2</v>
      </c>
      <c r="N182" s="7">
        <f t="shared" si="65"/>
        <v>14.466666674707085</v>
      </c>
      <c r="O182" s="7"/>
      <c r="P182" s="7"/>
      <c r="Q182" s="22"/>
      <c r="R182" s="22"/>
      <c r="S182" s="31">
        <f t="shared" si="66"/>
        <v>1</v>
      </c>
      <c r="T182" s="46" t="str">
        <f t="shared" si="51"/>
        <v>NorthBound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52"/>
        <v>https://d0f6bd738d7f1b3e5a7ca70fe4ff75f0.us-east-1.aws.found.io/app/kibana#/discover/Steve-Slow-Train-Analysis-(2080s-and-2083s)?_g=(refreshInterval:(display:Off,pause:!f,section:0,value:0),time:(from:'2017-03-20T14:16:29-0600',mode:absolute,to:'2017-03-20T16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2" s="187" t="str">
        <f t="shared" si="53"/>
        <v>N</v>
      </c>
      <c r="X182" s="187">
        <f t="shared" si="68"/>
        <v>1</v>
      </c>
      <c r="Y182" s="62">
        <f t="shared" si="55"/>
        <v>9.5699999999999993E-2</v>
      </c>
      <c r="Z182" s="62">
        <f t="shared" ref="Z182:Z213" si="69">RIGHT(H182,LEN(H182)-4)/10000</f>
        <v>5.8929</v>
      </c>
      <c r="AA182" s="62">
        <f t="shared" si="56"/>
        <v>5.7972000000000001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7"/>
        <v>0825-20</v>
      </c>
      <c r="AE182" s="85" t="str">
        <f t="shared" si="58"/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AF182" s="82" t="str">
        <f t="shared" si="59"/>
        <v>"C:\Program Files (x86)\AstroGrep\AstroGrep.exe" /e /r /s /spath="%USERPROFILE%\AppData\Local\Temp\OnboardLogs" /stypes="app*4040*20170320*" /stext=" 21:.+((SYSTEM_STATE.+slice.+state.+changed )|(ment ac)|(multiple cpu faults)|(system.+state.+changed )|(\[timeout)|(PRM\|1\|D)|(kpr)|(kdp)|(\|lc)|(penalty))"</v>
      </c>
      <c r="AG182" s="1" t="str">
        <f t="shared" si="60"/>
        <v>NW</v>
      </c>
      <c r="AH182" s="86" t="str">
        <f t="shared" si="61"/>
        <v>"%USERPROFILE%\Documents\GitHub\eaglep3\Utilities\RefineRTDCRunTimes.py" --tripid 825-20 --locoid 4040 --swversion DE.1.0.9.0 --startMP 204:957 --initTime 2017-03-20T15:16:29 --startdatetime 2017-03-20T15:21:22 --delay 1 --endMP 300:58929 --enddatetime 2017-03-20T15:35:50 --enforcementcount 0 &gt;&gt;C:\Users\stu\Documents\GitHub\eaglep3-reporting\EC\2017-03-20-refined-times.txt</v>
      </c>
      <c r="AI182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{"issue":{"subject":"","project_id":79,"tracker_id":40,"status_id":1,"priority_id":2,"assigned_to_id":23,"start_date":"2017-03-20","description":"","custom_fields":[{"id":1,"name":"Subdivision","value":"NW"},{"id":4,"name":"Milepost","value":"5.8929"},{"id":17,"name":"Train ID","value":"825-20"},{"id":16,"name":"Locomotive ID","value":"4040"},{"id":130,"name":"Impact","value":""},{"id":150,"name":"Time of Event (Mountain Time)","value":"15:35:50"},{"id":151,"name":"Denver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63"/>
        <v>start /low /b %USERPROFILE%\Documents\GitHub\eaglep3\Utilities\DownloadLogsFromS3.py --loco 4040 --day 2017-03-20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"%USERPROFILE%\AppData\Local\Temp\OnboardLogs"\RTDC4040\*4040*20170320* | grep -SE "(Enforcement Action)|(\[TIMEOUT)|(CHR.+\|PRM\|1\|D.+(SWITCH|SIGNAL).+UNKNOWN)" - &gt;&gt; 2017-03-20-UncaughtWiMAX.txt</v>
      </c>
    </row>
    <row r="183" spans="1:91" x14ac:dyDescent="0.25">
      <c r="A183" s="33" t="s">
        <v>630</v>
      </c>
      <c r="B183" s="7">
        <v>4039</v>
      </c>
      <c r="C183" s="21" t="s">
        <v>222</v>
      </c>
      <c r="D183" s="21" t="s">
        <v>452</v>
      </c>
      <c r="E183" s="13">
        <v>42814.65084490741</v>
      </c>
      <c r="F183" s="13">
        <v>42814.652129629627</v>
      </c>
      <c r="G183" s="7">
        <v>1</v>
      </c>
      <c r="H183" s="21" t="s">
        <v>558</v>
      </c>
      <c r="I183" s="13">
        <v>42814.663888888892</v>
      </c>
      <c r="J183" s="7">
        <v>0</v>
      </c>
      <c r="K183" s="98" t="str">
        <f t="shared" si="49"/>
        <v>4039/4040</v>
      </c>
      <c r="L183" s="21" t="str">
        <f>VLOOKUP(A183,'Trips&amp;Operators'!$C$1:$G$99999,5,FALSE)</f>
        <v>FORTUNATO FRANK</v>
      </c>
      <c r="M183" s="6">
        <f t="shared" si="50"/>
        <v>1.1759259265090805E-2</v>
      </c>
      <c r="N183" s="7">
        <f t="shared" si="65"/>
        <v>16.933333341730759</v>
      </c>
      <c r="O183" s="7"/>
      <c r="P183" s="7"/>
      <c r="Q183" s="22"/>
      <c r="R183" s="22"/>
      <c r="S183" s="31">
        <f t="shared" si="66"/>
        <v>1</v>
      </c>
      <c r="T183" s="46" t="str">
        <f t="shared" si="51"/>
        <v>Southbound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52"/>
        <v>https://d0f6bd738d7f1b3e5a7ca70fe4ff75f0.us-east-1.aws.found.io/app/kibana#/discover/Steve-Slow-Train-Analysis-(2080s-and-2083s)?_g=(refreshInterval:(display:Off,pause:!f,section:0,value:0),time:(from:'2017-03-20T14:37:13-0600',mode:absolute,to:'2017-03-20T16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3" s="187" t="str">
        <f t="shared" si="53"/>
        <v>N</v>
      </c>
      <c r="X183" s="187">
        <f t="shared" si="68"/>
        <v>1</v>
      </c>
      <c r="Y183" s="62">
        <f t="shared" si="55"/>
        <v>5.8615000000000004</v>
      </c>
      <c r="Z183" s="62">
        <f t="shared" si="69"/>
        <v>6.8400000000000002E-2</v>
      </c>
      <c r="AA183" s="62">
        <f t="shared" si="56"/>
        <v>5.7931000000000008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7"/>
        <v>0826-20</v>
      </c>
      <c r="AE183" s="85" t="str">
        <f t="shared" si="58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183" s="82" t="str">
        <f t="shared" si="59"/>
        <v>"C:\Program Files (x86)\AstroGrep\AstroGrep.exe" /e /r /s /spath="%USERPROFILE%\AppData\Local\Temp\OnboardLogs" /stypes="app*4039*20170320*" /stext=" 21:.+((SYSTEM_STATE.+slice.+state.+changed )|(ment ac)|(multiple cpu faults)|(system.+state.+changed )|(\[timeout)|(PRM\|1\|D)|(kpr)|(kdp)|(\|lc)|(penalty))"</v>
      </c>
      <c r="AG183" s="1" t="str">
        <f t="shared" si="60"/>
        <v>NW</v>
      </c>
      <c r="AH183" s="86" t="str">
        <f t="shared" si="61"/>
        <v>"%USERPROFILE%\Documents\GitHub\eaglep3\Utilities\RefineRTDCRunTimes.py" --tripid 826-20 --locoid 4039 --swversion DE.1.0.9.0 --startMP 300:58615 --initTime 2017-03-20T15:37:13 --startdatetime 2017-03-20T15:39:04 --delay 1 --endMP 204:684 --enddatetime 2017-03-20T15:56:00 --enforcementcount 0 &gt;&gt;C:\Users\stu\Documents\GitHub\eaglep3-reporting\EC\2017-03-20-refined-times.txt</v>
      </c>
      <c r="AI183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{"issue":{"subject":"","project_id":79,"tracker_id":40,"status_id":1,"priority_id":2,"assigned_to_id":23,"start_date":"2017-03-20","description":"","custom_fields":[{"id":1,"name":"Subdivision","value":"NW"},{"id":4,"name":"Milepost","value":"0.0684"},{"id":17,"name":"Train ID","value":"826-20"},{"id":16,"name":"Locomotive ID","value":"4039"},{"id":130,"name":"Impact","value":""},{"id":150,"name":"Time of Event (Mountain Time)","value":"15:56:00"},{"id":151,"name":"Denver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63"/>
        <v>start /low /b %USERPROFILE%\Documents\GitHub\eaglep3\Utilities\DownloadLogsFromS3.py --loco 4039 --day 2017-03-20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"%USERPROFILE%\AppData\Local\Temp\OnboardLogs"\RTDC4039\*4039*20170320* | grep -SE "(Enforcement Action)|(\[TIMEOUT)|(CHR.+\|PRM\|1\|D.+(SWITCH|SIGNAL).+UNKNOWN)" - &gt;&gt; 2017-03-20-UncaughtWiMAX.txt</v>
      </c>
    </row>
    <row r="184" spans="1:91" s="20" customFormat="1" x14ac:dyDescent="0.25">
      <c r="A184" s="33" t="s">
        <v>764</v>
      </c>
      <c r="B184" s="7">
        <v>4031</v>
      </c>
      <c r="C184" s="21" t="s">
        <v>222</v>
      </c>
      <c r="D184" s="21" t="s">
        <v>959</v>
      </c>
      <c r="E184" s="13">
        <v>42814.644143518519</v>
      </c>
      <c r="F184" s="13">
        <v>42814.660567129627</v>
      </c>
      <c r="G184" s="7">
        <v>1</v>
      </c>
      <c r="H184" s="21" t="s">
        <v>453</v>
      </c>
      <c r="I184" s="13">
        <v>42814.669479166667</v>
      </c>
      <c r="J184" s="7">
        <v>0</v>
      </c>
      <c r="K184" s="98" t="str">
        <f t="shared" si="49"/>
        <v>4031/4032</v>
      </c>
      <c r="L184" s="21" t="str">
        <f>VLOOKUP(A184,'Trips&amp;Operators'!$C$1:$G$99999,5,FALSE)</f>
        <v>NEWELL JAMES</v>
      </c>
      <c r="M184" s="6">
        <f t="shared" si="50"/>
        <v>8.9120370394084603E-3</v>
      </c>
      <c r="N184" s="7">
        <f t="shared" si="65"/>
        <v>12.833333336748183</v>
      </c>
      <c r="O184" s="7"/>
      <c r="P184" s="7"/>
      <c r="Q184" s="22"/>
      <c r="R184" s="22"/>
      <c r="S184" s="31">
        <f t="shared" si="66"/>
        <v>1</v>
      </c>
      <c r="T184" s="46" t="str">
        <f t="shared" si="51"/>
        <v>NorthBound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52"/>
        <v>https://d0f6bd738d7f1b3e5a7ca70fe4ff75f0.us-east-1.aws.found.io/app/kibana#/discover/Steve-Slow-Train-Analysis-(2080s-and-2083s)?_g=(refreshInterval:(display:Off,pause:!f,section:0,value:0),time:(from:'2017-03-20T14:27:34-0600',mode:absolute,to:'2017-03-20T17:04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4" s="187" t="str">
        <f t="shared" si="53"/>
        <v>N</v>
      </c>
      <c r="X184" s="187">
        <f t="shared" si="68"/>
        <v>1</v>
      </c>
      <c r="Y184" s="62">
        <f t="shared" si="55"/>
        <v>9.4100000000000003E-2</v>
      </c>
      <c r="Z184" s="62">
        <f t="shared" si="69"/>
        <v>5.8933</v>
      </c>
      <c r="AA184" s="62">
        <f t="shared" si="56"/>
        <v>5.7991999999999999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7"/>
        <v>0827-20</v>
      </c>
      <c r="AE184" s="85" t="str">
        <f t="shared" si="58"/>
        <v>aws s3 cp s3://rtdc.mdm.uploadarchive.raw/RTDC4031/ "%USERPROFILE%\AppData\Local\Temp\OnboardLogs"\RTDC4031\2017-03-20 --exclude "*" --recursive --include "*20170320*" &amp; "%USERPROFILE%\Documents\GitHub\mrs-test-scripts\Headless Mode &amp; Sideloading\WalkAndUnGZ.bat" "%USERPROFILE%\AppData\Local\Temp\OnboardLogs"\RTDC4031\2017-03-20 &amp; 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</v>
      </c>
      <c r="AF184" s="82" t="str">
        <f t="shared" si="59"/>
        <v>"C:\Program Files (x86)\AstroGrep\AstroGrep.exe" /e /r /s /spath="%USERPROFILE%\AppData\Local\Temp\OnboardLogs" /stypes="app*4031*20170320*" /stext=" 22:.+((SYSTEM_STATE.+slice.+state.+changed )|(ment ac)|(multiple cpu faults)|(system.+state.+changed )|(\[timeout)|(PRM\|1\|D)|(kpr)|(kdp)|(\|lc)|(penalty))"</v>
      </c>
      <c r="AG184" s="1" t="str">
        <f t="shared" si="60"/>
        <v>NW</v>
      </c>
      <c r="AH184" s="86" t="str">
        <f t="shared" si="61"/>
        <v>"%USERPROFILE%\Documents\GitHub\eaglep3\Utilities\RefineRTDCRunTimes.py" --tripid 827-20 --locoid 4031 --swversion DE.1.0.9.0 --startMP 204:941 --initTime 2017-03-20T15:27:34 --startdatetime 2017-03-20T15:51:13 --delay 1 --endMP 300:58933 --enddatetime 2017-03-20T16:04:03 --enforcementcount 0 &gt;&gt;C:\Users\stu\Documents\GitHub\eaglep3-reporting\EC\2017-03-20-refined-times.txt</v>
      </c>
      <c r="AI184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{"issue":{"subject":"","project_id":79,"tracker_id":40,"status_id":1,"priority_id":2,"assigned_to_id":23,"start_date":"2017-03-20","description":"","custom_fields":[{"id":1,"name":"Subdivision","value":"NW"},{"id":4,"name":"Milepost","value":"5.8933"},{"id":17,"name":"Train ID","value":"827-20"},{"id":16,"name":"Locomotive ID","value":"4031"},{"id":130,"name":"Impact","value":""},{"id":150,"name":"Time of Event (Mountain Time)","value":"16:04:03"},{"id":151,"name":"Denver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63"/>
        <v>start /low /b %USERPROFILE%\Documents\GitHub\eaglep3\Utilities\DownloadLogsFromS3.py --loco 4031 --day 2017-03-20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"%USERPROFILE%\AppData\Local\Temp\OnboardLogs"\RTDC4031\*4031*20170320* | grep -SE "(Enforcement Action)|(\[TIMEOUT)|(CHR.+\|PRM\|1\|D.+(SWITCH|SIGNAL).+UNKNOWN)" - &gt;&gt; 2017-03-20-UncaughtWiMAX.txt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3" t="s">
        <v>768</v>
      </c>
      <c r="B185" s="7">
        <v>4032</v>
      </c>
      <c r="C185" s="21" t="s">
        <v>222</v>
      </c>
      <c r="D185" s="21" t="s">
        <v>960</v>
      </c>
      <c r="E185" s="13">
        <v>42814.670289351852</v>
      </c>
      <c r="F185" s="13">
        <v>42814.671631944446</v>
      </c>
      <c r="G185" s="7">
        <v>1</v>
      </c>
      <c r="H185" s="21" t="s">
        <v>961</v>
      </c>
      <c r="I185" s="13">
        <v>42814.684050925927</v>
      </c>
      <c r="J185" s="7">
        <v>0</v>
      </c>
      <c r="K185" s="98" t="str">
        <f t="shared" si="49"/>
        <v>4031/4032</v>
      </c>
      <c r="L185" s="21" t="str">
        <f>VLOOKUP(A185,'Trips&amp;Operators'!$C$1:$G$99999,5,FALSE)</f>
        <v>NEWELL JAMES</v>
      </c>
      <c r="M185" s="6">
        <f t="shared" si="50"/>
        <v>1.2418981481459923E-2</v>
      </c>
      <c r="N185" s="7">
        <f t="shared" si="65"/>
        <v>17.883333333302289</v>
      </c>
      <c r="O185" s="7"/>
      <c r="P185" s="7"/>
      <c r="Q185" s="22"/>
      <c r="R185" s="22"/>
      <c r="S185" s="31">
        <f t="shared" si="66"/>
        <v>1</v>
      </c>
      <c r="T185" s="46" t="str">
        <f t="shared" si="51"/>
        <v>Southbound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52"/>
        <v>https://d0f6bd738d7f1b3e5a7ca70fe4ff75f0.us-east-1.aws.found.io/app/kibana#/discover/Steve-Slow-Train-Analysis-(2080s-and-2083s)?_g=(refreshInterval:(display:Off,pause:!f,section:0,value:0),time:(from:'2017-03-20T15:05:13-0600',mode:absolute,to:'2017-03-20T17:25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5" s="187" t="str">
        <f t="shared" si="53"/>
        <v>N</v>
      </c>
      <c r="X185" s="187">
        <f t="shared" si="68"/>
        <v>1</v>
      </c>
      <c r="Y185" s="62">
        <f t="shared" si="55"/>
        <v>5.8628</v>
      </c>
      <c r="Z185" s="62">
        <f t="shared" si="69"/>
        <v>6.4500000000000002E-2</v>
      </c>
      <c r="AA185" s="62">
        <f t="shared" si="56"/>
        <v>5.7983000000000002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7"/>
        <v>0828-20</v>
      </c>
      <c r="AE185" s="85" t="str">
        <f t="shared" si="58"/>
        <v>aws s3 cp s3://rtdc.mdm.uploadarchive.raw/RTDC4032/ "%USERPROFILE%\AppData\Local\Temp\OnboardLogs"\RTDC4032\2017-03-20 --exclude "*" --recursive --include "*20170320*" &amp; "%USERPROFILE%\Documents\GitHub\mrs-test-scripts\Headless Mode &amp; Sideloading\WalkAndUnGZ.bat" "%USERPROFILE%\AppData\Local\Temp\OnboardLogs"\RTDC4032\2017-03-20 &amp; 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</v>
      </c>
      <c r="AF185" s="82" t="str">
        <f t="shared" si="59"/>
        <v>"C:\Program Files (x86)\AstroGrep\AstroGrep.exe" /e /r /s /spath="%USERPROFILE%\AppData\Local\Temp\OnboardLogs" /stypes="app*4032*20170320*" /stext=" 22:.+((SYSTEM_STATE.+slice.+state.+changed )|(ment ac)|(multiple cpu faults)|(system.+state.+changed )|(\[timeout)|(PRM\|1\|D)|(kpr)|(kdp)|(\|lc)|(penalty))"</v>
      </c>
      <c r="AG185" s="1" t="str">
        <f t="shared" si="60"/>
        <v>NW</v>
      </c>
      <c r="AH185" s="86" t="str">
        <f t="shared" si="61"/>
        <v>"%USERPROFILE%\Documents\GitHub\eaglep3\Utilities\RefineRTDCRunTimes.py" --tripid 828-20 --locoid 4032 --swversion DE.1.0.9.0 --startMP 300:58628 --initTime 2017-03-20T16:05:13 --startdatetime 2017-03-20T16:07:09 --delay 1 --endMP 204:645 --enddatetime 2017-03-20T16:25:02 --enforcementcount 0 &gt;&gt;C:\Users\stu\Documents\GitHub\eaglep3-reporting\EC\2017-03-20-refined-times.txt</v>
      </c>
      <c r="AI185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{"issue":{"subject":"","project_id":79,"tracker_id":40,"status_id":1,"priority_id":2,"assigned_to_id":23,"start_date":"2017-03-20","description":"","custom_fields":[{"id":1,"name":"Subdivision","value":"NW"},{"id":4,"name":"Milepost","value":"0.0645"},{"id":17,"name":"Train ID","value":"828-20"},{"id":16,"name":"Locomotive ID","value":"4032"},{"id":130,"name":"Impact","value":""},{"id":150,"name":"Time of Event (Mountain Time)","value":"16:25:02"},{"id":151,"name":"Denver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63"/>
        <v>start /low /b %USERPROFILE%\Documents\GitHub\eaglep3\Utilities\DownloadLogsFromS3.py --loco 4032 --day 2017-03-20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"%USERPROFILE%\AppData\Local\Temp\OnboardLogs"\RTDC4032\*4032*20170320* | grep -SE "(Enforcement Action)|(\[TIMEOUT)|(CHR.+\|PRM\|1\|D.+(SWITCH|SIGNAL).+UNKNOWN)" - &gt;&gt; 2017-03-20-UncaughtWiMAX.txt</v>
      </c>
    </row>
    <row r="186" spans="1:91" s="20" customFormat="1" x14ac:dyDescent="0.25">
      <c r="A186" s="33" t="s">
        <v>771</v>
      </c>
      <c r="B186" s="7">
        <v>4040</v>
      </c>
      <c r="C186" s="21" t="s">
        <v>222</v>
      </c>
      <c r="D186" s="21" t="s">
        <v>962</v>
      </c>
      <c r="E186" s="13">
        <v>42814.677662037036</v>
      </c>
      <c r="F186" s="13">
        <v>42814.681435185186</v>
      </c>
      <c r="G186" s="7">
        <v>1</v>
      </c>
      <c r="H186" s="21" t="s">
        <v>963</v>
      </c>
      <c r="I186" s="13">
        <v>42814.688321759262</v>
      </c>
      <c r="J186" s="7">
        <v>0</v>
      </c>
      <c r="K186" s="98" t="str">
        <f t="shared" si="49"/>
        <v>4039/4040</v>
      </c>
      <c r="L186" s="21" t="str">
        <f>VLOOKUP(A186,'Trips&amp;Operators'!$C$1:$G$99999,5,FALSE)</f>
        <v>FORTUNATO FRANK</v>
      </c>
      <c r="M186" s="6">
        <f t="shared" si="50"/>
        <v>6.8865740759065375E-3</v>
      </c>
      <c r="N186" s="7"/>
      <c r="O186" s="7"/>
      <c r="P186" s="7">
        <f>24*60*SUM($M186:$M186)</f>
        <v>9.916666669305414</v>
      </c>
      <c r="Q186" s="22"/>
      <c r="R186" s="22" t="s">
        <v>1009</v>
      </c>
      <c r="S186" s="31">
        <f t="shared" si="66"/>
        <v>1</v>
      </c>
      <c r="T186" s="46" t="str">
        <f t="shared" si="51"/>
        <v>NorthBound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52"/>
        <v>https://d0f6bd738d7f1b3e5a7ca70fe4ff75f0.us-east-1.aws.found.io/app/kibana#/discover/Steve-Slow-Train-Analysis-(2080s-and-2083s)?_g=(refreshInterval:(display:Off,pause:!f,section:0,value:0),time:(from:'2017-03-20T15:15:50-0600',mode:absolute,to:'2017-03-20T17:31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6" s="187" t="str">
        <f t="shared" si="53"/>
        <v>Y</v>
      </c>
      <c r="X186" s="187">
        <f t="shared" si="68"/>
        <v>1</v>
      </c>
      <c r="Y186" s="62">
        <f t="shared" si="55"/>
        <v>9.7900000000000001E-2</v>
      </c>
      <c r="Z186" s="62">
        <f t="shared" si="69"/>
        <v>3.8887</v>
      </c>
      <c r="AA186" s="62">
        <f t="shared" si="56"/>
        <v>3.7907999999999999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7"/>
        <v>0829-20</v>
      </c>
      <c r="AE186" s="85" t="str">
        <f t="shared" si="58"/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AF186" s="82" t="str">
        <f t="shared" si="59"/>
        <v>"C:\Program Files (x86)\AstroGrep\AstroGrep.exe" /e /r /s /spath="%USERPROFILE%\AppData\Local\Temp\OnboardLogs" /stypes="app*4040*20170320*" /stext=" 22:.+((SYSTEM_STATE.+slice.+state.+changed )|(ment ac)|(multiple cpu faults)|(system.+state.+changed )|(\[timeout)|(PRM\|1\|D)|(kpr)|(kdp)|(\|lc)|(penalty))"</v>
      </c>
      <c r="AG186" s="1" t="str">
        <f t="shared" si="60"/>
        <v>NW</v>
      </c>
      <c r="AH186" s="86" t="str">
        <f t="shared" si="61"/>
        <v>"%USERPROFILE%\Documents\GitHub\eaglep3\Utilities\RefineRTDCRunTimes.py" --tripid 829-20 --locoid 4040 --swversion DE.1.0.9.0 --startMP 204:979 --initTime 2017-03-20T16:15:50 --startdatetime 2017-03-20T16:21:16 --delay 1 --endMP 300:38887 --enddatetime 2017-03-20T16:31:11 --enforcementcount 0 &gt;&gt;C:\Users\stu\Documents\GitHub\eaglep3-reporting\EC\2017-03-20-refined-times.txt</v>
      </c>
      <c r="AI186" s="108" t="str">
        <f t="shared" si="62"/>
        <v>echo {"issue":{"subject":"NW0483 ELXS hardware failure","project_id":79,"tracker_id":40,"status_id":1,"priority_id":2,"assigned_to_id":23,"start_date":"2017-03-20","description":"","custom_fields":[{"id":1,"name":"Subdivision","value":"NW"},{"id":4,"name":"Milepost","value":"3.8887"},{"id":17,"name":"Train ID","value":"829-20"},{"id":16,"name":"Locomotive ID","value":"4040"},{"id":130,"name":"Impact","value":""},{"id":150,"name":"Time of Event (Mountain Time)","value":"16:31:11"},{"id":151,"name":"Denver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63"/>
        <v>start /low /b %USERPROFILE%\Documents\GitHub\eaglep3\Utilities\DownloadLogsFromS3.py --loco 4040 --day 2017-03-20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"%USERPROFILE%\AppData\Local\Temp\OnboardLogs"\RTDC4040\*4040*20170320* | grep -SE "(Enforcement Action)|(\[TIMEOUT)|(CHR.+\|PRM\|1\|D.+(SWITCH|SIGNAL).+UNKNOWN)" - &gt;&gt; 2017-03-20-UncaughtWiMAX.txt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3" t="s">
        <v>632</v>
      </c>
      <c r="B187" s="7">
        <v>4039</v>
      </c>
      <c r="C187" s="21" t="s">
        <v>222</v>
      </c>
      <c r="D187" s="21" t="s">
        <v>516</v>
      </c>
      <c r="E187" s="13">
        <v>42814.698912037034</v>
      </c>
      <c r="F187" s="13">
        <v>42814.739606481482</v>
      </c>
      <c r="G187" s="7">
        <v>1</v>
      </c>
      <c r="H187" s="21" t="s">
        <v>964</v>
      </c>
      <c r="I187" s="13">
        <v>42814.748252314814</v>
      </c>
      <c r="J187" s="7">
        <v>0</v>
      </c>
      <c r="K187" s="98" t="str">
        <f t="shared" si="49"/>
        <v>4039/4040</v>
      </c>
      <c r="L187" s="21" t="str">
        <f>VLOOKUP(A187,'Trips&amp;Operators'!$C$1:$G$99999,5,FALSE)</f>
        <v>FORTUNATO FRANK</v>
      </c>
      <c r="M187" s="6">
        <f t="shared" si="50"/>
        <v>8.6458333316841163E-3</v>
      </c>
      <c r="N187" s="7"/>
      <c r="O187" s="7"/>
      <c r="P187" s="7">
        <f>24*60*SUM($M187:$M187)</f>
        <v>12.449999997625127</v>
      </c>
      <c r="Q187" s="22"/>
      <c r="R187" s="22" t="s">
        <v>1009</v>
      </c>
      <c r="S187" s="31">
        <f t="shared" si="66"/>
        <v>0</v>
      </c>
      <c r="T187" s="46" t="str">
        <f t="shared" si="51"/>
        <v>Southbound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0</v>
      </c>
      <c r="V187" s="186" t="str">
        <f t="shared" si="52"/>
        <v>https://d0f6bd738d7f1b3e5a7ca70fe4ff75f0.us-east-1.aws.found.io/app/kibana#/discover/Steve-Slow-Train-Analysis-(2080s-and-2083s)?_g=(refreshInterval:(display:Off,pause:!f,section:0,value:0),time:(from:'2017-03-20T15:46:26-0600',mode:absolute,to:'2017-03-20T18:57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7" s="187" t="str">
        <f t="shared" si="53"/>
        <v>Y</v>
      </c>
      <c r="X187" s="187">
        <f t="shared" si="68"/>
        <v>1</v>
      </c>
      <c r="Y187" s="62">
        <f t="shared" si="55"/>
        <v>5.8623000000000003</v>
      </c>
      <c r="Z187" s="62">
        <f t="shared" si="69"/>
        <v>5.8202999999999996</v>
      </c>
      <c r="AA187" s="62">
        <f t="shared" si="56"/>
        <v>4.2000000000000703E-2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7"/>
        <v>0830-20</v>
      </c>
      <c r="AE187" s="85" t="str">
        <f t="shared" si="58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187" s="82" t="str">
        <f t="shared" si="59"/>
        <v>"C:\Program Files (x86)\AstroGrep\AstroGrep.exe" /e /r /s /spath="%USERPROFILE%\AppData\Local\Temp\OnboardLogs" /stypes="app*4039*20170320*" /stext=" 23:.+((SYSTEM_STATE.+slice.+state.+changed )|(ment ac)|(multiple cpu faults)|(system.+state.+changed )|(\[timeout)|(PRM\|1\|D)|(kpr)|(kdp)|(\|lc)|(penalty))"</v>
      </c>
      <c r="AG187" s="1" t="str">
        <f t="shared" si="60"/>
        <v>NW</v>
      </c>
      <c r="AH187" s="86" t="str">
        <f t="shared" si="61"/>
        <v>"%USERPROFILE%\Documents\GitHub\eaglep3\Utilities\RefineRTDCRunTimes.py" --tripid 830-20 --locoid 4039 --swversion DE.1.0.9.0 --startMP 300:58623 --initTime 2017-03-20T16:46:26 --startdatetime 2017-03-20T17:45:02 --delay 1 --endMP 300:58203 --enddatetime 2017-03-20T17:57:29 --enforcementcount 0 &gt;&gt;C:\Users\stu\Documents\GitHub\eaglep3-reporting\EC\2017-03-20-refined-times.txt</v>
      </c>
      <c r="AI187" s="108" t="str">
        <f t="shared" si="62"/>
        <v>echo {"issue":{"subject":"NW0483 ELXS hardware failure","project_id":79,"tracker_id":40,"status_id":1,"priority_id":2,"assigned_to_id":23,"start_date":"2017-03-20","description":"","custom_fields":[{"id":1,"name":"Subdivision","value":"NW"},{"id":4,"name":"Milepost","value":"5.8203"},{"id":17,"name":"Train ID","value":"830-20"},{"id":16,"name":"Locomotive ID","value":"4039"},{"id":130,"name":"Impact","value":""},{"id":150,"name":"Time of Event (Mountain Time)","value":"17:57:29"},{"id":151,"name":"Denver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63"/>
        <v>start /low /b %USERPROFILE%\Documents\GitHub\eaglep3\Utilities\DownloadLogsFromS3.py --loco 4039 --day 2017-03-20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"%USERPROFILE%\AppData\Local\Temp\OnboardLogs"\RTDC4039\*4039*20170320* | grep -SE "(Enforcement Action)|(\[TIMEOUT)|(CHR.+\|PRM\|1\|D.+(SWITCH|SIGNAL).+UNKNOWN)" - &gt;&gt; 2017-03-20-UncaughtWiMAX.txt</v>
      </c>
    </row>
    <row r="188" spans="1:91" x14ac:dyDescent="0.25">
      <c r="A188" s="33" t="s">
        <v>774</v>
      </c>
      <c r="B188" s="7">
        <v>4031</v>
      </c>
      <c r="C188" s="21" t="s">
        <v>222</v>
      </c>
      <c r="D188" s="21" t="s">
        <v>965</v>
      </c>
      <c r="E188" s="13">
        <v>42814.694305555553</v>
      </c>
      <c r="F188" s="13">
        <v>42814.702256944445</v>
      </c>
      <c r="G188" s="7">
        <v>1</v>
      </c>
      <c r="H188" s="21" t="s">
        <v>966</v>
      </c>
      <c r="I188" s="13">
        <v>42814.710729166669</v>
      </c>
      <c r="J188" s="7">
        <v>0</v>
      </c>
      <c r="K188" s="98" t="str">
        <f t="shared" si="49"/>
        <v>4031/4032</v>
      </c>
      <c r="L188" s="21" t="str">
        <f>VLOOKUP(A188,'Trips&amp;Operators'!$C$1:$G$99999,5,FALSE)</f>
        <v>NEWELL JAMES</v>
      </c>
      <c r="M188" s="6">
        <f t="shared" si="50"/>
        <v>8.4722222236450762E-3</v>
      </c>
      <c r="N188" s="7"/>
      <c r="O188" s="7"/>
      <c r="P188" s="7">
        <f>24*60*SUM($M188:$M188)</f>
        <v>12.20000000204891</v>
      </c>
      <c r="Q188" s="22"/>
      <c r="R188" s="22" t="s">
        <v>1009</v>
      </c>
      <c r="S188" s="31">
        <f t="shared" si="66"/>
        <v>1</v>
      </c>
      <c r="T188" s="46" t="str">
        <f t="shared" si="51"/>
        <v>NorthBound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52"/>
        <v>https://d0f6bd738d7f1b3e5a7ca70fe4ff75f0.us-east-1.aws.found.io/app/kibana#/discover/Steve-Slow-Train-Analysis-(2080s-and-2083s)?_g=(refreshInterval:(display:Off,pause:!f,section:0,value:0),time:(from:'2017-03-20T15:39:48-0600',mode:absolute,to:'2017-03-20T18:03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8" s="187" t="str">
        <f t="shared" si="53"/>
        <v>Y</v>
      </c>
      <c r="X188" s="187">
        <f t="shared" si="68"/>
        <v>1</v>
      </c>
      <c r="Y188" s="62">
        <f t="shared" si="55"/>
        <v>9.3600000000000003E-2</v>
      </c>
      <c r="Z188" s="62">
        <f t="shared" si="69"/>
        <v>3.952</v>
      </c>
      <c r="AA188" s="62">
        <f t="shared" si="56"/>
        <v>3.8584000000000001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7"/>
        <v>0831-20</v>
      </c>
      <c r="AE188" s="85" t="str">
        <f t="shared" si="58"/>
        <v>aws s3 cp s3://rtdc.mdm.uploadarchive.raw/RTDC4031/ "%USERPROFILE%\AppData\Local\Temp\OnboardLogs"\RTDC4031\2017-03-20 --exclude "*" --recursive --include "*20170320*" &amp; "%USERPROFILE%\Documents\GitHub\mrs-test-scripts\Headless Mode &amp; Sideloading\WalkAndUnGZ.bat" "%USERPROFILE%\AppData\Local\Temp\OnboardLogs"\RTDC4031\2017-03-20 &amp; 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</v>
      </c>
      <c r="AF188" s="82" t="str">
        <f t="shared" si="59"/>
        <v>"C:\Program Files (x86)\AstroGrep\AstroGrep.exe" /e /r /s /spath="%USERPROFILE%\AppData\Local\Temp\OnboardLogs" /stypes="app*4031*20170320*" /stext=" 23:.+((SYSTEM_STATE.+slice.+state.+changed )|(ment ac)|(multiple cpu faults)|(system.+state.+changed )|(\[timeout)|(PRM\|1\|D)|(kpr)|(kdp)|(\|lc)|(penalty))"</v>
      </c>
      <c r="AG188" s="1" t="str">
        <f t="shared" si="60"/>
        <v>NW</v>
      </c>
      <c r="AH188" s="86" t="str">
        <f t="shared" si="61"/>
        <v>"%USERPROFILE%\Documents\GitHub\eaglep3\Utilities\RefineRTDCRunTimes.py" --tripid 831-20 --locoid 4031 --swversion DE.1.0.9.0 --startMP 204:936 --initTime 2017-03-20T16:39:48 --startdatetime 2017-03-20T16:51:15 --delay 1 --endMP 300:39520 --enddatetime 2017-03-20T17:03:27 --enforcementcount 0 &gt;&gt;C:\Users\stu\Documents\GitHub\eaglep3-reporting\EC\2017-03-20-refined-times.txt</v>
      </c>
      <c r="AI188" s="108" t="str">
        <f t="shared" si="62"/>
        <v>echo {"issue":{"subject":"NW0483 ELXS hardware failure","project_id":79,"tracker_id":40,"status_id":1,"priority_id":2,"assigned_to_id":23,"start_date":"2017-03-20","description":"","custom_fields":[{"id":1,"name":"Subdivision","value":"NW"},{"id":4,"name":"Milepost","value":"3.952"},{"id":17,"name":"Train ID","value":"831-20"},{"id":16,"name":"Locomotive ID","value":"4031"},{"id":130,"name":"Impact","value":""},{"id":150,"name":"Time of Event (Mountain Time)","value":"17:03:27"},{"id":151,"name":"Denver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63"/>
        <v>start /low /b %USERPROFILE%\Documents\GitHub\eaglep3\Utilities\DownloadLogsFromS3.py --loco 4031 --day 2017-03-20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"%USERPROFILE%\AppData\Local\Temp\OnboardLogs"\RTDC4031\*4031*20170320* | grep -SE "(Enforcement Action)|(\[TIMEOUT)|(CHR.+\|PRM\|1\|D.+(SWITCH|SIGNAL).+UNKNOWN)" - &gt;&gt; 2017-03-20-UncaughtWiMAX.txt</v>
      </c>
    </row>
    <row r="189" spans="1:91" x14ac:dyDescent="0.25">
      <c r="A189" s="33" t="s">
        <v>780</v>
      </c>
      <c r="B189" s="7">
        <v>4032</v>
      </c>
      <c r="C189" s="21" t="s">
        <v>222</v>
      </c>
      <c r="D189" s="21" t="s">
        <v>967</v>
      </c>
      <c r="E189" s="13">
        <v>42814.722141203703</v>
      </c>
      <c r="F189" s="13">
        <v>42814.723217592589</v>
      </c>
      <c r="G189" s="7">
        <v>1</v>
      </c>
      <c r="H189" s="21" t="s">
        <v>968</v>
      </c>
      <c r="I189" s="13">
        <v>42814.733900462961</v>
      </c>
      <c r="J189" s="7">
        <v>0</v>
      </c>
      <c r="K189" s="98" t="str">
        <f t="shared" si="49"/>
        <v>4031/4032</v>
      </c>
      <c r="L189" s="21" t="str">
        <f>VLOOKUP(A189,'Trips&amp;Operators'!$C$1:$G$99999,5,FALSE)</f>
        <v>NEWELL JAMES</v>
      </c>
      <c r="M189" s="6">
        <f t="shared" si="50"/>
        <v>1.0682870371965691E-2</v>
      </c>
      <c r="N189" s="7">
        <f t="shared" ref="N189:N233" si="70">24*60*SUM($M189:$M189)</f>
        <v>15.383333335630596</v>
      </c>
      <c r="O189" s="7"/>
      <c r="P189" s="7"/>
      <c r="Q189" s="22"/>
      <c r="R189" s="22"/>
      <c r="S189" s="31">
        <f t="shared" ref="S189:S220" si="71">SUM(U189:U189)/IF(AG189="EC",12,1)</f>
        <v>1</v>
      </c>
      <c r="T189" s="46" t="str">
        <f t="shared" si="51"/>
        <v>Southbound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52"/>
        <v>https://d0f6bd738d7f1b3e5a7ca70fe4ff75f0.us-east-1.aws.found.io/app/kibana#/discover/Steve-Slow-Train-Analysis-(2080s-and-2083s)?_g=(refreshInterval:(display:Off,pause:!f,section:0,value:0),time:(from:'2017-03-20T16:19:53-0600',mode:absolute,to:'2017-03-20T18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9" s="187" t="str">
        <f t="shared" si="53"/>
        <v>N</v>
      </c>
      <c r="X189" s="187">
        <f t="shared" si="68"/>
        <v>1</v>
      </c>
      <c r="Y189" s="62">
        <f t="shared" si="55"/>
        <v>5.7321999999999997</v>
      </c>
      <c r="Z189" s="62">
        <f t="shared" si="69"/>
        <v>6.6100000000000006E-2</v>
      </c>
      <c r="AA189" s="62">
        <f t="shared" si="56"/>
        <v>5.6661000000000001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7"/>
        <v>0832-20</v>
      </c>
      <c r="AE189" s="85" t="str">
        <f t="shared" si="58"/>
        <v>aws s3 cp s3://rtdc.mdm.uploadarchive.raw/RTDC4032/ "%USERPROFILE%\AppData\Local\Temp\OnboardLogs"\RTDC4032\2017-03-20 --exclude "*" --recursive --include "*20170320*" &amp; "%USERPROFILE%\Documents\GitHub\mrs-test-scripts\Headless Mode &amp; Sideloading\WalkAndUnGZ.bat" "%USERPROFILE%\AppData\Local\Temp\OnboardLogs"\RTDC4032\2017-03-20 &amp; 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</v>
      </c>
      <c r="AF189" s="82" t="str">
        <f t="shared" si="59"/>
        <v>"C:\Program Files (x86)\AstroGrep\AstroGrep.exe" /e /r /s /spath="%USERPROFILE%\AppData\Local\Temp\OnboardLogs" /stypes="app*4032*20170320*" /stext=" 23:.+((SYSTEM_STATE.+slice.+state.+changed )|(ment ac)|(multiple cpu faults)|(system.+state.+changed )|(\[timeout)|(PRM\|1\|D)|(kpr)|(kdp)|(\|lc)|(penalty))"</v>
      </c>
      <c r="AG189" s="1" t="str">
        <f t="shared" si="60"/>
        <v>NW</v>
      </c>
      <c r="AH189" s="86" t="str">
        <f t="shared" si="61"/>
        <v>"%USERPROFILE%\Documents\GitHub\eaglep3\Utilities\RefineRTDCRunTimes.py" --tripid 832-20 --locoid 4032 --swversion DE.1.0.9.0 --startMP 300:57322 --initTime 2017-03-20T17:19:53 --startdatetime 2017-03-20T17:21:26 --delay 1 --endMP 204:661 --enddatetime 2017-03-20T17:36:49 --enforcementcount 0 &gt;&gt;C:\Users\stu\Documents\GitHub\eaglep3-reporting\EC\2017-03-20-refined-times.txt</v>
      </c>
      <c r="AI189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{"issue":{"subject":"","project_id":79,"tracker_id":40,"status_id":1,"priority_id":2,"assigned_to_id":23,"start_date":"2017-03-20","description":"","custom_fields":[{"id":1,"name":"Subdivision","value":"NW"},{"id":4,"name":"Milepost","value":"0.0661"},{"id":17,"name":"Train ID","value":"832-20"},{"id":16,"name":"Locomotive ID","value":"4032"},{"id":130,"name":"Impact","value":""},{"id":150,"name":"Time of Event (Mountain Time)","value":"17:36:49"},{"id":151,"name":"Denver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63"/>
        <v>start /low /b %USERPROFILE%\Documents\GitHub\eaglep3\Utilities\DownloadLogsFromS3.py --loco 4032 --day 2017-03-20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"%USERPROFILE%\AppData\Local\Temp\OnboardLogs"\RTDC4032\*4032*20170320* | grep -SE "(Enforcement Action)|(\[TIMEOUT)|(CHR.+\|PRM\|1\|D.+(SWITCH|SIGNAL).+UNKNOWN)" - &gt;&gt; 2017-03-20-UncaughtWiMAX.txt</v>
      </c>
    </row>
    <row r="190" spans="1:91" x14ac:dyDescent="0.25">
      <c r="A190" s="33" t="s">
        <v>777</v>
      </c>
      <c r="B190" s="7">
        <v>4040</v>
      </c>
      <c r="C190" s="21" t="s">
        <v>222</v>
      </c>
      <c r="D190" s="21" t="s">
        <v>969</v>
      </c>
      <c r="E190" s="13">
        <v>42814.717476851853</v>
      </c>
      <c r="F190" s="13">
        <v>42814.723101851851</v>
      </c>
      <c r="G190" s="7">
        <v>0</v>
      </c>
      <c r="H190" s="21" t="s">
        <v>453</v>
      </c>
      <c r="I190" s="13">
        <v>42814.737719907411</v>
      </c>
      <c r="J190" s="7">
        <v>0</v>
      </c>
      <c r="K190" s="98" t="str">
        <f t="shared" si="49"/>
        <v>4039/4040</v>
      </c>
      <c r="L190" s="21" t="str">
        <f>VLOOKUP(A190,'Trips&amp;Operators'!$C$1:$G$99999,5,FALSE)</f>
        <v>FORTUNATO FRANK</v>
      </c>
      <c r="M190" s="6">
        <f t="shared" si="50"/>
        <v>1.4618055560276844E-2</v>
      </c>
      <c r="N190" s="7">
        <f t="shared" si="70"/>
        <v>21.050000006798655</v>
      </c>
      <c r="O190" s="7"/>
      <c r="P190" s="7"/>
      <c r="Q190" s="22"/>
      <c r="R190" s="22"/>
      <c r="S190" s="31">
        <f t="shared" si="71"/>
        <v>1</v>
      </c>
      <c r="T190" s="46" t="str">
        <f t="shared" si="51"/>
        <v>NorthBound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52"/>
        <v>https://d0f6bd738d7f1b3e5a7ca70fe4ff75f0.us-east-1.aws.found.io/app/kibana#/discover/Steve-Slow-Train-Analysis-(2080s-and-2083s)?_g=(refreshInterval:(display:Off,pause:!f,section:0,value:0),time:(from:'2017-03-20T16:13:10-0600',mode:absolute,to:'2017-03-20T18:42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0" s="187" t="str">
        <f t="shared" si="53"/>
        <v>N</v>
      </c>
      <c r="X190" s="187">
        <f t="shared" si="68"/>
        <v>1</v>
      </c>
      <c r="Y190" s="62">
        <f t="shared" si="55"/>
        <v>9.6500000000000002E-2</v>
      </c>
      <c r="Z190" s="62">
        <f t="shared" si="69"/>
        <v>5.8933</v>
      </c>
      <c r="AA190" s="62">
        <f t="shared" si="56"/>
        <v>5.7968000000000002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7"/>
        <v>0833-20</v>
      </c>
      <c r="AE190" s="85" t="str">
        <f t="shared" si="58"/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AF190" s="82" t="str">
        <f t="shared" si="59"/>
        <v>"C:\Program Files (x86)\AstroGrep\AstroGrep.exe" /e /r /s /spath="%USERPROFILE%\AppData\Local\Temp\OnboardLogs" /stypes="app*4040*20170320*" /stext=" 23:.+((SYSTEM_STATE.+slice.+state.+changed )|(ment ac)|(multiple cpu faults)|(system.+state.+changed )|(\[timeout)|(PRM\|1\|D)|(kpr)|(kdp)|(\|lc)|(penalty))"</v>
      </c>
      <c r="AG190" s="1" t="str">
        <f t="shared" si="60"/>
        <v>NW</v>
      </c>
      <c r="AH190" s="86" t="str">
        <f t="shared" si="61"/>
        <v>"%USERPROFILE%\Documents\GitHub\eaglep3\Utilities\RefineRTDCRunTimes.py" --tripid 833-20 --locoid 4040 --swversion DE.1.0.9.0 --startMP 204:965 --initTime 2017-03-20T17:13:10 --startdatetime 2017-03-20T17:21:16 --delay 0 --endMP 300:58933 --enddatetime 2017-03-20T17:42:19 --enforcementcount 0 &gt;&gt;C:\Users\stu\Documents\GitHub\eaglep3-reporting\EC\2017-03-20-refined-times.txt</v>
      </c>
      <c r="AI190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{"issue":{"subject":"","project_id":79,"tracker_id":40,"status_id":1,"priority_id":2,"assigned_to_id":23,"start_date":"2017-03-20","description":"","custom_fields":[{"id":1,"name":"Subdivision","value":"NW"},{"id":4,"name":"Milepost","value":"5.8933"},{"id":17,"name":"Train ID","value":"833-20"},{"id":16,"name":"Locomotive ID","value":"4040"},{"id":130,"name":"Impact","value":""},{"id":150,"name":"Time of Event (Mountain Time)","value":"17:42:19"},{"id":151,"name":"Denver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63"/>
        <v>start /low /b %USERPROFILE%\Documents\GitHub\eaglep3\Utilities\DownloadLogsFromS3.py --loco 4040 --day 2017-03-20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"%USERPROFILE%\AppData\Local\Temp\OnboardLogs"\RTDC4040\*4040*20170320* | grep -SE "(Enforcement Action)|(\[TIMEOUT)|(CHR.+\|PRM\|1\|D.+(SWITCH|SIGNAL).+UNKNOWN)" - &gt;&gt; 2017-03-20-UncaughtWiMAX.txt</v>
      </c>
    </row>
    <row r="191" spans="1:91" x14ac:dyDescent="0.25">
      <c r="A191" s="33" t="s">
        <v>782</v>
      </c>
      <c r="B191" s="7">
        <v>4039</v>
      </c>
      <c r="C191" s="21" t="s">
        <v>222</v>
      </c>
      <c r="D191" s="21" t="s">
        <v>452</v>
      </c>
      <c r="E191" s="13">
        <v>42814.738611111112</v>
      </c>
      <c r="F191" s="13">
        <v>42814.739606481482</v>
      </c>
      <c r="G191" s="7">
        <v>1</v>
      </c>
      <c r="H191" s="21" t="s">
        <v>931</v>
      </c>
      <c r="I191" s="13">
        <v>42814.748252314814</v>
      </c>
      <c r="J191" s="7">
        <v>0</v>
      </c>
      <c r="K191" s="98" t="str">
        <f t="shared" si="49"/>
        <v>4039/4040</v>
      </c>
      <c r="L191" s="21" t="str">
        <f>VLOOKUP(A191,'Trips&amp;Operators'!$C$1:$G$99999,5,FALSE)</f>
        <v>FORTUNATO FRANK</v>
      </c>
      <c r="M191" s="6">
        <f t="shared" si="50"/>
        <v>8.6458333316841163E-3</v>
      </c>
      <c r="N191" s="7">
        <f t="shared" si="70"/>
        <v>12.449999997625127</v>
      </c>
      <c r="O191" s="7"/>
      <c r="P191" s="7"/>
      <c r="Q191" s="22"/>
      <c r="R191" s="22"/>
      <c r="S191" s="31">
        <f t="shared" si="71"/>
        <v>1</v>
      </c>
      <c r="T191" s="46" t="str">
        <f t="shared" si="51"/>
        <v>Southbound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52"/>
        <v>https://d0f6bd738d7f1b3e5a7ca70fe4ff75f0.us-east-1.aws.found.io/app/kibana#/discover/Steve-Slow-Train-Analysis-(2080s-and-2083s)?_g=(refreshInterval:(display:Off,pause:!f,section:0,value:0),time:(from:'2017-03-20T16:43:36-0600',mode:absolute,to:'2017-03-20T18:57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1" s="187" t="str">
        <f t="shared" si="53"/>
        <v>N</v>
      </c>
      <c r="X191" s="187">
        <f t="shared" si="68"/>
        <v>1</v>
      </c>
      <c r="Y191" s="62">
        <f t="shared" si="55"/>
        <v>5.8615000000000004</v>
      </c>
      <c r="Z191" s="62">
        <f t="shared" si="69"/>
        <v>6.7299999999999999E-2</v>
      </c>
      <c r="AA191" s="62">
        <f t="shared" si="56"/>
        <v>5.7942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7"/>
        <v>0834-20</v>
      </c>
      <c r="AE191" s="85" t="str">
        <f t="shared" si="58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191" s="82" t="str">
        <f t="shared" si="59"/>
        <v>"C:\Program Files (x86)\AstroGrep\AstroGrep.exe" /e /r /s /spath="%USERPROFILE%\AppData\Local\Temp\OnboardLogs" /stypes="app*4039*20170320*" /stext=" 23:.+((SYSTEM_STATE.+slice.+state.+changed )|(ment ac)|(multiple cpu faults)|(system.+state.+changed )|(\[timeout)|(PRM\|1\|D)|(kpr)|(kdp)|(\|lc)|(penalty))"</v>
      </c>
      <c r="AG191" s="1" t="str">
        <f t="shared" si="60"/>
        <v>NW</v>
      </c>
      <c r="AH191" s="86" t="str">
        <f t="shared" si="61"/>
        <v>"%USERPROFILE%\Documents\GitHub\eaglep3\Utilities\RefineRTDCRunTimes.py" --tripid 834-20 --locoid 4039 --swversion DE.1.0.9.0 --startMP 300:58615 --initTime 2017-03-20T17:43:36 --startdatetime 2017-03-20T17:45:02 --delay 1 --endMP 204:673 --enddatetime 2017-03-20T17:57:29 --enforcementcount 0 &gt;&gt;C:\Users\stu\Documents\GitHub\eaglep3-reporting\EC\2017-03-20-refined-times.txt</v>
      </c>
      <c r="AI191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{"issue":{"subject":"","project_id":79,"tracker_id":40,"status_id":1,"priority_id":2,"assigned_to_id":23,"start_date":"2017-03-20","description":"","custom_fields":[{"id":1,"name":"Subdivision","value":"NW"},{"id":4,"name":"Milepost","value":"0.0673"},{"id":17,"name":"Train ID","value":"834-20"},{"id":16,"name":"Locomotive ID","value":"4039"},{"id":130,"name":"Impact","value":""},{"id":150,"name":"Time of Event (Mountain Time)","value":"17:57:29"},{"id":151,"name":"Denver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63"/>
        <v>start /low /b %USERPROFILE%\Documents\GitHub\eaglep3\Utilities\DownloadLogsFromS3.py --loco 4039 --day 2017-03-20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"%USERPROFILE%\AppData\Local\Temp\OnboardLogs"\RTDC4039\*4039*20170320* | grep -SE "(Enforcement Action)|(\[TIMEOUT)|(CHR.+\|PRM\|1\|D.+(SWITCH|SIGNAL).+UNKNOWN)" - &gt;&gt; 2017-03-20-UncaughtWiMAX.txt</v>
      </c>
    </row>
    <row r="192" spans="1:91" x14ac:dyDescent="0.25">
      <c r="A192" s="33" t="s">
        <v>784</v>
      </c>
      <c r="B192" s="7">
        <v>4031</v>
      </c>
      <c r="C192" s="21" t="s">
        <v>222</v>
      </c>
      <c r="D192" s="21" t="s">
        <v>970</v>
      </c>
      <c r="E192" s="13">
        <v>42814.738877314812</v>
      </c>
      <c r="F192" s="13">
        <v>42814.743923611109</v>
      </c>
      <c r="G192" s="7">
        <v>1</v>
      </c>
      <c r="H192" s="21" t="s">
        <v>971</v>
      </c>
      <c r="I192" s="13">
        <v>42814.753055555557</v>
      </c>
      <c r="J192" s="7">
        <v>0</v>
      </c>
      <c r="K192" s="98" t="str">
        <f t="shared" si="49"/>
        <v>4031/4032</v>
      </c>
      <c r="L192" s="21" t="str">
        <f>VLOOKUP(A192,'Trips&amp;Operators'!$C$1:$G$99999,5,FALSE)</f>
        <v>NEWELL JAMES</v>
      </c>
      <c r="M192" s="6">
        <f t="shared" si="50"/>
        <v>9.1319444472901523E-3</v>
      </c>
      <c r="N192" s="7">
        <f t="shared" si="70"/>
        <v>13.150000004097819</v>
      </c>
      <c r="O192" s="7"/>
      <c r="P192" s="7"/>
      <c r="Q192" s="22"/>
      <c r="R192" s="22"/>
      <c r="S192" s="31">
        <f t="shared" si="71"/>
        <v>1</v>
      </c>
      <c r="T192" s="46" t="str">
        <f t="shared" si="51"/>
        <v>NorthBound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52"/>
        <v>https://d0f6bd738d7f1b3e5a7ca70fe4ff75f0.us-east-1.aws.found.io/app/kibana#/discover/Steve-Slow-Train-Analysis-(2080s-and-2083s)?_g=(refreshInterval:(display:Off,pause:!f,section:0,value:0),time:(from:'2017-03-20T16:43:59-0600',mode:absolute,to:'2017-03-20T19:04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2" s="187" t="str">
        <f t="shared" si="53"/>
        <v>N</v>
      </c>
      <c r="X192" s="187">
        <f t="shared" si="68"/>
        <v>1</v>
      </c>
      <c r="Y192" s="62">
        <f t="shared" si="55"/>
        <v>9.5299999999999996E-2</v>
      </c>
      <c r="Z192" s="62">
        <f t="shared" si="69"/>
        <v>5.8920000000000003</v>
      </c>
      <c r="AA192" s="62">
        <f t="shared" si="56"/>
        <v>5.7967000000000004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7"/>
        <v>0835-20</v>
      </c>
      <c r="AE192" s="85" t="str">
        <f t="shared" si="58"/>
        <v>aws s3 cp s3://rtdc.mdm.uploadarchive.raw/RTDC4031/ "%USERPROFILE%\AppData\Local\Temp\OnboardLogs"\RTDC4031\2017-03-20 --exclude "*" --recursive --include "*20170320*" &amp; "%USERPROFILE%\Documents\GitHub\mrs-test-scripts\Headless Mode &amp; Sideloading\WalkAndUnGZ.bat" "%USERPROFILE%\AppData\Local\Temp\OnboardLogs"\RTDC4031\2017-03-20 &amp; 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</v>
      </c>
      <c r="AF192" s="82" t="str">
        <f t="shared" si="59"/>
        <v>"C:\Program Files (x86)\AstroGrep\AstroGrep.exe" /e /r /s /spath="%USERPROFILE%\AppData\Local\Temp\OnboardLogs" /stypes="app*4031*20170321*" /stext=" 00:.+((SYSTEM_STATE.+slice.+state.+changed )|(ment ac)|(multiple cpu faults)|(system.+state.+changed )|(\[timeout)|(PRM\|1\|D)|(kpr)|(kdp)|(\|lc)|(penalty))"</v>
      </c>
      <c r="AG192" s="1" t="str">
        <f t="shared" si="60"/>
        <v>NW</v>
      </c>
      <c r="AH192" s="86" t="str">
        <f t="shared" si="61"/>
        <v>"%USERPROFILE%\Documents\GitHub\eaglep3\Utilities\RefineRTDCRunTimes.py" --tripid 835-20 --locoid 4031 --swversion DE.1.0.9.0 --startMP 204:953 --initTime 2017-03-20T17:43:59 --startdatetime 2017-03-20T17:51:15 --delay 1 --endMP 300:58920 --enddatetime 2017-03-20T18:04:24 --enforcementcount 0 &gt;&gt;C:\Users\stu\Documents\GitHub\eaglep3-reporting\EC\2017-03-20-refined-times.txt</v>
      </c>
      <c r="AI192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{"issue":{"subject":"","project_id":79,"tracker_id":40,"status_id":1,"priority_id":2,"assigned_to_id":23,"start_date":"2017-03-20","description":"","custom_fields":[{"id":1,"name":"Subdivision","value":"NW"},{"id":4,"name":"Milepost","value":"5.892"},{"id":17,"name":"Train ID","value":"835-20"},{"id":16,"name":"Locomotive ID","value":"4031"},{"id":130,"name":"Impact","value":""},{"id":150,"name":"Time of Event (Mountain Time)","value":"18:04:24"},{"id":151,"name":"Denver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63"/>
        <v>start /low /b %USERPROFILE%\Documents\GitHub\eaglep3\Utilities\DownloadLogsFromS3.py --loco 4031 --day 2017-03-20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"%USERPROFILE%\AppData\Local\Temp\OnboardLogs"\RTDC4031\*4031*20170320* | grep -SE "(Enforcement Action)|(\[TIMEOUT)|(CHR.+\|PRM\|1\|D.+(SWITCH|SIGNAL).+UNKNOWN)" - &gt;&gt; 2017-03-20-UncaughtWiMAX.txt</v>
      </c>
    </row>
    <row r="193" spans="1:40" x14ac:dyDescent="0.25">
      <c r="A193" s="33" t="s">
        <v>788</v>
      </c>
      <c r="B193" s="7">
        <v>4032</v>
      </c>
      <c r="C193" s="21" t="s">
        <v>222</v>
      </c>
      <c r="D193" s="21" t="s">
        <v>937</v>
      </c>
      <c r="E193" s="13">
        <v>42814.753865740742</v>
      </c>
      <c r="F193" s="13">
        <v>42814.755983796298</v>
      </c>
      <c r="G193" s="7">
        <v>0</v>
      </c>
      <c r="H193" s="21" t="s">
        <v>972</v>
      </c>
      <c r="I193" s="13">
        <v>42814.767106481479</v>
      </c>
      <c r="J193" s="7">
        <v>0</v>
      </c>
      <c r="K193" s="98" t="str">
        <f t="shared" si="49"/>
        <v>4031/4032</v>
      </c>
      <c r="L193" s="21" t="str">
        <f>VLOOKUP(A193,'Trips&amp;Operators'!$C$1:$G$99999,5,FALSE)</f>
        <v>NEWELL JAMES</v>
      </c>
      <c r="M193" s="6">
        <f t="shared" si="50"/>
        <v>1.1122685180453118E-2</v>
      </c>
      <c r="N193" s="7">
        <f t="shared" si="70"/>
        <v>16.01666665985249</v>
      </c>
      <c r="O193" s="7"/>
      <c r="P193" s="7"/>
      <c r="Q193" s="22"/>
      <c r="R193" s="22"/>
      <c r="S193" s="31">
        <f t="shared" si="71"/>
        <v>1</v>
      </c>
      <c r="T193" s="46" t="str">
        <f t="shared" si="51"/>
        <v>Southbound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52"/>
        <v>https://d0f6bd738d7f1b3e5a7ca70fe4ff75f0.us-east-1.aws.found.io/app/kibana#/discover/Steve-Slow-Train-Analysis-(2080s-and-2083s)?_g=(refreshInterval:(display:Off,pause:!f,section:0,value:0),time:(from:'2017-03-20T17:05:34-0600',mode:absolute,to:'2017-03-20T19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3" s="187" t="str">
        <f t="shared" si="53"/>
        <v>N</v>
      </c>
      <c r="X193" s="187">
        <f t="shared" si="68"/>
        <v>1</v>
      </c>
      <c r="Y193" s="62">
        <f t="shared" si="55"/>
        <v>5.8608000000000002</v>
      </c>
      <c r="Z193" s="62">
        <f t="shared" si="69"/>
        <v>6.5000000000000002E-2</v>
      </c>
      <c r="AA193" s="62">
        <f t="shared" si="56"/>
        <v>5.7957999999999998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7"/>
        <v>0836-20</v>
      </c>
      <c r="AE193" s="85" t="str">
        <f t="shared" si="58"/>
        <v>aws s3 cp s3://rtdc.mdm.uploadarchive.raw/RTDC4032/ "%USERPROFILE%\AppData\Local\Temp\OnboardLogs"\RTDC4032\2017-03-20 --exclude "*" --recursive --include "*20170320*" &amp; "%USERPROFILE%\Documents\GitHub\mrs-test-scripts\Headless Mode &amp; Sideloading\WalkAndUnGZ.bat" "%USERPROFILE%\AppData\Local\Temp\OnboardLogs"\RTDC4032\2017-03-20 &amp; 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</v>
      </c>
      <c r="AF193" s="82" t="str">
        <f t="shared" si="59"/>
        <v>"C:\Program Files (x86)\AstroGrep\AstroGrep.exe" /e /r /s /spath="%USERPROFILE%\AppData\Local\Temp\OnboardLogs" /stypes="app*4032*20170321*" /stext=" 00:.+((SYSTEM_STATE.+slice.+state.+changed )|(ment ac)|(multiple cpu faults)|(system.+state.+changed )|(\[timeout)|(PRM\|1\|D)|(kpr)|(kdp)|(\|lc)|(penalty))"</v>
      </c>
      <c r="AG193" s="1" t="str">
        <f t="shared" si="60"/>
        <v>NW</v>
      </c>
      <c r="AH193" s="86" t="str">
        <f t="shared" si="61"/>
        <v>"%USERPROFILE%\Documents\GitHub\eaglep3\Utilities\RefineRTDCRunTimes.py" --tripid 836-20 --locoid 4032 --swversion DE.1.0.9.0 --startMP 300:58608 --initTime 2017-03-20T18:05:34 --startdatetime 2017-03-20T18:08:37 --delay 0 --endMP 204:650 --enddatetime 2017-03-20T18:24:38 --enforcementcount 0 &gt;&gt;C:\Users\stu\Documents\GitHub\eaglep3-reporting\EC\2017-03-20-refined-times.txt</v>
      </c>
      <c r="AI193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{"issue":{"subject":"","project_id":79,"tracker_id":40,"status_id":1,"priority_id":2,"assigned_to_id":23,"start_date":"2017-03-20","description":"","custom_fields":[{"id":1,"name":"Subdivision","value":"NW"},{"id":4,"name":"Milepost","value":"0.065"},{"id":17,"name":"Train ID","value":"836-20"},{"id":16,"name":"Locomotive ID","value":"4032"},{"id":130,"name":"Impact","value":""},{"id":150,"name":"Time of Event (Mountain Time)","value":"18:24:38"},{"id":151,"name":"Denver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63"/>
        <v>start /low /b %USERPROFILE%\Documents\GitHub\eaglep3\Utilities\DownloadLogsFromS3.py --loco 4032 --day 2017-03-20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"%USERPROFILE%\AppData\Local\Temp\OnboardLogs"\RTDC4032\*4032*20170321* | grep -SE "(Enforcement Action)|(\[TIMEOUT)|(CHR.+\|PRM\|1\|D.+(SWITCH|SIGNAL).+UNKNOWN)" - &gt;&gt; 2017-03-20-UncaughtWiMAX.txt</v>
      </c>
    </row>
    <row r="194" spans="1:40" x14ac:dyDescent="0.25">
      <c r="A194" s="33" t="s">
        <v>790</v>
      </c>
      <c r="B194" s="7">
        <v>4040</v>
      </c>
      <c r="C194" s="21" t="s">
        <v>222</v>
      </c>
      <c r="D194" s="21" t="s">
        <v>948</v>
      </c>
      <c r="E194" s="13">
        <v>42814.761817129627</v>
      </c>
      <c r="F194" s="13">
        <v>42814.764537037037</v>
      </c>
      <c r="G194" s="7">
        <v>1</v>
      </c>
      <c r="H194" s="21" t="s">
        <v>973</v>
      </c>
      <c r="I194" s="13">
        <v>42814.774293981478</v>
      </c>
      <c r="J194" s="7">
        <v>0</v>
      </c>
      <c r="K194" s="98" t="str">
        <f t="shared" si="49"/>
        <v>4039/4040</v>
      </c>
      <c r="L194" s="21" t="str">
        <f>VLOOKUP(A194,'Trips&amp;Operators'!$C$1:$G$99999,5,FALSE)</f>
        <v>MAGEE KENYA</v>
      </c>
      <c r="M194" s="6">
        <f t="shared" si="50"/>
        <v>9.7569444405962713E-3</v>
      </c>
      <c r="N194" s="7">
        <f t="shared" si="70"/>
        <v>14.049999994458631</v>
      </c>
      <c r="O194" s="7"/>
      <c r="P194" s="7"/>
      <c r="Q194" s="22"/>
      <c r="R194" s="22"/>
      <c r="S194" s="31">
        <f t="shared" si="71"/>
        <v>1</v>
      </c>
      <c r="T194" s="46" t="str">
        <f t="shared" si="51"/>
        <v>NorthBound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52"/>
        <v>https://d0f6bd738d7f1b3e5a7ca70fe4ff75f0.us-east-1.aws.found.io/app/kibana#/discover/Steve-Slow-Train-Analysis-(2080s-and-2083s)?_g=(refreshInterval:(display:Off,pause:!f,section:0,value:0),time:(from:'2017-03-20T17:17:01-0600',mode:absolute,to:'2017-03-20T19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4" s="187" t="str">
        <f t="shared" si="53"/>
        <v>N</v>
      </c>
      <c r="X194" s="187">
        <f t="shared" si="68"/>
        <v>1</v>
      </c>
      <c r="Y194" s="62">
        <f t="shared" si="55"/>
        <v>9.6000000000000002E-2</v>
      </c>
      <c r="Z194" s="62">
        <f t="shared" si="69"/>
        <v>5.8956</v>
      </c>
      <c r="AA194" s="62">
        <f t="shared" si="56"/>
        <v>5.7995999999999999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7"/>
        <v>0837-20</v>
      </c>
      <c r="AE194" s="85" t="str">
        <f t="shared" si="58"/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AF194" s="82" t="str">
        <f t="shared" si="59"/>
        <v>"C:\Program Files (x86)\AstroGrep\AstroGrep.exe" /e /r /s /spath="%USERPROFILE%\AppData\Local\Temp\OnboardLogs" /stypes="app*4040*20170321*" /stext=" 00:.+((SYSTEM_STATE.+slice.+state.+changed )|(ment ac)|(multiple cpu faults)|(system.+state.+changed )|(\[timeout)|(PRM\|1\|D)|(kpr)|(kdp)|(\|lc)|(penalty))"</v>
      </c>
      <c r="AG194" s="1" t="str">
        <f t="shared" si="60"/>
        <v>NW</v>
      </c>
      <c r="AH194" s="86" t="str">
        <f t="shared" si="61"/>
        <v>"%USERPROFILE%\Documents\GitHub\eaglep3\Utilities\RefineRTDCRunTimes.py" --tripid 837-20 --locoid 4040 --swversion DE.1.0.9.0 --startMP 204:960 --initTime 2017-03-20T18:17:01 --startdatetime 2017-03-20T18:20:56 --delay 1 --endMP 300:58956 --enddatetime 2017-03-20T18:34:59 --enforcementcount 0 &gt;&gt;C:\Users\stu\Documents\GitHub\eaglep3-reporting\EC\2017-03-20-refined-times.txt</v>
      </c>
      <c r="AI194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{"issue":{"subject":"","project_id":79,"tracker_id":40,"status_id":1,"priority_id":2,"assigned_to_id":23,"start_date":"2017-03-20","description":"","custom_fields":[{"id":1,"name":"Subdivision","value":"NW"},{"id":4,"name":"Milepost","value":"5.8956"},{"id":17,"name":"Train ID","value":"837-20"},{"id":16,"name":"Locomotive ID","value":"4040"},{"id":130,"name":"Impact","value":""},{"id":150,"name":"Time of Event (Mountain Time)","value":"18:34:59"},{"id":151,"name":"Denver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63"/>
        <v>start /low /b %USERPROFILE%\Documents\GitHub\eaglep3\Utilities\DownloadLogsFromS3.py --loco 4040 --day 2017-03-20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"%USERPROFILE%\AppData\Local\Temp\OnboardLogs"\RTDC4040\*4040*20170321* | grep -SE "(Enforcement Action)|(\[TIMEOUT)|(CHR.+\|PRM\|1\|D.+(SWITCH|SIGNAL).+UNKNOWN)" - &gt;&gt; 2017-03-20-UncaughtWiMAX.txt</v>
      </c>
    </row>
    <row r="195" spans="1:40" x14ac:dyDescent="0.25">
      <c r="A195" s="33" t="s">
        <v>799</v>
      </c>
      <c r="B195" s="7">
        <v>4039</v>
      </c>
      <c r="C195" s="21" t="s">
        <v>222</v>
      </c>
      <c r="D195" s="21" t="s">
        <v>974</v>
      </c>
      <c r="E195" s="13">
        <v>42814.77511574074</v>
      </c>
      <c r="F195" s="13">
        <v>42814.776817129627</v>
      </c>
      <c r="G195" s="7">
        <v>1</v>
      </c>
      <c r="H195" s="21" t="s">
        <v>975</v>
      </c>
      <c r="I195" s="13">
        <v>42814.788449074076</v>
      </c>
      <c r="J195" s="7">
        <v>0</v>
      </c>
      <c r="K195" s="98" t="str">
        <f t="shared" si="49"/>
        <v>4039/4040</v>
      </c>
      <c r="L195" s="21" t="str">
        <f>VLOOKUP(A195,'Trips&amp;Operators'!$C$1:$G$99999,5,FALSE)</f>
        <v>MAGEE KENYA</v>
      </c>
      <c r="M195" s="6">
        <f t="shared" si="50"/>
        <v>1.1631944449618459E-2</v>
      </c>
      <c r="N195" s="7">
        <f t="shared" si="70"/>
        <v>16.750000007450581</v>
      </c>
      <c r="O195" s="7"/>
      <c r="P195" s="7"/>
      <c r="Q195" s="22"/>
      <c r="R195" s="22"/>
      <c r="S195" s="31">
        <f t="shared" si="71"/>
        <v>1</v>
      </c>
      <c r="T195" s="46" t="str">
        <f t="shared" si="51"/>
        <v>Southbound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52"/>
        <v>https://d0f6bd738d7f1b3e5a7ca70fe4ff75f0.us-east-1.aws.found.io/app/kibana#/discover/Steve-Slow-Train-Analysis-(2080s-and-2083s)?_g=(refreshInterval:(display:Off,pause:!f,section:0,value:0),time:(from:'2017-03-20T17:36:10-0600',mode:absolute,to:'2017-03-20T19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5" s="187" t="str">
        <f t="shared" si="53"/>
        <v>N</v>
      </c>
      <c r="X195" s="187">
        <f t="shared" si="68"/>
        <v>1</v>
      </c>
      <c r="Y195" s="62">
        <f t="shared" si="55"/>
        <v>5.8638000000000003</v>
      </c>
      <c r="Z195" s="62">
        <f t="shared" si="69"/>
        <v>6.6400000000000001E-2</v>
      </c>
      <c r="AA195" s="62">
        <f t="shared" si="56"/>
        <v>5.7974000000000006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7"/>
        <v>0838-20</v>
      </c>
      <c r="AE195" s="85" t="str">
        <f t="shared" si="58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195" s="82" t="str">
        <f t="shared" si="59"/>
        <v>"C:\Program Files (x86)\AstroGrep\AstroGrep.exe" /e /r /s /spath="%USERPROFILE%\AppData\Local\Temp\OnboardLogs" /stypes="app*4039*20170321*" /stext=" 00:.+((SYSTEM_STATE.+slice.+state.+changed )|(ment ac)|(multiple cpu faults)|(system.+state.+changed )|(\[timeout)|(PRM\|1\|D)|(kpr)|(kdp)|(\|lc)|(penalty))"</v>
      </c>
      <c r="AG195" s="1" t="str">
        <f t="shared" si="60"/>
        <v>NW</v>
      </c>
      <c r="AH195" s="86" t="str">
        <f t="shared" si="61"/>
        <v>"%USERPROFILE%\Documents\GitHub\eaglep3\Utilities\RefineRTDCRunTimes.py" --tripid 838-20 --locoid 4039 --swversion DE.1.0.9.0 --startMP 300:58638 --initTime 2017-03-20T18:36:10 --startdatetime 2017-03-20T18:38:37 --delay 1 --endMP 204:664 --enddatetime 2017-03-20T18:55:22 --enforcementcount 0 &gt;&gt;C:\Users\stu\Documents\GitHub\eaglep3-reporting\EC\2017-03-20-refined-times.txt</v>
      </c>
      <c r="AI195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{"issue":{"subject":"","project_id":79,"tracker_id":40,"status_id":1,"priority_id":2,"assigned_to_id":23,"start_date":"2017-03-20","description":"","custom_fields":[{"id":1,"name":"Subdivision","value":"NW"},{"id":4,"name":"Milepost","value":"0.0664"},{"id":17,"name":"Train ID","value":"838-20"},{"id":16,"name":"Locomotive ID","value":"4039"},{"id":130,"name":"Impact","value":""},{"id":150,"name":"Time of Event (Mountain Time)","value":"18:55:22"},{"id":151,"name":"Denver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63"/>
        <v>start /low /b %USERPROFILE%\Documents\GitHub\eaglep3\Utilities\DownloadLogsFromS3.py --loco 4039 --day 2017-03-20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"%USERPROFILE%\AppData\Local\Temp\OnboardLogs"\RTDC4039\*4039*20170321* | grep -SE "(Enforcement Action)|(\[TIMEOUT)|(CHR.+\|PRM\|1\|D.+(SWITCH|SIGNAL).+UNKNOWN)" - &gt;&gt; 2017-03-20-UncaughtWiMAX.txt</v>
      </c>
    </row>
    <row r="196" spans="1:40" x14ac:dyDescent="0.25">
      <c r="A196" s="33" t="s">
        <v>794</v>
      </c>
      <c r="B196" s="7">
        <v>4031</v>
      </c>
      <c r="C196" s="21" t="s">
        <v>222</v>
      </c>
      <c r="D196" s="21" t="s">
        <v>976</v>
      </c>
      <c r="E196" s="13">
        <v>42814.768078703702</v>
      </c>
      <c r="F196" s="13">
        <v>42814.785567129627</v>
      </c>
      <c r="G196" s="7">
        <v>1</v>
      </c>
      <c r="H196" s="21" t="s">
        <v>515</v>
      </c>
      <c r="I196" s="13">
        <v>42814.79420138889</v>
      </c>
      <c r="J196" s="7">
        <v>0</v>
      </c>
      <c r="K196" s="98" t="str">
        <f t="shared" si="49"/>
        <v>4031/4032</v>
      </c>
      <c r="L196" s="21" t="str">
        <f>VLOOKUP(A196,'Trips&amp;Operators'!$C$1:$G$99999,5,FALSE)</f>
        <v>NEWELL JAMES</v>
      </c>
      <c r="M196" s="6">
        <f t="shared" si="50"/>
        <v>8.6342592621804215E-3</v>
      </c>
      <c r="N196" s="7">
        <f t="shared" si="70"/>
        <v>12.433333337539807</v>
      </c>
      <c r="O196" s="7"/>
      <c r="P196" s="7"/>
      <c r="Q196" s="22"/>
      <c r="R196" s="22"/>
      <c r="S196" s="31">
        <f t="shared" si="71"/>
        <v>1</v>
      </c>
      <c r="T196" s="46" t="str">
        <f t="shared" si="51"/>
        <v>NorthBound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52"/>
        <v>https://d0f6bd738d7f1b3e5a7ca70fe4ff75f0.us-east-1.aws.found.io/app/kibana#/discover/Steve-Slow-Train-Analysis-(2080s-and-2083s)?_g=(refreshInterval:(display:Off,pause:!f,section:0,value:0),time:(from:'2017-03-20T17:26:02-0600',mode:absolute,to:'2017-03-20T20:03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6" s="187" t="str">
        <f t="shared" si="53"/>
        <v>N</v>
      </c>
      <c r="X196" s="187">
        <f t="shared" si="68"/>
        <v>1</v>
      </c>
      <c r="Y196" s="62">
        <f t="shared" si="55"/>
        <v>9.4799999999999995E-2</v>
      </c>
      <c r="Z196" s="62">
        <f t="shared" si="69"/>
        <v>5.8929</v>
      </c>
      <c r="AA196" s="62">
        <f t="shared" si="56"/>
        <v>5.7980999999999998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7"/>
        <v>0839-20</v>
      </c>
      <c r="AE196" s="85" t="str">
        <f t="shared" si="58"/>
        <v>aws s3 cp s3://rtdc.mdm.uploadarchive.raw/RTDC4031/ "%USERPROFILE%\AppData\Local\Temp\OnboardLogs"\RTDC4031\2017-03-20 --exclude "*" --recursive --include "*20170320*" &amp; "%USERPROFILE%\Documents\GitHub\mrs-test-scripts\Headless Mode &amp; Sideloading\WalkAndUnGZ.bat" "%USERPROFILE%\AppData\Local\Temp\OnboardLogs"\RTDC4031\2017-03-20 &amp; 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</v>
      </c>
      <c r="AF196" s="82" t="str">
        <f t="shared" si="59"/>
        <v>"C:\Program Files (x86)\AstroGrep\AstroGrep.exe" /e /r /s /spath="%USERPROFILE%\AppData\Local\Temp\OnboardLogs" /stypes="app*4031*20170321*" /stext=" 01:.+((SYSTEM_STATE.+slice.+state.+changed )|(ment ac)|(multiple cpu faults)|(system.+state.+changed )|(\[timeout)|(PRM\|1\|D)|(kpr)|(kdp)|(\|lc)|(penalty))"</v>
      </c>
      <c r="AG196" s="1" t="str">
        <f t="shared" si="60"/>
        <v>NW</v>
      </c>
      <c r="AH196" s="86" t="str">
        <f t="shared" si="61"/>
        <v>"%USERPROFILE%\Documents\GitHub\eaglep3\Utilities\RefineRTDCRunTimes.py" --tripid 839-20 --locoid 4031 --swversion DE.1.0.9.0 --startMP 204:948 --initTime 2017-03-20T18:26:02 --startdatetime 2017-03-20T18:51:13 --delay 1 --endMP 300:58929 --enddatetime 2017-03-20T19:03:39 --enforcementcount 0 &gt;&gt;C:\Users\stu\Documents\GitHub\eaglep3-reporting\EC\2017-03-20-refined-times.txt</v>
      </c>
      <c r="AI196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{"issue":{"subject":"","project_id":79,"tracker_id":40,"status_id":1,"priority_id":2,"assigned_to_id":23,"start_date":"2017-03-20","description":"","custom_fields":[{"id":1,"name":"Subdivision","value":"NW"},{"id":4,"name":"Milepost","value":"5.8929"},{"id":17,"name":"Train ID","value":"839-20"},{"id":16,"name":"Locomotive ID","value":"4031"},{"id":130,"name":"Impact","value":""},{"id":150,"name":"Time of Event (Mountain Time)","value":"19:03:39"},{"id":151,"name":"Denver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63"/>
        <v>start /low /b %USERPROFILE%\Documents\GitHub\eaglep3\Utilities\DownloadLogsFromS3.py --loco 4031 --day 2017-03-20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"%USERPROFILE%\AppData\Local\Temp\OnboardLogs"\RTDC4031\*4031*20170321* | grep -SE "(Enforcement Action)|(\[TIMEOUT)|(CHR.+\|PRM\|1\|D.+(SWITCH|SIGNAL).+UNKNOWN)" - &gt;&gt; 2017-03-20-UncaughtWiMAX.txt</v>
      </c>
    </row>
    <row r="197" spans="1:40" x14ac:dyDescent="0.25">
      <c r="A197" s="33" t="s">
        <v>642</v>
      </c>
      <c r="B197" s="7">
        <v>4039</v>
      </c>
      <c r="C197" s="21" t="s">
        <v>222</v>
      </c>
      <c r="D197" s="21" t="s">
        <v>454</v>
      </c>
      <c r="E197" s="13">
        <v>42814.817245370374</v>
      </c>
      <c r="F197" s="13">
        <v>42814.818877314814</v>
      </c>
      <c r="G197" s="7">
        <v>1</v>
      </c>
      <c r="H197" s="21" t="s">
        <v>931</v>
      </c>
      <c r="I197" s="13">
        <v>42814.832013888888</v>
      </c>
      <c r="J197" s="7">
        <v>0</v>
      </c>
      <c r="K197" s="98" t="str">
        <f t="shared" si="49"/>
        <v>4039/4040</v>
      </c>
      <c r="L197" s="21" t="str">
        <f>VLOOKUP(A197,'Trips&amp;Operators'!$C$1:$G$99999,5,FALSE)</f>
        <v>FORTUNATO FRANK</v>
      </c>
      <c r="M197" s="6">
        <f t="shared" si="50"/>
        <v>1.3136574074451346E-2</v>
      </c>
      <c r="N197" s="7">
        <f t="shared" si="70"/>
        <v>18.916666667209938</v>
      </c>
      <c r="O197" s="7"/>
      <c r="P197" s="7"/>
      <c r="Q197" s="22"/>
      <c r="R197" s="22"/>
      <c r="S197" s="31">
        <f t="shared" si="71"/>
        <v>1</v>
      </c>
      <c r="T197" s="46" t="str">
        <f t="shared" si="51"/>
        <v>Southbound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52"/>
        <v>https://d0f6bd738d7f1b3e5a7ca70fe4ff75f0.us-east-1.aws.found.io/app/kibana#/discover/Steve-Slow-Train-Analysis-(2080s-and-2083s)?_g=(refreshInterval:(display:Off,pause:!f,section:0,value:0),time:(from:'2017-03-20T18:36:50-0600',mode:absolute,to:'2017-03-20T20:58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7" s="187" t="str">
        <f t="shared" si="53"/>
        <v>N</v>
      </c>
      <c r="X197" s="187">
        <f t="shared" ref="X197:X233" si="72">VALUE(LEFT(AD197,4))-VALUE(LEFT(AD196,4))</f>
        <v>1</v>
      </c>
      <c r="Y197" s="62">
        <f t="shared" si="55"/>
        <v>5.8613</v>
      </c>
      <c r="Z197" s="62">
        <f t="shared" si="69"/>
        <v>6.7299999999999999E-2</v>
      </c>
      <c r="AA197" s="62">
        <f t="shared" si="56"/>
        <v>5.7939999999999996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7"/>
        <v>0840-20</v>
      </c>
      <c r="AE197" s="85" t="str">
        <f t="shared" si="58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197" s="82" t="str">
        <f t="shared" si="59"/>
        <v>"C:\Program Files (x86)\AstroGrep\AstroGrep.exe" /e /r /s /spath="%USERPROFILE%\AppData\Local\Temp\OnboardLogs" /stypes="app*4039*20170321*" /stext=" 01:.+((SYSTEM_STATE.+slice.+state.+changed )|(ment ac)|(multiple cpu faults)|(system.+state.+changed )|(\[timeout)|(PRM\|1\|D)|(kpr)|(kdp)|(\|lc)|(penalty))"</v>
      </c>
      <c r="AG197" s="1" t="str">
        <f t="shared" si="60"/>
        <v>NW</v>
      </c>
      <c r="AH197" s="86" t="str">
        <f t="shared" si="61"/>
        <v>"%USERPROFILE%\Documents\GitHub\eaglep3\Utilities\RefineRTDCRunTimes.py" --tripid 840-20 --locoid 4039 --swversion DE.1.0.9.0 --startMP 300:58613 --initTime 2017-03-20T19:36:50 --startdatetime 2017-03-20T19:39:11 --delay 1 --endMP 204:673 --enddatetime 2017-03-20T19:58:06 --enforcementcount 0 &gt;&gt;C:\Users\stu\Documents\GitHub\eaglep3-reporting\EC\2017-03-20-refined-times.txt</v>
      </c>
      <c r="AI197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{"issue":{"subject":"","project_id":79,"tracker_id":40,"status_id":1,"priority_id":2,"assigned_to_id":23,"start_date":"2017-03-20","description":"","custom_fields":[{"id":1,"name":"Subdivision","value":"NW"},{"id":4,"name":"Milepost","value":"0.0673"},{"id":17,"name":"Train ID","value":"840-20"},{"id":16,"name":"Locomotive ID","value":"4039"},{"id":130,"name":"Impact","value":""},{"id":150,"name":"Time of Event (Mountain Time)","value":"19:58:06"},{"id":151,"name":"Denver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63"/>
        <v>start /low /b %USERPROFILE%\Documents\GitHub\eaglep3\Utilities\DownloadLogsFromS3.py --loco 4039 --day 2017-03-20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"%USERPROFILE%\AppData\Local\Temp\OnboardLogs"\RTDC4039\*4039*20170321* | grep -SE "(Enforcement Action)|(\[TIMEOUT)|(CHR.+\|PRM\|1\|D.+(SWITCH|SIGNAL).+UNKNOWN)" - &gt;&gt; 2017-03-20-UncaughtWiMAX.txt</v>
      </c>
    </row>
    <row r="198" spans="1:40" x14ac:dyDescent="0.25">
      <c r="A198" s="33" t="s">
        <v>803</v>
      </c>
      <c r="B198" s="7">
        <v>4040</v>
      </c>
      <c r="C198" s="21" t="s">
        <v>222</v>
      </c>
      <c r="D198" s="21" t="s">
        <v>969</v>
      </c>
      <c r="E198" s="13">
        <v>42814.804583333331</v>
      </c>
      <c r="F198" s="13">
        <v>42814.806435185186</v>
      </c>
      <c r="G198" s="7">
        <v>1</v>
      </c>
      <c r="H198" s="21" t="s">
        <v>453</v>
      </c>
      <c r="I198" s="13">
        <v>42814.816250000003</v>
      </c>
      <c r="J198" s="7">
        <v>0</v>
      </c>
      <c r="K198" s="98" t="str">
        <f t="shared" si="49"/>
        <v>4039/4040</v>
      </c>
      <c r="L198" s="21" t="str">
        <f>VLOOKUP(A198,'Trips&amp;Operators'!$C$1:$G$99999,5,FALSE)</f>
        <v>FORTUNATO FRANK</v>
      </c>
      <c r="M198" s="6">
        <f t="shared" si="50"/>
        <v>9.8148148172185756E-3</v>
      </c>
      <c r="N198" s="7">
        <f t="shared" si="70"/>
        <v>14.133333336794749</v>
      </c>
      <c r="O198" s="7"/>
      <c r="P198" s="7"/>
      <c r="Q198" s="22"/>
      <c r="R198" s="22"/>
      <c r="S198" s="31">
        <f t="shared" si="71"/>
        <v>1</v>
      </c>
      <c r="T198" s="46" t="str">
        <f t="shared" si="51"/>
        <v>NorthBound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52"/>
        <v>https://d0f6bd738d7f1b3e5a7ca70fe4ff75f0.us-east-1.aws.found.io/app/kibana#/discover/Steve-Slow-Train-Analysis-(2080s-and-2083s)?_g=(refreshInterval:(display:Off,pause:!f,section:0,value:0),time:(from:'2017-03-20T18:18:36-0600',mode:absolute,to:'2017-03-20T20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8" s="187" t="str">
        <f t="shared" si="53"/>
        <v>N</v>
      </c>
      <c r="X198" s="187">
        <f t="shared" si="72"/>
        <v>1</v>
      </c>
      <c r="Y198" s="62">
        <f t="shared" si="55"/>
        <v>9.6500000000000002E-2</v>
      </c>
      <c r="Z198" s="62">
        <f t="shared" si="69"/>
        <v>5.8933</v>
      </c>
      <c r="AA198" s="62">
        <f t="shared" si="56"/>
        <v>5.7968000000000002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7"/>
        <v>0841-20</v>
      </c>
      <c r="AE198" s="85" t="str">
        <f t="shared" si="58"/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AF198" s="82" t="str">
        <f t="shared" si="59"/>
        <v>"C:\Program Files (x86)\AstroGrep\AstroGrep.exe" /e /r /s /spath="%USERPROFILE%\AppData\Local\Temp\OnboardLogs" /stypes="app*4040*20170321*" /stext=" 01:.+((SYSTEM_STATE.+slice.+state.+changed )|(ment ac)|(multiple cpu faults)|(system.+state.+changed )|(\[timeout)|(PRM\|1\|D)|(kpr)|(kdp)|(\|lc)|(penalty))"</v>
      </c>
      <c r="AG198" s="1" t="str">
        <f t="shared" si="60"/>
        <v>NW</v>
      </c>
      <c r="AH198" s="86" t="str">
        <f t="shared" si="61"/>
        <v>"%USERPROFILE%\Documents\GitHub\eaglep3\Utilities\RefineRTDCRunTimes.py" --tripid 841-20 --locoid 4040 --swversion DE.1.0.9.0 --startMP 204:965 --initTime 2017-03-20T19:18:36 --startdatetime 2017-03-20T19:21:16 --delay 1 --endMP 300:58933 --enddatetime 2017-03-20T19:35:24 --enforcementcount 0 &gt;&gt;C:\Users\stu\Documents\GitHub\eaglep3-reporting\EC\2017-03-20-refined-times.txt</v>
      </c>
      <c r="AI198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{"issue":{"subject":"","project_id":79,"tracker_id":40,"status_id":1,"priority_id":2,"assigned_to_id":23,"start_date":"2017-03-20","description":"","custom_fields":[{"id":1,"name":"Subdivision","value":"NW"},{"id":4,"name":"Milepost","value":"5.8933"},{"id":17,"name":"Train ID","value":"841-20"},{"id":16,"name":"Locomotive ID","value":"4040"},{"id":130,"name":"Impact","value":""},{"id":150,"name":"Time of Event (Mountain Time)","value":"19:35:24"},{"id":151,"name":"Denver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63"/>
        <v>start /low /b %USERPROFILE%\Documents\GitHub\eaglep3\Utilities\DownloadLogsFromS3.py --loco 4040 --day 2017-03-20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"%USERPROFILE%\AppData\Local\Temp\OnboardLogs"\RTDC4040\*4040*20170321* | grep -SE "(Enforcement Action)|(\[TIMEOUT)|(CHR.+\|PRM\|1\|D.+(SWITCH|SIGNAL).+UNKNOWN)" - &gt;&gt; 2017-03-20-UncaughtWiMAX.txt</v>
      </c>
    </row>
    <row r="199" spans="1:40" x14ac:dyDescent="0.25">
      <c r="A199" s="33" t="s">
        <v>813</v>
      </c>
      <c r="B199" s="7">
        <v>4039</v>
      </c>
      <c r="C199" s="21" t="s">
        <v>222</v>
      </c>
      <c r="D199" s="21" t="s">
        <v>452</v>
      </c>
      <c r="E199" s="13">
        <v>42814.858252314814</v>
      </c>
      <c r="F199" s="13">
        <v>42814.859594907408</v>
      </c>
      <c r="G199" s="7">
        <v>1</v>
      </c>
      <c r="H199" s="21" t="s">
        <v>977</v>
      </c>
      <c r="I199" s="13">
        <v>42814.871388888889</v>
      </c>
      <c r="J199" s="7">
        <v>0</v>
      </c>
      <c r="K199" s="98" t="str">
        <f t="shared" si="49"/>
        <v>4039/4040</v>
      </c>
      <c r="L199" s="21" t="str">
        <f>VLOOKUP(A199,'Trips&amp;Operators'!$C$1:$G$99999,5,FALSE)</f>
        <v>FORTUNATO FRANK</v>
      </c>
      <c r="M199" s="6">
        <f t="shared" si="50"/>
        <v>1.1793981480877846E-2</v>
      </c>
      <c r="N199" s="7">
        <f t="shared" si="70"/>
        <v>16.983333332464099</v>
      </c>
      <c r="O199" s="7"/>
      <c r="P199" s="7"/>
      <c r="Q199" s="22"/>
      <c r="R199" s="22"/>
      <c r="S199" s="31">
        <f t="shared" si="71"/>
        <v>1</v>
      </c>
      <c r="T199" s="46" t="str">
        <f t="shared" si="51"/>
        <v>Southbound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52"/>
        <v>https://d0f6bd738d7f1b3e5a7ca70fe4ff75f0.us-east-1.aws.found.io/app/kibana#/discover/Steve-Slow-Train-Analysis-(2080s-and-2083s)?_g=(refreshInterval:(display:Off,pause:!f,section:0,value:0),time:(from:'2017-03-20T19:35:53-0600',mode:absolute,to:'2017-03-20T21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9" s="187" t="str">
        <f t="shared" si="53"/>
        <v>N</v>
      </c>
      <c r="X199" s="187">
        <f t="shared" si="72"/>
        <v>1</v>
      </c>
      <c r="Y199" s="62">
        <f t="shared" si="55"/>
        <v>5.8615000000000004</v>
      </c>
      <c r="Z199" s="62">
        <f t="shared" si="69"/>
        <v>6.7500000000000004E-2</v>
      </c>
      <c r="AA199" s="62">
        <f t="shared" si="56"/>
        <v>5.7940000000000005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7"/>
        <v>0842-20</v>
      </c>
      <c r="AE199" s="85" t="str">
        <f t="shared" si="58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199" s="82" t="str">
        <f t="shared" si="59"/>
        <v>"C:\Program Files (x86)\AstroGrep\AstroGrep.exe" /e /r /s /spath="%USERPROFILE%\AppData\Local\Temp\OnboardLogs" /stypes="app*4039*20170321*" /stext=" 02:.+((SYSTEM_STATE.+slice.+state.+changed )|(ment ac)|(multiple cpu faults)|(system.+state.+changed )|(\[timeout)|(PRM\|1\|D)|(kpr)|(kdp)|(\|lc)|(penalty))"</v>
      </c>
      <c r="AG199" s="1" t="str">
        <f t="shared" si="60"/>
        <v>NW</v>
      </c>
      <c r="AH199" s="86" t="str">
        <f t="shared" si="61"/>
        <v>"%USERPROFILE%\Documents\GitHub\eaglep3\Utilities\RefineRTDCRunTimes.py" --tripid 842-20 --locoid 4039 --swversion DE.1.0.9.0 --startMP 300:58615 --initTime 2017-03-20T20:35:53 --startdatetime 2017-03-20T20:37:49 --delay 1 --endMP 204:675 --enddatetime 2017-03-20T20:54:48 --enforcementcount 0 &gt;&gt;C:\Users\stu\Documents\GitHub\eaglep3-reporting\EC\2017-03-20-refined-times.txt</v>
      </c>
      <c r="AI199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{"issue":{"subject":"","project_id":79,"tracker_id":40,"status_id":1,"priority_id":2,"assigned_to_id":23,"start_date":"2017-03-20","description":"","custom_fields":[{"id":1,"name":"Subdivision","value":"NW"},{"id":4,"name":"Milepost","value":"0.0675"},{"id":17,"name":"Train ID","value":"842-20"},{"id":16,"name":"Locomotive ID","value":"4039"},{"id":130,"name":"Impact","value":""},{"id":150,"name":"Time of Event (Mountain Time)","value":"20:54:48"},{"id":151,"name":"Denver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63"/>
        <v>start /low /b %USERPROFILE%\Documents\GitHub\eaglep3\Utilities\DownloadLogsFromS3.py --loco 4039 --day 2017-03-20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"%USERPROFILE%\AppData\Local\Temp\OnboardLogs"\RTDC4039\*4039*20170321* | grep -SE "(Enforcement Action)|(\[TIMEOUT)|(CHR.+\|PRM\|1\|D.+(SWITCH|SIGNAL).+UNKNOWN)" - &gt;&gt; 2017-03-20-UncaughtWiMAX.txt</v>
      </c>
    </row>
    <row r="200" spans="1:40" x14ac:dyDescent="0.25">
      <c r="A200" s="33" t="s">
        <v>810</v>
      </c>
      <c r="B200" s="7">
        <v>4040</v>
      </c>
      <c r="C200" s="21" t="s">
        <v>222</v>
      </c>
      <c r="D200" s="21" t="s">
        <v>962</v>
      </c>
      <c r="E200" s="13">
        <v>42814.846597222226</v>
      </c>
      <c r="F200" s="13">
        <v>42814.848090277781</v>
      </c>
      <c r="G200" s="7">
        <v>1</v>
      </c>
      <c r="H200" s="21" t="s">
        <v>515</v>
      </c>
      <c r="I200" s="13">
        <v>42814.857187499998</v>
      </c>
      <c r="J200" s="7">
        <v>0</v>
      </c>
      <c r="K200" s="98" t="str">
        <f t="shared" si="49"/>
        <v>4039/4040</v>
      </c>
      <c r="L200" s="21" t="str">
        <f>VLOOKUP(A200,'Trips&amp;Operators'!$C$1:$G$99999,5,FALSE)</f>
        <v>FORTUNATO FRANK</v>
      </c>
      <c r="M200" s="6">
        <f t="shared" si="50"/>
        <v>9.0972222169511952E-3</v>
      </c>
      <c r="N200" s="7">
        <f t="shared" si="70"/>
        <v>13.099999992409721</v>
      </c>
      <c r="O200" s="7"/>
      <c r="P200" s="7"/>
      <c r="Q200" s="22"/>
      <c r="R200" s="22"/>
      <c r="S200" s="31">
        <f t="shared" si="71"/>
        <v>1</v>
      </c>
      <c r="T200" s="46" t="str">
        <f t="shared" si="51"/>
        <v>NorthBound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52"/>
        <v>https://d0f6bd738d7f1b3e5a7ca70fe4ff75f0.us-east-1.aws.found.io/app/kibana#/discover/Steve-Slow-Train-Analysis-(2080s-and-2083s)?_g=(refreshInterval:(display:Off,pause:!f,section:0,value:0),time:(from:'2017-03-20T19:19:06-0600',mode:absolute,to:'2017-03-20T21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0" s="187" t="str">
        <f t="shared" si="53"/>
        <v>N</v>
      </c>
      <c r="X200" s="187">
        <f t="shared" si="72"/>
        <v>1</v>
      </c>
      <c r="Y200" s="62">
        <f t="shared" si="55"/>
        <v>9.7900000000000001E-2</v>
      </c>
      <c r="Z200" s="62">
        <f t="shared" si="69"/>
        <v>5.8929</v>
      </c>
      <c r="AA200" s="62">
        <f t="shared" si="56"/>
        <v>5.7949999999999999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7"/>
        <v>0843-20</v>
      </c>
      <c r="AE200" s="85" t="str">
        <f t="shared" si="58"/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AF200" s="82" t="str">
        <f t="shared" si="59"/>
        <v>"C:\Program Files (x86)\AstroGrep\AstroGrep.exe" /e /r /s /spath="%USERPROFILE%\AppData\Local\Temp\OnboardLogs" /stypes="app*4040*20170321*" /stext=" 02:.+((SYSTEM_STATE.+slice.+state.+changed )|(ment ac)|(multiple cpu faults)|(system.+state.+changed )|(\[timeout)|(PRM\|1\|D)|(kpr)|(kdp)|(\|lc)|(penalty))"</v>
      </c>
      <c r="AG200" s="1" t="str">
        <f t="shared" si="60"/>
        <v>NW</v>
      </c>
      <c r="AH200" s="86" t="str">
        <f t="shared" si="61"/>
        <v>"%USERPROFILE%\Documents\GitHub\eaglep3\Utilities\RefineRTDCRunTimes.py" --tripid 843-20 --locoid 4040 --swversion DE.1.0.9.0 --startMP 204:979 --initTime 2017-03-20T20:19:06 --startdatetime 2017-03-20T20:21:15 --delay 1 --endMP 300:58929 --enddatetime 2017-03-20T20:34:21 --enforcementcount 0 &gt;&gt;C:\Users\stu\Documents\GitHub\eaglep3-reporting\EC\2017-03-20-refined-times.txt</v>
      </c>
      <c r="AI200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{"issue":{"subject":"","project_id":79,"tracker_id":40,"status_id":1,"priority_id":2,"assigned_to_id":23,"start_date":"2017-03-20","description":"","custom_fields":[{"id":1,"name":"Subdivision","value":"NW"},{"id":4,"name":"Milepost","value":"5.8929"},{"id":17,"name":"Train ID","value":"843-20"},{"id":16,"name":"Locomotive ID","value":"4040"},{"id":130,"name":"Impact","value":""},{"id":150,"name":"Time of Event (Mountain Time)","value":"20:34:21"},{"id":151,"name":"Denver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63"/>
        <v>start /low /b %USERPROFILE%\Documents\GitHub\eaglep3\Utilities\DownloadLogsFromS3.py --loco 4040 --day 2017-03-20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"%USERPROFILE%\AppData\Local\Temp\OnboardLogs"\RTDC4040\*4040*20170321* | grep -SE "(Enforcement Action)|(\[TIMEOUT)|(CHR.+\|PRM\|1\|D.+(SWITCH|SIGNAL).+UNKNOWN)" - &gt;&gt; 2017-03-20-UncaughtWiMAX.txt</v>
      </c>
    </row>
    <row r="201" spans="1:40" x14ac:dyDescent="0.25">
      <c r="A201" s="33" t="s">
        <v>819</v>
      </c>
      <c r="B201" s="7">
        <v>4039</v>
      </c>
      <c r="C201" s="21" t="s">
        <v>222</v>
      </c>
      <c r="D201" s="21" t="s">
        <v>571</v>
      </c>
      <c r="E201" s="13">
        <v>42814.899375000001</v>
      </c>
      <c r="F201" s="13">
        <v>42814.900752314818</v>
      </c>
      <c r="G201" s="7">
        <v>1</v>
      </c>
      <c r="H201" s="21" t="s">
        <v>978</v>
      </c>
      <c r="I201" s="13">
        <v>42814.912708333337</v>
      </c>
      <c r="J201" s="7">
        <v>0</v>
      </c>
      <c r="K201" s="98" t="str">
        <f t="shared" si="49"/>
        <v>4039/4040</v>
      </c>
      <c r="L201" s="21" t="str">
        <f>VLOOKUP(A201,'Trips&amp;Operators'!$C$1:$G$99999,5,FALSE)</f>
        <v>NEWELL JAMES</v>
      </c>
      <c r="M201" s="6">
        <f t="shared" si="50"/>
        <v>1.1956018519413192E-2</v>
      </c>
      <c r="N201" s="7">
        <f t="shared" si="70"/>
        <v>17.216666667954996</v>
      </c>
      <c r="O201" s="7"/>
      <c r="P201" s="7"/>
      <c r="Q201" s="22"/>
      <c r="R201" s="22"/>
      <c r="S201" s="31">
        <f t="shared" si="71"/>
        <v>1</v>
      </c>
      <c r="T201" s="46" t="str">
        <f t="shared" si="51"/>
        <v>Southbound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52"/>
        <v>https://d0f6bd738d7f1b3e5a7ca70fe4ff75f0.us-east-1.aws.found.io/app/kibana#/discover/Steve-Slow-Train-Analysis-(2080s-and-2083s)?_g=(refreshInterval:(display:Off,pause:!f,section:0,value:0),time:(from:'2017-03-20T20:35:06-0600',mode:absolute,to:'2017-03-20T22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1" s="187" t="str">
        <f t="shared" si="53"/>
        <v>N</v>
      </c>
      <c r="X201" s="187">
        <f t="shared" si="72"/>
        <v>1</v>
      </c>
      <c r="Y201" s="62">
        <f t="shared" si="55"/>
        <v>5.8611000000000004</v>
      </c>
      <c r="Z201" s="62">
        <f t="shared" si="69"/>
        <v>6.5699999999999995E-2</v>
      </c>
      <c r="AA201" s="62">
        <f t="shared" si="56"/>
        <v>5.7954000000000008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7"/>
        <v>0844-20</v>
      </c>
      <c r="AE201" s="85" t="str">
        <f t="shared" si="58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201" s="82" t="str">
        <f t="shared" si="59"/>
        <v>"C:\Program Files (x86)\AstroGrep\AstroGrep.exe" /e /r /s /spath="%USERPROFILE%\AppData\Local\Temp\OnboardLogs" /stypes="app*4039*20170321*" /stext=" 03:.+((SYSTEM_STATE.+slice.+state.+changed )|(ment ac)|(multiple cpu faults)|(system.+state.+changed )|(\[timeout)|(PRM\|1\|D)|(kpr)|(kdp)|(\|lc)|(penalty))"</v>
      </c>
      <c r="AG201" s="1" t="str">
        <f t="shared" si="60"/>
        <v>NW</v>
      </c>
      <c r="AH201" s="86" t="str">
        <f t="shared" si="61"/>
        <v>"%USERPROFILE%\Documents\GitHub\eaglep3\Utilities\RefineRTDCRunTimes.py" --tripid 844-20 --locoid 4039 --swversion DE.1.0.9.0 --startMP 300:58611 --initTime 2017-03-20T21:35:06 --startdatetime 2017-03-20T21:37:05 --delay 1 --endMP 204:657 --enddatetime 2017-03-20T21:54:18 --enforcementcount 0 &gt;&gt;C:\Users\stu\Documents\GitHub\eaglep3-reporting\EC\2017-03-20-refined-times.txt</v>
      </c>
      <c r="AI201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{"issue":{"subject":"","project_id":79,"tracker_id":40,"status_id":1,"priority_id":2,"assigned_to_id":23,"start_date":"2017-03-20","description":"","custom_fields":[{"id":1,"name":"Subdivision","value":"NW"},{"id":4,"name":"Milepost","value":"0.0657"},{"id":17,"name":"Train ID","value":"844-20"},{"id":16,"name":"Locomotive ID","value":"4039"},{"id":130,"name":"Impact","value":""},{"id":150,"name":"Time of Event (Mountain Time)","value":"21:54:18"},{"id":151,"name":"Denver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63"/>
        <v>start /low /b %USERPROFILE%\Documents\GitHub\eaglep3\Utilities\DownloadLogsFromS3.py --loco 4039 --day 2017-03-20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"%USERPROFILE%\AppData\Local\Temp\OnboardLogs"\RTDC4039\*4039*20170321* | grep -SE "(Enforcement Action)|(\[TIMEOUT)|(CHR.+\|PRM\|1\|D.+(SWITCH|SIGNAL).+UNKNOWN)" - &gt;&gt; 2017-03-20-UncaughtWiMAX.txt</v>
      </c>
    </row>
    <row r="202" spans="1:40" x14ac:dyDescent="0.25">
      <c r="A202" s="33" t="s">
        <v>816</v>
      </c>
      <c r="B202" s="7">
        <v>4040</v>
      </c>
      <c r="C202" s="21" t="s">
        <v>222</v>
      </c>
      <c r="D202" s="21" t="s">
        <v>979</v>
      </c>
      <c r="E202" s="13">
        <v>42814.876851851855</v>
      </c>
      <c r="F202" s="13">
        <v>42814.889745370368</v>
      </c>
      <c r="G202" s="7">
        <v>2</v>
      </c>
      <c r="H202" s="21" t="s">
        <v>433</v>
      </c>
      <c r="I202" s="13">
        <v>42814.898495370369</v>
      </c>
      <c r="J202" s="7">
        <v>0</v>
      </c>
      <c r="K202" s="98" t="str">
        <f t="shared" si="49"/>
        <v>4039/4040</v>
      </c>
      <c r="L202" s="21" t="str">
        <f>VLOOKUP(A202,'Trips&amp;Operators'!$C$1:$G$99999,5,FALSE)</f>
        <v>NEWELL JAMES</v>
      </c>
      <c r="M202" s="6">
        <f t="shared" si="50"/>
        <v>8.7500000008731149E-3</v>
      </c>
      <c r="N202" s="7">
        <f t="shared" si="70"/>
        <v>12.600000001257285</v>
      </c>
      <c r="O202" s="7"/>
      <c r="P202" s="7"/>
      <c r="Q202" s="22"/>
      <c r="R202" s="22"/>
      <c r="S202" s="31">
        <f t="shared" si="71"/>
        <v>1</v>
      </c>
      <c r="T202" s="46" t="str">
        <f t="shared" si="51"/>
        <v>NorthBound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52"/>
        <v>https://d0f6bd738d7f1b3e5a7ca70fe4ff75f0.us-east-1.aws.found.io/app/kibana#/discover/Steve-Slow-Train-Analysis-(2080s-and-2083s)?_g=(refreshInterval:(display:Off,pause:!f,section:0,value:0),time:(from:'2017-03-20T20:02:40-0600',mode:absolute,to:'2017-03-20T22:33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2" s="187" t="str">
        <f t="shared" si="53"/>
        <v>N</v>
      </c>
      <c r="X202" s="187">
        <f t="shared" si="72"/>
        <v>1</v>
      </c>
      <c r="Y202" s="62">
        <f t="shared" si="55"/>
        <v>9.64E-2</v>
      </c>
      <c r="Z202" s="62">
        <f t="shared" si="69"/>
        <v>5.8935000000000004</v>
      </c>
      <c r="AA202" s="62">
        <f t="shared" si="56"/>
        <v>5.7971000000000004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7"/>
        <v>0845-20</v>
      </c>
      <c r="AE202" s="85" t="str">
        <f t="shared" si="58"/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AF202" s="82" t="str">
        <f t="shared" si="59"/>
        <v>"C:\Program Files (x86)\AstroGrep\AstroGrep.exe" /e /r /s /spath="%USERPROFILE%\AppData\Local\Temp\OnboardLogs" /stypes="app*4040*20170321*" /stext=" 03:.+((SYSTEM_STATE.+slice.+state.+changed )|(ment ac)|(multiple cpu faults)|(system.+state.+changed )|(\[timeout)|(PRM\|1\|D)|(kpr)|(kdp)|(\|lc)|(penalty))"</v>
      </c>
      <c r="AG202" s="1" t="str">
        <f t="shared" si="60"/>
        <v>NW</v>
      </c>
      <c r="AH202" s="86" t="str">
        <f t="shared" si="61"/>
        <v>"%USERPROFILE%\Documents\GitHub\eaglep3\Utilities\RefineRTDCRunTimes.py" --tripid 845-20 --locoid 4040 --swversion DE.1.0.9.0 --startMP 204:964 --initTime 2017-03-20T21:02:40 --startdatetime 2017-03-20T21:21:14 --delay 2 --endMP 300:58935 --enddatetime 2017-03-20T21:33:50 --enforcementcount 0 &gt;&gt;C:\Users\stu\Documents\GitHub\eaglep3-reporting\EC\2017-03-20-refined-times.txt</v>
      </c>
      <c r="AI202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{"issue":{"subject":"","project_id":79,"tracker_id":40,"status_id":1,"priority_id":2,"assigned_to_id":23,"start_date":"2017-03-20","description":"","custom_fields":[{"id":1,"name":"Subdivision","value":"NW"},{"id":4,"name":"Milepost","value":"5.8935"},{"id":17,"name":"Train ID","value":"845-20"},{"id":16,"name":"Locomotive ID","value":"4040"},{"id":130,"name":"Impact","value":""},{"id":150,"name":"Time of Event (Mountain Time)","value":"21:33:50"},{"id":151,"name":"Denver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63"/>
        <v>start /low /b %USERPROFILE%\Documents\GitHub\eaglep3\Utilities\DownloadLogsFromS3.py --loco 4040 --day 2017-03-20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"%USERPROFILE%\AppData\Local\Temp\OnboardLogs"\RTDC4040\*4040*20170321* | grep -SE "(Enforcement Action)|(\[TIMEOUT)|(CHR.+\|PRM\|1\|D.+(SWITCH|SIGNAL).+UNKNOWN)" - &gt;&gt; 2017-03-20-UncaughtWiMAX.txt</v>
      </c>
    </row>
    <row r="203" spans="1:40" x14ac:dyDescent="0.25">
      <c r="A203" s="33" t="s">
        <v>822</v>
      </c>
      <c r="B203" s="7">
        <v>4040</v>
      </c>
      <c r="C203" s="21" t="s">
        <v>222</v>
      </c>
      <c r="D203" s="21" t="s">
        <v>980</v>
      </c>
      <c r="E203" s="13">
        <v>42814.927453703705</v>
      </c>
      <c r="F203" s="13">
        <v>42814.93141203704</v>
      </c>
      <c r="G203" s="7">
        <v>1</v>
      </c>
      <c r="H203" s="21" t="s">
        <v>515</v>
      </c>
      <c r="I203" s="13">
        <v>42814.940405092595</v>
      </c>
      <c r="J203" s="7">
        <v>0</v>
      </c>
      <c r="K203" s="98" t="str">
        <f t="shared" si="49"/>
        <v>4039/4040</v>
      </c>
      <c r="L203" s="21" t="str">
        <f>VLOOKUP(A203,'Trips&amp;Operators'!$C$1:$G$99999,5,FALSE)</f>
        <v>NEWELL JAMES</v>
      </c>
      <c r="M203" s="6">
        <f t="shared" si="50"/>
        <v>8.9930555550381541E-3</v>
      </c>
      <c r="N203" s="7">
        <f t="shared" si="70"/>
        <v>12.949999999254942</v>
      </c>
      <c r="O203" s="7"/>
      <c r="P203" s="7"/>
      <c r="Q203" s="22"/>
      <c r="R203" s="22"/>
      <c r="S203" s="31">
        <f t="shared" si="71"/>
        <v>1</v>
      </c>
      <c r="T203" s="46" t="str">
        <f t="shared" si="51"/>
        <v>NorthBound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52"/>
        <v>https://d0f6bd738d7f1b3e5a7ca70fe4ff75f0.us-east-1.aws.found.io/app/kibana#/discover/Steve-Slow-Train-Analysis-(2080s-and-2083s)?_g=(refreshInterval:(display:Off,pause:!f,section:0,value:0),time:(from:'2017-03-20T21:15:32-0600',mode:absolute,to:'2017-03-20T23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3" s="187" t="str">
        <f t="shared" si="53"/>
        <v>N</v>
      </c>
      <c r="X203" s="187">
        <f t="shared" si="72"/>
        <v>2</v>
      </c>
      <c r="Y203" s="62">
        <f t="shared" si="55"/>
        <v>9.5500000000000002E-2</v>
      </c>
      <c r="Z203" s="62">
        <f t="shared" si="69"/>
        <v>5.8929</v>
      </c>
      <c r="AA203" s="62">
        <f t="shared" si="56"/>
        <v>5.7973999999999997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7"/>
        <v>0847-20</v>
      </c>
      <c r="AE203" s="85" t="str">
        <f t="shared" si="58"/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AF203" s="82" t="str">
        <f t="shared" si="59"/>
        <v>"C:\Program Files (x86)\AstroGrep\AstroGrep.exe" /e /r /s /spath="%USERPROFILE%\AppData\Local\Temp\OnboardLogs" /stypes="app*4040*20170321*" /stext=" 04:.+((SYSTEM_STATE.+slice.+state.+changed )|(ment ac)|(multiple cpu faults)|(system.+state.+changed )|(\[timeout)|(PRM\|1\|D)|(kpr)|(kdp)|(\|lc)|(penalty))"</v>
      </c>
      <c r="AG203" s="1" t="str">
        <f t="shared" si="60"/>
        <v>NW</v>
      </c>
      <c r="AH203" s="86" t="str">
        <f t="shared" si="61"/>
        <v>"%USERPROFILE%\Documents\GitHub\eaglep3\Utilities\RefineRTDCRunTimes.py" --tripid 847-20 --locoid 4040 --swversion DE.1.0.9.0 --startMP 204:955 --initTime 2017-03-20T22:15:32 --startdatetime 2017-03-20T22:21:14 --delay 1 --endMP 300:58929 --enddatetime 2017-03-20T22:34:11 --enforcementcount 0 &gt;&gt;C:\Users\stu\Documents\GitHub\eaglep3-reporting\EC\2017-03-20-refined-times.txt</v>
      </c>
      <c r="AI203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{"issue":{"subject":"","project_id":79,"tracker_id":40,"status_id":1,"priority_id":2,"assigned_to_id":23,"start_date":"2017-03-20","description":"","custom_fields":[{"id":1,"name":"Subdivision","value":"NW"},{"id":4,"name":"Milepost","value":"5.8929"},{"id":17,"name":"Train ID","value":"847-20"},{"id":16,"name":"Locomotive ID","value":"4040"},{"id":130,"name":"Impact","value":""},{"id":150,"name":"Time of Event (Mountain Time)","value":"22:34:11"},{"id":151,"name":"Denver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63"/>
        <v>start /low /b %USERPROFILE%\Documents\GitHub\eaglep3\Utilities\DownloadLogsFromS3.py --loco 4040 --day 2017-03-20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"%USERPROFILE%\AppData\Local\Temp\OnboardLogs"\RTDC4040\*4040*20170321* | grep -SE "(Enforcement Action)|(\[TIMEOUT)|(CHR.+\|PRM\|1\|D.+(SWITCH|SIGNAL).+UNKNOWN)" - &gt;&gt; 2017-03-20-UncaughtWiMAX.txt</v>
      </c>
    </row>
    <row r="204" spans="1:40" x14ac:dyDescent="0.25">
      <c r="A204" s="33" t="s">
        <v>647</v>
      </c>
      <c r="B204" s="7">
        <v>4017</v>
      </c>
      <c r="C204" s="21" t="s">
        <v>222</v>
      </c>
      <c r="D204" s="21" t="s">
        <v>904</v>
      </c>
      <c r="E204" s="13">
        <v>42814.117118055554</v>
      </c>
      <c r="F204" s="13">
        <v>42814.120057870372</v>
      </c>
      <c r="G204" s="7">
        <v>3</v>
      </c>
      <c r="H204" s="21" t="s">
        <v>214</v>
      </c>
      <c r="I204" s="13">
        <v>42814.124675925923</v>
      </c>
      <c r="J204" s="7">
        <v>0</v>
      </c>
      <c r="K204" s="98" t="str">
        <f t="shared" si="49"/>
        <v>4017/4018</v>
      </c>
      <c r="L204" s="21" t="str">
        <f>VLOOKUP(A204,'Trips&amp;Operators'!$C$1:$G$99999,5,FALSE)</f>
        <v>SANTIZO D. EDY</v>
      </c>
      <c r="M204" s="6">
        <f t="shared" si="50"/>
        <v>4.6180555509636179E-3</v>
      </c>
      <c r="N204" s="7">
        <f t="shared" si="70"/>
        <v>6.6499999933876097</v>
      </c>
      <c r="O204" s="7"/>
      <c r="P204" s="7"/>
      <c r="Q204" s="22"/>
      <c r="R204" s="22"/>
      <c r="S204" s="31">
        <f t="shared" si="71"/>
        <v>1</v>
      </c>
      <c r="T204" s="46" t="str">
        <f t="shared" si="51"/>
        <v>Southbound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si="52"/>
        <v>https://d0f6bd738d7f1b3e5a7ca70fe4ff75f0.us-east-1.aws.found.io/app/kibana#/discover/Steve-Slow-Train-Analysis-(2080s-and-2083s)?_g=(refreshInterval:(display:Off,pause:!f,section:0,value:0),time:(from:'2017-03-20T01:48:39-0600',mode:absolute,to:'2017-03-20T03:59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4" s="187" t="str">
        <f t="shared" si="53"/>
        <v>Y</v>
      </c>
      <c r="X204" s="187">
        <f t="shared" si="72"/>
        <v>-545</v>
      </c>
      <c r="Y204" s="62">
        <f t="shared" si="55"/>
        <v>1.9148000000000001</v>
      </c>
      <c r="Z204" s="62">
        <f t="shared" si="69"/>
        <v>1.41E-2</v>
      </c>
      <c r="AA204" s="62">
        <f t="shared" si="56"/>
        <v>1.9007000000000001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7"/>
        <v>0302-20</v>
      </c>
      <c r="AE204" s="85" t="str">
        <f t="shared" si="58"/>
        <v>aws s3 cp s3://rtdc.mdm.uploadarchive.raw/RTDC4017/ "%USERPROFILE%\AppData\Local\Temp\OnboardLogs"\RTDC4017\2017-03-20 --exclude "*" --recursive --include "*20170320*" &amp; "%USERPROFILE%\Documents\GitHub\mrs-test-scripts\Headless Mode &amp; Sideloading\WalkAndUnGZ.bat" "%USERPROFILE%\AppData\Local\Temp\OnboardLogs"\RTDC4017\2017-03-20 &amp; aws s3 cp s3://rtdc.mdm.uploadarchive.raw/RTDC4017/ "%USERPROFILE%\AppData\Local\Temp\OnboardLogs"\RTDC4017\2017-03-21 --exclude "*" --recursive --include "*20170321*" &amp; "%USERPROFILE%\Documents\GitHub\mrs-test-scripts\Headless Mode &amp; Sideloading\WalkAndUnGZ.bat" "%USERPROFILE%\AppData\Local\Temp\OnboardLogs"\RTDC4017\2017-03-21</v>
      </c>
      <c r="AF204" s="82" t="str">
        <f t="shared" si="59"/>
        <v>"C:\Program Files (x86)\AstroGrep\AstroGrep.exe" /e /r /s /spath="%USERPROFILE%\AppData\Local\Temp\OnboardLogs" /stypes="app*4017*20170320*" /stext=" 08:.+((SYSTEM_STATE.+slice.+state.+changed )|(ment ac)|(multiple cpu faults)|(system.+state.+changed )|(\[timeout)|(PRM\|1\|D)|(kpr)|(kdp)|(\|lc)|(penalty))"</v>
      </c>
      <c r="AG204" s="1" t="str">
        <f t="shared" si="60"/>
        <v>Other</v>
      </c>
      <c r="AH204" s="86" t="str">
        <f t="shared" si="61"/>
        <v>"%USERPROFILE%\Documents\GitHub\eaglep3\Utilities\RefineRTDCRunTimes.py" --tripid 302-20 --locoid 4017 --swversion DE.1.0.9.0 --startMP 300:19148 --initTime 2017-03-20T02:48:39 --startdatetime 2017-03-20T02:52:53 --delay 3 --endMP 204:141 --enddatetime 2017-03-20T02:59:32 --enforcementcount 0 &gt;&gt;C:\Users\stu\Documents\GitHub\eaglep3-reporting\EC\2017-03-20-refined-times.txt</v>
      </c>
      <c r="AI204" s="108" t="str">
        <f t="shared" si="62"/>
        <v>echo {"issue":{"subject":"","project_id":79,"tracker_id":40,"status_id":1,"priority_id":2,"assigned_to_id":23,"start_date":"2017-03-20","description":"","custom_fields":[{"id":1,"name":"Subdivision","value":"Other"},{"id":4,"name":"Milepost","value":"0.0141"},{"id":17,"name":"Train ID","value":"302-20"},{"id":16,"name":"Locomotive ID","value":"4017"},{"id":130,"name":"Impact","value":""},{"id":150,"name":"Time of Event (Mountain Time)","value":"02:59:32"},{"id":151,"name":"Denver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63"/>
        <v>start /low /b %USERPROFILE%\Documents\GitHub\eaglep3\Utilities\DownloadLogsFromS3.py --loco 4017 --day 2017-03-20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"%USERPROFILE%\AppData\Local\Temp\OnboardLogs"\RTDC4017\*4017*20170320* | grep -SE "(Enforcement Action)|(\[TIMEOUT)|(CHR.+\|PRM\|1\|D.+(SWITCH|SIGNAL).+UNKNOWN)" - &gt;&gt; 2017-03-20-UncaughtWiMAX.txt</v>
      </c>
    </row>
    <row r="205" spans="1:40" x14ac:dyDescent="0.25">
      <c r="A205" s="33" t="s">
        <v>649</v>
      </c>
      <c r="B205" s="7">
        <v>4026</v>
      </c>
      <c r="C205" s="21" t="s">
        <v>222</v>
      </c>
      <c r="D205" s="21" t="s">
        <v>905</v>
      </c>
      <c r="E205" s="13">
        <v>42814.139027777775</v>
      </c>
      <c r="F205" s="13">
        <v>42814.141701388886</v>
      </c>
      <c r="G205" s="7">
        <v>3</v>
      </c>
      <c r="H205" s="21" t="s">
        <v>450</v>
      </c>
      <c r="I205" s="13">
        <v>42814.146898148145</v>
      </c>
      <c r="J205" s="7">
        <v>0</v>
      </c>
      <c r="K205" s="98" t="str">
        <f t="shared" ref="K205:K233" si="73">IF(ISEVEN(B205),(B205-1)&amp;"/"&amp;B205,B205&amp;"/"&amp;(B205+1))</f>
        <v>4025/4026</v>
      </c>
      <c r="L205" s="21" t="str">
        <f>VLOOKUP(A205,'Trips&amp;Operators'!$C$1:$G$99999,5,FALSE)</f>
        <v>MAELZER KURT</v>
      </c>
      <c r="M205" s="6">
        <f t="shared" ref="M205:M233" si="74">I205-F205</f>
        <v>5.1967592589790002E-3</v>
      </c>
      <c r="N205" s="7">
        <f t="shared" si="70"/>
        <v>7.4833333329297602</v>
      </c>
      <c r="O205" s="7"/>
      <c r="P205" s="7"/>
      <c r="Q205" s="22"/>
      <c r="R205" s="22"/>
      <c r="S205" s="31">
        <f t="shared" si="71"/>
        <v>1</v>
      </c>
      <c r="T205" s="46" t="str">
        <f t="shared" ref="T205:T233" si="75">IF(ISEVEN(LEFT(AD205,4)),"Southbound","NorthBound")</f>
        <v>Southbound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 t="shared" ref="V205:V233" si="76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-20T02:20:12-0600',mode:absolute,to:'2017-03-20T04:31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5" s="187" t="str">
        <f t="shared" ref="W205:W233" si="77">IF(AA205&lt;IF(AG205="EC",23,5.65),"Y","N")</f>
        <v>Y</v>
      </c>
      <c r="X205" s="187">
        <f t="shared" si="72"/>
        <v>2</v>
      </c>
      <c r="Y205" s="62">
        <f t="shared" ref="Y205:Y233" si="78">RIGHT(D205,LEN(D205)-4)/10000</f>
        <v>2.3115999999999999</v>
      </c>
      <c r="Z205" s="62">
        <f t="shared" si="69"/>
        <v>1.6E-2</v>
      </c>
      <c r="AA205" s="62">
        <f t="shared" ref="AA205:AA233" si="79">ABS(Z205-Y205)</f>
        <v>2.2955999999999999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33" si="80">IF(LEN(A205)=6,"0"&amp;A205,A205)</f>
        <v>0304-20</v>
      </c>
      <c r="AE205" s="85" t="str">
        <f t="shared" ref="AE205:AE233" si="8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 &amp; 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</v>
      </c>
      <c r="AF205" s="82" t="str">
        <f t="shared" ref="AF205:AF233" si="82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/stypes="app*4026*20170320*" /stext=" 09:.+((SYSTEM_STATE.+slice.+state.+changed )|(ment ac)|(multiple cpu faults)|(system.+state.+changed )|(\[timeout)|(PRM\|1\|D)|(kpr)|(kdp)|(\|lc)|(penalty))"</v>
      </c>
      <c r="AG205" s="1" t="str">
        <f t="shared" ref="AG205:AG233" si="83">IFERROR(IF(VALUE(LEFT(AD205,2))&lt;=2,"EC",IF(OR(VALUE(LEFT(AD205,2))=8,VALUE(LEFT(AD205,2))=18),"NW","Other")),"Other")</f>
        <v>Other</v>
      </c>
      <c r="AH205" s="86" t="str">
        <f t="shared" si="61"/>
        <v>"%USERPROFILE%\Documents\GitHub\eaglep3\Utilities\RefineRTDCRunTimes.py" --tripid 304-20 --locoid 4026 --swversion DE.1.0.9.0 --startMP 300:23116 --initTime 2017-03-20T03:20:12 --startdatetime 2017-03-20T03:24:03 --delay 3 --endMP 204:160 --enddatetime 2017-03-20T03:31:32 --enforcementcount 0 &gt;&gt;C:\Users\stu\Documents\GitHub\eaglep3-reporting\EC\2017-03-20-refined-times.txt</v>
      </c>
      <c r="AI205" s="108" t="str">
        <f t="shared" si="62"/>
        <v>echo {"issue":{"subject":"","project_id":79,"tracker_id":40,"status_id":1,"priority_id":2,"assigned_to_id":23,"start_date":"2017-03-20","description":"","custom_fields":[{"id":1,"name":"Subdivision","value":"Other"},{"id":4,"name":"Milepost","value":"0.016"},{"id":17,"name":"Train ID","value":"304-20"},{"id":16,"name":"Locomotive ID","value":"4026"},{"id":130,"name":"Impact","value":""},{"id":150,"name":"Time of Event (Mountain Time)","value":"03:31:32"},{"id":151,"name":"Denver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63"/>
        <v>start /low /b %USERPROFILE%\Documents\GitHub\eaglep3\Utilities\DownloadLogsFromS3.py --loco 4026 --day 2017-03-20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"%USERPROFILE%\AppData\Local\Temp\OnboardLogs"\RTDC4026\*4026*20170320* | grep -SE "(Enforcement Action)|(\[TIMEOUT)|(CHR.+\|PRM\|1\|D.+(SWITCH|SIGNAL).+UNKNOWN)" - &gt;&gt; 2017-03-20-UncaughtWiMAX.txt</v>
      </c>
    </row>
    <row r="206" spans="1:40" x14ac:dyDescent="0.25">
      <c r="A206" s="33" t="s">
        <v>641</v>
      </c>
      <c r="B206" s="7">
        <v>4018</v>
      </c>
      <c r="C206" s="21" t="s">
        <v>222</v>
      </c>
      <c r="D206" s="21" t="s">
        <v>431</v>
      </c>
      <c r="E206" s="13">
        <v>42814.796886574077</v>
      </c>
      <c r="F206" s="13">
        <v>42814.797824074078</v>
      </c>
      <c r="G206" s="7">
        <v>1</v>
      </c>
      <c r="H206" s="21" t="s">
        <v>906</v>
      </c>
      <c r="I206" s="13">
        <v>42814.802939814814</v>
      </c>
      <c r="J206" s="7">
        <v>0</v>
      </c>
      <c r="K206" s="98" t="str">
        <f t="shared" si="73"/>
        <v>4017/4018</v>
      </c>
      <c r="L206" s="21" t="str">
        <f>VLOOKUP(A206,'Trips&amp;Operators'!$C$1:$G$99999,5,FALSE)</f>
        <v>LOCKLEAR TRAVIS</v>
      </c>
      <c r="M206" s="6">
        <f t="shared" si="74"/>
        <v>5.1157407360733487E-3</v>
      </c>
      <c r="N206" s="7">
        <f t="shared" si="70"/>
        <v>7.3666666599456221</v>
      </c>
      <c r="O206" s="7"/>
      <c r="P206" s="7"/>
      <c r="Q206" s="22"/>
      <c r="R206" s="22"/>
      <c r="S206" s="31">
        <f t="shared" si="71"/>
        <v>1</v>
      </c>
      <c r="T206" s="46" t="str">
        <f t="shared" si="75"/>
        <v>NorthBound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 t="shared" si="76"/>
        <v>https://d0f6bd738d7f1b3e5a7ca70fe4ff75f0.us-east-1.aws.found.io/app/kibana#/discover/Steve-Slow-Train-Analysis-(2080s-and-2083s)?_g=(refreshInterval:(display:Off,pause:!f,section:0,value:0),time:(from:'2017-03-20T18:07:31-0600',mode:absolute,to:'2017-03-20T20:16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6" s="187" t="str">
        <f t="shared" si="77"/>
        <v>Y</v>
      </c>
      <c r="X206" s="187">
        <f t="shared" si="72"/>
        <v>1</v>
      </c>
      <c r="Y206" s="62">
        <f t="shared" si="78"/>
        <v>4.7300000000000002E-2</v>
      </c>
      <c r="Z206" s="62">
        <f t="shared" si="69"/>
        <v>2.3178000000000001</v>
      </c>
      <c r="AA206" s="62">
        <f t="shared" si="79"/>
        <v>2.2705000000000002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80"/>
        <v>0305-20</v>
      </c>
      <c r="AE206" s="85" t="str">
        <f t="shared" si="81"/>
        <v>aws s3 cp s3://rtdc.mdm.uploadarchive.raw/RTDC4018/ "%USERPROFILE%\AppData\Local\Temp\OnboardLogs"\RTDC4018\2017-03-20 --exclude "*" --recursive --include "*20170320*" &amp; "%USERPROFILE%\Documents\GitHub\mrs-test-scripts\Headless Mode &amp; Sideloading\WalkAndUnGZ.bat" "%USERPROFILE%\AppData\Local\Temp\OnboardLogs"\RTDC4018\2017-03-20 &amp; aws s3 cp s3://rtdc.mdm.uploadarchive.raw/RTDC4018/ "%USERPROFILE%\AppData\Local\Temp\OnboardLogs"\RTDC4018\2017-03-21 --exclude "*" --recursive --include "*20170321*" &amp; "%USERPROFILE%\Documents\GitHub\mrs-test-scripts\Headless Mode &amp; Sideloading\WalkAndUnGZ.bat" "%USERPROFILE%\AppData\Local\Temp\OnboardLogs"\RTDC4018\2017-03-21</v>
      </c>
      <c r="AF206" s="82" t="str">
        <f t="shared" si="82"/>
        <v>"C:\Program Files (x86)\AstroGrep\AstroGrep.exe" /e /r /s /spath="%USERPROFILE%\AppData\Local\Temp\OnboardLogs" /stypes="app*4018*20170321*" /stext=" 01:.+((SYSTEM_STATE.+slice.+state.+changed )|(ment ac)|(multiple cpu faults)|(system.+state.+changed )|(\[timeout)|(PRM\|1\|D)|(kpr)|(kdp)|(\|lc)|(penalty))"</v>
      </c>
      <c r="AG206" s="1" t="str">
        <f t="shared" si="83"/>
        <v>Other</v>
      </c>
      <c r="AH206" s="86" t="str">
        <f t="shared" ref="AH206:AH233" si="84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305-20 --locoid 4018 --swversion DE.1.0.9.0 --startMP 204:473 --initTime 2017-03-20T19:07:31 --startdatetime 2017-03-20T19:08:52 --delay 1 --endMP 300:23178 --enddatetime 2017-03-20T19:16:14 --enforcementcount 0 &gt;&gt;C:\Users\stu\Documents\GitHub\eaglep3-reporting\EC\2017-03-20-refined-times.txt</v>
      </c>
      <c r="AI206" s="108" t="str">
        <f t="shared" ref="AI206:AI233" si="85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{"issue":{"subject":"","project_id":79,"tracker_id":40,"status_id":1,"priority_id":2,"assigned_to_id":23,"start_date":"2017-03-20","description":"","custom_fields":[{"id":1,"name":"Subdivision","value":"Other"},{"id":4,"name":"Milepost","value":"2.3178"},{"id":17,"name":"Train ID","value":"305-20"},{"id":16,"name":"Locomotive ID","value":"4018"},{"id":130,"name":"Impact","value":""},{"id":150,"name":"Time of Event (Mountain Time)","value":"19:16:14"},{"id":151,"name":"Denver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ref="AM206:AM233" si="86">"start /low /b "&amp;dls3logs&amp;" --loco "&amp;B206&amp;" --day "&amp;TEXT(F206,"YYYY-MM-DD")</f>
        <v>start /low /b %USERPROFILE%\Documents\GitHub\eaglep3\Utilities\DownloadLogsFromS3.py --loco 4018 --day 2017-03-20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"%USERPROFILE%\AppData\Local\Temp\OnboardLogs"\RTDC4018\*4018*20170321* | grep -SE "(Enforcement Action)|(\[TIMEOUT)|(CHR.+\|PRM\|1\|D.+(SWITCH|SIGNAL).+UNKNOWN)" - &gt;&gt; 2017-03-20-UncaughtWiMAX.txt</v>
      </c>
    </row>
    <row r="207" spans="1:40" x14ac:dyDescent="0.25">
      <c r="A207" s="33" t="s">
        <v>652</v>
      </c>
      <c r="B207" s="7">
        <v>4012</v>
      </c>
      <c r="C207" s="21" t="s">
        <v>222</v>
      </c>
      <c r="D207" s="21" t="s">
        <v>907</v>
      </c>
      <c r="E207" s="13">
        <v>42814.163553240738</v>
      </c>
      <c r="F207" s="13">
        <v>42814.167349537034</v>
      </c>
      <c r="G207" s="7">
        <v>5</v>
      </c>
      <c r="H207" s="21" t="s">
        <v>578</v>
      </c>
      <c r="I207" s="13">
        <v>42814.172881944447</v>
      </c>
      <c r="J207" s="7">
        <v>0</v>
      </c>
      <c r="K207" s="98" t="str">
        <f t="shared" si="73"/>
        <v>4011/4012</v>
      </c>
      <c r="L207" s="21" t="str">
        <f>VLOOKUP(A207,'Trips&amp;Operators'!$C$1:$G$99999,5,FALSE)</f>
        <v>STARKS ANGELINA</v>
      </c>
      <c r="M207" s="6">
        <f t="shared" si="74"/>
        <v>5.5324074128293432E-3</v>
      </c>
      <c r="N207" s="7">
        <f t="shared" si="70"/>
        <v>7.9666666744742543</v>
      </c>
      <c r="O207" s="7"/>
      <c r="P207" s="7"/>
      <c r="Q207" s="22"/>
      <c r="R207" s="22"/>
      <c r="S207" s="31">
        <f t="shared" si="71"/>
        <v>1</v>
      </c>
      <c r="T207" s="46" t="str">
        <f t="shared" si="75"/>
        <v>Southbound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6" t="str">
        <f t="shared" si="76"/>
        <v>https://d0f6bd738d7f1b3e5a7ca70fe4ff75f0.us-east-1.aws.found.io/app/kibana#/discover/Steve-Slow-Train-Analysis-(2080s-and-2083s)?_g=(refreshInterval:(display:Off,pause:!f,section:0,value:0),time:(from:'2017-03-20T02:55:31-0600',mode:absolute,to:'2017-03-20T05:08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7" s="187" t="str">
        <f t="shared" si="77"/>
        <v>Y</v>
      </c>
      <c r="X207" s="187">
        <f t="shared" si="72"/>
        <v>1</v>
      </c>
      <c r="Y207" s="62">
        <f t="shared" si="78"/>
        <v>2.3077999999999999</v>
      </c>
      <c r="Z207" s="62">
        <f t="shared" si="69"/>
        <v>1.34E-2</v>
      </c>
      <c r="AA207" s="62">
        <f t="shared" si="79"/>
        <v>2.2944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80"/>
        <v>0306-20</v>
      </c>
      <c r="AE207" s="85" t="str">
        <f t="shared" si="81"/>
        <v>aws s3 cp s3://rtdc.mdm.uploadarchive.raw/RTDC4012/ "%USERPROFILE%\AppData\Local\Temp\OnboardLogs"\RTDC4012\2017-03-20 --exclude "*" --recursive --include "*20170320*" &amp; "%USERPROFILE%\Documents\GitHub\mrs-test-scripts\Headless Mode &amp; Sideloading\WalkAndUnGZ.bat" "%USERPROFILE%\AppData\Local\Temp\OnboardLogs"\RTDC4012\2017-03-20 &amp; aws s3 cp s3://rtdc.mdm.uploadarchive.raw/RTDC4012/ "%USERPROFILE%\AppData\Local\Temp\OnboardLogs"\RTDC4012\2017-03-21 --exclude "*" --recursive --include "*20170321*" &amp; "%USERPROFILE%\Documents\GitHub\mrs-test-scripts\Headless Mode &amp; Sideloading\WalkAndUnGZ.bat" "%USERPROFILE%\AppData\Local\Temp\OnboardLogs"\RTDC4012\2017-03-21</v>
      </c>
      <c r="AF207" s="82" t="str">
        <f t="shared" si="82"/>
        <v>"C:\Program Files (x86)\AstroGrep\AstroGrep.exe" /e /r /s /spath="%USERPROFILE%\AppData\Local\Temp\OnboardLogs" /stypes="app*4012*20170320*" /stext=" 10:.+((SYSTEM_STATE.+slice.+state.+changed )|(ment ac)|(multiple cpu faults)|(system.+state.+changed )|(\[timeout)|(PRM\|1\|D)|(kpr)|(kdp)|(\|lc)|(penalty))"</v>
      </c>
      <c r="AG207" s="1" t="str">
        <f t="shared" si="83"/>
        <v>Other</v>
      </c>
      <c r="AH207" s="86" t="str">
        <f t="shared" si="84"/>
        <v>"%USERPROFILE%\Documents\GitHub\eaglep3\Utilities\RefineRTDCRunTimes.py" --tripid 306-20 --locoid 4012 --swversion DE.1.0.9.0 --startMP 300:23078 --initTime 2017-03-20T03:55:31 --startdatetime 2017-03-20T04:00:59 --delay 5 --endMP 204:134 --enddatetime 2017-03-20T04:08:57 --enforcementcount 0 &gt;&gt;C:\Users\stu\Documents\GitHub\eaglep3-reporting\EC\2017-03-20-refined-times.txt</v>
      </c>
      <c r="AI207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{"issue":{"subject":"","project_id":79,"tracker_id":40,"status_id":1,"priority_id":2,"assigned_to_id":23,"start_date":"2017-03-20","description":"","custom_fields":[{"id":1,"name":"Subdivision","value":"Other"},{"id":4,"name":"Milepost","value":"0.0134"},{"id":17,"name":"Train ID","value":"306-20"},{"id":16,"name":"Locomotive ID","value":"4012"},{"id":130,"name":"Impact","value":""},{"id":150,"name":"Time of Event (Mountain Time)","value":"04:08:57"},{"id":151,"name":"Denver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86"/>
        <v>start /low /b %USERPROFILE%\Documents\GitHub\eaglep3\Utilities\DownloadLogsFromS3.py --loco 4012 --day 2017-03-20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"%USERPROFILE%\AppData\Local\Temp\OnboardLogs"\RTDC4012\*4012*20170320* | grep -SE "(Enforcement Action)|(\[TIMEOUT)|(CHR.+\|PRM\|1\|D.+(SWITCH|SIGNAL).+UNKNOWN)" - &gt;&gt; 2017-03-20-UncaughtWiMAX.txt</v>
      </c>
    </row>
    <row r="208" spans="1:40" x14ac:dyDescent="0.25">
      <c r="A208" s="33" t="s">
        <v>806</v>
      </c>
      <c r="B208" s="7">
        <v>4025</v>
      </c>
      <c r="C208" s="21" t="s">
        <v>222</v>
      </c>
      <c r="D208" s="21" t="s">
        <v>213</v>
      </c>
      <c r="E208" s="13">
        <v>42814.820474537039</v>
      </c>
      <c r="F208" s="13">
        <v>42814.821828703702</v>
      </c>
      <c r="G208" s="7">
        <v>1</v>
      </c>
      <c r="H208" s="21" t="s">
        <v>908</v>
      </c>
      <c r="I208" s="13">
        <v>42814.826817129629</v>
      </c>
      <c r="J208" s="7">
        <v>0</v>
      </c>
      <c r="K208" s="98" t="str">
        <f t="shared" si="73"/>
        <v>4025/4026</v>
      </c>
      <c r="L208" s="21" t="str">
        <f>VLOOKUP(A208,'Trips&amp;Operators'!$C$1:$G$99999,5,FALSE)</f>
        <v>BRANDNER MELINDA</v>
      </c>
      <c r="M208" s="6">
        <f t="shared" si="74"/>
        <v>4.9884259278769605E-3</v>
      </c>
      <c r="N208" s="7">
        <f t="shared" si="70"/>
        <v>7.1833333361428231</v>
      </c>
      <c r="O208" s="7"/>
      <c r="P208" s="7"/>
      <c r="Q208" s="22"/>
      <c r="R208" s="22"/>
      <c r="S208" s="31">
        <f t="shared" si="71"/>
        <v>1</v>
      </c>
      <c r="T208" s="46" t="str">
        <f t="shared" si="75"/>
        <v>NorthBound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6" t="str">
        <f t="shared" si="76"/>
        <v>https://d0f6bd738d7f1b3e5a7ca70fe4ff75f0.us-east-1.aws.found.io/app/kibana#/discover/Steve-Slow-Train-Analysis-(2080s-and-2083s)?_g=(refreshInterval:(display:Off,pause:!f,section:0,value:0),time:(from:'2017-03-20T18:41:29-0600',mode:absolute,to:'2017-03-20T20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8" s="187" t="str">
        <f t="shared" si="77"/>
        <v>Y</v>
      </c>
      <c r="X208" s="187">
        <f t="shared" si="72"/>
        <v>1</v>
      </c>
      <c r="Y208" s="62">
        <f t="shared" si="78"/>
        <v>4.5499999999999999E-2</v>
      </c>
      <c r="Z208" s="62">
        <f t="shared" si="69"/>
        <v>2.3029999999999999</v>
      </c>
      <c r="AA208" s="62">
        <f t="shared" si="79"/>
        <v>2.2574999999999998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80"/>
        <v>0307-20</v>
      </c>
      <c r="AE208" s="85" t="str">
        <f t="shared" si="81"/>
        <v>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 &amp; aws s3 cp s3://rtdc.mdm.uploadarchive.raw/RTDC4025/ "%USERPROFILE%\AppData\Local\Temp\OnboardLogs"\RTDC4025\2017-03-21 --exclude "*" --recursive --include "*20170321*" &amp; "%USERPROFILE%\Documents\GitHub\mrs-test-scripts\Headless Mode &amp; Sideloading\WalkAndUnGZ.bat" "%USERPROFILE%\AppData\Local\Temp\OnboardLogs"\RTDC4025\2017-03-21</v>
      </c>
      <c r="AF208" s="82" t="str">
        <f t="shared" si="82"/>
        <v>"C:\Program Files (x86)\AstroGrep\AstroGrep.exe" /e /r /s /spath="%USERPROFILE%\AppData\Local\Temp\OnboardLogs" /stypes="app*4025*20170321*" /stext=" 01:.+((SYSTEM_STATE.+slice.+state.+changed )|(ment ac)|(multiple cpu faults)|(system.+state.+changed )|(\[timeout)|(PRM\|1\|D)|(kpr)|(kdp)|(\|lc)|(penalty))"</v>
      </c>
      <c r="AG208" s="1" t="str">
        <f t="shared" si="83"/>
        <v>Other</v>
      </c>
      <c r="AH208" s="86" t="str">
        <f t="shared" si="84"/>
        <v>"%USERPROFILE%\Documents\GitHub\eaglep3\Utilities\RefineRTDCRunTimes.py" --tripid 307-20 --locoid 4025 --swversion DE.1.0.9.0 --startMP 204:455 --initTime 2017-03-20T19:41:29 --startdatetime 2017-03-20T19:43:26 --delay 1 --endMP 300:23030 --enddatetime 2017-03-20T19:50:37 --enforcementcount 0 &gt;&gt;C:\Users\stu\Documents\GitHub\eaglep3-reporting\EC\2017-03-20-refined-times.txt</v>
      </c>
      <c r="AI208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{"issue":{"subject":"","project_id":79,"tracker_id":40,"status_id":1,"priority_id":2,"assigned_to_id":23,"start_date":"2017-03-20","description":"","custom_fields":[{"id":1,"name":"Subdivision","value":"Other"},{"id":4,"name":"Milepost","value":"2.303"},{"id":17,"name":"Train ID","value":"307-20"},{"id":16,"name":"Locomotive ID","value":"4025"},{"id":130,"name":"Impact","value":""},{"id":150,"name":"Time of Event (Mountain Time)","value":"19:50:37"},{"id":151,"name":"Denver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86"/>
        <v>start /low /b %USERPROFILE%\Documents\GitHub\eaglep3\Utilities\DownloadLogsFromS3.py --loco 4025 --day 2017-03-20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"%USERPROFILE%\AppData\Local\Temp\OnboardLogs"\RTDC4025\*4025*20170321* | grep -SE "(Enforcement Action)|(\[TIMEOUT)|(CHR.+\|PRM\|1\|D.+(SWITCH|SIGNAL).+UNKNOWN)" - &gt;&gt; 2017-03-20-UncaughtWiMAX.txt</v>
      </c>
    </row>
    <row r="209" spans="1:40" x14ac:dyDescent="0.25">
      <c r="A209" s="33" t="s">
        <v>655</v>
      </c>
      <c r="B209" s="7">
        <v>4004</v>
      </c>
      <c r="C209" s="21" t="s">
        <v>222</v>
      </c>
      <c r="D209" s="21" t="s">
        <v>909</v>
      </c>
      <c r="E209" s="13">
        <v>42814.169016203705</v>
      </c>
      <c r="F209" s="13">
        <v>42814.171261574076</v>
      </c>
      <c r="G209" s="7">
        <v>3</v>
      </c>
      <c r="H209" s="21" t="s">
        <v>511</v>
      </c>
      <c r="I209" s="13">
        <v>42814.177291666667</v>
      </c>
      <c r="J209" s="7">
        <v>0</v>
      </c>
      <c r="K209" s="98" t="str">
        <f t="shared" si="73"/>
        <v>4003/4004</v>
      </c>
      <c r="L209" s="21" t="str">
        <f>VLOOKUP(A209,'Trips&amp;Operators'!$C$1:$G$99999,5,FALSE)</f>
        <v>GUZMAN DANNY</v>
      </c>
      <c r="M209" s="6">
        <f t="shared" si="74"/>
        <v>6.0300925906631164E-3</v>
      </c>
      <c r="N209" s="7">
        <f t="shared" si="70"/>
        <v>8.6833333305548877</v>
      </c>
      <c r="O209" s="7"/>
      <c r="P209" s="7"/>
      <c r="Q209" s="22"/>
      <c r="R209" s="22"/>
      <c r="S209" s="31">
        <f t="shared" si="71"/>
        <v>1</v>
      </c>
      <c r="T209" s="46" t="str">
        <f t="shared" si="75"/>
        <v>Southbound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6" t="str">
        <f t="shared" si="76"/>
        <v>https://d0f6bd738d7f1b3e5a7ca70fe4ff75f0.us-east-1.aws.found.io/app/kibana#/discover/Steve-Slow-Train-Analysis-(2080s-and-2083s)?_g=(refreshInterval:(display:Off,pause:!f,section:0,value:0),time:(from:'2017-03-20T03:03:23-0600',mode:absolute,to:'2017-03-20T05:15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9" s="187" t="str">
        <f t="shared" si="77"/>
        <v>Y</v>
      </c>
      <c r="X209" s="187">
        <f t="shared" si="72"/>
        <v>1</v>
      </c>
      <c r="Y209" s="62">
        <f t="shared" si="78"/>
        <v>2.3700999999999999</v>
      </c>
      <c r="Z209" s="62">
        <f t="shared" si="69"/>
        <v>1.3899999999999999E-2</v>
      </c>
      <c r="AA209" s="62">
        <f t="shared" si="79"/>
        <v>2.3561999999999999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80"/>
        <v>0308-20</v>
      </c>
      <c r="AE209" s="85" t="str">
        <f t="shared" si="81"/>
        <v>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 &amp; aws s3 cp s3://rtdc.mdm.uploadarchive.raw/RTDC4004/ "%USERPROFILE%\AppData\Local\Temp\OnboardLogs"\RTDC4004\2017-03-21 --exclude "*" --recursive --include "*20170321*" &amp; "%USERPROFILE%\Documents\GitHub\mrs-test-scripts\Headless Mode &amp; Sideloading\WalkAndUnGZ.bat" "%USERPROFILE%\AppData\Local\Temp\OnboardLogs"\RTDC4004\2017-03-21</v>
      </c>
      <c r="AF209" s="82" t="str">
        <f t="shared" si="82"/>
        <v>"C:\Program Files (x86)\AstroGrep\AstroGrep.exe" /e /r /s /spath="%USERPROFILE%\AppData\Local\Temp\OnboardLogs" /stypes="app*4004*20170320*" /stext=" 10:.+((SYSTEM_STATE.+slice.+state.+changed )|(ment ac)|(multiple cpu faults)|(system.+state.+changed )|(\[timeout)|(PRM\|1\|D)|(kpr)|(kdp)|(\|lc)|(penalty))"</v>
      </c>
      <c r="AG209" s="1" t="str">
        <f t="shared" si="83"/>
        <v>Other</v>
      </c>
      <c r="AH209" s="86" t="str">
        <f t="shared" si="84"/>
        <v>"%USERPROFILE%\Documents\GitHub\eaglep3\Utilities\RefineRTDCRunTimes.py" --tripid 308-20 --locoid 4004 --swversion DE.1.0.9.0 --startMP 300:23701 --initTime 2017-03-20T04:03:23 --startdatetime 2017-03-20T04:06:37 --delay 3 --endMP 204:139 --enddatetime 2017-03-20T04:15:18 --enforcementcount 0 &gt;&gt;C:\Users\stu\Documents\GitHub\eaglep3-reporting\EC\2017-03-20-refined-times.txt</v>
      </c>
      <c r="AI209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{"issue":{"subject":"","project_id":79,"tracker_id":40,"status_id":1,"priority_id":2,"assigned_to_id":23,"start_date":"2017-03-20","description":"","custom_fields":[{"id":1,"name":"Subdivision","value":"Other"},{"id":4,"name":"Milepost","value":"0.0139"},{"id":17,"name":"Train ID","value":"308-20"},{"id":16,"name":"Locomotive ID","value":"4004"},{"id":130,"name":"Impact","value":""},{"id":150,"name":"Time of Event (Mountain Time)","value":"04:15:18"},{"id":151,"name":"Denver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86"/>
        <v>start /low /b %USERPROFILE%\Documents\GitHub\eaglep3\Utilities\DownloadLogsFromS3.py --loco 4004 --day 2017-03-20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"%USERPROFILE%\AppData\Local\Temp\OnboardLogs"\RTDC4004\*4004*20170320* | grep -SE "(Enforcement Action)|(\[TIMEOUT)|(CHR.+\|PRM\|1\|D.+(SWITCH|SIGNAL).+UNKNOWN)" - &gt;&gt; 2017-03-20-UncaughtWiMAX.txt</v>
      </c>
    </row>
    <row r="210" spans="1:40" x14ac:dyDescent="0.25">
      <c r="A210" s="33" t="s">
        <v>833</v>
      </c>
      <c r="B210" s="7">
        <v>4046</v>
      </c>
      <c r="C210" s="21" t="s">
        <v>222</v>
      </c>
      <c r="D210" s="21" t="s">
        <v>215</v>
      </c>
      <c r="E210" s="13">
        <v>42815.047812500001</v>
      </c>
      <c r="F210" s="13">
        <v>42815.052453703705</v>
      </c>
      <c r="G210" s="7">
        <v>1</v>
      </c>
      <c r="H210" s="21" t="s">
        <v>910</v>
      </c>
      <c r="I210" s="13">
        <v>42815.061736111114</v>
      </c>
      <c r="J210" s="7">
        <v>0</v>
      </c>
      <c r="K210" s="98" t="str">
        <f t="shared" si="73"/>
        <v>4045/4046</v>
      </c>
      <c r="L210" s="21" t="str">
        <f>VLOOKUP(A210,'Trips&amp;Operators'!$C$1:$G$99999,5,FALSE)</f>
        <v>SMITH MICHAEL</v>
      </c>
      <c r="M210" s="6">
        <f t="shared" si="74"/>
        <v>9.2824074090458453E-3</v>
      </c>
      <c r="N210" s="7">
        <f t="shared" si="70"/>
        <v>13.366666669026017</v>
      </c>
      <c r="O210" s="7"/>
      <c r="P210" s="7"/>
      <c r="Q210" s="22"/>
      <c r="R210" s="22"/>
      <c r="S210" s="31">
        <f t="shared" si="71"/>
        <v>1</v>
      </c>
      <c r="T210" s="46" t="str">
        <f t="shared" si="75"/>
        <v>NorthBound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6" t="str">
        <f t="shared" si="76"/>
        <v>https://d0f6bd738d7f1b3e5a7ca70fe4ff75f0.us-east-1.aws.found.io/app/kibana#/discover/Steve-Slow-Train-Analysis-(2080s-and-2083s)?_g=(refreshInterval:(display:Off,pause:!f,section:0,value:0),time:(from:'2017-03-21T00:08:51-0600',mode:absolute,to:'2017-03-21T02:28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0" s="187" t="str">
        <f t="shared" si="77"/>
        <v>Y</v>
      </c>
      <c r="X210" s="187">
        <f t="shared" si="72"/>
        <v>1</v>
      </c>
      <c r="Y210" s="62">
        <f t="shared" si="78"/>
        <v>4.3999999999999997E-2</v>
      </c>
      <c r="Z210" s="62">
        <f t="shared" si="69"/>
        <v>2.3308</v>
      </c>
      <c r="AA210" s="62">
        <f t="shared" si="79"/>
        <v>2.2867999999999999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80"/>
        <v>0309-20</v>
      </c>
      <c r="AE210" s="85" t="str">
        <f t="shared" si="81"/>
        <v>aws s3 cp s3://rtdc.mdm.uploadarchive.raw/RTDC4046/ "%USERPROFILE%\AppData\Local\Temp\OnboardLogs"\RTDC4046\2017-03-21 --exclude "*" --recursive --include "*20170321*" &amp; "%USERPROFILE%\Documents\GitHub\mrs-test-scripts\Headless Mode &amp; Sideloading\WalkAndUnGZ.bat" "%USERPROFILE%\AppData\Local\Temp\OnboardLogs"\RTDC4046\2017-03-21 &amp; aws s3 cp s3://rtdc.mdm.uploadarchive.raw/RTDC4046/ "%USERPROFILE%\AppData\Local\Temp\OnboardLogs"\RTDC4046\2017-03-22 --exclude "*" --recursive --include "*20170322*" &amp; "%USERPROFILE%\Documents\GitHub\mrs-test-scripts\Headless Mode &amp; Sideloading\WalkAndUnGZ.bat" "%USERPROFILE%\AppData\Local\Temp\OnboardLogs"\RTDC4046\2017-03-22</v>
      </c>
      <c r="AF210" s="82" t="str">
        <f t="shared" si="82"/>
        <v>"C:\Program Files (x86)\AstroGrep\AstroGrep.exe" /e /r /s /spath="%USERPROFILE%\AppData\Local\Temp\OnboardLogs" /stypes="app*4046*20170321*" /stext=" 07:.+((SYSTEM_STATE.+slice.+state.+changed )|(ment ac)|(multiple cpu faults)|(system.+state.+changed )|(\[timeout)|(PRM\|1\|D)|(kpr)|(kdp)|(\|lc)|(penalty))"</v>
      </c>
      <c r="AG210" s="1" t="str">
        <f t="shared" si="83"/>
        <v>Other</v>
      </c>
      <c r="AH210" s="86" t="str">
        <f t="shared" si="84"/>
        <v>"%USERPROFILE%\Documents\GitHub\eaglep3\Utilities\RefineRTDCRunTimes.py" --tripid 309-20 --locoid 4046 --swversion DE.1.0.9.0 --startMP 204:440 --initTime 2017-03-21T01:08:51 --startdatetime 2017-03-21T01:15:32 --delay 1 --endMP 300:23308 --enddatetime 2017-03-21T01:28:54 --enforcementcount 0 &gt;&gt;C:\Users\stu\Documents\GitHub\eaglep3-reporting\EC\2017-03-20-refined-times.txt</v>
      </c>
      <c r="AI210" s="108" t="str">
        <f t="shared" si="85"/>
        <v>echo {"issue":{"subject":"","project_id":79,"tracker_id":40,"status_id":1,"priority_id":2,"assigned_to_id":23,"start_date":"2017-03-21","description":"","custom_fields":[{"id":1,"name":"Subdivision","value":"Other"},{"id":4,"name":"Milepost","value":"2.3308"},{"id":17,"name":"Train ID","value":"309-20"},{"id":16,"name":"Locomotive ID","value":"4046"},{"id":130,"name":"Impact","value":""},{"id":150,"name":"Time of Event (Mountain Time)","value":"01:28:54"},{"id":151,"name":"Denver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86"/>
        <v>start /low /b %USERPROFILE%\Documents\GitHub\eaglep3\Utilities\DownloadLogsFromS3.py --loco 4046 --day 2017-03-21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"%USERPROFILE%\AppData\Local\Temp\OnboardLogs"\RTDC4046\*4046*20170321* | grep -SE "(Enforcement Action)|(\[TIMEOUT)|(CHR.+\|PRM\|1\|D.+(SWITCH|SIGNAL).+UNKNOWN)" - &gt;&gt; 2017-03-20-UncaughtWiMAX.txt</v>
      </c>
    </row>
    <row r="211" spans="1:40" x14ac:dyDescent="0.25">
      <c r="A211" s="33" t="s">
        <v>660</v>
      </c>
      <c r="B211" s="7">
        <v>4041</v>
      </c>
      <c r="C211" s="21" t="s">
        <v>222</v>
      </c>
      <c r="D211" s="21" t="s">
        <v>911</v>
      </c>
      <c r="E211" s="13">
        <v>42814.181261574071</v>
      </c>
      <c r="F211" s="13">
        <v>42814.183530092596</v>
      </c>
      <c r="G211" s="7">
        <v>3</v>
      </c>
      <c r="H211" s="21" t="s">
        <v>560</v>
      </c>
      <c r="I211" s="13">
        <v>42814.190740740742</v>
      </c>
      <c r="J211" s="7">
        <v>0</v>
      </c>
      <c r="K211" s="98" t="str">
        <f t="shared" si="73"/>
        <v>4041/4042</v>
      </c>
      <c r="L211" s="21" t="str">
        <f>VLOOKUP(A211,'Trips&amp;Operators'!$C$1:$G$99999,5,FALSE)</f>
        <v>ACKERMAN JARED</v>
      </c>
      <c r="M211" s="6">
        <f t="shared" si="74"/>
        <v>7.2106481457012706E-3</v>
      </c>
      <c r="N211" s="7">
        <f t="shared" si="70"/>
        <v>10.38333332980983</v>
      </c>
      <c r="O211" s="7"/>
      <c r="P211" s="7"/>
      <c r="Q211" s="22"/>
      <c r="R211" s="22"/>
      <c r="S211" s="31">
        <f t="shared" si="71"/>
        <v>1</v>
      </c>
      <c r="T211" s="46" t="str">
        <f t="shared" si="75"/>
        <v>Southbound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6" t="str">
        <f t="shared" si="76"/>
        <v>https://d0f6bd738d7f1b3e5a7ca70fe4ff75f0.us-east-1.aws.found.io/app/kibana#/discover/Steve-Slow-Train-Analysis-(2080s-and-2083s)?_g=(refreshInterval:(display:Off,pause:!f,section:0,value:0),time:(from:'2017-03-20T03:21:01-0600',mode:absolute,to:'2017-03-20T05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1" s="187" t="str">
        <f t="shared" si="77"/>
        <v>Y</v>
      </c>
      <c r="X211" s="187">
        <f t="shared" si="72"/>
        <v>1</v>
      </c>
      <c r="Y211" s="62">
        <f t="shared" si="78"/>
        <v>2.3449</v>
      </c>
      <c r="Z211" s="62">
        <f t="shared" si="69"/>
        <v>1.23E-2</v>
      </c>
      <c r="AA211" s="62">
        <f t="shared" si="79"/>
        <v>2.3325999999999998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80"/>
        <v>0310-20</v>
      </c>
      <c r="AE211" s="85" t="str">
        <f t="shared" si="81"/>
        <v>aws s3 cp s3://rtdc.mdm.uploadarchive.raw/RTDC4041/ "%USERPROFILE%\AppData\Local\Temp\OnboardLogs"\RTDC4041\2017-03-20 --exclude "*" --recursive --include "*20170320*" &amp; "%USERPROFILE%\Documents\GitHub\mrs-test-scripts\Headless Mode &amp; Sideloading\WalkAndUnGZ.bat" "%USERPROFILE%\AppData\Local\Temp\OnboardLogs"\RTDC4041\2017-03-20 &amp; aws s3 cp s3://rtdc.mdm.uploadarchive.raw/RTDC4041/ "%USERPROFILE%\AppData\Local\Temp\OnboardLogs"\RTDC4041\2017-03-21 --exclude "*" --recursive --include "*20170321*" &amp; "%USERPROFILE%\Documents\GitHub\mrs-test-scripts\Headless Mode &amp; Sideloading\WalkAndUnGZ.bat" "%USERPROFILE%\AppData\Local\Temp\OnboardLogs"\RTDC4041\2017-03-21</v>
      </c>
      <c r="AF211" s="82" t="str">
        <f t="shared" si="82"/>
        <v>"C:\Program Files (x86)\AstroGrep\AstroGrep.exe" /e /r /s /spath="%USERPROFILE%\AppData\Local\Temp\OnboardLogs" /stypes="app*4041*20170320*" /stext=" 10:.+((SYSTEM_STATE.+slice.+state.+changed )|(ment ac)|(multiple cpu faults)|(system.+state.+changed )|(\[timeout)|(PRM\|1\|D)|(kpr)|(kdp)|(\|lc)|(penalty))"</v>
      </c>
      <c r="AG211" s="1" t="str">
        <f t="shared" si="83"/>
        <v>Other</v>
      </c>
      <c r="AH211" s="86" t="str">
        <f t="shared" si="84"/>
        <v>"%USERPROFILE%\Documents\GitHub\eaglep3\Utilities\RefineRTDCRunTimes.py" --tripid 310-20 --locoid 4041 --swversion DE.1.0.9.0 --startMP 300:23449 --initTime 2017-03-20T04:21:01 --startdatetime 2017-03-20T04:24:17 --delay 3 --endMP 204:123 --enddatetime 2017-03-20T04:34:40 --enforcementcount 0 &gt;&gt;C:\Users\stu\Documents\GitHub\eaglep3-reporting\EC\2017-03-20-refined-times.txt</v>
      </c>
      <c r="AI211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{"issue":{"subject":"","project_id":79,"tracker_id":40,"status_id":1,"priority_id":2,"assigned_to_id":23,"start_date":"2017-03-20","description":"","custom_fields":[{"id":1,"name":"Subdivision","value":"Other"},{"id":4,"name":"Milepost","value":"0.0123"},{"id":17,"name":"Train ID","value":"310-20"},{"id":16,"name":"Locomotive ID","value":"4041"},{"id":130,"name":"Impact","value":""},{"id":150,"name":"Time of Event (Mountain Time)","value":"04:34:40"},{"id":151,"name":"Denver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86"/>
        <v>start /low /b %USERPROFILE%\Documents\GitHub\eaglep3\Utilities\DownloadLogsFromS3.py --loco 4041 --day 2017-03-20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"%USERPROFILE%\AppData\Local\Temp\OnboardLogs"\RTDC4041\*4041*20170320* | grep -SE "(Enforcement Action)|(\[TIMEOUT)|(CHR.+\|PRM\|1\|D.+(SWITCH|SIGNAL).+UNKNOWN)" - &gt;&gt; 2017-03-20-UncaughtWiMAX.txt</v>
      </c>
    </row>
    <row r="212" spans="1:40" x14ac:dyDescent="0.25">
      <c r="A212" s="33" t="s">
        <v>835</v>
      </c>
      <c r="B212" s="7">
        <v>4027</v>
      </c>
      <c r="C212" s="21" t="s">
        <v>222</v>
      </c>
      <c r="D212" s="21" t="s">
        <v>912</v>
      </c>
      <c r="E212" s="13">
        <v>42815.066157407404</v>
      </c>
      <c r="F212" s="13">
        <v>42815.067777777775</v>
      </c>
      <c r="G212" s="7">
        <v>2</v>
      </c>
      <c r="H212" s="21" t="s">
        <v>910</v>
      </c>
      <c r="I212" s="13">
        <v>42815.074513888889</v>
      </c>
      <c r="J212" s="7">
        <v>0</v>
      </c>
      <c r="K212" s="98" t="str">
        <f t="shared" si="73"/>
        <v>4027/4028</v>
      </c>
      <c r="L212" s="21" t="str">
        <f>VLOOKUP(A212,'Trips&amp;Operators'!$C$1:$G$99999,5,FALSE)</f>
        <v>STAMBAUGH JAMES</v>
      </c>
      <c r="M212" s="6">
        <f t="shared" si="74"/>
        <v>6.7361111141508445E-3</v>
      </c>
      <c r="N212" s="7">
        <f t="shared" si="70"/>
        <v>9.7000000043772161</v>
      </c>
      <c r="O212" s="7"/>
      <c r="P212" s="7"/>
      <c r="Q212" s="22"/>
      <c r="R212" s="22"/>
      <c r="S212" s="31">
        <f t="shared" si="71"/>
        <v>1</v>
      </c>
      <c r="T212" s="46" t="str">
        <f t="shared" si="75"/>
        <v>NorthBound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6" t="str">
        <f t="shared" si="76"/>
        <v>https://d0f6bd738d7f1b3e5a7ca70fe4ff75f0.us-east-1.aws.found.io/app/kibana#/discover/Steve-Slow-Train-Analysis-(2080s-and-2083s)?_g=(refreshInterval:(display:Off,pause:!f,section:0,value:0),time:(from:'2017-03-21T00:35:16-0600',mode:absolute,to:'2017-03-21T02:47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2" s="187" t="str">
        <f t="shared" si="77"/>
        <v>Y</v>
      </c>
      <c r="X212" s="187">
        <f t="shared" si="72"/>
        <v>1</v>
      </c>
      <c r="Y212" s="62">
        <f t="shared" si="78"/>
        <v>4.1099999999999998E-2</v>
      </c>
      <c r="Z212" s="62">
        <f t="shared" si="69"/>
        <v>2.3308</v>
      </c>
      <c r="AA212" s="62">
        <f t="shared" si="79"/>
        <v>2.2896999999999998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80"/>
        <v>0311-20</v>
      </c>
      <c r="AE212" s="85" t="str">
        <f t="shared" si="81"/>
        <v>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 &amp; aws s3 cp s3://rtdc.mdm.uploadarchive.raw/RTDC4027/ "%USERPROFILE%\AppData\Local\Temp\OnboardLogs"\RTDC4027\2017-03-22 --exclude "*" --recursive --include "*20170322*" &amp; "%USERPROFILE%\Documents\GitHub\mrs-test-scripts\Headless Mode &amp; Sideloading\WalkAndUnGZ.bat" "%USERPROFILE%\AppData\Local\Temp\OnboardLogs"\RTDC4027\2017-03-22</v>
      </c>
      <c r="AF212" s="82" t="str">
        <f t="shared" si="82"/>
        <v>"C:\Program Files (x86)\AstroGrep\AstroGrep.exe" /e /r /s /spath="%USERPROFILE%\AppData\Local\Temp\OnboardLogs" /stypes="app*4027*20170321*" /stext=" 07:.+((SYSTEM_STATE.+slice.+state.+changed )|(ment ac)|(multiple cpu faults)|(system.+state.+changed )|(\[timeout)|(PRM\|1\|D)|(kpr)|(kdp)|(\|lc)|(penalty))"</v>
      </c>
      <c r="AG212" s="1" t="str">
        <f t="shared" si="83"/>
        <v>Other</v>
      </c>
      <c r="AH212" s="86" t="str">
        <f t="shared" si="84"/>
        <v>"%USERPROFILE%\Documents\GitHub\eaglep3\Utilities\RefineRTDCRunTimes.py" --tripid 311-20 --locoid 4027 --swversion DE.1.0.9.0 --startMP 204:411 --initTime 2017-03-21T01:35:16 --startdatetime 2017-03-21T01:37:36 --delay 2 --endMP 300:23308 --enddatetime 2017-03-21T01:47:18 --enforcementcount 0 &gt;&gt;C:\Users\stu\Documents\GitHub\eaglep3-reporting\EC\2017-03-20-refined-times.txt</v>
      </c>
      <c r="AI212" s="108" t="str">
        <f t="shared" si="85"/>
        <v>echo {"issue":{"subject":"","project_id":79,"tracker_id":40,"status_id":1,"priority_id":2,"assigned_to_id":23,"start_date":"2017-03-21","description":"","custom_fields":[{"id":1,"name":"Subdivision","value":"Other"},{"id":4,"name":"Milepost","value":"2.3308"},{"id":17,"name":"Train ID","value":"311-20"},{"id":16,"name":"Locomotive ID","value":"4027"},{"id":130,"name":"Impact","value":""},{"id":150,"name":"Time of Event (Mountain Time)","value":"01:47:18"},{"id":151,"name":"Denver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86"/>
        <v>start /low /b %USERPROFILE%\Documents\GitHub\eaglep3\Utilities\DownloadLogsFromS3.py --loco 4027 --day 2017-03-21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"%USERPROFILE%\AppData\Local\Temp\OnboardLogs"\RTDC4027\*4027*20170321* | grep -SE "(Enforcement Action)|(\[TIMEOUT)|(CHR.+\|PRM\|1\|D.+(SWITCH|SIGNAL).+UNKNOWN)" - &gt;&gt; 2017-03-20-UncaughtWiMAX.txt</v>
      </c>
    </row>
    <row r="213" spans="1:40" x14ac:dyDescent="0.25">
      <c r="A213" s="33" t="s">
        <v>553</v>
      </c>
      <c r="B213" s="7">
        <v>4016</v>
      </c>
      <c r="C213" s="21" t="s">
        <v>222</v>
      </c>
      <c r="D213" s="21" t="s">
        <v>209</v>
      </c>
      <c r="E213" s="13">
        <v>42814.087268518517</v>
      </c>
      <c r="F213" s="13">
        <v>42814.088877314818</v>
      </c>
      <c r="G213" s="7">
        <v>1</v>
      </c>
      <c r="H213" s="21" t="s">
        <v>588</v>
      </c>
      <c r="I213" s="13">
        <v>42814.095127314817</v>
      </c>
      <c r="J213" s="7">
        <v>0</v>
      </c>
      <c r="K213" s="98" t="str">
        <f t="shared" si="73"/>
        <v>4015/4016</v>
      </c>
      <c r="L213" s="21" t="str">
        <f>VLOOKUP(A213,'Trips&amp;Operators'!$C$1:$G$99999,5,FALSE)</f>
        <v>STAMBAUGH JAMES</v>
      </c>
      <c r="M213" s="6">
        <f t="shared" si="74"/>
        <v>6.2499999985448085E-3</v>
      </c>
      <c r="N213" s="7">
        <f t="shared" si="70"/>
        <v>8.9999999979045242</v>
      </c>
      <c r="O213" s="7"/>
      <c r="P213" s="7"/>
      <c r="Q213" s="22"/>
      <c r="R213" s="22"/>
      <c r="S213" s="31">
        <f t="shared" si="71"/>
        <v>1</v>
      </c>
      <c r="T213" s="46" t="str">
        <f t="shared" si="75"/>
        <v>NorthBound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6" t="str">
        <f t="shared" si="76"/>
        <v>https://d0f6bd738d7f1b3e5a7ca70fe4ff75f0.us-east-1.aws.found.io/app/kibana#/discover/Steve-Slow-Train-Analysis-(2080s-and-2083s)?_g=(refreshInterval:(display:Off,pause:!f,section:0,value:0),time:(from:'2017-03-20T01:05:40-0600',mode:absolute,to:'2017-03-20T03:16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3" s="187" t="str">
        <f t="shared" si="77"/>
        <v>Y</v>
      </c>
      <c r="X213" s="187">
        <f t="shared" si="72"/>
        <v>2</v>
      </c>
      <c r="Y213" s="62">
        <f t="shared" si="78"/>
        <v>4.5999999999999999E-2</v>
      </c>
      <c r="Z213" s="62">
        <f t="shared" si="69"/>
        <v>2.3296999999999999</v>
      </c>
      <c r="AA213" s="62">
        <f t="shared" si="79"/>
        <v>2.2837000000000001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80"/>
        <v>0313-19</v>
      </c>
      <c r="AE213" s="85" t="str">
        <f t="shared" si="81"/>
        <v>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 &amp; aws s3 cp s3://rtdc.mdm.uploadarchive.raw/RTDC4016/ "%USERPROFILE%\AppData\Local\Temp\OnboardLogs"\RTDC4016\2017-03-21 --exclude "*" --recursive --include "*20170321*" &amp; "%USERPROFILE%\Documents\GitHub\mrs-test-scripts\Headless Mode &amp; Sideloading\WalkAndUnGZ.bat" "%USERPROFILE%\AppData\Local\Temp\OnboardLogs"\RTDC4016\2017-03-21</v>
      </c>
      <c r="AF213" s="82" t="str">
        <f t="shared" si="82"/>
        <v>"C:\Program Files (x86)\AstroGrep\AstroGrep.exe" /e /r /s /spath="%USERPROFILE%\AppData\Local\Temp\OnboardLogs" /stypes="app*4016*20170320*" /stext=" 08:.+((SYSTEM_STATE.+slice.+state.+changed )|(ment ac)|(multiple cpu faults)|(system.+state.+changed )|(\[timeout)|(PRM\|1\|D)|(kpr)|(kdp)|(\|lc)|(penalty))"</v>
      </c>
      <c r="AG213" s="1" t="str">
        <f t="shared" si="83"/>
        <v>Other</v>
      </c>
      <c r="AH213" s="86" t="str">
        <f t="shared" si="84"/>
        <v>"%USERPROFILE%\Documents\GitHub\eaglep3\Utilities\RefineRTDCRunTimes.py" --tripid 313-19 --locoid 4016 --swversion DE.1.0.9.0 --startMP 204:460 --initTime 2017-03-20T02:05:40 --startdatetime 2017-03-20T02:07:59 --delay 1 --endMP 300:23297 --enddatetime 2017-03-20T02:16:59 --enforcementcount 0 &gt;&gt;C:\Users\stu\Documents\GitHub\eaglep3-reporting\EC\2017-03-20-refined-times.txt</v>
      </c>
      <c r="AI213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{"issue":{"subject":"","project_id":79,"tracker_id":40,"status_id":1,"priority_id":2,"assigned_to_id":23,"start_date":"2017-03-20","description":"","custom_fields":[{"id":1,"name":"Subdivision","value":"Other"},{"id":4,"name":"Milepost","value":"2.3297"},{"id":17,"name":"Train ID","value":"313-19"},{"id":16,"name":"Locomotive ID","value":"4016"},{"id":130,"name":"Impact","value":""},{"id":150,"name":"Time of Event (Mountain Time)","value":"02:16:59"},{"id":151,"name":"Denver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86"/>
        <v>start /low /b %USERPROFILE%\Documents\GitHub\eaglep3\Utilities\DownloadLogsFromS3.py --loco 4016 --day 2017-03-20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"%USERPROFILE%\AppData\Local\Temp\OnboardLogs"\RTDC4016\*4016*20170320* | grep -SE "(Enforcement Action)|(\[TIMEOUT)|(CHR.+\|PRM\|1\|D.+(SWITCH|SIGNAL).+UNKNOWN)" - &gt;&gt; 2017-03-20-UncaughtWiMAX.txt</v>
      </c>
    </row>
    <row r="214" spans="1:40" x14ac:dyDescent="0.25">
      <c r="A214" s="33" t="s">
        <v>836</v>
      </c>
      <c r="B214" s="7">
        <v>4003</v>
      </c>
      <c r="C214" s="21" t="s">
        <v>222</v>
      </c>
      <c r="D214" s="21" t="s">
        <v>582</v>
      </c>
      <c r="E214" s="13">
        <v>42815.089131944442</v>
      </c>
      <c r="F214" s="13">
        <v>42815.090902777774</v>
      </c>
      <c r="G214" s="7">
        <v>1</v>
      </c>
      <c r="H214" s="21" t="s">
        <v>913</v>
      </c>
      <c r="I214" s="13">
        <v>42815.098611111112</v>
      </c>
      <c r="J214" s="7">
        <v>0</v>
      </c>
      <c r="K214" s="98" t="str">
        <f t="shared" si="73"/>
        <v>4003/4004</v>
      </c>
      <c r="L214" s="21" t="str">
        <f>VLOOKUP(A214,'Trips&amp;Operators'!$C$1:$G$99999,5,FALSE)</f>
        <v>STORY SAMANTHA</v>
      </c>
      <c r="M214" s="6">
        <f t="shared" si="74"/>
        <v>7.708333338086959E-3</v>
      </c>
      <c r="N214" s="7">
        <f t="shared" si="70"/>
        <v>11.100000006845221</v>
      </c>
      <c r="O214" s="7"/>
      <c r="P214" s="7"/>
      <c r="Q214" s="22"/>
      <c r="R214" s="22"/>
      <c r="S214" s="31">
        <f t="shared" si="71"/>
        <v>1</v>
      </c>
      <c r="T214" s="46" t="str">
        <f t="shared" si="75"/>
        <v>NorthBound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6" t="str">
        <f t="shared" si="76"/>
        <v>https://d0f6bd738d7f1b3e5a7ca70fe4ff75f0.us-east-1.aws.found.io/app/kibana#/discover/Steve-Slow-Train-Analysis-(2080s-and-2083s)?_g=(refreshInterval:(display:Off,pause:!f,section:0,value:0),time:(from:'2017-03-21T01:08:21-0600',mode:absolute,to:'2017-03-21T03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4" s="187" t="str">
        <f t="shared" si="77"/>
        <v>Y</v>
      </c>
      <c r="X214" s="187">
        <f t="shared" si="72"/>
        <v>0</v>
      </c>
      <c r="Y214" s="62">
        <f t="shared" si="78"/>
        <v>4.6399999999999997E-2</v>
      </c>
      <c r="Z214" s="62">
        <f t="shared" ref="Z214:Z233" si="87">RIGHT(H214,LEN(H214)-4)/10000</f>
        <v>2.3289</v>
      </c>
      <c r="AA214" s="62">
        <f t="shared" si="79"/>
        <v>2.2824999999999998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80"/>
        <v>0313-20</v>
      </c>
      <c r="AE214" s="85" t="str">
        <f t="shared" si="81"/>
        <v>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 &amp; 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</v>
      </c>
      <c r="AF214" s="82" t="str">
        <f t="shared" si="82"/>
        <v>"C:\Program Files (x86)\AstroGrep\AstroGrep.exe" /e /r /s /spath="%USERPROFILE%\AppData\Local\Temp\OnboardLogs" /stypes="app*4003*20170321*" /stext=" 08:.+((SYSTEM_STATE.+slice.+state.+changed )|(ment ac)|(multiple cpu faults)|(system.+state.+changed )|(\[timeout)|(PRM\|1\|D)|(kpr)|(kdp)|(\|lc)|(penalty))"</v>
      </c>
      <c r="AG214" s="1" t="str">
        <f t="shared" si="83"/>
        <v>Other</v>
      </c>
      <c r="AH214" s="86" t="str">
        <f t="shared" si="84"/>
        <v>"%USERPROFILE%\Documents\GitHub\eaglep3\Utilities\RefineRTDCRunTimes.py" --tripid 313-20 --locoid 4003 --swversion DE.1.0.9.0 --startMP 204:464 --initTime 2017-03-21T02:08:21 --startdatetime 2017-03-21T02:10:54 --delay 1 --endMP 300:23289 --enddatetime 2017-03-21T02:22:00 --enforcementcount 0 &gt;&gt;C:\Users\stu\Documents\GitHub\eaglep3-reporting\EC\2017-03-20-refined-times.txt</v>
      </c>
      <c r="AI214" s="108" t="str">
        <f t="shared" si="85"/>
        <v>echo {"issue":{"subject":"","project_id":79,"tracker_id":40,"status_id":1,"priority_id":2,"assigned_to_id":23,"start_date":"2017-03-21","description":"","custom_fields":[{"id":1,"name":"Subdivision","value":"Other"},{"id":4,"name":"Milepost","value":"2.3289"},{"id":17,"name":"Train ID","value":"313-20"},{"id":16,"name":"Locomotive ID","value":"4003"},{"id":130,"name":"Impact","value":""},{"id":150,"name":"Time of Event (Mountain Time)","value":"02:22:00"},{"id":151,"name":"Denver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86"/>
        <v>start /low /b %USERPROFILE%\Documents\GitHub\eaglep3\Utilities\DownloadLogsFromS3.py --loco 4003 --day 2017-03-21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"%USERPROFILE%\AppData\Local\Temp\OnboardLogs"\RTDC4003\*4003*20170321* | grep -SE "(Enforcement Action)|(\[TIMEOUT)|(CHR.+\|PRM\|1\|D.+(SWITCH|SIGNAL).+UNKNOWN)" - &gt;&gt; 2017-03-20-UncaughtWiMAX.txt</v>
      </c>
    </row>
    <row r="215" spans="1:40" x14ac:dyDescent="0.25">
      <c r="A215" s="33" t="s">
        <v>832</v>
      </c>
      <c r="B215" s="7">
        <v>4022</v>
      </c>
      <c r="C215" s="21" t="s">
        <v>222</v>
      </c>
      <c r="D215" s="21" t="s">
        <v>431</v>
      </c>
      <c r="E215" s="13">
        <v>42815.028738425928</v>
      </c>
      <c r="F215" s="13">
        <v>42815.03020833333</v>
      </c>
      <c r="G215" s="7">
        <v>0</v>
      </c>
      <c r="H215" s="21" t="s">
        <v>914</v>
      </c>
      <c r="I215" s="13">
        <v>42815.03765046296</v>
      </c>
      <c r="J215" s="7">
        <v>0</v>
      </c>
      <c r="K215" s="98" t="str">
        <f t="shared" si="73"/>
        <v>4021/4022</v>
      </c>
      <c r="L215" s="21" t="str">
        <f>VLOOKUP(A215,'Trips&amp;Operators'!$C$1:$G$99999,5,FALSE)</f>
        <v>CHANDLER KELVIN</v>
      </c>
      <c r="M215" s="6">
        <f t="shared" si="74"/>
        <v>7.442129630362615E-3</v>
      </c>
      <c r="N215" s="7">
        <f t="shared" si="70"/>
        <v>10.716666667722166</v>
      </c>
      <c r="O215" s="7"/>
      <c r="P215" s="7"/>
      <c r="Q215" s="22"/>
      <c r="R215" s="22"/>
      <c r="S215" s="31">
        <f t="shared" si="71"/>
        <v>1</v>
      </c>
      <c r="T215" s="46" t="str">
        <f t="shared" si="75"/>
        <v>NorthBound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6" t="str">
        <f t="shared" si="76"/>
        <v>https://d0f6bd738d7f1b3e5a7ca70fe4ff75f0.us-east-1.aws.found.io/app/kibana#/discover/Steve-Slow-Train-Analysis-(2080s-and-2083s)?_g=(refreshInterval:(display:Off,pause:!f,section:0,value:0),time:(from:'2017-03-20T23:41:23-0600',mode:absolute,to:'2017-03-21T01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5" s="187" t="str">
        <f t="shared" si="77"/>
        <v>Y</v>
      </c>
      <c r="X215" s="187">
        <f t="shared" si="72"/>
        <v>2</v>
      </c>
      <c r="Y215" s="62">
        <f t="shared" si="78"/>
        <v>4.7300000000000002E-2</v>
      </c>
      <c r="Z215" s="62">
        <f t="shared" si="87"/>
        <v>2.3306</v>
      </c>
      <c r="AA215" s="62">
        <f t="shared" si="79"/>
        <v>2.2833000000000001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80"/>
        <v>0315-20</v>
      </c>
      <c r="AE215" s="85" t="str">
        <f t="shared" si="81"/>
        <v>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 &amp; aws s3 cp s3://rtdc.mdm.uploadarchive.raw/RTDC4022/ "%USERPROFILE%\AppData\Local\Temp\OnboardLogs"\RTDC4022\2017-03-22 --exclude "*" --recursive --include "*20170322*" &amp; "%USERPROFILE%\Documents\GitHub\mrs-test-scripts\Headless Mode &amp; Sideloading\WalkAndUnGZ.bat" "%USERPROFILE%\AppData\Local\Temp\OnboardLogs"\RTDC4022\2017-03-22</v>
      </c>
      <c r="AF215" s="82" t="str">
        <f t="shared" si="82"/>
        <v>"C:\Program Files (x86)\AstroGrep\AstroGrep.exe" /e /r /s /spath="%USERPROFILE%\AppData\Local\Temp\OnboardLogs" /stypes="app*4022*20170321*" /stext=" 06:.+((SYSTEM_STATE.+slice.+state.+changed )|(ment ac)|(multiple cpu faults)|(system.+state.+changed )|(\[timeout)|(PRM\|1\|D)|(kpr)|(kdp)|(\|lc)|(penalty))"</v>
      </c>
      <c r="AG215" s="1" t="str">
        <f t="shared" si="83"/>
        <v>Other</v>
      </c>
      <c r="AH215" s="86" t="str">
        <f t="shared" si="84"/>
        <v>"%USERPROFILE%\Documents\GitHub\eaglep3\Utilities\RefineRTDCRunTimes.py" --tripid 315-20 --locoid 4022 --swversion DE.1.0.9.0 --startMP 204:473 --initTime 2017-03-21T00:41:23 --startdatetime 2017-03-21T00:43:30 --delay 0 --endMP 300:23306 --enddatetime 2017-03-21T00:54:13 --enforcementcount 0 &gt;&gt;C:\Users\stu\Documents\GitHub\eaglep3-reporting\EC\2017-03-20-refined-times.txt</v>
      </c>
      <c r="AI215" s="108" t="str">
        <f t="shared" si="85"/>
        <v>echo {"issue":{"subject":"","project_id":79,"tracker_id":40,"status_id":1,"priority_id":2,"assigned_to_id":23,"start_date":"2017-03-21","description":"","custom_fields":[{"id":1,"name":"Subdivision","value":"Other"},{"id":4,"name":"Milepost","value":"2.3306"},{"id":17,"name":"Train ID","value":"315-20"},{"id":16,"name":"Locomotive ID","value":"4022"},{"id":130,"name":"Impact","value":""},{"id":150,"name":"Time of Event (Mountain Time)","value":"00:54:13"},{"id":151,"name":"Denver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86"/>
        <v>start /low /b %USERPROFILE%\Documents\GitHub\eaglep3\Utilities\DownloadLogsFromS3.py --loco 4022 --day 2017-03-21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"%USERPROFILE%\AppData\Local\Temp\OnboardLogs"\RTDC4022\*4022*20170321* | grep -SE "(Enforcement Action)|(\[TIMEOUT)|(CHR.+\|PRM\|1\|D.+(SWITCH|SIGNAL).+UNKNOWN)" - &gt;&gt; 2017-03-20-UncaughtWiMAX.txt</v>
      </c>
    </row>
    <row r="216" spans="1:40" x14ac:dyDescent="0.25">
      <c r="A216" s="33" t="s">
        <v>665</v>
      </c>
      <c r="B216" s="7">
        <v>4031</v>
      </c>
      <c r="C216" s="21" t="s">
        <v>222</v>
      </c>
      <c r="D216" s="21" t="s">
        <v>981</v>
      </c>
      <c r="E216" s="13">
        <v>42814.204444444447</v>
      </c>
      <c r="F216" s="13">
        <v>42814.207465277781</v>
      </c>
      <c r="G216" s="7">
        <v>4</v>
      </c>
      <c r="H216" s="21" t="s">
        <v>982</v>
      </c>
      <c r="I216" s="13">
        <v>42814.213275462964</v>
      </c>
      <c r="J216" s="7">
        <v>0</v>
      </c>
      <c r="K216" s="98" t="str">
        <f t="shared" si="73"/>
        <v>4031/4032</v>
      </c>
      <c r="L216" s="21" t="str">
        <f>VLOOKUP(A216,'Trips&amp;Operators'!$C$1:$G$99999,5,FALSE)</f>
        <v>DAVIS WENDY</v>
      </c>
      <c r="M216" s="6">
        <f t="shared" si="74"/>
        <v>5.8101851827814244E-3</v>
      </c>
      <c r="N216" s="7">
        <f t="shared" si="70"/>
        <v>8.3666666632052511</v>
      </c>
      <c r="O216" s="7"/>
      <c r="P216" s="7"/>
      <c r="Q216" s="22"/>
      <c r="R216" s="22"/>
      <c r="S216" s="31">
        <f t="shared" si="71"/>
        <v>0</v>
      </c>
      <c r="T216" s="46" t="str">
        <f t="shared" si="75"/>
        <v>NorthBound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6" t="str">
        <f t="shared" si="76"/>
        <v>https://d0f6bd738d7f1b3e5a7ca70fe4ff75f0.us-east-1.aws.found.io/app/kibana#/discover/Steve-Slow-Train-Analysis-(2080s-and-2083s)?_g=(refreshInterval:(display:Off,pause:!f,section:0,value:0),time:(from:'2017-03-20T03:54:24-0600',mode:absolute,to:'2017-03-20T06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6" s="187" t="str">
        <f t="shared" si="77"/>
        <v>Y</v>
      </c>
      <c r="X216" s="187">
        <f t="shared" si="72"/>
        <v>586</v>
      </c>
      <c r="Y216" s="62">
        <f t="shared" si="78"/>
        <v>2.9750000000000001</v>
      </c>
      <c r="Z216" s="62">
        <f t="shared" si="87"/>
        <v>5.9009</v>
      </c>
      <c r="AA216" s="62">
        <f t="shared" si="79"/>
        <v>2.9258999999999999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80"/>
        <v>0901-20</v>
      </c>
      <c r="AE216" s="85" t="str">
        <f t="shared" si="81"/>
        <v>aws s3 cp s3://rtdc.mdm.uploadarchive.raw/RTDC4031/ "%USERPROFILE%\AppData\Local\Temp\OnboardLogs"\RTDC4031\2017-03-20 --exclude "*" --recursive --include "*20170320*" &amp; "%USERPROFILE%\Documents\GitHub\mrs-test-scripts\Headless Mode &amp; Sideloading\WalkAndUnGZ.bat" "%USERPROFILE%\AppData\Local\Temp\OnboardLogs"\RTDC4031\2017-03-20 &amp; 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</v>
      </c>
      <c r="AF216" s="82" t="str">
        <f t="shared" si="82"/>
        <v>"C:\Program Files (x86)\AstroGrep\AstroGrep.exe" /e /r /s /spath="%USERPROFILE%\AppData\Local\Temp\OnboardLogs" /stypes="app*4031*20170320*" /stext=" 11:.+((SYSTEM_STATE.+slice.+state.+changed )|(ment ac)|(multiple cpu faults)|(system.+state.+changed )|(\[timeout)|(PRM\|1\|D)|(kpr)|(kdp)|(\|lc)|(penalty))"</v>
      </c>
      <c r="AG216" s="1" t="str">
        <f t="shared" si="83"/>
        <v>Other</v>
      </c>
      <c r="AH216" s="86" t="str">
        <f t="shared" si="84"/>
        <v>"%USERPROFILE%\Documents\GitHub\eaglep3\Utilities\RefineRTDCRunTimes.py" --tripid 901-20 --locoid 4031 --swversion DE.1.0.9.0 --startMP 300:29750 --initTime 2017-03-20T04:54:24 --startdatetime 2017-03-20T04:58:45 --delay 4 --endMP 300:59009 --enddatetime 2017-03-20T05:07:07 --enforcementcount 0 &gt;&gt;C:\Users\stu\Documents\GitHub\eaglep3-reporting\EC\2017-03-20-refined-times.txt</v>
      </c>
      <c r="AI216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{"issue":{"subject":"","project_id":79,"tracker_id":40,"status_id":1,"priority_id":2,"assigned_to_id":23,"start_date":"2017-03-20","description":"","custom_fields":[{"id":1,"name":"Subdivision","value":"Other"},{"id":4,"name":"Milepost","value":"5.9009"},{"id":17,"name":"Train ID","value":"901-20"},{"id":16,"name":"Locomotive ID","value":"4031"},{"id":130,"name":"Impact","value":""},{"id":150,"name":"Time of Event (Mountain Time)","value":"05:07:07"},{"id":151,"name":"Denver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86"/>
        <v>start /low /b %USERPROFILE%\Documents\GitHub\eaglep3\Utilities\DownloadLogsFromS3.py --loco 4031 --day 2017-03-20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"%USERPROFILE%\AppData\Local\Temp\OnboardLogs"\RTDC4031\*4031*20170320* | grep -SE "(Enforcement Action)|(\[TIMEOUT)|(CHR.+\|PRM\|1\|D.+(SWITCH|SIGNAL).+UNKNOWN)" - &gt;&gt; 2017-03-20-UncaughtWiMAX.txt</v>
      </c>
    </row>
    <row r="217" spans="1:40" x14ac:dyDescent="0.25">
      <c r="A217" s="33" t="s">
        <v>698</v>
      </c>
      <c r="B217" s="7">
        <v>4031</v>
      </c>
      <c r="C217" s="21" t="s">
        <v>222</v>
      </c>
      <c r="D217" s="21" t="s">
        <v>983</v>
      </c>
      <c r="E217" s="13">
        <v>42814.352997685186</v>
      </c>
      <c r="F217" s="13">
        <v>42814.355868055558</v>
      </c>
      <c r="G217" s="7">
        <v>1</v>
      </c>
      <c r="H217" s="21" t="s">
        <v>984</v>
      </c>
      <c r="I217" s="13">
        <v>42814.361296296294</v>
      </c>
      <c r="J217" s="7">
        <v>0</v>
      </c>
      <c r="K217" s="98" t="str">
        <f t="shared" si="73"/>
        <v>4031/4032</v>
      </c>
      <c r="L217" s="21" t="str">
        <f>VLOOKUP(A217,'Trips&amp;Operators'!$C$1:$G$99999,5,FALSE)</f>
        <v>DAVIS WENDY</v>
      </c>
      <c r="M217" s="6">
        <f t="shared" si="74"/>
        <v>5.428240736364387E-3</v>
      </c>
      <c r="N217" s="7">
        <f t="shared" si="70"/>
        <v>7.8166666603647172</v>
      </c>
      <c r="O217" s="7"/>
      <c r="P217" s="7"/>
      <c r="Q217" s="22"/>
      <c r="R217" s="22"/>
      <c r="S217" s="31">
        <f t="shared" si="71"/>
        <v>1</v>
      </c>
      <c r="T217" s="46" t="str">
        <f t="shared" si="75"/>
        <v>NorthBound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6" t="str">
        <f t="shared" si="76"/>
        <v>https://d0f6bd738d7f1b3e5a7ca70fe4ff75f0.us-east-1.aws.found.io/app/kibana#/discover/Steve-Slow-Train-Analysis-(2080s-and-2083s)?_g=(refreshInterval:(display:Off,pause:!f,section:0,value:0),time:(from:'2017-03-20T07:28:19-0600',mode:absolute,to:'2017-03-20T09:40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7" s="187" t="str">
        <f t="shared" si="77"/>
        <v>Y</v>
      </c>
      <c r="X217" s="187">
        <f t="shared" si="72"/>
        <v>2</v>
      </c>
      <c r="Y217" s="62">
        <f t="shared" si="78"/>
        <v>9.06E-2</v>
      </c>
      <c r="Z217" s="62">
        <f t="shared" si="87"/>
        <v>2.5438000000000001</v>
      </c>
      <c r="AA217" s="62">
        <f t="shared" si="79"/>
        <v>2.4532000000000003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80"/>
        <v>0903-20</v>
      </c>
      <c r="AE217" s="85" t="str">
        <f t="shared" si="81"/>
        <v>aws s3 cp s3://rtdc.mdm.uploadarchive.raw/RTDC4031/ "%USERPROFILE%\AppData\Local\Temp\OnboardLogs"\RTDC4031\2017-03-20 --exclude "*" --recursive --include "*20170320*" &amp; "%USERPROFILE%\Documents\GitHub\mrs-test-scripts\Headless Mode &amp; Sideloading\WalkAndUnGZ.bat" "%USERPROFILE%\AppData\Local\Temp\OnboardLogs"\RTDC4031\2017-03-20 &amp; 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</v>
      </c>
      <c r="AF217" s="82" t="str">
        <f t="shared" si="82"/>
        <v>"C:\Program Files (x86)\AstroGrep\AstroGrep.exe" /e /r /s /spath="%USERPROFILE%\AppData\Local\Temp\OnboardLogs" /stypes="app*4031*20170320*" /stext=" 14:.+((SYSTEM_STATE.+slice.+state.+changed )|(ment ac)|(multiple cpu faults)|(system.+state.+changed )|(\[timeout)|(PRM\|1\|D)|(kpr)|(kdp)|(\|lc)|(penalty))"</v>
      </c>
      <c r="AG217" s="1" t="str">
        <f t="shared" si="83"/>
        <v>Other</v>
      </c>
      <c r="AH217" s="86" t="str">
        <f t="shared" si="84"/>
        <v>"%USERPROFILE%\Documents\GitHub\eaglep3\Utilities\RefineRTDCRunTimes.py" --tripid 903-20 --locoid 4031 --swversion DE.1.0.9.0 --startMP 204:906 --initTime 2017-03-20T08:28:19 --startdatetime 2017-03-20T08:32:27 --delay 1 --endMP 300:25438 --enddatetime 2017-03-20T08:40:16 --enforcementcount 0 &gt;&gt;C:\Users\stu\Documents\GitHub\eaglep3-reporting\EC\2017-03-20-refined-times.txt</v>
      </c>
      <c r="AI217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{"issue":{"subject":"","project_id":79,"tracker_id":40,"status_id":1,"priority_id":2,"assigned_to_id":23,"start_date":"2017-03-20","description":"","custom_fields":[{"id":1,"name":"Subdivision","value":"Other"},{"id":4,"name":"Milepost","value":"2.5438"},{"id":17,"name":"Train ID","value":"903-20"},{"id":16,"name":"Locomotive ID","value":"4031"},{"id":130,"name":"Impact","value":""},{"id":150,"name":"Time of Event (Mountain Time)","value":"08:40:16"},{"id":151,"name":"Denver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86"/>
        <v>start /low /b %USERPROFILE%\Documents\GitHub\eaglep3\Utilities\DownloadLogsFromS3.py --loco 4031 --day 2017-03-20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"%USERPROFILE%\AppData\Local\Temp\OnboardLogs"\RTDC4031\*4031*20170320* | grep -SE "(Enforcement Action)|(\[TIMEOUT)|(CHR.+\|PRM\|1\|D.+(SWITCH|SIGNAL).+UNKNOWN)" - &gt;&gt; 2017-03-20-UncaughtWiMAX.txt</v>
      </c>
    </row>
    <row r="218" spans="1:40" x14ac:dyDescent="0.25">
      <c r="A218" s="33" t="s">
        <v>761</v>
      </c>
      <c r="B218" s="7">
        <v>4032</v>
      </c>
      <c r="C218" s="21" t="s">
        <v>222</v>
      </c>
      <c r="D218" s="21" t="s">
        <v>985</v>
      </c>
      <c r="E218" s="13">
        <v>42814.634398148148</v>
      </c>
      <c r="F218" s="13">
        <v>42814.63685185185</v>
      </c>
      <c r="G218" s="7">
        <v>3</v>
      </c>
      <c r="H218" s="21" t="s">
        <v>986</v>
      </c>
      <c r="I218" s="13">
        <v>42814.642916666664</v>
      </c>
      <c r="J218" s="7">
        <v>0</v>
      </c>
      <c r="K218" s="98" t="str">
        <f t="shared" si="73"/>
        <v>4031/4032</v>
      </c>
      <c r="L218" s="21" t="str">
        <f>VLOOKUP(A218,'Trips&amp;Operators'!$C$1:$G$99999,5,FALSE)</f>
        <v>NEWELL JAMES</v>
      </c>
      <c r="M218" s="6">
        <f t="shared" si="74"/>
        <v>6.064814813726116E-3</v>
      </c>
      <c r="N218" s="7">
        <f t="shared" si="70"/>
        <v>8.733333331765607</v>
      </c>
      <c r="O218" s="7"/>
      <c r="P218" s="7"/>
      <c r="Q218" s="22"/>
      <c r="R218" s="22"/>
      <c r="S218" s="31">
        <f t="shared" si="71"/>
        <v>1</v>
      </c>
      <c r="T218" s="46" t="str">
        <f t="shared" si="75"/>
        <v>Southbound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6" t="str">
        <f t="shared" si="76"/>
        <v>https://d0f6bd738d7f1b3e5a7ca70fe4ff75f0.us-east-1.aws.found.io/app/kibana#/discover/Steve-Slow-Train-Analysis-(2080s-and-2083s)?_g=(refreshInterval:(display:Off,pause:!f,section:0,value:0),time:(from:'2017-03-20T14:13:32-0600',mode:absolute,to:'2017-03-20T16:25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8" s="187" t="str">
        <f t="shared" si="77"/>
        <v>Y</v>
      </c>
      <c r="X218" s="187">
        <f t="shared" si="72"/>
        <v>1</v>
      </c>
      <c r="Y218" s="62">
        <f t="shared" si="78"/>
        <v>2.3060999999999998</v>
      </c>
      <c r="Z218" s="62">
        <f t="shared" si="87"/>
        <v>6.4199999999999993E-2</v>
      </c>
      <c r="AA218" s="62">
        <f t="shared" si="79"/>
        <v>2.2418999999999998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80"/>
        <v>0904-20</v>
      </c>
      <c r="AE218" s="85" t="str">
        <f t="shared" si="81"/>
        <v>aws s3 cp s3://rtdc.mdm.uploadarchive.raw/RTDC4032/ "%USERPROFILE%\AppData\Local\Temp\OnboardLogs"\RTDC4032\2017-03-20 --exclude "*" --recursive --include "*20170320*" &amp; "%USERPROFILE%\Documents\GitHub\mrs-test-scripts\Headless Mode &amp; Sideloading\WalkAndUnGZ.bat" "%USERPROFILE%\AppData\Local\Temp\OnboardLogs"\RTDC4032\2017-03-20 &amp; 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</v>
      </c>
      <c r="AF218" s="82" t="str">
        <f t="shared" si="82"/>
        <v>"C:\Program Files (x86)\AstroGrep\AstroGrep.exe" /e /r /s /spath="%USERPROFILE%\AppData\Local\Temp\OnboardLogs" /stypes="app*4032*20170320*" /stext=" 21:.+((SYSTEM_STATE.+slice.+state.+changed )|(ment ac)|(multiple cpu faults)|(system.+state.+changed )|(\[timeout)|(PRM\|1\|D)|(kpr)|(kdp)|(\|lc)|(penalty))"</v>
      </c>
      <c r="AG218" s="1" t="str">
        <f t="shared" si="83"/>
        <v>Other</v>
      </c>
      <c r="AH218" s="86" t="str">
        <f t="shared" si="84"/>
        <v>"%USERPROFILE%\Documents\GitHub\eaglep3\Utilities\RefineRTDCRunTimes.py" --tripid 904-20 --locoid 4032 --swversion DE.1.0.9.0 --startMP 300:23061 --initTime 2017-03-20T15:13:32 --startdatetime 2017-03-20T15:17:04 --delay 3 --endMP 204:642 --enddatetime 2017-03-20T15:25:48 --enforcementcount 0 &gt;&gt;C:\Users\stu\Documents\GitHub\eaglep3-reporting\EC\2017-03-20-refined-times.txt</v>
      </c>
      <c r="AI218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{"issue":{"subject":"","project_id":79,"tracker_id":40,"status_id":1,"priority_id":2,"assigned_to_id":23,"start_date":"2017-03-20","description":"","custom_fields":[{"id":1,"name":"Subdivision","value":"Other"},{"id":4,"name":"Milepost","value":"0.0642"},{"id":17,"name":"Train ID","value":"904-20"},{"id":16,"name":"Locomotive ID","value":"4032"},{"id":130,"name":"Impact","value":""},{"id":150,"name":"Time of Event (Mountain Time)","value":"15:25:48"},{"id":151,"name":"Denver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86"/>
        <v>start /low /b %USERPROFILE%\Documents\GitHub\eaglep3\Utilities\DownloadLogsFromS3.py --loco 4032 --day 2017-03-20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"%USERPROFILE%\AppData\Local\Temp\OnboardLogs"\RTDC4032\*4032*20170320* | grep -SE "(Enforcement Action)|(\[TIMEOUT)|(CHR.+\|PRM\|1\|D.+(SWITCH|SIGNAL).+UNKNOWN)" - &gt;&gt; 2017-03-20-UncaughtWiMAX.txt</v>
      </c>
    </row>
    <row r="219" spans="1:40" x14ac:dyDescent="0.25">
      <c r="A219" s="33" t="s">
        <v>801</v>
      </c>
      <c r="B219" s="7">
        <v>4032</v>
      </c>
      <c r="C219" s="21" t="s">
        <v>222</v>
      </c>
      <c r="D219" s="21" t="s">
        <v>957</v>
      </c>
      <c r="E219" s="13">
        <v>42814.794953703706</v>
      </c>
      <c r="F219" s="13">
        <v>42814.796076388891</v>
      </c>
      <c r="G219" s="7">
        <v>1</v>
      </c>
      <c r="H219" s="21" t="s">
        <v>987</v>
      </c>
      <c r="I219" s="13">
        <v>42814.804143518515</v>
      </c>
      <c r="J219" s="7">
        <v>0</v>
      </c>
      <c r="K219" s="98" t="str">
        <f t="shared" si="73"/>
        <v>4031/4032</v>
      </c>
      <c r="L219" s="21" t="str">
        <f>VLOOKUP(A219,'Trips&amp;Operators'!$C$1:$G$99999,5,FALSE)</f>
        <v>NEWELL JAMES</v>
      </c>
      <c r="M219" s="6">
        <f t="shared" si="74"/>
        <v>8.067129623668734E-3</v>
      </c>
      <c r="N219" s="7">
        <f t="shared" si="70"/>
        <v>11.616666658082977</v>
      </c>
      <c r="O219" s="7"/>
      <c r="P219" s="7"/>
      <c r="Q219" s="22"/>
      <c r="R219" s="22"/>
      <c r="S219" s="31">
        <f t="shared" si="71"/>
        <v>0</v>
      </c>
      <c r="T219" s="46" t="str">
        <f t="shared" si="75"/>
        <v>Southbound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6" t="str">
        <f t="shared" si="76"/>
        <v>https://d0f6bd738d7f1b3e5a7ca70fe4ff75f0.us-east-1.aws.found.io/app/kibana#/discover/Steve-Slow-Train-Analysis-(2080s-and-2083s)?_g=(refreshInterval:(display:Off,pause:!f,section:0,value:0),time:(from:'2017-03-20T18:04:44-0600',mode:absolute,to:'2017-03-20T20:17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9" s="187" t="str">
        <f t="shared" si="77"/>
        <v>Y</v>
      </c>
      <c r="X219" s="187">
        <f t="shared" si="72"/>
        <v>2</v>
      </c>
      <c r="Y219" s="62">
        <f t="shared" si="78"/>
        <v>5.8616999999999999</v>
      </c>
      <c r="Z219" s="62">
        <f t="shared" si="87"/>
        <v>2.1726999999999999</v>
      </c>
      <c r="AA219" s="62">
        <f t="shared" si="79"/>
        <v>3.6890000000000001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80"/>
        <v>0906-20</v>
      </c>
      <c r="AE219" s="85" t="str">
        <f t="shared" si="81"/>
        <v>aws s3 cp s3://rtdc.mdm.uploadarchive.raw/RTDC4032/ "%USERPROFILE%\AppData\Local\Temp\OnboardLogs"\RTDC4032\2017-03-20 --exclude "*" --recursive --include "*20170320*" &amp; "%USERPROFILE%\Documents\GitHub\mrs-test-scripts\Headless Mode &amp; Sideloading\WalkAndUnGZ.bat" "%USERPROFILE%\AppData\Local\Temp\OnboardLogs"\RTDC4032\2017-03-20 &amp; 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</v>
      </c>
      <c r="AF219" s="82" t="str">
        <f t="shared" si="82"/>
        <v>"C:\Program Files (x86)\AstroGrep\AstroGrep.exe" /e /r /s /spath="%USERPROFILE%\AppData\Local\Temp\OnboardLogs" /stypes="app*4032*20170321*" /stext=" 01:.+((SYSTEM_STATE.+slice.+state.+changed )|(ment ac)|(multiple cpu faults)|(system.+state.+changed )|(\[timeout)|(PRM\|1\|D)|(kpr)|(kdp)|(\|lc)|(penalty))"</v>
      </c>
      <c r="AG219" s="1" t="str">
        <f t="shared" si="83"/>
        <v>Other</v>
      </c>
      <c r="AH219" s="86" t="str">
        <f t="shared" si="84"/>
        <v>"%USERPROFILE%\Documents\GitHub\eaglep3\Utilities\RefineRTDCRunTimes.py" --tripid 906-20 --locoid 4032 --swversion DE.1.0.9.0 --startMP 300:58617 --initTime 2017-03-20T19:04:44 --startdatetime 2017-03-20T19:06:21 --delay 1 --endMP 300:21727 --enddatetime 2017-03-20T19:17:58 --enforcementcount 0 &gt;&gt;C:\Users\stu\Documents\GitHub\eaglep3-reporting\EC\2017-03-20-refined-times.txt</v>
      </c>
      <c r="AI219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{"issue":{"subject":"","project_id":79,"tracker_id":40,"status_id":1,"priority_id":2,"assigned_to_id":23,"start_date":"2017-03-20","description":"","custom_fields":[{"id":1,"name":"Subdivision","value":"Other"},{"id":4,"name":"Milepost","value":"2.1727"},{"id":17,"name":"Train ID","value":"906-20"},{"id":16,"name":"Locomotive ID","value":"4032"},{"id":130,"name":"Impact","value":""},{"id":150,"name":"Time of Event (Mountain Time)","value":"19:17:58"},{"id":151,"name":"Denver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86"/>
        <v>start /low /b %USERPROFILE%\Documents\GitHub\eaglep3\Utilities\DownloadLogsFromS3.py --loco 4032 --day 2017-03-20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"%USERPROFILE%\AppData\Local\Temp\OnboardLogs"\RTDC4032\*4032*20170321* | grep -SE "(Enforcement Action)|(\[TIMEOUT)|(CHR.+\|PRM\|1\|D.+(SWITCH|SIGNAL).+UNKNOWN)" - &gt;&gt; 2017-03-20-UncaughtWiMAX.txt</v>
      </c>
    </row>
    <row r="220" spans="1:40" x14ac:dyDescent="0.25">
      <c r="A220" s="33" t="s">
        <v>824</v>
      </c>
      <c r="B220" s="7">
        <v>4039</v>
      </c>
      <c r="C220" s="21" t="s">
        <v>222</v>
      </c>
      <c r="D220" s="21" t="s">
        <v>937</v>
      </c>
      <c r="E220" s="13">
        <v>42814.941712962966</v>
      </c>
      <c r="F220" s="13">
        <v>42814.943009259259</v>
      </c>
      <c r="G220" s="7">
        <v>1</v>
      </c>
      <c r="H220" s="21" t="s">
        <v>988</v>
      </c>
      <c r="I220" s="13">
        <v>42814.94736111111</v>
      </c>
      <c r="J220" s="7">
        <v>0</v>
      </c>
      <c r="K220" s="98" t="str">
        <f t="shared" si="73"/>
        <v>4039/4040</v>
      </c>
      <c r="L220" s="21" t="str">
        <f>VLOOKUP(A220,'Trips&amp;Operators'!$C$1:$G$99999,5,FALSE)</f>
        <v>NEWELL JAMES</v>
      </c>
      <c r="M220" s="6">
        <f t="shared" si="74"/>
        <v>4.3518518505152315E-3</v>
      </c>
      <c r="N220" s="7">
        <f t="shared" si="70"/>
        <v>6.2666666647419333</v>
      </c>
      <c r="O220" s="7"/>
      <c r="P220" s="7"/>
      <c r="Q220" s="22"/>
      <c r="R220" s="22"/>
      <c r="S220" s="31">
        <f t="shared" si="71"/>
        <v>0</v>
      </c>
      <c r="T220" s="46" t="str">
        <f t="shared" si="75"/>
        <v>Southbound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6" t="str">
        <f t="shared" si="76"/>
        <v>https://d0f6bd738d7f1b3e5a7ca70fe4ff75f0.us-east-1.aws.found.io/app/kibana#/discover/Steve-Slow-Train-Analysis-(2080s-and-2083s)?_g=(refreshInterval:(display:Off,pause:!f,section:0,value:0),time:(from:'2017-03-20T21:36:04-0600',mode:absolute,to:'2017-03-20T23:44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0" s="187" t="str">
        <f t="shared" si="77"/>
        <v>Y</v>
      </c>
      <c r="X220" s="187">
        <f t="shared" si="72"/>
        <v>2</v>
      </c>
      <c r="Y220" s="62">
        <f t="shared" si="78"/>
        <v>5.8608000000000002</v>
      </c>
      <c r="Z220" s="62">
        <f t="shared" si="87"/>
        <v>2.1825000000000001</v>
      </c>
      <c r="AA220" s="62">
        <f t="shared" si="79"/>
        <v>3.6783000000000001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80"/>
        <v>0908-20</v>
      </c>
      <c r="AE220" s="85" t="str">
        <f t="shared" si="81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220" s="82" t="str">
        <f t="shared" si="82"/>
        <v>"C:\Program Files (x86)\AstroGrep\AstroGrep.exe" /e /r /s /spath="%USERPROFILE%\AppData\Local\Temp\OnboardLogs" /stypes="app*4039*20170321*" /stext=" 04:.+((SYSTEM_STATE.+slice.+state.+changed )|(ment ac)|(multiple cpu faults)|(system.+state.+changed )|(\[timeout)|(PRM\|1\|D)|(kpr)|(kdp)|(\|lc)|(penalty))"</v>
      </c>
      <c r="AG220" s="1" t="str">
        <f t="shared" si="83"/>
        <v>Other</v>
      </c>
      <c r="AH220" s="86" t="str">
        <f t="shared" si="84"/>
        <v>"%USERPROFILE%\Documents\GitHub\eaglep3\Utilities\RefineRTDCRunTimes.py" --tripid 908-20 --locoid 4039 --swversion DE.1.0.9.0 --startMP 300:58608 --initTime 2017-03-20T22:36:04 --startdatetime 2017-03-20T22:37:56 --delay 1 --endMP 300:21825 --enddatetime 2017-03-20T22:44:12 --enforcementcount 0 &gt;&gt;C:\Users\stu\Documents\GitHub\eaglep3-reporting\EC\2017-03-20-refined-times.txt</v>
      </c>
      <c r="AI220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{"issue":{"subject":"","project_id":79,"tracker_id":40,"status_id":1,"priority_id":2,"assigned_to_id":23,"start_date":"2017-03-20","description":"","custom_fields":[{"id":1,"name":"Subdivision","value":"Other"},{"id":4,"name":"Milepost","value":"2.1825"},{"id":17,"name":"Train ID","value":"908-20"},{"id":16,"name":"Locomotive ID","value":"4039"},{"id":130,"name":"Impact","value":""},{"id":150,"name":"Time of Event (Mountain Time)","value":"22:44:12"},{"id":151,"name":"Denver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86"/>
        <v>start /low /b %USERPROFILE%\Documents\GitHub\eaglep3\Utilities\DownloadLogsFromS3.py --loco 4039 --day 2017-03-20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"%USERPROFILE%\AppData\Local\Temp\OnboardLogs"\RTDC4039\*4039*20170321* | grep -SE "(Enforcement Action)|(\[TIMEOUT)|(CHR.+\|PRM\|1\|D.+(SWITCH|SIGNAL).+UNKNOWN)" - &gt;&gt; 2017-03-20-UncaughtWiMAX.txt</v>
      </c>
    </row>
    <row r="221" spans="1:40" x14ac:dyDescent="0.25">
      <c r="A221" s="33" t="s">
        <v>711</v>
      </c>
      <c r="B221" s="7">
        <v>4001</v>
      </c>
      <c r="C221" s="21" t="s">
        <v>222</v>
      </c>
      <c r="D221" s="21" t="s">
        <v>915</v>
      </c>
      <c r="E221" s="13">
        <v>42814.428263888891</v>
      </c>
      <c r="F221" s="13">
        <v>42814.434293981481</v>
      </c>
      <c r="G221" s="7">
        <v>8</v>
      </c>
      <c r="H221" s="21" t="s">
        <v>916</v>
      </c>
      <c r="I221" s="13">
        <v>42814.439247685186</v>
      </c>
      <c r="J221" s="7">
        <v>0</v>
      </c>
      <c r="K221" s="98" t="str">
        <f t="shared" si="73"/>
        <v>4001/4002</v>
      </c>
      <c r="L221" s="21" t="str">
        <f>VLOOKUP(A221,'Trips&amp;Operators'!$C$1:$G$99999,5,FALSE)</f>
        <v>MOSES BRADLEY</v>
      </c>
      <c r="M221" s="6">
        <f t="shared" si="74"/>
        <v>4.9537037048139609E-3</v>
      </c>
      <c r="N221" s="7">
        <f t="shared" si="70"/>
        <v>7.1333333349321038</v>
      </c>
      <c r="O221" s="7"/>
      <c r="P221" s="7"/>
      <c r="Q221" s="22"/>
      <c r="R221" s="22"/>
      <c r="S221" s="31">
        <f t="shared" ref="S221:S233" si="88">SUM(U221:U221)/IF(AG221="EC",12,1)</f>
        <v>0</v>
      </c>
      <c r="T221" s="46" t="e">
        <f t="shared" si="75"/>
        <v>#VALUE!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6" t="str">
        <f t="shared" si="76"/>
        <v>https://d0f6bd738d7f1b3e5a7ca70fe4ff75f0.us-east-1.aws.found.io/app/kibana#/discover/Steve-Slow-Train-Analysis-(2080s-and-2083s)?_g=(refreshInterval:(display:Off,pause:!f,section:0,value:0),time:(from:'2017-03-20T09:16:42-0600',mode:absolute,to:'2017-03-20T11:32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1" s="187" t="str">
        <f t="shared" si="77"/>
        <v>Y</v>
      </c>
      <c r="X221" s="187" t="e">
        <f t="shared" si="72"/>
        <v>#VALUE!</v>
      </c>
      <c r="Y221" s="62">
        <f t="shared" si="78"/>
        <v>2.0407000000000002</v>
      </c>
      <c r="Z221" s="62">
        <f t="shared" si="87"/>
        <v>6.1000000000000004E-3</v>
      </c>
      <c r="AA221" s="62">
        <f t="shared" si="79"/>
        <v>2.0346000000000002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80"/>
        <v>50-20</v>
      </c>
      <c r="AE221" s="85" t="str">
        <f t="shared" si="81"/>
        <v>aws s3 cp s3://rtdc.mdm.uploadarchive.raw/RTDC4001/ "%USERPROFILE%\AppData\Local\Temp\OnboardLogs"\RTDC4001\2017-03-20 --exclude "*" --recursive --include "*20170320*" &amp; "%USERPROFILE%\Documents\GitHub\mrs-test-scripts\Headless Mode &amp; Sideloading\WalkAndUnGZ.bat" "%USERPROFILE%\AppData\Local\Temp\OnboardLogs"\RTDC4001\2017-03-20 &amp; aws s3 cp s3://rtdc.mdm.uploadarchive.raw/RTDC4001/ "%USERPROFILE%\AppData\Local\Temp\OnboardLogs"\RTDC4001\2017-03-21 --exclude "*" --recursive --include "*20170321*" &amp; "%USERPROFILE%\Documents\GitHub\mrs-test-scripts\Headless Mode &amp; Sideloading\WalkAndUnGZ.bat" "%USERPROFILE%\AppData\Local\Temp\OnboardLogs"\RTDC4001\2017-03-21</v>
      </c>
      <c r="AF221" s="82" t="str">
        <f t="shared" si="82"/>
        <v>"C:\Program Files (x86)\AstroGrep\AstroGrep.exe" /e /r /s /spath="%USERPROFILE%\AppData\Local\Temp\OnboardLogs" /stypes="app*4001*20170320*" /stext=" 16:.+((SYSTEM_STATE.+slice.+state.+changed )|(ment ac)|(multiple cpu faults)|(system.+state.+changed )|(\[timeout)|(PRM\|1\|D)|(kpr)|(kdp)|(\|lc)|(penalty))"</v>
      </c>
      <c r="AG221" s="1" t="str">
        <f t="shared" si="83"/>
        <v>Other</v>
      </c>
      <c r="AH221" s="86" t="str">
        <f t="shared" si="84"/>
        <v>"%USERPROFILE%\Documents\GitHub\eaglep3\Utilities\RefineRTDCRunTimes.py" --tripid 50-20 --locoid 4001 --swversion DE.1.0.9.0 --startMP 300:20407 --initTime 2017-03-20T10:16:42 --startdatetime 2017-03-20T10:25:23 --delay 8 --endMP 204:61 --enddatetime 2017-03-20T10:32:31 --enforcementcount 0 &gt;&gt;C:\Users\stu\Documents\GitHub\eaglep3-reporting\EC\2017-03-20-refined-times.txt</v>
      </c>
      <c r="AI221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{"issue":{"subject":"","project_id":79,"tracker_id":40,"status_id":1,"priority_id":2,"assigned_to_id":23,"start_date":"2017-03-20","description":"","custom_fields":[{"id":1,"name":"Subdivision","value":"Other"},{"id":4,"name":"Milepost","value":"0.0061"},{"id":17,"name":"Train ID","value":"50-20"},{"id":16,"name":"Locomotive ID","value":"4001"},{"id":130,"name":"Impact","value":""},{"id":150,"name":"Time of Event (Mountain Time)","value":"10:32:31"},{"id":151,"name":"Denver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86"/>
        <v>start /low /b %USERPROFILE%\Documents\GitHub\eaglep3\Utilities\DownloadLogsFromS3.py --loco 4001 --day 2017-03-20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"%USERPROFILE%\AppData\Local\Temp\OnboardLogs"\RTDC4001\*4001*20170320* | grep -SE "(Enforcement Action)|(\[TIMEOUT)|(CHR.+\|PRM\|1\|D.+(SWITCH|SIGNAL).+UNKNOWN)" - &gt;&gt; 2017-03-20-UncaughtWiMAX.txt</v>
      </c>
    </row>
    <row r="222" spans="1:40" x14ac:dyDescent="0.25">
      <c r="A222" s="33" t="s">
        <v>716</v>
      </c>
      <c r="B222" s="7">
        <v>4002</v>
      </c>
      <c r="C222" s="21" t="s">
        <v>222</v>
      </c>
      <c r="D222" s="21" t="s">
        <v>917</v>
      </c>
      <c r="E222" s="13">
        <v>42814.45758101852</v>
      </c>
      <c r="F222" s="13">
        <v>42814.46802083333</v>
      </c>
      <c r="G222" s="7">
        <v>1</v>
      </c>
      <c r="H222" s="21" t="s">
        <v>918</v>
      </c>
      <c r="I222" s="13">
        <v>42814.472905092596</v>
      </c>
      <c r="J222" s="7">
        <v>0</v>
      </c>
      <c r="K222" s="98" t="str">
        <f t="shared" si="73"/>
        <v>4001/4002</v>
      </c>
      <c r="L222" s="21" t="str">
        <f>VLOOKUP(A222,'Trips&amp;Operators'!$C$1:$G$99999,5,FALSE)</f>
        <v>YANAI IAN</v>
      </c>
      <c r="M222" s="6">
        <f t="shared" si="74"/>
        <v>4.8842592659639195E-3</v>
      </c>
      <c r="N222" s="7">
        <f t="shared" si="70"/>
        <v>7.033333342988044</v>
      </c>
      <c r="O222" s="7"/>
      <c r="P222" s="7"/>
      <c r="Q222" s="22"/>
      <c r="R222" s="22"/>
      <c r="S222" s="31">
        <f t="shared" si="88"/>
        <v>0</v>
      </c>
      <c r="T222" s="46" t="e">
        <f t="shared" si="75"/>
        <v>#VALUE!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6" t="str">
        <f t="shared" si="76"/>
        <v>https://d0f6bd738d7f1b3e5a7ca70fe4ff75f0.us-east-1.aws.found.io/app/kibana#/discover/Steve-Slow-Train-Analysis-(2080s-and-2083s)?_g=(refreshInterval:(display:Off,pause:!f,section:0,value:0),time:(from:'2017-03-20T09:58:55-0600',mode:absolute,to:'2017-03-20T12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2" s="187" t="str">
        <f t="shared" si="77"/>
        <v>Y</v>
      </c>
      <c r="X222" s="187" t="e">
        <f t="shared" si="72"/>
        <v>#VALUE!</v>
      </c>
      <c r="Y222" s="62">
        <f t="shared" si="78"/>
        <v>3.6600000000000001E-2</v>
      </c>
      <c r="Z222" s="62">
        <f t="shared" si="87"/>
        <v>2.4289999999999998</v>
      </c>
      <c r="AA222" s="62">
        <f t="shared" si="79"/>
        <v>2.3923999999999999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80"/>
        <v>51-20</v>
      </c>
      <c r="AE222" s="85" t="str">
        <f t="shared" si="81"/>
        <v>aws s3 cp s3://rtdc.mdm.uploadarchive.raw/RTDC4002/ "%USERPROFILE%\AppData\Local\Temp\OnboardLogs"\RTDC4002\2017-03-20 --exclude "*" --recursive --include "*20170320*" &amp; "%USERPROFILE%\Documents\GitHub\mrs-test-scripts\Headless Mode &amp; Sideloading\WalkAndUnGZ.bat" "%USERPROFILE%\AppData\Local\Temp\OnboardLogs"\RTDC4002\2017-03-20 &amp; aws s3 cp s3://rtdc.mdm.uploadarchive.raw/RTDC4002/ "%USERPROFILE%\AppData\Local\Temp\OnboardLogs"\RTDC4002\2017-03-21 --exclude "*" --recursive --include "*20170321*" &amp; "%USERPROFILE%\Documents\GitHub\mrs-test-scripts\Headless Mode &amp; Sideloading\WalkAndUnGZ.bat" "%USERPROFILE%\AppData\Local\Temp\OnboardLogs"\RTDC4002\2017-03-21</v>
      </c>
      <c r="AF222" s="82" t="str">
        <f t="shared" si="82"/>
        <v>"C:\Program Files (x86)\AstroGrep\AstroGrep.exe" /e /r /s /spath="%USERPROFILE%\AppData\Local\Temp\OnboardLogs" /stypes="app*4002*20170320*" /stext=" 17:.+((SYSTEM_STATE.+slice.+state.+changed )|(ment ac)|(multiple cpu faults)|(system.+state.+changed )|(\[timeout)|(PRM\|1\|D)|(kpr)|(kdp)|(\|lc)|(penalty))"</v>
      </c>
      <c r="AG222" s="1" t="str">
        <f t="shared" si="83"/>
        <v>Other</v>
      </c>
      <c r="AH222" s="86" t="str">
        <f t="shared" si="84"/>
        <v>"%USERPROFILE%\Documents\GitHub\eaglep3\Utilities\RefineRTDCRunTimes.py" --tripid 51-20 --locoid 4002 --swversion DE.1.0.9.0 --startMP 204:366 --initTime 2017-03-20T10:58:55 --startdatetime 2017-03-20T11:13:57 --delay 1 --endMP 300:24290 --enddatetime 2017-03-20T11:20:59 --enforcementcount 0 &gt;&gt;C:\Users\stu\Documents\GitHub\eaglep3-reporting\EC\2017-03-20-refined-times.txt</v>
      </c>
      <c r="AI222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{"issue":{"subject":"","project_id":79,"tracker_id":40,"status_id":1,"priority_id":2,"assigned_to_id":23,"start_date":"2017-03-20","description":"","custom_fields":[{"id":1,"name":"Subdivision","value":"Other"},{"id":4,"name":"Milepost","value":"2.429"},{"id":17,"name":"Train ID","value":"51-20"},{"id":16,"name":"Locomotive ID","value":"4002"},{"id":130,"name":"Impact","value":""},{"id":150,"name":"Time of Event (Mountain Time)","value":"11:20:59"},{"id":151,"name":"Denver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86"/>
        <v>start /low /b %USERPROFILE%\Documents\GitHub\eaglep3\Utilities\DownloadLogsFromS3.py --loco 4002 --day 2017-03-20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"%USERPROFILE%\AppData\Local\Temp\OnboardLogs"\RTDC4002\*4002*20170320* | grep -SE "(Enforcement Action)|(\[TIMEOUT)|(CHR.+\|PRM\|1\|D.+(SWITCH|SIGNAL).+UNKNOWN)" - &gt;&gt; 2017-03-20-UncaughtWiMAX.txt</v>
      </c>
    </row>
    <row r="223" spans="1:40" x14ac:dyDescent="0.25">
      <c r="A223" s="33" t="s">
        <v>787</v>
      </c>
      <c r="B223" s="7">
        <v>4054</v>
      </c>
      <c r="C223" s="21" t="s">
        <v>222</v>
      </c>
      <c r="D223" s="21" t="s">
        <v>919</v>
      </c>
      <c r="E223" s="13">
        <v>42814.750520833331</v>
      </c>
      <c r="F223" s="13">
        <v>42814.751620370371</v>
      </c>
      <c r="G223" s="7">
        <v>1</v>
      </c>
      <c r="H223" s="21" t="s">
        <v>920</v>
      </c>
      <c r="I223" s="13">
        <v>42814.756990740738</v>
      </c>
      <c r="J223" s="7">
        <v>0</v>
      </c>
      <c r="K223" s="98" t="str">
        <f t="shared" si="73"/>
        <v>4053/4054</v>
      </c>
      <c r="L223" s="21" t="str">
        <f>VLOOKUP(A223,'Trips&amp;Operators'!$C$1:$G$99999,5,FALSE)</f>
        <v>DUNCAN SHEILA</v>
      </c>
      <c r="M223" s="6">
        <f t="shared" si="74"/>
        <v>5.3703703670180403E-3</v>
      </c>
      <c r="N223" s="7">
        <f t="shared" si="70"/>
        <v>7.733333328505978</v>
      </c>
      <c r="O223" s="7"/>
      <c r="P223" s="7"/>
      <c r="Q223" s="22"/>
      <c r="R223" s="22"/>
      <c r="S223" s="31">
        <f t="shared" si="88"/>
        <v>0</v>
      </c>
      <c r="T223" s="46" t="e">
        <f t="shared" si="75"/>
        <v>#VALUE!</v>
      </c>
      <c r="U223" s="18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6" t="str">
        <f t="shared" si="76"/>
        <v>https://d0f6bd738d7f1b3e5a7ca70fe4ff75f0.us-east-1.aws.found.io/app/kibana#/discover/Steve-Slow-Train-Analysis-(2080s-and-2083s)?_g=(refreshInterval:(display:Off,pause:!f,section:0,value:0),time:(from:'2017-03-20T17:00:45-0600',mode:absolute,to:'2017-03-20T19:10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3" s="187" t="str">
        <f t="shared" si="77"/>
        <v>Y</v>
      </c>
      <c r="X223" s="187" t="e">
        <f t="shared" si="72"/>
        <v>#VALUE!</v>
      </c>
      <c r="Y223" s="62">
        <f t="shared" si="78"/>
        <v>2.1758999999999999</v>
      </c>
      <c r="Z223" s="62">
        <f t="shared" si="87"/>
        <v>0.20300000000000001</v>
      </c>
      <c r="AA223" s="62">
        <f t="shared" si="79"/>
        <v>1.9728999999999999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80"/>
        <v>54-20</v>
      </c>
      <c r="AE223" s="85" t="str">
        <f t="shared" si="81"/>
        <v>aws s3 cp s3://rtdc.mdm.uploadarchive.raw/RTDC4054/ "%USERPROFILE%\AppData\Local\Temp\OnboardLogs"\RTDC4054\2017-03-20 --exclude "*" --recursive --include "*20170320*" &amp; "%USERPROFILE%\Documents\GitHub\mrs-test-scripts\Headless Mode &amp; Sideloading\WalkAndUnGZ.bat" "%USERPROFILE%\AppData\Local\Temp\OnboardLogs"\RTDC4054\2017-03-20 &amp; aws s3 cp s3://rtdc.mdm.uploadarchive.raw/RTDC4054/ "%USERPROFILE%\AppData\Local\Temp\OnboardLogs"\RTDC4054\2017-03-21 --exclude "*" --recursive --include "*20170321*" &amp; "%USERPROFILE%\Documents\GitHub\mrs-test-scripts\Headless Mode &amp; Sideloading\WalkAndUnGZ.bat" "%USERPROFILE%\AppData\Local\Temp\OnboardLogs"\RTDC4054\2017-03-21</v>
      </c>
      <c r="AF223" s="82" t="str">
        <f t="shared" si="82"/>
        <v>"C:\Program Files (x86)\AstroGrep\AstroGrep.exe" /e /r /s /spath="%USERPROFILE%\AppData\Local\Temp\OnboardLogs" /stypes="app*4054*20170321*" /stext=" 00:.+((SYSTEM_STATE.+slice.+state.+changed )|(ment ac)|(multiple cpu faults)|(system.+state.+changed )|(\[timeout)|(PRM\|1\|D)|(kpr)|(kdp)|(\|lc)|(penalty))"</v>
      </c>
      <c r="AG223" s="1" t="str">
        <f t="shared" si="83"/>
        <v>Other</v>
      </c>
      <c r="AH223" s="86" t="str">
        <f t="shared" si="84"/>
        <v>"%USERPROFILE%\Documents\GitHub\eaglep3\Utilities\RefineRTDCRunTimes.py" --tripid 54-20 --locoid 4054 --swversion DE.1.0.9.0 --startMP 300:21759 --initTime 2017-03-20T18:00:45 --startdatetime 2017-03-20T18:02:20 --delay 1 --endMP 204:2030 --enddatetime 2017-03-20T18:10:04 --enforcementcount 0 &gt;&gt;C:\Users\stu\Documents\GitHub\eaglep3-reporting\EC\2017-03-20-refined-times.txt</v>
      </c>
      <c r="AI223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{"issue":{"subject":"","project_id":79,"tracker_id":40,"status_id":1,"priority_id":2,"assigned_to_id":23,"start_date":"2017-03-20","description":"","custom_fields":[{"id":1,"name":"Subdivision","value":"Other"},{"id":4,"name":"Milepost","value":"0.203"},{"id":17,"name":"Train ID","value":"54-20"},{"id":16,"name":"Locomotive ID","value":"4054"},{"id":130,"name":"Impact","value":""},{"id":150,"name":"Time of Event (Mountain Time)","value":"18:10:04"},{"id":151,"name":"Denver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86"/>
        <v>start /low /b %USERPROFILE%\Documents\GitHub\eaglep3\Utilities\DownloadLogsFromS3.py --loco 4054 --day 2017-03-20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"%USERPROFILE%\AppData\Local\Temp\OnboardLogs"\RTDC4054\*4054*20170321* | grep -SE "(Enforcement Action)|(\[TIMEOUT)|(CHR.+\|PRM\|1\|D.+(SWITCH|SIGNAL).+UNKNOWN)" - &gt;&gt; 2017-03-20-UncaughtWiMAX.txt</v>
      </c>
    </row>
    <row r="224" spans="1:40" x14ac:dyDescent="0.25">
      <c r="A224" s="33" t="s">
        <v>779</v>
      </c>
      <c r="B224" s="7">
        <v>4011</v>
      </c>
      <c r="C224" s="21" t="s">
        <v>222</v>
      </c>
      <c r="D224" s="21" t="s">
        <v>921</v>
      </c>
      <c r="E224" s="13">
        <v>42814.719074074077</v>
      </c>
      <c r="F224" s="13">
        <v>42814.735925925925</v>
      </c>
      <c r="G224" s="7">
        <v>1</v>
      </c>
      <c r="H224" s="21" t="s">
        <v>589</v>
      </c>
      <c r="I224" s="13">
        <v>42814.743414351855</v>
      </c>
      <c r="J224" s="7">
        <v>0</v>
      </c>
      <c r="K224" s="98" t="str">
        <f t="shared" si="73"/>
        <v>4011/4012</v>
      </c>
      <c r="L224" s="21" t="str">
        <f>VLOOKUP(A224,'Trips&amp;Operators'!$C$1:$G$99999,5,FALSE)</f>
        <v>LALONDE GREGORY</v>
      </c>
      <c r="M224" s="6">
        <f t="shared" si="74"/>
        <v>7.4884259302052669E-3</v>
      </c>
      <c r="N224" s="7">
        <f t="shared" si="70"/>
        <v>10.783333339495584</v>
      </c>
      <c r="O224" s="7"/>
      <c r="P224" s="7"/>
      <c r="Q224" s="22"/>
      <c r="R224" s="22"/>
      <c r="S224" s="31">
        <f t="shared" si="88"/>
        <v>0</v>
      </c>
      <c r="T224" s="46" t="e">
        <f t="shared" si="75"/>
        <v>#VALUE!</v>
      </c>
      <c r="U224" s="18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6" t="str">
        <f t="shared" si="76"/>
        <v>https://d0f6bd738d7f1b3e5a7ca70fe4ff75f0.us-east-1.aws.found.io/app/kibana#/discover/Steve-Slow-Train-Analysis-(2080s-and-2083s)?_g=(refreshInterval:(display:Off,pause:!f,section:0,value:0),time:(from:'2017-03-20T16:15:28-0600',mode:absolute,to:'2017-03-20T18:50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4" s="187" t="str">
        <f t="shared" si="77"/>
        <v>Y</v>
      </c>
      <c r="X224" s="187" t="e">
        <f t="shared" si="72"/>
        <v>#VALUE!</v>
      </c>
      <c r="Y224" s="62">
        <f t="shared" si="78"/>
        <v>0.14810000000000001</v>
      </c>
      <c r="Z224" s="62">
        <f t="shared" si="87"/>
        <v>2.3300999999999998</v>
      </c>
      <c r="AA224" s="62">
        <f t="shared" si="79"/>
        <v>2.1819999999999999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80"/>
        <v>65-20</v>
      </c>
      <c r="AE224" s="85" t="str">
        <f t="shared" si="81"/>
        <v>aws s3 cp s3://rtdc.mdm.uploadarchive.raw/RTDC4011/ "%USERPROFILE%\AppData\Local\Temp\OnboardLogs"\RTDC4011\2017-03-20 --exclude "*" --recursive --include "*20170320*" &amp; "%USERPROFILE%\Documents\GitHub\mrs-test-scripts\Headless Mode &amp; Sideloading\WalkAndUnGZ.bat" "%USERPROFILE%\AppData\Local\Temp\OnboardLogs"\RTDC4011\2017-03-20 &amp; aws s3 cp s3://rtdc.mdm.uploadarchive.raw/RTDC4011/ "%USERPROFILE%\AppData\Local\Temp\OnboardLogs"\RTDC4011\2017-03-21 --exclude "*" --recursive --include "*20170321*" &amp; "%USERPROFILE%\Documents\GitHub\mrs-test-scripts\Headless Mode &amp; Sideloading\WalkAndUnGZ.bat" "%USERPROFILE%\AppData\Local\Temp\OnboardLogs"\RTDC4011\2017-03-21</v>
      </c>
      <c r="AF224" s="82" t="str">
        <f t="shared" si="82"/>
        <v>"C:\Program Files (x86)\AstroGrep\AstroGrep.exe" /e /r /s /spath="%USERPROFILE%\AppData\Local\Temp\OnboardLogs" /stypes="app*4011*20170320*" /stext=" 23:.+((SYSTEM_STATE.+slice.+state.+changed )|(ment ac)|(multiple cpu faults)|(system.+state.+changed )|(\[timeout)|(PRM\|1\|D)|(kpr)|(kdp)|(\|lc)|(penalty))"</v>
      </c>
      <c r="AG224" s="1" t="str">
        <f t="shared" si="83"/>
        <v>Other</v>
      </c>
      <c r="AH224" s="86" t="str">
        <f t="shared" si="84"/>
        <v>"%USERPROFILE%\Documents\GitHub\eaglep3\Utilities\RefineRTDCRunTimes.py" --tripid 65-20 --locoid 4011 --swversion DE.1.0.9.0 --startMP 204:1481 --initTime 2017-03-20T17:15:28 --startdatetime 2017-03-20T17:39:44 --delay 1 --endMP 300:23301 --enddatetime 2017-03-20T17:50:31 --enforcementcount 0 &gt;&gt;C:\Users\stu\Documents\GitHub\eaglep3-reporting\EC\2017-03-20-refined-times.txt</v>
      </c>
      <c r="AI224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{"issue":{"subject":"","project_id":79,"tracker_id":40,"status_id":1,"priority_id":2,"assigned_to_id":23,"start_date":"2017-03-20","description":"","custom_fields":[{"id":1,"name":"Subdivision","value":"Other"},{"id":4,"name":"Milepost","value":"2.3301"},{"id":17,"name":"Train ID","value":"65-20"},{"id":16,"name":"Locomotive ID","value":"4011"},{"id":130,"name":"Impact","value":""},{"id":150,"name":"Time of Event (Mountain Time)","value":"17:50:31"},{"id":151,"name":"Denver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86"/>
        <v>start /low /b %USERPROFILE%\Documents\GitHub\eaglep3\Utilities\DownloadLogsFromS3.py --loco 4011 --day 2017-03-20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"%USERPROFILE%\AppData\Local\Temp\OnboardLogs"\RTDC4011\*4011*20170320* | grep -SE "(Enforcement Action)|(\[TIMEOUT)|(CHR.+\|PRM\|1\|D.+(SWITCH|SIGNAL).+UNKNOWN)" - &gt;&gt; 2017-03-20-UncaughtWiMAX.txt</v>
      </c>
    </row>
    <row r="225" spans="1:40" x14ac:dyDescent="0.25">
      <c r="A225" s="33" t="s">
        <v>808</v>
      </c>
      <c r="B225" s="7">
        <v>4064</v>
      </c>
      <c r="C225" s="21" t="s">
        <v>222</v>
      </c>
      <c r="D225" s="21" t="s">
        <v>229</v>
      </c>
      <c r="E225" s="13">
        <v>42814.891562500001</v>
      </c>
      <c r="F225" s="13">
        <v>42814.897789351853</v>
      </c>
      <c r="G225" s="7">
        <v>1</v>
      </c>
      <c r="H225" s="21" t="s">
        <v>409</v>
      </c>
      <c r="I225" s="13">
        <v>42814.92560185185</v>
      </c>
      <c r="J225" s="7">
        <v>0</v>
      </c>
      <c r="K225" s="98" t="str">
        <f t="shared" si="73"/>
        <v>4063/4064</v>
      </c>
      <c r="L225" s="21" t="str">
        <f>VLOOKUP(A225,'Trips&amp;Operators'!$C$1:$G$99999,5,FALSE)</f>
        <v>YANG JAN</v>
      </c>
      <c r="M225" s="6">
        <f t="shared" si="74"/>
        <v>2.7812499996798579E-2</v>
      </c>
      <c r="N225" s="7">
        <f t="shared" si="70"/>
        <v>40.049999995389953</v>
      </c>
      <c r="O225" s="7"/>
      <c r="P225" s="7"/>
      <c r="Q225" s="22"/>
      <c r="R225" s="22"/>
      <c r="S225" s="31">
        <f t="shared" si="88"/>
        <v>0</v>
      </c>
      <c r="T225" s="46" t="e">
        <f t="shared" si="75"/>
        <v>#VALUE!</v>
      </c>
      <c r="U225" s="18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6" t="str">
        <f t="shared" si="76"/>
        <v>https://d0f6bd738d7f1b3e5a7ca70fe4ff75f0.us-east-1.aws.found.io/app/kibana#/discover/Steve-Slow-Train-Analysis-(2080s-and-2083s)?_g=(refreshInterval:(display:Off,pause:!f,section:0,value:0),time:(from:'2017-03-20T20:23:51-0600',mode:absolute,to:'2017-03-20T23:12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5" s="187" t="str">
        <f t="shared" si="77"/>
        <v>N</v>
      </c>
      <c r="X225" s="187" t="e">
        <f t="shared" si="72"/>
        <v>#VALUE!</v>
      </c>
      <c r="Y225" s="62">
        <f t="shared" si="78"/>
        <v>23.2971</v>
      </c>
      <c r="Z225" s="62">
        <f t="shared" si="87"/>
        <v>1.4500000000000001E-2</v>
      </c>
      <c r="AA225" s="62">
        <f t="shared" si="79"/>
        <v>23.282599999999999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80"/>
        <v>80-20</v>
      </c>
      <c r="AE225" s="85" t="str">
        <f t="shared" si="81"/>
        <v>aws s3 cp s3://rtdc.mdm.uploadarchive.raw/RTDC4064/ "%USERPROFILE%\AppData\Local\Temp\OnboardLogs"\RTDC4064\2017-03-20 --exclude "*" --recursive --include "*20170320*" &amp; "%USERPROFILE%\Documents\GitHub\mrs-test-scripts\Headless Mode &amp; Sideloading\WalkAndUnGZ.bat" "%USERPROFILE%\AppData\Local\Temp\OnboardLogs"\RTDC4064\2017-03-20 &amp; aws s3 cp s3://rtdc.mdm.uploadarchive.raw/RTDC4064/ "%USERPROFILE%\AppData\Local\Temp\OnboardLogs"\RTDC4064\2017-03-21 --exclude "*" --recursive --include "*20170321*" &amp; "%USERPROFILE%\Documents\GitHub\mrs-test-scripts\Headless Mode &amp; Sideloading\WalkAndUnGZ.bat" "%USERPROFILE%\AppData\Local\Temp\OnboardLogs"\RTDC4064\2017-03-21</v>
      </c>
      <c r="AF225" s="82" t="str">
        <f t="shared" si="82"/>
        <v>"C:\Program Files (x86)\AstroGrep\AstroGrep.exe" /e /r /s /spath="%USERPROFILE%\AppData\Local\Temp\OnboardLogs" /stypes="app*4064*20170321*" /stext=" 04:.+((SYSTEM_STATE.+slice.+state.+changed )|(ment ac)|(multiple cpu faults)|(system.+state.+changed )|(\[timeout)|(PRM\|1\|D)|(kpr)|(kdp)|(\|lc)|(penalty))"</v>
      </c>
      <c r="AG225" s="1" t="str">
        <f t="shared" si="83"/>
        <v>Other</v>
      </c>
      <c r="AH225" s="86" t="str">
        <f t="shared" si="84"/>
        <v>"%USERPROFILE%\Documents\GitHub\eaglep3\Utilities\RefineRTDCRunTimes.py" --tripid 80-20 --locoid 4064 --swversion DE.1.0.9.0 --startMP 204:232971 --initTime 2017-03-20T21:23:51 --startdatetime 2017-03-20T21:32:49 --delay 1 --endMP 204:145 --enddatetime 2017-03-20T22:12:52 --enforcementcount 0 &gt;&gt;C:\Users\stu\Documents\GitHub\eaglep3-reporting\EC\2017-03-20-refined-times.txt</v>
      </c>
      <c r="AI225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{"issue":{"subject":"","project_id":79,"tracker_id":40,"status_id":1,"priority_id":2,"assigned_to_id":23,"start_date":"2017-03-20","description":"","custom_fields":[{"id":1,"name":"Subdivision","value":"Other"},{"id":4,"name":"Milepost","value":"0.0145"},{"id":17,"name":"Train ID","value":"80-20"},{"id":16,"name":"Locomotive ID","value":"4064"},{"id":130,"name":"Impact","value":""},{"id":150,"name":"Time of Event (Mountain Time)","value":"22:12:52"},{"id":151,"name":"Denver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86"/>
        <v>start /low /b %USERPROFILE%\Documents\GitHub\eaglep3\Utilities\DownloadLogsFromS3.py --loco 4064 --day 2017-03-20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"%USERPROFILE%\AppData\Local\Temp\OnboardLogs"\RTDC4064\*4064*20170321* | grep -SE "(Enforcement Action)|(\[TIMEOUT)|(CHR.+\|PRM\|1\|D.+(SWITCH|SIGNAL).+UNKNOWN)" - &gt;&gt; 2017-03-20-UncaughtWiMAX.txt</v>
      </c>
    </row>
    <row r="226" spans="1:40" x14ac:dyDescent="0.25">
      <c r="A226" s="33" t="s">
        <v>808</v>
      </c>
      <c r="B226" s="7">
        <v>4064</v>
      </c>
      <c r="C226" s="21" t="s">
        <v>222</v>
      </c>
      <c r="D226" s="21" t="s">
        <v>510</v>
      </c>
      <c r="E226" s="13">
        <v>42814.960451388892</v>
      </c>
      <c r="F226" s="13">
        <v>42814.962488425925</v>
      </c>
      <c r="G226" s="7">
        <v>1</v>
      </c>
      <c r="H226" s="21" t="s">
        <v>409</v>
      </c>
      <c r="I226" s="13">
        <v>42814.991539351853</v>
      </c>
      <c r="J226" s="7">
        <v>0</v>
      </c>
      <c r="K226" s="98" t="str">
        <f t="shared" si="73"/>
        <v>4063/4064</v>
      </c>
      <c r="L226" s="21" t="str">
        <f>VLOOKUP(A226,'Trips&amp;Operators'!$C$1:$G$99999,5,FALSE)</f>
        <v>YANG JAN</v>
      </c>
      <c r="M226" s="6">
        <f t="shared" si="74"/>
        <v>2.9050925928459037E-2</v>
      </c>
      <c r="N226" s="7">
        <f t="shared" si="70"/>
        <v>41.833333336981013</v>
      </c>
      <c r="O226" s="7"/>
      <c r="P226" s="7"/>
      <c r="Q226" s="22"/>
      <c r="R226" s="22"/>
      <c r="S226" s="31">
        <f t="shared" si="88"/>
        <v>0</v>
      </c>
      <c r="T226" s="46" t="e">
        <f t="shared" si="75"/>
        <v>#VALUE!</v>
      </c>
      <c r="U226" s="18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6" t="str">
        <f t="shared" si="76"/>
        <v>https://d0f6bd738d7f1b3e5a7ca70fe4ff75f0.us-east-1.aws.found.io/app/kibana#/discover/Steve-Slow-Train-Analysis-(2080s-and-2083s)?_g=(refreshInterval:(display:Off,pause:!f,section:0,value:0),time:(from:'2017-03-20T22:03:03-0600',mode:absolute,to:'2017-03-21T00:47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6" s="187" t="str">
        <f t="shared" si="77"/>
        <v>N</v>
      </c>
      <c r="X226" s="187" t="e">
        <f t="shared" si="72"/>
        <v>#VALUE!</v>
      </c>
      <c r="Y226" s="62">
        <f t="shared" si="78"/>
        <v>23.2989</v>
      </c>
      <c r="Z226" s="62">
        <f t="shared" si="87"/>
        <v>1.4500000000000001E-2</v>
      </c>
      <c r="AA226" s="62">
        <f t="shared" si="79"/>
        <v>23.284399999999998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80"/>
        <v>80-20</v>
      </c>
      <c r="AE226" s="85" t="str">
        <f t="shared" si="81"/>
        <v>aws s3 cp s3://rtdc.mdm.uploadarchive.raw/RTDC4064/ "%USERPROFILE%\AppData\Local\Temp\OnboardLogs"\RTDC4064\2017-03-20 --exclude "*" --recursive --include "*20170320*" &amp; "%USERPROFILE%\Documents\GitHub\mrs-test-scripts\Headless Mode &amp; Sideloading\WalkAndUnGZ.bat" "%USERPROFILE%\AppData\Local\Temp\OnboardLogs"\RTDC4064\2017-03-20 &amp; aws s3 cp s3://rtdc.mdm.uploadarchive.raw/RTDC4064/ "%USERPROFILE%\AppData\Local\Temp\OnboardLogs"\RTDC4064\2017-03-21 --exclude "*" --recursive --include "*20170321*" &amp; "%USERPROFILE%\Documents\GitHub\mrs-test-scripts\Headless Mode &amp; Sideloading\WalkAndUnGZ.bat" "%USERPROFILE%\AppData\Local\Temp\OnboardLogs"\RTDC4064\2017-03-21</v>
      </c>
      <c r="AF226" s="82" t="str">
        <f t="shared" si="82"/>
        <v>"C:\Program Files (x86)\AstroGrep\AstroGrep.exe" /e /r /s /spath="%USERPROFILE%\AppData\Local\Temp\OnboardLogs" /stypes="app*4064*20170321*" /stext=" 05:.+((SYSTEM_STATE.+slice.+state.+changed )|(ment ac)|(multiple cpu faults)|(system.+state.+changed )|(\[timeout)|(PRM\|1\|D)|(kpr)|(kdp)|(\|lc)|(penalty))"</v>
      </c>
      <c r="AG226" s="1" t="str">
        <f t="shared" si="83"/>
        <v>Other</v>
      </c>
      <c r="AH226" s="86" t="str">
        <f t="shared" si="84"/>
        <v>"%USERPROFILE%\Documents\GitHub\eaglep3\Utilities\RefineRTDCRunTimes.py" --tripid 80-20 --locoid 4064 --swversion DE.1.0.9.0 --startMP 204:232989 --initTime 2017-03-20T23:03:03 --startdatetime 2017-03-20T23:05:59 --delay 1 --endMP 204:145 --enddatetime 2017-03-20T23:47:49 --enforcementcount 0 &gt;&gt;C:\Users\stu\Documents\GitHub\eaglep3-reporting\EC\2017-03-20-refined-times.txt</v>
      </c>
      <c r="AI226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{"issue":{"subject":"","project_id":79,"tracker_id":40,"status_id":1,"priority_id":2,"assigned_to_id":23,"start_date":"2017-03-20","description":"","custom_fields":[{"id":1,"name":"Subdivision","value":"Other"},{"id":4,"name":"Milepost","value":"0.0145"},{"id":17,"name":"Train ID","value":"80-20"},{"id":16,"name":"Locomotive ID","value":"4064"},{"id":130,"name":"Impact","value":""},{"id":150,"name":"Time of Event (Mountain Time)","value":"23:47:49"},{"id":151,"name":"Denver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86"/>
        <v>start /low /b %USERPROFILE%\Documents\GitHub\eaglep3\Utilities\DownloadLogsFromS3.py --loco 4064 --day 2017-03-20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"%USERPROFILE%\AppData\Local\Temp\OnboardLogs"\RTDC4064\*4064*20170321* | grep -SE "(Enforcement Action)|(\[TIMEOUT)|(CHR.+\|PRM\|1\|D.+(SWITCH|SIGNAL).+UNKNOWN)" - &gt;&gt; 2017-03-20-UncaughtWiMAX.txt</v>
      </c>
    </row>
    <row r="227" spans="1:40" x14ac:dyDescent="0.25">
      <c r="A227" s="33" t="s">
        <v>808</v>
      </c>
      <c r="B227" s="7">
        <v>4064</v>
      </c>
      <c r="C227" s="21" t="s">
        <v>222</v>
      </c>
      <c r="D227" s="21" t="s">
        <v>922</v>
      </c>
      <c r="E227" s="13">
        <v>42814.83326388889</v>
      </c>
      <c r="F227" s="13">
        <v>42814.836296296293</v>
      </c>
      <c r="G227" s="7">
        <v>4</v>
      </c>
      <c r="H227" s="21" t="s">
        <v>923</v>
      </c>
      <c r="I227" s="13">
        <v>42814.841736111113</v>
      </c>
      <c r="J227" s="7">
        <v>0</v>
      </c>
      <c r="K227" s="98" t="str">
        <f t="shared" si="73"/>
        <v>4063/4064</v>
      </c>
      <c r="L227" s="21" t="str">
        <f>VLOOKUP(A227,'Trips&amp;Operators'!$C$1:$G$99999,5,FALSE)</f>
        <v>YANG JAN</v>
      </c>
      <c r="M227" s="6">
        <f t="shared" si="74"/>
        <v>5.439814820419997E-3</v>
      </c>
      <c r="N227" s="7">
        <f t="shared" si="70"/>
        <v>7.8333333414047956</v>
      </c>
      <c r="O227" s="7"/>
      <c r="P227" s="7"/>
      <c r="Q227" s="22"/>
      <c r="R227" s="22"/>
      <c r="S227" s="31">
        <f t="shared" si="88"/>
        <v>0</v>
      </c>
      <c r="T227" s="46" t="e">
        <f t="shared" si="75"/>
        <v>#VALUE!</v>
      </c>
      <c r="U227" s="18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6" t="str">
        <f t="shared" si="76"/>
        <v>https://d0f6bd738d7f1b3e5a7ca70fe4ff75f0.us-east-1.aws.found.io/app/kibana#/discover/Steve-Slow-Train-Analysis-(2080s-and-2083s)?_g=(refreshInterval:(display:Off,pause:!f,section:0,value:0),time:(from:'2017-03-20T18:59:54-0600',mode:absolute,to:'2017-03-20T21:12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7" s="187" t="str">
        <f t="shared" si="77"/>
        <v>Y</v>
      </c>
      <c r="X227" s="187" t="e">
        <f t="shared" si="72"/>
        <v>#VALUE!</v>
      </c>
      <c r="Y227" s="62">
        <f t="shared" si="78"/>
        <v>2.2328999999999999</v>
      </c>
      <c r="Z227" s="62">
        <f t="shared" si="87"/>
        <v>1.5299999999999999E-2</v>
      </c>
      <c r="AA227" s="62">
        <f t="shared" si="79"/>
        <v>2.2176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80"/>
        <v>80-20</v>
      </c>
      <c r="AE227" s="85" t="str">
        <f t="shared" si="81"/>
        <v>aws s3 cp s3://rtdc.mdm.uploadarchive.raw/RTDC4064/ "%USERPROFILE%\AppData\Local\Temp\OnboardLogs"\RTDC4064\2017-03-20 --exclude "*" --recursive --include "*20170320*" &amp; "%USERPROFILE%\Documents\GitHub\mrs-test-scripts\Headless Mode &amp; Sideloading\WalkAndUnGZ.bat" "%USERPROFILE%\AppData\Local\Temp\OnboardLogs"\RTDC4064\2017-03-20 &amp; aws s3 cp s3://rtdc.mdm.uploadarchive.raw/RTDC4064/ "%USERPROFILE%\AppData\Local\Temp\OnboardLogs"\RTDC4064\2017-03-21 --exclude "*" --recursive --include "*20170321*" &amp; "%USERPROFILE%\Documents\GitHub\mrs-test-scripts\Headless Mode &amp; Sideloading\WalkAndUnGZ.bat" "%USERPROFILE%\AppData\Local\Temp\OnboardLogs"\RTDC4064\2017-03-21</v>
      </c>
      <c r="AF227" s="82" t="str">
        <f t="shared" si="82"/>
        <v>"C:\Program Files (x86)\AstroGrep\AstroGrep.exe" /e /r /s /spath="%USERPROFILE%\AppData\Local\Temp\OnboardLogs" /stypes="app*4064*20170321*" /stext=" 02:.+((SYSTEM_STATE.+slice.+state.+changed )|(ment ac)|(multiple cpu faults)|(system.+state.+changed )|(\[timeout)|(PRM\|1\|D)|(kpr)|(kdp)|(\|lc)|(penalty))"</v>
      </c>
      <c r="AG227" s="1" t="str">
        <f t="shared" si="83"/>
        <v>Other</v>
      </c>
      <c r="AH227" s="86" t="str">
        <f t="shared" si="84"/>
        <v>"%USERPROFILE%\Documents\GitHub\eaglep3\Utilities\RefineRTDCRunTimes.py" --tripid 80-20 --locoid 4064 --swversion DE.1.0.9.0 --startMP 300:22329 --initTime 2017-03-20T19:59:54 --startdatetime 2017-03-20T20:04:16 --delay 4 --endMP 204:153 --enddatetime 2017-03-20T20:12:06 --enforcementcount 0 &gt;&gt;C:\Users\stu\Documents\GitHub\eaglep3-reporting\EC\2017-03-20-refined-times.txt</v>
      </c>
      <c r="AI227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{"issue":{"subject":"","project_id":79,"tracker_id":40,"status_id":1,"priority_id":2,"assigned_to_id":23,"start_date":"2017-03-20","description":"","custom_fields":[{"id":1,"name":"Subdivision","value":"Other"},{"id":4,"name":"Milepost","value":"0.0153"},{"id":17,"name":"Train ID","value":"80-20"},{"id":16,"name":"Locomotive ID","value":"4064"},{"id":130,"name":"Impact","value":""},{"id":150,"name":"Time of Event (Mountain Time)","value":"20:12:06"},{"id":151,"name":"Denver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86"/>
        <v>start /low /b %USERPROFILE%\Documents\GitHub\eaglep3\Utilities\DownloadLogsFromS3.py --loco 4064 --day 2017-03-20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"%USERPROFILE%\AppData\Local\Temp\OnboardLogs"\RTDC4064\*4064*20170321* | grep -SE "(Enforcement Action)|(\[TIMEOUT)|(CHR.+\|PRM\|1\|D.+(SWITCH|SIGNAL).+UNKNOWN)" - &gt;&gt; 2017-03-20-UncaughtWiMAX.txt</v>
      </c>
    </row>
    <row r="228" spans="1:40" x14ac:dyDescent="0.25">
      <c r="A228" s="33" t="s">
        <v>549</v>
      </c>
      <c r="B228" s="7">
        <v>4063</v>
      </c>
      <c r="C228" s="21" t="s">
        <v>222</v>
      </c>
      <c r="D228" s="21" t="s">
        <v>429</v>
      </c>
      <c r="E228" s="13">
        <v>42814.074004629627</v>
      </c>
      <c r="F228" s="13">
        <v>42814.075532407405</v>
      </c>
      <c r="G228" s="7">
        <v>1</v>
      </c>
      <c r="H228" s="21" t="s">
        <v>590</v>
      </c>
      <c r="I228" s="13">
        <v>42814.083506944444</v>
      </c>
      <c r="J228" s="7">
        <v>0</v>
      </c>
      <c r="K228" s="98" t="str">
        <f t="shared" si="73"/>
        <v>4063/4064</v>
      </c>
      <c r="L228" s="21" t="str">
        <f>VLOOKUP(A228,'Trips&amp;Operators'!$C$1:$G$99999,5,FALSE)</f>
        <v>YANG JAN</v>
      </c>
      <c r="M228" s="6">
        <f t="shared" si="74"/>
        <v>7.9745370385353453E-3</v>
      </c>
      <c r="N228" s="7">
        <f t="shared" si="70"/>
        <v>11.483333335490897</v>
      </c>
      <c r="O228" s="7"/>
      <c r="P228" s="7"/>
      <c r="Q228" s="22"/>
      <c r="R228" s="22"/>
      <c r="S228" s="31">
        <f t="shared" si="88"/>
        <v>0</v>
      </c>
      <c r="T228" s="46" t="e">
        <f t="shared" si="75"/>
        <v>#VALUE!</v>
      </c>
      <c r="U228" s="18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6" t="str">
        <f t="shared" si="76"/>
        <v>https://d0f6bd738d7f1b3e5a7ca70fe4ff75f0.us-east-1.aws.found.io/app/kibana#/discover/Steve-Slow-Train-Analysis-(2080s-and-2083s)?_g=(refreshInterval:(display:Off,pause:!f,section:0,value:0),time:(from:'2017-03-20T00:46:34-0600',mode:absolute,to:'2017-03-20T03:00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8" s="187" t="str">
        <f t="shared" si="77"/>
        <v>Y</v>
      </c>
      <c r="X228" s="187" t="e">
        <f t="shared" si="72"/>
        <v>#VALUE!</v>
      </c>
      <c r="Y228" s="62">
        <f t="shared" si="78"/>
        <v>4.4400000000000002E-2</v>
      </c>
      <c r="Z228" s="62">
        <f t="shared" si="87"/>
        <v>2.3298999999999999</v>
      </c>
      <c r="AA228" s="62">
        <f t="shared" si="79"/>
        <v>2.2854999999999999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80"/>
        <v>81-19</v>
      </c>
      <c r="AE228" s="85" t="str">
        <f t="shared" si="81"/>
        <v>aws s3 cp s3://rtdc.mdm.uploadarchive.raw/RTDC4063/ "%USERPROFILE%\AppData\Local\Temp\OnboardLogs"\RTDC4063\2017-03-20 --exclude "*" --recursive --include "*20170320*" &amp; "%USERPROFILE%\Documents\GitHub\mrs-test-scripts\Headless Mode &amp; Sideloading\WalkAndUnGZ.bat" "%USERPROFILE%\AppData\Local\Temp\OnboardLogs"\RTDC4063\2017-03-20 &amp; aws s3 cp s3://rtdc.mdm.uploadarchive.raw/RTDC4063/ "%USERPROFILE%\AppData\Local\Temp\OnboardLogs"\RTDC4063\2017-03-21 --exclude "*" --recursive --include "*20170321*" &amp; "%USERPROFILE%\Documents\GitHub\mrs-test-scripts\Headless Mode &amp; Sideloading\WalkAndUnGZ.bat" "%USERPROFILE%\AppData\Local\Temp\OnboardLogs"\RTDC4063\2017-03-21</v>
      </c>
      <c r="AF228" s="82" t="str">
        <f t="shared" si="82"/>
        <v>"C:\Program Files (x86)\AstroGrep\AstroGrep.exe" /e /r /s /spath="%USERPROFILE%\AppData\Local\Temp\OnboardLogs" /stypes="app*4063*20170320*" /stext=" 08:.+((SYSTEM_STATE.+slice.+state.+changed )|(ment ac)|(multiple cpu faults)|(system.+state.+changed )|(\[timeout)|(PRM\|1\|D)|(kpr)|(kdp)|(\|lc)|(penalty))"</v>
      </c>
      <c r="AG228" s="1" t="str">
        <f t="shared" si="83"/>
        <v>Other</v>
      </c>
      <c r="AH228" s="86" t="str">
        <f t="shared" si="84"/>
        <v>"%USERPROFILE%\Documents\GitHub\eaglep3\Utilities\RefineRTDCRunTimes.py" --tripid 81-19 --locoid 4063 --swversion DE.1.0.9.0 --startMP 204:444 --initTime 2017-03-20T01:46:34 --startdatetime 2017-03-20T01:48:46 --delay 1 --endMP 300:23299 --enddatetime 2017-03-20T02:00:15 --enforcementcount 0 &gt;&gt;C:\Users\stu\Documents\GitHub\eaglep3-reporting\EC\2017-03-20-refined-times.txt</v>
      </c>
      <c r="AI228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{"issue":{"subject":"","project_id":79,"tracker_id":40,"status_id":1,"priority_id":2,"assigned_to_id":23,"start_date":"2017-03-20","description":"","custom_fields":[{"id":1,"name":"Subdivision","value":"Other"},{"id":4,"name":"Milepost","value":"2.3299"},{"id":17,"name":"Train ID","value":"81-19"},{"id":16,"name":"Locomotive ID","value":"4063"},{"id":130,"name":"Impact","value":""},{"id":150,"name":"Time of Event (Mountain Time)","value":"02:00:15"},{"id":151,"name":"Denver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86"/>
        <v>start /low /b %USERPROFILE%\Documents\GitHub\eaglep3\Utilities\DownloadLogsFromS3.py --loco 4063 --day 2017-03-20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"%USERPROFILE%\AppData\Local\Temp\OnboardLogs"\RTDC4063\*4063*20170320* | grep -SE "(Enforcement Action)|(\[TIMEOUT)|(CHR.+\|PRM\|1\|D.+(SWITCH|SIGNAL).+UNKNOWN)" - &gt;&gt; 2017-03-20-UncaughtWiMAX.txt</v>
      </c>
    </row>
    <row r="229" spans="1:40" x14ac:dyDescent="0.25">
      <c r="A229" s="33" t="s">
        <v>811</v>
      </c>
      <c r="B229" s="7">
        <v>4063</v>
      </c>
      <c r="C229" s="21" t="s">
        <v>222</v>
      </c>
      <c r="D229" s="21" t="s">
        <v>213</v>
      </c>
      <c r="E229" s="13">
        <v>42814.926747685182</v>
      </c>
      <c r="F229" s="13">
        <v>42814.928206018521</v>
      </c>
      <c r="G229" s="7">
        <v>1</v>
      </c>
      <c r="H229" s="21" t="s">
        <v>396</v>
      </c>
      <c r="I229" s="13">
        <v>42814.954201388886</v>
      </c>
      <c r="J229" s="7">
        <v>0</v>
      </c>
      <c r="K229" s="98" t="str">
        <f t="shared" si="73"/>
        <v>4063/4064</v>
      </c>
      <c r="L229" s="21" t="str">
        <f>VLOOKUP(A229,'Trips&amp;Operators'!$C$1:$G$99999,5,FALSE)</f>
        <v>YANG JAN</v>
      </c>
      <c r="M229" s="6">
        <f t="shared" si="74"/>
        <v>2.5995370364398696E-2</v>
      </c>
      <c r="N229" s="7">
        <f t="shared" si="70"/>
        <v>37.433333324734122</v>
      </c>
      <c r="O229" s="7"/>
      <c r="P229" s="7"/>
      <c r="Q229" s="22"/>
      <c r="R229" s="22"/>
      <c r="S229" s="31">
        <f t="shared" si="88"/>
        <v>0</v>
      </c>
      <c r="T229" s="46" t="e">
        <f t="shared" si="75"/>
        <v>#VALUE!</v>
      </c>
      <c r="U229" s="18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6" t="str">
        <f t="shared" si="76"/>
        <v>https://d0f6bd738d7f1b3e5a7ca70fe4ff75f0.us-east-1.aws.found.io/app/kibana#/discover/Steve-Slow-Train-Analysis-(2080s-and-2083s)?_g=(refreshInterval:(display:Off,pause:!f,section:0,value:0),time:(from:'2017-03-20T21:14:31-0600',mode:absolute,to:'2017-03-20T23:54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9" s="187" t="str">
        <f t="shared" si="77"/>
        <v>N</v>
      </c>
      <c r="X229" s="187" t="e">
        <f t="shared" si="72"/>
        <v>#VALUE!</v>
      </c>
      <c r="Y229" s="62">
        <f t="shared" si="78"/>
        <v>4.5499999999999999E-2</v>
      </c>
      <c r="Z229" s="62">
        <f t="shared" si="87"/>
        <v>23.3293</v>
      </c>
      <c r="AA229" s="62">
        <f t="shared" si="79"/>
        <v>23.283799999999999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80"/>
        <v>81-20</v>
      </c>
      <c r="AE229" s="85" t="str">
        <f t="shared" si="81"/>
        <v>aws s3 cp s3://rtdc.mdm.uploadarchive.raw/RTDC4063/ "%USERPROFILE%\AppData\Local\Temp\OnboardLogs"\RTDC4063\2017-03-20 --exclude "*" --recursive --include "*20170320*" &amp; "%USERPROFILE%\Documents\GitHub\mrs-test-scripts\Headless Mode &amp; Sideloading\WalkAndUnGZ.bat" "%USERPROFILE%\AppData\Local\Temp\OnboardLogs"\RTDC4063\2017-03-20 &amp; aws s3 cp s3://rtdc.mdm.uploadarchive.raw/RTDC4063/ "%USERPROFILE%\AppData\Local\Temp\OnboardLogs"\RTDC4063\2017-03-21 --exclude "*" --recursive --include "*20170321*" &amp; "%USERPROFILE%\Documents\GitHub\mrs-test-scripts\Headless Mode &amp; Sideloading\WalkAndUnGZ.bat" "%USERPROFILE%\AppData\Local\Temp\OnboardLogs"\RTDC4063\2017-03-21</v>
      </c>
      <c r="AF229" s="82" t="str">
        <f t="shared" si="82"/>
        <v>"C:\Program Files (x86)\AstroGrep\AstroGrep.exe" /e /r /s /spath="%USERPROFILE%\AppData\Local\Temp\OnboardLogs" /stypes="app*4063*20170321*" /stext=" 04:.+((SYSTEM_STATE.+slice.+state.+changed )|(ment ac)|(multiple cpu faults)|(system.+state.+changed )|(\[timeout)|(PRM\|1\|D)|(kpr)|(kdp)|(\|lc)|(penalty))"</v>
      </c>
      <c r="AG229" s="1" t="str">
        <f t="shared" si="83"/>
        <v>Other</v>
      </c>
      <c r="AH229" s="86" t="str">
        <f t="shared" si="84"/>
        <v>"%USERPROFILE%\Documents\GitHub\eaglep3\Utilities\RefineRTDCRunTimes.py" --tripid 81-20 --locoid 4063 --swversion DE.1.0.9.0 --startMP 204:455 --initTime 2017-03-20T22:14:31 --startdatetime 2017-03-20T22:16:37 --delay 1 --endMP 204:233293 --enddatetime 2017-03-20T22:54:03 --enforcementcount 0 &gt;&gt;C:\Users\stu\Documents\GitHub\eaglep3-reporting\EC\2017-03-20-refined-times.txt</v>
      </c>
      <c r="AI229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{"issue":{"subject":"","project_id":79,"tracker_id":40,"status_id":1,"priority_id":2,"assigned_to_id":23,"start_date":"2017-03-20","description":"","custom_fields":[{"id":1,"name":"Subdivision","value":"Other"},{"id":4,"name":"Milepost","value":"23.3293"},{"id":17,"name":"Train ID","value":"81-20"},{"id":16,"name":"Locomotive ID","value":"4063"},{"id":130,"name":"Impact","value":""},{"id":150,"name":"Time of Event (Mountain Time)","value":"22:54:03"},{"id":151,"name":"Denver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86"/>
        <v>start /low /b %USERPROFILE%\Documents\GitHub\eaglep3\Utilities\DownloadLogsFromS3.py --loco 4063 --day 2017-03-20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"%USERPROFILE%\AppData\Local\Temp\OnboardLogs"\RTDC4063\*4063*20170321* | grep -SE "(Enforcement Action)|(\[TIMEOUT)|(CHR.+\|PRM\|1\|D.+(SWITCH|SIGNAL).+UNKNOWN)" - &gt;&gt; 2017-03-20-UncaughtWiMAX.txt</v>
      </c>
    </row>
    <row r="230" spans="1:40" x14ac:dyDescent="0.25">
      <c r="A230" s="33" t="s">
        <v>811</v>
      </c>
      <c r="B230" s="7">
        <v>4063</v>
      </c>
      <c r="C230" s="21" t="s">
        <v>222</v>
      </c>
      <c r="D230" s="21" t="s">
        <v>939</v>
      </c>
      <c r="E230" s="13">
        <v>42814.849120370367</v>
      </c>
      <c r="F230" s="13">
        <v>42814.861111111109</v>
      </c>
      <c r="G230" s="7">
        <v>1</v>
      </c>
      <c r="H230" s="21" t="s">
        <v>224</v>
      </c>
      <c r="I230" s="13">
        <v>42814.888599537036</v>
      </c>
      <c r="J230" s="7">
        <v>0</v>
      </c>
      <c r="K230" s="98" t="str">
        <f t="shared" si="73"/>
        <v>4063/4064</v>
      </c>
      <c r="L230" s="21" t="str">
        <f>VLOOKUP(A230,'Trips&amp;Operators'!$C$1:$G$99999,5,FALSE)</f>
        <v>YANG JAN</v>
      </c>
      <c r="M230" s="6">
        <f t="shared" si="74"/>
        <v>2.7488425927003846E-2</v>
      </c>
      <c r="N230" s="7">
        <f t="shared" si="70"/>
        <v>39.583333334885538</v>
      </c>
      <c r="O230" s="7"/>
      <c r="P230" s="7"/>
      <c r="Q230" s="22"/>
      <c r="R230" s="22"/>
      <c r="S230" s="31">
        <f t="shared" si="88"/>
        <v>0</v>
      </c>
      <c r="T230" s="46" t="e">
        <f t="shared" si="75"/>
        <v>#VALUE!</v>
      </c>
      <c r="U230" s="18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6" t="str">
        <f t="shared" si="76"/>
        <v>https://d0f6bd738d7f1b3e5a7ca70fe4ff75f0.us-east-1.aws.found.io/app/kibana#/discover/Steve-Slow-Train-Analysis-(2080s-and-2083s)?_g=(refreshInterval:(display:Off,pause:!f,section:0,value:0),time:(from:'2017-03-20T19:22:44-0600',mode:absolute,to:'2017-03-20T22:19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0" s="187" t="str">
        <f t="shared" si="77"/>
        <v>N</v>
      </c>
      <c r="X230" s="187" t="e">
        <f t="shared" si="72"/>
        <v>#VALUE!</v>
      </c>
      <c r="Y230" s="62">
        <f t="shared" si="78"/>
        <v>4.5900000000000003E-2</v>
      </c>
      <c r="Z230" s="62">
        <f t="shared" si="87"/>
        <v>23.329699999999999</v>
      </c>
      <c r="AA230" s="62">
        <f t="shared" si="79"/>
        <v>23.283799999999999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80"/>
        <v>81-20</v>
      </c>
      <c r="AE230" s="85" t="str">
        <f t="shared" si="81"/>
        <v>aws s3 cp s3://rtdc.mdm.uploadarchive.raw/RTDC4063/ "%USERPROFILE%\AppData\Local\Temp\OnboardLogs"\RTDC4063\2017-03-20 --exclude "*" --recursive --include "*20170320*" &amp; "%USERPROFILE%\Documents\GitHub\mrs-test-scripts\Headless Mode &amp; Sideloading\WalkAndUnGZ.bat" "%USERPROFILE%\AppData\Local\Temp\OnboardLogs"\RTDC4063\2017-03-20 &amp; aws s3 cp s3://rtdc.mdm.uploadarchive.raw/RTDC4063/ "%USERPROFILE%\AppData\Local\Temp\OnboardLogs"\RTDC4063\2017-03-21 --exclude "*" --recursive --include "*20170321*" &amp; "%USERPROFILE%\Documents\GitHub\mrs-test-scripts\Headless Mode &amp; Sideloading\WalkAndUnGZ.bat" "%USERPROFILE%\AppData\Local\Temp\OnboardLogs"\RTDC4063\2017-03-21</v>
      </c>
      <c r="AF230" s="82" t="str">
        <f t="shared" si="82"/>
        <v>"C:\Program Files (x86)\AstroGrep\AstroGrep.exe" /e /r /s /spath="%USERPROFILE%\AppData\Local\Temp\OnboardLogs" /stypes="app*4063*20170321*" /stext=" 03:.+((SYSTEM_STATE.+slice.+state.+changed )|(ment ac)|(multiple cpu faults)|(system.+state.+changed )|(\[timeout)|(PRM\|1\|D)|(kpr)|(kdp)|(\|lc)|(penalty))"</v>
      </c>
      <c r="AG230" s="1" t="str">
        <f t="shared" si="83"/>
        <v>Other</v>
      </c>
      <c r="AH230" s="86" t="str">
        <f t="shared" si="84"/>
        <v>"%USERPROFILE%\Documents\GitHub\eaglep3\Utilities\RefineRTDCRunTimes.py" --tripid 81-20 --locoid 4063 --swversion DE.1.0.9.0 --startMP 204:459 --initTime 2017-03-20T20:22:44 --startdatetime 2017-03-20T20:40:00 --delay 1 --endMP 204:233297 --enddatetime 2017-03-20T21:19:35 --enforcementcount 0 &gt;&gt;C:\Users\stu\Documents\GitHub\eaglep3-reporting\EC\2017-03-20-refined-times.txt</v>
      </c>
      <c r="AI230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{"issue":{"subject":"","project_id":79,"tracker_id":40,"status_id":1,"priority_id":2,"assigned_to_id":23,"start_date":"2017-03-20","description":"","custom_fields":[{"id":1,"name":"Subdivision","value":"Other"},{"id":4,"name":"Milepost","value":"23.3297"},{"id":17,"name":"Train ID","value":"81-20"},{"id":16,"name":"Locomotive ID","value":"4063"},{"id":130,"name":"Impact","value":""},{"id":150,"name":"Time of Event (Mountain Time)","value":"21:19:35"},{"id":151,"name":"Denver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86"/>
        <v>start /low /b %USERPROFILE%\Documents\GitHub\eaglep3\Utilities\DownloadLogsFromS3.py --loco 4063 --day 2017-03-20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"%USERPROFILE%\AppData\Local\Temp\OnboardLogs"\RTDC4063\*4063*20170321* | grep -SE "(Enforcement Action)|(\[TIMEOUT)|(CHR.+\|PRM\|1\|D.+(SWITCH|SIGNAL).+UNKNOWN)" - &gt;&gt; 2017-03-20-UncaughtWiMAX.txt</v>
      </c>
    </row>
    <row r="231" spans="1:40" x14ac:dyDescent="0.25">
      <c r="A231" s="33" t="s">
        <v>811</v>
      </c>
      <c r="B231" s="7">
        <v>4063</v>
      </c>
      <c r="C231" s="21" t="s">
        <v>222</v>
      </c>
      <c r="D231" s="21" t="s">
        <v>209</v>
      </c>
      <c r="E231" s="13">
        <v>42815.108796296299</v>
      </c>
      <c r="F231" s="13">
        <v>42815.157581018517</v>
      </c>
      <c r="G231" s="7">
        <v>1</v>
      </c>
      <c r="H231" s="21" t="s">
        <v>940</v>
      </c>
      <c r="I231" s="13">
        <v>42815.17260416667</v>
      </c>
      <c r="J231" s="7">
        <v>0</v>
      </c>
      <c r="K231" s="98" t="str">
        <f t="shared" si="73"/>
        <v>4063/4064</v>
      </c>
      <c r="L231" s="21" t="str">
        <f>VLOOKUP(A231,'Trips&amp;Operators'!$C$1:$G$99999,5,FALSE)</f>
        <v>YANG JAN</v>
      </c>
      <c r="M231" s="6">
        <f t="shared" si="74"/>
        <v>1.5023148152977228E-2</v>
      </c>
      <c r="N231" s="7">
        <f t="shared" si="70"/>
        <v>21.633333340287209</v>
      </c>
      <c r="O231" s="7"/>
      <c r="P231" s="7"/>
      <c r="Q231" s="22"/>
      <c r="R231" s="22"/>
      <c r="S231" s="31">
        <f t="shared" si="88"/>
        <v>0</v>
      </c>
      <c r="T231" s="46" t="e">
        <f t="shared" si="75"/>
        <v>#VALUE!</v>
      </c>
      <c r="U231" s="18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6" t="str">
        <f t="shared" si="76"/>
        <v>https://d0f6bd738d7f1b3e5a7ca70fe4ff75f0.us-east-1.aws.found.io/app/kibana#/discover/Steve-Slow-Train-Analysis-(2080s-and-2083s)?_g=(refreshInterval:(display:Off,pause:!f,section:0,value:0),time:(from:'2017-03-21T01:36:40-0600',mode:absolute,to:'2017-03-21T05:08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1" s="187" t="str">
        <f t="shared" si="77"/>
        <v>N</v>
      </c>
      <c r="X231" s="187" t="e">
        <f t="shared" si="72"/>
        <v>#VALUE!</v>
      </c>
      <c r="Y231" s="62">
        <f t="shared" si="78"/>
        <v>4.5999999999999999E-2</v>
      </c>
      <c r="Z231" s="62">
        <f t="shared" si="87"/>
        <v>10.729900000000001</v>
      </c>
      <c r="AA231" s="62">
        <f t="shared" si="79"/>
        <v>10.683900000000001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80"/>
        <v>81-20</v>
      </c>
      <c r="AE231" s="85" t="str">
        <f t="shared" si="81"/>
        <v>aws s3 cp s3://rtdc.mdm.uploadarchive.raw/RTDC4063/ "%USERPROFILE%\AppData\Local\Temp\OnboardLogs"\RTDC4063\2017-03-21 --exclude "*" --recursive --include "*20170321*" &amp; "%USERPROFILE%\Documents\GitHub\mrs-test-scripts\Headless Mode &amp; Sideloading\WalkAndUnGZ.bat" "%USERPROFILE%\AppData\Local\Temp\OnboardLogs"\RTDC4063\2017-03-21 &amp; aws s3 cp s3://rtdc.mdm.uploadarchive.raw/RTDC4063/ "%USERPROFILE%\AppData\Local\Temp\OnboardLogs"\RTDC4063\2017-03-22 --exclude "*" --recursive --include "*20170322*" &amp; "%USERPROFILE%\Documents\GitHub\mrs-test-scripts\Headless Mode &amp; Sideloading\WalkAndUnGZ.bat" "%USERPROFILE%\AppData\Local\Temp\OnboardLogs"\RTDC4063\2017-03-22</v>
      </c>
      <c r="AF231" s="82" t="str">
        <f t="shared" si="82"/>
        <v>"C:\Program Files (x86)\AstroGrep\AstroGrep.exe" /e /r /s /spath="%USERPROFILE%\AppData\Local\Temp\OnboardLogs" /stypes="app*4063*20170321*" /stext=" 10:.+((SYSTEM_STATE.+slice.+state.+changed )|(ment ac)|(multiple cpu faults)|(system.+state.+changed )|(\[timeout)|(PRM\|1\|D)|(kpr)|(kdp)|(\|lc)|(penalty))"</v>
      </c>
      <c r="AG231" s="1" t="str">
        <f t="shared" si="83"/>
        <v>Other</v>
      </c>
      <c r="AH231" s="86" t="str">
        <f t="shared" si="84"/>
        <v>"%USERPROFILE%\Documents\GitHub\eaglep3\Utilities\RefineRTDCRunTimes.py" --tripid 81-20 --locoid 4063 --swversion DE.1.0.9.0 --startMP 204:460 --initTime 2017-03-21T02:36:40 --startdatetime 2017-03-21T03:46:55 --delay 1 --endMP 204:107299 --enddatetime 2017-03-21T04:08:33 --enforcementcount 0 &gt;&gt;C:\Users\stu\Documents\GitHub\eaglep3-reporting\EC\2017-03-20-refined-times.txt</v>
      </c>
      <c r="AI231" s="108" t="str">
        <f t="shared" si="85"/>
        <v>echo {"issue":{"subject":"","project_id":79,"tracker_id":40,"status_id":1,"priority_id":2,"assigned_to_id":23,"start_date":"2017-03-21","description":"","custom_fields":[{"id":1,"name":"Subdivision","value":"Other"},{"id":4,"name":"Milepost","value":"10.7299"},{"id":17,"name":"Train ID","value":"81-20"},{"id":16,"name":"Locomotive ID","value":"4063"},{"id":130,"name":"Impact","value":""},{"id":150,"name":"Time of Event (Mountain Time)","value":"04:08:33"},{"id":151,"name":"Denver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86"/>
        <v>start /low /b %USERPROFILE%\Documents\GitHub\eaglep3\Utilities\DownloadLogsFromS3.py --loco 4063 --day 2017-03-21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"%USERPROFILE%\AppData\Local\Temp\OnboardLogs"\RTDC4063\*4063*20170321* | grep -SE "(Enforcement Action)|(\[TIMEOUT)|(CHR.+\|PRM\|1\|D.+(SWITCH|SIGNAL).+UNKNOWN)" - &gt;&gt; 2017-03-20-UncaughtWiMAX.txt</v>
      </c>
    </row>
    <row r="232" spans="1:40" x14ac:dyDescent="0.25">
      <c r="A232" s="33" t="s">
        <v>811</v>
      </c>
      <c r="B232" s="7">
        <v>4063</v>
      </c>
      <c r="C232" s="21" t="s">
        <v>222</v>
      </c>
      <c r="D232" s="21" t="s">
        <v>230</v>
      </c>
      <c r="E232" s="13">
        <v>42814.999259259261</v>
      </c>
      <c r="F232" s="13">
        <v>42815.04996527778</v>
      </c>
      <c r="G232" s="7">
        <v>1</v>
      </c>
      <c r="H232" s="21" t="s">
        <v>507</v>
      </c>
      <c r="I232" s="13">
        <v>42815.076851851853</v>
      </c>
      <c r="J232" s="7">
        <v>0</v>
      </c>
      <c r="K232" s="98" t="str">
        <f t="shared" si="73"/>
        <v>4063/4064</v>
      </c>
      <c r="L232" s="21" t="str">
        <f>VLOOKUP(A232,'Trips&amp;Operators'!$C$1:$G$99999,5,FALSE)</f>
        <v>YANG JAN</v>
      </c>
      <c r="M232" s="6">
        <f t="shared" si="74"/>
        <v>2.6886574072705116E-2</v>
      </c>
      <c r="N232" s="7">
        <f t="shared" si="70"/>
        <v>38.716666664695367</v>
      </c>
      <c r="O232" s="7"/>
      <c r="P232" s="7"/>
      <c r="Q232" s="22"/>
      <c r="R232" s="22"/>
      <c r="S232" s="31">
        <f t="shared" si="88"/>
        <v>0</v>
      </c>
      <c r="T232" s="46" t="e">
        <f t="shared" si="75"/>
        <v>#VALUE!</v>
      </c>
      <c r="U232" s="18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6" t="str">
        <f t="shared" si="76"/>
        <v>https://d0f6bd738d7f1b3e5a7ca70fe4ff75f0.us-east-1.aws.found.io/app/kibana#/discover/Steve-Slow-Train-Analysis-(2080s-and-2083s)?_g=(refreshInterval:(display:Off,pause:!f,section:0,value:0),time:(from:'2017-03-20T22:58:56-0600',mode:absolute,to:'2017-03-21T02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2" s="187" t="str">
        <f t="shared" si="77"/>
        <v>N</v>
      </c>
      <c r="X232" s="187" t="e">
        <f t="shared" si="72"/>
        <v>#VALUE!</v>
      </c>
      <c r="Y232" s="62">
        <f t="shared" si="78"/>
        <v>4.6899999999999997E-2</v>
      </c>
      <c r="Z232" s="62">
        <f t="shared" si="87"/>
        <v>23.330300000000001</v>
      </c>
      <c r="AA232" s="62">
        <f t="shared" si="79"/>
        <v>23.2834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80"/>
        <v>81-20</v>
      </c>
      <c r="AE232" s="85" t="str">
        <f t="shared" si="81"/>
        <v>aws s3 cp s3://rtdc.mdm.uploadarchive.raw/RTDC4063/ "%USERPROFILE%\AppData\Local\Temp\OnboardLogs"\RTDC4063\2017-03-21 --exclude "*" --recursive --include "*20170321*" &amp; "%USERPROFILE%\Documents\GitHub\mrs-test-scripts\Headless Mode &amp; Sideloading\WalkAndUnGZ.bat" "%USERPROFILE%\AppData\Local\Temp\OnboardLogs"\RTDC4063\2017-03-21 &amp; aws s3 cp s3://rtdc.mdm.uploadarchive.raw/RTDC4063/ "%USERPROFILE%\AppData\Local\Temp\OnboardLogs"\RTDC4063\2017-03-22 --exclude "*" --recursive --include "*20170322*" &amp; "%USERPROFILE%\Documents\GitHub\mrs-test-scripts\Headless Mode &amp; Sideloading\WalkAndUnGZ.bat" "%USERPROFILE%\AppData\Local\Temp\OnboardLogs"\RTDC4063\2017-03-22</v>
      </c>
      <c r="AF232" s="82" t="str">
        <f t="shared" si="82"/>
        <v>"C:\Program Files (x86)\AstroGrep\AstroGrep.exe" /e /r /s /spath="%USERPROFILE%\AppData\Local\Temp\OnboardLogs" /stypes="app*4063*20170321*" /stext=" 07:.+((SYSTEM_STATE.+slice.+state.+changed )|(ment ac)|(multiple cpu faults)|(system.+state.+changed )|(\[timeout)|(PRM\|1\|D)|(kpr)|(kdp)|(\|lc)|(penalty))"</v>
      </c>
      <c r="AG232" s="1" t="str">
        <f t="shared" si="83"/>
        <v>Other</v>
      </c>
      <c r="AH232" s="86" t="str">
        <f t="shared" si="84"/>
        <v>"%USERPROFILE%\Documents\GitHub\eaglep3\Utilities\RefineRTDCRunTimes.py" --tripid 81-20 --locoid 4063 --swversion DE.1.0.9.0 --startMP 204:469 --initTime 2017-03-20T23:58:56 --startdatetime 2017-03-21T01:11:57 --delay 1 --endMP 204:233303 --enddatetime 2017-03-21T01:50:40 --enforcementcount 0 &gt;&gt;C:\Users\stu\Documents\GitHub\eaglep3-reporting\EC\2017-03-20-refined-times.txt</v>
      </c>
      <c r="AI232" s="108" t="str">
        <f t="shared" si="85"/>
        <v>echo {"issue":{"subject":"","project_id":79,"tracker_id":40,"status_id":1,"priority_id":2,"assigned_to_id":23,"start_date":"2017-03-21","description":"","custom_fields":[{"id":1,"name":"Subdivision","value":"Other"},{"id":4,"name":"Milepost","value":"23.3303"},{"id":17,"name":"Train ID","value":"81-20"},{"id":16,"name":"Locomotive ID","value":"4063"},{"id":130,"name":"Impact","value":""},{"id":150,"name":"Time of Event (Mountain Time)","value":"01:50:40"},{"id":151,"name":"Denver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86"/>
        <v>start /low /b %USERPROFILE%\Documents\GitHub\eaglep3\Utilities\DownloadLogsFromS3.py --loco 4063 --day 2017-03-21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"%USERPROFILE%\AppData\Local\Temp\OnboardLogs"\RTDC4063\*4063*20170321* | grep -SE "(Enforcement Action)|(\[TIMEOUT)|(CHR.+\|PRM\|1\|D.+(SWITCH|SIGNAL).+UNKNOWN)" - &gt;&gt; 2017-03-20-UncaughtWiMAX.txt</v>
      </c>
    </row>
    <row r="233" spans="1:40" x14ac:dyDescent="0.25">
      <c r="A233" s="33" t="s">
        <v>811</v>
      </c>
      <c r="B233" s="7">
        <v>4064</v>
      </c>
      <c r="C233" s="21" t="s">
        <v>222</v>
      </c>
      <c r="D233" s="21" t="s">
        <v>229</v>
      </c>
      <c r="E233" s="13">
        <v>42815.047905092593</v>
      </c>
      <c r="F233" s="13">
        <v>42815.120636574073</v>
      </c>
      <c r="G233" s="7">
        <v>1</v>
      </c>
      <c r="H233" s="21" t="s">
        <v>217</v>
      </c>
      <c r="I233" s="13">
        <v>42815.142465277779</v>
      </c>
      <c r="J233" s="7">
        <v>0</v>
      </c>
      <c r="K233" s="98" t="str">
        <f t="shared" si="73"/>
        <v>4063/4064</v>
      </c>
      <c r="L233" s="21" t="str">
        <f>VLOOKUP(A233,'Trips&amp;Operators'!$C$1:$G$99999,5,FALSE)</f>
        <v>YANG JAN</v>
      </c>
      <c r="M233" s="6">
        <f t="shared" si="74"/>
        <v>2.1828703705978114E-2</v>
      </c>
      <c r="N233" s="7">
        <f t="shared" si="70"/>
        <v>31.433333336608484</v>
      </c>
      <c r="O233" s="7"/>
      <c r="P233" s="7"/>
      <c r="Q233" s="22"/>
      <c r="R233" s="22"/>
      <c r="S233" s="31">
        <f t="shared" si="88"/>
        <v>0</v>
      </c>
      <c r="T233" s="46" t="e">
        <f t="shared" si="75"/>
        <v>#VALUE!</v>
      </c>
      <c r="U233" s="18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6" t="str">
        <f t="shared" si="76"/>
        <v>https://d0f6bd738d7f1b3e5a7ca70fe4ff75f0.us-east-1.aws.found.io/app/kibana#/discover/Steve-Slow-Train-Analysis-(2080s-and-2083s)?_g=(refreshInterval:(display:Off,pause:!f,section:0,value:0),time:(from:'2017-03-21T00:08:59-0600',mode:absolute,to:'2017-03-21T04:25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3" s="187" t="str">
        <f t="shared" si="77"/>
        <v>N</v>
      </c>
      <c r="X233" s="187" t="e">
        <f t="shared" si="72"/>
        <v>#VALUE!</v>
      </c>
      <c r="Y233" s="62">
        <f t="shared" si="78"/>
        <v>23.2971</v>
      </c>
      <c r="Z233" s="62">
        <f t="shared" si="87"/>
        <v>1.47E-2</v>
      </c>
      <c r="AA233" s="62">
        <f t="shared" si="79"/>
        <v>23.282399999999999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80"/>
        <v>81-20</v>
      </c>
      <c r="AE233" s="85" t="str">
        <f t="shared" si="81"/>
        <v>aws s3 cp s3://rtdc.mdm.uploadarchive.raw/RTDC4064/ "%USERPROFILE%\AppData\Local\Temp\OnboardLogs"\RTDC4064\2017-03-21 --exclude "*" --recursive --include "*20170321*" &amp; "%USERPROFILE%\Documents\GitHub\mrs-test-scripts\Headless Mode &amp; Sideloading\WalkAndUnGZ.bat" "%USERPROFILE%\AppData\Local\Temp\OnboardLogs"\RTDC4064\2017-03-21 &amp; aws s3 cp s3://rtdc.mdm.uploadarchive.raw/RTDC4064/ "%USERPROFILE%\AppData\Local\Temp\OnboardLogs"\RTDC4064\2017-03-22 --exclude "*" --recursive --include "*20170322*" &amp; "%USERPROFILE%\Documents\GitHub\mrs-test-scripts\Headless Mode &amp; Sideloading\WalkAndUnGZ.bat" "%USERPROFILE%\AppData\Local\Temp\OnboardLogs"\RTDC4064\2017-03-22</v>
      </c>
      <c r="AF233" s="82" t="str">
        <f t="shared" si="82"/>
        <v>"C:\Program Files (x86)\AstroGrep\AstroGrep.exe" /e /r /s /spath="%USERPROFILE%\AppData\Local\Temp\OnboardLogs" /stypes="app*4064*20170321*" /stext=" 09:.+((SYSTEM_STATE.+slice.+state.+changed )|(ment ac)|(multiple cpu faults)|(system.+state.+changed )|(\[timeout)|(PRM\|1\|D)|(kpr)|(kdp)|(\|lc)|(penalty))"</v>
      </c>
      <c r="AG233" s="1" t="str">
        <f t="shared" si="83"/>
        <v>Other</v>
      </c>
      <c r="AH233" s="86" t="str">
        <f t="shared" si="84"/>
        <v>"%USERPROFILE%\Documents\GitHub\eaglep3\Utilities\RefineRTDCRunTimes.py" --tripid 81-20 --locoid 4064 --swversion DE.1.0.9.0 --startMP 204:232971 --initTime 2017-03-21T01:08:59 --startdatetime 2017-03-21T02:53:43 --delay 1 --endMP 204:147 --enddatetime 2017-03-21T03:25:09 --enforcementcount 0 &gt;&gt;C:\Users\stu\Documents\GitHub\eaglep3-reporting\EC\2017-03-20-refined-times.txt</v>
      </c>
      <c r="AI233" s="108" t="str">
        <f t="shared" si="85"/>
        <v>echo {"issue":{"subject":"","project_id":79,"tracker_id":40,"status_id":1,"priority_id":2,"assigned_to_id":23,"start_date":"2017-03-21","description":"","custom_fields":[{"id":1,"name":"Subdivision","value":"Other"},{"id":4,"name":"Milepost","value":"0.0147"},{"id":17,"name":"Train ID","value":"81-20"},{"id":16,"name":"Locomotive ID","value":"4064"},{"id":130,"name":"Impact","value":""},{"id":150,"name":"Time of Event (Mountain Time)","value":"03:25:09"},{"id":151,"name":"Denver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86"/>
        <v>start /low /b %USERPROFILE%\Documents\GitHub\eaglep3\Utilities\DownloadLogsFromS3.py --loco 4064 --day 2017-03-21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"%USERPROFILE%\AppData\Local\Temp\OnboardLogs"\RTDC4064\*4064*20170321* | grep -SE "(Enforcement Action)|(\[TIMEOUT)|(CHR.+\|PRM\|1\|D.+(SWITCH|SIGNAL).+UNKNOWN)" - &gt;&gt; 2017-03-20-UncaughtWiMAX.txt</v>
      </c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</sheetData>
  <autoFilter ref="A12:AG268">
    <sortState ref="A13:AG268">
      <sortCondition ref="AG13:AG233"/>
      <sortCondition ref="AD13:AD233"/>
    </sortState>
  </autoFilter>
  <sortState ref="A13:AH200">
    <sortCondition ref="AG13:AG200"/>
    <sortCondition ref="AD13:AD200"/>
  </sortState>
  <mergeCells count="1">
    <mergeCell ref="A11:P11"/>
  </mergeCells>
  <conditionalFormatting sqref="W11:W12 W275:X1048576 W13:X233">
    <cfRule type="cellIs" dxfId="10" priority="370" operator="equal">
      <formula>"Y"</formula>
    </cfRule>
  </conditionalFormatting>
  <conditionalFormatting sqref="X275:X1048576 X13:X233">
    <cfRule type="cellIs" dxfId="9" priority="353" operator="greaterThan">
      <formula>1</formula>
    </cfRule>
  </conditionalFormatting>
  <conditionalFormatting sqref="X275:X1048576 X12:X233">
    <cfRule type="cellIs" dxfId="8" priority="350" operator="equal">
      <formula>0</formula>
    </cfRule>
  </conditionalFormatting>
  <conditionalFormatting sqref="A13:S233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AK13:AK233</xm:sqref>
        </x14:dataValidation>
        <x14:dataValidation type="list" allowBlank="1" showInputMessage="1" showErrorMessage="1">
          <x14:formula1>
            <xm:f>'Redmine List Values'!$C$2:$C$15</xm:f>
          </x14:formula1>
          <xm:sqref>AL13:AL233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8"/>
  <sheetViews>
    <sheetView topLeftCell="A5" workbookViewId="0">
      <selection activeCell="L47" sqref="L47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20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Z1" s="220"/>
      <c r="AC1" s="127"/>
      <c r="AE1" s="154"/>
    </row>
    <row r="2" spans="1:32" s="20" customFormat="1" x14ac:dyDescent="0.25">
      <c r="A2" s="8">
        <v>2</v>
      </c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COUNTIF($O$7:$O$308,"=Y")</f>
        <v>2</v>
      </c>
      <c r="P2" s="122"/>
      <c r="R2" s="83"/>
      <c r="S2" s="90"/>
      <c r="T2" s="80"/>
      <c r="V2" s="44"/>
      <c r="Z2" s="220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COUNTA($O$7:$O$308)-O2</f>
        <v>59</v>
      </c>
      <c r="P3" s="122"/>
      <c r="R3" s="83"/>
      <c r="S3" s="90"/>
      <c r="T3" s="80"/>
      <c r="V3" s="44"/>
      <c r="Z3" s="220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Z4" s="220"/>
      <c r="AC4" s="128"/>
      <c r="AE4" s="154"/>
    </row>
    <row r="5" spans="1:32" s="10" customFormat="1" ht="15" customHeight="1" x14ac:dyDescent="0.25">
      <c r="A5" s="224" t="str">
        <f>"Eagle P3 Braking Events - "&amp;TEXT(Variables!$A$2,"YYYY-mm-dd")</f>
        <v>Eagle P3 Braking Events - 2017-03-20</v>
      </c>
      <c r="B5" s="224"/>
      <c r="C5" s="224"/>
      <c r="D5" s="224"/>
      <c r="E5" s="224"/>
      <c r="F5" s="224"/>
      <c r="G5" s="224"/>
      <c r="H5" s="224"/>
      <c r="I5" s="224"/>
      <c r="J5" s="224"/>
      <c r="K5" s="224"/>
      <c r="L5" s="224"/>
      <c r="M5" s="224"/>
      <c r="N5" s="224"/>
      <c r="O5" s="224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221" t="s">
        <v>148</v>
      </c>
      <c r="AA6" s="118" t="s">
        <v>121</v>
      </c>
      <c r="AB6" s="118" t="s">
        <v>149</v>
      </c>
      <c r="AC6" s="130" t="s">
        <v>173</v>
      </c>
      <c r="AD6" s="119" t="s">
        <v>192</v>
      </c>
      <c r="AE6" s="155" t="s">
        <v>202</v>
      </c>
    </row>
    <row r="7" spans="1:32" s="1" customFormat="1" x14ac:dyDescent="0.25">
      <c r="A7" s="32">
        <v>42814.286412037036</v>
      </c>
      <c r="B7" s="30" t="s">
        <v>424</v>
      </c>
      <c r="C7" s="30" t="s">
        <v>602</v>
      </c>
      <c r="D7" s="30" t="s">
        <v>49</v>
      </c>
      <c r="E7" s="30" t="s">
        <v>193</v>
      </c>
      <c r="F7" s="43">
        <v>0</v>
      </c>
      <c r="G7" s="43">
        <v>231</v>
      </c>
      <c r="H7" s="43">
        <v>26945</v>
      </c>
      <c r="I7" s="43">
        <v>27243</v>
      </c>
      <c r="J7" s="30" t="s">
        <v>194</v>
      </c>
      <c r="K7" s="43">
        <v>27053</v>
      </c>
      <c r="L7" s="143" t="s">
        <v>50</v>
      </c>
      <c r="M7" s="144">
        <f t="shared" ref="M7:M38" si="0">CONVERT((I7-K7)/10000,"mi","ft")*IF(L7="Increasing Mileposts (1)",-1,1)</f>
        <v>-100.32</v>
      </c>
      <c r="N7" s="145" t="str">
        <f>VLOOKUP(C7,'Trips&amp;Operators'!$C$1:$G$99999,5,FALSE)</f>
        <v>WILLIAMS DONTE</v>
      </c>
      <c r="O7" s="194" t="s">
        <v>185</v>
      </c>
      <c r="P7" s="146" t="s">
        <v>597</v>
      </c>
      <c r="Q7" s="30"/>
      <c r="R7" s="89" t="str">
        <f>IF(VLOOKUP(C7,'Train Runs'!$A$13:$AE$9944,1,1)=C7,VLOOKUP(C7,'Train Runs'!$A$13:$AE$9944,31,1),NA())</f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S7" s="92" t="str">
        <f>VLOOKUP(C7,'Train Runs'!$A$13:$AE$9944,22,0)</f>
        <v>https://d0f6bd738d7f1b3e5a7ca70fe4ff75f0.us-east-1.aws.found.io/app/kibana#/discover/Steve-Slow-Train-Analysis-(2080s-and-2083s)?_g=(refreshInterval:(display:Off,pause:!f,section:0,value:0),time:(from:'2017-03-20T05:39:30-0600',mode:absolute,to:'2017-03-20T08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7" s="94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/stypes="*4022*201703201*" /stext=" 12:.+((SYSTEM_STATE.+slice.+state.+changed )|(ment ac)|(multiple cpu faults)|(system.+state.+changed )|(\[timeout)|(PRM\|1\|D)|(kpr)|(kdp)|(\|lc)|(penalty))"</v>
      </c>
      <c r="U7" s="9" t="str">
        <f t="shared" ref="U7:U38" si="2">MID(B7,13,4)</f>
        <v>4022</v>
      </c>
      <c r="V7" s="32">
        <f t="shared" ref="V7:V38" si="3">A7-utc_offset/24</f>
        <v>42814.536412037036</v>
      </c>
      <c r="W7" s="46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8" si="5">IF(AND(E7="TRACK WARRANT AUTHORITY",G7&lt;10),"OMIT","KEEP")</f>
        <v>KEEP</v>
      </c>
      <c r="Y7" s="108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arrival","project_id":79,"tracker_id":40,"status_id":1,"priority_id":2,"assigned_to_id":23,"start_date":"2017-03-20","description":"","custom_fields":[{"id":1,"name":"Subdivision","value":"EC"},{"id":4,"name":"Milepost","value":"2.7053"},{"id":17,"name":"Train ID","value":"125-20"},{"id":16,"name":"Locomotive ID","value":"4022"},{"id":130,"name":"Impact","value":""},{"id":150,"name":"Time of Event (Mountain Time)","value":"06:52:26"},{"id":151,"name":"Denver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22"/>
      <c r="AA7" s="48"/>
      <c r="AB7" s="48"/>
      <c r="AC7" s="127" t="str">
        <f t="shared" ref="AC7:AC27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"%USERPROFILE%\AppData\Local\Temp\OnboardLogs"\RTDC4022\*4022*201703201*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"%USERPROFILE%\AppData\Local\Temp\OnboardLogs"\RTDC4022\*4022*201703201* &gt;&gt; 2017-03-20-SliceDisagreementCheck.txt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4022 --day 2017-03-20</v>
      </c>
    </row>
    <row r="8" spans="1:32" s="1" customFormat="1" x14ac:dyDescent="0.25">
      <c r="A8" s="32">
        <v>42814.765057870369</v>
      </c>
      <c r="B8" s="30" t="s">
        <v>402</v>
      </c>
      <c r="C8" s="30" t="s">
        <v>638</v>
      </c>
      <c r="D8" s="30" t="s">
        <v>49</v>
      </c>
      <c r="E8" s="30" t="s">
        <v>193</v>
      </c>
      <c r="F8" s="43">
        <v>0</v>
      </c>
      <c r="G8" s="43">
        <v>291</v>
      </c>
      <c r="H8" s="43">
        <v>26517</v>
      </c>
      <c r="I8" s="43">
        <v>26962</v>
      </c>
      <c r="J8" s="30" t="s">
        <v>194</v>
      </c>
      <c r="K8" s="43">
        <v>27053</v>
      </c>
      <c r="L8" s="143" t="s">
        <v>50</v>
      </c>
      <c r="M8" s="144">
        <f t="shared" si="0"/>
        <v>48.048000000000002</v>
      </c>
      <c r="N8" s="145" t="str">
        <f>VLOOKUP(C8,'Trips&amp;Operators'!$C$1:$G$99999,5,FALSE)</f>
        <v>STAMBAUGH JAMES</v>
      </c>
      <c r="O8" s="194" t="s">
        <v>185</v>
      </c>
      <c r="P8" s="146" t="s">
        <v>597</v>
      </c>
      <c r="Q8" s="30"/>
      <c r="R8" s="89" t="str">
        <f>IF(VLOOKUP(C8,'Train Runs'!$A$13:$AE$9944,1,1)=C8,VLOOKUP(C8,'Train Runs'!$A$13:$AE$9944,31,1),NA())</f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S8" s="92" t="str">
        <f>VLOOKUP(C8,'Train Runs'!$A$13:$AE$9944,22,0)</f>
        <v>https://d0f6bd738d7f1b3e5a7ca70fe4ff75f0.us-east-1.aws.found.io/app/kibana#/discover/Steve-Slow-Train-Analysis-(2080s-and-2083s)?_g=(refreshInterval:(display:Off,pause:!f,section:0,value:0),time:(from:'2017-03-20T17:10:38-0600',mode:absolute,to:'2017-03-20T19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8" s="94" t="str">
        <f t="shared" si="1"/>
        <v>"C:\Program Files (x86)\AstroGrep\AstroGrep.exe" /e /r /s /spath="%USERPROFILE%\AppData\Local\Temp\OnboardLogs" /stypes="*4027*201703210*" /stext=" 00:.+((SYSTEM_STATE.+slice.+state.+changed )|(ment ac)|(multiple cpu faults)|(system.+state.+changed )|(\[timeout)|(PRM\|1\|D)|(kpr)|(kdp)|(\|lc)|(penalty))"</v>
      </c>
      <c r="U8" s="9" t="str">
        <f t="shared" si="2"/>
        <v>4027</v>
      </c>
      <c r="V8" s="32">
        <f t="shared" si="3"/>
        <v>42815.015057870369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arrival","project_id":79,"tracker_id":40,"status_id":1,"priority_id":2,"assigned_to_id":23,"start_date":"2017-03-20","description":"","custom_fields":[{"id":1,"name":"Subdivision","value":"EC"},{"id":4,"name":"Milepost","value":"2.7053"},{"id":17,"name":"Train ID","value":"217-20"},{"id":16,"name":"Locomotive ID","value":"4027"},{"id":130,"name":"Impact","value":""},{"id":150,"name":"Time of Event (Mountain Time)","value":"18:21:41"},{"id":151,"name":"Denver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22"/>
      <c r="AA8" s="48"/>
      <c r="AB8" s="48"/>
      <c r="AC8" s="127" t="str">
        <f t="shared" si="7"/>
        <v>grep -hSE -A400 "Enforcement Action" "%USERPROFILE%\AppData\Local\Temp\OnboardLogs"\RTDC4027\*4027*201703210*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"%USERPROFILE%\AppData\Local\Temp\OnboardLogs"\RTDC4027\*4027*201703210* &gt;&gt; 2017-03-20-SliceDisagreementCheck.txt</v>
      </c>
      <c r="AE8" s="157" t="str">
        <f t="shared" ref="AE8:AE68" si="9">"start /low /b "&amp;dls3logs&amp;" --loco "&amp;U8&amp;" --day "&amp;TEXT(V8,"YYYY-MM-DD")</f>
        <v>start /low /b %USERPROFILE%\Documents\GitHub\eaglep3\Utilities\DownloadLogsFromS3.py --loco 4027 --day 2017-03-21</v>
      </c>
    </row>
    <row r="9" spans="1:32" s="1" customFormat="1" x14ac:dyDescent="0.25">
      <c r="A9" s="32">
        <v>42814.796701388892</v>
      </c>
      <c r="B9" s="30" t="s">
        <v>424</v>
      </c>
      <c r="C9" s="30" t="s">
        <v>640</v>
      </c>
      <c r="D9" s="30" t="s">
        <v>49</v>
      </c>
      <c r="E9" s="30" t="s">
        <v>193</v>
      </c>
      <c r="F9" s="43">
        <v>0</v>
      </c>
      <c r="G9" s="43">
        <v>220</v>
      </c>
      <c r="H9" s="43">
        <v>26997</v>
      </c>
      <c r="I9" s="43">
        <v>27311</v>
      </c>
      <c r="J9" s="30" t="s">
        <v>194</v>
      </c>
      <c r="K9" s="43">
        <v>27053</v>
      </c>
      <c r="L9" s="143" t="s">
        <v>50</v>
      </c>
      <c r="M9" s="144">
        <f t="shared" si="0"/>
        <v>-136.22399999999999</v>
      </c>
      <c r="N9" s="145" t="str">
        <f>VLOOKUP(C9,'Trips&amp;Operators'!$C$1:$G$99999,5,FALSE)</f>
        <v>CHANDLER KELVIN</v>
      </c>
      <c r="O9" s="194" t="s">
        <v>185</v>
      </c>
      <c r="P9" s="146" t="s">
        <v>597</v>
      </c>
      <c r="Q9" s="30"/>
      <c r="R9" s="89" t="str">
        <f>IF(VLOOKUP(C9,'Train Runs'!$A$13:$AE$9944,1,1)=C9,VLOOKUP(C9,'Train Runs'!$A$13:$AE$9944,31,1),NA())</f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S9" s="92" t="str">
        <f>VLOOKUP(C9,'Train Runs'!$A$13:$AE$9944,22,0)</f>
        <v>https://d0f6bd738d7f1b3e5a7ca70fe4ff75f0.us-east-1.aws.found.io/app/kibana#/discover/Steve-Slow-Train-Analysis-(2080s-and-2083s)?_g=(refreshInterval:(display:Off,pause:!f,section:0,value:0),time:(from:'2017-03-20T17:59:10-0600',mode:absolute,to:'2017-03-20T20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9" s="94" t="str">
        <f t="shared" si="1"/>
        <v>"C:\Program Files (x86)\AstroGrep\AstroGrep.exe" /e /r /s /spath="%USERPROFILE%\AppData\Local\Temp\OnboardLogs" /stypes="*4022*201703210*" /stext=" 01:.+((SYSTEM_STATE.+slice.+state.+changed )|(ment ac)|(multiple cpu faults)|(system.+state.+changed )|(\[timeout)|(PRM\|1\|D)|(kpr)|(kdp)|(\|lc)|(penalty))"</v>
      </c>
      <c r="U9" s="9" t="str">
        <f t="shared" si="2"/>
        <v>4022</v>
      </c>
      <c r="V9" s="32">
        <f t="shared" si="3"/>
        <v>42815.046701388892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arrival","project_id":79,"tracker_id":40,"status_id":1,"priority_id":2,"assigned_to_id":23,"start_date":"2017-03-20","description":"","custom_fields":[{"id":1,"name":"Subdivision","value":"EC"},{"id":4,"name":"Milepost","value":"2.7053"},{"id":17,"name":"Train ID","value":"221-20"},{"id":16,"name":"Locomotive ID","value":"4022"},{"id":130,"name":"Impact","value":""},{"id":150,"name":"Time of Event (Mountain Time)","value":"19:07:15"},{"id":151,"name":"Denver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22"/>
      <c r="AA9" s="48"/>
      <c r="AB9" s="48"/>
      <c r="AC9" s="127" t="str">
        <f t="shared" si="7"/>
        <v>grep -hSE -A400 "Enforcement Action" "%USERPROFILE%\AppData\Local\Temp\OnboardLogs"\RTDC4022\*4022*201703210*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"%USERPROFILE%\AppData\Local\Temp\OnboardLogs"\RTDC4022\*4022*201703210* &gt;&gt; 2017-03-20-SliceDisagreementCheck.txt</v>
      </c>
      <c r="AE9" s="157" t="str">
        <f t="shared" si="9"/>
        <v>start /low /b %USERPROFILE%\Documents\GitHub\eaglep3\Utilities\DownloadLogsFromS3.py --loco 4022 --day 2017-03-21</v>
      </c>
    </row>
    <row r="10" spans="1:32" s="1" customFormat="1" x14ac:dyDescent="0.25">
      <c r="A10" s="32">
        <v>42814.775324074071</v>
      </c>
      <c r="B10" s="30" t="s">
        <v>526</v>
      </c>
      <c r="C10" s="30" t="s">
        <v>639</v>
      </c>
      <c r="D10" s="30" t="s">
        <v>49</v>
      </c>
      <c r="E10" s="30" t="s">
        <v>193</v>
      </c>
      <c r="F10" s="43">
        <v>190</v>
      </c>
      <c r="G10" s="43">
        <v>284</v>
      </c>
      <c r="H10" s="43">
        <v>26138</v>
      </c>
      <c r="I10" s="43">
        <v>26610</v>
      </c>
      <c r="J10" s="30" t="s">
        <v>194</v>
      </c>
      <c r="K10" s="43">
        <v>27053</v>
      </c>
      <c r="L10" s="143" t="s">
        <v>50</v>
      </c>
      <c r="M10" s="144">
        <f t="shared" si="0"/>
        <v>233.904</v>
      </c>
      <c r="N10" s="145" t="str">
        <f>VLOOKUP(C10,'Trips&amp;Operators'!$C$1:$G$99999,5,FALSE)</f>
        <v>STORY SAMANTHA</v>
      </c>
      <c r="O10" s="194" t="s">
        <v>185</v>
      </c>
      <c r="P10" s="146" t="s">
        <v>597</v>
      </c>
      <c r="Q10" s="30"/>
      <c r="R10" s="89" t="str">
        <f>IF(VLOOKUP(C10,'Train Runs'!$A$13:$AE$9944,1,1)=C10,VLOOKUP(C10,'Train Runs'!$A$13:$AE$9944,31,1),NA())</f>
        <v>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 &amp; 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</v>
      </c>
      <c r="S10" s="92" t="str">
        <f>VLOOKUP(C10,'Train Runs'!$A$13:$AE$9944,22,0)</f>
        <v>https://d0f6bd738d7f1b3e5a7ca70fe4ff75f0.us-east-1.aws.found.io/app/kibana#/discover/Steve-Slow-Train-Analysis-(2080s-and-2083s)?_g=(refreshInterval:(display:Off,pause:!f,section:0,value:0),time:(from:'2017-03-20T17:27:32-0600',mode:absolute,to:'2017-03-20T20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0" s="94" t="str">
        <f t="shared" si="1"/>
        <v>"C:\Program Files (x86)\AstroGrep\AstroGrep.exe" /e /r /s /spath="%USERPROFILE%\AppData\Local\Temp\OnboardLogs" /stypes="*4003*201703210*" /stext=" 00:.+((SYSTEM_STATE.+slice.+state.+changed )|(ment ac)|(multiple cpu faults)|(system.+state.+changed )|(\[timeout)|(PRM\|1\|D)|(kpr)|(kdp)|(\|lc)|(penalty))"</v>
      </c>
      <c r="U10" s="9" t="str">
        <f t="shared" si="2"/>
        <v>4003</v>
      </c>
      <c r="V10" s="32">
        <f t="shared" si="3"/>
        <v>42815.025324074071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arrival","project_id":79,"tracker_id":40,"status_id":1,"priority_id":2,"assigned_to_id":23,"start_date":"2017-03-20","description":"","custom_fields":[{"id":1,"name":"Subdivision","value":"EC"},{"id":4,"name":"Milepost","value":"2.7053"},{"id":17,"name":"Train ID","value":"219-20"},{"id":16,"name":"Locomotive ID","value":"4003"},{"id":130,"name":"Impact","value":""},{"id":150,"name":"Time of Event (Mountain Time)","value":"18:36:28"},{"id":151,"name":"Denver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22"/>
      <c r="AA10" s="48"/>
      <c r="AB10" s="48"/>
      <c r="AC10" s="127" t="str">
        <f t="shared" si="7"/>
        <v>grep -hSE -A400 "Enforcement Action" "%USERPROFILE%\AppData\Local\Temp\OnboardLogs"\RTDC4003\*4003*201703210*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"%USERPROFILE%\AppData\Local\Temp\OnboardLogs"\RTDC4003\*4003*201703210* &gt;&gt; 2017-03-20-SliceDisagreementCheck.txt</v>
      </c>
      <c r="AE10" s="157" t="str">
        <f t="shared" si="9"/>
        <v>start /low /b %USERPROFILE%\Documents\GitHub\eaglep3\Utilities\DownloadLogsFromS3.py --loco 4003 --day 2017-03-21</v>
      </c>
    </row>
    <row r="11" spans="1:32" s="1" customFormat="1" x14ac:dyDescent="0.25">
      <c r="A11" s="32">
        <v>42814.457013888888</v>
      </c>
      <c r="B11" s="30" t="s">
        <v>401</v>
      </c>
      <c r="C11" s="30" t="s">
        <v>622</v>
      </c>
      <c r="D11" s="30" t="s">
        <v>49</v>
      </c>
      <c r="E11" s="30" t="s">
        <v>193</v>
      </c>
      <c r="F11" s="43">
        <v>0</v>
      </c>
      <c r="G11" s="43">
        <v>129</v>
      </c>
      <c r="H11" s="43">
        <v>27379</v>
      </c>
      <c r="I11" s="43">
        <v>27273</v>
      </c>
      <c r="J11" s="30" t="s">
        <v>194</v>
      </c>
      <c r="K11" s="43">
        <v>27350</v>
      </c>
      <c r="L11" s="143" t="s">
        <v>51</v>
      </c>
      <c r="M11" s="144">
        <f t="shared" si="0"/>
        <v>-40.655999999999999</v>
      </c>
      <c r="N11" s="145" t="str">
        <f>VLOOKUP(C11,'Trips&amp;Operators'!$C$1:$G$99999,5,FALSE)</f>
        <v>STARKS ANGELINA</v>
      </c>
      <c r="O11" s="194" t="s">
        <v>185</v>
      </c>
      <c r="P11" s="146" t="s">
        <v>597</v>
      </c>
      <c r="Q11" s="30"/>
      <c r="R11" s="89" t="str">
        <f>IF(VLOOKUP(C11,'Train Runs'!$A$13:$AE$9944,1,1)=C11,VLOOKUP(C11,'Train Runs'!$A$13:$AE$9944,31,1),NA())</f>
        <v>aws s3 cp s3://rtdc.mdm.uploadarchive.raw/RTDC4028/ "%USERPROFILE%\AppData\Local\Temp\OnboardLogs"\RTDC4028\2017-03-20 --exclude "*" --recursive --include "*20170320*" &amp; "%USERPROFILE%\Documents\GitHub\mrs-test-scripts\Headless Mode &amp; Sideloading\WalkAndUnGZ.bat" "%USERPROFILE%\AppData\Local\Temp\OnboardLogs"\RTDC4028\2017-03-20 &amp; aws s3 cp s3://rtdc.mdm.uploadarchive.raw/RTDC4028/ "%USERPROFILE%\AppData\Local\Temp\OnboardLogs"\RTDC4028\2017-03-21 --exclude "*" --recursive --include "*20170321*" &amp; "%USERPROFILE%\Documents\GitHub\mrs-test-scripts\Headless Mode &amp; Sideloading\WalkAndUnGZ.bat" "%USERPROFILE%\AppData\Local\Temp\OnboardLogs"\RTDC4028\2017-03-21</v>
      </c>
      <c r="S11" s="92" t="str">
        <f>VLOOKUP(C11,'Train Runs'!$A$13:$AE$9944,22,0)</f>
        <v>https://d0f6bd738d7f1b3e5a7ca70fe4ff75f0.us-east-1.aws.found.io/app/kibana#/discover/Steve-Slow-Train-Analysis-(2080s-and-2083s)?_g=(refreshInterval:(display:Off,pause:!f,section:0,value:0),time:(from:'2017-03-20T09:23:36-0600',mode:absolute,to:'2017-03-20T12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1" s="94" t="str">
        <f t="shared" si="1"/>
        <v>"C:\Program Files (x86)\AstroGrep\AstroGrep.exe" /e /r /s /spath="%USERPROFILE%\AppData\Local\Temp\OnboardLogs" /stypes="*4028*201703201*" /stext=" 16:.+((SYSTEM_STATE.+slice.+state.+changed )|(ment ac)|(multiple cpu faults)|(system.+state.+changed )|(\[timeout)|(PRM\|1\|D)|(kpr)|(kdp)|(\|lc)|(penalty))"</v>
      </c>
      <c r="U11" s="9" t="str">
        <f t="shared" si="2"/>
        <v>4028</v>
      </c>
      <c r="V11" s="32">
        <f t="shared" si="3"/>
        <v>42814.707013888888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arrival","project_id":79,"tracker_id":40,"status_id":1,"priority_id":2,"assigned_to_id":23,"start_date":"2017-03-20","description":"","custom_fields":[{"id":1,"name":"Subdivision","value":"EC"},{"id":4,"name":"Milepost","value":"2.735"},{"id":17,"name":"Train ID","value":"148-20"},{"id":16,"name":"Locomotive ID","value":"4028"},{"id":130,"name":"Impact","value":""},{"id":150,"name":"Time of Event (Mountain Time)","value":"10:58:06"},{"id":151,"name":"Denver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22"/>
      <c r="AA11" s="48"/>
      <c r="AB11" s="48"/>
      <c r="AC11" s="127" t="str">
        <f t="shared" si="7"/>
        <v>grep -hSE -A400 "Enforcement Action" "%USERPROFILE%\AppData\Local\Temp\OnboardLogs"\RTDC4028\*4028*201703201*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"%USERPROFILE%\AppData\Local\Temp\OnboardLogs"\RTDC4028\*4028*201703201* &gt;&gt; 2017-03-20-SliceDisagreementCheck.txt</v>
      </c>
      <c r="AE11" s="157" t="str">
        <f t="shared" si="9"/>
        <v>start /low /b %USERPROFILE%\Documents\GitHub\eaglep3\Utilities\DownloadLogsFromS3.py --loco 4028 --day 2017-03-20</v>
      </c>
    </row>
    <row r="12" spans="1:32" s="1" customFormat="1" x14ac:dyDescent="0.25">
      <c r="A12" s="32">
        <v>42814.269108796296</v>
      </c>
      <c r="B12" s="30" t="s">
        <v>421</v>
      </c>
      <c r="C12" s="30" t="s">
        <v>600</v>
      </c>
      <c r="D12" s="30" t="s">
        <v>49</v>
      </c>
      <c r="E12" s="30" t="s">
        <v>193</v>
      </c>
      <c r="F12" s="43">
        <v>10</v>
      </c>
      <c r="G12" s="43">
        <v>72</v>
      </c>
      <c r="H12" s="43">
        <v>27429</v>
      </c>
      <c r="I12" s="43">
        <v>27355</v>
      </c>
      <c r="J12" s="30" t="s">
        <v>194</v>
      </c>
      <c r="K12" s="43">
        <v>27350</v>
      </c>
      <c r="L12" s="143" t="s">
        <v>51</v>
      </c>
      <c r="M12" s="144">
        <f t="shared" si="0"/>
        <v>2.64</v>
      </c>
      <c r="N12" s="145" t="str">
        <f>VLOOKUP(C12,'Trips&amp;Operators'!$C$1:$G$99999,5,FALSE)</f>
        <v>MENGES BRAD</v>
      </c>
      <c r="O12" s="194" t="s">
        <v>185</v>
      </c>
      <c r="P12" s="146" t="s">
        <v>597</v>
      </c>
      <c r="Q12" s="30"/>
      <c r="R12" s="89" t="str">
        <f>IF(VLOOKUP(C12,'Train Runs'!$A$13:$AE$9944,1,1)=C12,VLOOKUP(C12,'Train Runs'!$A$13:$AE$9944,31,1),NA())</f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S12" s="92" t="str">
        <f>VLOOKUP(C12,'Train Runs'!$A$13:$AE$9944,22,0)</f>
        <v>https://d0f6bd738d7f1b3e5a7ca70fe4ff75f0.us-east-1.aws.found.io/app/kibana#/discover/Steve-Slow-Train-Analysis-(2080s-and-2083s)?_g=(refreshInterval:(display:Off,pause:!f,section:0,value:0),time:(from:'2017-03-20T04:38:00-0600',mode:absolute,to:'2017-03-20T07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2" s="94" t="str">
        <f t="shared" si="1"/>
        <v>"C:\Program Files (x86)\AstroGrep\AstroGrep.exe" /e /r /s /spath="%USERPROFILE%\AppData\Local\Temp\OnboardLogs" /stypes="*4021*201703201*" /stext=" 12:.+((SYSTEM_STATE.+slice.+state.+changed )|(ment ac)|(multiple cpu faults)|(system.+state.+changed )|(\[timeout)|(PRM\|1\|D)|(kpr)|(kdp)|(\|lc)|(penalty))"</v>
      </c>
      <c r="U12" s="9" t="str">
        <f t="shared" si="2"/>
        <v>4021</v>
      </c>
      <c r="V12" s="32">
        <f t="shared" si="3"/>
        <v>42814.519108796296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arrival","project_id":79,"tracker_id":40,"status_id":1,"priority_id":2,"assigned_to_id":23,"start_date":"2017-03-20","description":"","custom_fields":[{"id":1,"name":"Subdivision","value":"EC"},{"id":4,"name":"Milepost","value":"2.735"},{"id":17,"name":"Train ID","value":"112-20"},{"id":16,"name":"Locomotive ID","value":"4021"},{"id":130,"name":"Impact","value":""},{"id":150,"name":"Time of Event (Mountain Time)","value":"06:27:31"},{"id":151,"name":"Denver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22"/>
      <c r="AA12" s="48"/>
      <c r="AB12" s="48"/>
      <c r="AC12" s="127" t="str">
        <f t="shared" si="7"/>
        <v>grep -hSE -A400 "Enforcement Action" "%USERPROFILE%\AppData\Local\Temp\OnboardLogs"\RTDC4021\*4021*201703201*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"%USERPROFILE%\AppData\Local\Temp\OnboardLogs"\RTDC4021\*4021*201703201* &gt;&gt; 2017-03-20-SliceDisagreementCheck.txt</v>
      </c>
      <c r="AE12" s="157" t="str">
        <f t="shared" si="9"/>
        <v>start /low /b %USERPROFILE%\Documents\GitHub\eaglep3\Utilities\DownloadLogsFromS3.py --loco 4021 --day 2017-03-20</v>
      </c>
    </row>
    <row r="13" spans="1:32" s="1" customFormat="1" x14ac:dyDescent="0.25">
      <c r="A13" s="32">
        <v>42814.290821759256</v>
      </c>
      <c r="B13" s="30" t="s">
        <v>411</v>
      </c>
      <c r="C13" s="30" t="s">
        <v>603</v>
      </c>
      <c r="D13" s="30" t="s">
        <v>98</v>
      </c>
      <c r="E13" s="30" t="s">
        <v>193</v>
      </c>
      <c r="F13" s="43">
        <v>110</v>
      </c>
      <c r="G13" s="43">
        <v>160</v>
      </c>
      <c r="H13" s="43">
        <v>27335</v>
      </c>
      <c r="I13" s="43">
        <v>27199</v>
      </c>
      <c r="J13" s="30" t="s">
        <v>194</v>
      </c>
      <c r="K13" s="43">
        <v>27350</v>
      </c>
      <c r="L13" s="143" t="s">
        <v>51</v>
      </c>
      <c r="M13" s="144">
        <f t="shared" si="0"/>
        <v>-79.727999999999994</v>
      </c>
      <c r="N13" s="145" t="str">
        <f>VLOOKUP(C13,'Trips&amp;Operators'!$C$1:$G$99999,5,FALSE)</f>
        <v>ROBINSON KADDIBA</v>
      </c>
      <c r="O13" s="194" t="s">
        <v>185</v>
      </c>
      <c r="P13" s="146" t="s">
        <v>597</v>
      </c>
      <c r="Q13" s="30"/>
      <c r="R13" s="89" t="str">
        <f>IF(VLOOKUP(C13,'Train Runs'!$A$13:$AE$9944,1,1)=C13,VLOOKUP(C13,'Train Runs'!$A$13:$AE$9944,31,1),NA())</f>
        <v>aws s3 cp s3://rtdc.mdm.uploadarchive.raw/RTDC4045/ "%USERPROFILE%\AppData\Local\Temp\OnboardLogs"\RTDC4045\2017-03-20 --exclude "*" --recursive --include "*20170320*" &amp; "%USERPROFILE%\Documents\GitHub\mrs-test-scripts\Headless Mode &amp; Sideloading\WalkAndUnGZ.bat" "%USERPROFILE%\AppData\Local\Temp\OnboardLogs"\RTDC4045\2017-03-20 &amp; aws s3 cp s3://rtdc.mdm.uploadarchive.raw/RTDC4045/ "%USERPROFILE%\AppData\Local\Temp\OnboardLogs"\RTDC4045\2017-03-21 --exclude "*" --recursive --include "*20170321*" &amp; "%USERPROFILE%\Documents\GitHub\mrs-test-scripts\Headless Mode &amp; Sideloading\WalkAndUnGZ.bat" "%USERPROFILE%\AppData\Local\Temp\OnboardLogs"\RTDC4045\2017-03-21</v>
      </c>
      <c r="S13" s="92" t="str">
        <f>VLOOKUP(C13,'Train Runs'!$A$13:$AE$9944,22,0)</f>
        <v>https://d0f6bd738d7f1b3e5a7ca70fe4ff75f0.us-east-1.aws.found.io/app/kibana#/discover/Steve-Slow-Train-Analysis-(2080s-and-2083s)?_g=(refreshInterval:(display:Off,pause:!f,section:0,value:0),time:(from:'2017-03-20T05:17:33-0600',mode:absolute,to:'2017-03-20T08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3" s="94" t="str">
        <f t="shared" si="1"/>
        <v>"C:\Program Files (x86)\AstroGrep\AstroGrep.exe" /e /r /s /spath="%USERPROFILE%\AppData\Local\Temp\OnboardLogs" /stypes="*4045*201703201*" /stext=" 12:.+((SYSTEM_STATE.+slice.+state.+changed )|(ment ac)|(multiple cpu faults)|(system.+state.+changed )|(\[timeout)|(PRM\|1\|D)|(kpr)|(kdp)|(\|lc)|(penalty))"</v>
      </c>
      <c r="U13" s="9" t="str">
        <f t="shared" si="2"/>
        <v>4045</v>
      </c>
      <c r="V13" s="32">
        <f t="shared" si="3"/>
        <v>42814.540821759256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arrival","project_id":79,"tracker_id":40,"status_id":1,"priority_id":2,"assigned_to_id":23,"start_date":"2017-03-20","description":"","custom_fields":[{"id":1,"name":"Subdivision","value":"EC"},{"id":4,"name":"Milepost","value":"2.735"},{"id":17,"name":"Train ID","value":"116-20"},{"id":16,"name":"Locomotive ID","value":"4045"},{"id":130,"name":"Impact","value":""},{"id":150,"name":"Time of Event (Mountain Time)","value":"06:58:47"},{"id":151,"name":"Denver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22"/>
      <c r="AA13" s="48"/>
      <c r="AB13" s="48"/>
      <c r="AC13" s="127" t="str">
        <f t="shared" si="7"/>
        <v>grep -hSE -A400 "Enforcement Action" "%USERPROFILE%\AppData\Local\Temp\OnboardLogs"\RTDC4045\*4045*201703201*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"%USERPROFILE%\AppData\Local\Temp\OnboardLogs"\RTDC4045\*4045*201703201* &gt;&gt; 2017-03-20-SliceDisagreementCheck.txt</v>
      </c>
      <c r="AE13" s="157" t="str">
        <f t="shared" si="9"/>
        <v>start /low /b %USERPROFILE%\Documents\GitHub\eaglep3\Utilities\DownloadLogsFromS3.py --loco 4045 --day 2017-03-20</v>
      </c>
    </row>
    <row r="14" spans="1:32" x14ac:dyDescent="0.25">
      <c r="A14" s="32">
        <v>42814.268645833334</v>
      </c>
      <c r="B14" s="30" t="s">
        <v>421</v>
      </c>
      <c r="C14" s="30" t="s">
        <v>600</v>
      </c>
      <c r="D14" s="30" t="s">
        <v>49</v>
      </c>
      <c r="E14" s="30" t="s">
        <v>193</v>
      </c>
      <c r="F14" s="43">
        <v>130</v>
      </c>
      <c r="G14" s="43">
        <v>181</v>
      </c>
      <c r="H14" s="43">
        <v>27691</v>
      </c>
      <c r="I14" s="43">
        <v>27450</v>
      </c>
      <c r="J14" s="30" t="s">
        <v>194</v>
      </c>
      <c r="K14" s="43">
        <v>27350</v>
      </c>
      <c r="L14" s="143" t="s">
        <v>51</v>
      </c>
      <c r="M14" s="144">
        <f t="shared" si="0"/>
        <v>52.8</v>
      </c>
      <c r="N14" s="145" t="str">
        <f>VLOOKUP(C14,'Trips&amp;Operators'!$C$1:$G$99999,5,FALSE)</f>
        <v>MENGES BRAD</v>
      </c>
      <c r="O14" s="194" t="s">
        <v>185</v>
      </c>
      <c r="P14" s="146" t="s">
        <v>597</v>
      </c>
      <c r="Q14" s="30"/>
      <c r="R14" s="89" t="str">
        <f>IF(VLOOKUP(C14,'Train Runs'!$A$13:$AE$9944,1,1)=C14,VLOOKUP(C14,'Train Runs'!$A$13:$AE$9944,31,1),NA())</f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S14" s="92" t="str">
        <f>VLOOKUP(C14,'Train Runs'!$A$13:$AE$9944,22,0)</f>
        <v>https://d0f6bd738d7f1b3e5a7ca70fe4ff75f0.us-east-1.aws.found.io/app/kibana#/discover/Steve-Slow-Train-Analysis-(2080s-and-2083s)?_g=(refreshInterval:(display:Off,pause:!f,section:0,value:0),time:(from:'2017-03-20T04:38:00-0600',mode:absolute,to:'2017-03-20T07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4" s="94" t="str">
        <f t="shared" si="1"/>
        <v>"C:\Program Files (x86)\AstroGrep\AstroGrep.exe" /e /r /s /spath="%USERPROFILE%\AppData\Local\Temp\OnboardLogs" /stypes="*4021*201703201*" /stext=" 12:.+((SYSTEM_STATE.+slice.+state.+changed )|(ment ac)|(multiple cpu faults)|(system.+state.+changed )|(\[timeout)|(PRM\|1\|D)|(kpr)|(kdp)|(\|lc)|(penalty))"</v>
      </c>
      <c r="U14" s="9" t="str">
        <f t="shared" si="2"/>
        <v>4021</v>
      </c>
      <c r="V14" s="32">
        <f t="shared" si="3"/>
        <v>42814.518645833334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arrival","project_id":79,"tracker_id":40,"status_id":1,"priority_id":2,"assigned_to_id":23,"start_date":"2017-03-20","description":"","custom_fields":[{"id":1,"name":"Subdivision","value":"EC"},{"id":4,"name":"Milepost","value":"2.735"},{"id":17,"name":"Train ID","value":"112-20"},{"id":16,"name":"Locomotive ID","value":"4021"},{"id":130,"name":"Impact","value":""},{"id":150,"name":"Time of Event (Mountain Time)","value":"06:26:51"},{"id":151,"name":"Denver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22"/>
      <c r="AA14" s="48"/>
      <c r="AB14" s="48"/>
      <c r="AC14" s="127" t="str">
        <f t="shared" si="7"/>
        <v>grep -hSE -A400 "Enforcement Action" "%USERPROFILE%\AppData\Local\Temp\OnboardLogs"\RTDC4021\*4021*201703201*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"%USERPROFILE%\AppData\Local\Temp\OnboardLogs"\RTDC4021\*4021*201703201* &gt;&gt; 2017-03-20-SliceDisagreementCheck.txt</v>
      </c>
      <c r="AE14" s="157" t="str">
        <f t="shared" si="9"/>
        <v>start /low /b %USERPROFILE%\Documents\GitHub\eaglep3\Utilities\DownloadLogsFromS3.py --loco 4021 --day 2017-03-20</v>
      </c>
      <c r="AF14" s="1"/>
    </row>
    <row r="15" spans="1:32" x14ac:dyDescent="0.25">
      <c r="A15" s="32">
        <v>42814.352337962962</v>
      </c>
      <c r="B15" s="30" t="s">
        <v>530</v>
      </c>
      <c r="C15" s="30" t="s">
        <v>613</v>
      </c>
      <c r="D15" s="30" t="s">
        <v>98</v>
      </c>
      <c r="E15" s="30" t="s">
        <v>193</v>
      </c>
      <c r="F15" s="43">
        <v>160</v>
      </c>
      <c r="G15" s="43">
        <v>221</v>
      </c>
      <c r="H15" s="43">
        <v>27006</v>
      </c>
      <c r="I15" s="43">
        <v>26506</v>
      </c>
      <c r="J15" s="30" t="s">
        <v>194</v>
      </c>
      <c r="K15" s="43">
        <v>27350</v>
      </c>
      <c r="L15" s="143" t="s">
        <v>51</v>
      </c>
      <c r="M15" s="144">
        <f t="shared" si="0"/>
        <v>-445.63200000000001</v>
      </c>
      <c r="N15" s="145" t="str">
        <f>VLOOKUP(C15,'Trips&amp;Operators'!$C$1:$G$99999,5,FALSE)</f>
        <v>SANTIZO D. EDY</v>
      </c>
      <c r="O15" s="194" t="s">
        <v>185</v>
      </c>
      <c r="P15" s="146" t="s">
        <v>597</v>
      </c>
      <c r="Q15" s="30"/>
      <c r="R15" s="89" t="str">
        <f>IF(VLOOKUP(C15,'Train Runs'!$A$13:$AE$9944,1,1)=C15,VLOOKUP(C15,'Train Runs'!$A$13:$AE$9944,31,1),NA())</f>
        <v>aws s3 cp s3://rtdc.mdm.uploadarchive.raw/RTDC4017/ "%USERPROFILE%\AppData\Local\Temp\OnboardLogs"\RTDC4017\2017-03-20 --exclude "*" --recursive --include "*20170320*" &amp; "%USERPROFILE%\Documents\GitHub\mrs-test-scripts\Headless Mode &amp; Sideloading\WalkAndUnGZ.bat" "%USERPROFILE%\AppData\Local\Temp\OnboardLogs"\RTDC4017\2017-03-20 &amp; aws s3 cp s3://rtdc.mdm.uploadarchive.raw/RTDC4017/ "%USERPROFILE%\AppData\Local\Temp\OnboardLogs"\RTDC4017\2017-03-21 --exclude "*" --recursive --include "*20170321*" &amp; "%USERPROFILE%\Documents\GitHub\mrs-test-scripts\Headless Mode &amp; Sideloading\WalkAndUnGZ.bat" "%USERPROFILE%\AppData\Local\Temp\OnboardLogs"\RTDC4017\2017-03-21</v>
      </c>
      <c r="S15" s="92" t="str">
        <f>VLOOKUP(C15,'Train Runs'!$A$13:$AE$9944,22,0)</f>
        <v>https://d0f6bd738d7f1b3e5a7ca70fe4ff75f0.us-east-1.aws.found.io/app/kibana#/discover/Steve-Slow-Train-Analysis-(2080s-and-2083s)?_g=(refreshInterval:(display:Off,pause:!f,section:0,value:0),time:(from:'2017-03-20T06:38:10-0600',mode:absolute,to:'2017-03-20T09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5" s="94" t="str">
        <f t="shared" si="1"/>
        <v>"C:\Program Files (x86)\AstroGrep\AstroGrep.exe" /e /r /s /spath="%USERPROFILE%\AppData\Local\Temp\OnboardLogs" /stypes="*4017*201703201*" /stext=" 14:.+((SYSTEM_STATE.+slice.+state.+changed )|(ment ac)|(multiple cpu faults)|(system.+state.+changed )|(\[timeout)|(PRM\|1\|D)|(kpr)|(kdp)|(\|lc)|(penalty))"</v>
      </c>
      <c r="U15" s="9" t="str">
        <f t="shared" si="2"/>
        <v>4017</v>
      </c>
      <c r="V15" s="32">
        <f t="shared" si="3"/>
        <v>42814.602337962962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arrival","project_id":79,"tracker_id":40,"status_id":1,"priority_id":2,"assigned_to_id":23,"start_date":"2017-03-20","description":"","custom_fields":[{"id":1,"name":"Subdivision","value":"EC"},{"id":4,"name":"Milepost","value":"2.735"},{"id":17,"name":"Train ID","value":"128-20"},{"id":16,"name":"Locomotive ID","value":"4017"},{"id":130,"name":"Impact","value":""},{"id":150,"name":"Time of Event (Mountain Time)","value":"08:27:22"},{"id":151,"name":"Denver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22"/>
      <c r="AA15" s="48"/>
      <c r="AB15" s="48"/>
      <c r="AC15" s="127" t="str">
        <f t="shared" si="7"/>
        <v>grep -hSE -A400 "Enforcement Action" "%USERPROFILE%\AppData\Local\Temp\OnboardLogs"\RTDC4017\*4017*201703201*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"%USERPROFILE%\AppData\Local\Temp\OnboardLogs"\RTDC4017\*4017*201703201* &gt;&gt; 2017-03-20-SliceDisagreementCheck.txt</v>
      </c>
      <c r="AE15" s="157" t="str">
        <f t="shared" si="9"/>
        <v>start /low /b %USERPROFILE%\Documents\GitHub\eaglep3\Utilities\DownloadLogsFromS3.py --loco 4017 --day 2017-03-20</v>
      </c>
      <c r="AF15" s="1"/>
    </row>
    <row r="16" spans="1:32" x14ac:dyDescent="0.25">
      <c r="A16" s="32">
        <v>42814.414340277777</v>
      </c>
      <c r="B16" s="30" t="s">
        <v>421</v>
      </c>
      <c r="C16" s="30" t="s">
        <v>617</v>
      </c>
      <c r="D16" s="30" t="s">
        <v>49</v>
      </c>
      <c r="E16" s="30" t="s">
        <v>193</v>
      </c>
      <c r="F16" s="43">
        <v>0</v>
      </c>
      <c r="G16" s="43">
        <v>168</v>
      </c>
      <c r="H16" s="43">
        <v>30986</v>
      </c>
      <c r="I16" s="43">
        <v>30856</v>
      </c>
      <c r="J16" s="30" t="s">
        <v>194</v>
      </c>
      <c r="K16" s="43">
        <v>30970</v>
      </c>
      <c r="L16" s="143" t="s">
        <v>51</v>
      </c>
      <c r="M16" s="144">
        <f t="shared" si="0"/>
        <v>-60.192</v>
      </c>
      <c r="N16" s="145" t="str">
        <f>VLOOKUP(C16,'Trips&amp;Operators'!$C$1:$G$99999,5,FALSE)</f>
        <v>WILLIAMS DONTE</v>
      </c>
      <c r="O16" s="194" t="s">
        <v>185</v>
      </c>
      <c r="P16" s="146" t="s">
        <v>597</v>
      </c>
      <c r="Q16" s="30"/>
      <c r="R16" s="89" t="str">
        <f>IF(VLOOKUP(C16,'Train Runs'!$A$13:$AE$9944,1,1)=C16,VLOOKUP(C16,'Train Runs'!$A$13:$AE$9944,31,1),NA())</f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S16" s="92" t="str">
        <f>VLOOKUP(C16,'Train Runs'!$A$13:$AE$9944,22,0)</f>
        <v>https://d0f6bd738d7f1b3e5a7ca70fe4ff75f0.us-east-1.aws.found.io/app/kibana#/discover/Steve-Slow-Train-Analysis-(2080s-and-2083s)?_g=(refreshInterval:(display:Off,pause:!f,section:0,value:0),time:(from:'2017-03-20T08:08:57-0600',mode:absolute,to:'2017-03-20T11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6" s="94" t="str">
        <f t="shared" si="1"/>
        <v>"C:\Program Files (x86)\AstroGrep\AstroGrep.exe" /e /r /s /spath="%USERPROFILE%\AppData\Local\Temp\OnboardLogs" /stypes="*4021*201703201*" /stext=" 15:.+((SYSTEM_STATE.+slice.+state.+changed )|(ment ac)|(multiple cpu faults)|(system.+state.+changed )|(\[timeout)|(PRM\|1\|D)|(kpr)|(kdp)|(\|lc)|(penalty))"</v>
      </c>
      <c r="U16" s="9" t="str">
        <f t="shared" si="2"/>
        <v>4021</v>
      </c>
      <c r="V16" s="32">
        <f t="shared" si="3"/>
        <v>42814.664340277777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arrival","project_id":79,"tracker_id":40,"status_id":1,"priority_id":2,"assigned_to_id":23,"start_date":"2017-03-20","description":"","custom_fields":[{"id":1,"name":"Subdivision","value":"EC"},{"id":4,"name":"Milepost","value":"3.097"},{"id":17,"name":"Train ID","value":"140-20"},{"id":16,"name":"Locomotive ID","value":"4021"},{"id":130,"name":"Impact","value":""},{"id":150,"name":"Time of Event (Mountain Time)","value":"09:56:39"},{"id":151,"name":"Denver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22"/>
      <c r="AA16" s="48"/>
      <c r="AB16" s="48"/>
      <c r="AC16" s="127" t="str">
        <f t="shared" si="7"/>
        <v>grep -hSE -A400 "Enforcement Action" "%USERPROFILE%\AppData\Local\Temp\OnboardLogs"\RTDC4021\*4021*201703201*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"%USERPROFILE%\AppData\Local\Temp\OnboardLogs"\RTDC4021\*4021*201703201* &gt;&gt; 2017-03-20-SliceDisagreementCheck.txt</v>
      </c>
      <c r="AE16" s="157" t="str">
        <f t="shared" si="9"/>
        <v>start /low /b %USERPROFILE%\Documents\GitHub\eaglep3\Utilities\DownloadLogsFromS3.py --loco 4021 --day 2017-03-20</v>
      </c>
      <c r="AF16" s="1"/>
    </row>
    <row r="17" spans="1:32" x14ac:dyDescent="0.25">
      <c r="A17" s="32">
        <v>42814.579444444447</v>
      </c>
      <c r="B17" s="30" t="s">
        <v>424</v>
      </c>
      <c r="C17" s="30" t="s">
        <v>625</v>
      </c>
      <c r="D17" s="30" t="s">
        <v>98</v>
      </c>
      <c r="E17" s="30" t="s">
        <v>193</v>
      </c>
      <c r="F17" s="43">
        <v>80</v>
      </c>
      <c r="G17" s="43">
        <v>144</v>
      </c>
      <c r="H17" s="43">
        <v>33250</v>
      </c>
      <c r="I17" s="43">
        <v>33451</v>
      </c>
      <c r="J17" s="30" t="s">
        <v>194</v>
      </c>
      <c r="K17" s="43">
        <v>33137</v>
      </c>
      <c r="L17" s="143" t="s">
        <v>50</v>
      </c>
      <c r="M17" s="144">
        <f t="shared" si="0"/>
        <v>-165.79199999999997</v>
      </c>
      <c r="N17" s="145" t="str">
        <f>VLOOKUP(C17,'Trips&amp;Operators'!$C$1:$G$99999,5,FALSE)</f>
        <v>LOCKLEAR TRAVIS</v>
      </c>
      <c r="O17" s="194" t="s">
        <v>185</v>
      </c>
      <c r="P17" s="146" t="s">
        <v>597</v>
      </c>
      <c r="Q17" s="30"/>
      <c r="R17" s="89" t="str">
        <f>IF(VLOOKUP(C17,'Train Runs'!$A$13:$AE$9944,1,1)=C17,VLOOKUP(C17,'Train Runs'!$A$13:$AE$9944,31,1),NA())</f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S17" s="92" t="str">
        <f>VLOOKUP(C17,'Train Runs'!$A$13:$AE$9944,22,0)</f>
        <v>https://d0f6bd738d7f1b3e5a7ca70fe4ff75f0.us-east-1.aws.found.io/app/kibana#/discover/Steve-Slow-Train-Analysis-(2080s-and-2083s)?_g=(refreshInterval:(display:Off,pause:!f,section:0,value:0),time:(from:'2017-03-20T12:41:34-0600',mode:absolute,to:'2017-03-20T15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7" s="94" t="str">
        <f t="shared" si="1"/>
        <v>"C:\Program Files (x86)\AstroGrep\AstroGrep.exe" /e /r /s /spath="%USERPROFILE%\AppData\Local\Temp\OnboardLogs" /stypes="*4022*201703201*" /stext=" 19:.+((SYSTEM_STATE.+slice.+state.+changed )|(ment ac)|(multiple cpu faults)|(system.+state.+changed )|(\[timeout)|(PRM\|1\|D)|(kpr)|(kdp)|(\|lc)|(penalty))"</v>
      </c>
      <c r="U17" s="9" t="str">
        <f t="shared" si="2"/>
        <v>4022</v>
      </c>
      <c r="V17" s="32">
        <f t="shared" si="3"/>
        <v>42814.829444444447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arrival","project_id":79,"tracker_id":40,"status_id":1,"priority_id":2,"assigned_to_id":23,"start_date":"2017-03-20","description":"","custom_fields":[{"id":1,"name":"Subdivision","value":"EC"},{"id":4,"name":"Milepost","value":"3.3137"},{"id":17,"name":"Train ID","value":"181-20"},{"id":16,"name":"Locomotive ID","value":"4022"},{"id":130,"name":"Impact","value":""},{"id":150,"name":"Time of Event (Mountain Time)","value":"13:54:24"},{"id":151,"name":"Denver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22"/>
      <c r="AA17" s="48"/>
      <c r="AB17" s="48"/>
      <c r="AC17" s="127" t="str">
        <f t="shared" si="7"/>
        <v>grep -hSE -A400 "Enforcement Action" "%USERPROFILE%\AppData\Local\Temp\OnboardLogs"\RTDC4022\*4022*201703201*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"%USERPROFILE%\AppData\Local\Temp\OnboardLogs"\RTDC4022\*4022*201703201* &gt;&gt; 2017-03-20-SliceDisagreementCheck.txt</v>
      </c>
      <c r="AE17" s="157" t="str">
        <f t="shared" si="9"/>
        <v>start /low /b %USERPROFILE%\Documents\GitHub\eaglep3\Utilities\DownloadLogsFromS3.py --loco 4022 --day 2017-03-20</v>
      </c>
      <c r="AF17" s="1"/>
    </row>
    <row r="18" spans="1:32" ht="15" customHeight="1" x14ac:dyDescent="0.25">
      <c r="A18" s="32">
        <v>42814.402222222219</v>
      </c>
      <c r="B18" s="30" t="s">
        <v>402</v>
      </c>
      <c r="C18" s="30" t="s">
        <v>616</v>
      </c>
      <c r="D18" s="30" t="s">
        <v>98</v>
      </c>
      <c r="E18" s="30" t="s">
        <v>193</v>
      </c>
      <c r="F18" s="43">
        <v>280</v>
      </c>
      <c r="G18" s="43">
        <v>330</v>
      </c>
      <c r="H18" s="43">
        <v>33237</v>
      </c>
      <c r="I18" s="43">
        <v>34137</v>
      </c>
      <c r="J18" s="30" t="s">
        <v>194</v>
      </c>
      <c r="K18" s="43">
        <v>33137</v>
      </c>
      <c r="L18" s="143" t="s">
        <v>50</v>
      </c>
      <c r="M18" s="144">
        <f t="shared" si="0"/>
        <v>-528</v>
      </c>
      <c r="N18" s="145" t="str">
        <f>VLOOKUP(C18,'Trips&amp;Operators'!$C$1:$G$99999,5,FALSE)</f>
        <v>STARKS ANGELINA</v>
      </c>
      <c r="O18" s="194" t="s">
        <v>185</v>
      </c>
      <c r="P18" s="146" t="s">
        <v>597</v>
      </c>
      <c r="Q18" s="30"/>
      <c r="R18" s="89" t="str">
        <f>IF(VLOOKUP(C18,'Train Runs'!$A$13:$AE$9944,1,1)=C18,VLOOKUP(C18,'Train Runs'!$A$13:$AE$9944,31,1),NA())</f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S18" s="92" t="str">
        <f>VLOOKUP(C18,'Train Runs'!$A$13:$AE$9944,22,0)</f>
        <v>https://d0f6bd738d7f1b3e5a7ca70fe4ff75f0.us-east-1.aws.found.io/app/kibana#/discover/Steve-Slow-Train-Analysis-(2080s-and-2083s)?_g=(refreshInterval:(display:Off,pause:!f,section:0,value:0),time:(from:'2017-03-20T08:28:30-0600',mode:absolute,to:'2017-03-20T11:08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8" s="94" t="str">
        <f t="shared" si="1"/>
        <v>"C:\Program Files (x86)\AstroGrep\AstroGrep.exe" /e /r /s /spath="%USERPROFILE%\AppData\Local\Temp\OnboardLogs" /stypes="*4027*201703201*" /stext=" 15:.+((SYSTEM_STATE.+slice.+state.+changed )|(ment ac)|(multiple cpu faults)|(system.+state.+changed )|(\[timeout)|(PRM\|1\|D)|(kpr)|(kdp)|(\|lc)|(penalty))"</v>
      </c>
      <c r="U18" s="9" t="str">
        <f t="shared" si="2"/>
        <v>4027</v>
      </c>
      <c r="V18" s="32">
        <f t="shared" si="3"/>
        <v>42814.652222222219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arrival","project_id":79,"tracker_id":40,"status_id":1,"priority_id":2,"assigned_to_id":23,"start_date":"2017-03-20","description":"","custom_fields":[{"id":1,"name":"Subdivision","value":"EC"},{"id":4,"name":"Milepost","value":"3.3137"},{"id":17,"name":"Train ID","value":"147-20"},{"id":16,"name":"Locomotive ID","value":"4027"},{"id":130,"name":"Impact","value":""},{"id":150,"name":"Time of Event (Mountain Time)","value":"09:39:12"},{"id":151,"name":"Denver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22"/>
      <c r="AA18" s="48"/>
      <c r="AB18" s="48"/>
      <c r="AC18" s="127" t="str">
        <f t="shared" si="7"/>
        <v>grep -hSE -A400 "Enforcement Action" "%USERPROFILE%\AppData\Local\Temp\OnboardLogs"\RTDC4027\*4027*201703201*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"%USERPROFILE%\AppData\Local\Temp\OnboardLogs"\RTDC4027\*4027*201703201* &gt;&gt; 2017-03-20-SliceDisagreementCheck.txt</v>
      </c>
      <c r="AE18" s="157" t="str">
        <f t="shared" si="9"/>
        <v>start /low /b %USERPROFILE%\Documents\GitHub\eaglep3\Utilities\DownloadLogsFromS3.py --loco 4027 --day 2017-03-20</v>
      </c>
      <c r="AF18" s="1"/>
    </row>
    <row r="19" spans="1:32" x14ac:dyDescent="0.25">
      <c r="A19" s="32">
        <v>42814.578750000001</v>
      </c>
      <c r="B19" s="30" t="s">
        <v>424</v>
      </c>
      <c r="C19" s="30" t="s">
        <v>625</v>
      </c>
      <c r="D19" s="30" t="s">
        <v>49</v>
      </c>
      <c r="E19" s="30" t="s">
        <v>193</v>
      </c>
      <c r="F19" s="43">
        <v>290</v>
      </c>
      <c r="G19" s="43">
        <v>344</v>
      </c>
      <c r="H19" s="43">
        <v>32027</v>
      </c>
      <c r="I19" s="43">
        <v>32835</v>
      </c>
      <c r="J19" s="30" t="s">
        <v>194</v>
      </c>
      <c r="K19" s="43">
        <v>33137</v>
      </c>
      <c r="L19" s="143" t="s">
        <v>50</v>
      </c>
      <c r="M19" s="144">
        <f t="shared" si="0"/>
        <v>159.45599999999999</v>
      </c>
      <c r="N19" s="145" t="str">
        <f>VLOOKUP(C19,'Trips&amp;Operators'!$C$1:$G$99999,5,FALSE)</f>
        <v>LOCKLEAR TRAVIS</v>
      </c>
      <c r="O19" s="194" t="s">
        <v>185</v>
      </c>
      <c r="P19" s="146" t="s">
        <v>597</v>
      </c>
      <c r="Q19" s="30"/>
      <c r="R19" s="89" t="str">
        <f>IF(VLOOKUP(C19,'Train Runs'!$A$13:$AE$9944,1,1)=C19,VLOOKUP(C19,'Train Runs'!$A$13:$AE$9944,31,1),NA())</f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S19" s="92" t="str">
        <f>VLOOKUP(C19,'Train Runs'!$A$13:$AE$9944,22,0)</f>
        <v>https://d0f6bd738d7f1b3e5a7ca70fe4ff75f0.us-east-1.aws.found.io/app/kibana#/discover/Steve-Slow-Train-Analysis-(2080s-and-2083s)?_g=(refreshInterval:(display:Off,pause:!f,section:0,value:0),time:(from:'2017-03-20T12:41:34-0600',mode:absolute,to:'2017-03-20T15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9" s="94" t="str">
        <f t="shared" si="1"/>
        <v>"C:\Program Files (x86)\AstroGrep\AstroGrep.exe" /e /r /s /spath="%USERPROFILE%\AppData\Local\Temp\OnboardLogs" /stypes="*4022*201703201*" /stext=" 19:.+((SYSTEM_STATE.+slice.+state.+changed )|(ment ac)|(multiple cpu faults)|(system.+state.+changed )|(\[timeout)|(PRM\|1\|D)|(kpr)|(kdp)|(\|lc)|(penalty))"</v>
      </c>
      <c r="U19" s="9" t="str">
        <f t="shared" si="2"/>
        <v>4022</v>
      </c>
      <c r="V19" s="32">
        <f t="shared" si="3"/>
        <v>42814.828750000001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arrival","project_id":79,"tracker_id":40,"status_id":1,"priority_id":2,"assigned_to_id":23,"start_date":"2017-03-20","description":"","custom_fields":[{"id":1,"name":"Subdivision","value":"EC"},{"id":4,"name":"Milepost","value":"3.3137"},{"id":17,"name":"Train ID","value":"181-20"},{"id":16,"name":"Locomotive ID","value":"4022"},{"id":130,"name":"Impact","value":""},{"id":150,"name":"Time of Event (Mountain Time)","value":"13:53:24"},{"id":151,"name":"Denver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22"/>
      <c r="AA19" s="48"/>
      <c r="AB19" s="48"/>
      <c r="AC19" s="127" t="str">
        <f t="shared" si="7"/>
        <v>grep -hSE -A400 "Enforcement Action" "%USERPROFILE%\AppData\Local\Temp\OnboardLogs"\RTDC4022\*4022*201703201*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"%USERPROFILE%\AppData\Local\Temp\OnboardLogs"\RTDC4022\*4022*201703201* &gt;&gt; 2017-03-20-SliceDisagreementCheck.txt</v>
      </c>
      <c r="AE19" s="157" t="str">
        <f t="shared" si="9"/>
        <v>start /low /b %USERPROFILE%\Documents\GitHub\eaglep3\Utilities\DownloadLogsFromS3.py --loco 4022 --day 2017-03-20</v>
      </c>
      <c r="AF19" s="1"/>
    </row>
    <row r="20" spans="1:32" x14ac:dyDescent="0.25">
      <c r="A20" s="32">
        <v>42814.329085648147</v>
      </c>
      <c r="B20" s="30" t="s">
        <v>402</v>
      </c>
      <c r="C20" s="30" t="s">
        <v>608</v>
      </c>
      <c r="D20" s="30" t="s">
        <v>49</v>
      </c>
      <c r="E20" s="30" t="s">
        <v>193</v>
      </c>
      <c r="F20" s="43">
        <v>320</v>
      </c>
      <c r="G20" s="43">
        <v>371</v>
      </c>
      <c r="H20" s="43">
        <v>32569</v>
      </c>
      <c r="I20" s="43">
        <v>33256</v>
      </c>
      <c r="J20" s="30" t="s">
        <v>194</v>
      </c>
      <c r="K20" s="43">
        <v>33137</v>
      </c>
      <c r="L20" s="143" t="s">
        <v>50</v>
      </c>
      <c r="M20" s="144">
        <f t="shared" si="0"/>
        <v>-62.832000000000001</v>
      </c>
      <c r="N20" s="145" t="str">
        <f>VLOOKUP(C20,'Trips&amp;Operators'!$C$1:$G$99999,5,FALSE)</f>
        <v>STARKS ANGELINA</v>
      </c>
      <c r="O20" s="194" t="s">
        <v>185</v>
      </c>
      <c r="P20" s="146" t="s">
        <v>597</v>
      </c>
      <c r="Q20" s="30"/>
      <c r="R20" s="89" t="str">
        <f>IF(VLOOKUP(C20,'Train Runs'!$A$13:$AE$9944,1,1)=C20,VLOOKUP(C20,'Train Runs'!$A$13:$AE$9944,31,1),NA())</f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S20" s="92" t="str">
        <f>VLOOKUP(C20,'Train Runs'!$A$13:$AE$9944,22,0)</f>
        <v>https://d0f6bd738d7f1b3e5a7ca70fe4ff75f0.us-east-1.aws.found.io/app/kibana#/discover/Steve-Slow-Train-Analysis-(2080s-and-2083s)?_g=(refreshInterval:(display:Off,pause:!f,section:0,value:0),time:(from:'2017-03-20T06:39:43-0600',mode:absolute,to:'2017-03-20T09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0" s="94" t="str">
        <f t="shared" si="1"/>
        <v>"C:\Program Files (x86)\AstroGrep\AstroGrep.exe" /e /r /s /spath="%USERPROFILE%\AppData\Local\Temp\OnboardLogs" /stypes="*4027*201703201*" /stext=" 13:.+((SYSTEM_STATE.+slice.+state.+changed )|(ment ac)|(multiple cpu faults)|(system.+state.+changed )|(\[timeout)|(PRM\|1\|D)|(kpr)|(kdp)|(\|lc)|(penalty))"</v>
      </c>
      <c r="U20" s="9" t="str">
        <f t="shared" si="2"/>
        <v>4027</v>
      </c>
      <c r="V20" s="32">
        <f t="shared" si="3"/>
        <v>42814.579085648147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arrival","project_id":79,"tracker_id":40,"status_id":1,"priority_id":2,"assigned_to_id":23,"start_date":"2017-03-20","description":"","custom_fields":[{"id":1,"name":"Subdivision","value":"EC"},{"id":4,"name":"Milepost","value":"3.3137"},{"id":17,"name":"Train ID","value":"133-20"},{"id":16,"name":"Locomotive ID","value":"4027"},{"id":130,"name":"Impact","value":""},{"id":150,"name":"Time of Event (Mountain Time)","value":"07:53:53"},{"id":151,"name":"Denver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22"/>
      <c r="AA20" s="48"/>
      <c r="AB20" s="48"/>
      <c r="AC20" s="127" t="str">
        <f t="shared" si="7"/>
        <v>grep -hSE -A400 "Enforcement Action" "%USERPROFILE%\AppData\Local\Temp\OnboardLogs"\RTDC4027\*4027*201703201*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"%USERPROFILE%\AppData\Local\Temp\OnboardLogs"\RTDC4027\*4027*201703201* &gt;&gt; 2017-03-20-SliceDisagreementCheck.txt</v>
      </c>
      <c r="AE20" s="157" t="str">
        <f t="shared" si="9"/>
        <v>start /low /b %USERPROFILE%\Documents\GitHub\eaglep3\Utilities\DownloadLogsFromS3.py --loco 4027 --day 2017-03-20</v>
      </c>
      <c r="AF20" s="1"/>
    </row>
    <row r="21" spans="1:32" x14ac:dyDescent="0.25">
      <c r="A21" s="32">
        <v>42814.633217592593</v>
      </c>
      <c r="B21" s="30" t="s">
        <v>421</v>
      </c>
      <c r="C21" s="30" t="s">
        <v>627</v>
      </c>
      <c r="D21" s="30" t="s">
        <v>49</v>
      </c>
      <c r="E21" s="30" t="s">
        <v>193</v>
      </c>
      <c r="F21" s="43">
        <v>240</v>
      </c>
      <c r="G21" s="43">
        <v>374</v>
      </c>
      <c r="H21" s="43">
        <v>35449</v>
      </c>
      <c r="I21" s="43">
        <v>34530</v>
      </c>
      <c r="J21" s="30" t="s">
        <v>194</v>
      </c>
      <c r="K21" s="43">
        <v>33257</v>
      </c>
      <c r="L21" s="143" t="s">
        <v>51</v>
      </c>
      <c r="M21" s="144">
        <f t="shared" si="0"/>
        <v>672.14400000000001</v>
      </c>
      <c r="N21" s="145" t="str">
        <f>VLOOKUP(C21,'Trips&amp;Operators'!$C$1:$G$99999,5,FALSE)</f>
        <v>LOCKLEAR TRAVIS</v>
      </c>
      <c r="O21" s="194" t="s">
        <v>185</v>
      </c>
      <c r="P21" s="146" t="s">
        <v>597</v>
      </c>
      <c r="Q21" s="30"/>
      <c r="R21" s="89" t="str">
        <f>IF(VLOOKUP(C21,'Train Runs'!$A$13:$AE$9944,1,1)=C21,VLOOKUP(C21,'Train Runs'!$A$13:$AE$9944,31,1),NA())</f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S21" s="92" t="str">
        <f>VLOOKUP(C21,'Train Runs'!$A$13:$AE$9944,22,0)</f>
        <v>https://d0f6bd738d7f1b3e5a7ca70fe4ff75f0.us-east-1.aws.found.io/app/kibana#/discover/Steve-Slow-Train-Analysis-(2080s-and-2083s)?_g=(refreshInterval:(display:Off,pause:!f,section:0,value:0),time:(from:'2017-03-20T13:38:27-0600',mode:absolute,to:'2017-03-20T16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1" s="94" t="str">
        <f t="shared" si="1"/>
        <v>"C:\Program Files (x86)\AstroGrep\AstroGrep.exe" /e /r /s /spath="%USERPROFILE%\AppData\Local\Temp\OnboardLogs" /stypes="*4021*201703202*" /stext=" 21:.+((SYSTEM_STATE.+slice.+state.+changed )|(ment ac)|(multiple cpu faults)|(system.+state.+changed )|(\[timeout)|(PRM\|1\|D)|(kpr)|(kdp)|(\|lc)|(penalty))"</v>
      </c>
      <c r="U21" s="9" t="str">
        <f t="shared" si="2"/>
        <v>4021</v>
      </c>
      <c r="V21" s="32">
        <f t="shared" si="3"/>
        <v>42814.883217592593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arrival","project_id":79,"tracker_id":40,"status_id":1,"priority_id":2,"assigned_to_id":23,"start_date":"2017-03-20","description":"","custom_fields":[{"id":1,"name":"Subdivision","value":"EC"},{"id":4,"name":"Milepost","value":"3.3257"},{"id":17,"name":"Train ID","value":"182-20"},{"id":16,"name":"Locomotive ID","value":"4021"},{"id":130,"name":"Impact","value":""},{"id":150,"name":"Time of Event (Mountain Time)","value":"15:11:50"},{"id":151,"name":"Denver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22"/>
      <c r="AA21" s="48"/>
      <c r="AB21" s="48"/>
      <c r="AC21" s="127" t="str">
        <f t="shared" si="7"/>
        <v>grep -hSE -A400 "Enforcement Action" "%USERPROFILE%\AppData\Local\Temp\OnboardLogs"\RTDC4021\*4021*201703202*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"%USERPROFILE%\AppData\Local\Temp\OnboardLogs"\RTDC4021\*4021*201703202* &gt;&gt; 2017-03-20-SliceDisagreementCheck.txt</v>
      </c>
      <c r="AE21" s="157" t="str">
        <f t="shared" si="9"/>
        <v>start /low /b %USERPROFILE%\Documents\GitHub\eaglep3\Utilities\DownloadLogsFromS3.py --loco 4021 --day 2017-03-20</v>
      </c>
      <c r="AF21" s="1"/>
    </row>
    <row r="22" spans="1:32" x14ac:dyDescent="0.25">
      <c r="A22" s="32">
        <v>42814.445763888885</v>
      </c>
      <c r="B22" s="30" t="s">
        <v>542</v>
      </c>
      <c r="C22" s="30" t="s">
        <v>620</v>
      </c>
      <c r="D22" s="30" t="s">
        <v>49</v>
      </c>
      <c r="E22" s="30" t="s">
        <v>193</v>
      </c>
      <c r="F22" s="43">
        <v>0</v>
      </c>
      <c r="G22" s="43">
        <v>308</v>
      </c>
      <c r="H22" s="43">
        <v>42608</v>
      </c>
      <c r="I22" s="43">
        <v>43208</v>
      </c>
      <c r="J22" s="30" t="s">
        <v>194</v>
      </c>
      <c r="K22" s="43">
        <v>42779</v>
      </c>
      <c r="L22" s="143" t="s">
        <v>50</v>
      </c>
      <c r="M22" s="144">
        <f t="shared" si="0"/>
        <v>-226.512</v>
      </c>
      <c r="N22" s="145" t="str">
        <f>VLOOKUP(C22,'Trips&amp;Operators'!$C$1:$G$99999,5,FALSE)</f>
        <v>DAVIS WENDY</v>
      </c>
      <c r="O22" s="194" t="s">
        <v>185</v>
      </c>
      <c r="P22" s="146" t="s">
        <v>597</v>
      </c>
      <c r="Q22" s="30"/>
      <c r="R22" s="89" t="str">
        <f>IF(VLOOKUP(C22,'Train Runs'!$A$13:$AE$9944,1,1)=C22,VLOOKUP(C22,'Train Runs'!$A$13:$AE$9944,31,1),NA())</f>
        <v>aws s3 cp s3://rtdc.mdm.uploadarchive.raw/RTDC4018/ "%USERPROFILE%\AppData\Local\Temp\OnboardLogs"\RTDC4018\2017-03-20 --exclude "*" --recursive --include "*20170320*" &amp; "%USERPROFILE%\Documents\GitHub\mrs-test-scripts\Headless Mode &amp; Sideloading\WalkAndUnGZ.bat" "%USERPROFILE%\AppData\Local\Temp\OnboardLogs"\RTDC4018\2017-03-20 &amp; aws s3 cp s3://rtdc.mdm.uploadarchive.raw/RTDC4018/ "%USERPROFILE%\AppData\Local\Temp\OnboardLogs"\RTDC4018\2017-03-21 --exclude "*" --recursive --include "*20170321*" &amp; "%USERPROFILE%\Documents\GitHub\mrs-test-scripts\Headless Mode &amp; Sideloading\WalkAndUnGZ.bat" "%USERPROFILE%\AppData\Local\Temp\OnboardLogs"\RTDC4018\2017-03-21</v>
      </c>
      <c r="S22" s="92" t="str">
        <f>VLOOKUP(C22,'Train Runs'!$A$13:$AE$9944,22,0)</f>
        <v>https://d0f6bd738d7f1b3e5a7ca70fe4ff75f0.us-east-1.aws.found.io/app/kibana#/discover/Steve-Slow-Train-Analysis-(2080s-and-2083s)?_g=(refreshInterval:(display:Off,pause:!f,section:0,value:0),time:(from:'2017-03-20T09:23:28-0600',mode:absolute,to:'2017-03-20T12:08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2" s="94" t="str">
        <f t="shared" si="1"/>
        <v>"C:\Program Files (x86)\AstroGrep\AstroGrep.exe" /e /r /s /spath="%USERPROFILE%\AppData\Local\Temp\OnboardLogs" /stypes="*4018*201703201*" /stext=" 16:.+((SYSTEM_STATE.+slice.+state.+changed )|(ment ac)|(multiple cpu faults)|(system.+state.+changed )|(\[timeout)|(PRM\|1\|D)|(kpr)|(kdp)|(\|lc)|(penalty))"</v>
      </c>
      <c r="U22" s="9" t="str">
        <f t="shared" si="2"/>
        <v>4018</v>
      </c>
      <c r="V22" s="32">
        <f t="shared" si="3"/>
        <v>42814.695763888885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arrival","project_id":79,"tracker_id":40,"status_id":1,"priority_id":2,"assigned_to_id":23,"start_date":"2017-03-20","description":"","custom_fields":[{"id":1,"name":"Subdivision","value":"EC"},{"id":4,"name":"Milepost","value":"4.2779"},{"id":17,"name":"Train ID","value":"155-20"},{"id":16,"name":"Locomotive ID","value":"4018"},{"id":130,"name":"Impact","value":""},{"id":150,"name":"Time of Event (Mountain Time)","value":"10:41:54"},{"id":151,"name":"Denver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22"/>
      <c r="AA22" s="48"/>
      <c r="AB22" s="48"/>
      <c r="AC22" s="127" t="str">
        <f t="shared" si="7"/>
        <v>grep -hSE -A400 "Enforcement Action" "%USERPROFILE%\AppData\Local\Temp\OnboardLogs"\RTDC4018\*4018*201703201*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"%USERPROFILE%\AppData\Local\Temp\OnboardLogs"\RTDC4018\*4018*201703201* &gt;&gt; 2017-03-20-SliceDisagreementCheck.txt</v>
      </c>
      <c r="AE22" s="157" t="str">
        <f t="shared" si="9"/>
        <v>start /low /b %USERPROFILE%\Documents\GitHub\eaglep3\Utilities\DownloadLogsFromS3.py --loco 4018 --day 2017-03-20</v>
      </c>
      <c r="AF22" s="1"/>
    </row>
    <row r="23" spans="1:32" x14ac:dyDescent="0.25">
      <c r="A23" s="32">
        <v>42814.484513888892</v>
      </c>
      <c r="B23" s="30" t="s">
        <v>421</v>
      </c>
      <c r="C23" s="30" t="s">
        <v>623</v>
      </c>
      <c r="D23" s="30" t="s">
        <v>49</v>
      </c>
      <c r="E23" s="30" t="s">
        <v>193</v>
      </c>
      <c r="F23" s="43">
        <v>410</v>
      </c>
      <c r="G23" s="43">
        <v>477</v>
      </c>
      <c r="H23" s="43">
        <v>54144</v>
      </c>
      <c r="I23" s="43">
        <v>52716</v>
      </c>
      <c r="J23" s="30" t="s">
        <v>194</v>
      </c>
      <c r="K23" s="43">
        <v>53277</v>
      </c>
      <c r="L23" s="143" t="s">
        <v>51</v>
      </c>
      <c r="M23" s="144">
        <f t="shared" si="0"/>
        <v>-296.20800000000003</v>
      </c>
      <c r="N23" s="145" t="str">
        <f>VLOOKUP(C23,'Trips&amp;Operators'!$C$1:$G$99999,5,FALSE)</f>
        <v>WILLIAMS DONTE</v>
      </c>
      <c r="O23" s="194" t="s">
        <v>185</v>
      </c>
      <c r="P23" s="146" t="s">
        <v>597</v>
      </c>
      <c r="Q23" s="30"/>
      <c r="R23" s="89" t="str">
        <f>IF(VLOOKUP(C23,'Train Runs'!$A$13:$AE$9944,1,1)=C23,VLOOKUP(C23,'Train Runs'!$A$13:$AE$9944,31,1),NA())</f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S23" s="92" t="str">
        <f>VLOOKUP(C23,'Train Runs'!$A$13:$AE$9944,22,0)</f>
        <v>https://d0f6bd738d7f1b3e5a7ca70fe4ff75f0.us-east-1.aws.found.io/app/kibana#/discover/Steve-Slow-Train-Analysis-(2080s-and-2083s)?_g=(refreshInterval:(display:Off,pause:!f,section:0,value:0),time:(from:'2017-03-20T09:54:37-0600',mode:absolute,to:'2017-03-20T12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3" s="94" t="str">
        <f t="shared" si="1"/>
        <v>"C:\Program Files (x86)\AstroGrep\AstroGrep.exe" /e /r /s /spath="%USERPROFILE%\AppData\Local\Temp\OnboardLogs" /stypes="*4021*201703201*" /stext=" 17:.+((SYSTEM_STATE.+slice.+state.+changed )|(ment ac)|(multiple cpu faults)|(system.+state.+changed )|(\[timeout)|(PRM\|1\|D)|(kpr)|(kdp)|(\|lc)|(penalty))"</v>
      </c>
      <c r="U23" s="9" t="str">
        <f t="shared" si="2"/>
        <v>4021</v>
      </c>
      <c r="V23" s="32">
        <f t="shared" si="3"/>
        <v>42814.734513888892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arrival","project_id":79,"tracker_id":40,"status_id":1,"priority_id":2,"assigned_to_id":23,"start_date":"2017-03-20","description":"","custom_fields":[{"id":1,"name":"Subdivision","value":"EC"},{"id":4,"name":"Milepost","value":"5.3277"},{"id":17,"name":"Train ID","value":"154-20"},{"id":16,"name":"Locomotive ID","value":"4021"},{"id":130,"name":"Impact","value":""},{"id":150,"name":"Time of Event (Mountain Time)","value":"11:37:42"},{"id":151,"name":"Denver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22"/>
      <c r="AA23" s="48"/>
      <c r="AB23" s="48"/>
      <c r="AC23" s="127" t="str">
        <f t="shared" si="7"/>
        <v>grep -hSE -A400 "Enforcement Action" "%USERPROFILE%\AppData\Local\Temp\OnboardLogs"\RTDC4021\*4021*201703201*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"%USERPROFILE%\AppData\Local\Temp\OnboardLogs"\RTDC4021\*4021*201703201* &gt;&gt; 2017-03-20-SliceDisagreementCheck.txt</v>
      </c>
      <c r="AE23" s="157" t="str">
        <f t="shared" si="9"/>
        <v>start /low /b %USERPROFILE%\Documents\GitHub\eaglep3\Utilities\DownloadLogsFromS3.py --loco 4021 --day 2017-03-20</v>
      </c>
      <c r="AF23" s="1"/>
    </row>
    <row r="24" spans="1:32" x14ac:dyDescent="0.25">
      <c r="A24" s="32">
        <v>42814.745254629626</v>
      </c>
      <c r="B24" s="30" t="s">
        <v>401</v>
      </c>
      <c r="C24" s="30" t="s">
        <v>637</v>
      </c>
      <c r="D24" s="30" t="s">
        <v>49</v>
      </c>
      <c r="E24" s="30" t="s">
        <v>193</v>
      </c>
      <c r="F24" s="43">
        <v>240</v>
      </c>
      <c r="G24" s="43">
        <v>318</v>
      </c>
      <c r="H24" s="43">
        <v>59139</v>
      </c>
      <c r="I24" s="43">
        <v>58372</v>
      </c>
      <c r="J24" s="30" t="s">
        <v>194</v>
      </c>
      <c r="K24" s="43">
        <v>58301</v>
      </c>
      <c r="L24" s="143" t="s">
        <v>51</v>
      </c>
      <c r="M24" s="144">
        <f t="shared" si="0"/>
        <v>37.488</v>
      </c>
      <c r="N24" s="145" t="str">
        <f>VLOOKUP(C24,'Trips&amp;Operators'!$C$1:$G$99999,5,FALSE)</f>
        <v>DAVIS MICHAEL</v>
      </c>
      <c r="O24" s="194" t="s">
        <v>185</v>
      </c>
      <c r="P24" s="146" t="s">
        <v>597</v>
      </c>
      <c r="Q24" s="30"/>
      <c r="R24" s="89" t="str">
        <f>IF(VLOOKUP(C24,'Train Runs'!$A$13:$AE$9944,1,1)=C24,VLOOKUP(C24,'Train Runs'!$A$13:$AE$9944,31,1),NA())</f>
        <v>aws s3 cp s3://rtdc.mdm.uploadarchive.raw/RTDC4028/ "%USERPROFILE%\AppData\Local\Temp\OnboardLogs"\RTDC4028\2017-03-20 --exclude "*" --recursive --include "*20170320*" &amp; "%USERPROFILE%\Documents\GitHub\mrs-test-scripts\Headless Mode &amp; Sideloading\WalkAndUnGZ.bat" "%USERPROFILE%\AppData\Local\Temp\OnboardLogs"\RTDC4028\2017-03-20 &amp; aws s3 cp s3://rtdc.mdm.uploadarchive.raw/RTDC4028/ "%USERPROFILE%\AppData\Local\Temp\OnboardLogs"\RTDC4028\2017-03-21 --exclude "*" --recursive --include "*20170321*" &amp; "%USERPROFILE%\Documents\GitHub\mrs-test-scripts\Headless Mode &amp; Sideloading\WalkAndUnGZ.bat" "%USERPROFILE%\AppData\Local\Temp\OnboardLogs"\RTDC4028\2017-03-21</v>
      </c>
      <c r="S24" s="92" t="str">
        <f>VLOOKUP(C24,'Train Runs'!$A$13:$AE$9944,22,0)</f>
        <v>https://d0f6bd738d7f1b3e5a7ca70fe4ff75f0.us-east-1.aws.found.io/app/kibana#/discover/Steve-Slow-Train-Analysis-(2080s-and-2083s)?_g=(refreshInterval:(display:Off,pause:!f,section:0,value:0),time:(from:'2017-03-20T16:22:28-0600',mode:absolute,to:'2017-03-20T19:08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4" s="94" t="str">
        <f t="shared" si="1"/>
        <v>"C:\Program Files (x86)\AstroGrep\AstroGrep.exe" /e /r /s /spath="%USERPROFILE%\AppData\Local\Temp\OnboardLogs" /stypes="*4028*201703202*" /stext=" 23:.+((SYSTEM_STATE.+slice.+state.+changed )|(ment ac)|(multiple cpu faults)|(system.+state.+changed )|(\[timeout)|(PRM\|1\|D)|(kpr)|(kdp)|(\|lc)|(penalty))"</v>
      </c>
      <c r="U24" s="9" t="str">
        <f t="shared" si="2"/>
        <v>4028</v>
      </c>
      <c r="V24" s="32">
        <f t="shared" si="3"/>
        <v>42814.995254629626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arrival","project_id":79,"tracker_id":40,"status_id":1,"priority_id":2,"assigned_to_id":23,"start_date":"2017-03-20","description":"","custom_fields":[{"id":1,"name":"Subdivision","value":"EC"},{"id":4,"name":"Milepost","value":"5.8301"},{"id":17,"name":"Train ID","value":"204-20"},{"id":16,"name":"Locomotive ID","value":"4028"},{"id":130,"name":"Impact","value":""},{"id":150,"name":"Time of Event (Mountain Time)","value":"17:53:10"},{"id":151,"name":"Denver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22"/>
      <c r="AA24" s="48"/>
      <c r="AB24" s="48"/>
      <c r="AC24" s="127" t="str">
        <f t="shared" si="7"/>
        <v>grep -hSE -A400 "Enforcement Action" "%USERPROFILE%\AppData\Local\Temp\OnboardLogs"\RTDC4028\*4028*201703202*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"%USERPROFILE%\AppData\Local\Temp\OnboardLogs"\RTDC4028\*4028*201703202* &gt;&gt; 2017-03-20-SliceDisagreementCheck.txt</v>
      </c>
      <c r="AE24" s="157" t="str">
        <f t="shared" si="9"/>
        <v>start /low /b %USERPROFILE%\Documents\GitHub\eaglep3\Utilities\DownloadLogsFromS3.py --loco 4028 --day 2017-03-20</v>
      </c>
      <c r="AF24" s="1"/>
    </row>
    <row r="25" spans="1:32" x14ac:dyDescent="0.25">
      <c r="A25" s="32">
        <v>42814.712210648147</v>
      </c>
      <c r="B25" s="30" t="s">
        <v>530</v>
      </c>
      <c r="C25" s="30" t="s">
        <v>633</v>
      </c>
      <c r="D25" s="30" t="s">
        <v>49</v>
      </c>
      <c r="E25" s="30" t="s">
        <v>193</v>
      </c>
      <c r="F25" s="43">
        <v>110</v>
      </c>
      <c r="G25" s="43">
        <v>160</v>
      </c>
      <c r="H25" s="43">
        <v>64002</v>
      </c>
      <c r="I25" s="43">
        <v>63683</v>
      </c>
      <c r="J25" s="30" t="s">
        <v>194</v>
      </c>
      <c r="K25" s="43">
        <v>63309</v>
      </c>
      <c r="L25" s="143" t="s">
        <v>51</v>
      </c>
      <c r="M25" s="144">
        <f t="shared" si="0"/>
        <v>197.47200000000001</v>
      </c>
      <c r="N25" s="145" t="str">
        <f>VLOOKUP(C25,'Trips&amp;Operators'!$C$1:$G$99999,5,FALSE)</f>
        <v>MENGES BRAD</v>
      </c>
      <c r="O25" s="194" t="s">
        <v>185</v>
      </c>
      <c r="P25" s="146" t="s">
        <v>597</v>
      </c>
      <c r="Q25" s="30"/>
      <c r="R25" s="89" t="str">
        <f>IF(VLOOKUP(C25,'Train Runs'!$A$13:$AE$9944,1,1)=C25,VLOOKUP(C25,'Train Runs'!$A$13:$AE$9944,31,1),NA())</f>
        <v>aws s3 cp s3://rtdc.mdm.uploadarchive.raw/RTDC4017/ "%USERPROFILE%\AppData\Local\Temp\OnboardLogs"\RTDC4017\2017-03-20 --exclude "*" --recursive --include "*20170320*" &amp; "%USERPROFILE%\Documents\GitHub\mrs-test-scripts\Headless Mode &amp; Sideloading\WalkAndUnGZ.bat" "%USERPROFILE%\AppData\Local\Temp\OnboardLogs"\RTDC4017\2017-03-20 &amp; aws s3 cp s3://rtdc.mdm.uploadarchive.raw/RTDC4017/ "%USERPROFILE%\AppData\Local\Temp\OnboardLogs"\RTDC4017\2017-03-21 --exclude "*" --recursive --include "*20170321*" &amp; "%USERPROFILE%\Documents\GitHub\mrs-test-scripts\Headless Mode &amp; Sideloading\WalkAndUnGZ.bat" "%USERPROFILE%\AppData\Local\Temp\OnboardLogs"\RTDC4017\2017-03-21</v>
      </c>
      <c r="S25" s="92" t="str">
        <f>VLOOKUP(C25,'Train Runs'!$A$13:$AE$9944,22,0)</f>
        <v>https://d0f6bd738d7f1b3e5a7ca70fe4ff75f0.us-east-1.aws.found.io/app/kibana#/discover/Steve-Slow-Train-Analysis-(2080s-and-2083s)?_g=(refreshInterval:(display:Off,pause:!f,section:0,value:0),time:(from:'2017-03-20T15:34:30-0600',mode:absolute,to:'2017-03-20T18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5" s="94" t="str">
        <f t="shared" si="1"/>
        <v>"C:\Program Files (x86)\AstroGrep\AstroGrep.exe" /e /r /s /spath="%USERPROFILE%\AppData\Local\Temp\OnboardLogs" /stypes="*4017*201703202*" /stext=" 23:.+((SYSTEM_STATE.+slice.+state.+changed )|(ment ac)|(multiple cpu faults)|(system.+state.+changed )|(\[timeout)|(PRM\|1\|D)|(kpr)|(kdp)|(\|lc)|(penalty))"</v>
      </c>
      <c r="U25" s="9" t="str">
        <f t="shared" si="2"/>
        <v>4017</v>
      </c>
      <c r="V25" s="32">
        <f t="shared" si="3"/>
        <v>42814.962210648147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arrival","project_id":79,"tracker_id":40,"status_id":1,"priority_id":2,"assigned_to_id":23,"start_date":"2017-03-20","description":"","custom_fields":[{"id":1,"name":"Subdivision","value":"EC"},{"id":4,"name":"Milepost","value":"6.3309"},{"id":17,"name":"Train ID","value":"198-20"},{"id":16,"name":"Locomotive ID","value":"4017"},{"id":130,"name":"Impact","value":""},{"id":150,"name":"Time of Event (Mountain Time)","value":"17:05:35"},{"id":151,"name":"Denver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22"/>
      <c r="AA25" s="48"/>
      <c r="AB25" s="48"/>
      <c r="AC25" s="127" t="str">
        <f t="shared" si="7"/>
        <v>grep -hSE -A400 "Enforcement Action" "%USERPROFILE%\AppData\Local\Temp\OnboardLogs"\RTDC4017\*4017*201703202*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"%USERPROFILE%\AppData\Local\Temp\OnboardLogs"\RTDC4017\*4017*201703202* &gt;&gt; 2017-03-20-SliceDisagreementCheck.txt</v>
      </c>
      <c r="AE25" s="157" t="str">
        <f t="shared" si="9"/>
        <v>start /low /b %USERPROFILE%\Documents\GitHub\eaglep3\Utilities\DownloadLogsFromS3.py --loco 4017 --day 2017-03-20</v>
      </c>
      <c r="AF25" s="1"/>
    </row>
    <row r="26" spans="1:32" x14ac:dyDescent="0.25">
      <c r="A26" s="32">
        <v>42814.378101851849</v>
      </c>
      <c r="B26" s="30" t="s">
        <v>401</v>
      </c>
      <c r="C26" s="30" t="s">
        <v>614</v>
      </c>
      <c r="D26" s="30" t="s">
        <v>49</v>
      </c>
      <c r="E26" s="30" t="s">
        <v>193</v>
      </c>
      <c r="F26" s="43">
        <v>400</v>
      </c>
      <c r="G26" s="43">
        <v>457</v>
      </c>
      <c r="H26" s="43">
        <v>110287</v>
      </c>
      <c r="I26" s="43">
        <v>108967</v>
      </c>
      <c r="J26" s="30" t="s">
        <v>194</v>
      </c>
      <c r="K26" s="43">
        <v>109135</v>
      </c>
      <c r="L26" s="143" t="s">
        <v>51</v>
      </c>
      <c r="M26" s="144">
        <f t="shared" si="0"/>
        <v>-88.703999999999994</v>
      </c>
      <c r="N26" s="145" t="str">
        <f>VLOOKUP(C26,'Trips&amp;Operators'!$C$1:$G$99999,5,FALSE)</f>
        <v>STARKS ANGELINA</v>
      </c>
      <c r="O26" s="194" t="s">
        <v>185</v>
      </c>
      <c r="P26" s="146" t="s">
        <v>597</v>
      </c>
      <c r="Q26" s="30"/>
      <c r="R26" s="89" t="str">
        <f>IF(VLOOKUP(C26,'Train Runs'!$A$13:$AE$9944,1,1)=C26,VLOOKUP(C26,'Train Runs'!$A$13:$AE$9944,31,1),NA())</f>
        <v>aws s3 cp s3://rtdc.mdm.uploadarchive.raw/RTDC4028/ "%USERPROFILE%\AppData\Local\Temp\OnboardLogs"\RTDC4028\2017-03-20 --exclude "*" --recursive --include "*20170320*" &amp; "%USERPROFILE%\Documents\GitHub\mrs-test-scripts\Headless Mode &amp; Sideloading\WalkAndUnGZ.bat" "%USERPROFILE%\AppData\Local\Temp\OnboardLogs"\RTDC4028\2017-03-20 &amp; aws s3 cp s3://rtdc.mdm.uploadarchive.raw/RTDC4028/ "%USERPROFILE%\AppData\Local\Temp\OnboardLogs"\RTDC4028\2017-03-21 --exclude "*" --recursive --include "*20170321*" &amp; "%USERPROFILE%\Documents\GitHub\mrs-test-scripts\Headless Mode &amp; Sideloading\WalkAndUnGZ.bat" "%USERPROFILE%\AppData\Local\Temp\OnboardLogs"\RTDC4028\2017-03-21</v>
      </c>
      <c r="S26" s="92" t="str">
        <f>VLOOKUP(C26,'Train Runs'!$A$13:$AE$9944,22,0)</f>
        <v>https://d0f6bd738d7f1b3e5a7ca70fe4ff75f0.us-east-1.aws.found.io/app/kibana#/discover/Steve-Slow-Train-Analysis-(2080s-and-2083s)?_g=(refreshInterval:(display:Off,pause:!f,section:0,value:0),time:(from:'2017-03-20T07:37:41-0600',mode:absolute,to:'2017-03-20T09:57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6" s="94" t="str">
        <f t="shared" si="1"/>
        <v>"C:\Program Files (x86)\AstroGrep\AstroGrep.exe" /e /r /s /spath="%USERPROFILE%\AppData\Local\Temp\OnboardLogs" /stypes="*4028*201703201*" /stext=" 15:.+((SYSTEM_STATE.+slice.+state.+changed )|(ment ac)|(multiple cpu faults)|(system.+state.+changed )|(\[timeout)|(PRM\|1\|D)|(kpr)|(kdp)|(\|lc)|(penalty))"</v>
      </c>
      <c r="U26" s="9" t="str">
        <f t="shared" si="2"/>
        <v>4028</v>
      </c>
      <c r="V26" s="32">
        <f t="shared" si="3"/>
        <v>42814.628101851849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arrival","project_id":79,"tracker_id":40,"status_id":1,"priority_id":2,"assigned_to_id":23,"start_date":"2017-03-20","description":"","custom_fields":[{"id":1,"name":"Subdivision","value":"EC"},{"id":4,"name":"Milepost","value":"10.9135"},{"id":17,"name":"Train ID","value":"134-20"},{"id":16,"name":"Locomotive ID","value":"4028"},{"id":130,"name":"Impact","value":""},{"id":150,"name":"Time of Event (Mountain Time)","value":"09:04:28"},{"id":151,"name":"Denver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22"/>
      <c r="AA26" s="48"/>
      <c r="AB26" s="48"/>
      <c r="AC26" s="127" t="str">
        <f t="shared" si="7"/>
        <v>grep -hSE -A400 "Enforcement Action" "%USERPROFILE%\AppData\Local\Temp\OnboardLogs"\RTDC4028\*4028*201703201*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"%USERPROFILE%\AppData\Local\Temp\OnboardLogs"\RTDC4028\*4028*201703201* &gt;&gt; 2017-03-20-SliceDisagreementCheck.txt</v>
      </c>
      <c r="AE26" s="157" t="str">
        <f t="shared" si="9"/>
        <v>start /low /b %USERPROFILE%\Documents\GitHub\eaglep3\Utilities\DownloadLogsFromS3.py --loco 4028 --day 2017-03-20</v>
      </c>
      <c r="AF26" s="1"/>
    </row>
    <row r="27" spans="1:32" x14ac:dyDescent="0.25">
      <c r="A27" s="32">
        <v>42814.624490740738</v>
      </c>
      <c r="B27" s="30" t="s">
        <v>421</v>
      </c>
      <c r="C27" s="30" t="s">
        <v>627</v>
      </c>
      <c r="D27" s="30" t="s">
        <v>49</v>
      </c>
      <c r="E27" s="30" t="s">
        <v>193</v>
      </c>
      <c r="F27" s="43">
        <v>420</v>
      </c>
      <c r="G27" s="43">
        <v>471</v>
      </c>
      <c r="H27" s="43">
        <v>110288</v>
      </c>
      <c r="I27" s="43">
        <v>108956</v>
      </c>
      <c r="J27" s="30" t="s">
        <v>194</v>
      </c>
      <c r="K27" s="43">
        <v>109135</v>
      </c>
      <c r="L27" s="143" t="s">
        <v>51</v>
      </c>
      <c r="M27" s="144">
        <f t="shared" si="0"/>
        <v>-94.512</v>
      </c>
      <c r="N27" s="145" t="str">
        <f>VLOOKUP(C27,'Trips&amp;Operators'!$C$1:$G$99999,5,FALSE)</f>
        <v>LOCKLEAR TRAVIS</v>
      </c>
      <c r="O27" s="194" t="s">
        <v>185</v>
      </c>
      <c r="P27" s="146" t="s">
        <v>597</v>
      </c>
      <c r="Q27" s="30"/>
      <c r="R27" s="89" t="str">
        <f>IF(VLOOKUP(C27,'Train Runs'!$A$13:$AE$9944,1,1)=C27,VLOOKUP(C27,'Train Runs'!$A$13:$AE$9944,31,1),NA())</f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S27" s="92" t="str">
        <f>VLOOKUP(C27,'Train Runs'!$A$13:$AE$9944,22,0)</f>
        <v>https://d0f6bd738d7f1b3e5a7ca70fe4ff75f0.us-east-1.aws.found.io/app/kibana#/discover/Steve-Slow-Train-Analysis-(2080s-and-2083s)?_g=(refreshInterval:(display:Off,pause:!f,section:0,value:0),time:(from:'2017-03-20T13:38:27-0600',mode:absolute,to:'2017-03-20T16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7" s="94" t="str">
        <f t="shared" si="1"/>
        <v>"C:\Program Files (x86)\AstroGrep\AstroGrep.exe" /e /r /s /spath="%USERPROFILE%\AppData\Local\Temp\OnboardLogs" /stypes="*4021*201703202*" /stext=" 20:.+((SYSTEM_STATE.+slice.+state.+changed )|(ment ac)|(multiple cpu faults)|(system.+state.+changed )|(\[timeout)|(PRM\|1\|D)|(kpr)|(kdp)|(\|lc)|(penalty))"</v>
      </c>
      <c r="U27" s="9" t="str">
        <f t="shared" si="2"/>
        <v>4021</v>
      </c>
      <c r="V27" s="32">
        <f t="shared" si="3"/>
        <v>42814.874490740738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arrival","project_id":79,"tracker_id":40,"status_id":1,"priority_id":2,"assigned_to_id":23,"start_date":"2017-03-20","description":"","custom_fields":[{"id":1,"name":"Subdivision","value":"EC"},{"id":4,"name":"Milepost","value":"10.9135"},{"id":17,"name":"Train ID","value":"182-20"},{"id":16,"name":"Locomotive ID","value":"4021"},{"id":130,"name":"Impact","value":""},{"id":150,"name":"Time of Event (Mountain Time)","value":"14:59:16"},{"id":151,"name":"Denver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22"/>
      <c r="AA27" s="48"/>
      <c r="AB27" s="48"/>
      <c r="AC27" s="127" t="str">
        <f t="shared" si="7"/>
        <v>grep -hSE -A400 "Enforcement Action" "%USERPROFILE%\AppData\Local\Temp\OnboardLogs"\RTDC4021\*4021*201703202*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"%USERPROFILE%\AppData\Local\Temp\OnboardLogs"\RTDC4021\*4021*201703202* &gt;&gt; 2017-03-20-SliceDisagreementCheck.txt</v>
      </c>
      <c r="AE27" s="157" t="str">
        <f t="shared" si="9"/>
        <v>start /low /b %USERPROFILE%\Documents\GitHub\eaglep3\Utilities\DownloadLogsFromS3.py --loco 4021 --day 2017-03-20</v>
      </c>
      <c r="AF27" s="1"/>
    </row>
    <row r="28" spans="1:32" x14ac:dyDescent="0.25">
      <c r="A28" s="32">
        <v>42814.397013888891</v>
      </c>
      <c r="B28" s="30" t="s">
        <v>402</v>
      </c>
      <c r="C28" s="30" t="s">
        <v>616</v>
      </c>
      <c r="D28" s="30" t="s">
        <v>98</v>
      </c>
      <c r="E28" s="30" t="s">
        <v>220</v>
      </c>
      <c r="F28" s="43">
        <v>150</v>
      </c>
      <c r="G28" s="43">
        <v>200</v>
      </c>
      <c r="H28" s="43">
        <v>3362</v>
      </c>
      <c r="I28" s="43">
        <v>3743</v>
      </c>
      <c r="J28" s="30" t="s">
        <v>221</v>
      </c>
      <c r="K28" s="43">
        <v>0</v>
      </c>
      <c r="L28" s="143" t="s">
        <v>50</v>
      </c>
      <c r="M28" s="144">
        <f t="shared" si="0"/>
        <v>-1976.3040000000001</v>
      </c>
      <c r="N28" s="145" t="str">
        <f>VLOOKUP(C28,'Trips&amp;Operators'!$C$1:$G$99999,5,FALSE)</f>
        <v>STARKS ANGELINA</v>
      </c>
      <c r="O28" s="194"/>
      <c r="P28" s="146"/>
      <c r="Q28" s="30"/>
      <c r="R28" s="89" t="str">
        <f>IF(VLOOKUP(C28,'Train Runs'!$A$13:$AE$9944,1,1)=C28,VLOOKUP(C28,'Train Runs'!$A$13:$AE$9944,31,1),NA())</f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S28" s="92" t="str">
        <f>VLOOKUP(C28,'Train Runs'!$A$13:$AE$9944,22,0)</f>
        <v>https://d0f6bd738d7f1b3e5a7ca70fe4ff75f0.us-east-1.aws.found.io/app/kibana#/discover/Steve-Slow-Train-Analysis-(2080s-and-2083s)?_g=(refreshInterval:(display:Off,pause:!f,section:0,value:0),time:(from:'2017-03-20T08:28:30-0600',mode:absolute,to:'2017-03-20T11:08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8" s="94" t="str">
        <f t="shared" si="1"/>
        <v>"C:\Program Files (x86)\AstroGrep\AstroGrep.exe" /e /r /s /spath="%USERPROFILE%\AppData\Local\Temp\OnboardLogs" /stypes="*4027*201703201*" /stext=" 15:.+((SYSTEM_STATE.+slice.+state.+changed )|(ment ac)|(multiple cpu faults)|(system.+state.+changed )|(\[timeout)|(PRM\|1\|D)|(kpr)|(kdp)|(\|lc)|(penalty))"</v>
      </c>
      <c r="U28" s="9" t="str">
        <f t="shared" si="2"/>
        <v>4027</v>
      </c>
      <c r="V28" s="32">
        <f t="shared" si="3"/>
        <v>42814.647013888891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{"issue":{"subject":"","project_id":79,"tracker_id":40,"status_id":1,"priority_id":2,"assigned_to_id":23,"start_date":"2017-03-20","description":"","custom_fields":[{"id":1,"name":"Subdivision","value":"EC"},{"id":4,"name":"Milepost","value":"0"},{"id":17,"name":"Train ID","value":"147-20"},{"id":16,"name":"Locomotive ID","value":"4027"},{"id":130,"name":"Impact","value":""},{"id":150,"name":"Time of Event (Mountain Time)","value":"09:31:42"},{"id":151,"name":"Denver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22"/>
      <c r="AA28" s="48"/>
      <c r="AB28" s="48"/>
      <c r="AC28" s="127" t="str">
        <f t="shared" ref="AC28:AC68" si="10">"grep -hSE -A400 ""Enforcement Action"" "&amp;search_path&amp;"\RTDC"&amp;U28&amp;"\*"&amp;U28&amp;"*"&amp;TEXT(A28-utc_offset/24,"YYYYMMDD")&amp;LEFT(TEXT(A28-utc_offset/24,"HH"),1)&amp;"* | grep -SE ""((Enforcement Ac)|(PRM))"" -"</f>
        <v>grep -hSE -A400 "Enforcement Action" "%USERPROFILE%\AppData\Local\Temp\OnboardLogs"\RTDC4027\*4027*201703201*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"%USERPROFILE%\AppData\Local\Temp\OnboardLogs"\RTDC4027\*4027*201703201* &gt;&gt; 2017-03-20-SliceDisagreementCheck.txt</v>
      </c>
      <c r="AE28" s="157" t="str">
        <f t="shared" si="9"/>
        <v>start /low /b %USERPROFILE%\Documents\GitHub\eaglep3\Utilities\DownloadLogsFromS3.py --loco 4027 --day 2017-03-20</v>
      </c>
      <c r="AF28" s="1"/>
    </row>
    <row r="29" spans="1:32" x14ac:dyDescent="0.25">
      <c r="A29" s="32">
        <v>42814.387372685182</v>
      </c>
      <c r="B29" s="30" t="s">
        <v>531</v>
      </c>
      <c r="C29" s="30" t="s">
        <v>615</v>
      </c>
      <c r="D29" s="30" t="s">
        <v>98</v>
      </c>
      <c r="E29" s="30" t="s">
        <v>220</v>
      </c>
      <c r="F29" s="43">
        <v>400</v>
      </c>
      <c r="G29" s="43">
        <v>450</v>
      </c>
      <c r="H29" s="43">
        <v>7060</v>
      </c>
      <c r="I29" s="43">
        <v>8316</v>
      </c>
      <c r="J29" s="30" t="s">
        <v>221</v>
      </c>
      <c r="K29" s="43">
        <v>5439</v>
      </c>
      <c r="L29" s="143" t="s">
        <v>50</v>
      </c>
      <c r="M29" s="144">
        <f t="shared" si="0"/>
        <v>-1519.056</v>
      </c>
      <c r="N29" s="145" t="str">
        <f>VLOOKUP(C29,'Trips&amp;Operators'!$C$1:$G$99999,5,FALSE)</f>
        <v>MAELZER KURT</v>
      </c>
      <c r="O29" s="194" t="s">
        <v>185</v>
      </c>
      <c r="P29" s="146"/>
      <c r="Q29" s="30"/>
      <c r="R29" s="89" t="str">
        <f>IF(VLOOKUP(C29,'Train Runs'!$A$13:$AE$9944,1,1)=C29,VLOOKUP(C29,'Train Runs'!$A$13:$AE$9944,31,1),NA())</f>
        <v>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 &amp; aws s3 cp s3://rtdc.mdm.uploadarchive.raw/RTDC4025/ "%USERPROFILE%\AppData\Local\Temp\OnboardLogs"\RTDC4025\2017-03-21 --exclude "*" --recursive --include "*20170321*" &amp; "%USERPROFILE%\Documents\GitHub\mrs-test-scripts\Headless Mode &amp; Sideloading\WalkAndUnGZ.bat" "%USERPROFILE%\AppData\Local\Temp\OnboardLogs"\RTDC4025\2017-03-21</v>
      </c>
      <c r="S29" s="92" t="str">
        <f>VLOOKUP(C29,'Train Runs'!$A$13:$AE$9944,22,0)</f>
        <v>https://d0f6bd738d7f1b3e5a7ca70fe4ff75f0.us-east-1.aws.found.io/app/kibana#/discover/Steve-Slow-Train-Analysis-(2080s-and-2083s)?_g=(refreshInterval:(display:Off,pause:!f,section:0,value:0),time:(from:'2017-03-20T08:09:57-0600',mode:absolute,to:'2017-03-20T10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9" s="94" t="str">
        <f t="shared" si="1"/>
        <v>"C:\Program Files (x86)\AstroGrep\AstroGrep.exe" /e /r /s /spath="%USERPROFILE%\AppData\Local\Temp\OnboardLogs" /stypes="*4025*201703201*" /stext=" 15:.+((SYSTEM_STATE.+slice.+state.+changed )|(ment ac)|(multiple cpu faults)|(system.+state.+changed )|(\[timeout)|(PRM\|1\|D)|(kpr)|(kdp)|(\|lc)|(penalty))"</v>
      </c>
      <c r="U29" s="9" t="str">
        <f t="shared" si="2"/>
        <v>4025</v>
      </c>
      <c r="V29" s="32">
        <f t="shared" si="3"/>
        <v>42814.637372685182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{"issue":{"subject":"","project_id":79,"tracker_id":40,"status_id":1,"priority_id":2,"assigned_to_id":23,"start_date":"2017-03-20","description":"","custom_fields":[{"id":1,"name":"Subdivision","value":"EC"},{"id":4,"name":"Milepost","value":"0.5439"},{"id":17,"name":"Train ID","value":"145-20"},{"id":16,"name":"Locomotive ID","value":"4025"},{"id":130,"name":"Impact","value":""},{"id":150,"name":"Time of Event (Mountain Time)","value":"09:17:49"},{"id":151,"name":"Denver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22"/>
      <c r="AA29" s="48"/>
      <c r="AB29" s="48"/>
      <c r="AC29" s="127" t="str">
        <f t="shared" si="10"/>
        <v>grep -hSE -A400 "Enforcement Action" "%USERPROFILE%\AppData\Local\Temp\OnboardLogs"\RTDC4025\*4025*201703201*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"%USERPROFILE%\AppData\Local\Temp\OnboardLogs"\RTDC4025\*4025*201703201* &gt;&gt; 2017-03-20-SliceDisagreementCheck.txt</v>
      </c>
      <c r="AE29" s="157" t="str">
        <f t="shared" si="9"/>
        <v>start /low /b %USERPROFILE%\Documents\GitHub\eaglep3\Utilities\DownloadLogsFromS3.py --loco 4025 --day 2017-03-20</v>
      </c>
      <c r="AF29" s="1"/>
    </row>
    <row r="30" spans="1:32" x14ac:dyDescent="0.25">
      <c r="A30" s="32">
        <v>42814.270289351851</v>
      </c>
      <c r="B30" s="30" t="s">
        <v>421</v>
      </c>
      <c r="C30" s="30" t="s">
        <v>600</v>
      </c>
      <c r="D30" s="30" t="s">
        <v>49</v>
      </c>
      <c r="E30" s="30" t="s">
        <v>220</v>
      </c>
      <c r="F30" s="43">
        <v>300</v>
      </c>
      <c r="G30" s="43">
        <v>366</v>
      </c>
      <c r="H30" s="43">
        <v>22979</v>
      </c>
      <c r="I30" s="43">
        <v>22101</v>
      </c>
      <c r="J30" s="30" t="s">
        <v>221</v>
      </c>
      <c r="K30" s="43">
        <v>21848</v>
      </c>
      <c r="L30" s="143" t="s">
        <v>51</v>
      </c>
      <c r="M30" s="144">
        <f t="shared" si="0"/>
        <v>133.584</v>
      </c>
      <c r="N30" s="145" t="str">
        <f>VLOOKUP(C30,'Trips&amp;Operators'!$C$1:$G$99999,5,FALSE)</f>
        <v>MENGES BRAD</v>
      </c>
      <c r="O30" s="194" t="s">
        <v>185</v>
      </c>
      <c r="P30" s="146"/>
      <c r="Q30" s="30"/>
      <c r="R30" s="89" t="str">
        <f>IF(VLOOKUP(C30,'Train Runs'!$A$13:$AE$9944,1,1)=C30,VLOOKUP(C30,'Train Runs'!$A$13:$AE$9944,31,1),NA())</f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S30" s="92" t="str">
        <f>VLOOKUP(C30,'Train Runs'!$A$13:$AE$9944,22,0)</f>
        <v>https://d0f6bd738d7f1b3e5a7ca70fe4ff75f0.us-east-1.aws.found.io/app/kibana#/discover/Steve-Slow-Train-Analysis-(2080s-and-2083s)?_g=(refreshInterval:(display:Off,pause:!f,section:0,value:0),time:(from:'2017-03-20T04:38:00-0600',mode:absolute,to:'2017-03-20T07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0" s="94" t="str">
        <f t="shared" si="1"/>
        <v>"C:\Program Files (x86)\AstroGrep\AstroGrep.exe" /e /r /s /spath="%USERPROFILE%\AppData\Local\Temp\OnboardLogs" /stypes="*4021*201703201*" /stext=" 12:.+((SYSTEM_STATE.+slice.+state.+changed )|(ment ac)|(multiple cpu faults)|(system.+state.+changed )|(\[timeout)|(PRM\|1\|D)|(kpr)|(kdp)|(\|lc)|(penalty))"</v>
      </c>
      <c r="U30" s="9" t="str">
        <f t="shared" si="2"/>
        <v>4021</v>
      </c>
      <c r="V30" s="32">
        <f t="shared" si="3"/>
        <v>42814.520289351851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{"issue":{"subject":"","project_id":79,"tracker_id":40,"status_id":1,"priority_id":2,"assigned_to_id":23,"start_date":"2017-03-20","description":"","custom_fields":[{"id":1,"name":"Subdivision","value":"EC"},{"id":4,"name":"Milepost","value":"2.1848"},{"id":17,"name":"Train ID","value":"112-20"},{"id":16,"name":"Locomotive ID","value":"4021"},{"id":130,"name":"Impact","value":""},{"id":150,"name":"Time of Event (Mountain Time)","value":"06:29:13"},{"id":151,"name":"Denver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222"/>
      <c r="AA30" s="48"/>
      <c r="AB30" s="48"/>
      <c r="AC30" s="127" t="str">
        <f t="shared" si="10"/>
        <v>grep -hSE -A400 "Enforcement Action" "%USERPROFILE%\AppData\Local\Temp\OnboardLogs"\RTDC4021\*4021*201703201*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"%USERPROFILE%\AppData\Local\Temp\OnboardLogs"\RTDC4021\*4021*201703201* &gt;&gt; 2017-03-20-SliceDisagreementCheck.txt</v>
      </c>
      <c r="AE30" s="157" t="str">
        <f t="shared" si="9"/>
        <v>start /low /b %USERPROFILE%\Documents\GitHub\eaglep3\Utilities\DownloadLogsFromS3.py --loco 4021 --day 2017-03-20</v>
      </c>
      <c r="AF30" s="1"/>
    </row>
    <row r="31" spans="1:32" x14ac:dyDescent="0.25">
      <c r="A31" s="32">
        <v>42814.338043981479</v>
      </c>
      <c r="B31" s="30" t="s">
        <v>402</v>
      </c>
      <c r="C31" s="30" t="s">
        <v>608</v>
      </c>
      <c r="D31" s="30" t="s">
        <v>49</v>
      </c>
      <c r="E31" s="30" t="s">
        <v>220</v>
      </c>
      <c r="F31" s="43">
        <v>400</v>
      </c>
      <c r="G31" s="43">
        <v>476</v>
      </c>
      <c r="H31" s="43">
        <v>116096</v>
      </c>
      <c r="I31" s="43">
        <v>117382</v>
      </c>
      <c r="J31" s="30" t="s">
        <v>221</v>
      </c>
      <c r="K31" s="43">
        <v>116838</v>
      </c>
      <c r="L31" s="143" t="s">
        <v>50</v>
      </c>
      <c r="M31" s="144">
        <f t="shared" si="0"/>
        <v>-287.23200000000003</v>
      </c>
      <c r="N31" s="145" t="str">
        <f>VLOOKUP(C31,'Trips&amp;Operators'!$C$1:$G$99999,5,FALSE)</f>
        <v>STARKS ANGELINA</v>
      </c>
      <c r="O31" s="194" t="s">
        <v>185</v>
      </c>
      <c r="P31" s="146"/>
      <c r="Q31" s="30"/>
      <c r="R31" s="89" t="str">
        <f>IF(VLOOKUP(C31,'Train Runs'!$A$13:$AE$9944,1,1)=C31,VLOOKUP(C31,'Train Runs'!$A$13:$AE$9944,31,1),NA())</f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S31" s="92" t="str">
        <f>VLOOKUP(C31,'Train Runs'!$A$13:$AE$9944,22,0)</f>
        <v>https://d0f6bd738d7f1b3e5a7ca70fe4ff75f0.us-east-1.aws.found.io/app/kibana#/discover/Steve-Slow-Train-Analysis-(2080s-and-2083s)?_g=(refreshInterval:(display:Off,pause:!f,section:0,value:0),time:(from:'2017-03-20T06:39:43-0600',mode:absolute,to:'2017-03-20T09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1" s="94" t="str">
        <f t="shared" si="1"/>
        <v>"C:\Program Files (x86)\AstroGrep\AstroGrep.exe" /e /r /s /spath="%USERPROFILE%\AppData\Local\Temp\OnboardLogs" /stypes="*4027*201703201*" /stext=" 14:.+((SYSTEM_STATE.+slice.+state.+changed )|(ment ac)|(multiple cpu faults)|(system.+state.+changed )|(\[timeout)|(PRM\|1\|D)|(kpr)|(kdp)|(\|lc)|(penalty))"</v>
      </c>
      <c r="U31" s="9" t="str">
        <f t="shared" si="2"/>
        <v>4027</v>
      </c>
      <c r="V31" s="32">
        <f t="shared" si="3"/>
        <v>42814.588043981479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{"issue":{"subject":"","project_id":79,"tracker_id":40,"status_id":1,"priority_id":2,"assigned_to_id":23,"start_date":"2017-03-20","description":"","custom_fields":[{"id":1,"name":"Subdivision","value":"EC"},{"id":4,"name":"Milepost","value":"11.6838"},{"id":17,"name":"Train ID","value":"133-20"},{"id":16,"name":"Locomotive ID","value":"4027"},{"id":130,"name":"Impact","value":""},{"id":150,"name":"Time of Event (Mountain Time)","value":"08:06:47"},{"id":151,"name":"Denver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22"/>
      <c r="AA31" s="48"/>
      <c r="AB31" s="48"/>
      <c r="AC31" s="127" t="str">
        <f t="shared" si="10"/>
        <v>grep -hSE -A400 "Enforcement Action" "%USERPROFILE%\AppData\Local\Temp\OnboardLogs"\RTDC4027\*4027*201703201*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"%USERPROFILE%\AppData\Local\Temp\OnboardLogs"\RTDC4027\*4027*201703201* &gt;&gt; 2017-03-20-SliceDisagreementCheck.txt</v>
      </c>
      <c r="AE31" s="157" t="str">
        <f t="shared" si="9"/>
        <v>start /low /b %USERPROFILE%\Documents\GitHub\eaglep3\Utilities\DownloadLogsFromS3.py --loco 4027 --day 2017-03-20</v>
      </c>
      <c r="AF31" s="1"/>
    </row>
    <row r="32" spans="1:32" x14ac:dyDescent="0.25">
      <c r="A32" s="32">
        <v>42814.442835648151</v>
      </c>
      <c r="B32" s="30" t="s">
        <v>424</v>
      </c>
      <c r="C32" s="30" t="s">
        <v>619</v>
      </c>
      <c r="D32" s="30" t="s">
        <v>98</v>
      </c>
      <c r="E32" s="30" t="s">
        <v>220</v>
      </c>
      <c r="F32" s="43">
        <v>400</v>
      </c>
      <c r="G32" s="43">
        <v>453</v>
      </c>
      <c r="H32" s="43">
        <v>118843</v>
      </c>
      <c r="I32" s="43">
        <v>120178</v>
      </c>
      <c r="J32" s="30" t="s">
        <v>221</v>
      </c>
      <c r="K32" s="43">
        <v>116838</v>
      </c>
      <c r="L32" s="143" t="s">
        <v>50</v>
      </c>
      <c r="M32" s="144">
        <f t="shared" si="0"/>
        <v>-1763.52</v>
      </c>
      <c r="N32" s="145" t="str">
        <f>VLOOKUP(C32,'Trips&amp;Operators'!$C$1:$G$99999,5,FALSE)</f>
        <v>WILLIAMS DONTE</v>
      </c>
      <c r="O32" s="194" t="s">
        <v>185</v>
      </c>
      <c r="P32" s="146"/>
      <c r="Q32" s="30"/>
      <c r="R32" s="89" t="str">
        <f>IF(VLOOKUP(C32,'Train Runs'!$A$13:$AE$9944,1,1)=C32,VLOOKUP(C32,'Train Runs'!$A$13:$AE$9944,31,1),NA())</f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S32" s="92" t="str">
        <f>VLOOKUP(C32,'Train Runs'!$A$13:$AE$9944,22,0)</f>
        <v>https://d0f6bd738d7f1b3e5a7ca70fe4ff75f0.us-east-1.aws.found.io/app/kibana#/discover/Steve-Slow-Train-Analysis-(2080s-and-2083s)?_g=(refreshInterval:(display:Off,pause:!f,section:0,value:0),time:(from:'2017-03-20T09:08:20-0600',mode:absolute,to:'2017-03-20T11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32" s="94" t="str">
        <f t="shared" si="1"/>
        <v>"C:\Program Files (x86)\AstroGrep\AstroGrep.exe" /e /r /s /spath="%USERPROFILE%\AppData\Local\Temp\OnboardLogs" /stypes="*4022*201703201*" /stext=" 16:.+((SYSTEM_STATE.+slice.+state.+changed )|(ment ac)|(multiple cpu faults)|(system.+state.+changed )|(\[timeout)|(PRM\|1\|D)|(kpr)|(kdp)|(\|lc)|(penalty))"</v>
      </c>
      <c r="U32" s="9" t="str">
        <f t="shared" si="2"/>
        <v>4022</v>
      </c>
      <c r="V32" s="32">
        <f t="shared" si="3"/>
        <v>42814.692835648151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{"issue":{"subject":"","project_id":79,"tracker_id":40,"status_id":1,"priority_id":2,"assigned_to_id":23,"start_date":"2017-03-20","description":"","custom_fields":[{"id":1,"name":"Subdivision","value":"EC"},{"id":4,"name":"Milepost","value":"11.6838"},{"id":17,"name":"Train ID","value":"153-20"},{"id":16,"name":"Locomotive ID","value":"4022"},{"id":130,"name":"Impact","value":""},{"id":150,"name":"Time of Event (Mountain Time)","value":"10:37:41"},{"id":151,"name":"Denver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22"/>
      <c r="AA32" s="48"/>
      <c r="AB32" s="48"/>
      <c r="AC32" s="127" t="str">
        <f t="shared" si="10"/>
        <v>grep -hSE -A400 "Enforcement Action" "%USERPROFILE%\AppData\Local\Temp\OnboardLogs"\RTDC4022\*4022*201703201*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"%USERPROFILE%\AppData\Local\Temp\OnboardLogs"\RTDC4022\*4022*201703201* &gt;&gt; 2017-03-20-SliceDisagreementCheck.txt</v>
      </c>
      <c r="AE32" s="157" t="str">
        <f t="shared" si="9"/>
        <v>start /low /b %USERPROFILE%\Documents\GitHub\eaglep3\Utilities\DownloadLogsFromS3.py --loco 4022 --day 2017-03-20</v>
      </c>
      <c r="AF32" s="1"/>
    </row>
    <row r="33" spans="1:32" x14ac:dyDescent="0.25">
      <c r="A33" s="32">
        <v>42814.655740740738</v>
      </c>
      <c r="B33" s="30" t="s">
        <v>525</v>
      </c>
      <c r="C33" s="30" t="s">
        <v>629</v>
      </c>
      <c r="D33" s="30" t="s">
        <v>49</v>
      </c>
      <c r="E33" s="30" t="s">
        <v>220</v>
      </c>
      <c r="F33" s="43">
        <v>400</v>
      </c>
      <c r="G33" s="43">
        <v>522</v>
      </c>
      <c r="H33" s="43">
        <v>121376</v>
      </c>
      <c r="I33" s="43">
        <v>119478</v>
      </c>
      <c r="J33" s="30" t="s">
        <v>221</v>
      </c>
      <c r="K33" s="43">
        <v>119716</v>
      </c>
      <c r="L33" s="143" t="s">
        <v>51</v>
      </c>
      <c r="M33" s="144">
        <f t="shared" si="0"/>
        <v>-125.664</v>
      </c>
      <c r="N33" s="145" t="str">
        <f>VLOOKUP(C33,'Trips&amp;Operators'!$C$1:$G$99999,5,FALSE)</f>
        <v>STEWART MICHAEL</v>
      </c>
      <c r="O33" s="194" t="s">
        <v>185</v>
      </c>
      <c r="P33" s="146"/>
      <c r="Q33" s="30"/>
      <c r="R33" s="89" t="str">
        <f>IF(VLOOKUP(C33,'Train Runs'!$A$13:$AE$9944,1,1)=C33,VLOOKUP(C33,'Train Runs'!$A$13:$AE$9944,31,1),NA())</f>
        <v>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 &amp; 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</v>
      </c>
      <c r="S33" s="92" t="str">
        <f>VLOOKUP(C33,'Train Runs'!$A$13:$AE$9944,22,0)</f>
        <v>https://d0f6bd738d7f1b3e5a7ca70fe4ff75f0.us-east-1.aws.found.io/app/kibana#/discover/Steve-Slow-Train-Analysis-(2080s-and-2083s)?_g=(refreshInterval:(display:Off,pause:!f,section:0,value:0),time:(from:'2017-03-20T14:19:14-0600',mode:absolute,to:'2017-03-20T17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3" s="94" t="str">
        <f t="shared" si="1"/>
        <v>"C:\Program Files (x86)\AstroGrep\AstroGrep.exe" /e /r /s /spath="%USERPROFILE%\AppData\Local\Temp\OnboardLogs" /stypes="*4026*201703202*" /stext=" 21:.+((SYSTEM_STATE.+slice.+state.+changed )|(ment ac)|(multiple cpu faults)|(system.+state.+changed )|(\[timeout)|(PRM\|1\|D)|(kpr)|(kdp)|(\|lc)|(penalty))"</v>
      </c>
      <c r="U33" s="9" t="str">
        <f t="shared" si="2"/>
        <v>4026</v>
      </c>
      <c r="V33" s="32">
        <f t="shared" si="3"/>
        <v>42814.905740740738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{"issue":{"subject":"","project_id":79,"tracker_id":40,"status_id":1,"priority_id":2,"assigned_to_id":23,"start_date":"2017-03-20","description":"","custom_fields":[{"id":1,"name":"Subdivision","value":"EC"},{"id":4,"name":"Milepost","value":"11.9716"},{"id":17,"name":"Train ID","value":"188-20"},{"id":16,"name":"Locomotive ID","value":"4026"},{"id":130,"name":"Impact","value":""},{"id":150,"name":"Time of Event (Mountain Time)","value":"15:44:16"},{"id":151,"name":"Denver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22"/>
      <c r="AA33" s="48"/>
      <c r="AB33" s="48"/>
      <c r="AC33" s="127" t="str">
        <f t="shared" si="10"/>
        <v>grep -hSE -A400 "Enforcement Action" "%USERPROFILE%\AppData\Local\Temp\OnboardLogs"\RTDC4026\*4026*201703202*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"%USERPROFILE%\AppData\Local\Temp\OnboardLogs"\RTDC4026\*4026*201703202* &gt;&gt; 2017-03-20-SliceDisagreementCheck.txt</v>
      </c>
      <c r="AE33" s="157" t="str">
        <f t="shared" si="9"/>
        <v>start /low /b %USERPROFILE%\Documents\GitHub\eaglep3\Utilities\DownloadLogsFromS3.py --loco 4026 --day 2017-03-20</v>
      </c>
      <c r="AF33" s="1"/>
    </row>
    <row r="34" spans="1:32" x14ac:dyDescent="0.25">
      <c r="A34" s="32">
        <v>42814.419432870367</v>
      </c>
      <c r="B34" s="30" t="s">
        <v>411</v>
      </c>
      <c r="C34" s="30" t="s">
        <v>618</v>
      </c>
      <c r="D34" s="30" t="s">
        <v>98</v>
      </c>
      <c r="E34" s="30" t="s">
        <v>220</v>
      </c>
      <c r="F34" s="43">
        <v>600</v>
      </c>
      <c r="G34" s="43">
        <v>651</v>
      </c>
      <c r="H34" s="43">
        <v>183866</v>
      </c>
      <c r="I34" s="43">
        <v>180810</v>
      </c>
      <c r="J34" s="30" t="s">
        <v>221</v>
      </c>
      <c r="K34" s="43">
        <v>190834</v>
      </c>
      <c r="L34" s="143" t="s">
        <v>51</v>
      </c>
      <c r="M34" s="144">
        <f t="shared" si="0"/>
        <v>-5292.6719999999996</v>
      </c>
      <c r="N34" s="145" t="str">
        <f>VLOOKUP(C34,'Trips&amp;Operators'!$C$1:$G$99999,5,FALSE)</f>
        <v>ROBINSON KADDIBA</v>
      </c>
      <c r="O34" s="194" t="s">
        <v>185</v>
      </c>
      <c r="P34" s="146"/>
      <c r="Q34" s="30"/>
      <c r="R34" s="89" t="str">
        <f>IF(VLOOKUP(C34,'Train Runs'!$A$13:$AE$9944,1,1)=C34,VLOOKUP(C34,'Train Runs'!$A$13:$AE$9944,31,1),NA())</f>
        <v>aws s3 cp s3://rtdc.mdm.uploadarchive.raw/RTDC4045/ "%USERPROFILE%\AppData\Local\Temp\OnboardLogs"\RTDC4045\2017-03-20 --exclude "*" --recursive --include "*20170320*" &amp; "%USERPROFILE%\Documents\GitHub\mrs-test-scripts\Headless Mode &amp; Sideloading\WalkAndUnGZ.bat" "%USERPROFILE%\AppData\Local\Temp\OnboardLogs"\RTDC4045\2017-03-20 &amp; aws s3 cp s3://rtdc.mdm.uploadarchive.raw/RTDC4045/ "%USERPROFILE%\AppData\Local\Temp\OnboardLogs"\RTDC4045\2017-03-21 --exclude "*" --recursive --include "*20170321*" &amp; "%USERPROFILE%\Documents\GitHub\mrs-test-scripts\Headless Mode &amp; Sideloading\WalkAndUnGZ.bat" "%USERPROFILE%\AppData\Local\Temp\OnboardLogs"\RTDC4045\2017-03-21</v>
      </c>
      <c r="S34" s="92" t="str">
        <f>VLOOKUP(C34,'Train Runs'!$A$13:$AE$9944,22,0)</f>
        <v>https://d0f6bd738d7f1b3e5a7ca70fe4ff75f0.us-east-1.aws.found.io/app/kibana#/discover/Steve-Slow-Train-Analysis-(2080s-and-2083s)?_g=(refreshInterval:(display:Off,pause:!f,section:0,value:0),time:(from:'2017-03-20T08:46:37-0600',mode:absolute,to:'2017-03-20T11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4" s="94" t="str">
        <f t="shared" si="1"/>
        <v>"C:\Program Files (x86)\AstroGrep\AstroGrep.exe" /e /r /s /spath="%USERPROFILE%\AppData\Local\Temp\OnboardLogs" /stypes="*4045*201703201*" /stext=" 16:.+((SYSTEM_STATE.+slice.+state.+changed )|(ment ac)|(multiple cpu faults)|(system.+state.+changed )|(\[timeout)|(PRM\|1\|D)|(kpr)|(kdp)|(\|lc)|(penalty))"</v>
      </c>
      <c r="U34" s="9" t="str">
        <f t="shared" si="2"/>
        <v>4045</v>
      </c>
      <c r="V34" s="32">
        <f t="shared" si="3"/>
        <v>42814.669432870367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{"issue":{"subject":"","project_id":79,"tracker_id":40,"status_id":1,"priority_id":2,"assigned_to_id":23,"start_date":"2017-03-20","description":"","custom_fields":[{"id":1,"name":"Subdivision","value":"EC"},{"id":4,"name":"Milepost","value":"19.0834"},{"id":17,"name":"Train ID","value":"144-20"},{"id":16,"name":"Locomotive ID","value":"4045"},{"id":130,"name":"Impact","value":""},{"id":150,"name":"Time of Event (Mountain Time)","value":"10:03:59"},{"id":151,"name":"Denver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22"/>
      <c r="AA34" s="48"/>
      <c r="AB34" s="48"/>
      <c r="AC34" s="127" t="str">
        <f t="shared" si="10"/>
        <v>grep -hSE -A400 "Enforcement Action" "%USERPROFILE%\AppData\Local\Temp\OnboardLogs"\RTDC4045\*4045*201703201*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"%USERPROFILE%\AppData\Local\Temp\OnboardLogs"\RTDC4045\*4045*201703201* &gt;&gt; 2017-03-20-SliceDisagreementCheck.txt</v>
      </c>
      <c r="AE34" s="157" t="str">
        <f t="shared" si="9"/>
        <v>start /low /b %USERPROFILE%\Documents\GitHub\eaglep3\Utilities\DownloadLogsFromS3.py --loco 4045 --day 2017-03-20</v>
      </c>
      <c r="AF34" s="1"/>
    </row>
    <row r="35" spans="1:32" x14ac:dyDescent="0.25">
      <c r="A35" s="32">
        <v>42814.304710648146</v>
      </c>
      <c r="B35" s="30" t="s">
        <v>424</v>
      </c>
      <c r="C35" s="30" t="s">
        <v>602</v>
      </c>
      <c r="D35" s="30" t="s">
        <v>49</v>
      </c>
      <c r="E35" s="30" t="s">
        <v>220</v>
      </c>
      <c r="F35" s="43">
        <v>550</v>
      </c>
      <c r="G35" s="43">
        <v>793</v>
      </c>
      <c r="H35" s="43">
        <v>218353</v>
      </c>
      <c r="I35" s="43">
        <v>222139</v>
      </c>
      <c r="J35" s="30" t="s">
        <v>221</v>
      </c>
      <c r="K35" s="43">
        <v>222090</v>
      </c>
      <c r="L35" s="143" t="s">
        <v>50</v>
      </c>
      <c r="M35" s="144">
        <f t="shared" si="0"/>
        <v>-25.872</v>
      </c>
      <c r="N35" s="145" t="str">
        <f>VLOOKUP(C35,'Trips&amp;Operators'!$C$1:$G$99999,5,FALSE)</f>
        <v>WILLIAMS DONTE</v>
      </c>
      <c r="O35" s="194" t="s">
        <v>185</v>
      </c>
      <c r="P35" s="146"/>
      <c r="Q35" s="30"/>
      <c r="R35" s="89" t="str">
        <f>IF(VLOOKUP(C35,'Train Runs'!$A$13:$AE$9944,1,1)=C35,VLOOKUP(C35,'Train Runs'!$A$13:$AE$9944,31,1),NA())</f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S35" s="92" t="str">
        <f>VLOOKUP(C35,'Train Runs'!$A$13:$AE$9944,22,0)</f>
        <v>https://d0f6bd738d7f1b3e5a7ca70fe4ff75f0.us-east-1.aws.found.io/app/kibana#/discover/Steve-Slow-Train-Analysis-(2080s-and-2083s)?_g=(refreshInterval:(display:Off,pause:!f,section:0,value:0),time:(from:'2017-03-20T05:39:30-0600',mode:absolute,to:'2017-03-20T08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35" s="94" t="str">
        <f t="shared" si="1"/>
        <v>"C:\Program Files (x86)\AstroGrep\AstroGrep.exe" /e /r /s /spath="%USERPROFILE%\AppData\Local\Temp\OnboardLogs" /stypes="*4022*201703201*" /stext=" 13:.+((SYSTEM_STATE.+slice.+state.+changed )|(ment ac)|(multiple cpu faults)|(system.+state.+changed )|(\[timeout)|(PRM\|1\|D)|(kpr)|(kdp)|(\|lc)|(penalty))"</v>
      </c>
      <c r="U35" s="9" t="str">
        <f t="shared" si="2"/>
        <v>4022</v>
      </c>
      <c r="V35" s="32">
        <f t="shared" si="3"/>
        <v>42814.554710648146</v>
      </c>
      <c r="W35" s="46" t="str">
        <f t="shared" si="4"/>
        <v>EC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{"issue":{"subject":"","project_id":79,"tracker_id":40,"status_id":1,"priority_id":2,"assigned_to_id":23,"start_date":"2017-03-20","description":"","custom_fields":[{"id":1,"name":"Subdivision","value":"EC"},{"id":4,"name":"Milepost","value":"22.209"},{"id":17,"name":"Train ID","value":"125-20"},{"id":16,"name":"Locomotive ID","value":"4022"},{"id":130,"name":"Impact","value":""},{"id":150,"name":"Time of Event (Mountain Time)","value":"07:18:47"},{"id":151,"name":"Denver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22"/>
      <c r="AA35" s="48"/>
      <c r="AB35" s="48"/>
      <c r="AC35" s="127" t="str">
        <f t="shared" si="10"/>
        <v>grep -hSE -A400 "Enforcement Action" "%USERPROFILE%\AppData\Local\Temp\OnboardLogs"\RTDC4022\*4022*201703201*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"%USERPROFILE%\AppData\Local\Temp\OnboardLogs"\RTDC4022\*4022*201703201* &gt;&gt; 2017-03-20-SliceDisagreementCheck.txt</v>
      </c>
      <c r="AE35" s="157" t="str">
        <f t="shared" si="9"/>
        <v>start /low /b %USERPROFILE%\Documents\GitHub\eaglep3\Utilities\DownloadLogsFromS3.py --loco 4022 --day 2017-03-20</v>
      </c>
      <c r="AF35" s="1"/>
    </row>
    <row r="36" spans="1:32" x14ac:dyDescent="0.25">
      <c r="A36" s="32">
        <v>42814.321770833332</v>
      </c>
      <c r="B36" s="30" t="s">
        <v>421</v>
      </c>
      <c r="C36" s="30" t="s">
        <v>607</v>
      </c>
      <c r="D36" s="30" t="s">
        <v>49</v>
      </c>
      <c r="E36" s="30" t="s">
        <v>220</v>
      </c>
      <c r="F36" s="43">
        <v>150</v>
      </c>
      <c r="G36" s="43">
        <v>204</v>
      </c>
      <c r="H36" s="43">
        <v>229168</v>
      </c>
      <c r="I36" s="43">
        <v>228898</v>
      </c>
      <c r="J36" s="30" t="s">
        <v>221</v>
      </c>
      <c r="K36" s="43">
        <v>229055</v>
      </c>
      <c r="L36" s="143" t="s">
        <v>51</v>
      </c>
      <c r="M36" s="144">
        <f t="shared" si="0"/>
        <v>-82.895999999999987</v>
      </c>
      <c r="N36" s="145" t="str">
        <f>VLOOKUP(C36,'Trips&amp;Operators'!$C$1:$G$99999,5,FALSE)</f>
        <v>WILLIAMS DONTE</v>
      </c>
      <c r="O36" s="194" t="s">
        <v>185</v>
      </c>
      <c r="P36" s="146"/>
      <c r="Q36" s="30"/>
      <c r="R36" s="89" t="str">
        <f>IF(VLOOKUP(C36,'Train Runs'!$A$13:$AE$9944,1,1)=C36,VLOOKUP(C36,'Train Runs'!$A$13:$AE$9944,31,1),NA())</f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S36" s="92" t="str">
        <f>VLOOKUP(C36,'Train Runs'!$A$13:$AE$9944,22,0)</f>
        <v>https://d0f6bd738d7f1b3e5a7ca70fe4ff75f0.us-east-1.aws.found.io/app/kibana#/discover/Steve-Slow-Train-Analysis-(2080s-and-2083s)?_g=(refreshInterval:(display:Off,pause:!f,section:0,value:0),time:(from:'2017-03-20T06:25:37-0600',mode:absolute,to:'2017-03-20T09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6" s="94" t="str">
        <f t="shared" si="1"/>
        <v>"C:\Program Files (x86)\AstroGrep\AstroGrep.exe" /e /r /s /spath="%USERPROFILE%\AppData\Local\Temp\OnboardLogs" /stypes="*4021*201703201*" /stext=" 13:.+((SYSTEM_STATE.+slice.+state.+changed )|(ment ac)|(multiple cpu faults)|(system.+state.+changed )|(\[timeout)|(PRM\|1\|D)|(kpr)|(kdp)|(\|lc)|(penalty))"</v>
      </c>
      <c r="U36" s="9" t="str">
        <f t="shared" si="2"/>
        <v>4021</v>
      </c>
      <c r="V36" s="32">
        <f t="shared" si="3"/>
        <v>42814.571770833332</v>
      </c>
      <c r="W36" s="46" t="str">
        <f t="shared" si="4"/>
        <v>EC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{"issue":{"subject":"","project_id":79,"tracker_id":40,"status_id":1,"priority_id":2,"assigned_to_id":23,"start_date":"2017-03-20","description":"","custom_fields":[{"id":1,"name":"Subdivision","value":"EC"},{"id":4,"name":"Milepost","value":"22.9055"},{"id":17,"name":"Train ID","value":"126-20"},{"id":16,"name":"Locomotive ID","value":"4021"},{"id":130,"name":"Impact","value":""},{"id":150,"name":"Time of Event (Mountain Time)","value":"07:43:21"},{"id":151,"name":"Denver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22"/>
      <c r="AA36" s="48"/>
      <c r="AB36" s="48"/>
      <c r="AC36" s="127" t="str">
        <f t="shared" si="10"/>
        <v>grep -hSE -A400 "Enforcement Action" "%USERPROFILE%\AppData\Local\Temp\OnboardLogs"\RTDC4021\*4021*201703201*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"%USERPROFILE%\AppData\Local\Temp\OnboardLogs"\RTDC4021\*4021*201703201* &gt;&gt; 2017-03-20-SliceDisagreementCheck.txt</v>
      </c>
      <c r="AE36" s="157" t="str">
        <f t="shared" si="9"/>
        <v>start /low /b %USERPROFILE%\Documents\GitHub\eaglep3\Utilities\DownloadLogsFromS3.py --loco 4021 --day 2017-03-20</v>
      </c>
      <c r="AF36" s="1"/>
    </row>
    <row r="37" spans="1:32" x14ac:dyDescent="0.25">
      <c r="A37" s="32">
        <v>42814.729490740741</v>
      </c>
      <c r="B37" s="30" t="s">
        <v>542</v>
      </c>
      <c r="C37" s="30" t="s">
        <v>635</v>
      </c>
      <c r="D37" s="30" t="s">
        <v>49</v>
      </c>
      <c r="E37" s="30" t="s">
        <v>365</v>
      </c>
      <c r="F37" s="43">
        <v>0</v>
      </c>
      <c r="G37" s="43">
        <v>155</v>
      </c>
      <c r="H37" s="43">
        <v>961</v>
      </c>
      <c r="I37" s="43">
        <v>1173</v>
      </c>
      <c r="J37" s="30" t="s">
        <v>366</v>
      </c>
      <c r="K37" s="43">
        <v>1692</v>
      </c>
      <c r="L37" s="143" t="s">
        <v>50</v>
      </c>
      <c r="M37" s="144">
        <f t="shared" si="0"/>
        <v>274.03199999999998</v>
      </c>
      <c r="N37" s="145" t="str">
        <f>VLOOKUP(C37,'Trips&amp;Operators'!$C$1:$G$99999,5,FALSE)</f>
        <v>LOCKLEAR TRAVIS</v>
      </c>
      <c r="O37" s="194" t="s">
        <v>185</v>
      </c>
      <c r="P37" s="146" t="s">
        <v>595</v>
      </c>
      <c r="Q37" s="30"/>
      <c r="R37" s="89" t="str">
        <f>IF(VLOOKUP(C37,'Train Runs'!$A$13:$AE$9944,1,1)=C37,VLOOKUP(C37,'Train Runs'!$A$13:$AE$9944,31,1),NA())</f>
        <v>aws s3 cp s3://rtdc.mdm.uploadarchive.raw/RTDC4018/ "%USERPROFILE%\AppData\Local\Temp\OnboardLogs"\RTDC4018\2017-03-20 --exclude "*" --recursive --include "*20170320*" &amp; "%USERPROFILE%\Documents\GitHub\mrs-test-scripts\Headless Mode &amp; Sideloading\WalkAndUnGZ.bat" "%USERPROFILE%\AppData\Local\Temp\OnboardLogs"\RTDC4018\2017-03-20 &amp; aws s3 cp s3://rtdc.mdm.uploadarchive.raw/RTDC4018/ "%USERPROFILE%\AppData\Local\Temp\OnboardLogs"\RTDC4018\2017-03-21 --exclude "*" --recursive --include "*20170321*" &amp; "%USERPROFILE%\Documents\GitHub\mrs-test-scripts\Headless Mode &amp; Sideloading\WalkAndUnGZ.bat" "%USERPROFILE%\AppData\Local\Temp\OnboardLogs"\RTDC4018\2017-03-21</v>
      </c>
      <c r="S37" s="92" t="str">
        <f>VLOOKUP(C37,'Train Runs'!$A$13:$AE$9944,22,0)</f>
        <v>https://d0f6bd738d7f1b3e5a7ca70fe4ff75f0.us-east-1.aws.found.io/app/kibana#/discover/Steve-Slow-Train-Analysis-(2080s-and-2083s)?_g=(refreshInterval:(display:Off,pause:!f,section:0,value:0),time:(from:'2017-03-20T16:35:42-0600',mode:absolute,to:'2017-03-20T19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7" s="94" t="str">
        <f t="shared" si="1"/>
        <v>"C:\Program Files (x86)\AstroGrep\AstroGrep.exe" /e /r /s /spath="%USERPROFILE%\AppData\Local\Temp\OnboardLogs" /stypes="*4018*201703202*" /stext=" 23:.+((SYSTEM_STATE.+slice.+state.+changed )|(ment ac)|(multiple cpu faults)|(system.+state.+changed )|(\[timeout)|(PRM\|1\|D)|(kpr)|(kdp)|(\|lc)|(penalty))"</v>
      </c>
      <c r="U37" s="9" t="str">
        <f t="shared" si="2"/>
        <v>4018</v>
      </c>
      <c r="V37" s="32">
        <f t="shared" si="3"/>
        <v>42814.979490740741</v>
      </c>
      <c r="W37" s="46" t="str">
        <f t="shared" si="4"/>
        <v>EC</v>
      </c>
      <c r="X37" s="46" t="str">
        <f t="shared" si="5"/>
        <v>KEEP</v>
      </c>
      <c r="Y37" s="108" t="str">
        <f t="shared" si="6"/>
        <v>echo {"issue":{"subject":"Selected wrong track","project_id":79,"tracker_id":40,"status_id":1,"priority_id":2,"assigned_to_id":23,"start_date":"2017-03-20","description":"","custom_fields":[{"id":1,"name":"Subdivision","value":"EC"},{"id":4,"name":"Milepost","value":"0.1692"},{"id":17,"name":"Train ID","value":"211-20"},{"id":16,"name":"Locomotive ID","value":"4018"},{"id":130,"name":"Impact","value":""},{"id":150,"name":"Time of Event (Mountain Time)","value":"17:30:28"},{"id":151,"name":"Denver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22"/>
      <c r="AA37" s="48"/>
      <c r="AB37" s="48"/>
      <c r="AC37" s="127" t="str">
        <f t="shared" si="10"/>
        <v>grep -hSE -A400 "Enforcement Action" "%USERPROFILE%\AppData\Local\Temp\OnboardLogs"\RTDC4018\*4018*201703202*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"%USERPROFILE%\AppData\Local\Temp\OnboardLogs"\RTDC4018\*4018*201703202* &gt;&gt; 2017-03-20-SliceDisagreementCheck.txt</v>
      </c>
      <c r="AE37" s="157" t="str">
        <f t="shared" si="9"/>
        <v>start /low /b %USERPROFILE%\Documents\GitHub\eaglep3\Utilities\DownloadLogsFromS3.py --loco 4018 --day 2017-03-20</v>
      </c>
      <c r="AF37" s="1"/>
    </row>
    <row r="38" spans="1:32" x14ac:dyDescent="0.25">
      <c r="A38" s="32">
        <v>42814.642407407409</v>
      </c>
      <c r="B38" s="30" t="s">
        <v>526</v>
      </c>
      <c r="C38" s="30" t="s">
        <v>628</v>
      </c>
      <c r="D38" s="30" t="s">
        <v>49</v>
      </c>
      <c r="E38" s="30" t="s">
        <v>365</v>
      </c>
      <c r="F38" s="43">
        <v>0</v>
      </c>
      <c r="G38" s="43">
        <v>380</v>
      </c>
      <c r="H38" s="43">
        <v>129582</v>
      </c>
      <c r="I38" s="43">
        <v>131034</v>
      </c>
      <c r="J38" s="30" t="s">
        <v>366</v>
      </c>
      <c r="K38" s="43">
        <v>133155</v>
      </c>
      <c r="L38" s="143" t="s">
        <v>50</v>
      </c>
      <c r="M38" s="144">
        <f t="shared" si="0"/>
        <v>1119.8879999999999</v>
      </c>
      <c r="N38" s="145" t="str">
        <f>VLOOKUP(C38,'Trips&amp;Operators'!$C$1:$G$99999,5,FALSE)</f>
        <v>MOSES BRADLEY</v>
      </c>
      <c r="O38" s="194" t="s">
        <v>367</v>
      </c>
      <c r="P38" s="146" t="s">
        <v>594</v>
      </c>
      <c r="Q38" s="30"/>
      <c r="R38" s="89" t="str">
        <f>IF(VLOOKUP(C38,'Train Runs'!$A$13:$AE$9944,1,1)=C38,VLOOKUP(C38,'Train Runs'!$A$13:$AE$9944,31,1),NA())</f>
        <v>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 &amp; 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</v>
      </c>
      <c r="S38" s="92" t="str">
        <f>VLOOKUP(C38,'Train Runs'!$A$13:$AE$9944,22,0)</f>
        <v>https://d0f6bd738d7f1b3e5a7ca70fe4ff75f0.us-east-1.aws.found.io/app/kibana#/discover/Steve-Slow-Train-Analysis-(2080s-and-2083s)?_g=(refreshInterval:(display:Off,pause:!f,section:0,value:0),time:(from:'2017-03-20T13:58:44-0600',mode:absolute,to:'2017-03-20T16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8" s="94" t="str">
        <f t="shared" si="1"/>
        <v>"C:\Program Files (x86)\AstroGrep\AstroGrep.exe" /e /r /s /spath="%USERPROFILE%\AppData\Local\Temp\OnboardLogs" /stypes="*4003*201703202*" /stext=" 21:.+((SYSTEM_STATE.+slice.+state.+changed )|(ment ac)|(multiple cpu faults)|(system.+state.+changed )|(\[timeout)|(PRM\|1\|D)|(kpr)|(kdp)|(\|lc)|(penalty))"</v>
      </c>
      <c r="U38" s="9" t="str">
        <f t="shared" si="2"/>
        <v>4003</v>
      </c>
      <c r="V38" s="32">
        <f t="shared" si="3"/>
        <v>42814.892407407409</v>
      </c>
      <c r="W38" s="46" t="str">
        <f t="shared" si="4"/>
        <v>EC</v>
      </c>
      <c r="X38" s="46" t="str">
        <f t="shared" si="5"/>
        <v>KEEP</v>
      </c>
      <c r="Y38" s="108" t="str">
        <f t="shared" si="6"/>
        <v>echo {"issue":{"subject":"Wi-MAX data drop","project_id":79,"tracker_id":40,"status_id":1,"priority_id":2,"assigned_to_id":23,"start_date":"2017-03-20","description":"http://stevetu21.github.io/eaglep3/load_kml.html?kml=http://rtdc.gmaps-snips.s3.amazonaws.com/207086b3-cd20-4c13-82a6-37f9914126ff.kml
No issues found within nomad status","custom_fields":[{"id":1,"name":"Subdivision","value":"EC"},{"id":4,"name":"Milepost","value":"13.3155"},{"id":17,"name":"Train ID","value":"191-20"},{"id":16,"name":"Locomotive ID","value":"4003"},{"id":130,"name":"Impact","value":"Enforcement"},{"id":150,"name":"Time of Event (Mountain Time)","value":"15:25:04"},{"id":151,"name":"Denver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8" s="223" t="s">
        <v>1014</v>
      </c>
      <c r="AA38" s="48" t="s">
        <v>124</v>
      </c>
      <c r="AB38" s="48" t="s">
        <v>137</v>
      </c>
      <c r="AC38" s="127" t="str">
        <f t="shared" si="10"/>
        <v>grep -hSE -A400 "Enforcement Action" "%USERPROFILE%\AppData\Local\Temp\OnboardLogs"\RTDC4003\*4003*201703202*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"%USERPROFILE%\AppData\Local\Temp\OnboardLogs"\RTDC4003\*4003*201703202* &gt;&gt; 2017-03-20-SliceDisagreementCheck.txt</v>
      </c>
      <c r="AE38" s="157" t="str">
        <f t="shared" si="9"/>
        <v>start /low /b %USERPROFILE%\Documents\GitHub\eaglep3\Utilities\DownloadLogsFromS3.py --loco 4003 --day 2017-03-20</v>
      </c>
      <c r="AF38" s="1"/>
    </row>
    <row r="39" spans="1:32" x14ac:dyDescent="0.25">
      <c r="A39" s="32">
        <v>42814.723240740743</v>
      </c>
      <c r="B39" s="30" t="s">
        <v>526</v>
      </c>
      <c r="C39" s="30" t="s">
        <v>634</v>
      </c>
      <c r="D39" s="30" t="s">
        <v>49</v>
      </c>
      <c r="E39" s="30" t="s">
        <v>365</v>
      </c>
      <c r="F39" s="43">
        <v>0</v>
      </c>
      <c r="G39" s="43">
        <v>76</v>
      </c>
      <c r="H39" s="43">
        <v>216881</v>
      </c>
      <c r="I39" s="43">
        <v>216948</v>
      </c>
      <c r="J39" s="30" t="s">
        <v>366</v>
      </c>
      <c r="K39" s="43">
        <v>217106</v>
      </c>
      <c r="L39" s="143" t="s">
        <v>50</v>
      </c>
      <c r="M39" s="144">
        <f t="shared" ref="M39:M68" si="11">CONVERT((I39-K39)/10000,"mi","ft")*IF(L39="Increasing Mileposts (1)",-1,1)</f>
        <v>83.424000000000007</v>
      </c>
      <c r="N39" s="145" t="str">
        <f>VLOOKUP(C39,'Trips&amp;Operators'!$C$1:$G$99999,5,FALSE)</f>
        <v>CLARK KATHLEEN</v>
      </c>
      <c r="O39" s="194" t="s">
        <v>185</v>
      </c>
      <c r="P39" s="146" t="s">
        <v>1010</v>
      </c>
      <c r="Q39" s="30"/>
      <c r="R39" s="89" t="str">
        <f>IF(VLOOKUP(C39,'Train Runs'!$A$13:$AE$9944,1,1)=C39,VLOOKUP(C39,'Train Runs'!$A$13:$AE$9944,31,1),NA())</f>
        <v>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 &amp; 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</v>
      </c>
      <c r="S39" s="92" t="str">
        <f>VLOOKUP(C39,'Train Runs'!$A$13:$AE$9944,22,0)</f>
        <v>https://d0f6bd738d7f1b3e5a7ca70fe4ff75f0.us-east-1.aws.found.io/app/kibana#/discover/Steve-Slow-Train-Analysis-(2080s-and-2083s)?_g=(refreshInterval:(display:Off,pause:!f,section:0,value:0),time:(from:'2017-03-20T15:38:08-0600',mode:absolute,to:'2017-03-20T18:26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9" s="94" t="str">
        <f t="shared" ref="T39:T68" si="12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/stypes="*4003*201703202*" /stext=" 23:.+((SYSTEM_STATE.+slice.+state.+changed )|(ment ac)|(multiple cpu faults)|(system.+state.+changed )|(\[timeout)|(PRM\|1\|D)|(kpr)|(kdp)|(\|lc)|(penalty))"</v>
      </c>
      <c r="U39" s="9" t="str">
        <f t="shared" ref="U39:U68" si="13">MID(B39,13,4)</f>
        <v>4003</v>
      </c>
      <c r="V39" s="32">
        <f t="shared" ref="V39:V68" si="14">A39-utc_offset/24</f>
        <v>42814.973240740743</v>
      </c>
      <c r="W39" s="46" t="str">
        <f t="shared" ref="W39:W68" si="15">IFERROR(IF(VALUE(LEFT(IF(LEN(C39)=6,"0"&amp;C39,C39),2))&lt;=2,"EC",IF(OR(VALUE(LEFT(IF(LEN(C39)=6,"0"&amp;C39,C39),2))=8,VALUE(LEFT(IF(LEN(C39)=6,"0"&amp;C39,C39),2))=18),"NW","Other")),"Other")</f>
        <v>EC</v>
      </c>
      <c r="X39" s="46" t="str">
        <f t="shared" ref="X39:X68" si="16">IF(AND(E39="TRACK WARRANT AUTHORITY",G39&lt;10),"OMIT","KEEP")</f>
        <v>KEEP</v>
      </c>
      <c r="Y39" s="108" t="str">
        <f t="shared" ref="Y39:Y68" si="17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{"issue":{"subject":"DTO efficiency test","project_id":79,"tracker_id":40,"status_id":1,"priority_id":2,"assigned_to_id":23,"start_date":"2017-03-20","description":"","custom_fields":[{"id":1,"name":"Subdivision","value":"EC"},{"id":4,"name":"Milepost","value":"21.7106"},{"id":17,"name":"Train ID","value":"205-20"},{"id":16,"name":"Locomotive ID","value":"4003"},{"id":130,"name":"Impact","value":""},{"id":150,"name":"Time of Event (Mountain Time)","value":"17:21:28"},{"id":151,"name":"Denver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22"/>
      <c r="AA39" s="48"/>
      <c r="AB39" s="48"/>
      <c r="AC39" s="127" t="str">
        <f t="shared" si="10"/>
        <v>grep -hSE -A400 "Enforcement Action" "%USERPROFILE%\AppData\Local\Temp\OnboardLogs"\RTDC4003\*4003*201703202*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"%USERPROFILE%\AppData\Local\Temp\OnboardLogs"\RTDC4003\*4003*201703202* &gt;&gt; 2017-03-20-SliceDisagreementCheck.txt</v>
      </c>
      <c r="AE39" s="157" t="str">
        <f t="shared" si="9"/>
        <v>start /low /b %USERPROFILE%\Documents\GitHub\eaglep3\Utilities\DownloadLogsFromS3.py --loco 4003 --day 2017-03-20</v>
      </c>
      <c r="AF39" s="1"/>
    </row>
    <row r="40" spans="1:32" x14ac:dyDescent="0.25">
      <c r="A40" s="32">
        <v>42814.348043981481</v>
      </c>
      <c r="B40" s="30" t="s">
        <v>421</v>
      </c>
      <c r="C40" s="30" t="s">
        <v>607</v>
      </c>
      <c r="D40" s="30" t="s">
        <v>49</v>
      </c>
      <c r="E40" s="30" t="s">
        <v>186</v>
      </c>
      <c r="F40" s="43">
        <v>0</v>
      </c>
      <c r="G40" s="43">
        <v>40</v>
      </c>
      <c r="H40" s="43">
        <v>134</v>
      </c>
      <c r="I40" s="43">
        <v>119</v>
      </c>
      <c r="J40" s="30" t="s">
        <v>187</v>
      </c>
      <c r="K40" s="43">
        <v>1</v>
      </c>
      <c r="L40" s="143" t="s">
        <v>51</v>
      </c>
      <c r="M40" s="144">
        <f t="shared" si="11"/>
        <v>62.304000000000002</v>
      </c>
      <c r="N40" s="145" t="str">
        <f>VLOOKUP(C40,'Trips&amp;Operators'!$C$1:$G$99999,5,FALSE)</f>
        <v>WILLIAMS DONTE</v>
      </c>
      <c r="O40" s="194" t="s">
        <v>185</v>
      </c>
      <c r="P40" s="146"/>
      <c r="Q40" s="30"/>
      <c r="R40" s="89" t="str">
        <f>IF(VLOOKUP(C40,'Train Runs'!$A$13:$AE$9944,1,1)=C40,VLOOKUP(C40,'Train Runs'!$A$13:$AE$9944,31,1),NA())</f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S40" s="92" t="str">
        <f>VLOOKUP(C40,'Train Runs'!$A$13:$AE$9944,22,0)</f>
        <v>https://d0f6bd738d7f1b3e5a7ca70fe4ff75f0.us-east-1.aws.found.io/app/kibana#/discover/Steve-Slow-Train-Analysis-(2080s-and-2083s)?_g=(refreshInterval:(display:Off,pause:!f,section:0,value:0),time:(from:'2017-03-20T06:25:37-0600',mode:absolute,to:'2017-03-20T09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0" s="94" t="str">
        <f t="shared" si="12"/>
        <v>"C:\Program Files (x86)\AstroGrep\AstroGrep.exe" /e /r /s /spath="%USERPROFILE%\AppData\Local\Temp\OnboardLogs" /stypes="*4021*201703201*" /stext=" 14:.+((SYSTEM_STATE.+slice.+state.+changed )|(ment ac)|(multiple cpu faults)|(system.+state.+changed )|(\[timeout)|(PRM\|1\|D)|(kpr)|(kdp)|(\|lc)|(penalty))"</v>
      </c>
      <c r="U40" s="9" t="str">
        <f t="shared" si="13"/>
        <v>4021</v>
      </c>
      <c r="V40" s="32">
        <f t="shared" si="14"/>
        <v>42814.598043981481</v>
      </c>
      <c r="W40" s="46" t="str">
        <f t="shared" si="15"/>
        <v>EC</v>
      </c>
      <c r="X40" s="46" t="str">
        <f t="shared" si="16"/>
        <v>KEEP</v>
      </c>
      <c r="Y40" s="108" t="str">
        <f t="shared" si="17"/>
        <v>echo {"issue":{"subject":"","project_id":79,"tracker_id":40,"status_id":1,"priority_id":2,"assigned_to_id":23,"start_date":"2017-03-20","description":"","custom_fields":[{"id":1,"name":"Subdivision","value":"EC"},{"id":4,"name":"Milepost","value":"0.0001"},{"id":17,"name":"Train ID","value":"126-20"},{"id":16,"name":"Locomotive ID","value":"4021"},{"id":130,"name":"Impact","value":""},{"id":150,"name":"Time of Event (Mountain Time)","value":"08:21:11"},{"id":151,"name":"Denver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222"/>
      <c r="AA40" s="48"/>
      <c r="AB40" s="48"/>
      <c r="AC40" s="127" t="str">
        <f t="shared" si="10"/>
        <v>grep -hSE -A400 "Enforcement Action" "%USERPROFILE%\AppData\Local\Temp\OnboardLogs"\RTDC4021\*4021*201703201*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"%USERPROFILE%\AppData\Local\Temp\OnboardLogs"\RTDC4021\*4021*201703201* &gt;&gt; 2017-03-20-SliceDisagreementCheck.txt</v>
      </c>
      <c r="AE40" s="157" t="str">
        <f t="shared" si="9"/>
        <v>start /low /b %USERPROFILE%\Documents\GitHub\eaglep3\Utilities\DownloadLogsFromS3.py --loco 4021 --day 2017-03-20</v>
      </c>
      <c r="AF40" s="1"/>
    </row>
    <row r="41" spans="1:32" x14ac:dyDescent="0.25">
      <c r="A41" s="32">
        <v>42814.67224537037</v>
      </c>
      <c r="B41" s="30" t="s">
        <v>525</v>
      </c>
      <c r="C41" s="30" t="s">
        <v>629</v>
      </c>
      <c r="D41" s="30" t="s">
        <v>49</v>
      </c>
      <c r="E41" s="30" t="s">
        <v>186</v>
      </c>
      <c r="F41" s="43">
        <v>0</v>
      </c>
      <c r="G41" s="43">
        <v>156</v>
      </c>
      <c r="H41" s="43">
        <v>615</v>
      </c>
      <c r="I41" s="43">
        <v>407</v>
      </c>
      <c r="J41" s="30" t="s">
        <v>187</v>
      </c>
      <c r="K41" s="43">
        <v>1</v>
      </c>
      <c r="L41" s="143" t="s">
        <v>51</v>
      </c>
      <c r="M41" s="144">
        <f t="shared" si="11"/>
        <v>214.36799999999999</v>
      </c>
      <c r="N41" s="145" t="str">
        <f>VLOOKUP(C41,'Trips&amp;Operators'!$C$1:$G$99999,5,FALSE)</f>
        <v>STEWART MICHAEL</v>
      </c>
      <c r="O41" s="194" t="s">
        <v>185</v>
      </c>
      <c r="P41" s="146"/>
      <c r="Q41" s="30"/>
      <c r="R41" s="89" t="str">
        <f>IF(VLOOKUP(C41,'Train Runs'!$A$13:$AE$9944,1,1)=C41,VLOOKUP(C41,'Train Runs'!$A$13:$AE$9944,31,1),NA())</f>
        <v>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 &amp; 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</v>
      </c>
      <c r="S41" s="92" t="str">
        <f>VLOOKUP(C41,'Train Runs'!$A$13:$AE$9944,22,0)</f>
        <v>https://d0f6bd738d7f1b3e5a7ca70fe4ff75f0.us-east-1.aws.found.io/app/kibana#/discover/Steve-Slow-Train-Analysis-(2080s-and-2083s)?_g=(refreshInterval:(display:Off,pause:!f,section:0,value:0),time:(from:'2017-03-20T14:19:14-0600',mode:absolute,to:'2017-03-20T17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1" s="94" t="str">
        <f t="shared" si="12"/>
        <v>"C:\Program Files (x86)\AstroGrep\AstroGrep.exe" /e /r /s /spath="%USERPROFILE%\AppData\Local\Temp\OnboardLogs" /stypes="*4026*201703202*" /stext=" 22:.+((SYSTEM_STATE.+slice.+state.+changed )|(ment ac)|(multiple cpu faults)|(system.+state.+changed )|(\[timeout)|(PRM\|1\|D)|(kpr)|(kdp)|(\|lc)|(penalty))"</v>
      </c>
      <c r="U41" s="9" t="str">
        <f t="shared" si="13"/>
        <v>4026</v>
      </c>
      <c r="V41" s="32">
        <f t="shared" si="14"/>
        <v>42814.92224537037</v>
      </c>
      <c r="W41" s="46" t="str">
        <f t="shared" si="15"/>
        <v>EC</v>
      </c>
      <c r="X41" s="46" t="str">
        <f t="shared" si="16"/>
        <v>KEEP</v>
      </c>
      <c r="Y41" s="108" t="str">
        <f t="shared" si="17"/>
        <v>echo {"issue":{"subject":"","project_id":79,"tracker_id":40,"status_id":1,"priority_id":2,"assigned_to_id":23,"start_date":"2017-03-20","description":"","custom_fields":[{"id":1,"name":"Subdivision","value":"EC"},{"id":4,"name":"Milepost","value":"0.0001"},{"id":17,"name":"Train ID","value":"188-20"},{"id":16,"name":"Locomotive ID","value":"4026"},{"id":130,"name":"Impact","value":""},{"id":150,"name":"Time of Event (Mountain Time)","value":"16:08:02"},{"id":151,"name":"Denver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222"/>
      <c r="AA41" s="48"/>
      <c r="AB41" s="48"/>
      <c r="AC41" s="127" t="str">
        <f t="shared" si="10"/>
        <v>grep -hSE -A400 "Enforcement Action" "%USERPROFILE%\AppData\Local\Temp\OnboardLogs"\RTDC4026\*4026*201703202*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"%USERPROFILE%\AppData\Local\Temp\OnboardLogs"\RTDC4026\*4026*201703202* &gt;&gt; 2017-03-20-SliceDisagreementCheck.txt</v>
      </c>
      <c r="AE41" s="157" t="str">
        <f t="shared" si="9"/>
        <v>start /low /b %USERPROFILE%\Documents\GitHub\eaglep3\Utilities\DownloadLogsFromS3.py --loco 4026 --day 2017-03-20</v>
      </c>
      <c r="AF41" s="1"/>
    </row>
    <row r="42" spans="1:32" x14ac:dyDescent="0.25">
      <c r="A42" s="32">
        <v>42814.683391203704</v>
      </c>
      <c r="B42" s="30" t="s">
        <v>401</v>
      </c>
      <c r="C42" s="30" t="s">
        <v>631</v>
      </c>
      <c r="D42" s="30" t="s">
        <v>49</v>
      </c>
      <c r="E42" s="30" t="s">
        <v>186</v>
      </c>
      <c r="F42" s="43">
        <v>0</v>
      </c>
      <c r="G42" s="43">
        <v>68</v>
      </c>
      <c r="H42" s="43">
        <v>234</v>
      </c>
      <c r="I42" s="43">
        <v>160</v>
      </c>
      <c r="J42" s="30" t="s">
        <v>187</v>
      </c>
      <c r="K42" s="43">
        <v>1</v>
      </c>
      <c r="L42" s="143" t="s">
        <v>51</v>
      </c>
      <c r="M42" s="144">
        <f t="shared" si="11"/>
        <v>83.951999999999998</v>
      </c>
      <c r="N42" s="145" t="str">
        <f>VLOOKUP(C42,'Trips&amp;Operators'!$C$1:$G$99999,5,FALSE)</f>
        <v>DAVIS MICHAEL</v>
      </c>
      <c r="O42" s="194" t="s">
        <v>185</v>
      </c>
      <c r="P42" s="146"/>
      <c r="Q42" s="30"/>
      <c r="R42" s="89" t="str">
        <f>IF(VLOOKUP(C42,'Train Runs'!$A$13:$AE$9944,1,1)=C42,VLOOKUP(C42,'Train Runs'!$A$13:$AE$9944,31,1),NA())</f>
        <v>aws s3 cp s3://rtdc.mdm.uploadarchive.raw/RTDC4028/ "%USERPROFILE%\AppData\Local\Temp\OnboardLogs"\RTDC4028\2017-03-20 --exclude "*" --recursive --include "*20170320*" &amp; "%USERPROFILE%\Documents\GitHub\mrs-test-scripts\Headless Mode &amp; Sideloading\WalkAndUnGZ.bat" "%USERPROFILE%\AppData\Local\Temp\OnboardLogs"\RTDC4028\2017-03-20 &amp; aws s3 cp s3://rtdc.mdm.uploadarchive.raw/RTDC4028/ "%USERPROFILE%\AppData\Local\Temp\OnboardLogs"\RTDC4028\2017-03-21 --exclude "*" --recursive --include "*20170321*" &amp; "%USERPROFILE%\Documents\GitHub\mrs-test-scripts\Headless Mode &amp; Sideloading\WalkAndUnGZ.bat" "%USERPROFILE%\AppData\Local\Temp\OnboardLogs"\RTDC4028\2017-03-21</v>
      </c>
      <c r="S42" s="92" t="str">
        <f>VLOOKUP(C42,'Train Runs'!$A$13:$AE$9944,22,0)</f>
        <v>https://d0f6bd738d7f1b3e5a7ca70fe4ff75f0.us-east-1.aws.found.io/app/kibana#/discover/Steve-Slow-Train-Analysis-(2080s-and-2083s)?_g=(refreshInterval:(display:Off,pause:!f,section:0,value:0),time:(from:'2017-03-20T14:38:14-0600',mode:absolute,to:'2017-03-20T17:24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42" s="94" t="str">
        <f t="shared" si="12"/>
        <v>"C:\Program Files (x86)\AstroGrep\AstroGrep.exe" /e /r /s /spath="%USERPROFILE%\AppData\Local\Temp\OnboardLogs" /stypes="*4028*201703202*" /stext=" 22:.+((SYSTEM_STATE.+slice.+state.+changed )|(ment ac)|(multiple cpu faults)|(system.+state.+changed )|(\[timeout)|(PRM\|1\|D)|(kpr)|(kdp)|(\|lc)|(penalty))"</v>
      </c>
      <c r="U42" s="9" t="str">
        <f t="shared" si="13"/>
        <v>4028</v>
      </c>
      <c r="V42" s="32">
        <f t="shared" si="14"/>
        <v>42814.933391203704</v>
      </c>
      <c r="W42" s="46" t="str">
        <f t="shared" si="15"/>
        <v>EC</v>
      </c>
      <c r="X42" s="46" t="str">
        <f t="shared" si="16"/>
        <v>KEEP</v>
      </c>
      <c r="Y42" s="108" t="str">
        <f t="shared" si="17"/>
        <v>echo {"issue":{"subject":"","project_id":79,"tracker_id":40,"status_id":1,"priority_id":2,"assigned_to_id":23,"start_date":"2017-03-20","description":"","custom_fields":[{"id":1,"name":"Subdivision","value":"EC"},{"id":4,"name":"Milepost","value":"0.0001"},{"id":17,"name":"Train ID","value":"190-20"},{"id":16,"name":"Locomotive ID","value":"4028"},{"id":130,"name":"Impact","value":""},{"id":150,"name":"Time of Event (Mountain Time)","value":"16:24:05"},{"id":151,"name":"Denver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222"/>
      <c r="AA42" s="48"/>
      <c r="AB42" s="48"/>
      <c r="AC42" s="127" t="str">
        <f t="shared" si="10"/>
        <v>grep -hSE -A400 "Enforcement Action" "%USERPROFILE%\AppData\Local\Temp\OnboardLogs"\RTDC4028\*4028*201703202*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"%USERPROFILE%\AppData\Local\Temp\OnboardLogs"\RTDC4028\*4028*201703202* &gt;&gt; 2017-03-20-SliceDisagreementCheck.txt</v>
      </c>
      <c r="AE42" s="157" t="str">
        <f t="shared" si="9"/>
        <v>start /low /b %USERPROFILE%\Documents\GitHub\eaglep3\Utilities\DownloadLogsFromS3.py --loco 4028 --day 2017-03-20</v>
      </c>
      <c r="AF42" s="1"/>
    </row>
    <row r="43" spans="1:32" x14ac:dyDescent="0.25">
      <c r="A43" s="32">
        <v>42814.735254629632</v>
      </c>
      <c r="B43" s="30" t="s">
        <v>411</v>
      </c>
      <c r="C43" s="30" t="s">
        <v>636</v>
      </c>
      <c r="D43" s="30" t="s">
        <v>49</v>
      </c>
      <c r="E43" s="30" t="s">
        <v>186</v>
      </c>
      <c r="F43" s="43">
        <v>0</v>
      </c>
      <c r="G43" s="43">
        <v>61</v>
      </c>
      <c r="H43" s="43">
        <v>207</v>
      </c>
      <c r="I43" s="43">
        <v>139</v>
      </c>
      <c r="J43" s="30" t="s">
        <v>187</v>
      </c>
      <c r="K43" s="43">
        <v>1</v>
      </c>
      <c r="L43" s="143" t="s">
        <v>51</v>
      </c>
      <c r="M43" s="144">
        <f t="shared" si="11"/>
        <v>72.864000000000004</v>
      </c>
      <c r="N43" s="145" t="str">
        <f>VLOOKUP(C43,'Trips&amp;Operators'!$C$1:$G$99999,5,FALSE)</f>
        <v>BRANDNER MELINDA</v>
      </c>
      <c r="O43" s="194" t="s">
        <v>185</v>
      </c>
      <c r="P43" s="146"/>
      <c r="Q43" s="30"/>
      <c r="R43" s="89" t="str">
        <f>IF(VLOOKUP(C43,'Train Runs'!$A$13:$AE$9944,1,1)=C43,VLOOKUP(C43,'Train Runs'!$A$13:$AE$9944,31,1),NA())</f>
        <v>aws s3 cp s3://rtdc.mdm.uploadarchive.raw/RTDC4045/ "%USERPROFILE%\AppData\Local\Temp\OnboardLogs"\RTDC4045\2017-03-20 --exclude "*" --recursive --include "*20170320*" &amp; "%USERPROFILE%\Documents\GitHub\mrs-test-scripts\Headless Mode &amp; Sideloading\WalkAndUnGZ.bat" "%USERPROFILE%\AppData\Local\Temp\OnboardLogs"\RTDC4045\2017-03-20 &amp; aws s3 cp s3://rtdc.mdm.uploadarchive.raw/RTDC4045/ "%USERPROFILE%\AppData\Local\Temp\OnboardLogs"\RTDC4045\2017-03-21 --exclude "*" --recursive --include "*20170321*" &amp; "%USERPROFILE%\Documents\GitHub\mrs-test-scripts\Headless Mode &amp; Sideloading\WalkAndUnGZ.bat" "%USERPROFILE%\AppData\Local\Temp\OnboardLogs"\RTDC4045\2017-03-21</v>
      </c>
      <c r="S43" s="92" t="str">
        <f>VLOOKUP(C43,'Train Runs'!$A$13:$AE$9944,22,0)</f>
        <v>https://d0f6bd738d7f1b3e5a7ca70fe4ff75f0.us-east-1.aws.found.io/app/kibana#/discover/Steve-Slow-Train-Analysis-(2080s-and-2083s)?_g=(refreshInterval:(display:Off,pause:!f,section:0,value:0),time:(from:'2017-03-20T15:47:01-0600',mode:absolute,to:'2017-03-20T18:38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3" s="94" t="str">
        <f t="shared" si="12"/>
        <v>"C:\Program Files (x86)\AstroGrep\AstroGrep.exe" /e /r /s /spath="%USERPROFILE%\AppData\Local\Temp\OnboardLogs" /stypes="*4045*201703202*" /stext=" 23:.+((SYSTEM_STATE.+slice.+state.+changed )|(ment ac)|(multiple cpu faults)|(system.+state.+changed )|(\[timeout)|(PRM\|1\|D)|(kpr)|(kdp)|(\|lc)|(penalty))"</v>
      </c>
      <c r="U43" s="9" t="str">
        <f t="shared" si="13"/>
        <v>4045</v>
      </c>
      <c r="V43" s="32">
        <f t="shared" si="14"/>
        <v>42814.985254629632</v>
      </c>
      <c r="W43" s="46" t="str">
        <f t="shared" si="15"/>
        <v>EC</v>
      </c>
      <c r="X43" s="46" t="str">
        <f t="shared" si="16"/>
        <v>KEEP</v>
      </c>
      <c r="Y43" s="108" t="str">
        <f t="shared" si="17"/>
        <v>echo {"issue":{"subject":"","project_id":79,"tracker_id":40,"status_id":1,"priority_id":2,"assigned_to_id":23,"start_date":"2017-03-20","description":"","custom_fields":[{"id":1,"name":"Subdivision","value":"EC"},{"id":4,"name":"Milepost","value":"0.0001"},{"id":17,"name":"Train ID","value":"200-20"},{"id":16,"name":"Locomotive ID","value":"4045"},{"id":130,"name":"Impact","value":""},{"id":150,"name":"Time of Event (Mountain Time)","value":"17:38:46"},{"id":151,"name":"Denver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222"/>
      <c r="AA43" s="48"/>
      <c r="AB43" s="48"/>
      <c r="AC43" s="127" t="str">
        <f t="shared" si="10"/>
        <v>grep -hSE -A400 "Enforcement Action" "%USERPROFILE%\AppData\Local\Temp\OnboardLogs"\RTDC4045\*4045*201703202*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"%USERPROFILE%\AppData\Local\Temp\OnboardLogs"\RTDC4045\*4045*201703202* &gt;&gt; 2017-03-20-SliceDisagreementCheck.txt</v>
      </c>
      <c r="AE43" s="157" t="str">
        <f t="shared" si="9"/>
        <v>start /low /b %USERPROFILE%\Documents\GitHub\eaglep3\Utilities\DownloadLogsFromS3.py --loco 4045 --day 2017-03-20</v>
      </c>
      <c r="AF43" s="1"/>
    </row>
    <row r="44" spans="1:32" x14ac:dyDescent="0.25">
      <c r="A44" s="32">
        <v>42814.858761574076</v>
      </c>
      <c r="B44" s="30" t="s">
        <v>421</v>
      </c>
      <c r="C44" s="30" t="s">
        <v>643</v>
      </c>
      <c r="D44" s="30" t="s">
        <v>49</v>
      </c>
      <c r="E44" s="30" t="s">
        <v>186</v>
      </c>
      <c r="F44" s="43">
        <v>0</v>
      </c>
      <c r="G44" s="43">
        <v>52</v>
      </c>
      <c r="H44" s="43">
        <v>187</v>
      </c>
      <c r="I44" s="43">
        <v>136</v>
      </c>
      <c r="J44" s="30" t="s">
        <v>187</v>
      </c>
      <c r="K44" s="43">
        <v>1</v>
      </c>
      <c r="L44" s="143" t="s">
        <v>51</v>
      </c>
      <c r="M44" s="144">
        <f t="shared" si="11"/>
        <v>71.28</v>
      </c>
      <c r="N44" s="145" t="str">
        <f>VLOOKUP(C44,'Trips&amp;Operators'!$C$1:$G$99999,5,FALSE)</f>
        <v>CHANDLER KELVIN</v>
      </c>
      <c r="O44" s="194" t="s">
        <v>185</v>
      </c>
      <c r="P44" s="146"/>
      <c r="Q44" s="30"/>
      <c r="R44" s="89" t="str">
        <f>IF(VLOOKUP(C44,'Train Runs'!$A$13:$AE$9944,1,1)=C44,VLOOKUP(C44,'Train Runs'!$A$13:$AE$9944,31,1),NA())</f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S44" s="92" t="str">
        <f>VLOOKUP(C44,'Train Runs'!$A$13:$AE$9944,22,0)</f>
        <v>https://d0f6bd738d7f1b3e5a7ca70fe4ff75f0.us-east-1.aws.found.io/app/kibana#/discover/Steve-Slow-Train-Analysis-(2080s-and-2083s)?_g=(refreshInterval:(display:Off,pause:!f,section:0,value:0),time:(from:'2017-03-20T18:53:16-0600',mode:absolute,to:'2017-03-20T21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4" s="94" t="str">
        <f t="shared" si="12"/>
        <v>"C:\Program Files (x86)\AstroGrep\AstroGrep.exe" /e /r /s /spath="%USERPROFILE%\AppData\Local\Temp\OnboardLogs" /stypes="*4021*201703210*" /stext=" 02:.+((SYSTEM_STATE.+slice.+state.+changed )|(ment ac)|(multiple cpu faults)|(system.+state.+changed )|(\[timeout)|(PRM\|1\|D)|(kpr)|(kdp)|(\|lc)|(penalty))"</v>
      </c>
      <c r="U44" s="9" t="str">
        <f t="shared" si="13"/>
        <v>4021</v>
      </c>
      <c r="V44" s="32">
        <f t="shared" si="14"/>
        <v>42815.108761574076</v>
      </c>
      <c r="W44" s="46" t="str">
        <f t="shared" si="15"/>
        <v>EC</v>
      </c>
      <c r="X44" s="46" t="str">
        <f t="shared" si="16"/>
        <v>KEEP</v>
      </c>
      <c r="Y44" s="108" t="str">
        <f t="shared" si="17"/>
        <v>echo {"issue":{"subject":"","project_id":79,"tracker_id":40,"status_id":1,"priority_id":2,"assigned_to_id":23,"start_date":"2017-03-20","description":"","custom_fields":[{"id":1,"name":"Subdivision","value":"EC"},{"id":4,"name":"Milepost","value":"0.0001"},{"id":17,"name":"Train ID","value":"222-20"},{"id":16,"name":"Locomotive ID","value":"4021"},{"id":130,"name":"Impact","value":""},{"id":150,"name":"Time of Event (Mountain Time)","value":"20:36:37"},{"id":151,"name":"Denver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222"/>
      <c r="AA44" s="48"/>
      <c r="AB44" s="48"/>
      <c r="AC44" s="127" t="str">
        <f t="shared" si="10"/>
        <v>grep -hSE -A400 "Enforcement Action" "%USERPROFILE%\AppData\Local\Temp\OnboardLogs"\RTDC4021\*4021*201703210*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"%USERPROFILE%\AppData\Local\Temp\OnboardLogs"\RTDC4021\*4021*201703210* &gt;&gt; 2017-03-20-SliceDisagreementCheck.txt</v>
      </c>
      <c r="AE44" s="157" t="str">
        <f t="shared" si="9"/>
        <v>start /low /b %USERPROFILE%\Documents\GitHub\eaglep3\Utilities\DownloadLogsFromS3.py --loco 4021 --day 2017-03-21</v>
      </c>
      <c r="AF44" s="1"/>
    </row>
    <row r="45" spans="1:32" x14ac:dyDescent="0.25">
      <c r="A45" s="32">
        <v>42815.06453703704</v>
      </c>
      <c r="B45" s="30" t="s">
        <v>401</v>
      </c>
      <c r="C45" s="30" t="s">
        <v>646</v>
      </c>
      <c r="D45" s="30" t="s">
        <v>49</v>
      </c>
      <c r="E45" s="30" t="s">
        <v>186</v>
      </c>
      <c r="F45" s="43">
        <v>0</v>
      </c>
      <c r="G45" s="43">
        <v>56</v>
      </c>
      <c r="H45" s="43">
        <v>149</v>
      </c>
      <c r="I45" s="43">
        <v>105</v>
      </c>
      <c r="J45" s="30" t="s">
        <v>187</v>
      </c>
      <c r="K45" s="43">
        <v>1</v>
      </c>
      <c r="L45" s="143" t="s">
        <v>51</v>
      </c>
      <c r="M45" s="144">
        <f t="shared" si="11"/>
        <v>54.911999999999999</v>
      </c>
      <c r="N45" s="145" t="str">
        <f>VLOOKUP(C45,'Trips&amp;Operators'!$C$1:$G$99999,5,FALSE)</f>
        <v>STAMBAUGH JAMES</v>
      </c>
      <c r="O45" s="194" t="s">
        <v>185</v>
      </c>
      <c r="P45" s="146"/>
      <c r="Q45" s="30"/>
      <c r="R45" s="89" t="str">
        <f>IF(VLOOKUP(C45,'Train Runs'!$A$13:$AE$9944,1,1)=C45,VLOOKUP(C45,'Train Runs'!$A$13:$AE$9944,31,1),NA())</f>
        <v>aws s3 cp s3://rtdc.mdm.uploadarchive.raw/RTDC4028/ "%USERPROFILE%\AppData\Local\Temp\OnboardLogs"\RTDC4028\2017-03-21 --exclude "*" --recursive --include "*20170321*" &amp; "%USERPROFILE%\Documents\GitHub\mrs-test-scripts\Headless Mode &amp; Sideloading\WalkAndUnGZ.bat" "%USERPROFILE%\AppData\Local\Temp\OnboardLogs"\RTDC4028\2017-03-21 &amp; aws s3 cp s3://rtdc.mdm.uploadarchive.raw/RTDC4028/ "%USERPROFILE%\AppData\Local\Temp\OnboardLogs"\RTDC4028\2017-03-22 --exclude "*" --recursive --include "*20170322*" &amp; "%USERPROFILE%\Documents\GitHub\mrs-test-scripts\Headless Mode &amp; Sideloading\WalkAndUnGZ.bat" "%USERPROFILE%\AppData\Local\Temp\OnboardLogs"\RTDC4028\2017-03-22</v>
      </c>
      <c r="S45" s="92" t="str">
        <f>VLOOKUP(C45,'Train Runs'!$A$13:$AE$9944,22,0)</f>
        <v>https://d0f6bd738d7f1b3e5a7ca70fe4ff75f0.us-east-1.aws.found.io/app/kibana#/discover/Steve-Slow-Train-Analysis-(2080s-and-2083s)?_g=(refreshInterval:(display:Off,pause:!f,section:0,value:0),time:(from:'2017-03-20T23:54:02-0600',mode:absolute,to:'2017-03-21T02:32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45" s="94" t="str">
        <f t="shared" si="12"/>
        <v>"C:\Program Files (x86)\AstroGrep\AstroGrep.exe" /e /r /s /spath="%USERPROFILE%\AppData\Local\Temp\OnboardLogs" /stypes="*4028*201703210*" /stext=" 07:.+((SYSTEM_STATE.+slice.+state.+changed )|(ment ac)|(multiple cpu faults)|(system.+state.+changed )|(\[timeout)|(PRM\|1\|D)|(kpr)|(kdp)|(\|lc)|(penalty))"</v>
      </c>
      <c r="U45" s="9" t="str">
        <f t="shared" si="13"/>
        <v>4028</v>
      </c>
      <c r="V45" s="32">
        <f t="shared" si="14"/>
        <v>42815.31453703704</v>
      </c>
      <c r="W45" s="46" t="str">
        <f t="shared" si="15"/>
        <v>EC</v>
      </c>
      <c r="X45" s="46" t="str">
        <f t="shared" si="16"/>
        <v>KEEP</v>
      </c>
      <c r="Y45" s="108" t="str">
        <f t="shared" si="17"/>
        <v>echo {"issue":{"subject":"","project_id":79,"tracker_id":40,"status_id":1,"priority_id":2,"assigned_to_id":23,"start_date":"2017-03-21","description":"","custom_fields":[{"id":1,"name":"Subdivision","value":"EC"},{"id":4,"name":"Milepost","value":"0.0001"},{"id":17,"name":"Train ID","value":"242-20"},{"id":16,"name":"Locomotive ID","value":"4028"},{"id":130,"name":"Impact","value":""},{"id":150,"name":"Time of Event (Mountain Time)","value":"01:32:56"},{"id":151,"name":"Denver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222"/>
      <c r="AA45" s="48"/>
      <c r="AB45" s="48"/>
      <c r="AC45" s="127" t="str">
        <f t="shared" si="10"/>
        <v>grep -hSE -A400 "Enforcement Action" "%USERPROFILE%\AppData\Local\Temp\OnboardLogs"\RTDC4028\*4028*201703210*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"%USERPROFILE%\AppData\Local\Temp\OnboardLogs"\RTDC4028\*4028*201703210* &gt;&gt; 2017-03-20-SliceDisagreementCheck.txt</v>
      </c>
      <c r="AE45" s="157" t="str">
        <f t="shared" si="9"/>
        <v>start /low /b %USERPROFILE%\Documents\GitHub\eaglep3\Utilities\DownloadLogsFromS3.py --loco 4028 --day 2017-03-21</v>
      </c>
      <c r="AF45" s="1"/>
    </row>
    <row r="46" spans="1:32" x14ac:dyDescent="0.25">
      <c r="A46" s="32">
        <v>42814.600775462961</v>
      </c>
      <c r="B46" s="30" t="s">
        <v>424</v>
      </c>
      <c r="C46" s="30" t="s">
        <v>625</v>
      </c>
      <c r="D46" s="30" t="s">
        <v>49</v>
      </c>
      <c r="E46" s="30" t="s">
        <v>186</v>
      </c>
      <c r="F46" s="43">
        <v>0</v>
      </c>
      <c r="G46" s="43">
        <v>17</v>
      </c>
      <c r="H46" s="43">
        <v>233474</v>
      </c>
      <c r="I46" s="43">
        <v>233491</v>
      </c>
      <c r="J46" s="30" t="s">
        <v>187</v>
      </c>
      <c r="K46" s="43">
        <v>233491</v>
      </c>
      <c r="L46" s="143" t="s">
        <v>50</v>
      </c>
      <c r="M46" s="144">
        <f t="shared" si="11"/>
        <v>0</v>
      </c>
      <c r="N46" s="145" t="str">
        <f>VLOOKUP(C46,'Trips&amp;Operators'!$C$1:$G$99999,5,FALSE)</f>
        <v>LOCKLEAR TRAVIS</v>
      </c>
      <c r="O46" s="194" t="s">
        <v>185</v>
      </c>
      <c r="P46" s="146"/>
      <c r="Q46" s="30"/>
      <c r="R46" s="89" t="str">
        <f>IF(VLOOKUP(C46,'Train Runs'!$A$13:$AE$9944,1,1)=C46,VLOOKUP(C46,'Train Runs'!$A$13:$AE$9944,31,1),NA())</f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S46" s="92" t="str">
        <f>VLOOKUP(C46,'Train Runs'!$A$13:$AE$9944,22,0)</f>
        <v>https://d0f6bd738d7f1b3e5a7ca70fe4ff75f0.us-east-1.aws.found.io/app/kibana#/discover/Steve-Slow-Train-Analysis-(2080s-and-2083s)?_g=(refreshInterval:(display:Off,pause:!f,section:0,value:0),time:(from:'2017-03-20T12:41:34-0600',mode:absolute,to:'2017-03-20T15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46" s="94" t="str">
        <f t="shared" si="12"/>
        <v>"C:\Program Files (x86)\AstroGrep\AstroGrep.exe" /e /r /s /spath="%USERPROFILE%\AppData\Local\Temp\OnboardLogs" /stypes="*4022*201703202*" /stext=" 20:.+((SYSTEM_STATE.+slice.+state.+changed )|(ment ac)|(multiple cpu faults)|(system.+state.+changed )|(\[timeout)|(PRM\|1\|D)|(kpr)|(kdp)|(\|lc)|(penalty))"</v>
      </c>
      <c r="U46" s="9" t="str">
        <f t="shared" si="13"/>
        <v>4022</v>
      </c>
      <c r="V46" s="32">
        <f t="shared" si="14"/>
        <v>42814.850775462961</v>
      </c>
      <c r="W46" s="46" t="str">
        <f t="shared" si="15"/>
        <v>EC</v>
      </c>
      <c r="X46" s="46" t="str">
        <f t="shared" si="16"/>
        <v>KEEP</v>
      </c>
      <c r="Y46" s="108" t="str">
        <f t="shared" si="17"/>
        <v>echo {"issue":{"subject":"","project_id":79,"tracker_id":40,"status_id":1,"priority_id":2,"assigned_to_id":23,"start_date":"2017-03-20","description":"","custom_fields":[{"id":1,"name":"Subdivision","value":"EC"},{"id":4,"name":"Milepost","value":"23.3491"},{"id":17,"name":"Train ID","value":"181-20"},{"id":16,"name":"Locomotive ID","value":"4022"},{"id":130,"name":"Impact","value":""},{"id":150,"name":"Time of Event (Mountain Time)","value":"14:25:07"},{"id":151,"name":"Denver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222"/>
      <c r="AA46" s="48"/>
      <c r="AB46" s="48"/>
      <c r="AC46" s="127" t="str">
        <f t="shared" si="10"/>
        <v>grep -hSE -A400 "Enforcement Action" "%USERPROFILE%\AppData\Local\Temp\OnboardLogs"\RTDC4022\*4022*201703202*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"%USERPROFILE%\AppData\Local\Temp\OnboardLogs"\RTDC4022\*4022*201703202* &gt;&gt; 2017-03-20-SliceDisagreementCheck.txt</v>
      </c>
      <c r="AE46" s="157" t="str">
        <f t="shared" si="9"/>
        <v>start /low /b %USERPROFILE%\Documents\GitHub\eaglep3\Utilities\DownloadLogsFromS3.py --loco 4022 --day 2017-03-20</v>
      </c>
      <c r="AF46" s="1"/>
    </row>
    <row r="47" spans="1:32" x14ac:dyDescent="0.25">
      <c r="A47" s="32">
        <v>42814.785694444443</v>
      </c>
      <c r="B47" s="30" t="s">
        <v>402</v>
      </c>
      <c r="C47" s="30" t="s">
        <v>638</v>
      </c>
      <c r="D47" s="30" t="s">
        <v>49</v>
      </c>
      <c r="E47" s="30" t="s">
        <v>186</v>
      </c>
      <c r="F47" s="43">
        <v>0</v>
      </c>
      <c r="G47" s="43">
        <v>77</v>
      </c>
      <c r="H47" s="43">
        <v>233286</v>
      </c>
      <c r="I47" s="43">
        <v>233364</v>
      </c>
      <c r="J47" s="30" t="s">
        <v>187</v>
      </c>
      <c r="K47" s="43">
        <v>233491</v>
      </c>
      <c r="L47" s="143" t="s">
        <v>50</v>
      </c>
      <c r="M47" s="144">
        <f t="shared" si="11"/>
        <v>67.055999999999997</v>
      </c>
      <c r="N47" s="145" t="str">
        <f>VLOOKUP(C47,'Trips&amp;Operators'!$C$1:$G$99999,5,FALSE)</f>
        <v>STAMBAUGH JAMES</v>
      </c>
      <c r="O47" s="194" t="s">
        <v>185</v>
      </c>
      <c r="P47" s="146"/>
      <c r="Q47" s="30"/>
      <c r="R47" s="89" t="str">
        <f>IF(VLOOKUP(C47,'Train Runs'!$A$13:$AE$9944,1,1)=C47,VLOOKUP(C47,'Train Runs'!$A$13:$AE$9944,31,1),NA())</f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S47" s="92" t="str">
        <f>VLOOKUP(C47,'Train Runs'!$A$13:$AE$9944,22,0)</f>
        <v>https://d0f6bd738d7f1b3e5a7ca70fe4ff75f0.us-east-1.aws.found.io/app/kibana#/discover/Steve-Slow-Train-Analysis-(2080s-and-2083s)?_g=(refreshInterval:(display:Off,pause:!f,section:0,value:0),time:(from:'2017-03-20T17:10:38-0600',mode:absolute,to:'2017-03-20T19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7" s="94" t="str">
        <f t="shared" si="12"/>
        <v>"C:\Program Files (x86)\AstroGrep\AstroGrep.exe" /e /r /s /spath="%USERPROFILE%\AppData\Local\Temp\OnboardLogs" /stypes="*4027*201703210*" /stext=" 00:.+((SYSTEM_STATE.+slice.+state.+changed )|(ment ac)|(multiple cpu faults)|(system.+state.+changed )|(\[timeout)|(PRM\|1\|D)|(kpr)|(kdp)|(\|lc)|(penalty))"</v>
      </c>
      <c r="U47" s="9" t="str">
        <f t="shared" si="13"/>
        <v>4027</v>
      </c>
      <c r="V47" s="32">
        <f t="shared" si="14"/>
        <v>42815.035694444443</v>
      </c>
      <c r="W47" s="46" t="str">
        <f t="shared" si="15"/>
        <v>EC</v>
      </c>
      <c r="X47" s="46" t="str">
        <f t="shared" si="16"/>
        <v>KEEP</v>
      </c>
      <c r="Y47" s="108" t="str">
        <f t="shared" si="17"/>
        <v>echo {"issue":{"subject":"","project_id":79,"tracker_id":40,"status_id":1,"priority_id":2,"assigned_to_id":23,"start_date":"2017-03-20","description":"","custom_fields":[{"id":1,"name":"Subdivision","value":"EC"},{"id":4,"name":"Milepost","value":"23.3491"},{"id":17,"name":"Train ID","value":"217-20"},{"id":16,"name":"Locomotive ID","value":"4027"},{"id":130,"name":"Impact","value":""},{"id":150,"name":"Time of Event (Mountain Time)","value":"18:51:24"},{"id":151,"name":"Denver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222"/>
      <c r="AA47" s="48"/>
      <c r="AB47" s="48"/>
      <c r="AC47" s="127" t="str">
        <f t="shared" si="10"/>
        <v>grep -hSE -A400 "Enforcement Action" "%USERPROFILE%\AppData\Local\Temp\OnboardLogs"\RTDC4027\*4027*201703210*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"%USERPROFILE%\AppData\Local\Temp\OnboardLogs"\RTDC4027\*4027*201703210* &gt;&gt; 2017-03-20-SliceDisagreementCheck.txt</v>
      </c>
      <c r="AE47" s="157" t="str">
        <f t="shared" si="9"/>
        <v>start /low /b %USERPROFILE%\Documents\GitHub\eaglep3\Utilities\DownloadLogsFromS3.py --loco 4027 --day 2017-03-21</v>
      </c>
      <c r="AF47" s="1"/>
    </row>
    <row r="48" spans="1:32" x14ac:dyDescent="0.25">
      <c r="A48" s="32">
        <v>42814.941620370373</v>
      </c>
      <c r="B48" s="30" t="s">
        <v>402</v>
      </c>
      <c r="C48" s="30" t="s">
        <v>644</v>
      </c>
      <c r="D48" s="30" t="s">
        <v>49</v>
      </c>
      <c r="E48" s="30" t="s">
        <v>186</v>
      </c>
      <c r="F48" s="43">
        <v>0</v>
      </c>
      <c r="G48" s="43">
        <v>52</v>
      </c>
      <c r="H48" s="43">
        <v>233383</v>
      </c>
      <c r="I48" s="43">
        <v>233430</v>
      </c>
      <c r="J48" s="30" t="s">
        <v>187</v>
      </c>
      <c r="K48" s="43">
        <v>233491</v>
      </c>
      <c r="L48" s="143" t="s">
        <v>50</v>
      </c>
      <c r="M48" s="144">
        <f t="shared" si="11"/>
        <v>32.207999999999998</v>
      </c>
      <c r="N48" s="145" t="str">
        <f>VLOOKUP(C48,'Trips&amp;Operators'!$C$1:$G$99999,5,FALSE)</f>
        <v>STAMBAUGH JAMES</v>
      </c>
      <c r="O48" s="194" t="s">
        <v>185</v>
      </c>
      <c r="P48" s="146"/>
      <c r="Q48" s="30"/>
      <c r="R48" s="89" t="str">
        <f>IF(VLOOKUP(C48,'Train Runs'!$A$13:$AE$9944,1,1)=C48,VLOOKUP(C48,'Train Runs'!$A$13:$AE$9944,31,1),NA())</f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S48" s="92" t="str">
        <f>VLOOKUP(C48,'Train Runs'!$A$13:$AE$9944,22,0)</f>
        <v>https://d0f6bd738d7f1b3e5a7ca70fe4ff75f0.us-east-1.aws.found.io/app/kibana#/discover/Steve-Slow-Train-Analysis-(2080s-and-2083s)?_g=(refreshInterval:(display:Off,pause:!f,section:0,value:0),time:(from:'2017-03-20T20:37:28-0600',mode:absolute,to:'2017-03-20T23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8" s="94" t="str">
        <f t="shared" si="12"/>
        <v>"C:\Program Files (x86)\AstroGrep\AstroGrep.exe" /e /r /s /spath="%USERPROFILE%\AppData\Local\Temp\OnboardLogs" /stypes="*4027*201703210*" /stext=" 04:.+((SYSTEM_STATE.+slice.+state.+changed )|(ment ac)|(multiple cpu faults)|(system.+state.+changed )|(\[timeout)|(PRM\|1\|D)|(kpr)|(kdp)|(\|lc)|(penalty))"</v>
      </c>
      <c r="U48" s="9" t="str">
        <f t="shared" si="13"/>
        <v>4027</v>
      </c>
      <c r="V48" s="32">
        <f t="shared" si="14"/>
        <v>42815.191620370373</v>
      </c>
      <c r="W48" s="46" t="str">
        <f t="shared" si="15"/>
        <v>EC</v>
      </c>
      <c r="X48" s="46" t="str">
        <f t="shared" si="16"/>
        <v>KEEP</v>
      </c>
      <c r="Y48" s="108" t="str">
        <f t="shared" si="17"/>
        <v>echo {"issue":{"subject":"","project_id":79,"tracker_id":40,"status_id":1,"priority_id":2,"assigned_to_id":23,"start_date":"2017-03-20","description":"","custom_fields":[{"id":1,"name":"Subdivision","value":"EC"},{"id":4,"name":"Milepost","value":"23.3491"},{"id":17,"name":"Train ID","value":"233-20"},{"id":16,"name":"Locomotive ID","value":"4027"},{"id":130,"name":"Impact","value":""},{"id":150,"name":"Time of Event (Mountain Time)","value":"22:35:56"},{"id":151,"name":"Denver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222"/>
      <c r="AA48" s="48"/>
      <c r="AB48" s="48"/>
      <c r="AC48" s="127" t="str">
        <f t="shared" si="10"/>
        <v>grep -hSE -A400 "Enforcement Action" "%USERPROFILE%\AppData\Local\Temp\OnboardLogs"\RTDC4027\*4027*201703210*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"%USERPROFILE%\AppData\Local\Temp\OnboardLogs"\RTDC4027\*4027*201703210* &gt;&gt; 2017-03-20-SliceDisagreementCheck.txt</v>
      </c>
      <c r="AE48" s="157" t="str">
        <f t="shared" si="9"/>
        <v>start /low /b %USERPROFILE%\Documents\GitHub\eaglep3\Utilities\DownloadLogsFromS3.py --loco 4027 --day 2017-03-21</v>
      </c>
      <c r="AF48" s="1"/>
    </row>
    <row r="49" spans="1:32" x14ac:dyDescent="0.25">
      <c r="A49" s="32">
        <v>42815.025879629633</v>
      </c>
      <c r="B49" s="30" t="s">
        <v>402</v>
      </c>
      <c r="C49" s="30" t="s">
        <v>645</v>
      </c>
      <c r="D49" s="30" t="s">
        <v>49</v>
      </c>
      <c r="E49" s="30" t="s">
        <v>186</v>
      </c>
      <c r="F49" s="43">
        <v>0</v>
      </c>
      <c r="G49" s="43">
        <v>34</v>
      </c>
      <c r="H49" s="43">
        <v>233395</v>
      </c>
      <c r="I49" s="43">
        <v>233398</v>
      </c>
      <c r="J49" s="30" t="s">
        <v>187</v>
      </c>
      <c r="K49" s="43">
        <v>233491</v>
      </c>
      <c r="L49" s="143" t="s">
        <v>50</v>
      </c>
      <c r="M49" s="144">
        <f t="shared" si="11"/>
        <v>49.103999999999999</v>
      </c>
      <c r="N49" s="145" t="str">
        <f>VLOOKUP(C49,'Trips&amp;Operators'!$C$1:$G$99999,5,FALSE)</f>
        <v>STAMBAUGH JAMES</v>
      </c>
      <c r="O49" s="194" t="s">
        <v>185</v>
      </c>
      <c r="P49" s="146"/>
      <c r="Q49" s="30"/>
      <c r="R49" s="89" t="str">
        <f>IF(VLOOKUP(C49,'Train Runs'!$A$13:$AE$9944,1,1)=C49,VLOOKUP(C49,'Train Runs'!$A$13:$AE$9944,31,1),NA())</f>
        <v>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 &amp; aws s3 cp s3://rtdc.mdm.uploadarchive.raw/RTDC4027/ "%USERPROFILE%\AppData\Local\Temp\OnboardLogs"\RTDC4027\2017-03-22 --exclude "*" --recursive --include "*20170322*" &amp; "%USERPROFILE%\Documents\GitHub\mrs-test-scripts\Headless Mode &amp; Sideloading\WalkAndUnGZ.bat" "%USERPROFILE%\AppData\Local\Temp\OnboardLogs"\RTDC4027\2017-03-22</v>
      </c>
      <c r="S49" s="92" t="str">
        <f>VLOOKUP(C49,'Train Runs'!$A$13:$AE$9944,22,0)</f>
        <v>https://d0f6bd738d7f1b3e5a7ca70fe4ff75f0.us-east-1.aws.found.io/app/kibana#/discover/Steve-Slow-Train-Analysis-(2080s-and-2083s)?_g=(refreshInterval:(display:Off,pause:!f,section:0,value:0),time:(from:'2017-03-20T22:41:17-0600',mode:absolute,to:'2017-03-21T01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9" s="94" t="str">
        <f t="shared" si="12"/>
        <v>"C:\Program Files (x86)\AstroGrep\AstroGrep.exe" /e /r /s /spath="%USERPROFILE%\AppData\Local\Temp\OnboardLogs" /stypes="*4027*201703210*" /stext=" 06:.+((SYSTEM_STATE.+slice.+state.+changed )|(ment ac)|(multiple cpu faults)|(system.+state.+changed )|(\[timeout)|(PRM\|1\|D)|(kpr)|(kdp)|(\|lc)|(penalty))"</v>
      </c>
      <c r="U49" s="9" t="str">
        <f t="shared" si="13"/>
        <v>4027</v>
      </c>
      <c r="V49" s="32">
        <f t="shared" si="14"/>
        <v>42815.275879629633</v>
      </c>
      <c r="W49" s="46" t="str">
        <f t="shared" si="15"/>
        <v>EC</v>
      </c>
      <c r="X49" s="46" t="str">
        <f t="shared" si="16"/>
        <v>KEEP</v>
      </c>
      <c r="Y49" s="108" t="str">
        <f t="shared" si="17"/>
        <v>echo {"issue":{"subject":"","project_id":79,"tracker_id":40,"status_id":1,"priority_id":2,"assigned_to_id":23,"start_date":"2017-03-21","description":"","custom_fields":[{"id":1,"name":"Subdivision","value":"EC"},{"id":4,"name":"Milepost","value":"23.3491"},{"id":17,"name":"Train ID","value":"241-20"},{"id":16,"name":"Locomotive ID","value":"4027"},{"id":130,"name":"Impact","value":""},{"id":150,"name":"Time of Event (Mountain Time)","value":"00:37:16"},{"id":151,"name":"Denver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222"/>
      <c r="AA49" s="48"/>
      <c r="AB49" s="48"/>
      <c r="AC49" s="127" t="str">
        <f t="shared" si="10"/>
        <v>grep -hSE -A400 "Enforcement Action" "%USERPROFILE%\AppData\Local\Temp\OnboardLogs"\RTDC4027\*4027*201703210*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"%USERPROFILE%\AppData\Local\Temp\OnboardLogs"\RTDC4027\*4027*201703210* &gt;&gt; 2017-03-20-SliceDisagreementCheck.txt</v>
      </c>
      <c r="AE49" s="157" t="str">
        <f t="shared" si="9"/>
        <v>start /low /b %USERPROFILE%\Documents\GitHub\eaglep3\Utilities\DownloadLogsFromS3.py --loco 4027 --day 2017-03-21</v>
      </c>
      <c r="AF49" s="1"/>
    </row>
    <row r="50" spans="1:32" x14ac:dyDescent="0.25">
      <c r="A50" s="32">
        <v>42814.350347222222</v>
      </c>
      <c r="B50" s="30" t="s">
        <v>524</v>
      </c>
      <c r="C50" s="30" t="s">
        <v>612</v>
      </c>
      <c r="D50" s="30" t="s">
        <v>98</v>
      </c>
      <c r="E50" s="30" t="s">
        <v>220</v>
      </c>
      <c r="F50" s="43">
        <v>200</v>
      </c>
      <c r="G50" s="43">
        <v>255</v>
      </c>
      <c r="H50" s="43">
        <v>6371</v>
      </c>
      <c r="I50" s="43">
        <v>9202</v>
      </c>
      <c r="J50" s="30" t="s">
        <v>221</v>
      </c>
      <c r="K50" s="43">
        <v>5315</v>
      </c>
      <c r="L50" s="143" t="s">
        <v>50</v>
      </c>
      <c r="M50" s="144">
        <f t="shared" si="11"/>
        <v>-2052.3359999999998</v>
      </c>
      <c r="N50" s="145" t="str">
        <f>VLOOKUP(C50,'Trips&amp;Operators'!$C$1:$G$99999,5,FALSE)</f>
        <v>SULLIVAN BRANDON</v>
      </c>
      <c r="O50" s="194" t="s">
        <v>185</v>
      </c>
      <c r="P50" s="146"/>
      <c r="Q50" s="30"/>
      <c r="R50" s="89" t="e">
        <f>IF(VLOOKUP(C50,'Train Runs'!$A$13:$AE$9944,1,1)=C50,VLOOKUP(C50,'Train Runs'!$A$13:$AE$9944,31,1),NA())</f>
        <v>#N/A</v>
      </c>
      <c r="S50" s="92" t="str">
        <f>VLOOKUP(C50,'Train Runs'!$A$13:$AE$9944,22,0)</f>
        <v>https://d0f6bd738d7f1b3e5a7ca70fe4ff75f0.us-east-1.aws.found.io/app/kibana#/discover/Steve-Slow-Train-Analysis-(2080s-and-2083s)?_g=(refreshInterval:(display:Off,pause:!f,section:0,value:0),time:(from:'2017-03-20T07:19:14-0600',mode:absolute,to:'2017-03-20T09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50" s="94" t="str">
        <f t="shared" si="12"/>
        <v>"C:\Program Files (x86)\AstroGrep\AstroGrep.exe" /e /r /s /spath="%USERPROFILE%\AppData\Local\Temp\OnboardLogs" /stypes="*4040*201703201*" /stext=" 14:.+((SYSTEM_STATE.+slice.+state.+changed )|(ment ac)|(multiple cpu faults)|(system.+state.+changed )|(\[timeout)|(PRM\|1\|D)|(kpr)|(kdp)|(\|lc)|(penalty))"</v>
      </c>
      <c r="U50" s="9" t="str">
        <f t="shared" si="13"/>
        <v>4040</v>
      </c>
      <c r="V50" s="32">
        <f t="shared" si="14"/>
        <v>42814.600347222222</v>
      </c>
      <c r="W50" s="46" t="str">
        <f t="shared" si="15"/>
        <v>NW</v>
      </c>
      <c r="X50" s="46" t="str">
        <f t="shared" si="16"/>
        <v>KEEP</v>
      </c>
      <c r="Y50" s="108" t="str">
        <f t="shared" si="17"/>
        <v>echo {"issue":{"subject":"","project_id":79,"tracker_id":40,"status_id":1,"priority_id":2,"assigned_to_id":23,"start_date":"2017-03-20","description":"","custom_fields":[{"id":1,"name":"Subdivision","value":"NW"},{"id":4,"name":"Milepost","value":"0.5315"},{"id":17,"name":"Train ID","value":"811-20"},{"id":16,"name":"Locomotive ID","value":"4040"},{"id":130,"name":"Impact","value":""},{"id":150,"name":"Time of Event (Mountain Time)","value":"08:24:30"},{"id":151,"name":"Denver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222"/>
      <c r="AA50" s="48"/>
      <c r="AB50" s="48"/>
      <c r="AC50" s="127" t="str">
        <f t="shared" si="10"/>
        <v>grep -hSE -A400 "Enforcement Action" "%USERPROFILE%\AppData\Local\Temp\OnboardLogs"\RTDC4040\*4040*201703201*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"%USERPROFILE%\AppData\Local\Temp\OnboardLogs"\RTDC4040\*4040*201703201* &gt;&gt; 2017-03-20-SliceDisagreementCheck.txt</v>
      </c>
      <c r="AE50" s="157" t="str">
        <f t="shared" si="9"/>
        <v>start /low /b %USERPROFILE%\Documents\GitHub\eaglep3\Utilities\DownloadLogsFromS3.py --loco 4040 --day 2017-03-20</v>
      </c>
      <c r="AF50" s="1"/>
    </row>
    <row r="51" spans="1:32" x14ac:dyDescent="0.25">
      <c r="A51" s="32">
        <v>42814.311215277776</v>
      </c>
      <c r="B51" s="30" t="s">
        <v>524</v>
      </c>
      <c r="C51" s="30" t="s">
        <v>606</v>
      </c>
      <c r="D51" s="30" t="s">
        <v>98</v>
      </c>
      <c r="E51" s="30" t="s">
        <v>220</v>
      </c>
      <c r="F51" s="43">
        <v>300</v>
      </c>
      <c r="G51" s="43">
        <v>353</v>
      </c>
      <c r="H51" s="43">
        <v>21511</v>
      </c>
      <c r="I51" s="43">
        <v>22296</v>
      </c>
      <c r="J51" s="30" t="s">
        <v>221</v>
      </c>
      <c r="K51" s="43">
        <v>21299</v>
      </c>
      <c r="L51" s="143" t="s">
        <v>50</v>
      </c>
      <c r="M51" s="144">
        <f t="shared" si="11"/>
        <v>-526.41600000000005</v>
      </c>
      <c r="N51" s="145" t="str">
        <f>VLOOKUP(C51,'Trips&amp;Operators'!$C$1:$G$99999,5,FALSE)</f>
        <v>SULLIVAN BRANDON</v>
      </c>
      <c r="O51" s="194" t="s">
        <v>185</v>
      </c>
      <c r="P51" s="146"/>
      <c r="Q51" s="30"/>
      <c r="R51" s="89" t="str">
        <f>IF(VLOOKUP(C51,'Train Runs'!$A$13:$AE$9944,1,1)=C51,VLOOKUP(C51,'Train Runs'!$A$13:$AE$9944,31,1),NA())</f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S51" s="92" t="str">
        <f>VLOOKUP(C51,'Train Runs'!$A$13:$AE$9944,22,0)</f>
        <v>https://d0f6bd738d7f1b3e5a7ca70fe4ff75f0.us-east-1.aws.found.io/app/kibana#/discover/Steve-Slow-Train-Analysis-(2080s-and-2083s)?_g=(refreshInterval:(display:Off,pause:!f,section:0,value:0),time:(from:'2017-03-20T06:17:00-0600',mode:absolute,to:'2017-03-20T08:38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51" s="94" t="str">
        <f t="shared" si="12"/>
        <v>"C:\Program Files (x86)\AstroGrep\AstroGrep.exe" /e /r /s /spath="%USERPROFILE%\AppData\Local\Temp\OnboardLogs" /stypes="*4040*201703201*" /stext=" 13:.+((SYSTEM_STATE.+slice.+state.+changed )|(ment ac)|(multiple cpu faults)|(system.+state.+changed )|(\[timeout)|(PRM\|1\|D)|(kpr)|(kdp)|(\|lc)|(penalty))"</v>
      </c>
      <c r="U51" s="9" t="str">
        <f t="shared" si="13"/>
        <v>4040</v>
      </c>
      <c r="V51" s="32">
        <f t="shared" si="14"/>
        <v>42814.561215277776</v>
      </c>
      <c r="W51" s="46" t="str">
        <f t="shared" si="15"/>
        <v>NW</v>
      </c>
      <c r="X51" s="46" t="str">
        <f t="shared" si="16"/>
        <v>KEEP</v>
      </c>
      <c r="Y51" s="108" t="str">
        <f t="shared" si="17"/>
        <v>echo {"issue":{"subject":"","project_id":79,"tracker_id":40,"status_id":1,"priority_id":2,"assigned_to_id":23,"start_date":"2017-03-20","description":"","custom_fields":[{"id":1,"name":"Subdivision","value":"NW"},{"id":4,"name":"Milepost","value":"2.1299"},{"id":17,"name":"Train ID","value":"807-20"},{"id":16,"name":"Locomotive ID","value":"4040"},{"id":130,"name":"Impact","value":""},{"id":150,"name":"Time of Event (Mountain Time)","value":"07:28:09"},{"id":151,"name":"Denver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222"/>
      <c r="AA51" s="48"/>
      <c r="AB51" s="48"/>
      <c r="AC51" s="127" t="str">
        <f t="shared" si="10"/>
        <v>grep -hSE -A400 "Enforcement Action" "%USERPROFILE%\AppData\Local\Temp\OnboardLogs"\RTDC4040\*4040*201703201*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"%USERPROFILE%\AppData\Local\Temp\OnboardLogs"\RTDC4040\*4040*201703201* &gt;&gt; 2017-03-20-SliceDisagreementCheck.txt</v>
      </c>
      <c r="AE51" s="157" t="str">
        <f t="shared" si="9"/>
        <v>start /low /b %USERPROFILE%\Documents\GitHub\eaglep3\Utilities\DownloadLogsFromS3.py --loco 4040 --day 2017-03-20</v>
      </c>
      <c r="AF51" s="1"/>
    </row>
    <row r="52" spans="1:32" x14ac:dyDescent="0.25">
      <c r="A52" s="32">
        <v>42814.450729166667</v>
      </c>
      <c r="B52" s="30" t="s">
        <v>527</v>
      </c>
      <c r="C52" s="30" t="s">
        <v>621</v>
      </c>
      <c r="D52" s="30" t="s">
        <v>98</v>
      </c>
      <c r="E52" s="30" t="s">
        <v>220</v>
      </c>
      <c r="F52" s="43">
        <v>300</v>
      </c>
      <c r="G52" s="43">
        <v>351</v>
      </c>
      <c r="H52" s="43">
        <v>21295</v>
      </c>
      <c r="I52" s="43">
        <v>20439</v>
      </c>
      <c r="J52" s="30" t="s">
        <v>221</v>
      </c>
      <c r="K52" s="43">
        <v>23561</v>
      </c>
      <c r="L52" s="143" t="s">
        <v>51</v>
      </c>
      <c r="M52" s="144">
        <f t="shared" si="11"/>
        <v>-1648.4159999999999</v>
      </c>
      <c r="N52" s="145" t="str">
        <f>VLOOKUP(C52,'Trips&amp;Operators'!$C$1:$G$99999,5,FALSE)</f>
        <v>SULLIVAN BRANDON</v>
      </c>
      <c r="O52" s="194" t="s">
        <v>185</v>
      </c>
      <c r="P52" s="146"/>
      <c r="Q52" s="30"/>
      <c r="R52" s="89" t="e">
        <f>IF(VLOOKUP(C52,'Train Runs'!$A$13:$AE$9944,1,1)=C52,VLOOKUP(C52,'Train Runs'!$A$13:$AE$9944,31,1),NA())</f>
        <v>#N/A</v>
      </c>
      <c r="S52" s="92" t="str">
        <f>VLOOKUP(C52,'Train Runs'!$A$13:$AE$9944,22,0)</f>
        <v>https://d0f6bd738d7f1b3e5a7ca70fe4ff75f0.us-east-1.aws.found.io/app/kibana#/discover/Steve-Slow-Train-Analysis-(2080s-and-2083s)?_g=(refreshInterval:(display:Off,pause:!f,section:0,value:0),time:(from:'2017-03-20T09:36:50-0600',mode:absolute,to:'2017-03-20T11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52" s="94" t="str">
        <f t="shared" si="12"/>
        <v>"C:\Program Files (x86)\AstroGrep\AstroGrep.exe" /e /r /s /spath="%USERPROFILE%\AppData\Local\Temp\OnboardLogs" /stypes="*4039*201703201*" /stext=" 16:.+((SYSTEM_STATE.+slice.+state.+changed )|(ment ac)|(multiple cpu faults)|(system.+state.+changed )|(\[timeout)|(PRM\|1\|D)|(kpr)|(kdp)|(\|lc)|(penalty))"</v>
      </c>
      <c r="U52" s="9" t="str">
        <f t="shared" si="13"/>
        <v>4039</v>
      </c>
      <c r="V52" s="32">
        <f t="shared" si="14"/>
        <v>42814.700729166667</v>
      </c>
      <c r="W52" s="46" t="str">
        <f t="shared" si="15"/>
        <v>NW</v>
      </c>
      <c r="X52" s="46" t="str">
        <f t="shared" si="16"/>
        <v>KEEP</v>
      </c>
      <c r="Y52" s="108" t="str">
        <f t="shared" si="17"/>
        <v>echo {"issue":{"subject":"","project_id":79,"tracker_id":40,"status_id":1,"priority_id":2,"assigned_to_id":23,"start_date":"2017-03-20","description":"","custom_fields":[{"id":1,"name":"Subdivision","value":"NW"},{"id":4,"name":"Milepost","value":"2.3561"},{"id":17,"name":"Train ID","value":"816-20"},{"id":16,"name":"Locomotive ID","value":"4039"},{"id":130,"name":"Impact","value":""},{"id":150,"name":"Time of Event (Mountain Time)","value":"10:49:03"},{"id":151,"name":"Denver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222"/>
      <c r="AA52" s="48"/>
      <c r="AB52" s="48"/>
      <c r="AC52" s="127" t="str">
        <f t="shared" si="10"/>
        <v>grep -hSE -A400 "Enforcement Action" "%USERPROFILE%\AppData\Local\Temp\OnboardLogs"\RTDC4039\*4039*201703201*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"%USERPROFILE%\AppData\Local\Temp\OnboardLogs"\RTDC4039\*4039*201703201* &gt;&gt; 2017-03-20-SliceDisagreementCheck.txt</v>
      </c>
      <c r="AE52" s="157" t="str">
        <f t="shared" si="9"/>
        <v>start /low /b %USERPROFILE%\Documents\GitHub\eaglep3\Utilities\DownloadLogsFromS3.py --loco 4039 --day 2017-03-20</v>
      </c>
      <c r="AF52" s="1"/>
    </row>
    <row r="53" spans="1:32" x14ac:dyDescent="0.25">
      <c r="A53" s="32">
        <v>42814.291967592595</v>
      </c>
      <c r="B53" s="30" t="s">
        <v>408</v>
      </c>
      <c r="C53" s="30" t="s">
        <v>604</v>
      </c>
      <c r="D53" s="30" t="s">
        <v>98</v>
      </c>
      <c r="E53" s="30" t="s">
        <v>220</v>
      </c>
      <c r="F53" s="43">
        <v>300</v>
      </c>
      <c r="G53" s="43">
        <v>357</v>
      </c>
      <c r="H53" s="43">
        <v>42053</v>
      </c>
      <c r="I53" s="43">
        <v>42993</v>
      </c>
      <c r="J53" s="30" t="s">
        <v>221</v>
      </c>
      <c r="K53" s="43">
        <v>39716</v>
      </c>
      <c r="L53" s="143" t="s">
        <v>50</v>
      </c>
      <c r="M53" s="144">
        <f t="shared" si="11"/>
        <v>-1730.2560000000001</v>
      </c>
      <c r="N53" s="145" t="str">
        <f>VLOOKUP(C53,'Trips&amp;Operators'!$C$1:$G$99999,5,FALSE)</f>
        <v>DAVIS WENDY</v>
      </c>
      <c r="O53" s="194" t="s">
        <v>185</v>
      </c>
      <c r="P53" s="146"/>
      <c r="Q53" s="30"/>
      <c r="R53" s="89" t="str">
        <f>IF(VLOOKUP(C53,'Train Runs'!$A$13:$AE$9944,1,1)=C53,VLOOKUP(C53,'Train Runs'!$A$13:$AE$9944,31,1),NA())</f>
        <v>aws s3 cp s3://rtdc.mdm.uploadarchive.raw/RTDC4031/ "%USERPROFILE%\AppData\Local\Temp\OnboardLogs"\RTDC4031\2017-03-20 --exclude "*" --recursive --include "*20170320*" &amp; "%USERPROFILE%\Documents\GitHub\mrs-test-scripts\Headless Mode &amp; Sideloading\WalkAndUnGZ.bat" "%USERPROFILE%\AppData\Local\Temp\OnboardLogs"\RTDC4031\2017-03-20 &amp; 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</v>
      </c>
      <c r="S53" s="92" t="str">
        <f>VLOOKUP(C53,'Train Runs'!$A$13:$AE$9944,22,0)</f>
        <v>https://d0f6bd738d7f1b3e5a7ca70fe4ff75f0.us-east-1.aws.found.io/app/kibana#/discover/Steve-Slow-Train-Analysis-(2080s-and-2083s)?_g=(refreshInterval:(display:Off,pause:!f,section:0,value:0),time:(from:'2017-03-20T05:46:23-0600',mode:absolute,to:'2017-03-20T08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53" s="94" t="str">
        <f t="shared" si="12"/>
        <v>"C:\Program Files (x86)\AstroGrep\AstroGrep.exe" /e /r /s /spath="%USERPROFILE%\AppData\Local\Temp\OnboardLogs" /stypes="*4031*201703201*" /stext=" 13:.+((SYSTEM_STATE.+slice.+state.+changed )|(ment ac)|(multiple cpu faults)|(system.+state.+changed )|(\[timeout)|(PRM\|1\|D)|(kpr)|(kdp)|(\|lc)|(penalty))"</v>
      </c>
      <c r="U53" s="9" t="str">
        <f t="shared" si="13"/>
        <v>4031</v>
      </c>
      <c r="V53" s="32">
        <f t="shared" si="14"/>
        <v>42814.541967592595</v>
      </c>
      <c r="W53" s="46" t="str">
        <f t="shared" si="15"/>
        <v>NW</v>
      </c>
      <c r="X53" s="46" t="str">
        <f t="shared" si="16"/>
        <v>KEEP</v>
      </c>
      <c r="Y53" s="108" t="str">
        <f t="shared" si="17"/>
        <v>echo {"issue":{"subject":"","project_id":79,"tracker_id":40,"status_id":1,"priority_id":2,"assigned_to_id":23,"start_date":"2017-03-20","description":"","custom_fields":[{"id":1,"name":"Subdivision","value":"NW"},{"id":4,"name":"Milepost","value":"3.9716"},{"id":17,"name":"Train ID","value":"805-20"},{"id":16,"name":"Locomotive ID","value":"4031"},{"id":130,"name":"Impact","value":""},{"id":150,"name":"Time of Event (Mountain Time)","value":"07:00:26"},{"id":151,"name":"Denver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222"/>
      <c r="AA53" s="48"/>
      <c r="AB53" s="48"/>
      <c r="AC53" s="127" t="str">
        <f t="shared" si="10"/>
        <v>grep -hSE -A400 "Enforcement Action" "%USERPROFILE%\AppData\Local\Temp\OnboardLogs"\RTDC4031\*4031*201703201*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"%USERPROFILE%\AppData\Local\Temp\OnboardLogs"\RTDC4031\*4031*201703201* &gt;&gt; 2017-03-20-SliceDisagreementCheck.txt</v>
      </c>
      <c r="AE53" s="157" t="str">
        <f t="shared" si="9"/>
        <v>start /low /b %USERPROFILE%\Documents\GitHub\eaglep3\Utilities\DownloadLogsFromS3.py --loco 4031 --day 2017-03-20</v>
      </c>
      <c r="AF53" s="1"/>
    </row>
    <row r="54" spans="1:32" x14ac:dyDescent="0.25">
      <c r="A54" s="32">
        <v>42814.281099537038</v>
      </c>
      <c r="B54" s="30" t="s">
        <v>527</v>
      </c>
      <c r="C54" s="30" t="s">
        <v>601</v>
      </c>
      <c r="D54" s="30" t="s">
        <v>98</v>
      </c>
      <c r="E54" s="30" t="s">
        <v>220</v>
      </c>
      <c r="F54" s="43">
        <v>150</v>
      </c>
      <c r="G54" s="43">
        <v>200</v>
      </c>
      <c r="H54" s="43">
        <v>58112</v>
      </c>
      <c r="I54" s="43">
        <v>57781</v>
      </c>
      <c r="J54" s="30" t="s">
        <v>221</v>
      </c>
      <c r="K54" s="43">
        <v>59050</v>
      </c>
      <c r="L54" s="143" t="s">
        <v>51</v>
      </c>
      <c r="M54" s="144">
        <f t="shared" si="11"/>
        <v>-670.03200000000004</v>
      </c>
      <c r="N54" s="145" t="str">
        <f>VLOOKUP(C54,'Trips&amp;Operators'!$C$1:$G$99999,5,FALSE)</f>
        <v>SULLIVAN BRANDON</v>
      </c>
      <c r="O54" s="194" t="s">
        <v>185</v>
      </c>
      <c r="P54" s="146"/>
      <c r="Q54" s="30"/>
      <c r="R54" s="89" t="str">
        <f>IF(VLOOKUP(C54,'Train Runs'!$A$13:$AE$9944,1,1)=C54,VLOOKUP(C54,'Train Runs'!$A$13:$AE$9944,31,1),NA())</f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S54" s="92" t="str">
        <f>VLOOKUP(C54,'Train Runs'!$A$13:$AE$9944,22,0)</f>
        <v>https://d0f6bd738d7f1b3e5a7ca70fe4ff75f0.us-east-1.aws.found.io/app/kibana#/discover/Steve-Slow-Train-Analysis-(2080s-and-2083s)?_g=(refreshInterval:(display:Off,pause:!f,section:0,value:0),time:(from:'2017-03-20T05:42:22-0600',mode:absolute,to:'2017-03-20T07:57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54" s="94" t="str">
        <f t="shared" si="12"/>
        <v>"C:\Program Files (x86)\AstroGrep\AstroGrep.exe" /e /r /s /spath="%USERPROFILE%\AppData\Local\Temp\OnboardLogs" /stypes="*4039*201703201*" /stext=" 12:.+((SYSTEM_STATE.+slice.+state.+changed )|(ment ac)|(multiple cpu faults)|(system.+state.+changed )|(\[timeout)|(PRM\|1\|D)|(kpr)|(kdp)|(\|lc)|(penalty))"</v>
      </c>
      <c r="U54" s="9" t="str">
        <f t="shared" si="13"/>
        <v>4039</v>
      </c>
      <c r="V54" s="32">
        <f t="shared" si="14"/>
        <v>42814.531099537038</v>
      </c>
      <c r="W54" s="46" t="str">
        <f t="shared" si="15"/>
        <v>NW</v>
      </c>
      <c r="X54" s="46" t="str">
        <f t="shared" si="16"/>
        <v>KEEP</v>
      </c>
      <c r="Y54" s="108" t="str">
        <f t="shared" si="17"/>
        <v>echo {"issue":{"subject":"","project_id":79,"tracker_id":40,"status_id":1,"priority_id":2,"assigned_to_id":23,"start_date":"2017-03-20","description":"","custom_fields":[{"id":1,"name":"Subdivision","value":"NW"},{"id":4,"name":"Milepost","value":"5.905"},{"id":17,"name":"Train ID","value":"804-20"},{"id":16,"name":"Locomotive ID","value":"4039"},{"id":130,"name":"Impact","value":""},{"id":150,"name":"Time of Event (Mountain Time)","value":"06:44:47"},{"id":151,"name":"Denver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222"/>
      <c r="AA54" s="48"/>
      <c r="AB54" s="48"/>
      <c r="AC54" s="127" t="str">
        <f t="shared" si="10"/>
        <v>grep -hSE -A400 "Enforcement Action" "%USERPROFILE%\AppData\Local\Temp\OnboardLogs"\RTDC4039\*4039*201703201*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"%USERPROFILE%\AppData\Local\Temp\OnboardLogs"\RTDC4039\*4039*201703201* &gt;&gt; 2017-03-20-SliceDisagreementCheck.txt</v>
      </c>
      <c r="AE54" s="157" t="str">
        <f t="shared" si="9"/>
        <v>start /low /b %USERPROFILE%\Documents\GitHub\eaglep3\Utilities\DownloadLogsFromS3.py --loco 4039 --day 2017-03-20</v>
      </c>
      <c r="AF54" s="1"/>
    </row>
    <row r="55" spans="1:32" x14ac:dyDescent="0.25">
      <c r="A55" s="32">
        <v>42814.34920138889</v>
      </c>
      <c r="B55" s="30" t="s">
        <v>407</v>
      </c>
      <c r="C55" s="30" t="s">
        <v>611</v>
      </c>
      <c r="D55" s="30" t="s">
        <v>49</v>
      </c>
      <c r="E55" s="30" t="s">
        <v>365</v>
      </c>
      <c r="F55" s="43">
        <v>0</v>
      </c>
      <c r="G55" s="43">
        <v>145</v>
      </c>
      <c r="H55" s="43">
        <v>5347</v>
      </c>
      <c r="I55" s="43">
        <v>5126</v>
      </c>
      <c r="J55" s="30" t="s">
        <v>366</v>
      </c>
      <c r="K55" s="43">
        <v>4790</v>
      </c>
      <c r="L55" s="143" t="s">
        <v>51</v>
      </c>
      <c r="M55" s="144">
        <f t="shared" si="11"/>
        <v>177.40799999999999</v>
      </c>
      <c r="N55" s="145" t="str">
        <f>VLOOKUP(C55,'Trips&amp;Operators'!$C$1:$G$99999,5,FALSE)</f>
        <v>DAVIS WENDY</v>
      </c>
      <c r="O55" s="194" t="s">
        <v>185</v>
      </c>
      <c r="P55" s="146" t="s">
        <v>1011</v>
      </c>
      <c r="Q55" s="30"/>
      <c r="R55" s="89" t="str">
        <f>IF(VLOOKUP(C55,'Train Runs'!$A$13:$AE$9944,1,1)=C55,VLOOKUP(C55,'Train Runs'!$A$13:$AE$9944,31,1),NA())</f>
        <v>aws s3 cp s3://rtdc.mdm.uploadarchive.raw/RTDC4032/ "%USERPROFILE%\AppData\Local\Temp\OnboardLogs"\RTDC4032\2017-03-20 --exclude "*" --recursive --include "*20170320*" &amp; "%USERPROFILE%\Documents\GitHub\mrs-test-scripts\Headless Mode &amp; Sideloading\WalkAndUnGZ.bat" "%USERPROFILE%\AppData\Local\Temp\OnboardLogs"\RTDC4032\2017-03-20 &amp; 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</v>
      </c>
      <c r="S55" s="92" t="str">
        <f>VLOOKUP(C55,'Train Runs'!$A$13:$AE$9944,22,0)</f>
        <v>https://d0f6bd738d7f1b3e5a7ca70fe4ff75f0.us-east-1.aws.found.io/app/kibana#/discover/Steve-Slow-Train-Analysis-(2080s-and-2083s)?_g=(refreshInterval:(display:Off,pause:!f,section:0,value:0),time:(from:'2017-03-20T07:05:55-0600',mode:absolute,to:'2017-03-20T09:25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55" s="94" t="str">
        <f t="shared" si="12"/>
        <v>"C:\Program Files (x86)\AstroGrep\AstroGrep.exe" /e /r /s /spath="%USERPROFILE%\AppData\Local\Temp\OnboardLogs" /stypes="*4032*201703201*" /stext=" 14:.+((SYSTEM_STATE.+slice.+state.+changed )|(ment ac)|(multiple cpu faults)|(system.+state.+changed )|(\[timeout)|(PRM\|1\|D)|(kpr)|(kdp)|(\|lc)|(penalty))"</v>
      </c>
      <c r="U55" s="9" t="str">
        <f t="shared" si="13"/>
        <v>4032</v>
      </c>
      <c r="V55" s="32">
        <f t="shared" si="14"/>
        <v>42814.59920138889</v>
      </c>
      <c r="W55" s="46" t="str">
        <f t="shared" si="15"/>
        <v>NW</v>
      </c>
      <c r="X55" s="46" t="str">
        <f t="shared" si="16"/>
        <v>KEEP</v>
      </c>
      <c r="Y55" s="108" t="str">
        <f t="shared" si="17"/>
        <v>echo {"issue":{"subject":"DUS 28S STOP","project_id":79,"tracker_id":40,"status_id":1,"priority_id":2,"assigned_to_id":23,"start_date":"2017-03-20","description":"","custom_fields":[{"id":1,"name":"Subdivision","value":"NW"},{"id":4,"name":"Milepost","value":"0.479"},{"id":17,"name":"Train ID","value":"810-20"},{"id":16,"name":"Locomotive ID","value":"4032"},{"id":130,"name":"Impact","value":""},{"id":150,"name":"Time of Event (Mountain Time)","value":"08:22:51"},{"id":151,"name":"Denver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222"/>
      <c r="AA55" s="48"/>
      <c r="AB55" s="48"/>
      <c r="AC55" s="127" t="str">
        <f t="shared" si="10"/>
        <v>grep -hSE -A400 "Enforcement Action" "%USERPROFILE%\AppData\Local\Temp\OnboardLogs"\RTDC4032\*4032*201703201*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"%USERPROFILE%\AppData\Local\Temp\OnboardLogs"\RTDC4032\*4032*201703201* &gt;&gt; 2017-03-20-SliceDisagreementCheck.txt</v>
      </c>
      <c r="AE55" s="157" t="str">
        <f t="shared" si="9"/>
        <v>start /low /b %USERPROFILE%\Documents\GitHub\eaglep3\Utilities\DownloadLogsFromS3.py --loco 4032 --day 2017-03-20</v>
      </c>
      <c r="AF55" s="1"/>
    </row>
    <row r="56" spans="1:32" x14ac:dyDescent="0.25">
      <c r="A56" s="32">
        <v>42814.701990740738</v>
      </c>
      <c r="B56" s="30" t="s">
        <v>527</v>
      </c>
      <c r="C56" s="30" t="s">
        <v>632</v>
      </c>
      <c r="D56" s="30" t="s">
        <v>98</v>
      </c>
      <c r="E56" s="30" t="s">
        <v>365</v>
      </c>
      <c r="F56" s="43">
        <v>0</v>
      </c>
      <c r="G56" s="43">
        <v>88</v>
      </c>
      <c r="H56" s="43">
        <v>58311</v>
      </c>
      <c r="I56" s="43">
        <v>58174</v>
      </c>
      <c r="J56" s="30" t="s">
        <v>366</v>
      </c>
      <c r="K56" s="43">
        <v>58472</v>
      </c>
      <c r="L56" s="143" t="s">
        <v>51</v>
      </c>
      <c r="M56" s="144">
        <f t="shared" si="11"/>
        <v>-157.34399999999999</v>
      </c>
      <c r="N56" s="145" t="str">
        <f>VLOOKUP(C56,'Trips&amp;Operators'!$C$1:$G$99999,5,FALSE)</f>
        <v>FORTUNATO FRANK</v>
      </c>
      <c r="O56" s="194" t="s">
        <v>367</v>
      </c>
      <c r="P56" s="146" t="s">
        <v>1009</v>
      </c>
      <c r="Q56" s="30"/>
      <c r="R56" s="89" t="e">
        <f>IF(VLOOKUP(C56,'Train Runs'!$A$13:$AE$9944,1,1)=C56,VLOOKUP(C56,'Train Runs'!$A$13:$AE$9944,31,1),NA())</f>
        <v>#N/A</v>
      </c>
      <c r="S56" s="92" t="str">
        <f>VLOOKUP(C56,'Train Runs'!$A$13:$AE$9944,22,0)</f>
        <v>https://d0f6bd738d7f1b3e5a7ca70fe4ff75f0.us-east-1.aws.found.io/app/kibana#/discover/Steve-Slow-Train-Analysis-(2080s-and-2083s)?_g=(refreshInterval:(display:Off,pause:!f,section:0,value:0),time:(from:'2017-03-20T15:46:26-0600',mode:absolute,to:'2017-03-20T18:57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56" s="94" t="str">
        <f t="shared" si="12"/>
        <v>"C:\Program Files (x86)\AstroGrep\AstroGrep.exe" /e /r /s /spath="%USERPROFILE%\AppData\Local\Temp\OnboardLogs" /stypes="*4039*201703202*" /stext=" 22:.+((SYSTEM_STATE.+slice.+state.+changed )|(ment ac)|(multiple cpu faults)|(system.+state.+changed )|(\[timeout)|(PRM\|1\|D)|(kpr)|(kdp)|(\|lc)|(penalty))"</v>
      </c>
      <c r="U56" s="9" t="str">
        <f t="shared" si="13"/>
        <v>4039</v>
      </c>
      <c r="V56" s="32">
        <f t="shared" si="14"/>
        <v>42814.951990740738</v>
      </c>
      <c r="W56" s="46" t="str">
        <f t="shared" si="15"/>
        <v>NW</v>
      </c>
      <c r="X56" s="46" t="str">
        <f t="shared" si="16"/>
        <v>KEEP</v>
      </c>
      <c r="Y56" s="108" t="str">
        <f t="shared" si="17"/>
        <v>echo {"issue":{"subject":"NW0483 ELXS hardware failure","project_id":79,"tracker_id":40,"status_id":1,"priority_id":2,"assigned_to_id":23,"start_date":"2017-03-20","description":"","custom_fields":[{"id":1,"name":"Subdivision","value":"NW"},{"id":4,"name":"Milepost","value":"5.8472"},{"id":17,"name":"Train ID","value":"830-20"},{"id":16,"name":"Locomotive ID","value":"4039"},{"id":130,"name":"Impact","value":""},{"id":150,"name":"Time of Event (Mountain Time)","value":"16:50:52"},{"id":151,"name":"Denver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222"/>
      <c r="AA56" s="48"/>
      <c r="AB56" s="48"/>
      <c r="AC56" s="127" t="str">
        <f t="shared" si="10"/>
        <v>grep -hSE -A400 "Enforcement Action" "%USERPROFILE%\AppData\Local\Temp\OnboardLogs"\RTDC4039\*4039*201703202* | grep -SE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"%USERPROFILE%\AppData\Local\Temp\OnboardLogs"\RTDC4039\*4039*201703202* &gt;&gt; 2017-03-20-SliceDisagreementCheck.txt</v>
      </c>
      <c r="AE56" s="157" t="str">
        <f t="shared" si="9"/>
        <v>start /low /b %USERPROFILE%\Documents\GitHub\eaglep3\Utilities\DownloadLogsFromS3.py --loco 4039 --day 2017-03-20</v>
      </c>
      <c r="AF56" s="1"/>
    </row>
    <row r="57" spans="1:32" x14ac:dyDescent="0.25">
      <c r="A57" s="32">
        <v>42814.267881944441</v>
      </c>
      <c r="B57" s="30" t="s">
        <v>407</v>
      </c>
      <c r="C57" s="30" t="s">
        <v>599</v>
      </c>
      <c r="D57" s="30" t="s">
        <v>49</v>
      </c>
      <c r="E57" s="30" t="s">
        <v>186</v>
      </c>
      <c r="F57" s="43">
        <v>0</v>
      </c>
      <c r="G57" s="43">
        <v>107</v>
      </c>
      <c r="H57" s="43">
        <v>941</v>
      </c>
      <c r="I57" s="43">
        <v>782</v>
      </c>
      <c r="J57" s="30" t="s">
        <v>187</v>
      </c>
      <c r="K57" s="43">
        <v>575</v>
      </c>
      <c r="L57" s="143" t="s">
        <v>51</v>
      </c>
      <c r="M57" s="144">
        <f t="shared" si="11"/>
        <v>109.29600000000001</v>
      </c>
      <c r="N57" s="145" t="str">
        <f>VLOOKUP(C57,'Trips&amp;Operators'!$C$1:$G$99999,5,FALSE)</f>
        <v>DAVIS WENDY</v>
      </c>
      <c r="O57" s="194" t="s">
        <v>185</v>
      </c>
      <c r="P57" s="146"/>
      <c r="Q57" s="30"/>
      <c r="R57" s="89" t="str">
        <f>IF(VLOOKUP(C57,'Train Runs'!$A$13:$AE$9944,1,1)=C57,VLOOKUP(C57,'Train Runs'!$A$13:$AE$9944,31,1),NA())</f>
        <v>aws s3 cp s3://rtdc.mdm.uploadarchive.raw/RTDC4032/ "%USERPROFILE%\AppData\Local\Temp\OnboardLogs"\RTDC4032\2017-03-20 --exclude "*" --recursive --include "*20170320*" &amp; "%USERPROFILE%\Documents\GitHub\mrs-test-scripts\Headless Mode &amp; Sideloading\WalkAndUnGZ.bat" "%USERPROFILE%\AppData\Local\Temp\OnboardLogs"\RTDC4032\2017-03-20 &amp; 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</v>
      </c>
      <c r="S57" s="92" t="str">
        <f>VLOOKUP(C57,'Train Runs'!$A$13:$AE$9944,22,0)</f>
        <v>https://d0f6bd738d7f1b3e5a7ca70fe4ff75f0.us-east-1.aws.found.io/app/kibana#/discover/Steve-Slow-Train-Analysis-(2080s-and-2083s)?_g=(refreshInterval:(display:Off,pause:!f,section:0,value:0),time:(from:'2017-03-20T05:07:09-0600',mode:absolute,to:'2017-03-20T07:27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57" s="94" t="str">
        <f t="shared" si="12"/>
        <v>"C:\Program Files (x86)\AstroGrep\AstroGrep.exe" /e /r /s /spath="%USERPROFILE%\AppData\Local\Temp\OnboardLogs" /stypes="*4032*201703201*" /stext=" 12:.+((SYSTEM_STATE.+slice.+state.+changed )|(ment ac)|(multiple cpu faults)|(system.+state.+changed )|(\[timeout)|(PRM\|1\|D)|(kpr)|(kdp)|(\|lc)|(penalty))"</v>
      </c>
      <c r="U57" s="9" t="str">
        <f t="shared" si="13"/>
        <v>4032</v>
      </c>
      <c r="V57" s="32">
        <f t="shared" si="14"/>
        <v>42814.517881944441</v>
      </c>
      <c r="W57" s="46" t="str">
        <f t="shared" si="15"/>
        <v>NW</v>
      </c>
      <c r="X57" s="46" t="str">
        <f t="shared" si="16"/>
        <v>KEEP</v>
      </c>
      <c r="Y57" s="108" t="str">
        <f t="shared" si="17"/>
        <v>echo {"issue":{"subject":"","project_id":79,"tracker_id":40,"status_id":1,"priority_id":2,"assigned_to_id":23,"start_date":"2017-03-20","description":"","custom_fields":[{"id":1,"name":"Subdivision","value":"NW"},{"id":4,"name":"Milepost","value":"0.0575"},{"id":17,"name":"Train ID","value":"802-20"},{"id":16,"name":"Locomotive ID","value":"4032"},{"id":130,"name":"Impact","value":""},{"id":150,"name":"Time of Event (Mountain Time)","value":"06:25:45"},{"id":151,"name":"Denver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222"/>
      <c r="AA57" s="48"/>
      <c r="AB57" s="48"/>
      <c r="AC57" s="127" t="str">
        <f t="shared" si="10"/>
        <v>grep -hSE -A400 "Enforcement Action" "%USERPROFILE%\AppData\Local\Temp\OnboardLogs"\RTDC4032\*4032*201703201* | grep -SE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"%USERPROFILE%\AppData\Local\Temp\OnboardLogs"\RTDC4032\*4032*201703201* &gt;&gt; 2017-03-20-SliceDisagreementCheck.txt</v>
      </c>
      <c r="AE57" s="157" t="str">
        <f t="shared" si="9"/>
        <v>start /low /b %USERPROFILE%\Documents\GitHub\eaglep3\Utilities\DownloadLogsFromS3.py --loco 4032 --day 2017-03-20</v>
      </c>
      <c r="AF57" s="1"/>
    </row>
    <row r="58" spans="1:32" x14ac:dyDescent="0.25">
      <c r="A58" s="32">
        <v>42814.26902777778</v>
      </c>
      <c r="B58" s="30" t="s">
        <v>407</v>
      </c>
      <c r="C58" s="30" t="s">
        <v>599</v>
      </c>
      <c r="D58" s="30" t="s">
        <v>49</v>
      </c>
      <c r="E58" s="30" t="s">
        <v>186</v>
      </c>
      <c r="F58" s="43">
        <v>0</v>
      </c>
      <c r="G58" s="43">
        <v>18</v>
      </c>
      <c r="H58" s="43">
        <v>614</v>
      </c>
      <c r="I58" s="43">
        <v>596</v>
      </c>
      <c r="J58" s="30" t="s">
        <v>187</v>
      </c>
      <c r="K58" s="43">
        <v>575</v>
      </c>
      <c r="L58" s="143" t="s">
        <v>51</v>
      </c>
      <c r="M58" s="144">
        <f t="shared" si="11"/>
        <v>11.087999999999999</v>
      </c>
      <c r="N58" s="145" t="str">
        <f>VLOOKUP(C58,'Trips&amp;Operators'!$C$1:$G$99999,5,FALSE)</f>
        <v>DAVIS WENDY</v>
      </c>
      <c r="O58" s="194" t="s">
        <v>185</v>
      </c>
      <c r="P58" s="146"/>
      <c r="Q58" s="30"/>
      <c r="R58" s="89" t="str">
        <f>IF(VLOOKUP(C58,'Train Runs'!$A$13:$AE$9944,1,1)=C58,VLOOKUP(C58,'Train Runs'!$A$13:$AE$9944,31,1),NA())</f>
        <v>aws s3 cp s3://rtdc.mdm.uploadarchive.raw/RTDC4032/ "%USERPROFILE%\AppData\Local\Temp\OnboardLogs"\RTDC4032\2017-03-20 --exclude "*" --recursive --include "*20170320*" &amp; "%USERPROFILE%\Documents\GitHub\mrs-test-scripts\Headless Mode &amp; Sideloading\WalkAndUnGZ.bat" "%USERPROFILE%\AppData\Local\Temp\OnboardLogs"\RTDC4032\2017-03-20 &amp; 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</v>
      </c>
      <c r="S58" s="92" t="str">
        <f>VLOOKUP(C58,'Train Runs'!$A$13:$AE$9944,22,0)</f>
        <v>https://d0f6bd738d7f1b3e5a7ca70fe4ff75f0.us-east-1.aws.found.io/app/kibana#/discover/Steve-Slow-Train-Analysis-(2080s-and-2083s)?_g=(refreshInterval:(display:Off,pause:!f,section:0,value:0),time:(from:'2017-03-20T05:07:09-0600',mode:absolute,to:'2017-03-20T07:27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58" s="94" t="str">
        <f t="shared" si="12"/>
        <v>"C:\Program Files (x86)\AstroGrep\AstroGrep.exe" /e /r /s /spath="%USERPROFILE%\AppData\Local\Temp\OnboardLogs" /stypes="*4032*201703201*" /stext=" 12:.+((SYSTEM_STATE.+slice.+state.+changed )|(ment ac)|(multiple cpu faults)|(system.+state.+changed )|(\[timeout)|(PRM\|1\|D)|(kpr)|(kdp)|(\|lc)|(penalty))"</v>
      </c>
      <c r="U58" s="9" t="str">
        <f t="shared" si="13"/>
        <v>4032</v>
      </c>
      <c r="V58" s="32">
        <f t="shared" si="14"/>
        <v>42814.51902777778</v>
      </c>
      <c r="W58" s="46" t="str">
        <f t="shared" si="15"/>
        <v>NW</v>
      </c>
      <c r="X58" s="46" t="str">
        <f t="shared" si="16"/>
        <v>KEEP</v>
      </c>
      <c r="Y58" s="108" t="str">
        <f t="shared" si="17"/>
        <v>echo {"issue":{"subject":"","project_id":79,"tracker_id":40,"status_id":1,"priority_id":2,"assigned_to_id":23,"start_date":"2017-03-20","description":"","custom_fields":[{"id":1,"name":"Subdivision","value":"NW"},{"id":4,"name":"Milepost","value":"0.0575"},{"id":17,"name":"Train ID","value":"802-20"},{"id":16,"name":"Locomotive ID","value":"4032"},{"id":130,"name":"Impact","value":""},{"id":150,"name":"Time of Event (Mountain Time)","value":"06:27:24"},{"id":151,"name":"Denver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222"/>
      <c r="AA58" s="48"/>
      <c r="AB58" s="48"/>
      <c r="AC58" s="127" t="str">
        <f t="shared" si="10"/>
        <v>grep -hSE -A400 "Enforcement Action" "%USERPROFILE%\AppData\Local\Temp\OnboardLogs"\RTDC4032\*4032*201703201* | grep -SE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"%USERPROFILE%\AppData\Local\Temp\OnboardLogs"\RTDC4032\*4032*201703201* &gt;&gt; 2017-03-20-SliceDisagreementCheck.txt</v>
      </c>
      <c r="AE58" s="157" t="str">
        <f t="shared" si="9"/>
        <v>start /low /b %USERPROFILE%\Documents\GitHub\eaglep3\Utilities\DownloadLogsFromS3.py --loco 4032 --day 2017-03-20</v>
      </c>
      <c r="AF58" s="1"/>
    </row>
    <row r="59" spans="1:32" x14ac:dyDescent="0.25">
      <c r="A59" s="32">
        <v>42814.310115740744</v>
      </c>
      <c r="B59" s="30" t="s">
        <v>407</v>
      </c>
      <c r="C59" s="30" t="s">
        <v>605</v>
      </c>
      <c r="D59" s="30" t="s">
        <v>49</v>
      </c>
      <c r="E59" s="30" t="s">
        <v>186</v>
      </c>
      <c r="F59" s="43">
        <v>0</v>
      </c>
      <c r="G59" s="43">
        <v>26</v>
      </c>
      <c r="H59" s="43">
        <v>631</v>
      </c>
      <c r="I59" s="43">
        <v>600</v>
      </c>
      <c r="J59" s="30" t="s">
        <v>187</v>
      </c>
      <c r="K59" s="43">
        <v>575</v>
      </c>
      <c r="L59" s="143" t="s">
        <v>51</v>
      </c>
      <c r="M59" s="144">
        <f t="shared" si="11"/>
        <v>13.2</v>
      </c>
      <c r="N59" s="145" t="str">
        <f>VLOOKUP(C59,'Trips&amp;Operators'!$C$1:$G$99999,5,FALSE)</f>
        <v>DAVIS WENDY</v>
      </c>
      <c r="O59" s="194" t="s">
        <v>185</v>
      </c>
      <c r="P59" s="146"/>
      <c r="Q59" s="30"/>
      <c r="R59" s="89" t="str">
        <f>IF(VLOOKUP(C59,'Train Runs'!$A$13:$AE$9944,1,1)=C59,VLOOKUP(C59,'Train Runs'!$A$13:$AE$9944,31,1),NA())</f>
        <v>aws s3 cp s3://rtdc.mdm.uploadarchive.raw/RTDC4032/ "%USERPROFILE%\AppData\Local\Temp\OnboardLogs"\RTDC4032\2017-03-20 --exclude "*" --recursive --include "*20170320*" &amp; "%USERPROFILE%\Documents\GitHub\mrs-test-scripts\Headless Mode &amp; Sideloading\WalkAndUnGZ.bat" "%USERPROFILE%\AppData\Local\Temp\OnboardLogs"\RTDC4032\2017-03-20 &amp; 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</v>
      </c>
      <c r="S59" s="92" t="str">
        <f>VLOOKUP(C59,'Train Runs'!$A$13:$AE$9944,22,0)</f>
        <v>https://d0f6bd738d7f1b3e5a7ca70fe4ff75f0.us-east-1.aws.found.io/app/kibana#/discover/Steve-Slow-Train-Analysis-(2080s-and-2083s)?_g=(refreshInterval:(display:Off,pause:!f,section:0,value:0),time:(from:'2017-03-20T06:08:11-0600',mode:absolute,to:'2017-03-20T08:26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59" s="94" t="str">
        <f t="shared" si="12"/>
        <v>"C:\Program Files (x86)\AstroGrep\AstroGrep.exe" /e /r /s /spath="%USERPROFILE%\AppData\Local\Temp\OnboardLogs" /stypes="*4032*201703201*" /stext=" 13:.+((SYSTEM_STATE.+slice.+state.+changed )|(ment ac)|(multiple cpu faults)|(system.+state.+changed )|(\[timeout)|(PRM\|1\|D)|(kpr)|(kdp)|(\|lc)|(penalty))"</v>
      </c>
      <c r="U59" s="9" t="str">
        <f t="shared" si="13"/>
        <v>4032</v>
      </c>
      <c r="V59" s="32">
        <f t="shared" si="14"/>
        <v>42814.560115740744</v>
      </c>
      <c r="W59" s="46" t="str">
        <f t="shared" si="15"/>
        <v>NW</v>
      </c>
      <c r="X59" s="46" t="str">
        <f t="shared" si="16"/>
        <v>KEEP</v>
      </c>
      <c r="Y59" s="108" t="str">
        <f t="shared" si="17"/>
        <v>echo {"issue":{"subject":"","project_id":79,"tracker_id":40,"status_id":1,"priority_id":2,"assigned_to_id":23,"start_date":"2017-03-20","description":"","custom_fields":[{"id":1,"name":"Subdivision","value":"NW"},{"id":4,"name":"Milepost","value":"0.0575"},{"id":17,"name":"Train ID","value":"806-20"},{"id":16,"name":"Locomotive ID","value":"4032"},{"id":130,"name":"Impact","value":""},{"id":150,"name":"Time of Event (Mountain Time)","value":"07:26:34"},{"id":151,"name":"Denver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222"/>
      <c r="AA59" s="48"/>
      <c r="AB59" s="48"/>
      <c r="AC59" s="127" t="str">
        <f t="shared" si="10"/>
        <v>grep -hSE -A400 "Enforcement Action" "%USERPROFILE%\AppData\Local\Temp\OnboardLogs"\RTDC4032\*4032*201703201* | grep -SE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"%USERPROFILE%\AppData\Local\Temp\OnboardLogs"\RTDC4032\*4032*201703201* &gt;&gt; 2017-03-20-SliceDisagreementCheck.txt</v>
      </c>
      <c r="AE59" s="157" t="str">
        <f t="shared" si="9"/>
        <v>start /low /b %USERPROFILE%\Documents\GitHub\eaglep3\Utilities\DownloadLogsFromS3.py --loco 4032 --day 2017-03-20</v>
      </c>
      <c r="AF59" s="1"/>
    </row>
    <row r="60" spans="1:32" x14ac:dyDescent="0.25">
      <c r="A60" s="32">
        <v>42814.331909722219</v>
      </c>
      <c r="B60" s="30" t="s">
        <v>527</v>
      </c>
      <c r="C60" s="30" t="s">
        <v>609</v>
      </c>
      <c r="D60" s="30" t="s">
        <v>49</v>
      </c>
      <c r="E60" s="30" t="s">
        <v>186</v>
      </c>
      <c r="F60" s="43">
        <v>0</v>
      </c>
      <c r="G60" s="43">
        <v>63</v>
      </c>
      <c r="H60" s="43">
        <v>775</v>
      </c>
      <c r="I60" s="43">
        <v>712</v>
      </c>
      <c r="J60" s="30" t="s">
        <v>187</v>
      </c>
      <c r="K60" s="43">
        <v>575</v>
      </c>
      <c r="L60" s="143" t="s">
        <v>51</v>
      </c>
      <c r="M60" s="144">
        <f t="shared" si="11"/>
        <v>72.335999999999999</v>
      </c>
      <c r="N60" s="145" t="str">
        <f>VLOOKUP(C60,'Trips&amp;Operators'!$C$1:$G$99999,5,FALSE)</f>
        <v>SULLIVAN BRANDON</v>
      </c>
      <c r="O60" s="194" t="s">
        <v>185</v>
      </c>
      <c r="P60" s="146"/>
      <c r="Q60" s="30"/>
      <c r="R60" s="89" t="str">
        <f>IF(VLOOKUP(C60,'Train Runs'!$A$13:$AE$9944,1,1)=C60,VLOOKUP(C60,'Train Runs'!$A$13:$AE$9944,31,1),NA())</f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S60" s="92" t="str">
        <f>VLOOKUP(C60,'Train Runs'!$A$13:$AE$9944,22,0)</f>
        <v>https://d0f6bd738d7f1b3e5a7ca70fe4ff75f0.us-east-1.aws.found.io/app/kibana#/discover/Steve-Slow-Train-Analysis-(2080s-and-2083s)?_g=(refreshInterval:(display:Off,pause:!f,section:0,value:0),time:(from:'2017-03-20T06:41:00-0600',mode:absolute,to:'2017-03-20T08:57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60" s="94" t="str">
        <f t="shared" si="12"/>
        <v>"C:\Program Files (x86)\AstroGrep\AstroGrep.exe" /e /r /s /spath="%USERPROFILE%\AppData\Local\Temp\OnboardLogs" /stypes="*4039*201703201*" /stext=" 13:.+((SYSTEM_STATE.+slice.+state.+changed )|(ment ac)|(multiple cpu faults)|(system.+state.+changed )|(\[timeout)|(PRM\|1\|D)|(kpr)|(kdp)|(\|lc)|(penalty))"</v>
      </c>
      <c r="U60" s="9" t="str">
        <f t="shared" si="13"/>
        <v>4039</v>
      </c>
      <c r="V60" s="32">
        <f t="shared" si="14"/>
        <v>42814.581909722219</v>
      </c>
      <c r="W60" s="46" t="str">
        <f t="shared" si="15"/>
        <v>NW</v>
      </c>
      <c r="X60" s="46" t="str">
        <f t="shared" si="16"/>
        <v>KEEP</v>
      </c>
      <c r="Y60" s="108" t="str">
        <f t="shared" si="17"/>
        <v>echo {"issue":{"subject":"","project_id":79,"tracker_id":40,"status_id":1,"priority_id":2,"assigned_to_id":23,"start_date":"2017-03-20","description":"","custom_fields":[{"id":1,"name":"Subdivision","value":"NW"},{"id":4,"name":"Milepost","value":"0.0575"},{"id":17,"name":"Train ID","value":"808-20"},{"id":16,"name":"Locomotive ID","value":"4039"},{"id":130,"name":"Impact","value":""},{"id":150,"name":"Time of Event (Mountain Time)","value":"07:57:57"},{"id":151,"name":"Denver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222"/>
      <c r="AA60" s="48"/>
      <c r="AB60" s="48"/>
      <c r="AC60" s="127" t="str">
        <f t="shared" si="10"/>
        <v>grep -hSE -A400 "Enforcement Action" "%USERPROFILE%\AppData\Local\Temp\OnboardLogs"\RTDC4039\*4039*201703201* | grep -SE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"%USERPROFILE%\AppData\Local\Temp\OnboardLogs"\RTDC4039\*4039*201703201* &gt;&gt; 2017-03-20-SliceDisagreementCheck.txt</v>
      </c>
      <c r="AE60" s="157" t="str">
        <f t="shared" si="9"/>
        <v>start /low /b %USERPROFILE%\Documents\GitHub\eaglep3\Utilities\DownloadLogsFromS3.py --loco 4039 --day 2017-03-20</v>
      </c>
      <c r="AF60" s="1"/>
    </row>
    <row r="61" spans="1:32" x14ac:dyDescent="0.25">
      <c r="A61" s="32">
        <v>42814.496990740743</v>
      </c>
      <c r="B61" s="30" t="s">
        <v>527</v>
      </c>
      <c r="C61" s="30" t="s">
        <v>624</v>
      </c>
      <c r="D61" s="30" t="s">
        <v>49</v>
      </c>
      <c r="E61" s="30" t="s">
        <v>186</v>
      </c>
      <c r="F61" s="43">
        <v>0</v>
      </c>
      <c r="G61" s="43">
        <v>36</v>
      </c>
      <c r="H61" s="43">
        <v>692</v>
      </c>
      <c r="I61" s="43">
        <v>654</v>
      </c>
      <c r="J61" s="30" t="s">
        <v>187</v>
      </c>
      <c r="K61" s="43">
        <v>575</v>
      </c>
      <c r="L61" s="143" t="s">
        <v>51</v>
      </c>
      <c r="M61" s="144">
        <f t="shared" si="11"/>
        <v>41.712000000000003</v>
      </c>
      <c r="N61" s="145" t="str">
        <f>VLOOKUP(C61,'Trips&amp;Operators'!$C$1:$G$99999,5,FALSE)</f>
        <v>SULLIVAN BRANDON</v>
      </c>
      <c r="O61" s="194" t="s">
        <v>185</v>
      </c>
      <c r="P61" s="146"/>
      <c r="Q61" s="30"/>
      <c r="R61" s="89" t="e">
        <f>IF(VLOOKUP(C61,'Train Runs'!$A$13:$AE$9944,1,1)=C61,VLOOKUP(C61,'Train Runs'!$A$13:$AE$9944,31,1),NA())</f>
        <v>#N/A</v>
      </c>
      <c r="S61" s="92" t="str">
        <f>VLOOKUP(C61,'Train Runs'!$A$13:$AE$9944,22,0)</f>
        <v>https://d0f6bd738d7f1b3e5a7ca70fe4ff75f0.us-east-1.aws.found.io/app/kibana#/discover/Steve-Slow-Train-Analysis-(2080s-and-2083s)?_g=(refreshInterval:(display:Off,pause:!f,section:0,value:0),time:(from:'2017-03-20T10:37:24-0600',mode:absolute,to:'2017-03-20T12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61" s="94" t="str">
        <f t="shared" si="12"/>
        <v>"C:\Program Files (x86)\AstroGrep\AstroGrep.exe" /e /r /s /spath="%USERPROFILE%\AppData\Local\Temp\OnboardLogs" /stypes="*4039*201703201*" /stext=" 17:.+((SYSTEM_STATE.+slice.+state.+changed )|(ment ac)|(multiple cpu faults)|(system.+state.+changed )|(\[timeout)|(PRM\|1\|D)|(kpr)|(kdp)|(\|lc)|(penalty))"</v>
      </c>
      <c r="U61" s="9" t="str">
        <f t="shared" si="13"/>
        <v>4039</v>
      </c>
      <c r="V61" s="32">
        <f t="shared" si="14"/>
        <v>42814.746990740743</v>
      </c>
      <c r="W61" s="46" t="str">
        <f t="shared" si="15"/>
        <v>NW</v>
      </c>
      <c r="X61" s="46" t="str">
        <f t="shared" si="16"/>
        <v>KEEP</v>
      </c>
      <c r="Y61" s="108" t="str">
        <f t="shared" si="17"/>
        <v>echo {"issue":{"subject":"","project_id":79,"tracker_id":40,"status_id":1,"priority_id":2,"assigned_to_id":23,"start_date":"2017-03-20","description":"","custom_fields":[{"id":1,"name":"Subdivision","value":"NW"},{"id":4,"name":"Milepost","value":"0.0575"},{"id":17,"name":"Train ID","value":"818-20"},{"id":16,"name":"Locomotive ID","value":"4039"},{"id":130,"name":"Impact","value":""},{"id":150,"name":"Time of Event (Mountain Time)","value":"11:55:40"},{"id":151,"name":"Denver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222"/>
      <c r="AA61" s="48"/>
      <c r="AB61" s="48"/>
      <c r="AC61" s="127" t="str">
        <f t="shared" si="10"/>
        <v>grep -hSE -A400 "Enforcement Action" "%USERPROFILE%\AppData\Local\Temp\OnboardLogs"\RTDC4039\*4039*201703201* | grep -SE "((Enforcement Ac)|(PRM))" -</v>
      </c>
      <c r="AD61" s="1" t="str">
        <f>"grep -hSE ""Enforcement Action"" "&amp;search_path&amp;"\RTDC"&amp;U61&amp;"\*"&amp;U61&amp;"*"&amp;TEXT(A61-utc_offset/24,"YYYYMMDD")&amp;LEFT(TEXT(A61-utc_offset/24,"HH"),1)&amp;"* &gt;&gt; "&amp;TEXT(Variables!$A$2,"YYYY-MM-DD")&amp;"-SliceDisagreementCheck.txt"</f>
        <v>grep -hSE "Enforcement Action" "%USERPROFILE%\AppData\Local\Temp\OnboardLogs"\RTDC4039\*4039*201703201* &gt;&gt; 2017-03-20-SliceDisagreementCheck.txt</v>
      </c>
      <c r="AE61" s="157" t="str">
        <f t="shared" si="9"/>
        <v>start /low /b %USERPROFILE%\Documents\GitHub\eaglep3\Utilities\DownloadLogsFromS3.py --loco 4039 --day 2017-03-20</v>
      </c>
      <c r="AF61" s="1"/>
    </row>
    <row r="62" spans="1:32" x14ac:dyDescent="0.25">
      <c r="A62" s="32">
        <v>42814.58048611111</v>
      </c>
      <c r="B62" s="30" t="s">
        <v>527</v>
      </c>
      <c r="C62" s="30" t="s">
        <v>626</v>
      </c>
      <c r="D62" s="30" t="s">
        <v>49</v>
      </c>
      <c r="E62" s="30" t="s">
        <v>186</v>
      </c>
      <c r="F62" s="43">
        <v>0</v>
      </c>
      <c r="G62" s="43">
        <v>54</v>
      </c>
      <c r="H62" s="43">
        <v>741</v>
      </c>
      <c r="I62" s="43">
        <v>696</v>
      </c>
      <c r="J62" s="30" t="s">
        <v>187</v>
      </c>
      <c r="K62" s="43">
        <v>575</v>
      </c>
      <c r="L62" s="143" t="s">
        <v>51</v>
      </c>
      <c r="M62" s="144">
        <f t="shared" si="11"/>
        <v>63.887999999999998</v>
      </c>
      <c r="N62" s="145" t="str">
        <f>VLOOKUP(C62,'Trips&amp;Operators'!$C$1:$G$99999,5,FALSE)</f>
        <v>FORTUNATO FRANK</v>
      </c>
      <c r="O62" s="194" t="s">
        <v>185</v>
      </c>
      <c r="P62" s="146"/>
      <c r="Q62" s="30"/>
      <c r="R62" s="89" t="e">
        <f>IF(VLOOKUP(C62,'Train Runs'!$A$13:$AE$9944,1,1)=C62,VLOOKUP(C62,'Train Runs'!$A$13:$AE$9944,31,1),NA())</f>
        <v>#N/A</v>
      </c>
      <c r="S62" s="92" t="str">
        <f>VLOOKUP(C62,'Train Runs'!$A$13:$AE$9944,22,0)</f>
        <v>https://d0f6bd738d7f1b3e5a7ca70fe4ff75f0.us-east-1.aws.found.io/app/kibana#/discover/Steve-Slow-Train-Analysis-(2080s-and-2083s)?_g=(refreshInterval:(display:Off,pause:!f,section:0,value:0),time:(from:'2017-03-20T12:36:45-0600',mode:absolute,to:'2017-03-20T14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62" s="94" t="str">
        <f t="shared" si="12"/>
        <v>"C:\Program Files (x86)\AstroGrep\AstroGrep.exe" /e /r /s /spath="%USERPROFILE%\AppData\Local\Temp\OnboardLogs" /stypes="*4039*201703201*" /stext=" 19:.+((SYSTEM_STATE.+slice.+state.+changed )|(ment ac)|(multiple cpu faults)|(system.+state.+changed )|(\[timeout)|(PRM\|1\|D)|(kpr)|(kdp)|(\|lc)|(penalty))"</v>
      </c>
      <c r="U62" s="9" t="str">
        <f t="shared" si="13"/>
        <v>4039</v>
      </c>
      <c r="V62" s="32">
        <f t="shared" si="14"/>
        <v>42814.83048611111</v>
      </c>
      <c r="W62" s="46" t="str">
        <f t="shared" si="15"/>
        <v>NW</v>
      </c>
      <c r="X62" s="46" t="str">
        <f t="shared" si="16"/>
        <v>KEEP</v>
      </c>
      <c r="Y62" s="108" t="str">
        <f t="shared" si="17"/>
        <v>echo {"issue":{"subject":"","project_id":79,"tracker_id":40,"status_id":1,"priority_id":2,"assigned_to_id":23,"start_date":"2017-03-20","description":"","custom_fields":[{"id":1,"name":"Subdivision","value":"NW"},{"id":4,"name":"Milepost","value":"0.0575"},{"id":17,"name":"Train ID","value":"822-20"},{"id":16,"name":"Locomotive ID","value":"4039"},{"id":130,"name":"Impact","value":""},{"id":150,"name":"Time of Event (Mountain Time)","value":"13:55:54"},{"id":151,"name":"Denver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222"/>
      <c r="AA62" s="48"/>
      <c r="AB62" s="48"/>
      <c r="AC62" s="127" t="str">
        <f t="shared" si="10"/>
        <v>grep -hSE -A400 "Enforcement Action" "%USERPROFILE%\AppData\Local\Temp\OnboardLogs"\RTDC4039\*4039*201703201* | grep -SE "((Enforcement Ac)|(PRM))" -</v>
      </c>
      <c r="AD62" s="1" t="str">
        <f>"grep -hSE ""Enforcement Action"" "&amp;search_path&amp;"\RTDC"&amp;U62&amp;"\*"&amp;U62&amp;"*"&amp;TEXT(A62-utc_offset/24,"YYYYMMDD")&amp;LEFT(TEXT(A62-utc_offset/24,"HH"),1)&amp;"* &gt;&gt; "&amp;TEXT(Variables!$A$2,"YYYY-MM-DD")&amp;"-SliceDisagreementCheck.txt"</f>
        <v>grep -hSE "Enforcement Action" "%USERPROFILE%\AppData\Local\Temp\OnboardLogs"\RTDC4039\*4039*201703201* &gt;&gt; 2017-03-20-SliceDisagreementCheck.txt</v>
      </c>
      <c r="AE62" s="157" t="str">
        <f t="shared" si="9"/>
        <v>start /low /b %USERPROFILE%\Documents\GitHub\eaglep3\Utilities\DownloadLogsFromS3.py --loco 4039 --day 2017-03-20</v>
      </c>
      <c r="AF62" s="1"/>
    </row>
    <row r="63" spans="1:32" x14ac:dyDescent="0.25">
      <c r="A63" s="32">
        <v>42814.663888888892</v>
      </c>
      <c r="B63" s="30" t="s">
        <v>527</v>
      </c>
      <c r="C63" s="30" t="s">
        <v>630</v>
      </c>
      <c r="D63" s="30" t="s">
        <v>49</v>
      </c>
      <c r="E63" s="30" t="s">
        <v>186</v>
      </c>
      <c r="F63" s="43">
        <v>0</v>
      </c>
      <c r="G63" s="43">
        <v>44</v>
      </c>
      <c r="H63" s="43">
        <v>699</v>
      </c>
      <c r="I63" s="43">
        <v>663</v>
      </c>
      <c r="J63" s="30" t="s">
        <v>187</v>
      </c>
      <c r="K63" s="43">
        <v>575</v>
      </c>
      <c r="L63" s="143" t="s">
        <v>51</v>
      </c>
      <c r="M63" s="144">
        <f t="shared" si="11"/>
        <v>46.463999999999999</v>
      </c>
      <c r="N63" s="145" t="str">
        <f>VLOOKUP(C63,'Trips&amp;Operators'!$C$1:$G$99999,5,FALSE)</f>
        <v>FORTUNATO FRANK</v>
      </c>
      <c r="O63" s="194" t="s">
        <v>185</v>
      </c>
      <c r="P63" s="146"/>
      <c r="Q63" s="30"/>
      <c r="R63" s="89" t="e">
        <f>IF(VLOOKUP(C63,'Train Runs'!$A$13:$AE$9944,1,1)=C63,VLOOKUP(C63,'Train Runs'!$A$13:$AE$9944,31,1),NA())</f>
        <v>#N/A</v>
      </c>
      <c r="S63" s="92" t="str">
        <f>VLOOKUP(C63,'Train Runs'!$A$13:$AE$9944,22,0)</f>
        <v>https://d0f6bd738d7f1b3e5a7ca70fe4ff75f0.us-east-1.aws.found.io/app/kibana#/discover/Steve-Slow-Train-Analysis-(2080s-and-2083s)?_g=(refreshInterval:(display:Off,pause:!f,section:0,value:0),time:(from:'2017-03-20T14:37:13-0600',mode:absolute,to:'2017-03-20T16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63" s="94" t="str">
        <f t="shared" si="12"/>
        <v>"C:\Program Files (x86)\AstroGrep\AstroGrep.exe" /e /r /s /spath="%USERPROFILE%\AppData\Local\Temp\OnboardLogs" /stypes="*4039*201703202*" /stext=" 21:.+((SYSTEM_STATE.+slice.+state.+changed )|(ment ac)|(multiple cpu faults)|(system.+state.+changed )|(\[timeout)|(PRM\|1\|D)|(kpr)|(kdp)|(\|lc)|(penalty))"</v>
      </c>
      <c r="U63" s="9" t="str">
        <f t="shared" si="13"/>
        <v>4039</v>
      </c>
      <c r="V63" s="32">
        <f t="shared" si="14"/>
        <v>42814.913888888892</v>
      </c>
      <c r="W63" s="46" t="str">
        <f t="shared" si="15"/>
        <v>NW</v>
      </c>
      <c r="X63" s="46" t="str">
        <f t="shared" si="16"/>
        <v>KEEP</v>
      </c>
      <c r="Y63" s="108" t="str">
        <f t="shared" si="17"/>
        <v>echo {"issue":{"subject":"","project_id":79,"tracker_id":40,"status_id":1,"priority_id":2,"assigned_to_id":23,"start_date":"2017-03-20","description":"","custom_fields":[{"id":1,"name":"Subdivision","value":"NW"},{"id":4,"name":"Milepost","value":"0.0575"},{"id":17,"name":"Train ID","value":"826-20"},{"id":16,"name":"Locomotive ID","value":"4039"},{"id":130,"name":"Impact","value":""},{"id":150,"name":"Time of Event (Mountain Time)","value":"15:56:00"},{"id":151,"name":"Denver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222"/>
      <c r="AA63" s="48"/>
      <c r="AB63" s="48"/>
      <c r="AC63" s="127" t="str">
        <f t="shared" si="10"/>
        <v>grep -hSE -A400 "Enforcement Action" "%USERPROFILE%\AppData\Local\Temp\OnboardLogs"\RTDC4039\*4039*201703202* | grep -SE "((Enforcement Ac)|(PRM))" -</v>
      </c>
      <c r="AD63" s="1" t="str">
        <f>"grep -hSE ""Enforcement Action"" "&amp;search_path&amp;"\RTDC"&amp;U63&amp;"\*"&amp;U63&amp;"*"&amp;TEXT(A63-utc_offset/24,"YYYYMMDD")&amp;LEFT(TEXT(A63-utc_offset/24,"HH"),1)&amp;"* &gt;&gt; "&amp;TEXT(Variables!$A$2,"YYYY-MM-DD")&amp;"-SliceDisagreementCheck.txt"</f>
        <v>grep -hSE "Enforcement Action" "%USERPROFILE%\AppData\Local\Temp\OnboardLogs"\RTDC4039\*4039*201703202* &gt;&gt; 2017-03-20-SliceDisagreementCheck.txt</v>
      </c>
      <c r="AE63" s="157" t="str">
        <f t="shared" si="9"/>
        <v>start /low /b %USERPROFILE%\Documents\GitHub\eaglep3\Utilities\DownloadLogsFromS3.py --loco 4039 --day 2017-03-20</v>
      </c>
      <c r="AF63" s="1"/>
    </row>
    <row r="64" spans="1:32" x14ac:dyDescent="0.25">
      <c r="A64" s="32">
        <v>42814.832013888888</v>
      </c>
      <c r="B64" s="30" t="s">
        <v>527</v>
      </c>
      <c r="C64" s="30" t="s">
        <v>642</v>
      </c>
      <c r="D64" s="30" t="s">
        <v>49</v>
      </c>
      <c r="E64" s="30" t="s">
        <v>186</v>
      </c>
      <c r="F64" s="43">
        <v>0</v>
      </c>
      <c r="G64" s="43">
        <v>41</v>
      </c>
      <c r="H64" s="43">
        <v>701</v>
      </c>
      <c r="I64" s="43">
        <v>666</v>
      </c>
      <c r="J64" s="30" t="s">
        <v>187</v>
      </c>
      <c r="K64" s="43">
        <v>575</v>
      </c>
      <c r="L64" s="143" t="s">
        <v>51</v>
      </c>
      <c r="M64" s="144">
        <f t="shared" si="11"/>
        <v>48.048000000000002</v>
      </c>
      <c r="N64" s="145" t="str">
        <f>VLOOKUP(C64,'Trips&amp;Operators'!$C$1:$G$99999,5,FALSE)</f>
        <v>FORTUNATO FRANK</v>
      </c>
      <c r="O64" s="194" t="s">
        <v>185</v>
      </c>
      <c r="P64" s="146"/>
      <c r="Q64" s="30"/>
      <c r="R64" s="89" t="e">
        <f>IF(VLOOKUP(C64,'Train Runs'!$A$13:$AE$9944,1,1)=C64,VLOOKUP(C64,'Train Runs'!$A$13:$AE$9944,31,1),NA())</f>
        <v>#N/A</v>
      </c>
      <c r="S64" s="92" t="str">
        <f>VLOOKUP(C64,'Train Runs'!$A$13:$AE$9944,22,0)</f>
        <v>https://d0f6bd738d7f1b3e5a7ca70fe4ff75f0.us-east-1.aws.found.io/app/kibana#/discover/Steve-Slow-Train-Analysis-(2080s-and-2083s)?_g=(refreshInterval:(display:Off,pause:!f,section:0,value:0),time:(from:'2017-03-20T18:36:50-0600',mode:absolute,to:'2017-03-20T20:58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64" s="94" t="str">
        <f t="shared" si="12"/>
        <v>"C:\Program Files (x86)\AstroGrep\AstroGrep.exe" /e /r /s /spath="%USERPROFILE%\AppData\Local\Temp\OnboardLogs" /stypes="*4039*201703210*" /stext=" 01:.+((SYSTEM_STATE.+slice.+state.+changed )|(ment ac)|(multiple cpu faults)|(system.+state.+changed )|(\[timeout)|(PRM\|1\|D)|(kpr)|(kdp)|(\|lc)|(penalty))"</v>
      </c>
      <c r="U64" s="9" t="str">
        <f t="shared" si="13"/>
        <v>4039</v>
      </c>
      <c r="V64" s="32">
        <f t="shared" si="14"/>
        <v>42815.082013888888</v>
      </c>
      <c r="W64" s="46" t="str">
        <f t="shared" si="15"/>
        <v>NW</v>
      </c>
      <c r="X64" s="46" t="str">
        <f t="shared" si="16"/>
        <v>KEEP</v>
      </c>
      <c r="Y64" s="108" t="str">
        <f t="shared" si="17"/>
        <v>echo {"issue":{"subject":"","project_id":79,"tracker_id":40,"status_id":1,"priority_id":2,"assigned_to_id":23,"start_date":"2017-03-20","description":"","custom_fields":[{"id":1,"name":"Subdivision","value":"NW"},{"id":4,"name":"Milepost","value":"0.0575"},{"id":17,"name":"Train ID","value":"840-20"},{"id":16,"name":"Locomotive ID","value":"4039"},{"id":130,"name":"Impact","value":""},{"id":150,"name":"Time of Event (Mountain Time)","value":"19:58:06"},{"id":151,"name":"Denver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222"/>
      <c r="AA64" s="48"/>
      <c r="AB64" s="48"/>
      <c r="AC64" s="127" t="str">
        <f t="shared" si="10"/>
        <v>grep -hSE -A400 "Enforcement Action" "%USERPROFILE%\AppData\Local\Temp\OnboardLogs"\RTDC4039\*4039*201703210* | grep -SE "((Enforcement Ac)|(PRM))" -</v>
      </c>
      <c r="AD64" s="1" t="str">
        <f>"grep -hSE ""Enforcement Action"" "&amp;search_path&amp;"\RTDC"&amp;U64&amp;"\*"&amp;U64&amp;"*"&amp;TEXT(A64-utc_offset/24,"YYYYMMDD")&amp;LEFT(TEXT(A64-utc_offset/24,"HH"),1)&amp;"* &gt;&gt; "&amp;TEXT(Variables!$A$2,"YYYY-MM-DD")&amp;"-SliceDisagreementCheck.txt"</f>
        <v>grep -hSE "Enforcement Action" "%USERPROFILE%\AppData\Local\Temp\OnboardLogs"\RTDC4039\*4039*201703210* &gt;&gt; 2017-03-20-SliceDisagreementCheck.txt</v>
      </c>
      <c r="AE64" s="157" t="str">
        <f t="shared" si="9"/>
        <v>start /low /b %USERPROFILE%\Documents\GitHub\eaglep3\Utilities\DownloadLogsFromS3.py --loco 4039 --day 2017-03-21</v>
      </c>
      <c r="AF64" s="1"/>
    </row>
    <row r="65" spans="1:32" x14ac:dyDescent="0.25">
      <c r="A65" s="32">
        <v>42814.253831018519</v>
      </c>
      <c r="B65" s="30" t="s">
        <v>408</v>
      </c>
      <c r="C65" s="30" t="s">
        <v>598</v>
      </c>
      <c r="D65" s="30" t="s">
        <v>98</v>
      </c>
      <c r="E65" s="30" t="s">
        <v>186</v>
      </c>
      <c r="F65" s="43">
        <v>0</v>
      </c>
      <c r="G65" s="43">
        <v>8</v>
      </c>
      <c r="H65" s="43">
        <v>59048</v>
      </c>
      <c r="I65" s="43">
        <v>59049</v>
      </c>
      <c r="J65" s="30" t="s">
        <v>187</v>
      </c>
      <c r="K65" s="43">
        <v>59048</v>
      </c>
      <c r="L65" s="143" t="s">
        <v>50</v>
      </c>
      <c r="M65" s="144">
        <f t="shared" si="11"/>
        <v>-0.52800000000000002</v>
      </c>
      <c r="N65" s="145" t="str">
        <f>VLOOKUP(C65,'Trips&amp;Operators'!$C$1:$G$99999,5,FALSE)</f>
        <v>DAVIS WENDY</v>
      </c>
      <c r="O65" s="194" t="s">
        <v>185</v>
      </c>
      <c r="P65" s="146"/>
      <c r="Q65" s="30"/>
      <c r="R65" s="89" t="str">
        <f>IF(VLOOKUP(C65,'Train Runs'!$A$13:$AE$9944,1,1)=C65,VLOOKUP(C65,'Train Runs'!$A$13:$AE$9944,31,1),NA())</f>
        <v>aws s3 cp s3://rtdc.mdm.uploadarchive.raw/RTDC4031/ "%USERPROFILE%\AppData\Local\Temp\OnboardLogs"\RTDC4031\2017-03-20 --exclude "*" --recursive --include "*20170320*" &amp; "%USERPROFILE%\Documents\GitHub\mrs-test-scripts\Headless Mode &amp; Sideloading\WalkAndUnGZ.bat" "%USERPROFILE%\AppData\Local\Temp\OnboardLogs"\RTDC4031\2017-03-20 &amp; 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</v>
      </c>
      <c r="S65" s="92" t="str">
        <f>VLOOKUP(C65,'Train Runs'!$A$13:$AE$9944,22,0)</f>
        <v>https://d0f6bd738d7f1b3e5a7ca70fe4ff75f0.us-east-1.aws.found.io/app/kibana#/discover/Steve-Slow-Train-Analysis-(2080s-and-2083s)?_g=(refreshInterval:(display:Off,pause:!f,section:0,value:0),time:(from:'2017-03-20T04:47:05-0600',mode:absolute,to:'2017-03-20T07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65" s="94" t="str">
        <f t="shared" si="12"/>
        <v>"C:\Program Files (x86)\AstroGrep\AstroGrep.exe" /e /r /s /spath="%USERPROFILE%\AppData\Local\Temp\OnboardLogs" /stypes="*4031*201703201*" /stext=" 12:.+((SYSTEM_STATE.+slice.+state.+changed )|(ment ac)|(multiple cpu faults)|(system.+state.+changed )|(\[timeout)|(PRM\|1\|D)|(kpr)|(kdp)|(\|lc)|(penalty))"</v>
      </c>
      <c r="U65" s="9" t="str">
        <f t="shared" si="13"/>
        <v>4031</v>
      </c>
      <c r="V65" s="32">
        <f t="shared" si="14"/>
        <v>42814.503831018519</v>
      </c>
      <c r="W65" s="46" t="str">
        <f t="shared" si="15"/>
        <v>NW</v>
      </c>
      <c r="X65" s="46" t="str">
        <f t="shared" si="16"/>
        <v>OMIT</v>
      </c>
      <c r="Y65" s="108" t="str">
        <f t="shared" si="17"/>
        <v>echo {"issue":{"subject":"","project_id":79,"tracker_id":40,"status_id":1,"priority_id":2,"assigned_to_id":23,"start_date":"2017-03-20","description":"","custom_fields":[{"id":1,"name":"Subdivision","value":"NW"},{"id":4,"name":"Milepost","value":"5.9048"},{"id":17,"name":"Train ID","value":"801-20"},{"id":16,"name":"Locomotive ID","value":"4031"},{"id":130,"name":"Impact","value":""},{"id":150,"name":"Time of Event (Mountain Time)","value":"06:05:31"},{"id":151,"name":"Denver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5" s="222"/>
      <c r="AA65" s="48"/>
      <c r="AB65" s="48"/>
      <c r="AC65" s="127" t="str">
        <f t="shared" si="10"/>
        <v>grep -hSE -A400 "Enforcement Action" "%USERPROFILE%\AppData\Local\Temp\OnboardLogs"\RTDC4031\*4031*201703201* | grep -SE "((Enforcement Ac)|(PRM))" -</v>
      </c>
      <c r="AD65" s="1" t="str">
        <f>"grep -hSE ""Enforcement Action"" "&amp;search_path&amp;"\RTDC"&amp;U65&amp;"\*"&amp;U65&amp;"*"&amp;TEXT(A65-utc_offset/24,"YYYYMMDD")&amp;LEFT(TEXT(A65-utc_offset/24,"HH"),1)&amp;"* &gt;&gt; "&amp;TEXT(Variables!$A$2,"YYYY-MM-DD")&amp;"-SliceDisagreementCheck.txt"</f>
        <v>grep -hSE "Enforcement Action" "%USERPROFILE%\AppData\Local\Temp\OnboardLogs"\RTDC4031\*4031*201703201* &gt;&gt; 2017-03-20-SliceDisagreementCheck.txt</v>
      </c>
      <c r="AE65" s="157" t="str">
        <f t="shared" si="9"/>
        <v>start /low /b %USERPROFILE%\Documents\GitHub\eaglep3\Utilities\DownloadLogsFromS3.py --loco 4031 --day 2017-03-20</v>
      </c>
      <c r="AF65" s="1"/>
    </row>
    <row r="66" spans="1:32" x14ac:dyDescent="0.25">
      <c r="A66" s="32">
        <v>42814.296249999999</v>
      </c>
      <c r="B66" s="30" t="s">
        <v>408</v>
      </c>
      <c r="C66" s="30" t="s">
        <v>604</v>
      </c>
      <c r="D66" s="30" t="s">
        <v>98</v>
      </c>
      <c r="E66" s="30" t="s">
        <v>186</v>
      </c>
      <c r="F66" s="43">
        <v>0</v>
      </c>
      <c r="G66" s="43">
        <v>7</v>
      </c>
      <c r="H66" s="43">
        <v>59048</v>
      </c>
      <c r="I66" s="43">
        <v>0</v>
      </c>
      <c r="J66" s="30" t="s">
        <v>187</v>
      </c>
      <c r="K66" s="43">
        <v>59048</v>
      </c>
      <c r="L66" s="143" t="s">
        <v>50</v>
      </c>
      <c r="M66" s="144">
        <f t="shared" si="11"/>
        <v>31177.344000000001</v>
      </c>
      <c r="N66" s="145" t="str">
        <f>VLOOKUP(C66,'Trips&amp;Operators'!$C$1:$G$99999,5,FALSE)</f>
        <v>DAVIS WENDY</v>
      </c>
      <c r="O66" s="194" t="s">
        <v>185</v>
      </c>
      <c r="P66" s="146"/>
      <c r="Q66" s="30"/>
      <c r="R66" s="89" t="str">
        <f>IF(VLOOKUP(C66,'Train Runs'!$A$13:$AE$9944,1,1)=C66,VLOOKUP(C66,'Train Runs'!$A$13:$AE$9944,31,1),NA())</f>
        <v>aws s3 cp s3://rtdc.mdm.uploadarchive.raw/RTDC4031/ "%USERPROFILE%\AppData\Local\Temp\OnboardLogs"\RTDC4031\2017-03-20 --exclude "*" --recursive --include "*20170320*" &amp; "%USERPROFILE%\Documents\GitHub\mrs-test-scripts\Headless Mode &amp; Sideloading\WalkAndUnGZ.bat" "%USERPROFILE%\AppData\Local\Temp\OnboardLogs"\RTDC4031\2017-03-20 &amp; 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</v>
      </c>
      <c r="S66" s="92" t="str">
        <f>VLOOKUP(C66,'Train Runs'!$A$13:$AE$9944,22,0)</f>
        <v>https://d0f6bd738d7f1b3e5a7ca70fe4ff75f0.us-east-1.aws.found.io/app/kibana#/discover/Steve-Slow-Train-Analysis-(2080s-and-2083s)?_g=(refreshInterval:(display:Off,pause:!f,section:0,value:0),time:(from:'2017-03-20T05:46:23-0600',mode:absolute,to:'2017-03-20T08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66" s="94" t="str">
        <f t="shared" si="12"/>
        <v>"C:\Program Files (x86)\AstroGrep\AstroGrep.exe" /e /r /s /spath="%USERPROFILE%\AppData\Local\Temp\OnboardLogs" /stypes="*4031*201703201*" /stext=" 13:.+((SYSTEM_STATE.+slice.+state.+changed )|(ment ac)|(multiple cpu faults)|(system.+state.+changed )|(\[timeout)|(PRM\|1\|D)|(kpr)|(kdp)|(\|lc)|(penalty))"</v>
      </c>
      <c r="U66" s="9" t="str">
        <f t="shared" si="13"/>
        <v>4031</v>
      </c>
      <c r="V66" s="32">
        <f t="shared" si="14"/>
        <v>42814.546249999999</v>
      </c>
      <c r="W66" s="46" t="str">
        <f t="shared" si="15"/>
        <v>NW</v>
      </c>
      <c r="X66" s="46" t="str">
        <f t="shared" si="16"/>
        <v>OMIT</v>
      </c>
      <c r="Y66" s="108" t="str">
        <f t="shared" si="17"/>
        <v>echo {"issue":{"subject":"","project_id":79,"tracker_id":40,"status_id":1,"priority_id":2,"assigned_to_id":23,"start_date":"2017-03-20","description":"","custom_fields":[{"id":1,"name":"Subdivision","value":"NW"},{"id":4,"name":"Milepost","value":"5.9048"},{"id":17,"name":"Train ID","value":"805-20"},{"id":16,"name":"Locomotive ID","value":"4031"},{"id":130,"name":"Impact","value":""},{"id":150,"name":"Time of Event (Mountain Time)","value":"07:06:36"},{"id":151,"name":"Denver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6" s="222"/>
      <c r="AA66" s="48"/>
      <c r="AB66" s="48"/>
      <c r="AC66" s="127" t="str">
        <f t="shared" si="10"/>
        <v>grep -hSE -A400 "Enforcement Action" "%USERPROFILE%\AppData\Local\Temp\OnboardLogs"\RTDC4031\*4031*201703201* | grep -SE "((Enforcement Ac)|(PRM))" -</v>
      </c>
      <c r="AD66" s="1" t="str">
        <f>"grep -hSE ""Enforcement Action"" "&amp;search_path&amp;"\RTDC"&amp;U66&amp;"\*"&amp;U66&amp;"*"&amp;TEXT(A66-utc_offset/24,"YYYYMMDD")&amp;LEFT(TEXT(A66-utc_offset/24,"HH"),1)&amp;"* &gt;&gt; "&amp;TEXT(Variables!$A$2,"YYYY-MM-DD")&amp;"-SliceDisagreementCheck.txt"</f>
        <v>grep -hSE "Enforcement Action" "%USERPROFILE%\AppData\Local\Temp\OnboardLogs"\RTDC4031\*4031*201703201* &gt;&gt; 2017-03-20-SliceDisagreementCheck.txt</v>
      </c>
      <c r="AE66" s="157" t="str">
        <f t="shared" si="9"/>
        <v>start /low /b %USERPROFILE%\Documents\GitHub\eaglep3\Utilities\DownloadLogsFromS3.py --loco 4031 --day 2017-03-20</v>
      </c>
      <c r="AF66" s="1"/>
    </row>
    <row r="67" spans="1:32" x14ac:dyDescent="0.25">
      <c r="A67" s="32">
        <v>42814.336562500001</v>
      </c>
      <c r="B67" s="30" t="s">
        <v>408</v>
      </c>
      <c r="C67" s="30" t="s">
        <v>610</v>
      </c>
      <c r="D67" s="30" t="s">
        <v>98</v>
      </c>
      <c r="E67" s="30" t="s">
        <v>186</v>
      </c>
      <c r="F67" s="43">
        <v>0</v>
      </c>
      <c r="G67" s="43">
        <v>7</v>
      </c>
      <c r="H67" s="43">
        <v>59048</v>
      </c>
      <c r="I67" s="43">
        <v>59049</v>
      </c>
      <c r="J67" s="30" t="s">
        <v>187</v>
      </c>
      <c r="K67" s="43">
        <v>59048</v>
      </c>
      <c r="L67" s="143" t="s">
        <v>50</v>
      </c>
      <c r="M67" s="144">
        <f t="shared" si="11"/>
        <v>-0.52800000000000002</v>
      </c>
      <c r="N67" s="145" t="str">
        <f>VLOOKUP(C67,'Trips&amp;Operators'!$C$1:$G$99999,5,FALSE)</f>
        <v>DAVIS WENDY</v>
      </c>
      <c r="O67" s="194" t="s">
        <v>185</v>
      </c>
      <c r="P67" s="146"/>
      <c r="Q67" s="30"/>
      <c r="R67" s="89" t="str">
        <f>IF(VLOOKUP(C67,'Train Runs'!$A$13:$AE$9944,1,1)=C67,VLOOKUP(C67,'Train Runs'!$A$13:$AE$9944,31,1),NA())</f>
        <v>aws s3 cp s3://rtdc.mdm.uploadarchive.raw/RTDC4031/ "%USERPROFILE%\AppData\Local\Temp\OnboardLogs"\RTDC4031\2017-03-20 --exclude "*" --recursive --include "*20170320*" &amp; "%USERPROFILE%\Documents\GitHub\mrs-test-scripts\Headless Mode &amp; Sideloading\WalkAndUnGZ.bat" "%USERPROFILE%\AppData\Local\Temp\OnboardLogs"\RTDC4031\2017-03-20 &amp; 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</v>
      </c>
      <c r="S67" s="92" t="str">
        <f>VLOOKUP(C67,'Train Runs'!$A$13:$AE$9944,22,0)</f>
        <v>https://d0f6bd738d7f1b3e5a7ca70fe4ff75f0.us-east-1.aws.found.io/app/kibana#/discover/Steve-Slow-Train-Analysis-(2080s-and-2083s)?_g=(refreshInterval:(display:Off,pause:!f,section:0,value:0),time:(from:'2017-03-20T06:46:41-0600',mode:absolute,to:'2017-03-20T09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67" s="94" t="str">
        <f t="shared" si="12"/>
        <v>"C:\Program Files (x86)\AstroGrep\AstroGrep.exe" /e /r /s /spath="%USERPROFILE%\AppData\Local\Temp\OnboardLogs" /stypes="*4031*201703201*" /stext=" 14:.+((SYSTEM_STATE.+slice.+state.+changed )|(ment ac)|(multiple cpu faults)|(system.+state.+changed )|(\[timeout)|(PRM\|1\|D)|(kpr)|(kdp)|(\|lc)|(penalty))"</v>
      </c>
      <c r="U67" s="9" t="str">
        <f t="shared" si="13"/>
        <v>4031</v>
      </c>
      <c r="V67" s="32">
        <f t="shared" si="14"/>
        <v>42814.586562500001</v>
      </c>
      <c r="W67" s="46" t="str">
        <f t="shared" si="15"/>
        <v>NW</v>
      </c>
      <c r="X67" s="46" t="str">
        <f t="shared" si="16"/>
        <v>OMIT</v>
      </c>
      <c r="Y67" s="108" t="str">
        <f t="shared" si="17"/>
        <v>echo {"issue":{"subject":"","project_id":79,"tracker_id":40,"status_id":1,"priority_id":2,"assigned_to_id":23,"start_date":"2017-03-20","description":"","custom_fields":[{"id":1,"name":"Subdivision","value":"NW"},{"id":4,"name":"Milepost","value":"5.9048"},{"id":17,"name":"Train ID","value":"809-20"},{"id":16,"name":"Locomotive ID","value":"4031"},{"id":130,"name":"Impact","value":""},{"id":150,"name":"Time of Event (Mountain Time)","value":"08:04:39"},{"id":151,"name":"Denver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7" s="222"/>
      <c r="AA67" s="48"/>
      <c r="AB67" s="48"/>
      <c r="AC67" s="127" t="str">
        <f t="shared" si="10"/>
        <v>grep -hSE -A400 "Enforcement Action" "%USERPROFILE%\AppData\Local\Temp\OnboardLogs"\RTDC4031\*4031*201703201* | grep -SE "((Enforcement Ac)|(PRM))" -</v>
      </c>
      <c r="AD67" s="1" t="str">
        <f>"grep -hSE ""Enforcement Action"" "&amp;search_path&amp;"\RTDC"&amp;U67&amp;"\*"&amp;U67&amp;"*"&amp;TEXT(A67-utc_offset/24,"YYYYMMDD")&amp;LEFT(TEXT(A67-utc_offset/24,"HH"),1)&amp;"* &gt;&gt; "&amp;TEXT(Variables!$A$2,"YYYY-MM-DD")&amp;"-SliceDisagreementCheck.txt"</f>
        <v>grep -hSE "Enforcement Action" "%USERPROFILE%\AppData\Local\Temp\OnboardLogs"\RTDC4031\*4031*201703201* &gt;&gt; 2017-03-20-SliceDisagreementCheck.txt</v>
      </c>
      <c r="AE67" s="157" t="str">
        <f t="shared" si="9"/>
        <v>start /low /b %USERPROFILE%\Documents\GitHub\eaglep3\Utilities\DownloadLogsFromS3.py --loco 4031 --day 2017-03-20</v>
      </c>
      <c r="AF67" s="1"/>
    </row>
    <row r="68" spans="1:32" x14ac:dyDescent="0.25">
      <c r="A68" s="32">
        <v>42814.799432870372</v>
      </c>
      <c r="B68" s="30" t="s">
        <v>542</v>
      </c>
      <c r="C68" s="30" t="s">
        <v>641</v>
      </c>
      <c r="D68" s="30" t="s">
        <v>98</v>
      </c>
      <c r="E68" s="30" t="s">
        <v>220</v>
      </c>
      <c r="F68" s="43">
        <v>200</v>
      </c>
      <c r="G68" s="43">
        <v>253</v>
      </c>
      <c r="H68" s="43">
        <v>6163</v>
      </c>
      <c r="I68" s="43">
        <v>6562</v>
      </c>
      <c r="J68" s="30" t="s">
        <v>221</v>
      </c>
      <c r="K68" s="43">
        <v>4790</v>
      </c>
      <c r="L68" s="143" t="s">
        <v>50</v>
      </c>
      <c r="M68" s="144">
        <f t="shared" si="11"/>
        <v>-935.61599999999999</v>
      </c>
      <c r="N68" s="145" t="str">
        <f>VLOOKUP(C68,'Trips&amp;Operators'!$C$1:$G$99999,5,FALSE)</f>
        <v>LOCKLEAR TRAVIS</v>
      </c>
      <c r="O68" s="194" t="s">
        <v>185</v>
      </c>
      <c r="P68" s="146"/>
      <c r="Q68" s="30"/>
      <c r="R68" s="89" t="e">
        <f>IF(VLOOKUP(C68,'Train Runs'!$A$13:$AE$9944,1,1)=C68,VLOOKUP(C68,'Train Runs'!$A$13:$AE$9944,31,1),NA())</f>
        <v>#N/A</v>
      </c>
      <c r="S68" s="92" t="str">
        <f>VLOOKUP(C68,'Train Runs'!$A$13:$AE$9944,22,0)</f>
        <v>https://d0f6bd738d7f1b3e5a7ca70fe4ff75f0.us-east-1.aws.found.io/app/kibana#/discover/Steve-Slow-Train-Analysis-(2080s-and-2083s)?_g=(refreshInterval:(display:Off,pause:!f,section:0,value:0),time:(from:'2017-03-20T18:07:31-0600',mode:absolute,to:'2017-03-20T20:16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68" s="94" t="str">
        <f t="shared" si="12"/>
        <v>"C:\Program Files (x86)\AstroGrep\AstroGrep.exe" /e /r /s /spath="%USERPROFILE%\AppData\Local\Temp\OnboardLogs" /stypes="*4018*201703210*" /stext=" 01:.+((SYSTEM_STATE.+slice.+state.+changed )|(ment ac)|(multiple cpu faults)|(system.+state.+changed )|(\[timeout)|(PRM\|1\|D)|(kpr)|(kdp)|(\|lc)|(penalty))"</v>
      </c>
      <c r="U68" s="9" t="str">
        <f t="shared" si="13"/>
        <v>4018</v>
      </c>
      <c r="V68" s="32">
        <f t="shared" si="14"/>
        <v>42815.049432870372</v>
      </c>
      <c r="W68" s="46" t="str">
        <f t="shared" si="15"/>
        <v>Other</v>
      </c>
      <c r="X68" s="46" t="str">
        <f t="shared" si="16"/>
        <v>KEEP</v>
      </c>
      <c r="Y68" s="108" t="str">
        <f t="shared" si="17"/>
        <v>echo {"issue":{"subject":"","project_id":79,"tracker_id":40,"status_id":1,"priority_id":2,"assigned_to_id":23,"start_date":"2017-03-20","description":"","custom_fields":[{"id":1,"name":"Subdivision","value":"Other"},{"id":4,"name":"Milepost","value":"0.479"},{"id":17,"name":"Train ID","value":"305-20"},{"id":16,"name":"Locomotive ID","value":"4018"},{"id":130,"name":"Impact","value":""},{"id":150,"name":"Time of Event (Mountain Time)","value":"19:11:11"},{"id":151,"name":"Denver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8" s="222"/>
      <c r="AA68" s="48"/>
      <c r="AB68" s="48"/>
      <c r="AC68" s="127" t="str">
        <f t="shared" si="10"/>
        <v>grep -hSE -A400 "Enforcement Action" "%USERPROFILE%\AppData\Local\Temp\OnboardLogs"\RTDC4018\*4018*201703210* | grep -SE "((Enforcement Ac)|(PRM))" -</v>
      </c>
      <c r="AD68" s="1" t="str">
        <f>"grep -hSE ""Enforcement Action"" "&amp;search_path&amp;"\RTDC"&amp;U68&amp;"\*"&amp;U68&amp;"*"&amp;TEXT(A68-utc_offset/24,"YYYYMMDD")&amp;LEFT(TEXT(A68-utc_offset/24,"HH"),1)&amp;"* &gt;&gt; "&amp;TEXT(Variables!$A$2,"YYYY-MM-DD")&amp;"-SliceDisagreementCheck.txt"</f>
        <v>grep -hSE "Enforcement Action" "%USERPROFILE%\AppData\Local\Temp\OnboardLogs"\RTDC4018\*4018*201703210* &gt;&gt; 2017-03-20-SliceDisagreementCheck.txt</v>
      </c>
      <c r="AE68" s="157" t="str">
        <f t="shared" si="9"/>
        <v>start /low /b %USERPROFILE%\Documents\GitHub\eaglep3\Utilities\DownloadLogsFromS3.py --loco 4018 --day 2017-03-21</v>
      </c>
      <c r="AF68" s="1"/>
    </row>
  </sheetData>
  <autoFilter ref="A6:AC68"/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7:O104857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68">
    <cfRule type="expression" dxfId="1" priority="20">
      <formula>$O7="Y"</formula>
    </cfRule>
  </conditionalFormatting>
  <hyperlinks>
    <hyperlink ref="Z38" r:id="rId1"/>
  </hyperlinks>
  <pageMargins left="0.7" right="0.7" top="0.75" bottom="0.75" header="0.3" footer="0.3"/>
  <pageSetup scale="2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AA7:AA68</xm:sqref>
        </x14:dataValidation>
        <x14:dataValidation type="list" allowBlank="1" showInputMessage="1" showErrorMessage="1">
          <x14:formula1>
            <xm:f>'Redmine List Values'!$C$2:$C$15</xm:f>
          </x14:formula1>
          <xm:sqref>AB7:AB68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1"/>
  <sheetViews>
    <sheetView workbookViewId="0">
      <selection activeCell="E3" sqref="E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25" t="str">
        <f>"Trips that did not appear in PTC Data "&amp;TEXT(Variables!$A$2,"YYYY-mm-dd")</f>
        <v>Trips that did not appear in PTC Data 2017-03-20</v>
      </c>
      <c r="C1" s="225"/>
      <c r="D1" s="225"/>
      <c r="E1" s="225"/>
      <c r="F1" s="225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>
        <v>803</v>
      </c>
      <c r="B3" s="43" t="str">
        <f>A3&amp;"-"&amp;IF(DAY(Variables!$A$2)&lt;10,0,"")&amp;DAY(Variables!$A$2)</f>
        <v>803-20</v>
      </c>
      <c r="C3" s="147"/>
      <c r="D3" s="165"/>
      <c r="E3" s="30" t="s">
        <v>1012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6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22803-20%22)),sort:!(Time.ISO8601,asc))</v>
      </c>
      <c r="J3" s="30" t="e">
        <f>VLOOKUP(B3,'Train Runs'!$A$13:$A$99941,1,FALSE)</f>
        <v>#N/A</v>
      </c>
    </row>
    <row r="4" spans="1:10" x14ac:dyDescent="0.25">
      <c r="A4" s="185"/>
      <c r="B4" s="43" t="str">
        <f>A4&amp;"-"&amp;IF(DAY(Variables!$A$2)&lt;10,0,"")&amp;DAY(Variables!$A$2)</f>
        <v>-20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" s="30" t="e">
        <f>VLOOKUP(B4,'Train Runs'!$A$13:$A$99941,1,FALSE)</f>
        <v>#N/A</v>
      </c>
    </row>
    <row r="5" spans="1:10" x14ac:dyDescent="0.25">
      <c r="A5" s="185"/>
      <c r="B5" s="43" t="str">
        <f>A5&amp;"-"&amp;IF(DAY(Variables!$A$2)&lt;10,0,"")&amp;DAY(Variables!$A$2)</f>
        <v>-20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" s="30" t="e">
        <f>VLOOKUP(B5,'Train Runs'!$A$13:$A$99941,1,FALSE)</f>
        <v>#N/A</v>
      </c>
    </row>
    <row r="6" spans="1:10" x14ac:dyDescent="0.25">
      <c r="A6" s="185"/>
      <c r="B6" s="43" t="str">
        <f>A6&amp;"-"&amp;IF(DAY(Variables!$A$2)&lt;10,0,"")&amp;DAY(Variables!$A$2)</f>
        <v>-20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" s="30" t="e">
        <f>VLOOKUP(B6,'Train Runs'!$A$13:$A$99941,1,FALSE)</f>
        <v>#N/A</v>
      </c>
    </row>
    <row r="7" spans="1:10" x14ac:dyDescent="0.25">
      <c r="A7" s="185"/>
      <c r="B7" s="43" t="str">
        <f>A7&amp;"-"&amp;IF(DAY(Variables!$A$2)&lt;10,0,"")&amp;DAY(Variables!$A$2)</f>
        <v>-20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ref="I7:I3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" s="30" t="e">
        <f>VLOOKUP(B7,'Train Runs'!$A$13:$A$99941,1,FALSE)</f>
        <v>#N/A</v>
      </c>
    </row>
    <row r="8" spans="1:10" x14ac:dyDescent="0.25">
      <c r="A8" s="185"/>
      <c r="B8" s="43" t="str">
        <f>A8&amp;"-"&amp;IF(DAY(Variables!$A$2)&lt;10,0,"")&amp;DAY(Variables!$A$2)</f>
        <v>-20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" s="30" t="e">
        <f>VLOOKUP(B8,'Train Runs'!$A$13:$A$99941,1,FALSE)</f>
        <v>#N/A</v>
      </c>
    </row>
    <row r="9" spans="1:10" x14ac:dyDescent="0.25">
      <c r="A9" s="185"/>
      <c r="B9" s="43" t="str">
        <f>A9&amp;"-"&amp;IF(DAY(Variables!$A$2)&lt;10,0,"")&amp;DAY(Variables!$A$2)</f>
        <v>-20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" s="30" t="e">
        <f>VLOOKUP(B9,'Train Runs'!$A$13:$A$99941,1,FALSE)</f>
        <v>#N/A</v>
      </c>
    </row>
    <row r="10" spans="1:10" x14ac:dyDescent="0.25">
      <c r="A10" s="185"/>
      <c r="B10" s="43" t="str">
        <f>A10&amp;"-"&amp;IF(DAY(Variables!$A$2)&lt;10,0,"")&amp;DAY(Variables!$A$2)</f>
        <v>-20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" s="30" t="e">
        <f>VLOOKUP(B10,'Train Runs'!$A$13:$A$99941,1,FALSE)</f>
        <v>#N/A</v>
      </c>
    </row>
    <row r="11" spans="1:10" x14ac:dyDescent="0.25">
      <c r="A11" s="185"/>
      <c r="B11" s="43" t="str">
        <f>A11&amp;"-"&amp;IF(DAY(Variables!$A$2)&lt;10,0,"")&amp;DAY(Variables!$A$2)</f>
        <v>-20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" s="30" t="e">
        <f>VLOOKUP(B11,'Train Runs'!$A$13:$A$99941,1,FALSE)</f>
        <v>#N/A</v>
      </c>
    </row>
    <row r="12" spans="1:10" x14ac:dyDescent="0.25">
      <c r="A12" s="185"/>
      <c r="B12" s="43" t="str">
        <f>A12&amp;"-"&amp;IF(DAY(Variables!$A$2)&lt;10,0,"")&amp;DAY(Variables!$A$2)</f>
        <v>-20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" s="30" t="e">
        <f>VLOOKUP(B12,'Train Runs'!$A$13:$A$99941,1,FALSE)</f>
        <v>#N/A</v>
      </c>
    </row>
    <row r="13" spans="1:10" x14ac:dyDescent="0.25">
      <c r="A13" s="185"/>
      <c r="B13" s="43" t="str">
        <f>A13&amp;"-"&amp;IF(DAY(Variables!$A$2)&lt;10,0,"")&amp;DAY(Variables!$A$2)</f>
        <v>-20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3" s="30" t="e">
        <f>VLOOKUP(B13,'Train Runs'!$A$13:$A$99941,1,FALSE)</f>
        <v>#N/A</v>
      </c>
    </row>
    <row r="14" spans="1:10" x14ac:dyDescent="0.25">
      <c r="A14" s="185"/>
      <c r="B14" s="43" t="str">
        <f>A14&amp;"-"&amp;IF(DAY(Variables!$A$2)&lt;10,0,"")&amp;DAY(Variables!$A$2)</f>
        <v>-20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4" s="30" t="e">
        <f>VLOOKUP(B14,'Train Runs'!$A$13:$A$99941,1,FALSE)</f>
        <v>#N/A</v>
      </c>
    </row>
    <row r="15" spans="1:10" x14ac:dyDescent="0.25">
      <c r="A15" s="185"/>
      <c r="B15" s="43" t="str">
        <f>A15&amp;"-"&amp;IF(DAY(Variables!$A$2)&lt;10,0,"")&amp;DAY(Variables!$A$2)</f>
        <v>-20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5" s="30" t="e">
        <f>VLOOKUP(B15,'Train Runs'!$A$13:$A$99941,1,FALSE)</f>
        <v>#N/A</v>
      </c>
    </row>
    <row r="16" spans="1:10" x14ac:dyDescent="0.25">
      <c r="A16" s="185"/>
      <c r="B16" s="43" t="str">
        <f>A16&amp;"-"&amp;IF(DAY(Variables!$A$2)&lt;10,0,"")&amp;DAY(Variables!$A$2)</f>
        <v>-20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6" s="30" t="e">
        <f>VLOOKUP(B16,'Train Runs'!$A$13:$A$99941,1,FALSE)</f>
        <v>#N/A</v>
      </c>
    </row>
    <row r="17" spans="1:10" x14ac:dyDescent="0.25">
      <c r="A17" s="185"/>
      <c r="B17" s="43" t="str">
        <f>A17&amp;"-"&amp;IF(DAY(Variables!$A$2)&lt;10,0,"")&amp;DAY(Variables!$A$2)</f>
        <v>-20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7" s="30" t="e">
        <f>VLOOKUP(B17,'Train Runs'!$A$13:$A$99941,1,FALSE)</f>
        <v>#N/A</v>
      </c>
    </row>
    <row r="18" spans="1:10" x14ac:dyDescent="0.25">
      <c r="A18" s="185"/>
      <c r="B18" s="43" t="str">
        <f>A18&amp;"-"&amp;IF(DAY(Variables!$A$2)&lt;10,0,"")&amp;DAY(Variables!$A$2)</f>
        <v>-20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8" s="30" t="e">
        <f>VLOOKUP(B18,'Train Runs'!$A$13:$A$99941,1,FALSE)</f>
        <v>#N/A</v>
      </c>
    </row>
    <row r="19" spans="1:10" x14ac:dyDescent="0.25">
      <c r="A19" s="185"/>
      <c r="B19" s="43" t="str">
        <f>A19&amp;"-"&amp;IF(DAY(Variables!$A$2)&lt;10,0,"")&amp;DAY(Variables!$A$2)</f>
        <v>-20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9" s="30" t="e">
        <f>VLOOKUP(B19,'Train Runs'!$A$13:$A$99941,1,FALSE)</f>
        <v>#N/A</v>
      </c>
    </row>
    <row r="20" spans="1:10" x14ac:dyDescent="0.25">
      <c r="A20" s="185"/>
      <c r="B20" s="43" t="str">
        <f>A20&amp;"-"&amp;IF(DAY(Variables!$A$2)&lt;10,0,"")&amp;DAY(Variables!$A$2)</f>
        <v>-20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0" s="30" t="e">
        <f>VLOOKUP(B20,'Train Runs'!$A$13:$A$99941,1,FALSE)</f>
        <v>#N/A</v>
      </c>
    </row>
    <row r="21" spans="1:10" x14ac:dyDescent="0.25">
      <c r="A21" s="185"/>
      <c r="B21" s="43" t="str">
        <f>A21&amp;"-"&amp;IF(DAY(Variables!$A$2)&lt;10,0,"")&amp;DAY(Variables!$A$2)</f>
        <v>-20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1" s="30" t="e">
        <f>VLOOKUP(B21,'Train Runs'!$A$13:$A$99941,1,FALSE)</f>
        <v>#N/A</v>
      </c>
    </row>
    <row r="22" spans="1:10" x14ac:dyDescent="0.25">
      <c r="A22" s="185"/>
      <c r="B22" s="43" t="str">
        <f>A22&amp;"-"&amp;IF(DAY(Variables!$A$2)&lt;10,0,"")&amp;DAY(Variables!$A$2)</f>
        <v>-20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2" s="30" t="e">
        <f>VLOOKUP(B22,'Train Runs'!$A$13:$A$99941,1,FALSE)</f>
        <v>#N/A</v>
      </c>
    </row>
    <row r="23" spans="1:10" x14ac:dyDescent="0.25">
      <c r="A23" s="185"/>
      <c r="B23" s="43" t="str">
        <f>A23&amp;"-"&amp;IF(DAY(Variables!$A$2)&lt;10,0,"")&amp;DAY(Variables!$A$2)</f>
        <v>-20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3" s="30" t="e">
        <f>VLOOKUP(B23,'Train Runs'!$A$13:$A$99941,1,FALSE)</f>
        <v>#N/A</v>
      </c>
    </row>
    <row r="24" spans="1:10" x14ac:dyDescent="0.25">
      <c r="A24" s="185"/>
      <c r="B24" s="43" t="str">
        <f>A24&amp;"-"&amp;IF(DAY(Variables!$A$2)&lt;10,0,"")&amp;DAY(Variables!$A$2)</f>
        <v>-20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4" s="30" t="e">
        <f>VLOOKUP(B24,'Train Runs'!$A$13:$A$99941,1,FALSE)</f>
        <v>#N/A</v>
      </c>
    </row>
    <row r="25" spans="1:10" x14ac:dyDescent="0.25">
      <c r="A25" s="185"/>
      <c r="B25" s="43" t="str">
        <f>A25&amp;"-"&amp;IF(DAY(Variables!$A$2)&lt;10,0,"")&amp;DAY(Variables!$A$2)</f>
        <v>-20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5" s="30" t="e">
        <f>VLOOKUP(B25,'Train Runs'!$A$13:$A$99941,1,FALSE)</f>
        <v>#N/A</v>
      </c>
    </row>
    <row r="26" spans="1:10" x14ac:dyDescent="0.25">
      <c r="A26" s="185"/>
      <c r="B26" s="43" t="str">
        <f>A26&amp;"-"&amp;IF(DAY(Variables!$A$2)&lt;10,0,"")&amp;DAY(Variables!$A$2)</f>
        <v>-20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6" s="30" t="e">
        <f>VLOOKUP(B26,'Train Runs'!$A$13:$A$99941,1,FALSE)</f>
        <v>#N/A</v>
      </c>
    </row>
    <row r="27" spans="1:10" x14ac:dyDescent="0.25">
      <c r="A27" s="185"/>
      <c r="B27" s="43" t="str">
        <f>A27&amp;"-"&amp;IF(DAY(Variables!$A$2)&lt;10,0,"")&amp;DAY(Variables!$A$2)</f>
        <v>-20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7" s="30" t="e">
        <f>VLOOKUP(B27,'Train Runs'!$A$13:$A$99941,1,FALSE)</f>
        <v>#N/A</v>
      </c>
    </row>
    <row r="28" spans="1:10" x14ac:dyDescent="0.25">
      <c r="A28" s="185"/>
      <c r="B28" s="43" t="str">
        <f>A28&amp;"-"&amp;IF(DAY(Variables!$A$2)&lt;10,0,"")&amp;DAY(Variables!$A$2)</f>
        <v>-20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8" s="30" t="e">
        <f>VLOOKUP(B28,'Train Runs'!$A$13:$A$99941,1,FALSE)</f>
        <v>#N/A</v>
      </c>
    </row>
    <row r="29" spans="1:10" x14ac:dyDescent="0.25">
      <c r="A29" s="185"/>
      <c r="B29" s="43" t="str">
        <f>A29&amp;"-"&amp;IF(DAY(Variables!$A$2)&lt;10,0,"")&amp;DAY(Variables!$A$2)</f>
        <v>-20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9" s="30" t="e">
        <f>VLOOKUP(B29,'Train Runs'!$A$13:$A$99941,1,FALSE)</f>
        <v>#N/A</v>
      </c>
    </row>
    <row r="30" spans="1:10" x14ac:dyDescent="0.25">
      <c r="A30" s="185"/>
      <c r="B30" s="43" t="str">
        <f>A30&amp;"-"&amp;IF(DAY(Variables!$A$2)&lt;10,0,"")&amp;DAY(Variables!$A$2)</f>
        <v>-20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0" s="30" t="e">
        <f>VLOOKUP(B30,'Train Runs'!$A$13:$A$99941,1,FALSE)</f>
        <v>#N/A</v>
      </c>
    </row>
    <row r="31" spans="1:10" x14ac:dyDescent="0.25">
      <c r="A31" s="185"/>
      <c r="B31" s="43" t="str">
        <f>A31&amp;"-"&amp;IF(DAY(Variables!$A$2)&lt;10,0,"")&amp;DAY(Variables!$A$2)</f>
        <v>-20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1" s="30" t="e">
        <f>VLOOKUP(B31,'Train Runs'!$A$13:$A$99941,1,FALSE)</f>
        <v>#N/A</v>
      </c>
    </row>
    <row r="32" spans="1:10" x14ac:dyDescent="0.25">
      <c r="A32" s="185"/>
      <c r="B32" s="43" t="str">
        <f>A32&amp;"-"&amp;IF(DAY(Variables!$A$2)&lt;10,0,"")&amp;DAY(Variables!$A$2)</f>
        <v>-20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2" s="30" t="e">
        <f>VLOOKUP(B32,'Train Runs'!$A$13:$A$99941,1,FALSE)</f>
        <v>#N/A</v>
      </c>
    </row>
    <row r="33" spans="1:10" x14ac:dyDescent="0.25">
      <c r="A33" s="185"/>
      <c r="B33" s="43" t="str">
        <f>A33&amp;"-"&amp;IF(DAY(Variables!$A$2)&lt;10,0,"")&amp;DAY(Variables!$A$2)</f>
        <v>-20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3" s="30" t="e">
        <f>VLOOKUP(B33,'Train Runs'!$A$13:$A$99941,1,FALSE)</f>
        <v>#N/A</v>
      </c>
    </row>
    <row r="34" spans="1:10" x14ac:dyDescent="0.25">
      <c r="A34" s="185"/>
      <c r="B34" s="43" t="str">
        <f>A34&amp;"-"&amp;IF(DAY(Variables!$A$2)&lt;10,0,"")&amp;DAY(Variables!$A$2)</f>
        <v>-20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4" s="30" t="e">
        <f>VLOOKUP(B34,'Train Runs'!$A$13:$A$99941,1,FALSE)</f>
        <v>#N/A</v>
      </c>
    </row>
    <row r="35" spans="1:10" x14ac:dyDescent="0.25">
      <c r="A35" s="185"/>
      <c r="B35" s="43" t="str">
        <f>A35&amp;"-"&amp;IF(DAY(Variables!$A$2)&lt;10,0,"")&amp;DAY(Variables!$A$2)</f>
        <v>-20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5" s="30" t="e">
        <f>VLOOKUP(B35,'Train Runs'!$A$13:$A$99941,1,FALSE)</f>
        <v>#N/A</v>
      </c>
    </row>
    <row r="36" spans="1:10" x14ac:dyDescent="0.25">
      <c r="A36" s="185"/>
      <c r="B36" s="43" t="str">
        <f>A36&amp;"-"&amp;IF(DAY(Variables!$A$2)&lt;10,0,"")&amp;DAY(Variables!$A$2)</f>
        <v>-20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6" s="30" t="e">
        <f>VLOOKUP(B36,'Train Runs'!$A$13:$A$99941,1,FALSE)</f>
        <v>#N/A</v>
      </c>
    </row>
    <row r="37" spans="1:10" x14ac:dyDescent="0.25">
      <c r="A37" s="185"/>
      <c r="B37" s="43" t="str">
        <f>A37&amp;"-"&amp;IF(DAY(Variables!$A$2)&lt;10,0,"")&amp;DAY(Variables!$A$2)</f>
        <v>-20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7" s="30" t="e">
        <f>VLOOKUP(B37,'Train Runs'!$A$13:$A$99941,1,FALSE)</f>
        <v>#N/A</v>
      </c>
    </row>
    <row r="38" spans="1:10" x14ac:dyDescent="0.25">
      <c r="A38" s="185"/>
      <c r="B38" s="43" t="str">
        <f>A38&amp;"-"&amp;IF(DAY(Variables!$A$2)&lt;10,0,"")&amp;DAY(Variables!$A$2)</f>
        <v>-20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ref="I38:I69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8" s="30" t="e">
        <f>VLOOKUP(B38,'Train Runs'!$A$13:$A$99941,1,FALSE)</f>
        <v>#N/A</v>
      </c>
    </row>
    <row r="39" spans="1:10" x14ac:dyDescent="0.25">
      <c r="A39" s="185"/>
      <c r="B39" s="43" t="str">
        <f>A39&amp;"-"&amp;IF(DAY(Variables!$A$2)&lt;10,0,"")&amp;DAY(Variables!$A$2)</f>
        <v>-20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9" s="30" t="e">
        <f>VLOOKUP(B39,'Train Runs'!$A$13:$A$99941,1,FALSE)</f>
        <v>#N/A</v>
      </c>
    </row>
    <row r="40" spans="1:10" x14ac:dyDescent="0.25">
      <c r="A40" s="185"/>
      <c r="B40" s="43" t="str">
        <f>A40&amp;"-"&amp;IF(DAY(Variables!$A$2)&lt;10,0,"")&amp;DAY(Variables!$A$2)</f>
        <v>-20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0" s="30" t="e">
        <f>VLOOKUP(B40,'Train Runs'!$A$13:$A$99941,1,FALSE)</f>
        <v>#N/A</v>
      </c>
    </row>
    <row r="41" spans="1:10" x14ac:dyDescent="0.25">
      <c r="A41" s="185"/>
      <c r="B41" s="43" t="str">
        <f>A41&amp;"-"&amp;IF(DAY(Variables!$A$2)&lt;10,0,"")&amp;DAY(Variables!$A$2)</f>
        <v>-20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1" s="30" t="e">
        <f>VLOOKUP(B41,'Train Runs'!$A$13:$A$99941,1,FALSE)</f>
        <v>#N/A</v>
      </c>
    </row>
    <row r="42" spans="1:10" x14ac:dyDescent="0.25">
      <c r="A42" s="185"/>
      <c r="B42" s="43" t="str">
        <f>A42&amp;"-"&amp;IF(DAY(Variables!$A$2)&lt;10,0,"")&amp;DAY(Variables!$A$2)</f>
        <v>-20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2" s="30" t="e">
        <f>VLOOKUP(B42,'Train Runs'!$A$13:$A$99941,1,FALSE)</f>
        <v>#N/A</v>
      </c>
    </row>
    <row r="43" spans="1:10" x14ac:dyDescent="0.25">
      <c r="A43" s="185"/>
      <c r="B43" s="43" t="str">
        <f>A43&amp;"-"&amp;IF(DAY(Variables!$A$2)&lt;10,0,"")&amp;DAY(Variables!$A$2)</f>
        <v>-20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3" s="30" t="e">
        <f>VLOOKUP(B43,'Train Runs'!$A$13:$A$99941,1,FALSE)</f>
        <v>#N/A</v>
      </c>
    </row>
    <row r="44" spans="1:10" x14ac:dyDescent="0.25">
      <c r="A44" s="185"/>
      <c r="B44" s="43" t="str">
        <f>A44&amp;"-"&amp;IF(DAY(Variables!$A$2)&lt;10,0,"")&amp;DAY(Variables!$A$2)</f>
        <v>-20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4" s="30" t="e">
        <f>VLOOKUP(B44,'Train Runs'!$A$13:$A$99941,1,FALSE)</f>
        <v>#N/A</v>
      </c>
    </row>
    <row r="45" spans="1:10" x14ac:dyDescent="0.25">
      <c r="A45" s="185"/>
      <c r="B45" s="43" t="str">
        <f>A45&amp;"-"&amp;IF(DAY(Variables!$A$2)&lt;10,0,"")&amp;DAY(Variables!$A$2)</f>
        <v>-20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5" s="30" t="e">
        <f>VLOOKUP(B45,'Train Runs'!$A$13:$A$99941,1,FALSE)</f>
        <v>#N/A</v>
      </c>
    </row>
    <row r="46" spans="1:10" x14ac:dyDescent="0.25">
      <c r="A46" s="185"/>
      <c r="B46" s="43" t="str">
        <f>A46&amp;"-"&amp;IF(DAY(Variables!$A$2)&lt;10,0,"")&amp;DAY(Variables!$A$2)</f>
        <v>-20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6" s="30" t="e">
        <f>VLOOKUP(B46,'Train Runs'!$A$13:$A$99941,1,FALSE)</f>
        <v>#N/A</v>
      </c>
    </row>
    <row r="47" spans="1:10" x14ac:dyDescent="0.25">
      <c r="A47" s="185"/>
      <c r="B47" s="43" t="str">
        <f>A47&amp;"-"&amp;IF(DAY(Variables!$A$2)&lt;10,0,"")&amp;DAY(Variables!$A$2)</f>
        <v>-20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7" s="30" t="e">
        <f>VLOOKUP(B47,'Train Runs'!$A$13:$A$99941,1,FALSE)</f>
        <v>#N/A</v>
      </c>
    </row>
    <row r="48" spans="1:10" x14ac:dyDescent="0.25">
      <c r="A48" s="185"/>
      <c r="B48" s="43" t="str">
        <f>A48&amp;"-"&amp;IF(DAY(Variables!$A$2)&lt;10,0,"")&amp;DAY(Variables!$A$2)</f>
        <v>-20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8" s="30" t="e">
        <f>VLOOKUP(B48,'Train Runs'!$A$13:$A$99941,1,FALSE)</f>
        <v>#N/A</v>
      </c>
    </row>
    <row r="49" spans="1:10" x14ac:dyDescent="0.25">
      <c r="A49" s="185"/>
      <c r="B49" s="43" t="str">
        <f>A49&amp;"-"&amp;IF(DAY(Variables!$A$2)&lt;10,0,"")&amp;DAY(Variables!$A$2)</f>
        <v>-20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9" s="30" t="e">
        <f>VLOOKUP(B49,'Train Runs'!$A$13:$A$99941,1,FALSE)</f>
        <v>#N/A</v>
      </c>
    </row>
    <row r="50" spans="1:10" x14ac:dyDescent="0.25">
      <c r="A50" s="185"/>
      <c r="B50" s="43" t="str">
        <f>A50&amp;"-"&amp;IF(DAY(Variables!$A$2)&lt;10,0,"")&amp;DAY(Variables!$A$2)</f>
        <v>-20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0" s="30" t="e">
        <f>VLOOKUP(B50,'Train Runs'!$A$13:$A$99941,1,FALSE)</f>
        <v>#N/A</v>
      </c>
    </row>
    <row r="51" spans="1:10" x14ac:dyDescent="0.25">
      <c r="A51" s="185"/>
      <c r="B51" s="43" t="str">
        <f>A51&amp;"-"&amp;IF(DAY(Variables!$A$2)&lt;10,0,"")&amp;DAY(Variables!$A$2)</f>
        <v>-20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1" s="30" t="e">
        <f>VLOOKUP(B51,'Train Runs'!$A$13:$A$99941,1,FALSE)</f>
        <v>#N/A</v>
      </c>
    </row>
    <row r="52" spans="1:10" x14ac:dyDescent="0.25">
      <c r="A52" s="185"/>
      <c r="B52" s="43" t="str">
        <f>A52&amp;"-"&amp;IF(DAY(Variables!$A$2)&lt;10,0,"")&amp;DAY(Variables!$A$2)</f>
        <v>-20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2" s="30" t="e">
        <f>VLOOKUP(B52,'Train Runs'!$A$13:$A$99941,1,FALSE)</f>
        <v>#N/A</v>
      </c>
    </row>
    <row r="53" spans="1:10" x14ac:dyDescent="0.25">
      <c r="A53" s="185"/>
      <c r="B53" s="43" t="str">
        <f>A53&amp;"-"&amp;IF(DAY(Variables!$A$2)&lt;10,0,"")&amp;DAY(Variables!$A$2)</f>
        <v>-20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3" s="30" t="e">
        <f>VLOOKUP(B53,'Train Runs'!$A$13:$A$99941,1,FALSE)</f>
        <v>#N/A</v>
      </c>
    </row>
    <row r="54" spans="1:10" x14ac:dyDescent="0.25">
      <c r="A54" s="185"/>
      <c r="B54" s="43" t="str">
        <f>A54&amp;"-"&amp;IF(DAY(Variables!$A$2)&lt;10,0,"")&amp;DAY(Variables!$A$2)</f>
        <v>-20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4" s="30" t="e">
        <f>VLOOKUP(B54,'Train Runs'!$A$13:$A$99941,1,FALSE)</f>
        <v>#N/A</v>
      </c>
    </row>
    <row r="55" spans="1:10" x14ac:dyDescent="0.25">
      <c r="A55" s="185"/>
      <c r="B55" s="43" t="str">
        <f>A55&amp;"-"&amp;IF(DAY(Variables!$A$2)&lt;10,0,"")&amp;DAY(Variables!$A$2)</f>
        <v>-20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5" s="30" t="e">
        <f>VLOOKUP(B55,'Train Runs'!$A$13:$A$99941,1,FALSE)</f>
        <v>#N/A</v>
      </c>
    </row>
    <row r="56" spans="1:10" x14ac:dyDescent="0.25">
      <c r="A56" s="185"/>
      <c r="B56" s="43" t="str">
        <f>A56&amp;"-"&amp;IF(DAY(Variables!$A$2)&lt;10,0,"")&amp;DAY(Variables!$A$2)</f>
        <v>-20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6" s="30" t="e">
        <f>VLOOKUP(B56,'Train Runs'!$A$13:$A$99941,1,FALSE)</f>
        <v>#N/A</v>
      </c>
    </row>
    <row r="57" spans="1:10" x14ac:dyDescent="0.25">
      <c r="A57" s="185"/>
      <c r="B57" s="43" t="str">
        <f>A57&amp;"-"&amp;IF(DAY(Variables!$A$2)&lt;10,0,"")&amp;DAY(Variables!$A$2)</f>
        <v>-20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7" s="30" t="e">
        <f>VLOOKUP(B57,'Train Runs'!$A$13:$A$99941,1,FALSE)</f>
        <v>#N/A</v>
      </c>
    </row>
    <row r="58" spans="1:10" x14ac:dyDescent="0.25">
      <c r="A58" s="185"/>
      <c r="B58" s="43" t="str">
        <f>A58&amp;"-"&amp;IF(DAY(Variables!$A$2)&lt;10,0,"")&amp;DAY(Variables!$A$2)</f>
        <v>-20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8" s="30" t="e">
        <f>VLOOKUP(B58,'Train Runs'!$A$13:$A$99941,1,FALSE)</f>
        <v>#N/A</v>
      </c>
    </row>
    <row r="59" spans="1:10" x14ac:dyDescent="0.25">
      <c r="A59" s="185"/>
      <c r="B59" s="43" t="str">
        <f>A59&amp;"-"&amp;IF(DAY(Variables!$A$2)&lt;10,0,"")&amp;DAY(Variables!$A$2)</f>
        <v>-20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9" s="30" t="e">
        <f>VLOOKUP(B59,'Train Runs'!$A$13:$A$99941,1,FALSE)</f>
        <v>#N/A</v>
      </c>
    </row>
    <row r="60" spans="1:10" x14ac:dyDescent="0.25">
      <c r="A60" s="185"/>
      <c r="B60" s="43" t="str">
        <f>A60&amp;"-"&amp;IF(DAY(Variables!$A$2)&lt;10,0,"")&amp;DAY(Variables!$A$2)</f>
        <v>-20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0" s="30" t="e">
        <f>VLOOKUP(B60,'Train Runs'!$A$13:$A$99941,1,FALSE)</f>
        <v>#N/A</v>
      </c>
    </row>
    <row r="61" spans="1:10" x14ac:dyDescent="0.25">
      <c r="A61" s="185"/>
      <c r="B61" s="43" t="str">
        <f>A61&amp;"-"&amp;IF(DAY(Variables!$A$2)&lt;10,0,"")&amp;DAY(Variables!$A$2)</f>
        <v>-20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1" s="30" t="e">
        <f>VLOOKUP(B61,'Train Runs'!$A$13:$A$99941,1,FALSE)</f>
        <v>#N/A</v>
      </c>
    </row>
    <row r="62" spans="1:10" x14ac:dyDescent="0.25">
      <c r="A62" s="185"/>
      <c r="B62" s="43" t="str">
        <f>A62&amp;"-"&amp;IF(DAY(Variables!$A$2)&lt;10,0,"")&amp;DAY(Variables!$A$2)</f>
        <v>-20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2" s="30" t="e">
        <f>VLOOKUP(B62,'Train Runs'!$A$13:$A$99941,1,FALSE)</f>
        <v>#N/A</v>
      </c>
    </row>
    <row r="63" spans="1:10" x14ac:dyDescent="0.25">
      <c r="A63" s="185"/>
      <c r="B63" s="43" t="str">
        <f>A63&amp;"-"&amp;IF(DAY(Variables!$A$2)&lt;10,0,"")&amp;DAY(Variables!$A$2)</f>
        <v>-20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3" s="30" t="e">
        <f>VLOOKUP(B63,'Train Runs'!$A$13:$A$99941,1,FALSE)</f>
        <v>#N/A</v>
      </c>
    </row>
    <row r="64" spans="1:10" x14ac:dyDescent="0.25">
      <c r="A64" s="185"/>
      <c r="B64" s="43" t="str">
        <f>A64&amp;"-"&amp;IF(DAY(Variables!$A$2)&lt;10,0,"")&amp;DAY(Variables!$A$2)</f>
        <v>-20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4" s="30" t="e">
        <f>VLOOKUP(B64,'Train Runs'!$A$13:$A$99941,1,FALSE)</f>
        <v>#N/A</v>
      </c>
    </row>
    <row r="65" spans="1:10" x14ac:dyDescent="0.25">
      <c r="A65" s="185"/>
      <c r="B65" s="43" t="str">
        <f>A65&amp;"-"&amp;IF(DAY(Variables!$A$2)&lt;10,0,"")&amp;DAY(Variables!$A$2)</f>
        <v>-20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5" s="30" t="e">
        <f>VLOOKUP(B65,'Train Runs'!$A$13:$A$99941,1,FALSE)</f>
        <v>#N/A</v>
      </c>
    </row>
    <row r="66" spans="1:10" x14ac:dyDescent="0.25">
      <c r="A66" s="185"/>
      <c r="B66" s="43" t="str">
        <f>A66&amp;"-"&amp;IF(DAY(Variables!$A$2)&lt;10,0,"")&amp;DAY(Variables!$A$2)</f>
        <v>-20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6" s="30" t="e">
        <f>VLOOKUP(B66,'Train Runs'!$A$13:$A$99941,1,FALSE)</f>
        <v>#N/A</v>
      </c>
    </row>
    <row r="67" spans="1:10" x14ac:dyDescent="0.25">
      <c r="A67" s="185"/>
      <c r="B67" s="43" t="str">
        <f>A67&amp;"-"&amp;IF(DAY(Variables!$A$2)&lt;10,0,"")&amp;DAY(Variables!$A$2)</f>
        <v>-20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7" s="30" t="e">
        <f>VLOOKUP(B67,'Train Runs'!$A$13:$A$99941,1,FALSE)</f>
        <v>#N/A</v>
      </c>
    </row>
    <row r="68" spans="1:10" x14ac:dyDescent="0.25">
      <c r="A68" s="185"/>
      <c r="B68" s="43" t="str">
        <f>A68&amp;"-"&amp;IF(DAY(Variables!$A$2)&lt;10,0,"")&amp;DAY(Variables!$A$2)</f>
        <v>-20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8" s="30" t="e">
        <f>VLOOKUP(B68,'Train Runs'!$A$13:$A$99941,1,FALSE)</f>
        <v>#N/A</v>
      </c>
    </row>
    <row r="69" spans="1:10" x14ac:dyDescent="0.25">
      <c r="A69" s="185"/>
      <c r="B69" s="43" t="str">
        <f>A69&amp;"-"&amp;IF(DAY(Variables!$A$2)&lt;10,0,"")&amp;DAY(Variables!$A$2)</f>
        <v>-20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9" s="30" t="e">
        <f>VLOOKUP(B69,'Train Runs'!$A$13:$A$99941,1,FALSE)</f>
        <v>#N/A</v>
      </c>
    </row>
    <row r="70" spans="1:10" x14ac:dyDescent="0.25">
      <c r="A70" s="185"/>
      <c r="B70" s="43" t="str">
        <f>A70&amp;"-"&amp;IF(DAY(Variables!$A$2)&lt;10,0,"")&amp;DAY(Variables!$A$2)</f>
        <v>-20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ref="I70:I91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0" s="30" t="e">
        <f>VLOOKUP(B70,'Train Runs'!$A$13:$A$99941,1,FALSE)</f>
        <v>#N/A</v>
      </c>
    </row>
    <row r="71" spans="1:10" x14ac:dyDescent="0.25">
      <c r="A71" s="185"/>
      <c r="B71" s="43" t="str">
        <f>A71&amp;"-"&amp;IF(DAY(Variables!$A$2)&lt;10,0,"")&amp;DAY(Variables!$A$2)</f>
        <v>-20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1" s="30" t="e">
        <f>VLOOKUP(B71,'Train Runs'!$A$13:$A$99941,1,FALSE)</f>
        <v>#N/A</v>
      </c>
    </row>
    <row r="72" spans="1:10" x14ac:dyDescent="0.25">
      <c r="A72" s="185"/>
      <c r="B72" s="43" t="str">
        <f>A72&amp;"-"&amp;IF(DAY(Variables!$A$2)&lt;10,0,"")&amp;DAY(Variables!$A$2)</f>
        <v>-20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2" s="30" t="e">
        <f>VLOOKUP(B72,'Train Runs'!$A$13:$A$99941,1,FALSE)</f>
        <v>#N/A</v>
      </c>
    </row>
    <row r="73" spans="1:10" x14ac:dyDescent="0.25">
      <c r="A73" s="185"/>
      <c r="B73" s="43" t="str">
        <f>A73&amp;"-"&amp;IF(DAY(Variables!$A$2)&lt;10,0,"")&amp;DAY(Variables!$A$2)</f>
        <v>-20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3" s="30" t="e">
        <f>VLOOKUP(B73,'Train Runs'!$A$13:$A$99941,1,FALSE)</f>
        <v>#N/A</v>
      </c>
    </row>
    <row r="74" spans="1:10" x14ac:dyDescent="0.25">
      <c r="A74" s="185"/>
      <c r="B74" s="43" t="str">
        <f>A74&amp;"-"&amp;IF(DAY(Variables!$A$2)&lt;10,0,"")&amp;DAY(Variables!$A$2)</f>
        <v>-20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4" s="30" t="e">
        <f>VLOOKUP(B74,'Train Runs'!$A$13:$A$99941,1,FALSE)</f>
        <v>#N/A</v>
      </c>
    </row>
    <row r="75" spans="1:10" x14ac:dyDescent="0.25">
      <c r="A75" s="185"/>
      <c r="B75" s="43" t="str">
        <f>A75&amp;"-"&amp;IF(DAY(Variables!$A$2)&lt;10,0,"")&amp;DAY(Variables!$A$2)</f>
        <v>-20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5" s="30" t="e">
        <f>VLOOKUP(B75,'Train Runs'!$A$13:$A$99941,1,FALSE)</f>
        <v>#N/A</v>
      </c>
    </row>
    <row r="76" spans="1:10" x14ac:dyDescent="0.25">
      <c r="A76" s="185"/>
      <c r="B76" s="43" t="str">
        <f>A76&amp;"-"&amp;IF(DAY(Variables!$A$2)&lt;10,0,"")&amp;DAY(Variables!$A$2)</f>
        <v>-20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6" s="30" t="e">
        <f>VLOOKUP(B76,'Train Runs'!$A$13:$A$99941,1,FALSE)</f>
        <v>#N/A</v>
      </c>
    </row>
    <row r="77" spans="1:10" x14ac:dyDescent="0.25">
      <c r="A77" s="185"/>
      <c r="B77" s="43" t="str">
        <f>A77&amp;"-"&amp;IF(DAY(Variables!$A$2)&lt;10,0,"")&amp;DAY(Variables!$A$2)</f>
        <v>-20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7" s="30" t="e">
        <f>VLOOKUP(B77,'Train Runs'!$A$13:$A$99941,1,FALSE)</f>
        <v>#N/A</v>
      </c>
    </row>
    <row r="78" spans="1:10" x14ac:dyDescent="0.25">
      <c r="A78" s="185"/>
      <c r="B78" s="43" t="str">
        <f>A78&amp;"-"&amp;IF(DAY(Variables!$A$2)&lt;10,0,"")&amp;DAY(Variables!$A$2)</f>
        <v>-20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8" s="30" t="e">
        <f>VLOOKUP(B78,'Train Runs'!$A$13:$A$99941,1,FALSE)</f>
        <v>#N/A</v>
      </c>
    </row>
    <row r="79" spans="1:10" x14ac:dyDescent="0.25">
      <c r="A79" s="185"/>
      <c r="B79" s="43" t="str">
        <f>A79&amp;"-"&amp;IF(DAY(Variables!$A$2)&lt;10,0,"")&amp;DAY(Variables!$A$2)</f>
        <v>-20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9" s="30" t="e">
        <f>VLOOKUP(B79,'Train Runs'!$A$13:$A$99941,1,FALSE)</f>
        <v>#N/A</v>
      </c>
    </row>
    <row r="80" spans="1:10" x14ac:dyDescent="0.25">
      <c r="A80" s="185"/>
      <c r="B80" s="43" t="str">
        <f>A80&amp;"-"&amp;IF(DAY(Variables!$A$2)&lt;10,0,"")&amp;DAY(Variables!$A$2)</f>
        <v>-20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0" s="30" t="e">
        <f>VLOOKUP(B80,'Train Runs'!$A$13:$A$99941,1,FALSE)</f>
        <v>#N/A</v>
      </c>
    </row>
    <row r="81" spans="1:10" x14ac:dyDescent="0.25">
      <c r="A81" s="185"/>
      <c r="B81" s="43" t="str">
        <f>A81&amp;"-"&amp;IF(DAY(Variables!$A$2)&lt;10,0,"")&amp;DAY(Variables!$A$2)</f>
        <v>-20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1" s="30" t="e">
        <f>VLOOKUP(B81,'Train Runs'!$A$13:$A$99941,1,FALSE)</f>
        <v>#N/A</v>
      </c>
    </row>
    <row r="82" spans="1:10" x14ac:dyDescent="0.25">
      <c r="A82" s="185"/>
      <c r="B82" s="43" t="str">
        <f>A82&amp;"-"&amp;IF(DAY(Variables!$A$2)&lt;10,0,"")&amp;DAY(Variables!$A$2)</f>
        <v>-20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2" s="30" t="e">
        <f>VLOOKUP(B82,'Train Runs'!$A$13:$A$99941,1,FALSE)</f>
        <v>#N/A</v>
      </c>
    </row>
    <row r="83" spans="1:10" x14ac:dyDescent="0.25">
      <c r="A83" s="185"/>
      <c r="B83" s="43" t="str">
        <f>A83&amp;"-"&amp;IF(DAY(Variables!$A$2)&lt;10,0,"")&amp;DAY(Variables!$A$2)</f>
        <v>-20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3" s="30" t="e">
        <f>VLOOKUP(B83,'Train Runs'!$A$13:$A$99941,1,FALSE)</f>
        <v>#N/A</v>
      </c>
    </row>
    <row r="84" spans="1:10" x14ac:dyDescent="0.25">
      <c r="A84" s="185"/>
      <c r="B84" s="43" t="str">
        <f>A84&amp;"-"&amp;IF(DAY(Variables!$A$2)&lt;10,0,"")&amp;DAY(Variables!$A$2)</f>
        <v>-20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4" s="30" t="e">
        <f>VLOOKUP(B84,'Train Runs'!$A$13:$A$99941,1,FALSE)</f>
        <v>#N/A</v>
      </c>
    </row>
    <row r="85" spans="1:10" x14ac:dyDescent="0.25">
      <c r="A85" s="185"/>
      <c r="B85" s="43" t="str">
        <f>A85&amp;"-"&amp;IF(DAY(Variables!$A$2)&lt;10,0,"")&amp;DAY(Variables!$A$2)</f>
        <v>-20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5" s="30" t="e">
        <f>VLOOKUP(B85,'Train Runs'!$A$13:$A$99941,1,FALSE)</f>
        <v>#N/A</v>
      </c>
    </row>
    <row r="86" spans="1:10" x14ac:dyDescent="0.25">
      <c r="A86" s="185"/>
      <c r="B86" s="43" t="str">
        <f>A86&amp;"-"&amp;IF(DAY(Variables!$A$2)&lt;10,0,"")&amp;DAY(Variables!$A$2)</f>
        <v>-20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6" s="30" t="e">
        <f>VLOOKUP(B86,'Train Runs'!$A$13:$A$99941,1,FALSE)</f>
        <v>#N/A</v>
      </c>
    </row>
    <row r="87" spans="1:10" x14ac:dyDescent="0.25">
      <c r="A87" s="185"/>
      <c r="B87" s="43" t="str">
        <f>A87&amp;"-"&amp;IF(DAY(Variables!$A$2)&lt;10,0,"")&amp;DAY(Variables!$A$2)</f>
        <v>-20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7" s="30" t="e">
        <f>VLOOKUP(B87,'Train Runs'!$A$13:$A$99941,1,FALSE)</f>
        <v>#N/A</v>
      </c>
    </row>
    <row r="88" spans="1:10" x14ac:dyDescent="0.25">
      <c r="A88" s="185"/>
      <c r="B88" s="43" t="str">
        <f>A88&amp;"-"&amp;IF(DAY(Variables!$A$2)&lt;10,0,"")&amp;DAY(Variables!$A$2)</f>
        <v>-20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8" s="30" t="e">
        <f>VLOOKUP(B88,'Train Runs'!$A$13:$A$99941,1,FALSE)</f>
        <v>#N/A</v>
      </c>
    </row>
    <row r="89" spans="1:10" x14ac:dyDescent="0.25">
      <c r="A89" s="185"/>
      <c r="B89" s="43" t="str">
        <f>A89&amp;"-"&amp;IF(DAY(Variables!$A$2)&lt;10,0,"")&amp;DAY(Variables!$A$2)</f>
        <v>-20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9" s="30" t="e">
        <f>VLOOKUP(B89,'Train Runs'!$A$13:$A$99941,1,FALSE)</f>
        <v>#N/A</v>
      </c>
    </row>
    <row r="90" spans="1:10" x14ac:dyDescent="0.25">
      <c r="A90" s="185"/>
      <c r="B90" s="43" t="str">
        <f>A90&amp;"-"&amp;IF(DAY(Variables!$A$2)&lt;10,0,"")&amp;DAY(Variables!$A$2)</f>
        <v>-20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0" s="30" t="e">
        <f>VLOOKUP(B90,'Train Runs'!$A$13:$A$99941,1,FALSE)</f>
        <v>#N/A</v>
      </c>
    </row>
    <row r="91" spans="1:10" x14ac:dyDescent="0.25">
      <c r="A91" s="185"/>
      <c r="B91" s="43" t="str">
        <f>A91&amp;"-"&amp;IF(DAY(Variables!$A$2)&lt;10,0,"")&amp;DAY(Variables!$A$2)</f>
        <v>-20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1" s="30" t="e">
        <f>VLOOKUP(B91,'Train Runs'!$A$13:$A$99941,1,FALSE)</f>
        <v>#N/A</v>
      </c>
    </row>
  </sheetData>
  <autoFilter ref="A2:J91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202" bestFit="1" customWidth="1"/>
    <col min="2" max="2" width="26.5703125" style="208" customWidth="1"/>
    <col min="3" max="3" width="8.85546875" style="198" customWidth="1"/>
    <col min="4" max="4" width="10.5703125" style="212" customWidth="1"/>
    <col min="5" max="5" width="39.5703125" bestFit="1" customWidth="1"/>
    <col min="6" max="6" width="16.5703125" style="212" customWidth="1"/>
    <col min="7" max="7" width="7" style="216" customWidth="1"/>
    <col min="8" max="8" width="6.5703125" style="218" customWidth="1"/>
    <col min="9" max="9" width="6.5703125" style="214" customWidth="1"/>
    <col min="10" max="10" width="9.42578125" style="210" bestFit="1" customWidth="1"/>
    <col min="11" max="11" width="9.42578125" style="210" customWidth="1"/>
    <col min="12" max="12" width="10.140625" style="206" customWidth="1"/>
    <col min="13" max="13" width="6.42578125" style="206" customWidth="1"/>
    <col min="14" max="15" width="6" style="206" customWidth="1"/>
    <col min="16" max="16" width="6.28515625" style="206" customWidth="1"/>
    <col min="17" max="17" width="7.28515625" style="205" customWidth="1"/>
  </cols>
  <sheetData>
    <row r="1" spans="1:17" s="195" customFormat="1" ht="35.25" customHeight="1" x14ac:dyDescent="0.25">
      <c r="A1" s="200" t="s">
        <v>370</v>
      </c>
      <c r="B1" s="207" t="s">
        <v>371</v>
      </c>
      <c r="C1" s="199" t="s">
        <v>379</v>
      </c>
      <c r="D1" s="211" t="s">
        <v>58</v>
      </c>
      <c r="E1" s="196" t="s">
        <v>24</v>
      </c>
      <c r="F1" s="211" t="s">
        <v>385</v>
      </c>
      <c r="G1" s="215" t="s">
        <v>94</v>
      </c>
      <c r="H1" s="217" t="s">
        <v>389</v>
      </c>
      <c r="I1" s="213" t="s">
        <v>388</v>
      </c>
      <c r="J1" s="209" t="s">
        <v>84</v>
      </c>
      <c r="K1" s="209" t="s">
        <v>384</v>
      </c>
      <c r="L1" s="204" t="s">
        <v>381</v>
      </c>
      <c r="M1" s="204" t="s">
        <v>372</v>
      </c>
      <c r="N1" s="204" t="s">
        <v>374</v>
      </c>
      <c r="O1" s="204" t="s">
        <v>375</v>
      </c>
      <c r="P1" s="204" t="s">
        <v>376</v>
      </c>
      <c r="Q1" s="203" t="s">
        <v>373</v>
      </c>
    </row>
    <row r="2" spans="1:17" x14ac:dyDescent="0.25">
      <c r="A2" s="201">
        <v>42800.21875</v>
      </c>
      <c r="B2" s="208" t="s">
        <v>378</v>
      </c>
      <c r="C2" s="198" t="s">
        <v>380</v>
      </c>
      <c r="D2" s="212">
        <v>104</v>
      </c>
      <c r="E2" s="30" t="s">
        <v>383</v>
      </c>
      <c r="G2" s="216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/stypes="*4026*201703061*" /stext=" 11:.+((SYSTEM_STATE.+slice.+state.+changed )|(ment ac)|(multiple cpu faults)|(system.+state.+changed )|(\[timeout)|(PRM\|1\|D)|(kpr)|(kdp)|(\|loc)|(penalty)|(\|PRM\|1\|D)|(crossing.((167)|(168)|(199)|(200))))"</v>
      </c>
      <c r="H2" s="218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"%USERPROFILE%\AppData\Local\Temp\OnboardLogs"\RTDC4026\*4026*201703061*</v>
      </c>
      <c r="I2" s="214" t="str">
        <f>IF(VLOOKUP(K2,'Train Runs'!$A$13:$V$997,1,TRUE)=K2,VLOOKUP(K2,'Train Runs'!$A$13:$V$997,22,TRUE),NA())</f>
        <v>https://d0f6bd738d7f1b3e5a7ca70fe4ff75f0.us-east-1.aws.found.io/app/kibana#/discover/Steve-Slow-Train-Analysis-(2080s-and-2083s)?_g=(refreshInterval:(display:Off,pause:!f,section:0,value:0),time:(from:'2017-03-20T03:31:14-0600',mode:absolute,to:'2017-03-20T06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2" s="210">
        <f t="shared" ref="J2:J35" si="2">A2-utc_offset/24</f>
        <v>42800.46875</v>
      </c>
      <c r="K2" s="210" t="str">
        <f>D2&amp;"-"&amp;IF(DAY(Variables!$A$2)&lt;10,0,"")&amp;DAY(Variables!$A$2)</f>
        <v>104-20</v>
      </c>
      <c r="L2" s="206">
        <f>IF(VLOOKUP(K2,'Train Runs'!$A$12:$B$997,1,TRUE)=K2,VLOOKUP(K2,'Train Runs'!$A$12:$B$997,2,TRUE),NA())</f>
        <v>4026</v>
      </c>
      <c r="M2" s="206">
        <f>VLOOKUP(B2,Variables!$T$2:$X$99,2,FALSE)</f>
        <v>167</v>
      </c>
      <c r="N2" s="206">
        <f>VLOOKUP(B2,Variables!$T$2:$X$99,3,FALSE)</f>
        <v>168</v>
      </c>
      <c r="O2" s="206">
        <f>VLOOKUP(B2,Variables!$T$2:$X$99,4,FALSE)</f>
        <v>199</v>
      </c>
      <c r="P2" s="206">
        <f>VLOOKUP(B2,Variables!$T$2:$X$99,5,FALSE)</f>
        <v>200</v>
      </c>
      <c r="Q2" s="205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201">
        <v>42800.343055555553</v>
      </c>
      <c r="B3" s="208" t="s">
        <v>378</v>
      </c>
      <c r="C3" s="198" t="s">
        <v>380</v>
      </c>
      <c r="D3" s="212">
        <v>126</v>
      </c>
      <c r="E3" s="30" t="s">
        <v>382</v>
      </c>
      <c r="F3" s="212" t="b">
        <v>1</v>
      </c>
      <c r="G3" s="216" t="str">
        <f t="shared" si="0"/>
        <v>"C:\Program Files (x86)\AstroGrep\AstroGrep.exe" /e /r /s /spath="%USERPROFILE%\AppData\Local\Temp\OnboardLogs" /stypes="*4021*201703061*" /stext=" 14:.+((SYSTEM_STATE.+slice.+state.+changed )|(ment ac)|(multiple cpu faults)|(system.+state.+changed )|(\[timeout)|(PRM\|1\|D)|(kpr)|(kdp)|(\|lc)|(penalty)|(\|PRM\|1\|D)|(crossing.((167)|(168)|(199)|(200))))"</v>
      </c>
      <c r="H3" s="218" t="str">
        <f t="shared" si="1"/>
        <v>grep -hSE " 14:.+((\|PRM\|1\|D)|(crossing.((167)|(168)|(199)|(200))))" "%USERPROFILE%\AppData\Local\Temp\OnboardLogs"\RTDC4021\*4021*201703061*</v>
      </c>
      <c r="I3" s="214" t="str">
        <f>IF(VLOOKUP(K3,'Train Runs'!$A$13:$V$997,1,TRUE)=K3,VLOOKUP(K3,'Train Runs'!$A$13:$V$997,22,TRUE),NA())</f>
        <v>https://d0f6bd738d7f1b3e5a7ca70fe4ff75f0.us-east-1.aws.found.io/app/kibana#/discover/Steve-Slow-Train-Analysis-(2080s-and-2083s)?_g=(refreshInterval:(display:Off,pause:!f,section:0,value:0),time:(from:'2017-03-20T06:25:37-0600',mode:absolute,to:'2017-03-20T09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3" s="210">
        <f t="shared" si="2"/>
        <v>42800.593055555553</v>
      </c>
      <c r="K3" s="210" t="str">
        <f>D3&amp;"-"&amp;IF(DAY(Variables!$A$2)&lt;10,0,"")&amp;DAY(Variables!$A$2)</f>
        <v>126-20</v>
      </c>
      <c r="L3" s="206">
        <f>IF(VLOOKUP(K3,'Train Runs'!$A$12:$B$997,1,TRUE)=K3,VLOOKUP(K3,'Train Runs'!$A$12:$B$997,2,TRUE),NA())</f>
        <v>4021</v>
      </c>
      <c r="M3" s="206">
        <f>VLOOKUP(B3,Variables!$T$2:$X$99,2,FALSE)</f>
        <v>167</v>
      </c>
      <c r="N3" s="206">
        <f>VLOOKUP(B3,Variables!$T$2:$X$99,3,FALSE)</f>
        <v>168</v>
      </c>
      <c r="O3" s="206">
        <f>VLOOKUP(B3,Variables!$T$2:$X$99,4,FALSE)</f>
        <v>199</v>
      </c>
      <c r="P3" s="206">
        <f>VLOOKUP(B3,Variables!$T$2:$X$99,5,FALSE)</f>
        <v>200</v>
      </c>
      <c r="Q3" s="205" t="str">
        <f t="shared" si="3"/>
        <v>(\|PRM\|1\|D)|(crossing.((167)|(168)|(199)|(200)))</v>
      </c>
    </row>
    <row r="4" spans="1:17" x14ac:dyDescent="0.25">
      <c r="A4" s="201">
        <v>42800.354861111111</v>
      </c>
      <c r="B4" s="208" t="s">
        <v>378</v>
      </c>
      <c r="C4" s="198" t="s">
        <v>380</v>
      </c>
      <c r="D4" s="212">
        <v>128</v>
      </c>
      <c r="E4" s="30" t="s">
        <v>382</v>
      </c>
      <c r="F4" s="212" t="b">
        <v>1</v>
      </c>
      <c r="G4" s="216" t="str">
        <f t="shared" si="0"/>
        <v>"C:\Program Files (x86)\AstroGrep\AstroGrep.exe" /e /r /s /spath="%USERPROFILE%\AppData\Local\Temp\OnboardLogs" /stypes="*4017*201703061*" /stext=" 14:.+((SYSTEM_STATE.+slice.+state.+changed )|(ment ac)|(multiple cpu faults)|(system.+state.+changed )|(\[timeout)|(PRM\|1\|D)|(kpr)|(kdp)|(\|lc)|(penalty)|(\|PRM\|1\|D)|(crossing.((167)|(168)|(199)|(200))))"</v>
      </c>
      <c r="H4" s="218" t="str">
        <f t="shared" si="1"/>
        <v>grep -hSE " 14:.+((\|PRM\|1\|D)|(crossing.((167)|(168)|(199)|(200))))" "%USERPROFILE%\AppData\Local\Temp\OnboardLogs"\RTDC4017\*4017*201703061*</v>
      </c>
      <c r="I4" s="214" t="str">
        <f>IF(VLOOKUP(K4,'Train Runs'!$A$13:$V$997,1,TRUE)=K4,VLOOKUP(K4,'Train Runs'!$A$13:$V$997,22,TRUE),NA())</f>
        <v>https://d0f6bd738d7f1b3e5a7ca70fe4ff75f0.us-east-1.aws.found.io/app/kibana#/discover/Steve-Slow-Train-Analysis-(2080s-and-2083s)?_g=(refreshInterval:(display:Off,pause:!f,section:0,value:0),time:(from:'2017-03-20T06:38:10-0600',mode:absolute,to:'2017-03-20T09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4" s="210">
        <f t="shared" si="2"/>
        <v>42800.604861111111</v>
      </c>
      <c r="K4" s="210" t="str">
        <f>D4&amp;"-"&amp;IF(DAY(Variables!$A$2)&lt;10,0,"")&amp;DAY(Variables!$A$2)</f>
        <v>128-20</v>
      </c>
      <c r="L4" s="206">
        <f>IF(VLOOKUP(K4,'Train Runs'!$A$12:$B$997,1,TRUE)=K4,VLOOKUP(K4,'Train Runs'!$A$12:$B$997,2,TRUE),NA())</f>
        <v>4017</v>
      </c>
      <c r="M4" s="206">
        <f>VLOOKUP(B4,Variables!$T$2:$X$99,2,FALSE)</f>
        <v>167</v>
      </c>
      <c r="N4" s="206">
        <f>VLOOKUP(B4,Variables!$T$2:$X$99,3,FALSE)</f>
        <v>168</v>
      </c>
      <c r="O4" s="206">
        <f>VLOOKUP(B4,Variables!$T$2:$X$99,4,FALSE)</f>
        <v>199</v>
      </c>
      <c r="P4" s="206">
        <f>VLOOKUP(B4,Variables!$T$2:$X$99,5,FALSE)</f>
        <v>200</v>
      </c>
      <c r="Q4" s="205" t="str">
        <f t="shared" si="3"/>
        <v>(\|PRM\|1\|D)|(crossing.((167)|(168)|(199)|(200)))</v>
      </c>
    </row>
    <row r="5" spans="1:17" x14ac:dyDescent="0.25">
      <c r="A5" s="201">
        <v>42800.364583333336</v>
      </c>
      <c r="B5" s="208" t="s">
        <v>378</v>
      </c>
      <c r="C5" s="198" t="s">
        <v>380</v>
      </c>
      <c r="D5" s="212">
        <f>D4+2</f>
        <v>130</v>
      </c>
      <c r="E5" s="30" t="s">
        <v>382</v>
      </c>
      <c r="F5" s="212" t="b">
        <v>1</v>
      </c>
      <c r="G5" s="216" t="str">
        <f t="shared" si="0"/>
        <v>"C:\Program Files (x86)\AstroGrep\AstroGrep.exe" /e /r /s /spath="%USERPROFILE%\AppData\Local\Temp\OnboardLogs" /stypes="*4045*201703061*" /stext=" 14:.+((SYSTEM_STATE.+slice.+state.+changed )|(ment ac)|(multiple cpu faults)|(system.+state.+changed )|(\[timeout)|(PRM\|1\|D)|(kpr)|(kdp)|(\|lc)|(penalty)|(\|PRM\|1\|D)|(crossing.((167)|(168)|(199)|(200))))"</v>
      </c>
      <c r="H5" s="218" t="str">
        <f t="shared" si="1"/>
        <v>grep -hSE " 14:.+((\|PRM\|1\|D)|(crossing.((167)|(168)|(199)|(200))))" "%USERPROFILE%\AppData\Local\Temp\OnboardLogs"\RTDC4045\*4045*201703061*</v>
      </c>
      <c r="I5" s="214" t="str">
        <f>IF(VLOOKUP(K5,'Train Runs'!$A$13:$V$997,1,TRUE)=K5,VLOOKUP(K5,'Train Runs'!$A$13:$V$997,22,TRUE),NA())</f>
        <v>https://d0f6bd738d7f1b3e5a7ca70fe4ff75f0.us-east-1.aws.found.io/app/kibana#/discover/Steve-Slow-Train-Analysis-(2080s-and-2083s)?_g=(refreshInterval:(display:Off,pause:!f,section:0,value:0),time:(from:'2017-03-20T07:04:18-0600',mode:absolute,to:'2017-03-20T09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5" s="210">
        <f t="shared" si="2"/>
        <v>42800.614583333336</v>
      </c>
      <c r="K5" s="210" t="str">
        <f>D5&amp;"-"&amp;IF(DAY(Variables!$A$2)&lt;10,0,"")&amp;DAY(Variables!$A$2)</f>
        <v>130-20</v>
      </c>
      <c r="L5" s="206">
        <f>IF(VLOOKUP(K5,'Train Runs'!$A$12:$B$997,1,TRUE)=K5,VLOOKUP(K5,'Train Runs'!$A$12:$B$997,2,TRUE),NA())</f>
        <v>4045</v>
      </c>
      <c r="M5" s="206">
        <f>VLOOKUP(B5,Variables!$T$2:$X$99,2,FALSE)</f>
        <v>167</v>
      </c>
      <c r="N5" s="206">
        <f>VLOOKUP(B5,Variables!$T$2:$X$99,3,FALSE)</f>
        <v>168</v>
      </c>
      <c r="O5" s="206">
        <f>VLOOKUP(B5,Variables!$T$2:$X$99,4,FALSE)</f>
        <v>199</v>
      </c>
      <c r="P5" s="206">
        <f>VLOOKUP(B5,Variables!$T$2:$X$99,5,FALSE)</f>
        <v>200</v>
      </c>
      <c r="Q5" s="205" t="str">
        <f t="shared" si="3"/>
        <v>(\|PRM\|1\|D)|(crossing.((167)|(168)|(199)|(200)))</v>
      </c>
    </row>
    <row r="6" spans="1:17" x14ac:dyDescent="0.25">
      <c r="A6" s="201">
        <v>42800.375</v>
      </c>
      <c r="B6" s="208" t="s">
        <v>378</v>
      </c>
      <c r="C6" s="198" t="s">
        <v>380</v>
      </c>
      <c r="D6" s="212">
        <f>D5+2</f>
        <v>132</v>
      </c>
      <c r="E6" s="30" t="s">
        <v>382</v>
      </c>
      <c r="F6" s="212" t="b">
        <v>1</v>
      </c>
      <c r="G6" s="216" t="str">
        <f t="shared" si="0"/>
        <v>"C:\Program Files (x86)\AstroGrep\AstroGrep.exe" /e /r /s /spath="%USERPROFILE%\AppData\Local\Temp\OnboardLogs" /stypes="*4026*201703061*" /stext=" 15:.+((SYSTEM_STATE.+slice.+state.+changed )|(ment ac)|(multiple cpu faults)|(system.+state.+changed )|(\[timeout)|(PRM\|1\|D)|(kpr)|(kdp)|(\|lc)|(penalty)|(\|PRM\|1\|D)|(crossing.((167)|(168)|(199)|(200))))"</v>
      </c>
      <c r="H6" s="218" t="str">
        <f t="shared" si="1"/>
        <v>grep -hSE " 15:.+((\|PRM\|1\|D)|(crossing.((167)|(168)|(199)|(200))))" "%USERPROFILE%\AppData\Local\Temp\OnboardLogs"\RTDC4026\*4026*201703061*</v>
      </c>
      <c r="I6" s="214" t="str">
        <f>IF(VLOOKUP(K6,'Train Runs'!$A$13:$V$997,1,TRUE)=K6,VLOOKUP(K6,'Train Runs'!$A$13:$V$997,22,TRUE),NA())</f>
        <v>https://d0f6bd738d7f1b3e5a7ca70fe4ff75f0.us-east-1.aws.found.io/app/kibana#/discover/Steve-Slow-Train-Analysis-(2080s-and-2083s)?_g=(refreshInterval:(display:Off,pause:!f,section:0,value:0),time:(from:'2017-03-20T07:17:52-0600',mode:absolute,to:'2017-03-20T10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6" s="210">
        <f t="shared" si="2"/>
        <v>42800.625</v>
      </c>
      <c r="K6" s="210" t="str">
        <f>D6&amp;"-"&amp;IF(DAY(Variables!$A$2)&lt;10,0,"")&amp;DAY(Variables!$A$2)</f>
        <v>132-20</v>
      </c>
      <c r="L6" s="206">
        <f>IF(VLOOKUP(K6,'Train Runs'!$A$12:$B$997,1,TRUE)=K6,VLOOKUP(K6,'Train Runs'!$A$12:$B$997,2,TRUE),NA())</f>
        <v>4026</v>
      </c>
      <c r="M6" s="206">
        <f>VLOOKUP(B6,Variables!$T$2:$X$99,2,FALSE)</f>
        <v>167</v>
      </c>
      <c r="N6" s="206">
        <f>VLOOKUP(B6,Variables!$T$2:$X$99,3,FALSE)</f>
        <v>168</v>
      </c>
      <c r="O6" s="206">
        <f>VLOOKUP(B6,Variables!$T$2:$X$99,4,FALSE)</f>
        <v>199</v>
      </c>
      <c r="P6" s="206">
        <f>VLOOKUP(B6,Variables!$T$2:$X$99,5,FALSE)</f>
        <v>200</v>
      </c>
      <c r="Q6" s="205" t="str">
        <f t="shared" si="3"/>
        <v>(\|PRM\|1\|D)|(crossing.((167)|(168)|(199)|(200)))</v>
      </c>
    </row>
    <row r="7" spans="1:17" x14ac:dyDescent="0.25">
      <c r="A7" s="201">
        <v>42800.383333333331</v>
      </c>
      <c r="B7" s="208" t="s">
        <v>378</v>
      </c>
      <c r="C7" s="198" t="s">
        <v>380</v>
      </c>
      <c r="D7" s="212">
        <f t="shared" ref="D7:D11" si="4">D6+2</f>
        <v>134</v>
      </c>
      <c r="E7" s="30" t="s">
        <v>382</v>
      </c>
      <c r="F7" s="212" t="b">
        <v>1</v>
      </c>
      <c r="G7" s="216" t="str">
        <f t="shared" si="0"/>
        <v>"C:\Program Files (x86)\AstroGrep\AstroGrep.exe" /e /r /s /spath="%USERPROFILE%\AppData\Local\Temp\OnboardLogs" /stypes="*4028*201703061*" /stext=" 15:.+((SYSTEM_STATE.+slice.+state.+changed )|(ment ac)|(multiple cpu faults)|(system.+state.+changed )|(\[timeout)|(PRM\|1\|D)|(kpr)|(kdp)|(\|lc)|(penalty)|(\|PRM\|1\|D)|(crossing.((167)|(168)|(199)|(200))))"</v>
      </c>
      <c r="H7" s="218" t="str">
        <f t="shared" si="1"/>
        <v>grep -hSE " 15:.+((\|PRM\|1\|D)|(crossing.((167)|(168)|(199)|(200))))" "%USERPROFILE%\AppData\Local\Temp\OnboardLogs"\RTDC4028\*4028*201703061*</v>
      </c>
      <c r="I7" s="214" t="str">
        <f>IF(VLOOKUP(K7,'Train Runs'!$A$13:$V$997,1,TRUE)=K7,VLOOKUP(K7,'Train Runs'!$A$13:$V$997,22,TRUE),NA())</f>
        <v>https://d0f6bd738d7f1b3e5a7ca70fe4ff75f0.us-east-1.aws.found.io/app/kibana#/discover/Steve-Slow-Train-Analysis-(2080s-and-2083s)?_g=(refreshInterval:(display:Off,pause:!f,section:0,value:0),time:(from:'2017-03-20T07:37:41-0600',mode:absolute,to:'2017-03-20T09:57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7" s="210">
        <f t="shared" si="2"/>
        <v>42800.633333333331</v>
      </c>
      <c r="K7" s="210" t="str">
        <f>D7&amp;"-"&amp;IF(DAY(Variables!$A$2)&lt;10,0,"")&amp;DAY(Variables!$A$2)</f>
        <v>134-20</v>
      </c>
      <c r="L7" s="206">
        <f>IF(VLOOKUP(K7,'Train Runs'!$A$12:$B$997,1,TRUE)=K7,VLOOKUP(K7,'Train Runs'!$A$12:$B$997,2,TRUE),NA())</f>
        <v>4028</v>
      </c>
      <c r="M7" s="206">
        <f>VLOOKUP(B7,Variables!$T$2:$X$99,2,FALSE)</f>
        <v>167</v>
      </c>
      <c r="N7" s="206">
        <f>VLOOKUP(B7,Variables!$T$2:$X$99,3,FALSE)</f>
        <v>168</v>
      </c>
      <c r="O7" s="206">
        <f>VLOOKUP(B7,Variables!$T$2:$X$99,4,FALSE)</f>
        <v>199</v>
      </c>
      <c r="P7" s="206">
        <f>VLOOKUP(B7,Variables!$T$2:$X$99,5,FALSE)</f>
        <v>200</v>
      </c>
      <c r="Q7" s="205" t="str">
        <f t="shared" si="3"/>
        <v>(\|PRM\|1\|D)|(crossing.((167)|(168)|(199)|(200)))</v>
      </c>
    </row>
    <row r="8" spans="1:17" x14ac:dyDescent="0.25">
      <c r="A8" s="201">
        <v>42800.393750000003</v>
      </c>
      <c r="B8" s="208" t="s">
        <v>378</v>
      </c>
      <c r="C8" s="198" t="s">
        <v>380</v>
      </c>
      <c r="D8" s="212">
        <f t="shared" si="4"/>
        <v>136</v>
      </c>
      <c r="E8" s="30" t="s">
        <v>382</v>
      </c>
      <c r="F8" s="212" t="b">
        <v>1</v>
      </c>
      <c r="G8" s="216" t="str">
        <f t="shared" si="0"/>
        <v>"C:\Program Files (x86)\AstroGrep\AstroGrep.exe" /e /r /s /spath="%USERPROFILE%\AppData\Local\Temp\OnboardLogs" /stypes="*4004*201703061*" /stext=" 15:.+((SYSTEM_STATE.+slice.+state.+changed )|(ment ac)|(multiple cpu faults)|(system.+state.+changed )|(\[timeout)|(PRM\|1\|D)|(kpr)|(kdp)|(\|lc)|(penalty)|(\|PRM\|1\|D)|(crossing.((167)|(168)|(199)|(200))))"</v>
      </c>
      <c r="H8" s="218" t="str">
        <f t="shared" si="1"/>
        <v>grep -hSE " 15:.+((\|PRM\|1\|D)|(crossing.((167)|(168)|(199)|(200))))" "%USERPROFILE%\AppData\Local\Temp\OnboardLogs"\RTDC4004\*4004*201703061*</v>
      </c>
      <c r="I8" s="214" t="str">
        <f>IF(VLOOKUP(K8,'Train Runs'!$A$13:$V$997,1,TRUE)=K8,VLOOKUP(K8,'Train Runs'!$A$13:$V$997,22,TRUE),NA())</f>
        <v>https://d0f6bd738d7f1b3e5a7ca70fe4ff75f0.us-east-1.aws.found.io/app/kibana#/discover/Steve-Slow-Train-Analysis-(2080s-and-2083s)?_g=(refreshInterval:(display:Off,pause:!f,section:0,value:0),time:(from:'2017-03-20T07:48:37-0600',mode:absolute,to:'2017-03-20T10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8" s="210">
        <f t="shared" si="2"/>
        <v>42800.643750000003</v>
      </c>
      <c r="K8" s="210" t="str">
        <f>D8&amp;"-"&amp;IF(DAY(Variables!$A$2)&lt;10,0,"")&amp;DAY(Variables!$A$2)</f>
        <v>136-20</v>
      </c>
      <c r="L8" s="206">
        <f>IF(VLOOKUP(K8,'Train Runs'!$A$12:$B$997,1,TRUE)=K8,VLOOKUP(K8,'Train Runs'!$A$12:$B$997,2,TRUE),NA())</f>
        <v>4004</v>
      </c>
      <c r="M8" s="206">
        <f>VLOOKUP(B8,Variables!$T$2:$X$99,2,FALSE)</f>
        <v>167</v>
      </c>
      <c r="N8" s="206">
        <f>VLOOKUP(B8,Variables!$T$2:$X$99,3,FALSE)</f>
        <v>168</v>
      </c>
      <c r="O8" s="206">
        <f>VLOOKUP(B8,Variables!$T$2:$X$99,4,FALSE)</f>
        <v>199</v>
      </c>
      <c r="P8" s="206">
        <f>VLOOKUP(B8,Variables!$T$2:$X$99,5,FALSE)</f>
        <v>200</v>
      </c>
      <c r="Q8" s="205" t="str">
        <f t="shared" si="3"/>
        <v>(\|PRM\|1\|D)|(crossing.((167)|(168)|(199)|(200)))</v>
      </c>
    </row>
    <row r="9" spans="1:17" x14ac:dyDescent="0.25">
      <c r="A9" s="201">
        <v>42800.404861111114</v>
      </c>
      <c r="B9" s="208" t="s">
        <v>378</v>
      </c>
      <c r="C9" s="198" t="s">
        <v>380</v>
      </c>
      <c r="D9" s="212">
        <f t="shared" si="4"/>
        <v>138</v>
      </c>
      <c r="E9" s="30" t="s">
        <v>382</v>
      </c>
      <c r="F9" s="212" t="b">
        <v>1</v>
      </c>
      <c r="G9" s="216" t="str">
        <f t="shared" si="0"/>
        <v>"C:\Program Files (x86)\AstroGrep\AstroGrep.exe" /e /r /s /spath="%USERPROFILE%\AppData\Local\Temp\OnboardLogs" /stypes="*4041*201703061*" /stext=" 15:.+((SYSTEM_STATE.+slice.+state.+changed )|(ment ac)|(multiple cpu faults)|(system.+state.+changed )|(\[timeout)|(PRM\|1\|D)|(kpr)|(kdp)|(\|lc)|(penalty)|(\|PRM\|1\|D)|(crossing.((167)|(168)|(199)|(200))))"</v>
      </c>
      <c r="H9" s="218" t="str">
        <f t="shared" si="1"/>
        <v>grep -hSE " 15:.+((\|PRM\|1\|D)|(crossing.((167)|(168)|(199)|(200))))" "%USERPROFILE%\AppData\Local\Temp\OnboardLogs"\RTDC4041\*4041*201703061*</v>
      </c>
      <c r="I9" s="214" t="str">
        <f>IF(VLOOKUP(K9,'Train Runs'!$A$13:$V$997,1,TRUE)=K9,VLOOKUP(K9,'Train Runs'!$A$13:$V$997,22,TRUE),NA())</f>
        <v>https://d0f6bd738d7f1b3e5a7ca70fe4ff75f0.us-east-1.aws.found.io/app/kibana#/discover/Steve-Slow-Train-Analysis-(2080s-and-2083s)?_g=(refreshInterval:(display:Off,pause:!f,section:0,value:0),time:(from:'2017-03-20T08:01:41-0600',mode:absolute,to:'2017-03-20T10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9" s="210">
        <f t="shared" si="2"/>
        <v>42800.654861111114</v>
      </c>
      <c r="K9" s="210" t="str">
        <f>D9&amp;"-"&amp;IF(DAY(Variables!$A$2)&lt;10,0,"")&amp;DAY(Variables!$A$2)</f>
        <v>138-20</v>
      </c>
      <c r="L9" s="206">
        <f>IF(VLOOKUP(K9,'Train Runs'!$A$12:$B$997,1,TRUE)=K9,VLOOKUP(K9,'Train Runs'!$A$12:$B$997,2,TRUE),NA())</f>
        <v>4041</v>
      </c>
      <c r="M9" s="206">
        <f>VLOOKUP(B9,Variables!$T$2:$X$99,2,FALSE)</f>
        <v>167</v>
      </c>
      <c r="N9" s="206">
        <f>VLOOKUP(B9,Variables!$T$2:$X$99,3,FALSE)</f>
        <v>168</v>
      </c>
      <c r="O9" s="206">
        <f>VLOOKUP(B9,Variables!$T$2:$X$99,4,FALSE)</f>
        <v>199</v>
      </c>
      <c r="P9" s="206">
        <f>VLOOKUP(B9,Variables!$T$2:$X$99,5,FALSE)</f>
        <v>200</v>
      </c>
      <c r="Q9" s="205" t="str">
        <f t="shared" si="3"/>
        <v>(\|PRM\|1\|D)|(crossing.((167)|(168)|(199)|(200)))</v>
      </c>
    </row>
    <row r="10" spans="1:17" x14ac:dyDescent="0.25">
      <c r="A10" s="201">
        <v>42800.415972222225</v>
      </c>
      <c r="B10" s="208" t="s">
        <v>378</v>
      </c>
      <c r="C10" s="198" t="s">
        <v>380</v>
      </c>
      <c r="D10" s="212">
        <f t="shared" si="4"/>
        <v>140</v>
      </c>
      <c r="E10" s="30" t="s">
        <v>382</v>
      </c>
      <c r="F10" s="212" t="b">
        <v>1</v>
      </c>
      <c r="G10" s="216" t="str">
        <f t="shared" si="0"/>
        <v>"C:\Program Files (x86)\AstroGrep\AstroGrep.exe" /e /r /s /spath="%USERPROFILE%\AppData\Local\Temp\OnboardLogs" /stypes="*4021*201703061*" /stext=" 15:.+((SYSTEM_STATE.+slice.+state.+changed )|(ment ac)|(multiple cpu faults)|(system.+state.+changed )|(\[timeout)|(PRM\|1\|D)|(kpr)|(kdp)|(\|lc)|(penalty)|(\|PRM\|1\|D)|(crossing.((167)|(168)|(199)|(200))))"</v>
      </c>
      <c r="H10" s="218" t="str">
        <f t="shared" si="1"/>
        <v>grep -hSE " 15:.+((\|PRM\|1\|D)|(crossing.((167)|(168)|(199)|(200))))" "%USERPROFILE%\AppData\Local\Temp\OnboardLogs"\RTDC4021\*4021*201703061*</v>
      </c>
      <c r="I10" s="214" t="str">
        <f>IF(VLOOKUP(K10,'Train Runs'!$A$13:$V$997,1,TRUE)=K10,VLOOKUP(K10,'Train Runs'!$A$13:$V$997,22,TRUE),NA())</f>
        <v>https://d0f6bd738d7f1b3e5a7ca70fe4ff75f0.us-east-1.aws.found.io/app/kibana#/discover/Steve-Slow-Train-Analysis-(2080s-and-2083s)?_g=(refreshInterval:(display:Off,pause:!f,section:0,value:0),time:(from:'2017-03-20T08:08:57-0600',mode:absolute,to:'2017-03-20T11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10" s="210">
        <f t="shared" si="2"/>
        <v>42800.665972222225</v>
      </c>
      <c r="K10" s="210" t="str">
        <f>D10&amp;"-"&amp;IF(DAY(Variables!$A$2)&lt;10,0,"")&amp;DAY(Variables!$A$2)</f>
        <v>140-20</v>
      </c>
      <c r="L10" s="206">
        <f>IF(VLOOKUP(K10,'Train Runs'!$A$12:$B$997,1,TRUE)=K10,VLOOKUP(K10,'Train Runs'!$A$12:$B$997,2,TRUE),NA())</f>
        <v>4021</v>
      </c>
      <c r="M10" s="206">
        <f>VLOOKUP(B10,Variables!$T$2:$X$99,2,FALSE)</f>
        <v>167</v>
      </c>
      <c r="N10" s="206">
        <f>VLOOKUP(B10,Variables!$T$2:$X$99,3,FALSE)</f>
        <v>168</v>
      </c>
      <c r="O10" s="206">
        <f>VLOOKUP(B10,Variables!$T$2:$X$99,4,FALSE)</f>
        <v>199</v>
      </c>
      <c r="P10" s="206">
        <f>VLOOKUP(B10,Variables!$T$2:$X$99,5,FALSE)</f>
        <v>200</v>
      </c>
      <c r="Q10" s="205" t="str">
        <f t="shared" si="3"/>
        <v>(\|PRM\|1\|D)|(crossing.((167)|(168)|(199)|(200)))</v>
      </c>
    </row>
    <row r="11" spans="1:17" x14ac:dyDescent="0.25">
      <c r="A11" s="201">
        <v>42800.425000000003</v>
      </c>
      <c r="B11" s="208" t="s">
        <v>378</v>
      </c>
      <c r="C11" s="198" t="s">
        <v>380</v>
      </c>
      <c r="D11" s="212">
        <f t="shared" si="4"/>
        <v>142</v>
      </c>
      <c r="E11" s="30" t="s">
        <v>382</v>
      </c>
      <c r="F11" s="212" t="b">
        <v>1</v>
      </c>
      <c r="G11" s="216" t="str">
        <f t="shared" si="0"/>
        <v>"C:\Program Files (x86)\AstroGrep\AstroGrep.exe" /e /r /s /spath="%USERPROFILE%\AppData\Local\Temp\OnboardLogs" /stypes="*4017*201703061*" /stext=" 16:.+((SYSTEM_STATE.+slice.+state.+changed )|(ment ac)|(multiple cpu faults)|(system.+state.+changed )|(\[timeout)|(PRM\|1\|D)|(kpr)|(kdp)|(\|lc)|(penalty)|(\|PRM\|1\|D)|(crossing.((167)|(168)|(199)|(200))))"</v>
      </c>
      <c r="H11" s="218" t="str">
        <f t="shared" si="1"/>
        <v>grep -hSE " 16:.+((\|PRM\|1\|D)|(crossing.((167)|(168)|(199)|(200))))" "%USERPROFILE%\AppData\Local\Temp\OnboardLogs"\RTDC4017\*4017*201703061*</v>
      </c>
      <c r="I11" s="214" t="str">
        <f>IF(VLOOKUP(K11,'Train Runs'!$A$13:$V$997,1,TRUE)=K11,VLOOKUP(K11,'Train Runs'!$A$13:$V$997,22,TRUE),NA())</f>
        <v>https://d0f6bd738d7f1b3e5a7ca70fe4ff75f0.us-east-1.aws.found.io/app/kibana#/discover/Steve-Slow-Train-Analysis-(2080s-and-2083s)?_g=(refreshInterval:(display:Off,pause:!f,section:0,value:0),time:(from:'2017-03-20T08:23:15-0600',mode:absolute,to:'2017-03-20T11:19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1" s="210">
        <f t="shared" si="2"/>
        <v>42800.675000000003</v>
      </c>
      <c r="K11" s="210" t="str">
        <f>D11&amp;"-"&amp;IF(DAY(Variables!$A$2)&lt;10,0,"")&amp;DAY(Variables!$A$2)</f>
        <v>142-20</v>
      </c>
      <c r="L11" s="206">
        <f>IF(VLOOKUP(K11,'Train Runs'!$A$12:$B$997,1,TRUE)=K11,VLOOKUP(K11,'Train Runs'!$A$12:$B$997,2,TRUE),NA())</f>
        <v>4017</v>
      </c>
      <c r="M11" s="206">
        <f>VLOOKUP(B11,Variables!$T$2:$X$99,2,FALSE)</f>
        <v>167</v>
      </c>
      <c r="N11" s="206">
        <f>VLOOKUP(B11,Variables!$T$2:$X$99,3,FALSE)</f>
        <v>168</v>
      </c>
      <c r="O11" s="206">
        <f>VLOOKUP(B11,Variables!$T$2:$X$99,4,FALSE)</f>
        <v>199</v>
      </c>
      <c r="P11" s="206">
        <f>VLOOKUP(B11,Variables!$T$2:$X$99,5,FALSE)</f>
        <v>200</v>
      </c>
      <c r="Q11" s="205" t="str">
        <f t="shared" si="3"/>
        <v>(\|PRM\|1\|D)|(crossing.((167)|(168)|(199)|(200)))</v>
      </c>
    </row>
    <row r="12" spans="1:17" x14ac:dyDescent="0.25">
      <c r="A12" s="201">
        <v>42800.435416666667</v>
      </c>
      <c r="B12" s="208" t="s">
        <v>378</v>
      </c>
      <c r="C12" s="198" t="s">
        <v>380</v>
      </c>
      <c r="D12" s="212">
        <v>144</v>
      </c>
      <c r="E12" s="30" t="s">
        <v>382</v>
      </c>
      <c r="F12" s="212" t="b">
        <v>1</v>
      </c>
      <c r="G12" s="216" t="str">
        <f t="shared" si="0"/>
        <v>"C:\Program Files (x86)\AstroGrep\AstroGrep.exe" /e /r /s /spath="%USERPROFILE%\AppData\Local\Temp\OnboardLogs" /stypes="*4045*201703061*" /stext=" 16:.+((SYSTEM_STATE.+slice.+state.+changed )|(ment ac)|(multiple cpu faults)|(system.+state.+changed )|(\[timeout)|(PRM\|1\|D)|(kpr)|(kdp)|(\|lc)|(penalty)|(\|PRM\|1\|D)|(crossing.((167)|(168)|(199)|(200))))"</v>
      </c>
      <c r="H12" s="218" t="str">
        <f t="shared" si="1"/>
        <v>grep -hSE " 16:.+((\|PRM\|1\|D)|(crossing.((167)|(168)|(199)|(200))))" "%USERPROFILE%\AppData\Local\Temp\OnboardLogs"\RTDC4045\*4045*201703061*</v>
      </c>
      <c r="I12" s="214" t="str">
        <f>IF(VLOOKUP(K12,'Train Runs'!$A$13:$V$997,1,TRUE)=K12,VLOOKUP(K12,'Train Runs'!$A$13:$V$997,22,TRUE),NA())</f>
        <v>https://d0f6bd738d7f1b3e5a7ca70fe4ff75f0.us-east-1.aws.found.io/app/kibana#/discover/Steve-Slow-Train-Analysis-(2080s-and-2083s)?_g=(refreshInterval:(display:Off,pause:!f,section:0,value:0),time:(from:'2017-03-20T08:46:37-0600',mode:absolute,to:'2017-03-20T11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2" s="210">
        <f t="shared" si="2"/>
        <v>42800.685416666667</v>
      </c>
      <c r="K12" s="210" t="str">
        <f>D12&amp;"-"&amp;IF(DAY(Variables!$A$2)&lt;10,0,"")&amp;DAY(Variables!$A$2)</f>
        <v>144-20</v>
      </c>
      <c r="L12" s="206">
        <f>IF(VLOOKUP(K12,'Train Runs'!$A$12:$B$997,1,TRUE)=K12,VLOOKUP(K12,'Train Runs'!$A$12:$B$997,2,TRUE),NA())</f>
        <v>4045</v>
      </c>
      <c r="M12" s="206">
        <f>VLOOKUP(B12,Variables!$T$2:$X$99,2,FALSE)</f>
        <v>167</v>
      </c>
      <c r="N12" s="206">
        <f>VLOOKUP(B12,Variables!$T$2:$X$99,3,FALSE)</f>
        <v>168</v>
      </c>
      <c r="O12" s="206">
        <f>VLOOKUP(B12,Variables!$T$2:$X$99,4,FALSE)</f>
        <v>199</v>
      </c>
      <c r="P12" s="206">
        <f>VLOOKUP(B12,Variables!$T$2:$X$99,5,FALSE)</f>
        <v>200</v>
      </c>
      <c r="Q12" s="205" t="str">
        <f t="shared" si="3"/>
        <v>(\|PRM\|1\|D)|(crossing.((167)|(168)|(199)|(200)))</v>
      </c>
    </row>
    <row r="13" spans="1:17" x14ac:dyDescent="0.25">
      <c r="A13" s="201">
        <v>42800.445833333331</v>
      </c>
      <c r="B13" s="208" t="s">
        <v>378</v>
      </c>
      <c r="C13" s="198" t="s">
        <v>380</v>
      </c>
      <c r="D13" s="212">
        <v>146</v>
      </c>
      <c r="E13" s="30" t="s">
        <v>382</v>
      </c>
      <c r="F13" s="212" t="b">
        <v>1</v>
      </c>
      <c r="G13" s="216" t="str">
        <f t="shared" si="0"/>
        <v>"C:\Program Files (x86)\AstroGrep\AstroGrep.exe" /e /r /s /spath="%USERPROFILE%\AppData\Local\Temp\OnboardLogs" /stypes="*4026*201703061*" /stext=" 16:.+((SYSTEM_STATE.+slice.+state.+changed )|(ment ac)|(multiple cpu faults)|(system.+state.+changed )|(\[timeout)|(PRM\|1\|D)|(kpr)|(kdp)|(\|lc)|(penalty)|(\|PRM\|1\|D)|(crossing.((167)|(168)|(199)|(200))))"</v>
      </c>
      <c r="H13" s="218" t="str">
        <f t="shared" si="1"/>
        <v>grep -hSE " 16:.+((\|PRM\|1\|D)|(crossing.((167)|(168)|(199)|(200))))" "%USERPROFILE%\AppData\Local\Temp\OnboardLogs"\RTDC4026\*4026*201703061*</v>
      </c>
      <c r="I13" s="214" t="str">
        <f>IF(VLOOKUP(K13,'Train Runs'!$A$13:$V$997,1,TRUE)=K13,VLOOKUP(K13,'Train Runs'!$A$13:$V$997,22,TRUE),NA())</f>
        <v>https://d0f6bd738d7f1b3e5a7ca70fe4ff75f0.us-east-1.aws.found.io/app/kibana#/discover/Steve-Slow-Train-Analysis-(2080s-and-2083s)?_g=(refreshInterval:(display:Off,pause:!f,section:0,value:0),time:(from:'2017-03-20T09:04:42-0600',mode:absolute,to:'2017-03-20T11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13" s="210">
        <f t="shared" si="2"/>
        <v>42800.695833333331</v>
      </c>
      <c r="K13" s="210" t="str">
        <f>D13&amp;"-"&amp;IF(DAY(Variables!$A$2)&lt;10,0,"")&amp;DAY(Variables!$A$2)</f>
        <v>146-20</v>
      </c>
      <c r="L13" s="206">
        <f>IF(VLOOKUP(K13,'Train Runs'!$A$12:$B$997,1,TRUE)=K13,VLOOKUP(K13,'Train Runs'!$A$12:$B$997,2,TRUE),NA())</f>
        <v>4026</v>
      </c>
      <c r="M13" s="206">
        <f>VLOOKUP(B13,Variables!$T$2:$X$99,2,FALSE)</f>
        <v>167</v>
      </c>
      <c r="N13" s="206">
        <f>VLOOKUP(B13,Variables!$T$2:$X$99,3,FALSE)</f>
        <v>168</v>
      </c>
      <c r="O13" s="206">
        <f>VLOOKUP(B13,Variables!$T$2:$X$99,4,FALSE)</f>
        <v>199</v>
      </c>
      <c r="P13" s="206">
        <f>VLOOKUP(B13,Variables!$T$2:$X$99,5,FALSE)</f>
        <v>200</v>
      </c>
      <c r="Q13" s="205" t="str">
        <f t="shared" si="3"/>
        <v>(\|PRM\|1\|D)|(crossing.((167)|(168)|(199)|(200)))</v>
      </c>
    </row>
    <row r="14" spans="1:17" x14ac:dyDescent="0.25">
      <c r="A14" s="201">
        <v>42800.456944444442</v>
      </c>
      <c r="B14" s="208" t="s">
        <v>378</v>
      </c>
      <c r="C14" s="198" t="s">
        <v>380</v>
      </c>
      <c r="D14" s="212">
        <v>148</v>
      </c>
      <c r="E14" s="30" t="s">
        <v>386</v>
      </c>
      <c r="F14" s="212" t="b">
        <v>1</v>
      </c>
      <c r="G14" s="216" t="str">
        <f t="shared" si="0"/>
        <v>"C:\Program Files (x86)\AstroGrep\AstroGrep.exe" /e /r /s /spath="%USERPROFILE%\AppData\Local\Temp\OnboardLogs" /stypes="*4028*201703061*" /stext=" 16:.+((SYSTEM_STATE.+slice.+state.+changed )|(ment ac)|(multiple cpu faults)|(system.+state.+changed )|(\[timeout)|(PRM\|1\|D)|(kpr)|(kdp)|(\|lc)|(penalty)|(\|PRM\|1\|D)|(crossing.((167)|(168)|(199)|(200))))"</v>
      </c>
      <c r="H14" s="218" t="str">
        <f t="shared" si="1"/>
        <v>grep -hSE " 16:.+((\|PRM\|1\|D)|(crossing.((167)|(168)|(199)|(200))))" "%USERPROFILE%\AppData\Local\Temp\OnboardLogs"\RTDC4028\*4028*201703061*</v>
      </c>
      <c r="I14" s="214" t="str">
        <f>IF(VLOOKUP(K14,'Train Runs'!$A$13:$V$997,1,TRUE)=K14,VLOOKUP(K14,'Train Runs'!$A$13:$V$997,22,TRUE),NA())</f>
        <v>https://d0f6bd738d7f1b3e5a7ca70fe4ff75f0.us-east-1.aws.found.io/app/kibana#/discover/Steve-Slow-Train-Analysis-(2080s-and-2083s)?_g=(refreshInterval:(display:Off,pause:!f,section:0,value:0),time:(from:'2017-03-20T09:23:36-0600',mode:absolute,to:'2017-03-20T12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14" s="210">
        <f t="shared" si="2"/>
        <v>42800.706944444442</v>
      </c>
      <c r="K14" s="210" t="str">
        <f>D14&amp;"-"&amp;IF(DAY(Variables!$A$2)&lt;10,0,"")&amp;DAY(Variables!$A$2)</f>
        <v>148-20</v>
      </c>
      <c r="L14" s="206">
        <f>IF(VLOOKUP(K14,'Train Runs'!$A$12:$B$997,1,TRUE)=K14,VLOOKUP(K14,'Train Runs'!$A$12:$B$997,2,TRUE),NA())</f>
        <v>4028</v>
      </c>
      <c r="M14" s="206">
        <f>VLOOKUP(B14,Variables!$T$2:$X$99,2,FALSE)</f>
        <v>167</v>
      </c>
      <c r="N14" s="206">
        <f>VLOOKUP(B14,Variables!$T$2:$X$99,3,FALSE)</f>
        <v>168</v>
      </c>
      <c r="O14" s="206">
        <f>VLOOKUP(B14,Variables!$T$2:$X$99,4,FALSE)</f>
        <v>199</v>
      </c>
      <c r="P14" s="206">
        <f>VLOOKUP(B14,Variables!$T$2:$X$99,5,FALSE)</f>
        <v>200</v>
      </c>
      <c r="Q14" s="205" t="str">
        <f t="shared" si="3"/>
        <v>(\|PRM\|1\|D)|(crossing.((167)|(168)|(199)|(200)))</v>
      </c>
    </row>
    <row r="15" spans="1:17" x14ac:dyDescent="0.25">
      <c r="A15" s="201">
        <v>42800.614583333336</v>
      </c>
      <c r="B15" s="208" t="s">
        <v>378</v>
      </c>
      <c r="C15" s="198" t="s">
        <v>380</v>
      </c>
      <c r="D15" s="212">
        <v>178</v>
      </c>
      <c r="E15" s="30" t="s">
        <v>387</v>
      </c>
      <c r="F15" s="212" t="b">
        <v>1</v>
      </c>
      <c r="G15" s="216" t="str">
        <f t="shared" si="0"/>
        <v>"C:\Program Files (x86)\AstroGrep\AstroGrep.exe" /e /r /s /spath="%USERPROFILE%\AppData\Local\Temp\OnboardLogs" /stypes="*4004*201703062*" /stext=" 20:.+((SYSTEM_STATE.+slice.+state.+changed )|(ment ac)|(multiple cpu faults)|(system.+state.+changed )|(\[timeout)|(PRM\|1\|D)|(kpr)|(kdp)|(\|lc)|(penalty)|(\|PRM\|1\|D)|(crossing.((167)|(168)|(199)|(200))))"</v>
      </c>
      <c r="H15" s="218" t="str">
        <f t="shared" si="1"/>
        <v>grep -hSE " 20:.+((\|PRM\|1\|D)|(crossing.((167)|(168)|(199)|(200))))" "%USERPROFILE%\AppData\Local\Temp\OnboardLogs"\RTDC4004\*4004*201703062*</v>
      </c>
      <c r="I15" s="214" t="str">
        <f>IF(VLOOKUP(K15,'Train Runs'!$A$13:$V$997,1,TRUE)=K15,VLOOKUP(K15,'Train Runs'!$A$13:$V$997,22,TRUE),NA())</f>
        <v>https://d0f6bd738d7f1b3e5a7ca70fe4ff75f0.us-east-1.aws.found.io/app/kibana#/discover/Steve-Slow-Train-Analysis-(2080s-and-2083s)?_g=(refreshInterval:(display:Off,pause:!f,section:0,value:0),time:(from:'2017-03-20T13:06:06-0600',mode:absolute,to:'2017-03-20T15:56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15" s="210">
        <f t="shared" si="2"/>
        <v>42800.864583333336</v>
      </c>
      <c r="K15" s="210" t="str">
        <f>D15&amp;"-"&amp;IF(DAY(Variables!$A$2)&lt;10,0,"")&amp;DAY(Variables!$A$2)</f>
        <v>178-20</v>
      </c>
      <c r="L15" s="206">
        <f>IF(VLOOKUP(K15,'Train Runs'!$A$12:$B$997,1,TRUE)=K15,VLOOKUP(K15,'Train Runs'!$A$12:$B$997,2,TRUE),NA())</f>
        <v>4004</v>
      </c>
      <c r="M15" s="206">
        <f>VLOOKUP(B15,Variables!$T$2:$X$99,2,FALSE)</f>
        <v>167</v>
      </c>
      <c r="N15" s="206">
        <f>VLOOKUP(B15,Variables!$T$2:$X$99,3,FALSE)</f>
        <v>168</v>
      </c>
      <c r="O15" s="206">
        <f>VLOOKUP(B15,Variables!$T$2:$X$99,4,FALSE)</f>
        <v>199</v>
      </c>
      <c r="P15" s="206">
        <f>VLOOKUP(B15,Variables!$T$2:$X$99,5,FALSE)</f>
        <v>200</v>
      </c>
      <c r="Q15" s="205" t="str">
        <f t="shared" si="3"/>
        <v>(\|PRM\|1\|D)|(crossing.((167)|(168)|(199)|(200)))</v>
      </c>
    </row>
    <row r="16" spans="1:17" x14ac:dyDescent="0.25">
      <c r="A16" s="201">
        <v>42800.699305555558</v>
      </c>
      <c r="B16" s="208" t="s">
        <v>378</v>
      </c>
      <c r="C16" s="198" t="s">
        <v>380</v>
      </c>
      <c r="D16" s="212">
        <v>194</v>
      </c>
      <c r="E16" s="30" t="s">
        <v>387</v>
      </c>
      <c r="F16" s="212" t="b">
        <v>1</v>
      </c>
      <c r="G16" s="216" t="str">
        <f t="shared" si="0"/>
        <v>"C:\Program Files (x86)\AstroGrep\AstroGrep.exe" /e /r /s /spath="%USERPROFILE%\AppData\Local\Temp\OnboardLogs" /stypes="*4041*201703062*" /stext=" 22:.+((SYSTEM_STATE.+slice.+state.+changed )|(ment ac)|(multiple cpu faults)|(system.+state.+changed )|(\[timeout)|(PRM\|1\|D)|(kpr)|(kdp)|(\|lc)|(penalty)|(\|PRM\|1\|D)|(crossing.((167)|(168)|(199)|(200))))"</v>
      </c>
      <c r="H16" s="218" t="str">
        <f t="shared" si="1"/>
        <v>grep -hSE " 22:.+((\|PRM\|1\|D)|(crossing.((167)|(168)|(199)|(200))))" "%USERPROFILE%\AppData\Local\Temp\OnboardLogs"\RTDC4041\*4041*201703062*</v>
      </c>
      <c r="I16" s="214" t="str">
        <f>IF(VLOOKUP(K16,'Train Runs'!$A$13:$V$997,1,TRUE)=K16,VLOOKUP(K16,'Train Runs'!$A$13:$V$997,22,TRUE),NA())</f>
        <v>https://d0f6bd738d7f1b3e5a7ca70fe4ff75f0.us-east-1.aws.found.io/app/kibana#/discover/Steve-Slow-Train-Analysis-(2080s-and-2083s)?_g=(refreshInterval:(display:Off,pause:!f,section:0,value:0),time:(from:'2017-03-20T15:06:14-0600',mode:absolute,to:'2017-03-20T17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6" s="210">
        <f t="shared" si="2"/>
        <v>42800.949305555558</v>
      </c>
      <c r="K16" s="210" t="str">
        <f>D16&amp;"-"&amp;IF(DAY(Variables!$A$2)&lt;10,0,"")&amp;DAY(Variables!$A$2)</f>
        <v>194-20</v>
      </c>
      <c r="L16" s="206">
        <f>IF(VLOOKUP(K16,'Train Runs'!$A$12:$B$997,1,TRUE)=K16,VLOOKUP(K16,'Train Runs'!$A$12:$B$997,2,TRUE),NA())</f>
        <v>4041</v>
      </c>
      <c r="M16" s="206">
        <f>VLOOKUP(B16,Variables!$T$2:$X$99,2,FALSE)</f>
        <v>167</v>
      </c>
      <c r="N16" s="206">
        <f>VLOOKUP(B16,Variables!$T$2:$X$99,3,FALSE)</f>
        <v>168</v>
      </c>
      <c r="O16" s="206">
        <f>VLOOKUP(B16,Variables!$T$2:$X$99,4,FALSE)</f>
        <v>199</v>
      </c>
      <c r="P16" s="206">
        <f>VLOOKUP(B16,Variables!$T$2:$X$99,5,FALSE)</f>
        <v>200</v>
      </c>
      <c r="Q16" s="205" t="str">
        <f t="shared" si="3"/>
        <v>(\|PRM\|1\|D)|(crossing.((167)|(168)|(199)|(200)))</v>
      </c>
    </row>
    <row r="17" spans="1:17" x14ac:dyDescent="0.25">
      <c r="A17" s="201">
        <v>42800.771527777775</v>
      </c>
      <c r="B17" s="208" t="s">
        <v>378</v>
      </c>
      <c r="C17" s="198" t="s">
        <v>380</v>
      </c>
      <c r="D17" s="212">
        <v>206</v>
      </c>
      <c r="E17" s="30" t="s">
        <v>382</v>
      </c>
      <c r="F17" s="212" t="b">
        <v>1</v>
      </c>
      <c r="G17" s="216" t="str">
        <f t="shared" si="0"/>
        <v>"C:\Program Files (x86)\AstroGrep\AstroGrep.exe" /e /r /s /spath="%USERPROFILE%\AppData\Local\Temp\OnboardLogs" /stypes="*4004*201703070*" /stext=" 00:.+((SYSTEM_STATE.+slice.+state.+changed )|(ment ac)|(multiple cpu faults)|(system.+state.+changed )|(\[timeout)|(PRM\|1\|D)|(kpr)|(kdp)|(\|lc)|(penalty)|(\|PRM\|1\|D)|(crossing.((167)|(168)|(199)|(200))))"</v>
      </c>
      <c r="H17" s="218" t="str">
        <f t="shared" si="1"/>
        <v>grep -hSE " 00:.+((\|PRM\|1\|D)|(crossing.((167)|(168)|(199)|(200))))" "%USERPROFILE%\AppData\Local\Temp\OnboardLogs"\RTDC4004\*4004*201703070*</v>
      </c>
      <c r="I17" s="214" t="str">
        <f>IF(VLOOKUP(K17,'Train Runs'!$A$13:$V$997,1,TRUE)=K17,VLOOKUP(K17,'Train Runs'!$A$13:$V$997,22,TRUE),NA())</f>
        <v>https://d0f6bd738d7f1b3e5a7ca70fe4ff75f0.us-east-1.aws.found.io/app/kibana#/discover/Steve-Slow-Train-Analysis-(2080s-and-2083s)?_g=(refreshInterval:(display:Off,pause:!f,section:0,value:0),time:(from:'2017-03-20T16:36:48-0600',mode:absolute,to:'2017-03-20T19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17" s="210">
        <f t="shared" si="2"/>
        <v>42801.021527777775</v>
      </c>
      <c r="K17" s="210" t="str">
        <f>D17&amp;"-"&amp;IF(DAY(Variables!$A$2)&lt;10,0,"")&amp;DAY(Variables!$A$2)</f>
        <v>206-20</v>
      </c>
      <c r="L17" s="206">
        <f>IF(VLOOKUP(K17,'Train Runs'!$A$12:$B$997,1,TRUE)=K17,VLOOKUP(K17,'Train Runs'!$A$12:$B$997,2,TRUE),NA())</f>
        <v>4004</v>
      </c>
      <c r="M17" s="206">
        <f>VLOOKUP(B17,Variables!$T$2:$X$99,2,FALSE)</f>
        <v>167</v>
      </c>
      <c r="N17" s="206">
        <f>VLOOKUP(B17,Variables!$T$2:$X$99,3,FALSE)</f>
        <v>168</v>
      </c>
      <c r="O17" s="206">
        <f>VLOOKUP(B17,Variables!$T$2:$X$99,4,FALSE)</f>
        <v>199</v>
      </c>
      <c r="P17" s="206">
        <f>VLOOKUP(B17,Variables!$T$2:$X$99,5,FALSE)</f>
        <v>200</v>
      </c>
      <c r="Q17" s="205" t="str">
        <f t="shared" si="3"/>
        <v>(\|PRM\|1\|D)|(crossing.((167)|(168)|(199)|(200)))</v>
      </c>
    </row>
    <row r="18" spans="1:17" x14ac:dyDescent="0.25">
      <c r="A18" s="201">
        <v>42800.784722222219</v>
      </c>
      <c r="B18" s="208" t="s">
        <v>378</v>
      </c>
      <c r="C18" s="198" t="s">
        <v>380</v>
      </c>
      <c r="D18" s="212">
        <v>210</v>
      </c>
      <c r="E18" s="30" t="s">
        <v>382</v>
      </c>
      <c r="F18" s="212" t="b">
        <v>1</v>
      </c>
      <c r="G18" s="216" t="str">
        <f t="shared" si="0"/>
        <v>"C:\Program Files (x86)\AstroGrep\AstroGrep.exe" /e /r /s /spath="%USERPROFILE%\AppData\Local\Temp\OnboardLogs" /stypes="*4021*201703070*" /stext=" 00:.+((SYSTEM_STATE.+slice.+state.+changed )|(ment ac)|(multiple cpu faults)|(system.+state.+changed )|(\[timeout)|(PRM\|1\|D)|(kpr)|(kdp)|(\|lc)|(penalty)|(\|PRM\|1\|D)|(crossing.((167)|(168)|(199)|(200))))"</v>
      </c>
      <c r="H18" s="218" t="str">
        <f t="shared" si="1"/>
        <v>grep -hSE " 00:.+((\|PRM\|1\|D)|(crossing.((167)|(168)|(199)|(200))))" "%USERPROFILE%\AppData\Local\Temp\OnboardLogs"\RTDC4021\*4021*201703070*</v>
      </c>
      <c r="I18" s="214" t="str">
        <f>IF(VLOOKUP(K18,'Train Runs'!$A$13:$V$997,1,TRUE)=K18,VLOOKUP(K18,'Train Runs'!$A$13:$V$997,22,TRUE),NA())</f>
        <v>https://d0f6bd738d7f1b3e5a7ca70fe4ff75f0.us-east-1.aws.found.io/app/kibana#/discover/Steve-Slow-Train-Analysis-(2080s-and-2083s)?_g=(refreshInterval:(display:Off,pause:!f,section:0,value:0),time:(from:'2017-03-20T17:09:31-0600',mode:absolute,to:'2017-03-20T19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18" s="210">
        <f t="shared" si="2"/>
        <v>42801.034722222219</v>
      </c>
      <c r="K18" s="210" t="str">
        <f>D18&amp;"-"&amp;IF(DAY(Variables!$A$2)&lt;10,0,"")&amp;DAY(Variables!$A$2)</f>
        <v>210-20</v>
      </c>
      <c r="L18" s="206">
        <f>IF(VLOOKUP(K18,'Train Runs'!$A$12:$B$997,1,TRUE)=K18,VLOOKUP(K18,'Train Runs'!$A$12:$B$997,2,TRUE),NA())</f>
        <v>4021</v>
      </c>
      <c r="M18" s="206">
        <f>VLOOKUP(B18,Variables!$T$2:$X$99,2,FALSE)</f>
        <v>167</v>
      </c>
      <c r="N18" s="206">
        <f>VLOOKUP(B18,Variables!$T$2:$X$99,3,FALSE)</f>
        <v>168</v>
      </c>
      <c r="O18" s="206">
        <f>VLOOKUP(B18,Variables!$T$2:$X$99,4,FALSE)</f>
        <v>199</v>
      </c>
      <c r="P18" s="206">
        <f>VLOOKUP(B18,Variables!$T$2:$X$99,5,FALSE)</f>
        <v>200</v>
      </c>
      <c r="Q18" s="205" t="str">
        <f t="shared" si="3"/>
        <v>(\|PRM\|1\|D)|(crossing.((167)|(168)|(199)|(200)))</v>
      </c>
    </row>
    <row r="19" spans="1:17" x14ac:dyDescent="0.25">
      <c r="A19" s="201">
        <v>42800.790277777778</v>
      </c>
      <c r="B19" s="208" t="s">
        <v>378</v>
      </c>
      <c r="C19" s="198" t="s">
        <v>380</v>
      </c>
      <c r="D19" s="212">
        <f>D18+2</f>
        <v>212</v>
      </c>
      <c r="E19" s="30" t="s">
        <v>382</v>
      </c>
      <c r="F19" s="212" t="b">
        <v>1</v>
      </c>
      <c r="G19" s="216" t="str">
        <f t="shared" si="0"/>
        <v>"C:\Program Files (x86)\AstroGrep\AstroGrep.exe" /e /r /s /spath="%USERPROFILE%\AppData\Local\Temp\OnboardLogs" /stypes="*4017*201703070*" /stext=" 00:.+((SYSTEM_STATE.+slice.+state.+changed )|(ment ac)|(multiple cpu faults)|(system.+state.+changed )|(\[timeout)|(PRM\|1\|D)|(kpr)|(kdp)|(\|lc)|(penalty)|(\|PRM\|1\|D)|(crossing.((167)|(168)|(199)|(200))))"</v>
      </c>
      <c r="H19" s="218" t="str">
        <f t="shared" si="1"/>
        <v>grep -hSE " 00:.+((\|PRM\|1\|D)|(crossing.((167)|(168)|(199)|(200))))" "%USERPROFILE%\AppData\Local\Temp\OnboardLogs"\RTDC4017\*4017*201703070*</v>
      </c>
      <c r="I19" s="214" t="str">
        <f>IF(VLOOKUP(K19,'Train Runs'!$A$13:$V$997,1,TRUE)=K19,VLOOKUP(K19,'Train Runs'!$A$13:$V$997,22,TRUE),NA())</f>
        <v>https://d0f6bd738d7f1b3e5a7ca70fe4ff75f0.us-east-1.aws.found.io/app/kibana#/discover/Steve-Slow-Train-Analysis-(2080s-and-2083s)?_g=(refreshInterval:(display:Off,pause:!f,section:0,value:0),time:(from:'2017-03-20T17:21:56-0600',mode:absolute,to:'2017-03-20T20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9" s="210">
        <f t="shared" si="2"/>
        <v>42801.040277777778</v>
      </c>
      <c r="K19" s="210" t="str">
        <f>D19&amp;"-"&amp;IF(DAY(Variables!$A$2)&lt;10,0,"")&amp;DAY(Variables!$A$2)</f>
        <v>212-20</v>
      </c>
      <c r="L19" s="206">
        <f>IF(VLOOKUP(K19,'Train Runs'!$A$12:$B$997,1,TRUE)=K19,VLOOKUP(K19,'Train Runs'!$A$12:$B$997,2,TRUE),NA())</f>
        <v>4017</v>
      </c>
      <c r="M19" s="206">
        <f>VLOOKUP(B19,Variables!$T$2:$X$99,2,FALSE)</f>
        <v>167</v>
      </c>
      <c r="N19" s="206">
        <f>VLOOKUP(B19,Variables!$T$2:$X$99,3,FALSE)</f>
        <v>168</v>
      </c>
      <c r="O19" s="206">
        <f>VLOOKUP(B19,Variables!$T$2:$X$99,4,FALSE)</f>
        <v>199</v>
      </c>
      <c r="P19" s="206">
        <f>VLOOKUP(B19,Variables!$T$2:$X$99,5,FALSE)</f>
        <v>200</v>
      </c>
      <c r="Q19" s="205" t="str">
        <f t="shared" si="3"/>
        <v>(\|PRM\|1\|D)|(crossing.((167)|(168)|(199)|(200)))</v>
      </c>
    </row>
    <row r="20" spans="1:17" x14ac:dyDescent="0.25">
      <c r="A20" s="201">
        <v>42800.803472222222</v>
      </c>
      <c r="B20" s="208" t="s">
        <v>378</v>
      </c>
      <c r="C20" s="198" t="s">
        <v>380</v>
      </c>
      <c r="D20" s="212">
        <v>214</v>
      </c>
      <c r="E20" s="30" t="s">
        <v>382</v>
      </c>
      <c r="F20" s="212" t="b">
        <v>1</v>
      </c>
      <c r="G20" s="216" t="str">
        <f t="shared" si="0"/>
        <v>"C:\Program Files (x86)\AstroGrep\AstroGrep.exe" /e /r /s /spath="%USERPROFILE%\AppData\Local\Temp\OnboardLogs" /stypes="*4045*201703070*" /stext=" 01:.+((SYSTEM_STATE.+slice.+state.+changed )|(ment ac)|(multiple cpu faults)|(system.+state.+changed )|(\[timeout)|(PRM\|1\|D)|(kpr)|(kdp)|(\|lc)|(penalty)|(\|PRM\|1\|D)|(crossing.((167)|(168)|(199)|(200))))"</v>
      </c>
      <c r="H20" s="218" t="str">
        <f t="shared" si="1"/>
        <v>grep -hSE " 01:.+((\|PRM\|1\|D)|(crossing.((167)|(168)|(199)|(200))))" "%USERPROFILE%\AppData\Local\Temp\OnboardLogs"\RTDC4045\*4045*201703070*</v>
      </c>
      <c r="I20" s="214" t="str">
        <f>IF(VLOOKUP(K20,'Train Runs'!$A$13:$V$997,1,TRUE)=K20,VLOOKUP(K20,'Train Runs'!$A$13:$V$997,22,TRUE),NA())</f>
        <v>https://d0f6bd738d7f1b3e5a7ca70fe4ff75f0.us-east-1.aws.found.io/app/kibana#/discover/Steve-Slow-Train-Analysis-(2080s-and-2083s)?_g=(refreshInterval:(display:Off,pause:!f,section:0,value:0),time:(from:'2017-03-20T17:32:11-0600',mode:absolute,to:'2017-03-20T20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0" s="210">
        <f t="shared" si="2"/>
        <v>42801.053472222222</v>
      </c>
      <c r="K20" s="210" t="str">
        <f>D20&amp;"-"&amp;IF(DAY(Variables!$A$2)&lt;10,0,"")&amp;DAY(Variables!$A$2)</f>
        <v>214-20</v>
      </c>
      <c r="L20" s="206">
        <f>IF(VLOOKUP(K20,'Train Runs'!$A$12:$B$997,1,TRUE)=K20,VLOOKUP(K20,'Train Runs'!$A$12:$B$997,2,TRUE),NA())</f>
        <v>4045</v>
      </c>
      <c r="M20" s="206">
        <f>VLOOKUP(B20,Variables!$T$2:$X$99,2,FALSE)</f>
        <v>167</v>
      </c>
      <c r="N20" s="206">
        <f>VLOOKUP(B20,Variables!$T$2:$X$99,3,FALSE)</f>
        <v>168</v>
      </c>
      <c r="O20" s="206">
        <f>VLOOKUP(B20,Variables!$T$2:$X$99,4,FALSE)</f>
        <v>199</v>
      </c>
      <c r="P20" s="206">
        <f>VLOOKUP(B20,Variables!$T$2:$X$99,5,FALSE)</f>
        <v>200</v>
      </c>
      <c r="Q20" s="205" t="str">
        <f t="shared" si="3"/>
        <v>(\|PRM\|1\|D)|(crossing.((167)|(168)|(199)|(200)))</v>
      </c>
    </row>
    <row r="21" spans="1:17" x14ac:dyDescent="0.25">
      <c r="A21" s="201">
        <v>42800.819444444445</v>
      </c>
      <c r="B21" s="208" t="s">
        <v>378</v>
      </c>
      <c r="C21" s="198" t="s">
        <v>380</v>
      </c>
      <c r="D21" s="212">
        <v>216</v>
      </c>
      <c r="E21" s="30" t="s">
        <v>382</v>
      </c>
      <c r="F21" s="212" t="b">
        <v>1</v>
      </c>
      <c r="G21" s="216" t="str">
        <f t="shared" si="0"/>
        <v>"C:\Program Files (x86)\AstroGrep\AstroGrep.exe" /e /r /s /spath="%USERPROFILE%\AppData\Local\Temp\OnboardLogs" /stypes="*4026*201703070*" /stext=" 01:.+((SYSTEM_STATE.+slice.+state.+changed )|(ment ac)|(multiple cpu faults)|(system.+state.+changed )|(\[timeout)|(PRM\|1\|D)|(kpr)|(kdp)|(\|lc)|(penalty)|(\|PRM\|1\|D)|(crossing.((167)|(168)|(199)|(200))))"</v>
      </c>
      <c r="H21" s="218" t="str">
        <f t="shared" si="1"/>
        <v>grep -hSE " 01:.+((\|PRM\|1\|D)|(crossing.((167)|(168)|(199)|(200))))" "%USERPROFILE%\AppData\Local\Temp\OnboardLogs"\RTDC4026\*4026*201703070*</v>
      </c>
      <c r="I21" s="214" t="str">
        <f>IF(VLOOKUP(K21,'Train Runs'!$A$13:$V$997,1,TRUE)=K21,VLOOKUP(K21,'Train Runs'!$A$13:$V$997,22,TRUE),NA())</f>
        <v>https://d0f6bd738d7f1b3e5a7ca70fe4ff75f0.us-east-1.aws.found.io/app/kibana#/discover/Steve-Slow-Train-Analysis-(2080s-and-2083s)?_g=(refreshInterval:(display:Off,pause:!f,section:0,value:0),time:(from:'2017-03-20T17:46:17-0600',mode:absolute,to:'2017-03-20T20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21" s="210">
        <f t="shared" si="2"/>
        <v>42801.069444444445</v>
      </c>
      <c r="K21" s="210" t="str">
        <f>D21&amp;"-"&amp;IF(DAY(Variables!$A$2)&lt;10,0,"")&amp;DAY(Variables!$A$2)</f>
        <v>216-20</v>
      </c>
      <c r="L21" s="206">
        <f>IF(VLOOKUP(K21,'Train Runs'!$A$12:$B$997,1,TRUE)=K21,VLOOKUP(K21,'Train Runs'!$A$12:$B$997,2,TRUE),NA())</f>
        <v>4026</v>
      </c>
      <c r="M21" s="206">
        <f>VLOOKUP(B21,Variables!$T$2:$X$99,2,FALSE)</f>
        <v>167</v>
      </c>
      <c r="N21" s="206">
        <f>VLOOKUP(B21,Variables!$T$2:$X$99,3,FALSE)</f>
        <v>168</v>
      </c>
      <c r="O21" s="206">
        <f>VLOOKUP(B21,Variables!$T$2:$X$99,4,FALSE)</f>
        <v>199</v>
      </c>
      <c r="P21" s="206">
        <f>VLOOKUP(B21,Variables!$T$2:$X$99,5,FALSE)</f>
        <v>200</v>
      </c>
      <c r="Q21" s="205" t="str">
        <f t="shared" si="3"/>
        <v>(\|PRM\|1\|D)|(crossing.((167)|(168)|(199)|(200)))</v>
      </c>
    </row>
    <row r="22" spans="1:17" x14ac:dyDescent="0.25">
      <c r="A22" s="201">
        <v>42800.828472222223</v>
      </c>
      <c r="B22" s="208" t="s">
        <v>378</v>
      </c>
      <c r="C22" s="198" t="s">
        <v>380</v>
      </c>
      <c r="D22" s="212">
        <f>D21+2</f>
        <v>218</v>
      </c>
      <c r="E22" s="30" t="s">
        <v>382</v>
      </c>
      <c r="F22" s="212" t="b">
        <v>1</v>
      </c>
      <c r="G22" s="216" t="str">
        <f t="shared" si="0"/>
        <v>"C:\Program Files (x86)\AstroGrep\AstroGrep.exe" /e /r /s /spath="%USERPROFILE%\AppData\Local\Temp\OnboardLogs" /stypes="*4028*201703070*" /stext=" 01:.+((SYSTEM_STATE.+slice.+state.+changed )|(ment ac)|(multiple cpu faults)|(system.+state.+changed )|(\[timeout)|(PRM\|1\|D)|(kpr)|(kdp)|(\|lc)|(penalty)|(\|PRM\|1\|D)|(crossing.((167)|(168)|(199)|(200))))"</v>
      </c>
      <c r="H22" s="218" t="str">
        <f t="shared" si="1"/>
        <v>grep -hSE " 01:.+((\|PRM\|1\|D)|(crossing.((167)|(168)|(199)|(200))))" "%USERPROFILE%\AppData\Local\Temp\OnboardLogs"\RTDC4028\*4028*201703070*</v>
      </c>
      <c r="I22" s="214" t="str">
        <f>IF(VLOOKUP(K22,'Train Runs'!$A$13:$V$997,1,TRUE)=K22,VLOOKUP(K22,'Train Runs'!$A$13:$V$997,22,TRUE),NA())</f>
        <v>https://d0f6bd738d7f1b3e5a7ca70fe4ff75f0.us-east-1.aws.found.io/app/kibana#/discover/Steve-Slow-Train-Analysis-(2080s-and-2083s)?_g=(refreshInterval:(display:Off,pause:!f,section:0,value:0),time:(from:'2017-03-20T18:07:26-0600',mode:absolute,to:'2017-03-20T20:48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22" s="210">
        <f t="shared" si="2"/>
        <v>42801.078472222223</v>
      </c>
      <c r="K22" s="210" t="str">
        <f>D22&amp;"-"&amp;IF(DAY(Variables!$A$2)&lt;10,0,"")&amp;DAY(Variables!$A$2)</f>
        <v>218-20</v>
      </c>
      <c r="L22" s="206">
        <f>IF(VLOOKUP(K22,'Train Runs'!$A$12:$B$997,1,TRUE)=K22,VLOOKUP(K22,'Train Runs'!$A$12:$B$997,2,TRUE),NA())</f>
        <v>4028</v>
      </c>
      <c r="M22" s="206">
        <f>VLOOKUP(B22,Variables!$T$2:$X$99,2,FALSE)</f>
        <v>167</v>
      </c>
      <c r="N22" s="206">
        <f>VLOOKUP(B22,Variables!$T$2:$X$99,3,FALSE)</f>
        <v>168</v>
      </c>
      <c r="O22" s="206">
        <f>VLOOKUP(B22,Variables!$T$2:$X$99,4,FALSE)</f>
        <v>199</v>
      </c>
      <c r="P22" s="206">
        <f>VLOOKUP(B22,Variables!$T$2:$X$99,5,FALSE)</f>
        <v>200</v>
      </c>
      <c r="Q22" s="205" t="str">
        <f t="shared" si="3"/>
        <v>(\|PRM\|1\|D)|(crossing.((167)|(168)|(199)|(200)))</v>
      </c>
    </row>
    <row r="23" spans="1:17" x14ac:dyDescent="0.25">
      <c r="A23" s="201">
        <v>42800.835416666669</v>
      </c>
      <c r="B23" s="208" t="s">
        <v>378</v>
      </c>
      <c r="C23" s="198" t="s">
        <v>380</v>
      </c>
      <c r="D23" s="212">
        <f>D22+2</f>
        <v>220</v>
      </c>
      <c r="E23" s="30" t="s">
        <v>382</v>
      </c>
      <c r="F23" s="212" t="b">
        <v>1</v>
      </c>
      <c r="G23" s="216" t="str">
        <f t="shared" si="0"/>
        <v>"C:\Program Files (x86)\AstroGrep\AstroGrep.exe" /e /r /s /spath="%USERPROFILE%\AppData\Local\Temp\OnboardLogs" /stypes="*4004*201703070*" /stext=" 02:.+((SYSTEM_STATE.+slice.+state.+changed )|(ment ac)|(multiple cpu faults)|(system.+state.+changed )|(\[timeout)|(PRM\|1\|D)|(kpr)|(kdp)|(\|lc)|(penalty)|(\|PRM\|1\|D)|(crossing.((167)|(168)|(199)|(200))))"</v>
      </c>
      <c r="H23" s="218" t="str">
        <f t="shared" si="1"/>
        <v>grep -hSE " 02:.+((\|PRM\|1\|D)|(crossing.((167)|(168)|(199)|(200))))" "%USERPROFILE%\AppData\Local\Temp\OnboardLogs"\RTDC4004\*4004*201703070*</v>
      </c>
      <c r="I23" s="214" t="str">
        <f>IF(VLOOKUP(K23,'Train Runs'!$A$13:$V$997,1,TRUE)=K23,VLOOKUP(K23,'Train Runs'!$A$13:$V$997,22,TRUE),NA())</f>
        <v>https://d0f6bd738d7f1b3e5a7ca70fe4ff75f0.us-east-1.aws.found.io/app/kibana#/discover/Steve-Slow-Train-Analysis-(2080s-and-2083s)?_g=(refreshInterval:(display:Off,pause:!f,section:0,value:0),time:(from:'2017-03-20T18:23:49-0600',mode:absolute,to:'2017-03-20T21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23" s="210">
        <f t="shared" si="2"/>
        <v>42801.085416666669</v>
      </c>
      <c r="K23" s="210" t="str">
        <f>D23&amp;"-"&amp;IF(DAY(Variables!$A$2)&lt;10,0,"")&amp;DAY(Variables!$A$2)</f>
        <v>220-20</v>
      </c>
      <c r="L23" s="206">
        <f>IF(VLOOKUP(K23,'Train Runs'!$A$12:$B$997,1,TRUE)=K23,VLOOKUP(K23,'Train Runs'!$A$12:$B$997,2,TRUE),NA())</f>
        <v>4004</v>
      </c>
      <c r="M23" s="206">
        <f>VLOOKUP(B23,Variables!$T$2:$X$99,2,FALSE)</f>
        <v>167</v>
      </c>
      <c r="N23" s="206">
        <f>VLOOKUP(B23,Variables!$T$2:$X$99,3,FALSE)</f>
        <v>168</v>
      </c>
      <c r="O23" s="206">
        <f>VLOOKUP(B23,Variables!$T$2:$X$99,4,FALSE)</f>
        <v>199</v>
      </c>
      <c r="P23" s="206">
        <f>VLOOKUP(B23,Variables!$T$2:$X$99,5,FALSE)</f>
        <v>200</v>
      </c>
      <c r="Q23" s="205" t="str">
        <f t="shared" si="3"/>
        <v>(\|PRM\|1\|D)|(crossing.((167)|(168)|(199)|(200)))</v>
      </c>
    </row>
    <row r="24" spans="1:17" x14ac:dyDescent="0.25">
      <c r="A24" s="201">
        <v>42800.854166666664</v>
      </c>
      <c r="B24" s="208" t="s">
        <v>378</v>
      </c>
      <c r="C24" s="198" t="s">
        <v>380</v>
      </c>
      <c r="D24" s="212">
        <f>D23+2</f>
        <v>222</v>
      </c>
      <c r="E24" s="30" t="s">
        <v>382</v>
      </c>
      <c r="F24" s="212" t="b">
        <v>1</v>
      </c>
      <c r="G24" s="216" t="str">
        <f t="shared" si="0"/>
        <v>"C:\Program Files (x86)\AstroGrep\AstroGrep.exe" /e /r /s /spath="%USERPROFILE%\AppData\Local\Temp\OnboardLogs" /stypes="*4021*201703070*" /stext=" 02:.+((SYSTEM_STATE.+slice.+state.+changed )|(ment ac)|(multiple cpu faults)|(system.+state.+changed )|(\[timeout)|(PRM\|1\|D)|(kpr)|(kdp)|(\|lc)|(penalty)|(\|PRM\|1\|D)|(crossing.((167)|(168)|(199)|(200))))"</v>
      </c>
      <c r="H24" s="218" t="str">
        <f t="shared" si="1"/>
        <v>grep -hSE " 02:.+((\|PRM\|1\|D)|(crossing.((167)|(168)|(199)|(200))))" "%USERPROFILE%\AppData\Local\Temp\OnboardLogs"\RTDC4021\*4021*201703070*</v>
      </c>
      <c r="I24" s="214" t="str">
        <f>IF(VLOOKUP(K24,'Train Runs'!$A$13:$V$997,1,TRUE)=K24,VLOOKUP(K24,'Train Runs'!$A$13:$V$997,22,TRUE),NA())</f>
        <v>https://d0f6bd738d7f1b3e5a7ca70fe4ff75f0.us-east-1.aws.found.io/app/kibana#/discover/Steve-Slow-Train-Analysis-(2080s-and-2083s)?_g=(refreshInterval:(display:Off,pause:!f,section:0,value:0),time:(from:'2017-03-20T18:53:16-0600',mode:absolute,to:'2017-03-20T21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24" s="210">
        <f t="shared" si="2"/>
        <v>42801.104166666664</v>
      </c>
      <c r="K24" s="210" t="str">
        <f>D24&amp;"-"&amp;IF(DAY(Variables!$A$2)&lt;10,0,"")&amp;DAY(Variables!$A$2)</f>
        <v>222-20</v>
      </c>
      <c r="L24" s="206">
        <f>IF(VLOOKUP(K24,'Train Runs'!$A$12:$B$997,1,TRUE)=K24,VLOOKUP(K24,'Train Runs'!$A$12:$B$997,2,TRUE),NA())</f>
        <v>4021</v>
      </c>
      <c r="M24" s="206">
        <f>VLOOKUP(B24,Variables!$T$2:$X$99,2,FALSE)</f>
        <v>167</v>
      </c>
      <c r="N24" s="206">
        <f>VLOOKUP(B24,Variables!$T$2:$X$99,3,FALSE)</f>
        <v>168</v>
      </c>
      <c r="O24" s="206">
        <f>VLOOKUP(B24,Variables!$T$2:$X$99,4,FALSE)</f>
        <v>199</v>
      </c>
      <c r="P24" s="206">
        <f>VLOOKUP(B24,Variables!$T$2:$X$99,5,FALSE)</f>
        <v>200</v>
      </c>
      <c r="Q24" s="205" t="str">
        <f t="shared" si="3"/>
        <v>(\|PRM\|1\|D)|(crossing.((167)|(168)|(199)|(200)))</v>
      </c>
    </row>
    <row r="25" spans="1:17" x14ac:dyDescent="0.25">
      <c r="A25" s="201">
        <v>42800.872916666667</v>
      </c>
      <c r="B25" s="208" t="s">
        <v>378</v>
      </c>
      <c r="C25" s="198" t="s">
        <v>380</v>
      </c>
      <c r="D25" s="212">
        <f>D24+2</f>
        <v>224</v>
      </c>
      <c r="E25" s="30" t="s">
        <v>382</v>
      </c>
      <c r="F25" s="212" t="b">
        <v>1</v>
      </c>
      <c r="G25" s="216" t="str">
        <f t="shared" si="0"/>
        <v>"C:\Program Files (x86)\AstroGrep\AstroGrep.exe" /e /r /s /spath="%USERPROFILE%\AppData\Local\Temp\OnboardLogs" /stypes="*4045*201703070*" /stext=" 02:.+((SYSTEM_STATE.+slice.+state.+changed )|(ment ac)|(multiple cpu faults)|(system.+state.+changed )|(\[timeout)|(PRM\|1\|D)|(kpr)|(kdp)|(\|lc)|(penalty)|(\|PRM\|1\|D)|(crossing.((167)|(168)|(199)|(200))))"</v>
      </c>
      <c r="H25" s="218" t="str">
        <f t="shared" si="1"/>
        <v>grep -hSE " 02:.+((\|PRM\|1\|D)|(crossing.((167)|(168)|(199)|(200))))" "%USERPROFILE%\AppData\Local\Temp\OnboardLogs"\RTDC4045\*4045*201703070*</v>
      </c>
      <c r="I25" s="214" t="str">
        <f>IF(VLOOKUP(K25,'Train Runs'!$A$13:$V$997,1,TRUE)=K25,VLOOKUP(K25,'Train Runs'!$A$13:$V$997,22,TRUE),NA())</f>
        <v>https://d0f6bd738d7f1b3e5a7ca70fe4ff75f0.us-east-1.aws.found.io/app/kibana#/discover/Steve-Slow-Train-Analysis-(2080s-and-2083s)?_g=(refreshInterval:(display:Off,pause:!f,section:0,value:0),time:(from:'2017-03-20T19:15:54-0600',mode:absolute,to:'2017-03-20T22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5" s="210">
        <f t="shared" si="2"/>
        <v>42801.122916666667</v>
      </c>
      <c r="K25" s="210" t="str">
        <f>D25&amp;"-"&amp;IF(DAY(Variables!$A$2)&lt;10,0,"")&amp;DAY(Variables!$A$2)</f>
        <v>224-20</v>
      </c>
      <c r="L25" s="206">
        <f>IF(VLOOKUP(K25,'Train Runs'!$A$12:$B$997,1,TRUE)=K25,VLOOKUP(K25,'Train Runs'!$A$12:$B$997,2,TRUE),NA())</f>
        <v>4045</v>
      </c>
      <c r="M25" s="206">
        <f>VLOOKUP(B25,Variables!$T$2:$X$99,2,FALSE)</f>
        <v>167</v>
      </c>
      <c r="N25" s="206">
        <f>VLOOKUP(B25,Variables!$T$2:$X$99,3,FALSE)</f>
        <v>168</v>
      </c>
      <c r="O25" s="206">
        <f>VLOOKUP(B25,Variables!$T$2:$X$99,4,FALSE)</f>
        <v>199</v>
      </c>
      <c r="P25" s="206">
        <f>VLOOKUP(B25,Variables!$T$2:$X$99,5,FALSE)</f>
        <v>200</v>
      </c>
      <c r="Q25" s="205" t="str">
        <f t="shared" si="3"/>
        <v>(\|PRM\|1\|D)|(crossing.((167)|(168)|(199)|(200)))</v>
      </c>
    </row>
    <row r="26" spans="1:17" x14ac:dyDescent="0.25">
      <c r="A26" s="201">
        <v>42800.895138888889</v>
      </c>
      <c r="B26" s="208" t="s">
        <v>378</v>
      </c>
      <c r="C26" s="198" t="s">
        <v>380</v>
      </c>
      <c r="D26" s="212">
        <f>D25+2</f>
        <v>226</v>
      </c>
      <c r="E26" s="30" t="s">
        <v>382</v>
      </c>
      <c r="F26" s="212" t="b">
        <v>1</v>
      </c>
      <c r="G26" s="216" t="str">
        <f t="shared" si="0"/>
        <v>"C:\Program Files (x86)\AstroGrep\AstroGrep.exe" /e /r /s /spath="%USERPROFILE%\AppData\Local\Temp\OnboardLogs" /stypes="*4028*201703070*" /stext=" 03:.+((SYSTEM_STATE.+slice.+state.+changed )|(ment ac)|(multiple cpu faults)|(system.+state.+changed )|(\[timeout)|(PRM\|1\|D)|(kpr)|(kdp)|(\|lc)|(penalty)|(\|PRM\|1\|D)|(crossing.((167)|(168)|(199)|(200))))"</v>
      </c>
      <c r="H26" s="218" t="str">
        <f t="shared" si="1"/>
        <v>grep -hSE " 03:.+((\|PRM\|1\|D)|(crossing.((167)|(168)|(199)|(200))))" "%USERPROFILE%\AppData\Local\Temp\OnboardLogs"\RTDC4028\*4028*201703070*</v>
      </c>
      <c r="I26" s="214" t="str">
        <f>IF(VLOOKUP(K26,'Train Runs'!$A$13:$V$997,1,TRUE)=K26,VLOOKUP(K26,'Train Runs'!$A$13:$V$997,22,TRUE),NA())</f>
        <v>https://d0f6bd738d7f1b3e5a7ca70fe4ff75f0.us-east-1.aws.found.io/app/kibana#/discover/Steve-Slow-Train-Analysis-(2080s-and-2083s)?_g=(refreshInterval:(display:Off,pause:!f,section:0,value:0),time:(from:'2017-03-20T19:47:33-0600',mode:absolute,to:'2017-03-20T22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26" s="210">
        <f t="shared" si="2"/>
        <v>42801.145138888889</v>
      </c>
      <c r="K26" s="210" t="str">
        <f>D26&amp;"-"&amp;IF(DAY(Variables!$A$2)&lt;10,0,"")&amp;DAY(Variables!$A$2)</f>
        <v>226-20</v>
      </c>
      <c r="L26" s="206">
        <f>IF(VLOOKUP(K26,'Train Runs'!$A$12:$B$997,1,TRUE)=K26,VLOOKUP(K26,'Train Runs'!$A$12:$B$997,2,TRUE),NA())</f>
        <v>4028</v>
      </c>
      <c r="M26" s="206">
        <f>VLOOKUP(B26,Variables!$T$2:$X$99,2,FALSE)</f>
        <v>167</v>
      </c>
      <c r="N26" s="206">
        <f>VLOOKUP(B26,Variables!$T$2:$X$99,3,FALSE)</f>
        <v>168</v>
      </c>
      <c r="O26" s="206">
        <f>VLOOKUP(B26,Variables!$T$2:$X$99,4,FALSE)</f>
        <v>199</v>
      </c>
      <c r="P26" s="206">
        <f>VLOOKUP(B26,Variables!$T$2:$X$99,5,FALSE)</f>
        <v>200</v>
      </c>
      <c r="Q26" s="205" t="str">
        <f t="shared" si="3"/>
        <v>(\|PRM\|1\|D)|(crossing.((167)|(168)|(199)|(200)))</v>
      </c>
    </row>
    <row r="27" spans="1:17" x14ac:dyDescent="0.25">
      <c r="A27" s="201">
        <v>42800.916666666664</v>
      </c>
      <c r="B27" s="208" t="s">
        <v>378</v>
      </c>
      <c r="C27" s="198" t="s">
        <v>380</v>
      </c>
      <c r="D27" s="212">
        <f t="shared" ref="D27:D33" si="5">D26+2</f>
        <v>228</v>
      </c>
      <c r="E27" s="30" t="s">
        <v>382</v>
      </c>
      <c r="F27" s="212" t="b">
        <v>1</v>
      </c>
      <c r="G27" s="216" t="str">
        <f t="shared" si="0"/>
        <v>"C:\Program Files (x86)\AstroGrep\AstroGrep.exe" /e /r /s /spath="%USERPROFILE%\AppData\Local\Temp\OnboardLogs" /stypes="*4004*201703070*" /stext=" 04:.+((SYSTEM_STATE.+slice.+state.+changed )|(ment ac)|(multiple cpu faults)|(system.+state.+changed )|(\[timeout)|(PRM\|1\|D)|(kpr)|(kdp)|(\|lc)|(penalty)|(\|PRM\|1\|D)|(crossing.((167)|(168)|(199)|(200))))"</v>
      </c>
      <c r="H27" s="218" t="str">
        <f t="shared" si="1"/>
        <v>grep -hSE " 04:.+((\|PRM\|1\|D)|(crossing.((167)|(168)|(199)|(200))))" "%USERPROFILE%\AppData\Local\Temp\OnboardLogs"\RTDC4004\*4004*201703070*</v>
      </c>
      <c r="I27" s="214" t="str">
        <f>IF(VLOOKUP(K27,'Train Runs'!$A$13:$V$997,1,TRUE)=K27,VLOOKUP(K27,'Train Runs'!$A$13:$V$997,22,TRUE),NA())</f>
        <v>https://d0f6bd738d7f1b3e5a7ca70fe4ff75f0.us-east-1.aws.found.io/app/kibana#/discover/Steve-Slow-Train-Analysis-(2080s-and-2083s)?_g=(refreshInterval:(display:Off,pause:!f,section:0,value:0),time:(from:'2017-03-20T20:18:03-0600',mode:absolute,to:'2017-03-20T23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27" s="210">
        <f t="shared" si="2"/>
        <v>42801.166666666664</v>
      </c>
      <c r="K27" s="210" t="str">
        <f>D27&amp;"-"&amp;IF(DAY(Variables!$A$2)&lt;10,0,"")&amp;DAY(Variables!$A$2)</f>
        <v>228-20</v>
      </c>
      <c r="L27" s="206">
        <f>IF(VLOOKUP(K27,'Train Runs'!$A$12:$B$997,1,TRUE)=K27,VLOOKUP(K27,'Train Runs'!$A$12:$B$997,2,TRUE),NA())</f>
        <v>4004</v>
      </c>
      <c r="M27" s="206">
        <f>VLOOKUP(B27,Variables!$T$2:$X$99,2,FALSE)</f>
        <v>167</v>
      </c>
      <c r="N27" s="206">
        <f>VLOOKUP(B27,Variables!$T$2:$X$99,3,FALSE)</f>
        <v>168</v>
      </c>
      <c r="O27" s="206">
        <f>VLOOKUP(B27,Variables!$T$2:$X$99,4,FALSE)</f>
        <v>199</v>
      </c>
      <c r="P27" s="206">
        <f>VLOOKUP(B27,Variables!$T$2:$X$99,5,FALSE)</f>
        <v>200</v>
      </c>
      <c r="Q27" s="205" t="str">
        <f t="shared" si="3"/>
        <v>(\|PRM\|1\|D)|(crossing.((167)|(168)|(199)|(200)))</v>
      </c>
    </row>
    <row r="28" spans="1:17" x14ac:dyDescent="0.25">
      <c r="A28" s="201">
        <v>42800.939583333333</v>
      </c>
      <c r="B28" s="208" t="s">
        <v>378</v>
      </c>
      <c r="C28" s="198" t="s">
        <v>380</v>
      </c>
      <c r="D28" s="212">
        <f t="shared" si="5"/>
        <v>230</v>
      </c>
      <c r="E28" s="30" t="s">
        <v>382</v>
      </c>
      <c r="F28" s="212" t="b">
        <v>1</v>
      </c>
      <c r="G28" s="216" t="str">
        <f t="shared" si="0"/>
        <v>"C:\Program Files (x86)\AstroGrep\AstroGrep.exe" /e /r /s /spath="%USERPROFILE%\AppData\Local\Temp\OnboardLogs" /stypes="*4021*201703070*" /stext=" 04:.+((SYSTEM_STATE.+slice.+state.+changed )|(ment ac)|(multiple cpu faults)|(system.+state.+changed )|(\[timeout)|(PRM\|1\|D)|(kpr)|(kdp)|(\|lc)|(penalty)|(\|PRM\|1\|D)|(crossing.((167)|(168)|(199)|(200))))"</v>
      </c>
      <c r="H28" s="218" t="str">
        <f t="shared" si="1"/>
        <v>grep -hSE " 04:.+((\|PRM\|1\|D)|(crossing.((167)|(168)|(199)|(200))))" "%USERPROFILE%\AppData\Local\Temp\OnboardLogs"\RTDC4021\*4021*201703070*</v>
      </c>
      <c r="I28" s="214" t="str">
        <f>IF(VLOOKUP(K28,'Train Runs'!$A$13:$V$997,1,TRUE)=K28,VLOOKUP(K28,'Train Runs'!$A$13:$V$997,22,TRUE),NA())</f>
        <v>https://d0f6bd738d7f1b3e5a7ca70fe4ff75f0.us-east-1.aws.found.io/app/kibana#/discover/Steve-Slow-Train-Analysis-(2080s-and-2083s)?_g=(refreshInterval:(display:Off,pause:!f,section:0,value:0),time:(from:'2017-03-20T20:54:52-0600',mode:absolute,to:'2017-03-20T23:37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28" s="210">
        <f t="shared" si="2"/>
        <v>42801.189583333333</v>
      </c>
      <c r="K28" s="210" t="str">
        <f>D28&amp;"-"&amp;IF(DAY(Variables!$A$2)&lt;10,0,"")&amp;DAY(Variables!$A$2)</f>
        <v>230-20</v>
      </c>
      <c r="L28" s="206">
        <f>IF(VLOOKUP(K28,'Train Runs'!$A$12:$B$997,1,TRUE)=K28,VLOOKUP(K28,'Train Runs'!$A$12:$B$997,2,TRUE),NA())</f>
        <v>4021</v>
      </c>
      <c r="M28" s="206">
        <f>VLOOKUP(B28,Variables!$T$2:$X$99,2,FALSE)</f>
        <v>167</v>
      </c>
      <c r="N28" s="206">
        <f>VLOOKUP(B28,Variables!$T$2:$X$99,3,FALSE)</f>
        <v>168</v>
      </c>
      <c r="O28" s="206">
        <f>VLOOKUP(B28,Variables!$T$2:$X$99,4,FALSE)</f>
        <v>199</v>
      </c>
      <c r="P28" s="206">
        <f>VLOOKUP(B28,Variables!$T$2:$X$99,5,FALSE)</f>
        <v>200</v>
      </c>
      <c r="Q28" s="205" t="str">
        <f t="shared" si="3"/>
        <v>(\|PRM\|1\|D)|(crossing.((167)|(168)|(199)|(200)))</v>
      </c>
    </row>
    <row r="29" spans="1:17" x14ac:dyDescent="0.25">
      <c r="A29" s="201">
        <v>42800.957638888889</v>
      </c>
      <c r="B29" s="208" t="s">
        <v>378</v>
      </c>
      <c r="C29" s="198" t="s">
        <v>380</v>
      </c>
      <c r="D29" s="212">
        <f t="shared" si="5"/>
        <v>232</v>
      </c>
      <c r="E29" s="30" t="s">
        <v>382</v>
      </c>
      <c r="F29" s="212" t="b">
        <v>1</v>
      </c>
      <c r="G29" s="216" t="str">
        <f t="shared" si="0"/>
        <v>"C:\Program Files (x86)\AstroGrep\AstroGrep.exe" /e /r /s /spath="%USERPROFILE%\AppData\Local\Temp\OnboardLogs" /stypes="*4045*201703070*" /stext=" 04:.+((SYSTEM_STATE.+slice.+state.+changed )|(ment ac)|(multiple cpu faults)|(system.+state.+changed )|(\[timeout)|(PRM\|1\|D)|(kpr)|(kdp)|(\|lc)|(penalty)|(\|PRM\|1\|D)|(crossing.((167)|(168)|(199)|(200))))"</v>
      </c>
      <c r="H29" s="218" t="str">
        <f t="shared" si="1"/>
        <v>grep -hSE " 04:.+((\|PRM\|1\|D)|(crossing.((167)|(168)|(199)|(200))))" "%USERPROFILE%\AppData\Local\Temp\OnboardLogs"\RTDC4045\*4045*201703070*</v>
      </c>
      <c r="I29" s="214" t="str">
        <f>IF(VLOOKUP(K29,'Train Runs'!$A$13:$V$997,1,TRUE)=K29,VLOOKUP(K29,'Train Runs'!$A$13:$V$997,22,TRUE),NA())</f>
        <v>https://d0f6bd738d7f1b3e5a7ca70fe4ff75f0.us-east-1.aws.found.io/app/kibana#/discover/Steve-Slow-Train-Analysis-(2080s-and-2083s)?_g=(refreshInterval:(display:Off,pause:!f,section:0,value:0),time:(from:'2017-03-20T21:14:35-0600',mode:absolute,to:'2017-03-21T00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9" s="210">
        <f t="shared" si="2"/>
        <v>42801.207638888889</v>
      </c>
      <c r="K29" s="210" t="str">
        <f>D29&amp;"-"&amp;IF(DAY(Variables!$A$2)&lt;10,0,"")&amp;DAY(Variables!$A$2)</f>
        <v>232-20</v>
      </c>
      <c r="L29" s="206">
        <f>IF(VLOOKUP(K29,'Train Runs'!$A$12:$B$997,1,TRUE)=K29,VLOOKUP(K29,'Train Runs'!$A$12:$B$997,2,TRUE),NA())</f>
        <v>4045</v>
      </c>
      <c r="M29" s="206">
        <f>VLOOKUP(B29,Variables!$T$2:$X$99,2,FALSE)</f>
        <v>167</v>
      </c>
      <c r="N29" s="206">
        <f>VLOOKUP(B29,Variables!$T$2:$X$99,3,FALSE)</f>
        <v>168</v>
      </c>
      <c r="O29" s="206">
        <f>VLOOKUP(B29,Variables!$T$2:$X$99,4,FALSE)</f>
        <v>199</v>
      </c>
      <c r="P29" s="206">
        <f>VLOOKUP(B29,Variables!$T$2:$X$99,5,FALSE)</f>
        <v>200</v>
      </c>
      <c r="Q29" s="205" t="str">
        <f t="shared" si="3"/>
        <v>(\|PRM\|1\|D)|(crossing.((167)|(168)|(199)|(200)))</v>
      </c>
    </row>
    <row r="30" spans="1:17" x14ac:dyDescent="0.25">
      <c r="A30" s="201">
        <v>42800.96875</v>
      </c>
      <c r="B30" s="208" t="s">
        <v>378</v>
      </c>
      <c r="C30" s="198" t="s">
        <v>380</v>
      </c>
      <c r="D30" s="212">
        <f t="shared" si="5"/>
        <v>234</v>
      </c>
      <c r="E30" s="30" t="s">
        <v>382</v>
      </c>
      <c r="F30" s="212" t="b">
        <v>1</v>
      </c>
      <c r="G30" s="216" t="str">
        <f t="shared" si="0"/>
        <v>"C:\Program Files (x86)\AstroGrep\AstroGrep.exe" /e /r /s /spath="%USERPROFILE%\AppData\Local\Temp\OnboardLogs" /stypes="*4028*201703070*" /stext=" 05:.+((SYSTEM_STATE.+slice.+state.+changed )|(ment ac)|(multiple cpu faults)|(system.+state.+changed )|(\[timeout)|(PRM\|1\|D)|(kpr)|(kdp)|(\|lc)|(penalty)|(\|PRM\|1\|D)|(crossing.((167)|(168)|(199)|(200))))"</v>
      </c>
      <c r="H30" s="218" t="str">
        <f t="shared" si="1"/>
        <v>grep -hSE " 05:.+((\|PRM\|1\|D)|(crossing.((167)|(168)|(199)|(200))))" "%USERPROFILE%\AppData\Local\Temp\OnboardLogs"\RTDC4028\*4028*201703070*</v>
      </c>
      <c r="I30" s="214" t="str">
        <f>IF(VLOOKUP(K30,'Train Runs'!$A$13:$V$997,1,TRUE)=K30,VLOOKUP(K30,'Train Runs'!$A$13:$V$997,22,TRUE),NA())</f>
        <v>https://d0f6bd738d7f1b3e5a7ca70fe4ff75f0.us-east-1.aws.found.io/app/kibana#/discover/Steve-Slow-Train-Analysis-(2080s-and-2083s)?_g=(refreshInterval:(display:Off,pause:!f,section:0,value:0),time:(from:'2017-03-20T21:52:58-0600',mode:absolute,to:'2017-03-21T00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30" s="210">
        <f t="shared" si="2"/>
        <v>42801.21875</v>
      </c>
      <c r="K30" s="210" t="str">
        <f>D30&amp;"-"&amp;IF(DAY(Variables!$A$2)&lt;10,0,"")&amp;DAY(Variables!$A$2)</f>
        <v>234-20</v>
      </c>
      <c r="L30" s="206">
        <f>IF(VLOOKUP(K30,'Train Runs'!$A$12:$B$997,1,TRUE)=K30,VLOOKUP(K30,'Train Runs'!$A$12:$B$997,2,TRUE),NA())</f>
        <v>4028</v>
      </c>
      <c r="M30" s="206">
        <f>VLOOKUP(B30,Variables!$T$2:$X$99,2,FALSE)</f>
        <v>167</v>
      </c>
      <c r="N30" s="206">
        <f>VLOOKUP(B30,Variables!$T$2:$X$99,3,FALSE)</f>
        <v>168</v>
      </c>
      <c r="O30" s="206">
        <f>VLOOKUP(B30,Variables!$T$2:$X$99,4,FALSE)</f>
        <v>199</v>
      </c>
      <c r="P30" s="206">
        <f>VLOOKUP(B30,Variables!$T$2:$X$99,5,FALSE)</f>
        <v>200</v>
      </c>
      <c r="Q30" s="205" t="str">
        <f t="shared" si="3"/>
        <v>(\|PRM\|1\|D)|(crossing.((167)|(168)|(199)|(200)))</v>
      </c>
    </row>
    <row r="31" spans="1:17" x14ac:dyDescent="0.25">
      <c r="A31" s="201">
        <v>42800.979861111111</v>
      </c>
      <c r="B31" s="208" t="s">
        <v>378</v>
      </c>
      <c r="C31" s="198" t="s">
        <v>380</v>
      </c>
      <c r="D31" s="212">
        <f t="shared" si="5"/>
        <v>236</v>
      </c>
      <c r="E31" s="30" t="s">
        <v>382</v>
      </c>
      <c r="F31" s="212" t="b">
        <v>1</v>
      </c>
      <c r="G31" s="216" t="str">
        <f t="shared" si="0"/>
        <v>"C:\Program Files (x86)\AstroGrep\AstroGrep.exe" /e /r /s /spath="%USERPROFILE%\AppData\Local\Temp\OnboardLogs" /stypes="*4004*201703070*" /stext=" 05:.+((SYSTEM_STATE.+slice.+state.+changed )|(ment ac)|(multiple cpu faults)|(system.+state.+changed )|(\[timeout)|(PRM\|1\|D)|(kpr)|(kdp)|(\|lc)|(penalty)|(\|PRM\|1\|D)|(crossing.((167)|(168)|(199)|(200))))"</v>
      </c>
      <c r="H31" s="218" t="str">
        <f t="shared" si="1"/>
        <v>grep -hSE " 05:.+((\|PRM\|1\|D)|(crossing.((167)|(168)|(199)|(200))))" "%USERPROFILE%\AppData\Local\Temp\OnboardLogs"\RTDC4004\*4004*201703070*</v>
      </c>
      <c r="I31" s="214" t="str">
        <f>IF(VLOOKUP(K31,'Train Runs'!$A$13:$V$997,1,TRUE)=K31,VLOOKUP(K31,'Train Runs'!$A$13:$V$997,22,TRUE),NA())</f>
        <v>https://d0f6bd738d7f1b3e5a7ca70fe4ff75f0.us-east-1.aws.found.io/app/kibana#/discover/Steve-Slow-Train-Analysis-(2080s-and-2083s)?_g=(refreshInterval:(display:Off,pause:!f,section:0,value:0),time:(from:'2017-03-20T22:22:00-0600',mode:absolute,to:'2017-03-21T01:18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31" s="210">
        <f t="shared" si="2"/>
        <v>42801.229861111111</v>
      </c>
      <c r="K31" s="210" t="str">
        <f>D31&amp;"-"&amp;IF(DAY(Variables!$A$2)&lt;10,0,"")&amp;DAY(Variables!$A$2)</f>
        <v>236-20</v>
      </c>
      <c r="L31" s="206">
        <f>IF(VLOOKUP(K31,'Train Runs'!$A$12:$B$997,1,TRUE)=K31,VLOOKUP(K31,'Train Runs'!$A$12:$B$997,2,TRUE),NA())</f>
        <v>4004</v>
      </c>
      <c r="M31" s="206">
        <f>VLOOKUP(B31,Variables!$T$2:$X$99,2,FALSE)</f>
        <v>167</v>
      </c>
      <c r="N31" s="206">
        <f>VLOOKUP(B31,Variables!$T$2:$X$99,3,FALSE)</f>
        <v>168</v>
      </c>
      <c r="O31" s="206">
        <f>VLOOKUP(B31,Variables!$T$2:$X$99,4,FALSE)</f>
        <v>199</v>
      </c>
      <c r="P31" s="206">
        <f>VLOOKUP(B31,Variables!$T$2:$X$99,5,FALSE)</f>
        <v>200</v>
      </c>
      <c r="Q31" s="205" t="str">
        <f t="shared" si="3"/>
        <v>(\|PRM\|1\|D)|(crossing.((167)|(168)|(199)|(200)))</v>
      </c>
    </row>
    <row r="32" spans="1:17" x14ac:dyDescent="0.25">
      <c r="A32" s="201">
        <v>42800.999305555553</v>
      </c>
      <c r="B32" s="208" t="s">
        <v>378</v>
      </c>
      <c r="C32" s="198" t="s">
        <v>380</v>
      </c>
      <c r="D32" s="212">
        <f t="shared" si="5"/>
        <v>238</v>
      </c>
      <c r="E32" s="30" t="s">
        <v>382</v>
      </c>
      <c r="F32" s="212" t="b">
        <v>1</v>
      </c>
      <c r="G32" s="216" t="str">
        <f t="shared" si="0"/>
        <v>"C:\Program Files (x86)\AstroGrep\AstroGrep.exe" /e /r /s /spath="%USERPROFILE%\AppData\Local\Temp\OnboardLogs" /stypes="*4021*201703070*" /stext=" 05:.+((SYSTEM_STATE.+slice.+state.+changed )|(ment ac)|(multiple cpu faults)|(system.+state.+changed )|(\[timeout)|(PRM\|1\|D)|(kpr)|(kdp)|(\|lc)|(penalty)|(\|PRM\|1\|D)|(crossing.((167)|(168)|(199)|(200))))"</v>
      </c>
      <c r="H32" s="218" t="str">
        <f t="shared" si="1"/>
        <v>grep -hSE " 05:.+((\|PRM\|1\|D)|(crossing.((167)|(168)|(199)|(200))))" "%USERPROFILE%\AppData\Local\Temp\OnboardLogs"\RTDC4021\*4021*201703070*</v>
      </c>
      <c r="I32" s="214" t="str">
        <f>IF(VLOOKUP(K32,'Train Runs'!$A$13:$V$997,1,TRUE)=K32,VLOOKUP(K32,'Train Runs'!$A$13:$V$997,22,TRUE),NA())</f>
        <v>https://d0f6bd738d7f1b3e5a7ca70fe4ff75f0.us-east-1.aws.found.io/app/kibana#/discover/Steve-Slow-Train-Analysis-(2080s-and-2083s)?_g=(refreshInterval:(display:Off,pause:!f,section:0,value:0),time:(from:'2017-03-20T22:50:35-0600',mode:absolute,to:'2017-03-21T01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32" s="210">
        <f t="shared" si="2"/>
        <v>42801.249305555553</v>
      </c>
      <c r="K32" s="210" t="str">
        <f>D32&amp;"-"&amp;IF(DAY(Variables!$A$2)&lt;10,0,"")&amp;DAY(Variables!$A$2)</f>
        <v>238-20</v>
      </c>
      <c r="L32" s="206">
        <f>IF(VLOOKUP(K32,'Train Runs'!$A$12:$B$997,1,TRUE)=K32,VLOOKUP(K32,'Train Runs'!$A$12:$B$997,2,TRUE),NA())</f>
        <v>4021</v>
      </c>
      <c r="M32" s="206">
        <f>VLOOKUP(B32,Variables!$T$2:$X$99,2,FALSE)</f>
        <v>167</v>
      </c>
      <c r="N32" s="206">
        <f>VLOOKUP(B32,Variables!$T$2:$X$99,3,FALSE)</f>
        <v>168</v>
      </c>
      <c r="O32" s="206">
        <f>VLOOKUP(B32,Variables!$T$2:$X$99,4,FALSE)</f>
        <v>199</v>
      </c>
      <c r="P32" s="206">
        <f>VLOOKUP(B32,Variables!$T$2:$X$99,5,FALSE)</f>
        <v>200</v>
      </c>
      <c r="Q32" s="205" t="str">
        <f t="shared" si="3"/>
        <v>(\|PRM\|1\|D)|(crossing.((167)|(168)|(199)|(200)))</v>
      </c>
    </row>
    <row r="33" spans="1:17" x14ac:dyDescent="0.25">
      <c r="A33" s="202">
        <v>42801.022222222222</v>
      </c>
      <c r="B33" s="208" t="s">
        <v>378</v>
      </c>
      <c r="C33" s="198" t="s">
        <v>380</v>
      </c>
      <c r="D33" s="212">
        <f t="shared" si="5"/>
        <v>240</v>
      </c>
      <c r="E33" s="30" t="s">
        <v>382</v>
      </c>
      <c r="F33" s="212" t="b">
        <v>1</v>
      </c>
      <c r="G33" s="216" t="str">
        <f t="shared" si="0"/>
        <v>"C:\Program Files (x86)\AstroGrep\AstroGrep.exe" /e /r /s /spath="%USERPROFILE%\AppData\Local\Temp\OnboardLogs" /stypes="*4045*201703070*" /stext=" 06:.+((SYSTEM_STATE.+slice.+state.+changed )|(ment ac)|(multiple cpu faults)|(system.+state.+changed )|(\[timeout)|(PRM\|1\|D)|(kpr)|(kdp)|(\|lc)|(penalty)|(\|PRM\|1\|D)|(crossing.((167)|(168)|(199)|(200))))"</v>
      </c>
      <c r="H33" s="218" t="str">
        <f t="shared" si="1"/>
        <v>grep -hSE " 06:.+((\|PRM\|1\|D)|(crossing.((167)|(168)|(199)|(200))))" "%USERPROFILE%\AppData\Local\Temp\OnboardLogs"\RTDC4045\*4045*201703070*</v>
      </c>
      <c r="I33" s="214" t="str">
        <f>IF(VLOOKUP(K33,'Train Runs'!$A$13:$V$997,1,TRUE)=K33,VLOOKUP(K33,'Train Runs'!$A$13:$V$997,22,TRUE),NA())</f>
        <v>https://d0f6bd738d7f1b3e5a7ca70fe4ff75f0.us-east-1.aws.found.io/app/kibana#/discover/Steve-Slow-Train-Analysis-(2080s-and-2083s)?_g=(refreshInterval:(display:Off,pause:!f,section:0,value:0),time:(from:'2017-03-20T23:12:05-0600',mode:absolute,to:'2017-03-21T02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33" s="210">
        <f t="shared" si="2"/>
        <v>42801.272222222222</v>
      </c>
      <c r="K33" s="210" t="str">
        <f>D33&amp;"-"&amp;IF(DAY(Variables!$A$2)&lt;10,0,"")&amp;DAY(Variables!$A$2)</f>
        <v>240-20</v>
      </c>
      <c r="L33" s="206">
        <f>IF(VLOOKUP(K33,'Train Runs'!$A$12:$B$997,1,TRUE)=K33,VLOOKUP(K33,'Train Runs'!$A$12:$B$997,2,TRUE),NA())</f>
        <v>4045</v>
      </c>
      <c r="M33" s="206">
        <f>VLOOKUP(B33,Variables!$T$2:$X$99,2,FALSE)</f>
        <v>167</v>
      </c>
      <c r="N33" s="206">
        <f>VLOOKUP(B33,Variables!$T$2:$X$99,3,FALSE)</f>
        <v>168</v>
      </c>
      <c r="O33" s="206">
        <f>VLOOKUP(B33,Variables!$T$2:$X$99,4,FALSE)</f>
        <v>199</v>
      </c>
      <c r="P33" s="206">
        <f>VLOOKUP(B33,Variables!$T$2:$X$99,5,FALSE)</f>
        <v>200</v>
      </c>
      <c r="Q33" s="205" t="str">
        <f t="shared" si="3"/>
        <v>(\|PRM\|1\|D)|(crossing.((167)|(168)|(199)|(200)))</v>
      </c>
    </row>
    <row r="34" spans="1:17" x14ac:dyDescent="0.25">
      <c r="A34" s="202">
        <v>42801.040277777778</v>
      </c>
      <c r="B34" s="208" t="s">
        <v>378</v>
      </c>
      <c r="C34" s="198" t="s">
        <v>380</v>
      </c>
      <c r="D34" s="212">
        <v>240</v>
      </c>
      <c r="E34" s="30" t="s">
        <v>382</v>
      </c>
      <c r="F34" s="212" t="b">
        <v>1</v>
      </c>
      <c r="G34" s="216" t="str">
        <f t="shared" si="0"/>
        <v>"C:\Program Files (x86)\AstroGrep\AstroGrep.exe" /e /r /s /spath="%USERPROFILE%\AppData\Local\Temp\OnboardLogs" /stypes="*4045*201703070*" /stext=" 06:.+((SYSTEM_STATE.+slice.+state.+changed )|(ment ac)|(multiple cpu faults)|(system.+state.+changed )|(\[timeout)|(PRM\|1\|D)|(kpr)|(kdp)|(\|lc)|(penalty)|(\|PRM\|1\|D)|(crossing.((167)|(168)|(199)|(200))))"</v>
      </c>
      <c r="H34" s="218" t="str">
        <f t="shared" si="1"/>
        <v>grep -hSE " 06:.+((\|PRM\|1\|D)|(crossing.((167)|(168)|(199)|(200))))" "%USERPROFILE%\AppData\Local\Temp\OnboardLogs"\RTDC4045\*4045*201703070*</v>
      </c>
      <c r="I34" s="214" t="str">
        <f>IF(VLOOKUP(K34,'Train Runs'!$A$13:$V$997,1,TRUE)=K34,VLOOKUP(K34,'Train Runs'!$A$13:$V$997,22,TRUE),NA())</f>
        <v>https://d0f6bd738d7f1b3e5a7ca70fe4ff75f0.us-east-1.aws.found.io/app/kibana#/discover/Steve-Slow-Train-Analysis-(2080s-and-2083s)?_g=(refreshInterval:(display:Off,pause:!f,section:0,value:0),time:(from:'2017-03-20T23:12:05-0600',mode:absolute,to:'2017-03-21T02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34" s="210">
        <f t="shared" si="2"/>
        <v>42801.290277777778</v>
      </c>
      <c r="K34" s="210" t="str">
        <f>D34&amp;"-"&amp;IF(DAY(Variables!$A$2)&lt;10,0,"")&amp;DAY(Variables!$A$2)</f>
        <v>240-20</v>
      </c>
      <c r="L34" s="206">
        <f>IF(VLOOKUP(K34,'Train Runs'!$A$12:$B$997,1,TRUE)=K34,VLOOKUP(K34,'Train Runs'!$A$12:$B$997,2,TRUE),NA())</f>
        <v>4045</v>
      </c>
      <c r="M34" s="206">
        <f>VLOOKUP(B34,Variables!$T$2:$X$99,2,FALSE)</f>
        <v>167</v>
      </c>
      <c r="N34" s="206">
        <f>VLOOKUP(B34,Variables!$T$2:$X$99,3,FALSE)</f>
        <v>168</v>
      </c>
      <c r="O34" s="206">
        <f>VLOOKUP(B34,Variables!$T$2:$X$99,4,FALSE)</f>
        <v>199</v>
      </c>
      <c r="P34" s="206">
        <f>VLOOKUP(B34,Variables!$T$2:$X$99,5,FALSE)</f>
        <v>200</v>
      </c>
      <c r="Q34" s="205" t="str">
        <f t="shared" si="3"/>
        <v>(\|PRM\|1\|D)|(crossing.((167)|(168)|(199)|(200)))</v>
      </c>
    </row>
    <row r="35" spans="1:17" x14ac:dyDescent="0.25">
      <c r="A35" s="202">
        <v>42801.061805555553</v>
      </c>
      <c r="B35" s="208" t="s">
        <v>378</v>
      </c>
      <c r="C35" s="198" t="s">
        <v>380</v>
      </c>
      <c r="D35" s="212">
        <v>242</v>
      </c>
      <c r="E35" s="30" t="s">
        <v>382</v>
      </c>
      <c r="F35" s="212" t="b">
        <v>1</v>
      </c>
      <c r="G35" s="216" t="str">
        <f t="shared" si="0"/>
        <v>"C:\Program Files (x86)\AstroGrep\AstroGrep.exe" /e /r /s /spath="%USERPROFILE%\AppData\Local\Temp\OnboardLogs" /stypes="*4028*201703070*" /stext=" 07:.+((SYSTEM_STATE.+slice.+state.+changed )|(ment ac)|(multiple cpu faults)|(system.+state.+changed )|(\[timeout)|(PRM\|1\|D)|(kpr)|(kdp)|(\|lc)|(penalty)|(\|PRM\|1\|D)|(crossing.((167)|(168)|(199)|(200))))"</v>
      </c>
      <c r="H35" s="218" t="str">
        <f t="shared" si="1"/>
        <v>grep -hSE " 07:.+((\|PRM\|1\|D)|(crossing.((167)|(168)|(199)|(200))))" "%USERPROFILE%\AppData\Local\Temp\OnboardLogs"\RTDC4028\*4028*201703070*</v>
      </c>
      <c r="I35" s="214" t="str">
        <f>IF(VLOOKUP(K35,'Train Runs'!$A$13:$V$997,1,TRUE)=K35,VLOOKUP(K35,'Train Runs'!$A$13:$V$997,22,TRUE),NA())</f>
        <v>https://d0f6bd738d7f1b3e5a7ca70fe4ff75f0.us-east-1.aws.found.io/app/kibana#/discover/Steve-Slow-Train-Analysis-(2080s-and-2083s)?_g=(refreshInterval:(display:Off,pause:!f,section:0,value:0),time:(from:'2017-03-20T23:54:02-0600',mode:absolute,to:'2017-03-21T02:32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35" s="210">
        <f t="shared" si="2"/>
        <v>42801.311805555553</v>
      </c>
      <c r="K35" s="210" t="str">
        <f>D35&amp;"-"&amp;IF(DAY(Variables!$A$2)&lt;10,0,"")&amp;DAY(Variables!$A$2)</f>
        <v>242-20</v>
      </c>
      <c r="L35" s="206">
        <f>IF(VLOOKUP(K35,'Train Runs'!$A$12:$B$997,1,TRUE)=K35,VLOOKUP(K35,'Train Runs'!$A$12:$B$997,2,TRUE),NA())</f>
        <v>4028</v>
      </c>
      <c r="M35" s="206">
        <f>VLOOKUP(B35,Variables!$T$2:$X$99,2,FALSE)</f>
        <v>167</v>
      </c>
      <c r="N35" s="206">
        <f>VLOOKUP(B35,Variables!$T$2:$X$99,3,FALSE)</f>
        <v>168</v>
      </c>
      <c r="O35" s="206">
        <f>VLOOKUP(B35,Variables!$T$2:$X$99,4,FALSE)</f>
        <v>199</v>
      </c>
      <c r="P35" s="206">
        <f>VLOOKUP(B35,Variables!$T$2:$X$99,5,FALSE)</f>
        <v>200</v>
      </c>
      <c r="Q35" s="205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197</v>
      </c>
      <c r="G1" s="8" t="s">
        <v>196</v>
      </c>
    </row>
    <row r="2" spans="1:7" x14ac:dyDescent="0.25">
      <c r="A2" s="8">
        <v>42814.039085648146</v>
      </c>
      <c r="B2" s="20" t="s">
        <v>528</v>
      </c>
      <c r="C2" s="20" t="s">
        <v>529</v>
      </c>
      <c r="D2" s="150">
        <v>2730000</v>
      </c>
      <c r="E2" s="20" t="s">
        <v>546</v>
      </c>
      <c r="F2" s="20" t="s">
        <v>547</v>
      </c>
      <c r="G2" s="8" t="str">
        <f>E2&amp;" "&amp;F2</f>
        <v>YANG JAN</v>
      </c>
    </row>
    <row r="3" spans="1:7" x14ac:dyDescent="0.25">
      <c r="A3" s="8">
        <v>42814.047395833331</v>
      </c>
      <c r="B3" s="20" t="s">
        <v>399</v>
      </c>
      <c r="C3" s="20" t="s">
        <v>550</v>
      </c>
      <c r="D3" s="150">
        <v>1810000</v>
      </c>
      <c r="E3" s="20" t="s">
        <v>545</v>
      </c>
      <c r="F3" s="20" t="s">
        <v>195</v>
      </c>
      <c r="G3" s="8" t="str">
        <f t="shared" ref="G3:G66" si="0">E3&amp;" "&amp;F3</f>
        <v>NEWELL JAMES</v>
      </c>
    </row>
    <row r="4" spans="1:7" x14ac:dyDescent="0.25">
      <c r="A4" s="8">
        <v>42814.058541666665</v>
      </c>
      <c r="B4" s="20" t="s">
        <v>436</v>
      </c>
      <c r="C4" s="20" t="s">
        <v>551</v>
      </c>
      <c r="D4" s="150">
        <v>2000000</v>
      </c>
      <c r="E4" s="20" t="s">
        <v>403</v>
      </c>
      <c r="F4" s="20" t="s">
        <v>195</v>
      </c>
      <c r="G4" s="8" t="str">
        <f t="shared" si="0"/>
        <v>STAMBAUGH JAMES</v>
      </c>
    </row>
    <row r="5" spans="1:7" x14ac:dyDescent="0.25">
      <c r="A5" s="8">
        <v>42814.069826388892</v>
      </c>
      <c r="B5" s="20" t="s">
        <v>414</v>
      </c>
      <c r="C5" s="20" t="s">
        <v>552</v>
      </c>
      <c r="D5" s="150">
        <v>2230000</v>
      </c>
      <c r="E5" s="20" t="s">
        <v>425</v>
      </c>
      <c r="F5" s="20" t="s">
        <v>198</v>
      </c>
      <c r="G5" s="8" t="str">
        <f t="shared" si="0"/>
        <v>SMITH MICHAEL</v>
      </c>
    </row>
    <row r="6" spans="1:7" x14ac:dyDescent="0.25">
      <c r="A6" s="8">
        <v>42814.074317129627</v>
      </c>
      <c r="B6" s="20" t="s">
        <v>548</v>
      </c>
      <c r="C6" s="20" t="s">
        <v>549</v>
      </c>
      <c r="D6" s="150">
        <v>2730000</v>
      </c>
      <c r="E6" s="20" t="s">
        <v>546</v>
      </c>
      <c r="F6" s="20" t="s">
        <v>547</v>
      </c>
      <c r="G6" s="8" t="str">
        <f t="shared" si="0"/>
        <v>YANG JAN</v>
      </c>
    </row>
    <row r="7" spans="1:7" x14ac:dyDescent="0.25">
      <c r="A7" s="8">
        <v>42814.087789351855</v>
      </c>
      <c r="B7" s="20" t="s">
        <v>440</v>
      </c>
      <c r="C7" s="20" t="s">
        <v>553</v>
      </c>
      <c r="D7" s="150">
        <v>2000000</v>
      </c>
      <c r="E7" s="20" t="s">
        <v>403</v>
      </c>
      <c r="F7" s="20" t="s">
        <v>195</v>
      </c>
      <c r="G7" s="8" t="str">
        <f t="shared" si="0"/>
        <v>STAMBAUGH JAMES</v>
      </c>
    </row>
    <row r="8" spans="1:7" x14ac:dyDescent="0.25">
      <c r="A8" s="8">
        <v>42814.117604166669</v>
      </c>
      <c r="B8" s="20" t="s">
        <v>530</v>
      </c>
      <c r="C8" s="20" t="s">
        <v>647</v>
      </c>
      <c r="D8" s="150">
        <v>1360000</v>
      </c>
      <c r="E8" s="20" t="s">
        <v>465</v>
      </c>
      <c r="F8" s="20" t="s">
        <v>466</v>
      </c>
      <c r="G8" s="8" t="str">
        <f t="shared" si="0"/>
        <v>SANTIZO D. EDY</v>
      </c>
    </row>
    <row r="9" spans="1:7" ht="15.75" thickBot="1" x14ac:dyDescent="0.3">
      <c r="A9" s="24">
        <v>42814.127187500002</v>
      </c>
      <c r="B9" s="20" t="s">
        <v>424</v>
      </c>
      <c r="C9" s="20" t="s">
        <v>648</v>
      </c>
      <c r="D9" s="150">
        <v>1360000</v>
      </c>
      <c r="E9" s="20" t="s">
        <v>465</v>
      </c>
      <c r="F9" s="20" t="s">
        <v>466</v>
      </c>
      <c r="G9" s="8" t="str">
        <f t="shared" si="0"/>
        <v>SANTIZO D. EDY</v>
      </c>
    </row>
    <row r="10" spans="1:7" x14ac:dyDescent="0.25">
      <c r="A10" s="8">
        <v>42814.139432870368</v>
      </c>
      <c r="B10" s="20" t="s">
        <v>525</v>
      </c>
      <c r="C10" s="20" t="s">
        <v>649</v>
      </c>
      <c r="D10" s="150">
        <v>2010000</v>
      </c>
      <c r="E10" s="20" t="s">
        <v>467</v>
      </c>
      <c r="F10" s="20" t="s">
        <v>468</v>
      </c>
      <c r="G10" s="8" t="str">
        <f t="shared" si="0"/>
        <v>MAELZER KURT</v>
      </c>
    </row>
    <row r="11" spans="1:7" x14ac:dyDescent="0.25">
      <c r="A11" s="8">
        <v>42814.14980324074</v>
      </c>
      <c r="B11" s="20" t="s">
        <v>412</v>
      </c>
      <c r="C11" s="20" t="s">
        <v>650</v>
      </c>
      <c r="D11" s="150">
        <v>2010000</v>
      </c>
      <c r="E11" s="20" t="s">
        <v>467</v>
      </c>
      <c r="F11" s="20" t="s">
        <v>468</v>
      </c>
      <c r="G11" s="8" t="str">
        <f t="shared" si="0"/>
        <v>MAELZER KURT</v>
      </c>
    </row>
    <row r="12" spans="1:7" x14ac:dyDescent="0.25">
      <c r="A12" s="8">
        <v>42814.163124999999</v>
      </c>
      <c r="B12" s="20" t="s">
        <v>530</v>
      </c>
      <c r="C12" s="20" t="s">
        <v>651</v>
      </c>
      <c r="D12" s="150">
        <v>1360000</v>
      </c>
      <c r="E12" s="20" t="s">
        <v>465</v>
      </c>
      <c r="F12" s="20" t="s">
        <v>466</v>
      </c>
      <c r="G12" s="8" t="str">
        <f t="shared" si="0"/>
        <v>SANTIZO D. EDY</v>
      </c>
    </row>
    <row r="13" spans="1:7" x14ac:dyDescent="0.25">
      <c r="A13" s="8">
        <v>42814.164375</v>
      </c>
      <c r="B13" s="20" t="s">
        <v>439</v>
      </c>
      <c r="C13" s="20" t="s">
        <v>652</v>
      </c>
      <c r="D13" s="150">
        <v>1110000</v>
      </c>
      <c r="E13" s="20" t="s">
        <v>653</v>
      </c>
      <c r="F13" s="20" t="s">
        <v>654</v>
      </c>
      <c r="G13" s="8" t="str">
        <f t="shared" si="0"/>
        <v>STARKS ANGELINA</v>
      </c>
    </row>
    <row r="14" spans="1:7" x14ac:dyDescent="0.25">
      <c r="A14" s="8">
        <v>42814.169571759259</v>
      </c>
      <c r="B14" s="20" t="s">
        <v>523</v>
      </c>
      <c r="C14" s="20" t="s">
        <v>655</v>
      </c>
      <c r="D14" s="150">
        <v>2970000</v>
      </c>
      <c r="E14" s="20" t="s">
        <v>656</v>
      </c>
      <c r="F14" s="20" t="s">
        <v>657</v>
      </c>
      <c r="G14" s="8" t="str">
        <f t="shared" si="0"/>
        <v>GUZMAN DANNY</v>
      </c>
    </row>
    <row r="15" spans="1:7" x14ac:dyDescent="0.25">
      <c r="A15" s="8">
        <v>42814.176400462966</v>
      </c>
      <c r="B15" s="20" t="s">
        <v>402</v>
      </c>
      <c r="C15" s="20" t="s">
        <v>658</v>
      </c>
      <c r="D15" s="150">
        <v>1110000</v>
      </c>
      <c r="E15" s="20" t="s">
        <v>653</v>
      </c>
      <c r="F15" s="20" t="s">
        <v>654</v>
      </c>
      <c r="G15" s="8" t="str">
        <f t="shared" si="0"/>
        <v>STARKS ANGELINA</v>
      </c>
    </row>
    <row r="16" spans="1:7" x14ac:dyDescent="0.25">
      <c r="A16" s="8">
        <v>42814.180138888885</v>
      </c>
      <c r="B16" s="20" t="s">
        <v>526</v>
      </c>
      <c r="C16" s="20" t="s">
        <v>659</v>
      </c>
      <c r="D16" s="150">
        <v>2970000</v>
      </c>
      <c r="E16" s="20" t="s">
        <v>656</v>
      </c>
      <c r="F16" s="20" t="s">
        <v>657</v>
      </c>
      <c r="G16" s="8" t="str">
        <f t="shared" si="0"/>
        <v>GUZMAN DANNY</v>
      </c>
    </row>
    <row r="17" spans="1:7" x14ac:dyDescent="0.25">
      <c r="A17" s="8">
        <v>42814.181793981479</v>
      </c>
      <c r="B17" s="20" t="s">
        <v>534</v>
      </c>
      <c r="C17" s="20" t="s">
        <v>660</v>
      </c>
      <c r="D17" s="150">
        <v>1260000</v>
      </c>
      <c r="E17" s="20" t="s">
        <v>661</v>
      </c>
      <c r="F17" s="20" t="s">
        <v>662</v>
      </c>
      <c r="G17" s="8" t="str">
        <f t="shared" si="0"/>
        <v>ACKERMAN JARED</v>
      </c>
    </row>
    <row r="18" spans="1:7" x14ac:dyDescent="0.25">
      <c r="A18" s="8">
        <v>42814.188692129632</v>
      </c>
      <c r="B18" s="20" t="s">
        <v>525</v>
      </c>
      <c r="C18" s="20" t="s">
        <v>663</v>
      </c>
      <c r="D18" s="150">
        <v>2010000</v>
      </c>
      <c r="E18" s="20" t="s">
        <v>467</v>
      </c>
      <c r="F18" s="20" t="s">
        <v>468</v>
      </c>
      <c r="G18" s="8" t="str">
        <f t="shared" si="0"/>
        <v>MAELZER KURT</v>
      </c>
    </row>
    <row r="19" spans="1:7" x14ac:dyDescent="0.25">
      <c r="A19" s="8">
        <v>42814.193807870368</v>
      </c>
      <c r="B19" s="20" t="s">
        <v>537</v>
      </c>
      <c r="C19" s="20" t="s">
        <v>664</v>
      </c>
      <c r="D19" s="150">
        <v>1260000</v>
      </c>
      <c r="E19" s="20" t="s">
        <v>661</v>
      </c>
      <c r="F19" s="20" t="s">
        <v>662</v>
      </c>
      <c r="G19" s="8" t="str">
        <f t="shared" si="0"/>
        <v>ACKERMAN JARED</v>
      </c>
    </row>
    <row r="20" spans="1:7" x14ac:dyDescent="0.25">
      <c r="A20" s="8">
        <v>42814.202557870369</v>
      </c>
      <c r="B20" s="20" t="s">
        <v>408</v>
      </c>
      <c r="C20" s="20" t="s">
        <v>665</v>
      </c>
      <c r="D20" s="150">
        <v>1990000</v>
      </c>
      <c r="E20" s="20" t="s">
        <v>463</v>
      </c>
      <c r="F20" s="20" t="s">
        <v>464</v>
      </c>
      <c r="G20" s="8" t="str">
        <f t="shared" si="0"/>
        <v>DAVIS WENDY</v>
      </c>
    </row>
    <row r="21" spans="1:7" x14ac:dyDescent="0.25">
      <c r="A21" s="8">
        <v>42814.20484953704</v>
      </c>
      <c r="B21" s="20" t="s">
        <v>408</v>
      </c>
      <c r="C21" s="20" t="s">
        <v>665</v>
      </c>
      <c r="D21" s="150">
        <v>1990000</v>
      </c>
      <c r="E21" s="20" t="s">
        <v>463</v>
      </c>
      <c r="F21" s="20" t="s">
        <v>464</v>
      </c>
      <c r="G21" s="8" t="str">
        <f t="shared" si="0"/>
        <v>DAVIS WENDY</v>
      </c>
    </row>
    <row r="22" spans="1:7" x14ac:dyDescent="0.25">
      <c r="A22" s="26">
        <v>42814.204872685186</v>
      </c>
      <c r="B22" s="20" t="s">
        <v>542</v>
      </c>
      <c r="C22" s="20" t="s">
        <v>666</v>
      </c>
      <c r="D22" s="150">
        <v>1360000</v>
      </c>
      <c r="E22" s="20" t="s">
        <v>465</v>
      </c>
      <c r="F22" s="20" t="s">
        <v>466</v>
      </c>
      <c r="G22" s="8" t="str">
        <f t="shared" si="0"/>
        <v>SANTIZO D. EDY</v>
      </c>
    </row>
    <row r="23" spans="1:7" x14ac:dyDescent="0.25">
      <c r="A23" s="8">
        <v>42814.206446759257</v>
      </c>
      <c r="B23" s="20" t="s">
        <v>424</v>
      </c>
      <c r="C23" s="20" t="s">
        <v>667</v>
      </c>
      <c r="D23" s="150">
        <v>3040000</v>
      </c>
      <c r="E23" s="20" t="s">
        <v>668</v>
      </c>
      <c r="F23" s="20" t="s">
        <v>669</v>
      </c>
      <c r="G23" s="8" t="str">
        <f t="shared" si="0"/>
        <v>WILLIAMS DONTE</v>
      </c>
    </row>
    <row r="24" spans="1:7" x14ac:dyDescent="0.25">
      <c r="A24" s="8">
        <v>42814.21466435185</v>
      </c>
      <c r="B24" s="20" t="s">
        <v>407</v>
      </c>
      <c r="C24" s="20" t="s">
        <v>670</v>
      </c>
      <c r="D24" s="150">
        <v>1990000</v>
      </c>
      <c r="E24" s="20" t="s">
        <v>463</v>
      </c>
      <c r="F24" s="20" t="s">
        <v>464</v>
      </c>
      <c r="G24" s="8" t="str">
        <f t="shared" si="0"/>
        <v>DAVIS WENDY</v>
      </c>
    </row>
    <row r="25" spans="1:7" x14ac:dyDescent="0.25">
      <c r="A25" s="8">
        <v>42814.214872685188</v>
      </c>
      <c r="B25" s="20" t="s">
        <v>439</v>
      </c>
      <c r="C25" s="20" t="s">
        <v>671</v>
      </c>
      <c r="D25" s="150">
        <v>1110000</v>
      </c>
      <c r="E25" s="20" t="s">
        <v>653</v>
      </c>
      <c r="F25" s="20" t="s">
        <v>654</v>
      </c>
      <c r="G25" s="8" t="str">
        <f t="shared" si="0"/>
        <v>STARKS ANGELINA</v>
      </c>
    </row>
    <row r="26" spans="1:7" x14ac:dyDescent="0.25">
      <c r="A26" s="8">
        <v>42814.222094907411</v>
      </c>
      <c r="B26" s="20" t="s">
        <v>523</v>
      </c>
      <c r="C26" s="20" t="s">
        <v>672</v>
      </c>
      <c r="D26" s="150">
        <v>2970000</v>
      </c>
      <c r="E26" s="20" t="s">
        <v>656</v>
      </c>
      <c r="F26" s="20" t="s">
        <v>657</v>
      </c>
      <c r="G26" s="8" t="str">
        <f t="shared" si="0"/>
        <v>GUZMAN DANNY</v>
      </c>
    </row>
    <row r="27" spans="1:7" x14ac:dyDescent="0.25">
      <c r="A27" s="8">
        <v>42814.225277777776</v>
      </c>
      <c r="B27" s="20" t="s">
        <v>412</v>
      </c>
      <c r="C27" s="20" t="s">
        <v>673</v>
      </c>
      <c r="D27" s="150">
        <v>2140000</v>
      </c>
      <c r="E27" s="20" t="s">
        <v>422</v>
      </c>
      <c r="F27" s="20" t="s">
        <v>423</v>
      </c>
      <c r="G27" s="8" t="str">
        <f t="shared" si="0"/>
        <v>ROBINSON KADDIBA</v>
      </c>
    </row>
    <row r="28" spans="1:7" x14ac:dyDescent="0.25">
      <c r="A28" s="8">
        <v>42814.227638888886</v>
      </c>
      <c r="B28" s="20" t="s">
        <v>531</v>
      </c>
      <c r="C28" s="20" t="s">
        <v>674</v>
      </c>
      <c r="D28" s="150">
        <v>2010000</v>
      </c>
      <c r="E28" s="20" t="s">
        <v>467</v>
      </c>
      <c r="F28" s="20" t="s">
        <v>468</v>
      </c>
      <c r="G28" s="8" t="str">
        <f t="shared" si="0"/>
        <v>MAELZER KURT</v>
      </c>
    </row>
    <row r="29" spans="1:7" x14ac:dyDescent="0.25">
      <c r="A29" s="8">
        <v>42814.23133101852</v>
      </c>
      <c r="B29" s="20" t="s">
        <v>534</v>
      </c>
      <c r="C29" s="20" t="s">
        <v>675</v>
      </c>
      <c r="D29" s="150">
        <v>1260000</v>
      </c>
      <c r="E29" s="20" t="s">
        <v>661</v>
      </c>
      <c r="F29" s="20" t="s">
        <v>662</v>
      </c>
      <c r="G29" s="8" t="str">
        <f t="shared" si="0"/>
        <v>ACKERMAN JARED</v>
      </c>
    </row>
    <row r="30" spans="1:7" x14ac:dyDescent="0.25">
      <c r="A30" s="8">
        <v>42814.235115740739</v>
      </c>
      <c r="B30" s="20" t="s">
        <v>421</v>
      </c>
      <c r="C30" s="20" t="s">
        <v>600</v>
      </c>
      <c r="D30" s="150">
        <v>3020000</v>
      </c>
      <c r="E30" s="20" t="s">
        <v>676</v>
      </c>
      <c r="F30" s="20" t="s">
        <v>677</v>
      </c>
      <c r="G30" s="8" t="str">
        <f t="shared" si="0"/>
        <v>MENGES BRAD</v>
      </c>
    </row>
    <row r="31" spans="1:7" x14ac:dyDescent="0.25">
      <c r="A31" s="8">
        <v>42814.241631944446</v>
      </c>
      <c r="B31" s="20" t="s">
        <v>408</v>
      </c>
      <c r="C31" s="20" t="s">
        <v>598</v>
      </c>
      <c r="D31" s="150">
        <v>1990000</v>
      </c>
      <c r="E31" s="20" t="s">
        <v>463</v>
      </c>
      <c r="F31" s="20" t="s">
        <v>464</v>
      </c>
      <c r="G31" s="8" t="str">
        <f t="shared" si="0"/>
        <v>DAVIS WENDY</v>
      </c>
    </row>
    <row r="32" spans="1:7" x14ac:dyDescent="0.25">
      <c r="A32" s="8">
        <v>42814.245567129627</v>
      </c>
      <c r="B32" s="20" t="s">
        <v>530</v>
      </c>
      <c r="C32" s="20" t="s">
        <v>678</v>
      </c>
      <c r="D32" s="150">
        <v>1360000</v>
      </c>
      <c r="E32" s="20" t="s">
        <v>465</v>
      </c>
      <c r="F32" s="20" t="s">
        <v>466</v>
      </c>
      <c r="G32" s="8" t="str">
        <f t="shared" si="0"/>
        <v>SANTIZO D. EDY</v>
      </c>
    </row>
    <row r="33" spans="1:7" x14ac:dyDescent="0.25">
      <c r="A33" s="8">
        <v>42814.248379629629</v>
      </c>
      <c r="B33" s="20" t="s">
        <v>402</v>
      </c>
      <c r="C33" s="20" t="s">
        <v>679</v>
      </c>
      <c r="D33" s="150">
        <v>1110000</v>
      </c>
      <c r="E33" s="20" t="s">
        <v>653</v>
      </c>
      <c r="F33" s="20" t="s">
        <v>654</v>
      </c>
      <c r="G33" s="8" t="str">
        <f t="shared" si="0"/>
        <v>STARKS ANGELINA</v>
      </c>
    </row>
    <row r="34" spans="1:7" x14ac:dyDescent="0.25">
      <c r="A34" s="8">
        <v>42814.249814814815</v>
      </c>
      <c r="B34" s="20" t="s">
        <v>680</v>
      </c>
      <c r="C34" s="20" t="s">
        <v>681</v>
      </c>
      <c r="D34" s="150">
        <v>3010000</v>
      </c>
      <c r="E34" s="20" t="s">
        <v>682</v>
      </c>
      <c r="F34" s="20" t="s">
        <v>683</v>
      </c>
      <c r="G34" s="8" t="str">
        <f t="shared" si="0"/>
        <v>SULLIVAN BRANDON</v>
      </c>
    </row>
    <row r="35" spans="1:7" x14ac:dyDescent="0.25">
      <c r="A35" s="8">
        <v>42814.255289351851</v>
      </c>
      <c r="B35" s="20" t="s">
        <v>407</v>
      </c>
      <c r="C35" s="20" t="s">
        <v>599</v>
      </c>
      <c r="D35" s="150">
        <v>1990000</v>
      </c>
      <c r="E35" s="20" t="s">
        <v>463</v>
      </c>
      <c r="F35" s="20" t="s">
        <v>464</v>
      </c>
      <c r="G35" s="8" t="str">
        <f t="shared" si="0"/>
        <v>DAVIS WENDY</v>
      </c>
    </row>
    <row r="36" spans="1:7" x14ac:dyDescent="0.25">
      <c r="A36" s="8">
        <v>42814.257418981484</v>
      </c>
      <c r="B36" s="20" t="s">
        <v>526</v>
      </c>
      <c r="C36" s="20" t="s">
        <v>684</v>
      </c>
      <c r="D36" s="150">
        <v>2970000</v>
      </c>
      <c r="E36" s="20" t="s">
        <v>656</v>
      </c>
      <c r="F36" s="20" t="s">
        <v>657</v>
      </c>
      <c r="G36" s="8" t="str">
        <f t="shared" si="0"/>
        <v>GUZMAN DANNY</v>
      </c>
    </row>
    <row r="37" spans="1:7" x14ac:dyDescent="0.25">
      <c r="A37" s="8">
        <v>42814.262777777774</v>
      </c>
      <c r="B37" s="20" t="s">
        <v>411</v>
      </c>
      <c r="C37" s="20" t="s">
        <v>603</v>
      </c>
      <c r="D37" s="150">
        <v>2140000</v>
      </c>
      <c r="E37" s="20" t="s">
        <v>422</v>
      </c>
      <c r="F37" s="20" t="s">
        <v>423</v>
      </c>
      <c r="G37" s="8" t="str">
        <f t="shared" si="0"/>
        <v>ROBINSON KADDIBA</v>
      </c>
    </row>
    <row r="38" spans="1:7" x14ac:dyDescent="0.25">
      <c r="A38" s="8">
        <v>42814.266516203701</v>
      </c>
      <c r="B38" s="20" t="s">
        <v>537</v>
      </c>
      <c r="C38" s="20" t="s">
        <v>685</v>
      </c>
      <c r="D38" s="150">
        <v>1260000</v>
      </c>
      <c r="E38" s="20" t="s">
        <v>661</v>
      </c>
      <c r="F38" s="20" t="s">
        <v>662</v>
      </c>
      <c r="G38" s="8" t="str">
        <f t="shared" si="0"/>
        <v>ACKERMAN JARED</v>
      </c>
    </row>
    <row r="39" spans="1:7" x14ac:dyDescent="0.25">
      <c r="A39" s="8">
        <v>42814.272453703707</v>
      </c>
      <c r="B39" s="20" t="s">
        <v>525</v>
      </c>
      <c r="C39" s="20" t="s">
        <v>686</v>
      </c>
      <c r="D39" s="150">
        <v>2010000</v>
      </c>
      <c r="E39" s="20" t="s">
        <v>467</v>
      </c>
      <c r="F39" s="20" t="s">
        <v>468</v>
      </c>
      <c r="G39" s="8" t="str">
        <f t="shared" si="0"/>
        <v>MAELZER KURT</v>
      </c>
    </row>
    <row r="40" spans="1:7" x14ac:dyDescent="0.25">
      <c r="A40" s="8">
        <v>42814.277905092589</v>
      </c>
      <c r="B40" s="25" t="s">
        <v>424</v>
      </c>
      <c r="C40" s="20" t="s">
        <v>602</v>
      </c>
      <c r="D40" s="150">
        <v>3040000</v>
      </c>
      <c r="E40" s="20" t="s">
        <v>668</v>
      </c>
      <c r="F40" s="20" t="s">
        <v>669</v>
      </c>
      <c r="G40" s="8" t="str">
        <f t="shared" si="0"/>
        <v>WILLIAMS DONTE</v>
      </c>
    </row>
    <row r="41" spans="1:7" x14ac:dyDescent="0.25">
      <c r="A41" s="8">
        <v>42814.279849537037</v>
      </c>
      <c r="B41" s="20" t="s">
        <v>527</v>
      </c>
      <c r="C41" s="20" t="s">
        <v>601</v>
      </c>
      <c r="D41" s="150">
        <v>3010000</v>
      </c>
      <c r="E41" s="20" t="s">
        <v>682</v>
      </c>
      <c r="F41" s="20" t="s">
        <v>683</v>
      </c>
      <c r="G41" s="8" t="str">
        <f t="shared" si="0"/>
        <v>SULLIVAN BRANDON</v>
      </c>
    </row>
    <row r="42" spans="1:7" x14ac:dyDescent="0.25">
      <c r="A42" s="8">
        <v>42814.282557870371</v>
      </c>
      <c r="B42" s="20" t="s">
        <v>408</v>
      </c>
      <c r="C42" s="20" t="s">
        <v>604</v>
      </c>
      <c r="D42" s="150">
        <v>1990000</v>
      </c>
      <c r="E42" s="20" t="s">
        <v>463</v>
      </c>
      <c r="F42" s="20" t="s">
        <v>464</v>
      </c>
      <c r="G42" s="8" t="str">
        <f t="shared" si="0"/>
        <v>DAVIS WENDY</v>
      </c>
    </row>
    <row r="43" spans="1:7" x14ac:dyDescent="0.25">
      <c r="A43" s="8">
        <v>42814.284548611111</v>
      </c>
      <c r="B43" s="20" t="s">
        <v>401</v>
      </c>
      <c r="C43" s="20" t="s">
        <v>687</v>
      </c>
      <c r="D43" s="150">
        <v>1110000</v>
      </c>
      <c r="E43" s="20" t="s">
        <v>653</v>
      </c>
      <c r="F43" s="20" t="s">
        <v>654</v>
      </c>
      <c r="G43" s="8" t="str">
        <f t="shared" si="0"/>
        <v>STARKS ANGELINA</v>
      </c>
    </row>
    <row r="44" spans="1:7" x14ac:dyDescent="0.25">
      <c r="A44" s="8">
        <v>42814.286261574074</v>
      </c>
      <c r="B44" s="20" t="s">
        <v>542</v>
      </c>
      <c r="C44" s="20" t="s">
        <v>688</v>
      </c>
      <c r="D44" s="150">
        <v>1360000</v>
      </c>
      <c r="E44" s="20" t="s">
        <v>465</v>
      </c>
      <c r="F44" s="20" t="s">
        <v>466</v>
      </c>
      <c r="G44" s="8" t="str">
        <f t="shared" si="0"/>
        <v>SANTIZO D. EDY</v>
      </c>
    </row>
    <row r="45" spans="1:7" x14ac:dyDescent="0.25">
      <c r="A45" s="8">
        <v>42814.29277777778</v>
      </c>
      <c r="B45" s="20" t="s">
        <v>523</v>
      </c>
      <c r="C45" s="20" t="s">
        <v>689</v>
      </c>
      <c r="D45" s="150">
        <v>2970000</v>
      </c>
      <c r="E45" s="20" t="s">
        <v>656</v>
      </c>
      <c r="F45" s="20" t="s">
        <v>657</v>
      </c>
      <c r="G45" s="8" t="str">
        <f t="shared" si="0"/>
        <v>GUZMAN DANNY</v>
      </c>
    </row>
    <row r="46" spans="1:7" x14ac:dyDescent="0.25">
      <c r="A46" s="8">
        <v>42814.297673611109</v>
      </c>
      <c r="B46" s="20" t="s">
        <v>407</v>
      </c>
      <c r="C46" s="20" t="s">
        <v>605</v>
      </c>
      <c r="D46" s="150">
        <v>1990000</v>
      </c>
      <c r="E46" s="20" t="s">
        <v>463</v>
      </c>
      <c r="F46" s="20" t="s">
        <v>464</v>
      </c>
      <c r="G46" s="8" t="str">
        <f t="shared" si="0"/>
        <v>DAVIS WENDY</v>
      </c>
    </row>
    <row r="47" spans="1:7" x14ac:dyDescent="0.25">
      <c r="A47" s="8">
        <v>42814.298136574071</v>
      </c>
      <c r="B47" s="20" t="s">
        <v>412</v>
      </c>
      <c r="C47" s="20" t="s">
        <v>690</v>
      </c>
      <c r="D47" s="150">
        <v>2140000</v>
      </c>
      <c r="E47" s="20" t="s">
        <v>422</v>
      </c>
      <c r="F47" s="20" t="s">
        <v>423</v>
      </c>
      <c r="G47" s="8" t="str">
        <f t="shared" si="0"/>
        <v>ROBINSON KADDIBA</v>
      </c>
    </row>
    <row r="48" spans="1:7" x14ac:dyDescent="0.25">
      <c r="A48" s="8">
        <v>42814.30263888889</v>
      </c>
      <c r="B48" s="20" t="s">
        <v>534</v>
      </c>
      <c r="C48" s="20" t="s">
        <v>691</v>
      </c>
      <c r="D48" s="150">
        <v>1260000</v>
      </c>
      <c r="E48" s="20" t="s">
        <v>661</v>
      </c>
      <c r="F48" s="20" t="s">
        <v>662</v>
      </c>
      <c r="G48" s="8" t="str">
        <f t="shared" si="0"/>
        <v>ACKERMAN JARED</v>
      </c>
    </row>
    <row r="49" spans="1:7" x14ac:dyDescent="0.25">
      <c r="A49" s="8">
        <v>42814.304282407407</v>
      </c>
      <c r="B49" s="20" t="s">
        <v>524</v>
      </c>
      <c r="C49" s="20" t="s">
        <v>606</v>
      </c>
      <c r="D49" s="150">
        <v>3010000</v>
      </c>
      <c r="E49" s="20" t="s">
        <v>682</v>
      </c>
      <c r="F49" s="20" t="s">
        <v>683</v>
      </c>
      <c r="G49" s="8" t="str">
        <f t="shared" si="0"/>
        <v>SULLIVAN BRANDON</v>
      </c>
    </row>
    <row r="50" spans="1:7" x14ac:dyDescent="0.25">
      <c r="A50" s="8">
        <v>42814.309062499997</v>
      </c>
      <c r="B50" s="20" t="s">
        <v>531</v>
      </c>
      <c r="C50" s="20" t="s">
        <v>692</v>
      </c>
      <c r="D50" s="150">
        <v>2010000</v>
      </c>
      <c r="E50" s="20" t="s">
        <v>467</v>
      </c>
      <c r="F50" s="20" t="s">
        <v>468</v>
      </c>
      <c r="G50" s="8" t="str">
        <f t="shared" si="0"/>
        <v>MAELZER KURT</v>
      </c>
    </row>
    <row r="51" spans="1:7" x14ac:dyDescent="0.25">
      <c r="A51" s="8">
        <v>42814.310081018521</v>
      </c>
      <c r="B51" s="20" t="s">
        <v>421</v>
      </c>
      <c r="C51" s="20" t="s">
        <v>607</v>
      </c>
      <c r="D51" s="150">
        <v>3040000</v>
      </c>
      <c r="E51" s="20" t="s">
        <v>668</v>
      </c>
      <c r="F51" s="20" t="s">
        <v>669</v>
      </c>
      <c r="G51" s="8" t="str">
        <f t="shared" si="0"/>
        <v>WILLIAMS DONTE</v>
      </c>
    </row>
    <row r="52" spans="1:7" x14ac:dyDescent="0.25">
      <c r="A52" s="8">
        <v>42814.318449074075</v>
      </c>
      <c r="B52" s="20" t="s">
        <v>530</v>
      </c>
      <c r="C52" s="20" t="s">
        <v>613</v>
      </c>
      <c r="D52" s="150">
        <v>1360000</v>
      </c>
      <c r="E52" s="20" t="s">
        <v>465</v>
      </c>
      <c r="F52" s="20" t="s">
        <v>466</v>
      </c>
      <c r="G52" s="8" t="str">
        <f t="shared" si="0"/>
        <v>SANTIZO D. EDY</v>
      </c>
    </row>
    <row r="53" spans="1:7" x14ac:dyDescent="0.25">
      <c r="A53" s="8">
        <v>42814.319606481484</v>
      </c>
      <c r="B53" s="20" t="s">
        <v>402</v>
      </c>
      <c r="C53" s="20" t="s">
        <v>608</v>
      </c>
      <c r="D53" s="150">
        <v>1110000</v>
      </c>
      <c r="E53" s="20" t="s">
        <v>653</v>
      </c>
      <c r="F53" s="20" t="s">
        <v>654</v>
      </c>
      <c r="G53" s="8" t="str">
        <f t="shared" si="0"/>
        <v>STARKS ANGELINA</v>
      </c>
    </row>
    <row r="54" spans="1:7" x14ac:dyDescent="0.25">
      <c r="A54" s="8">
        <v>42814.320648148147</v>
      </c>
      <c r="B54" s="20" t="s">
        <v>527</v>
      </c>
      <c r="C54" s="20" t="s">
        <v>609</v>
      </c>
      <c r="D54" s="150">
        <v>3010000</v>
      </c>
      <c r="E54" s="20" t="s">
        <v>682</v>
      </c>
      <c r="F54" s="20" t="s">
        <v>683</v>
      </c>
      <c r="G54" s="8" t="str">
        <f t="shared" si="0"/>
        <v>SULLIVAN BRANDON</v>
      </c>
    </row>
    <row r="55" spans="1:7" x14ac:dyDescent="0.25">
      <c r="A55" s="8">
        <v>42814.324421296296</v>
      </c>
      <c r="B55" s="20" t="s">
        <v>408</v>
      </c>
      <c r="C55" s="20" t="s">
        <v>610</v>
      </c>
      <c r="D55" s="150">
        <v>1990000</v>
      </c>
      <c r="E55" s="20" t="s">
        <v>463</v>
      </c>
      <c r="F55" s="20" t="s">
        <v>464</v>
      </c>
      <c r="G55" s="8" t="str">
        <f t="shared" si="0"/>
        <v>DAVIS WENDY</v>
      </c>
    </row>
    <row r="56" spans="1:7" x14ac:dyDescent="0.25">
      <c r="A56" s="8">
        <v>42814.329722222225</v>
      </c>
      <c r="B56" s="20" t="s">
        <v>526</v>
      </c>
      <c r="C56" s="20" t="s">
        <v>693</v>
      </c>
      <c r="D56" s="150">
        <v>2970000</v>
      </c>
      <c r="E56" s="20" t="s">
        <v>656</v>
      </c>
      <c r="F56" s="20" t="s">
        <v>657</v>
      </c>
      <c r="G56" s="8" t="str">
        <f t="shared" si="0"/>
        <v>GUZMAN DANNY</v>
      </c>
    </row>
    <row r="57" spans="1:7" x14ac:dyDescent="0.25">
      <c r="A57" s="8">
        <v>42814.336851851855</v>
      </c>
      <c r="B57" s="20" t="s">
        <v>411</v>
      </c>
      <c r="C57" s="20" t="s">
        <v>694</v>
      </c>
      <c r="D57" s="150">
        <v>2140000</v>
      </c>
      <c r="E57" s="20" t="s">
        <v>422</v>
      </c>
      <c r="F57" s="20" t="s">
        <v>423</v>
      </c>
      <c r="G57" s="8" t="str">
        <f t="shared" si="0"/>
        <v>ROBINSON KADDIBA</v>
      </c>
    </row>
    <row r="58" spans="1:7" x14ac:dyDescent="0.25">
      <c r="A58" s="8">
        <v>42814.337824074071</v>
      </c>
      <c r="B58" s="20" t="s">
        <v>407</v>
      </c>
      <c r="C58" s="20" t="s">
        <v>611</v>
      </c>
      <c r="D58" s="150">
        <v>1990000</v>
      </c>
      <c r="E58" s="20" t="s">
        <v>463</v>
      </c>
      <c r="F58" s="20" t="s">
        <v>464</v>
      </c>
      <c r="G58" s="8" t="str">
        <f t="shared" si="0"/>
        <v>DAVIS WENDY</v>
      </c>
    </row>
    <row r="59" spans="1:7" x14ac:dyDescent="0.25">
      <c r="A59" s="8">
        <v>42814.33929398148</v>
      </c>
      <c r="B59" s="20" t="s">
        <v>537</v>
      </c>
      <c r="C59" s="20" t="s">
        <v>695</v>
      </c>
      <c r="D59" s="150">
        <v>1260000</v>
      </c>
      <c r="E59" s="20" t="s">
        <v>661</v>
      </c>
      <c r="F59" s="20" t="s">
        <v>662</v>
      </c>
      <c r="G59" s="8" t="str">
        <f t="shared" si="0"/>
        <v>ACKERMAN JARED</v>
      </c>
    </row>
    <row r="60" spans="1:7" x14ac:dyDescent="0.25">
      <c r="A60" s="8">
        <v>42814.346168981479</v>
      </c>
      <c r="B60" s="20" t="s">
        <v>525</v>
      </c>
      <c r="C60" s="20" t="s">
        <v>696</v>
      </c>
      <c r="D60" s="150">
        <v>2010000</v>
      </c>
      <c r="E60" s="20" t="s">
        <v>467</v>
      </c>
      <c r="F60" s="20" t="s">
        <v>468</v>
      </c>
      <c r="G60" s="8" t="str">
        <f t="shared" si="0"/>
        <v>MAELZER KURT</v>
      </c>
    </row>
    <row r="61" spans="1:7" x14ac:dyDescent="0.25">
      <c r="A61" s="8">
        <v>42814.347025462965</v>
      </c>
      <c r="B61" s="20" t="s">
        <v>524</v>
      </c>
      <c r="C61" s="20" t="s">
        <v>612</v>
      </c>
      <c r="D61" s="150">
        <v>3010000</v>
      </c>
      <c r="E61" s="20" t="s">
        <v>682</v>
      </c>
      <c r="F61" s="20" t="s">
        <v>683</v>
      </c>
      <c r="G61" s="8" t="str">
        <f t="shared" si="0"/>
        <v>SULLIVAN BRANDON</v>
      </c>
    </row>
    <row r="62" spans="1:7" x14ac:dyDescent="0.25">
      <c r="A62" s="8">
        <v>42814.350914351853</v>
      </c>
      <c r="B62" s="20" t="s">
        <v>424</v>
      </c>
      <c r="C62" s="20" t="s">
        <v>697</v>
      </c>
      <c r="D62" s="150">
        <v>3040000</v>
      </c>
      <c r="E62" s="20" t="s">
        <v>668</v>
      </c>
      <c r="F62" s="20" t="s">
        <v>669</v>
      </c>
      <c r="G62" s="8" t="str">
        <f t="shared" si="0"/>
        <v>WILLIAMS DONTE</v>
      </c>
    </row>
    <row r="63" spans="1:7" x14ac:dyDescent="0.25">
      <c r="A63" s="8">
        <v>42814.353530092594</v>
      </c>
      <c r="B63" s="20" t="s">
        <v>408</v>
      </c>
      <c r="C63" s="20" t="s">
        <v>698</v>
      </c>
      <c r="D63" s="150">
        <v>1990000</v>
      </c>
      <c r="E63" s="20" t="s">
        <v>463</v>
      </c>
      <c r="F63" s="20" t="s">
        <v>464</v>
      </c>
      <c r="G63" s="8" t="str">
        <f t="shared" si="0"/>
        <v>DAVIS WENDY</v>
      </c>
    </row>
    <row r="64" spans="1:7" x14ac:dyDescent="0.25">
      <c r="A64" s="26">
        <v>42814.358842592592</v>
      </c>
      <c r="B64" s="20" t="s">
        <v>527</v>
      </c>
      <c r="C64" s="20" t="s">
        <v>699</v>
      </c>
      <c r="D64" s="150">
        <v>3010000</v>
      </c>
      <c r="E64" s="20" t="s">
        <v>682</v>
      </c>
      <c r="F64" s="20" t="s">
        <v>683</v>
      </c>
      <c r="G64" s="8" t="str">
        <f t="shared" si="0"/>
        <v>SULLIVAN BRANDON</v>
      </c>
    </row>
    <row r="65" spans="1:7" x14ac:dyDescent="0.25">
      <c r="A65" s="8">
        <v>42814.359953703701</v>
      </c>
      <c r="B65" s="20" t="s">
        <v>542</v>
      </c>
      <c r="C65" s="20" t="s">
        <v>700</v>
      </c>
      <c r="D65" s="150">
        <v>1360000</v>
      </c>
      <c r="E65" s="20" t="s">
        <v>465</v>
      </c>
      <c r="F65" s="20" t="s">
        <v>466</v>
      </c>
      <c r="G65" s="8" t="str">
        <f t="shared" si="0"/>
        <v>SANTIZO D. EDY</v>
      </c>
    </row>
    <row r="66" spans="1:7" x14ac:dyDescent="0.25">
      <c r="A66" s="8">
        <v>42814.359965277778</v>
      </c>
      <c r="B66" s="20" t="s">
        <v>401</v>
      </c>
      <c r="C66" s="20" t="s">
        <v>614</v>
      </c>
      <c r="D66" s="150">
        <v>1110000</v>
      </c>
      <c r="E66" s="20" t="s">
        <v>653</v>
      </c>
      <c r="F66" s="20" t="s">
        <v>654</v>
      </c>
      <c r="G66" s="8" t="str">
        <f t="shared" si="0"/>
        <v>STARKS ANGELINA</v>
      </c>
    </row>
    <row r="67" spans="1:7" x14ac:dyDescent="0.25">
      <c r="A67" s="8">
        <v>42814.367465277777</v>
      </c>
      <c r="B67" s="20" t="s">
        <v>523</v>
      </c>
      <c r="C67" s="20" t="s">
        <v>701</v>
      </c>
      <c r="D67" s="150">
        <v>2970000</v>
      </c>
      <c r="E67" s="20" t="s">
        <v>656</v>
      </c>
      <c r="F67" s="20" t="s">
        <v>657</v>
      </c>
      <c r="G67" s="8" t="str">
        <f t="shared" ref="G67:G130" si="1">E67&amp;" "&amp;F67</f>
        <v>GUZMAN DANNY</v>
      </c>
    </row>
    <row r="68" spans="1:7" x14ac:dyDescent="0.25">
      <c r="A68" s="8">
        <v>42814.369884259257</v>
      </c>
      <c r="B68" s="20" t="s">
        <v>401</v>
      </c>
      <c r="C68" s="20" t="s">
        <v>614</v>
      </c>
      <c r="D68" s="150">
        <v>1110000</v>
      </c>
      <c r="E68" s="20" t="s">
        <v>653</v>
      </c>
      <c r="F68" s="20" t="s">
        <v>654</v>
      </c>
      <c r="G68" s="8" t="str">
        <f t="shared" si="1"/>
        <v>STARKS ANGELINA</v>
      </c>
    </row>
    <row r="69" spans="1:7" x14ac:dyDescent="0.25">
      <c r="A69" s="8">
        <v>42814.371562499997</v>
      </c>
      <c r="B69" s="20" t="s">
        <v>412</v>
      </c>
      <c r="C69" s="20" t="s">
        <v>702</v>
      </c>
      <c r="D69" s="150">
        <v>2140000</v>
      </c>
      <c r="E69" s="20" t="s">
        <v>422</v>
      </c>
      <c r="F69" s="20" t="s">
        <v>423</v>
      </c>
      <c r="G69" s="8" t="str">
        <f t="shared" si="1"/>
        <v>ROBINSON KADDIBA</v>
      </c>
    </row>
    <row r="70" spans="1:7" x14ac:dyDescent="0.25">
      <c r="A70" s="8">
        <v>42814.376643518517</v>
      </c>
      <c r="B70" s="20" t="s">
        <v>534</v>
      </c>
      <c r="C70" s="20" t="s">
        <v>703</v>
      </c>
      <c r="D70" s="150">
        <v>1260000</v>
      </c>
      <c r="E70" s="20" t="s">
        <v>661</v>
      </c>
      <c r="F70" s="20" t="s">
        <v>662</v>
      </c>
      <c r="G70" s="8" t="str">
        <f t="shared" si="1"/>
        <v>ACKERMAN JARED</v>
      </c>
    </row>
    <row r="71" spans="1:7" x14ac:dyDescent="0.25">
      <c r="A71" s="8">
        <v>42814.382094907407</v>
      </c>
      <c r="B71" s="20" t="s">
        <v>421</v>
      </c>
      <c r="C71" s="20" t="s">
        <v>617</v>
      </c>
      <c r="D71" s="150">
        <v>3040000</v>
      </c>
      <c r="E71" s="20" t="s">
        <v>668</v>
      </c>
      <c r="F71" s="20" t="s">
        <v>669</v>
      </c>
      <c r="G71" s="8" t="str">
        <f t="shared" si="1"/>
        <v>WILLIAMS DONTE</v>
      </c>
    </row>
    <row r="72" spans="1:7" x14ac:dyDescent="0.25">
      <c r="A72" s="8">
        <v>42814.382187499999</v>
      </c>
      <c r="B72" s="20" t="s">
        <v>531</v>
      </c>
      <c r="C72" s="20" t="s">
        <v>615</v>
      </c>
      <c r="D72" s="150">
        <v>2010000</v>
      </c>
      <c r="E72" s="20" t="s">
        <v>467</v>
      </c>
      <c r="F72" s="20" t="s">
        <v>468</v>
      </c>
      <c r="G72" s="8" t="str">
        <f t="shared" si="1"/>
        <v>MAELZER KURT</v>
      </c>
    </row>
    <row r="73" spans="1:7" x14ac:dyDescent="0.25">
      <c r="A73" s="8">
        <v>42814.382789351854</v>
      </c>
      <c r="B73" s="20" t="s">
        <v>524</v>
      </c>
      <c r="C73" s="20" t="s">
        <v>704</v>
      </c>
      <c r="D73" s="150">
        <v>3010000</v>
      </c>
      <c r="E73" s="20" t="s">
        <v>682</v>
      </c>
      <c r="F73" s="20" t="s">
        <v>683</v>
      </c>
      <c r="G73" s="8" t="str">
        <f t="shared" si="1"/>
        <v>SULLIVAN BRANDON</v>
      </c>
    </row>
    <row r="74" spans="1:7" x14ac:dyDescent="0.25">
      <c r="A74" s="8">
        <v>42814.391469907408</v>
      </c>
      <c r="B74" s="20" t="s">
        <v>530</v>
      </c>
      <c r="C74" s="20" t="s">
        <v>705</v>
      </c>
      <c r="D74" s="150">
        <v>1360000</v>
      </c>
      <c r="E74" s="20" t="s">
        <v>465</v>
      </c>
      <c r="F74" s="20" t="s">
        <v>466</v>
      </c>
      <c r="G74" s="8" t="str">
        <f t="shared" si="1"/>
        <v>SANTIZO D. EDY</v>
      </c>
    </row>
    <row r="75" spans="1:7" x14ac:dyDescent="0.25">
      <c r="A75" s="8">
        <v>42814.395127314812</v>
      </c>
      <c r="B75" s="20" t="s">
        <v>402</v>
      </c>
      <c r="C75" s="20" t="s">
        <v>616</v>
      </c>
      <c r="D75" s="150">
        <v>1110000</v>
      </c>
      <c r="E75" s="20" t="s">
        <v>653</v>
      </c>
      <c r="F75" s="20" t="s">
        <v>654</v>
      </c>
      <c r="G75" s="8" t="str">
        <f t="shared" si="1"/>
        <v>STARKS ANGELINA</v>
      </c>
    </row>
    <row r="76" spans="1:7" x14ac:dyDescent="0.25">
      <c r="A76" s="8">
        <v>42814.401620370372</v>
      </c>
      <c r="B76" s="20" t="s">
        <v>527</v>
      </c>
      <c r="C76" s="20" t="s">
        <v>706</v>
      </c>
      <c r="D76" s="150">
        <v>3010000</v>
      </c>
      <c r="E76" s="20" t="s">
        <v>682</v>
      </c>
      <c r="F76" s="20" t="s">
        <v>683</v>
      </c>
      <c r="G76" s="8" t="str">
        <f t="shared" si="1"/>
        <v>SULLIVAN BRANDON</v>
      </c>
    </row>
    <row r="77" spans="1:7" x14ac:dyDescent="0.25">
      <c r="A77" s="8">
        <v>42814.402395833335</v>
      </c>
      <c r="B77" s="20" t="s">
        <v>526</v>
      </c>
      <c r="C77" s="20" t="s">
        <v>707</v>
      </c>
      <c r="D77" s="150">
        <v>2970000</v>
      </c>
      <c r="E77" s="20" t="s">
        <v>656</v>
      </c>
      <c r="F77" s="20" t="s">
        <v>657</v>
      </c>
      <c r="G77" s="8" t="str">
        <f t="shared" si="1"/>
        <v>GUZMAN DANNY</v>
      </c>
    </row>
    <row r="78" spans="1:7" x14ac:dyDescent="0.25">
      <c r="A78" s="8">
        <v>42814.407824074071</v>
      </c>
      <c r="B78" s="20" t="s">
        <v>411</v>
      </c>
      <c r="C78" s="20" t="s">
        <v>618</v>
      </c>
      <c r="D78" s="150">
        <v>2140000</v>
      </c>
      <c r="E78" s="20" t="s">
        <v>422</v>
      </c>
      <c r="F78" s="20" t="s">
        <v>423</v>
      </c>
      <c r="G78" s="8" t="str">
        <f t="shared" si="1"/>
        <v>ROBINSON KADDIBA</v>
      </c>
    </row>
    <row r="79" spans="1:7" x14ac:dyDescent="0.25">
      <c r="A79" s="8">
        <v>42814.412129629629</v>
      </c>
      <c r="B79" s="20" t="s">
        <v>537</v>
      </c>
      <c r="C79" s="20" t="s">
        <v>708</v>
      </c>
      <c r="D79" s="150">
        <v>1260000</v>
      </c>
      <c r="E79" s="20" t="s">
        <v>661</v>
      </c>
      <c r="F79" s="20" t="s">
        <v>662</v>
      </c>
      <c r="G79" s="8" t="str">
        <f t="shared" si="1"/>
        <v>ACKERMAN JARED</v>
      </c>
    </row>
    <row r="80" spans="1:7" x14ac:dyDescent="0.25">
      <c r="A80" s="8">
        <v>42814.420231481483</v>
      </c>
      <c r="B80" s="20" t="s">
        <v>525</v>
      </c>
      <c r="C80" s="20" t="s">
        <v>709</v>
      </c>
      <c r="D80" s="150">
        <v>2010000</v>
      </c>
      <c r="E80" s="20" t="s">
        <v>467</v>
      </c>
      <c r="F80" s="20" t="s">
        <v>468</v>
      </c>
      <c r="G80" s="8" t="str">
        <f t="shared" si="1"/>
        <v>MAELZER KURT</v>
      </c>
    </row>
    <row r="81" spans="1:7" x14ac:dyDescent="0.25">
      <c r="A81" s="8">
        <v>42814.423483796294</v>
      </c>
      <c r="B81" s="20" t="s">
        <v>424</v>
      </c>
      <c r="C81" s="20" t="s">
        <v>619</v>
      </c>
      <c r="D81" s="150">
        <v>3040000</v>
      </c>
      <c r="E81" s="20" t="s">
        <v>668</v>
      </c>
      <c r="F81" s="20" t="s">
        <v>669</v>
      </c>
      <c r="G81" s="8" t="str">
        <f t="shared" si="1"/>
        <v>WILLIAMS DONTE</v>
      </c>
    </row>
    <row r="82" spans="1:7" x14ac:dyDescent="0.25">
      <c r="A82" s="8">
        <v>42814.425613425927</v>
      </c>
      <c r="B82" s="20" t="s">
        <v>524</v>
      </c>
      <c r="C82" s="20" t="s">
        <v>710</v>
      </c>
      <c r="D82" s="150">
        <v>3010000</v>
      </c>
      <c r="E82" s="20" t="s">
        <v>682</v>
      </c>
      <c r="F82" s="20" t="s">
        <v>683</v>
      </c>
      <c r="G82" s="8" t="str">
        <f t="shared" si="1"/>
        <v>SULLIVAN BRANDON</v>
      </c>
    </row>
    <row r="83" spans="1:7" x14ac:dyDescent="0.25">
      <c r="A83" s="8">
        <v>42814.429247685184</v>
      </c>
      <c r="B83" s="20" t="s">
        <v>413</v>
      </c>
      <c r="C83" s="20" t="s">
        <v>711</v>
      </c>
      <c r="D83" s="150">
        <v>2040000</v>
      </c>
      <c r="E83" s="20" t="s">
        <v>532</v>
      </c>
      <c r="F83" s="20" t="s">
        <v>533</v>
      </c>
      <c r="G83" s="8" t="str">
        <f t="shared" si="1"/>
        <v>MOSES BRADLEY</v>
      </c>
    </row>
    <row r="84" spans="1:7" x14ac:dyDescent="0.25">
      <c r="A84" s="8">
        <v>42814.433553240742</v>
      </c>
      <c r="B84" s="20" t="s">
        <v>401</v>
      </c>
      <c r="C84" s="20" t="s">
        <v>622</v>
      </c>
      <c r="D84" s="150">
        <v>1110000</v>
      </c>
      <c r="E84" s="20" t="s">
        <v>653</v>
      </c>
      <c r="F84" s="20" t="s">
        <v>654</v>
      </c>
      <c r="G84" s="8" t="str">
        <f t="shared" si="1"/>
        <v>STARKS ANGELINA</v>
      </c>
    </row>
    <row r="85" spans="1:7" x14ac:dyDescent="0.25">
      <c r="A85" s="8">
        <v>42814.433587962965</v>
      </c>
      <c r="B85" s="20" t="s">
        <v>542</v>
      </c>
      <c r="C85" s="20" t="s">
        <v>620</v>
      </c>
      <c r="D85" s="150">
        <v>1990000</v>
      </c>
      <c r="E85" s="20" t="s">
        <v>463</v>
      </c>
      <c r="F85" s="20" t="s">
        <v>464</v>
      </c>
      <c r="G85" s="8" t="str">
        <f t="shared" si="1"/>
        <v>DAVIS WENDY</v>
      </c>
    </row>
    <row r="86" spans="1:7" x14ac:dyDescent="0.25">
      <c r="A86" s="8">
        <v>42814.440069444441</v>
      </c>
      <c r="B86" s="20" t="s">
        <v>523</v>
      </c>
      <c r="C86" s="20" t="s">
        <v>712</v>
      </c>
      <c r="D86" s="150">
        <v>2970000</v>
      </c>
      <c r="E86" s="20" t="s">
        <v>656</v>
      </c>
      <c r="F86" s="20" t="s">
        <v>657</v>
      </c>
      <c r="G86" s="8" t="str">
        <f t="shared" si="1"/>
        <v>GUZMAN DANNY</v>
      </c>
    </row>
    <row r="87" spans="1:7" x14ac:dyDescent="0.25">
      <c r="A87" s="8">
        <v>42814.442523148151</v>
      </c>
      <c r="B87" s="20" t="s">
        <v>527</v>
      </c>
      <c r="C87" s="20" t="s">
        <v>621</v>
      </c>
      <c r="D87" s="150">
        <v>3010000</v>
      </c>
      <c r="E87" s="20" t="s">
        <v>682</v>
      </c>
      <c r="F87" s="20" t="s">
        <v>683</v>
      </c>
      <c r="G87" s="8" t="str">
        <f t="shared" si="1"/>
        <v>SULLIVAN BRANDON</v>
      </c>
    </row>
    <row r="88" spans="1:7" x14ac:dyDescent="0.25">
      <c r="A88" s="8">
        <v>42814.443761574075</v>
      </c>
      <c r="B88" s="20" t="s">
        <v>412</v>
      </c>
      <c r="C88" s="20" t="s">
        <v>713</v>
      </c>
      <c r="D88" s="150">
        <v>2140000</v>
      </c>
      <c r="E88" s="20" t="s">
        <v>422</v>
      </c>
      <c r="F88" s="20" t="s">
        <v>423</v>
      </c>
      <c r="G88" s="8" t="str">
        <f t="shared" si="1"/>
        <v>ROBINSON KADDIBA</v>
      </c>
    </row>
    <row r="89" spans="1:7" x14ac:dyDescent="0.25">
      <c r="A89" s="8">
        <v>42814.448645833334</v>
      </c>
      <c r="B89" s="20" t="s">
        <v>534</v>
      </c>
      <c r="C89" s="20" t="s">
        <v>714</v>
      </c>
      <c r="D89" s="150">
        <v>1260000</v>
      </c>
      <c r="E89" s="20" t="s">
        <v>661</v>
      </c>
      <c r="F89" s="20" t="s">
        <v>662</v>
      </c>
      <c r="G89" s="8" t="str">
        <f t="shared" si="1"/>
        <v>ACKERMAN JARED</v>
      </c>
    </row>
    <row r="90" spans="1:7" x14ac:dyDescent="0.25">
      <c r="A90" s="8">
        <v>42814.454895833333</v>
      </c>
      <c r="B90" s="20" t="s">
        <v>531</v>
      </c>
      <c r="C90" s="20" t="s">
        <v>715</v>
      </c>
      <c r="D90" s="150">
        <v>880000</v>
      </c>
      <c r="E90" s="20" t="s">
        <v>441</v>
      </c>
      <c r="F90" s="20" t="s">
        <v>198</v>
      </c>
      <c r="G90" s="8" t="str">
        <f t="shared" si="1"/>
        <v>STEWART MICHAEL</v>
      </c>
    </row>
    <row r="91" spans="1:7" x14ac:dyDescent="0.25">
      <c r="A91" s="8">
        <v>42814.455474537041</v>
      </c>
      <c r="B91" s="20" t="s">
        <v>421</v>
      </c>
      <c r="C91" s="20" t="s">
        <v>623</v>
      </c>
      <c r="D91" s="150">
        <v>3040000</v>
      </c>
      <c r="E91" s="20" t="s">
        <v>668</v>
      </c>
      <c r="F91" s="20" t="s">
        <v>669</v>
      </c>
      <c r="G91" s="8" t="str">
        <f t="shared" si="1"/>
        <v>WILLIAMS DONTE</v>
      </c>
    </row>
    <row r="92" spans="1:7" x14ac:dyDescent="0.25">
      <c r="A92" s="8">
        <v>42814.458090277774</v>
      </c>
      <c r="B92" s="20" t="s">
        <v>414</v>
      </c>
      <c r="C92" s="20" t="s">
        <v>716</v>
      </c>
      <c r="D92" s="150">
        <v>1230000</v>
      </c>
      <c r="E92" s="20" t="s">
        <v>717</v>
      </c>
      <c r="F92" s="20" t="s">
        <v>718</v>
      </c>
      <c r="G92" s="8" t="str">
        <f t="shared" si="1"/>
        <v>YANAI IAN</v>
      </c>
    </row>
    <row r="93" spans="1:7" x14ac:dyDescent="0.25">
      <c r="A93" s="8">
        <v>42814.461817129632</v>
      </c>
      <c r="B93" s="20" t="s">
        <v>524</v>
      </c>
      <c r="C93" s="20" t="s">
        <v>719</v>
      </c>
      <c r="D93" s="150">
        <v>3010000</v>
      </c>
      <c r="E93" s="20" t="s">
        <v>682</v>
      </c>
      <c r="F93" s="20" t="s">
        <v>683</v>
      </c>
      <c r="G93" s="8" t="str">
        <f t="shared" si="1"/>
        <v>SULLIVAN BRANDON</v>
      </c>
    </row>
    <row r="94" spans="1:7" x14ac:dyDescent="0.25">
      <c r="A94" s="8">
        <v>42814.467002314814</v>
      </c>
      <c r="B94" s="20" t="s">
        <v>402</v>
      </c>
      <c r="C94" s="20" t="s">
        <v>720</v>
      </c>
      <c r="D94" s="150">
        <v>920000</v>
      </c>
      <c r="E94" s="20" t="s">
        <v>463</v>
      </c>
      <c r="F94" s="20" t="s">
        <v>198</v>
      </c>
      <c r="G94" s="8" t="str">
        <f t="shared" si="1"/>
        <v>DAVIS MICHAEL</v>
      </c>
    </row>
    <row r="95" spans="1:7" x14ac:dyDescent="0.25">
      <c r="A95" s="8">
        <v>42814.474756944444</v>
      </c>
      <c r="B95" s="20" t="s">
        <v>530</v>
      </c>
      <c r="C95" s="20" t="s">
        <v>721</v>
      </c>
      <c r="D95" s="150">
        <v>1990000</v>
      </c>
      <c r="E95" s="20" t="s">
        <v>463</v>
      </c>
      <c r="F95" s="20" t="s">
        <v>464</v>
      </c>
      <c r="G95" s="8" t="str">
        <f t="shared" si="1"/>
        <v>DAVIS WENDY</v>
      </c>
    </row>
    <row r="96" spans="1:7" x14ac:dyDescent="0.25">
      <c r="A96" s="8">
        <v>42814.477129629631</v>
      </c>
      <c r="B96" s="20" t="s">
        <v>526</v>
      </c>
      <c r="C96" s="20" t="s">
        <v>722</v>
      </c>
      <c r="D96" s="150">
        <v>930000</v>
      </c>
      <c r="E96" s="20" t="s">
        <v>723</v>
      </c>
      <c r="F96" s="20" t="s">
        <v>724</v>
      </c>
      <c r="G96" s="8" t="str">
        <f t="shared" si="1"/>
        <v>CLARK KATHLEEN</v>
      </c>
    </row>
    <row r="97" spans="1:7" x14ac:dyDescent="0.25">
      <c r="A97" s="8">
        <v>42814.481736111113</v>
      </c>
      <c r="B97" s="20" t="s">
        <v>411</v>
      </c>
      <c r="C97" s="20" t="s">
        <v>725</v>
      </c>
      <c r="D97" s="150">
        <v>2140000</v>
      </c>
      <c r="E97" s="20" t="s">
        <v>422</v>
      </c>
      <c r="F97" s="20" t="s">
        <v>423</v>
      </c>
      <c r="G97" s="8" t="str">
        <f t="shared" si="1"/>
        <v>ROBINSON KADDIBA</v>
      </c>
    </row>
    <row r="98" spans="1:7" x14ac:dyDescent="0.25">
      <c r="A98" s="8">
        <v>42814.484664351854</v>
      </c>
      <c r="B98" s="20" t="s">
        <v>527</v>
      </c>
      <c r="C98" s="20" t="s">
        <v>624</v>
      </c>
      <c r="D98" s="150">
        <v>3010000</v>
      </c>
      <c r="E98" s="20" t="s">
        <v>682</v>
      </c>
      <c r="F98" s="20" t="s">
        <v>683</v>
      </c>
      <c r="G98" s="8" t="str">
        <f t="shared" si="1"/>
        <v>SULLIVAN BRANDON</v>
      </c>
    </row>
    <row r="99" spans="1:7" x14ac:dyDescent="0.25">
      <c r="A99" s="8">
        <v>42814.487546296295</v>
      </c>
      <c r="B99" s="20" t="s">
        <v>537</v>
      </c>
      <c r="C99" s="20" t="s">
        <v>726</v>
      </c>
      <c r="D99" s="150">
        <v>2470000</v>
      </c>
      <c r="E99" s="20" t="s">
        <v>442</v>
      </c>
      <c r="F99" s="20" t="s">
        <v>443</v>
      </c>
      <c r="G99" s="8" t="str">
        <f t="shared" si="1"/>
        <v>ROMERO CHAD</v>
      </c>
    </row>
    <row r="100" spans="1:7" x14ac:dyDescent="0.25">
      <c r="A100" s="8">
        <v>42814.49659722222</v>
      </c>
      <c r="B100" s="20" t="s">
        <v>525</v>
      </c>
      <c r="C100" s="20" t="s">
        <v>727</v>
      </c>
      <c r="D100" s="150">
        <v>880000</v>
      </c>
      <c r="E100" s="20" t="s">
        <v>441</v>
      </c>
      <c r="F100" s="20" t="s">
        <v>198</v>
      </c>
      <c r="G100" s="8" t="str">
        <f t="shared" si="1"/>
        <v>STEWART MICHAEL</v>
      </c>
    </row>
    <row r="101" spans="1:7" x14ac:dyDescent="0.25">
      <c r="A101" s="8">
        <v>42814.497604166667</v>
      </c>
      <c r="B101" s="20" t="s">
        <v>424</v>
      </c>
      <c r="C101" s="20" t="s">
        <v>728</v>
      </c>
      <c r="D101" s="150">
        <v>1120000</v>
      </c>
      <c r="E101" s="20" t="s">
        <v>538</v>
      </c>
      <c r="F101" s="20" t="s">
        <v>539</v>
      </c>
      <c r="G101" s="8" t="str">
        <f t="shared" si="1"/>
        <v>LOCKLEAR TRAVIS</v>
      </c>
    </row>
    <row r="102" spans="1:7" x14ac:dyDescent="0.25">
      <c r="A102" s="8">
        <v>42814.506678240738</v>
      </c>
      <c r="B102" s="20" t="s">
        <v>401</v>
      </c>
      <c r="C102" s="20" t="s">
        <v>729</v>
      </c>
      <c r="D102" s="150">
        <v>920000</v>
      </c>
      <c r="E102" s="20" t="s">
        <v>463</v>
      </c>
      <c r="F102" s="20" t="s">
        <v>198</v>
      </c>
      <c r="G102" s="8" t="str">
        <f t="shared" si="1"/>
        <v>DAVIS MICHAEL</v>
      </c>
    </row>
    <row r="103" spans="1:7" x14ac:dyDescent="0.25">
      <c r="A103" s="8">
        <v>42814.509467592594</v>
      </c>
      <c r="B103" s="20" t="s">
        <v>542</v>
      </c>
      <c r="C103" s="20" t="s">
        <v>730</v>
      </c>
      <c r="D103" s="150">
        <v>3020000</v>
      </c>
      <c r="E103" s="20" t="s">
        <v>676</v>
      </c>
      <c r="F103" s="20" t="s">
        <v>677</v>
      </c>
      <c r="G103" s="8" t="str">
        <f t="shared" si="1"/>
        <v>MENGES BRAD</v>
      </c>
    </row>
    <row r="104" spans="1:7" x14ac:dyDescent="0.25">
      <c r="A104" s="8">
        <v>42814.513043981482</v>
      </c>
      <c r="B104" s="20" t="s">
        <v>524</v>
      </c>
      <c r="C104" s="20" t="s">
        <v>731</v>
      </c>
      <c r="D104" s="150">
        <v>3010000</v>
      </c>
      <c r="E104" s="20" t="s">
        <v>682</v>
      </c>
      <c r="F104" s="20" t="s">
        <v>683</v>
      </c>
      <c r="G104" s="8" t="str">
        <f t="shared" si="1"/>
        <v>SULLIVAN BRANDON</v>
      </c>
    </row>
    <row r="105" spans="1:7" x14ac:dyDescent="0.25">
      <c r="A105" s="8">
        <v>42814.514178240737</v>
      </c>
      <c r="B105" s="20" t="s">
        <v>523</v>
      </c>
      <c r="C105" s="20" t="s">
        <v>732</v>
      </c>
      <c r="D105" s="150">
        <v>930000</v>
      </c>
      <c r="E105" s="20" t="s">
        <v>723</v>
      </c>
      <c r="F105" s="20" t="s">
        <v>724</v>
      </c>
      <c r="G105" s="8" t="str">
        <f t="shared" si="1"/>
        <v>CLARK KATHLEEN</v>
      </c>
    </row>
    <row r="106" spans="1:7" x14ac:dyDescent="0.25">
      <c r="A106" s="8">
        <v>42814.518680555557</v>
      </c>
      <c r="B106" s="20" t="s">
        <v>412</v>
      </c>
      <c r="C106" s="20" t="s">
        <v>733</v>
      </c>
      <c r="D106" s="150">
        <v>2600000</v>
      </c>
      <c r="E106" s="20" t="s">
        <v>734</v>
      </c>
      <c r="F106" s="20" t="s">
        <v>735</v>
      </c>
      <c r="G106" s="8" t="str">
        <f t="shared" si="1"/>
        <v>DAVIDSON DAVID</v>
      </c>
    </row>
    <row r="107" spans="1:7" x14ac:dyDescent="0.25">
      <c r="A107" s="8">
        <v>42814.520185185182</v>
      </c>
      <c r="B107" s="20" t="s">
        <v>534</v>
      </c>
      <c r="C107" s="20" t="s">
        <v>736</v>
      </c>
      <c r="D107" s="150">
        <v>2470000</v>
      </c>
      <c r="E107" s="20" t="s">
        <v>442</v>
      </c>
      <c r="F107" s="20" t="s">
        <v>443</v>
      </c>
      <c r="G107" s="8" t="str">
        <f t="shared" si="1"/>
        <v>ROMERO CHAD</v>
      </c>
    </row>
    <row r="108" spans="1:7" x14ac:dyDescent="0.25">
      <c r="A108" s="8">
        <v>42814.525775462964</v>
      </c>
      <c r="B108" s="20" t="s">
        <v>527</v>
      </c>
      <c r="C108" s="20" t="s">
        <v>737</v>
      </c>
      <c r="D108" s="150">
        <v>3010000</v>
      </c>
      <c r="E108" s="20" t="s">
        <v>682</v>
      </c>
      <c r="F108" s="20" t="s">
        <v>683</v>
      </c>
      <c r="G108" s="8" t="str">
        <f t="shared" si="1"/>
        <v>SULLIVAN BRANDON</v>
      </c>
    </row>
    <row r="109" spans="1:7" x14ac:dyDescent="0.25">
      <c r="A109" s="8">
        <v>42814.531041666669</v>
      </c>
      <c r="B109" s="20" t="s">
        <v>531</v>
      </c>
      <c r="C109" s="20" t="s">
        <v>738</v>
      </c>
      <c r="D109" s="150">
        <v>880000</v>
      </c>
      <c r="E109" s="20" t="s">
        <v>441</v>
      </c>
      <c r="F109" s="20" t="s">
        <v>198</v>
      </c>
      <c r="G109" s="8" t="str">
        <f t="shared" si="1"/>
        <v>STEWART MICHAEL</v>
      </c>
    </row>
    <row r="110" spans="1:7" x14ac:dyDescent="0.25">
      <c r="A110" s="8">
        <v>42814.536840277775</v>
      </c>
      <c r="B110" s="20" t="s">
        <v>421</v>
      </c>
      <c r="C110" s="20" t="s">
        <v>739</v>
      </c>
      <c r="D110" s="150">
        <v>1120000</v>
      </c>
      <c r="E110" s="20" t="s">
        <v>538</v>
      </c>
      <c r="F110" s="20" t="s">
        <v>539</v>
      </c>
      <c r="G110" s="8" t="str">
        <f t="shared" si="1"/>
        <v>LOCKLEAR TRAVIS</v>
      </c>
    </row>
    <row r="111" spans="1:7" x14ac:dyDescent="0.25">
      <c r="A111" s="8">
        <v>42814.541597222225</v>
      </c>
      <c r="B111" s="20" t="s">
        <v>402</v>
      </c>
      <c r="C111" s="20" t="s">
        <v>740</v>
      </c>
      <c r="D111" s="150">
        <v>920000</v>
      </c>
      <c r="E111" s="20" t="s">
        <v>463</v>
      </c>
      <c r="F111" s="20" t="s">
        <v>198</v>
      </c>
      <c r="G111" s="8" t="str">
        <f t="shared" si="1"/>
        <v>DAVIS MICHAEL</v>
      </c>
    </row>
    <row r="112" spans="1:7" x14ac:dyDescent="0.25">
      <c r="A112" s="8">
        <v>42814.544537037036</v>
      </c>
      <c r="B112" s="20" t="s">
        <v>530</v>
      </c>
      <c r="C112" s="20" t="s">
        <v>741</v>
      </c>
      <c r="D112" s="150">
        <v>3020000</v>
      </c>
      <c r="E112" s="20" t="s">
        <v>676</v>
      </c>
      <c r="F112" s="20" t="s">
        <v>677</v>
      </c>
      <c r="G112" s="8" t="str">
        <f t="shared" si="1"/>
        <v>MENGES BRAD</v>
      </c>
    </row>
    <row r="113" spans="1:7" x14ac:dyDescent="0.25">
      <c r="A113" s="8">
        <v>42814.545358796298</v>
      </c>
      <c r="B113" s="20" t="s">
        <v>524</v>
      </c>
      <c r="C113" s="20" t="s">
        <v>742</v>
      </c>
      <c r="D113" s="150">
        <v>3000000</v>
      </c>
      <c r="E113" s="20" t="s">
        <v>743</v>
      </c>
      <c r="F113" s="20" t="s">
        <v>744</v>
      </c>
      <c r="G113" s="8" t="str">
        <f t="shared" si="1"/>
        <v>FORTUNATO FRANK</v>
      </c>
    </row>
    <row r="114" spans="1:7" x14ac:dyDescent="0.25">
      <c r="A114" s="8">
        <v>42814.551932870374</v>
      </c>
      <c r="B114" s="20" t="s">
        <v>526</v>
      </c>
      <c r="C114" s="20" t="s">
        <v>745</v>
      </c>
      <c r="D114" s="150">
        <v>930000</v>
      </c>
      <c r="E114" s="20" t="s">
        <v>723</v>
      </c>
      <c r="F114" s="20" t="s">
        <v>724</v>
      </c>
      <c r="G114" s="8" t="str">
        <f t="shared" si="1"/>
        <v>CLARK KATHLEEN</v>
      </c>
    </row>
    <row r="115" spans="1:7" x14ac:dyDescent="0.25">
      <c r="A115" s="8">
        <v>42814.551990740743</v>
      </c>
      <c r="B115" s="20" t="s">
        <v>411</v>
      </c>
      <c r="C115" s="20" t="s">
        <v>746</v>
      </c>
      <c r="D115" s="150">
        <v>2600000</v>
      </c>
      <c r="E115" s="20" t="s">
        <v>734</v>
      </c>
      <c r="F115" s="20" t="s">
        <v>735</v>
      </c>
      <c r="G115" s="8" t="str">
        <f t="shared" si="1"/>
        <v>DAVIDSON DAVID</v>
      </c>
    </row>
    <row r="116" spans="1:7" x14ac:dyDescent="0.25">
      <c r="A116" s="8">
        <v>42814.56046296296</v>
      </c>
      <c r="B116" s="20" t="s">
        <v>537</v>
      </c>
      <c r="C116" s="20" t="s">
        <v>747</v>
      </c>
      <c r="D116" s="150">
        <v>2530000</v>
      </c>
      <c r="E116" s="20" t="s">
        <v>535</v>
      </c>
      <c r="F116" s="20" t="s">
        <v>536</v>
      </c>
      <c r="G116" s="8" t="str">
        <f t="shared" si="1"/>
        <v>LALONDE GREGORY</v>
      </c>
    </row>
    <row r="117" spans="1:7" x14ac:dyDescent="0.25">
      <c r="A117" s="8">
        <v>42814.567442129628</v>
      </c>
      <c r="B117" s="20" t="s">
        <v>525</v>
      </c>
      <c r="C117" s="20" t="s">
        <v>748</v>
      </c>
      <c r="D117" s="150">
        <v>880000</v>
      </c>
      <c r="E117" s="20" t="s">
        <v>441</v>
      </c>
      <c r="F117" s="20" t="s">
        <v>198</v>
      </c>
      <c r="G117" s="8" t="str">
        <f t="shared" si="1"/>
        <v>STEWART MICHAEL</v>
      </c>
    </row>
    <row r="118" spans="1:7" x14ac:dyDescent="0.25">
      <c r="A118" s="8">
        <v>42814.567766203705</v>
      </c>
      <c r="B118" s="20" t="s">
        <v>527</v>
      </c>
      <c r="C118" s="20" t="s">
        <v>626</v>
      </c>
      <c r="D118" s="150">
        <v>3000000</v>
      </c>
      <c r="E118" s="20" t="s">
        <v>743</v>
      </c>
      <c r="F118" s="20" t="s">
        <v>744</v>
      </c>
      <c r="G118" s="8" t="str">
        <f t="shared" si="1"/>
        <v>FORTUNATO FRANK</v>
      </c>
    </row>
    <row r="119" spans="1:7" x14ac:dyDescent="0.25">
      <c r="A119" s="8">
        <v>42814.570821759262</v>
      </c>
      <c r="B119" s="20" t="s">
        <v>424</v>
      </c>
      <c r="C119" s="20" t="s">
        <v>625</v>
      </c>
      <c r="D119" s="150">
        <v>1120000</v>
      </c>
      <c r="E119" s="20" t="s">
        <v>538</v>
      </c>
      <c r="F119" s="20" t="s">
        <v>539</v>
      </c>
      <c r="G119" s="8" t="str">
        <f t="shared" si="1"/>
        <v>LOCKLEAR TRAVIS</v>
      </c>
    </row>
    <row r="120" spans="1:7" x14ac:dyDescent="0.25">
      <c r="A120" s="8">
        <v>42814.580057870371</v>
      </c>
      <c r="B120" s="20" t="s">
        <v>401</v>
      </c>
      <c r="C120" s="20" t="s">
        <v>749</v>
      </c>
      <c r="D120" s="150">
        <v>920000</v>
      </c>
      <c r="E120" s="20" t="s">
        <v>463</v>
      </c>
      <c r="F120" s="20" t="s">
        <v>198</v>
      </c>
      <c r="G120" s="8" t="str">
        <f t="shared" si="1"/>
        <v>DAVIS MICHAEL</v>
      </c>
    </row>
    <row r="121" spans="1:7" x14ac:dyDescent="0.25">
      <c r="A121" s="8">
        <v>42814.582025462965</v>
      </c>
      <c r="B121" s="20" t="s">
        <v>542</v>
      </c>
      <c r="C121" s="20" t="s">
        <v>750</v>
      </c>
      <c r="D121" s="150">
        <v>3020000</v>
      </c>
      <c r="E121" s="20" t="s">
        <v>676</v>
      </c>
      <c r="F121" s="20" t="s">
        <v>677</v>
      </c>
      <c r="G121" s="8" t="str">
        <f t="shared" si="1"/>
        <v>MENGES BRAD</v>
      </c>
    </row>
    <row r="122" spans="1:7" x14ac:dyDescent="0.25">
      <c r="A122" s="8">
        <v>42814.587881944448</v>
      </c>
      <c r="B122" s="25" t="s">
        <v>523</v>
      </c>
      <c r="C122" s="20" t="s">
        <v>751</v>
      </c>
      <c r="D122" s="150">
        <v>930000</v>
      </c>
      <c r="E122" s="20" t="s">
        <v>723</v>
      </c>
      <c r="F122" s="20" t="s">
        <v>724</v>
      </c>
      <c r="G122" s="8" t="str">
        <f t="shared" si="1"/>
        <v>CLARK KATHLEEN</v>
      </c>
    </row>
    <row r="123" spans="1:7" x14ac:dyDescent="0.25">
      <c r="A123" s="8">
        <v>42814.592303240737</v>
      </c>
      <c r="B123" s="20" t="s">
        <v>412</v>
      </c>
      <c r="C123" s="20" t="s">
        <v>752</v>
      </c>
      <c r="D123" s="150">
        <v>2360000</v>
      </c>
      <c r="E123" s="20" t="s">
        <v>426</v>
      </c>
      <c r="F123" s="20" t="s">
        <v>427</v>
      </c>
      <c r="G123" s="8" t="str">
        <f t="shared" si="1"/>
        <v>BRANDNER MELINDA</v>
      </c>
    </row>
    <row r="124" spans="1:7" x14ac:dyDescent="0.25">
      <c r="A124" s="8">
        <v>42814.593229166669</v>
      </c>
      <c r="B124" s="20" t="s">
        <v>524</v>
      </c>
      <c r="C124" s="20" t="s">
        <v>753</v>
      </c>
      <c r="D124" s="150">
        <v>3000000</v>
      </c>
      <c r="E124" s="20" t="s">
        <v>743</v>
      </c>
      <c r="F124" s="20" t="s">
        <v>744</v>
      </c>
      <c r="G124" s="8" t="str">
        <f t="shared" si="1"/>
        <v>FORTUNATO FRANK</v>
      </c>
    </row>
    <row r="125" spans="1:7" x14ac:dyDescent="0.25">
      <c r="A125" s="8">
        <v>42814.594641203701</v>
      </c>
      <c r="B125" s="20" t="s">
        <v>534</v>
      </c>
      <c r="C125" s="20" t="s">
        <v>754</v>
      </c>
      <c r="D125" s="150">
        <v>2530000</v>
      </c>
      <c r="E125" s="20" t="s">
        <v>535</v>
      </c>
      <c r="F125" s="20" t="s">
        <v>536</v>
      </c>
      <c r="G125" s="8" t="str">
        <f t="shared" si="1"/>
        <v>LALONDE GREGORY</v>
      </c>
    </row>
    <row r="126" spans="1:7" x14ac:dyDescent="0.25">
      <c r="A126" s="8">
        <v>42814.603796296295</v>
      </c>
      <c r="B126" s="20" t="s">
        <v>531</v>
      </c>
      <c r="C126" s="20" t="s">
        <v>755</v>
      </c>
      <c r="D126" s="150">
        <v>880000</v>
      </c>
      <c r="E126" s="20" t="s">
        <v>441</v>
      </c>
      <c r="F126" s="20" t="s">
        <v>198</v>
      </c>
      <c r="G126" s="8" t="str">
        <f t="shared" si="1"/>
        <v>STEWART MICHAEL</v>
      </c>
    </row>
    <row r="127" spans="1:7" x14ac:dyDescent="0.25">
      <c r="A127" s="8">
        <v>42814.608564814815</v>
      </c>
      <c r="B127" s="20" t="s">
        <v>527</v>
      </c>
      <c r="C127" s="20" t="s">
        <v>756</v>
      </c>
      <c r="D127" s="150">
        <v>3000000</v>
      </c>
      <c r="E127" s="20" t="s">
        <v>743</v>
      </c>
      <c r="F127" s="20" t="s">
        <v>744</v>
      </c>
      <c r="G127" s="8" t="str">
        <f t="shared" si="1"/>
        <v>FORTUNATO FRANK</v>
      </c>
    </row>
    <row r="128" spans="1:7" x14ac:dyDescent="0.25">
      <c r="A128" s="8">
        <v>42814.610335648147</v>
      </c>
      <c r="B128" s="20" t="s">
        <v>421</v>
      </c>
      <c r="C128" s="20" t="s">
        <v>627</v>
      </c>
      <c r="D128" s="150">
        <v>1120000</v>
      </c>
      <c r="E128" s="20" t="s">
        <v>538</v>
      </c>
      <c r="F128" s="20" t="s">
        <v>539</v>
      </c>
      <c r="G128" s="8" t="str">
        <f t="shared" si="1"/>
        <v>LOCKLEAR TRAVIS</v>
      </c>
    </row>
    <row r="129" spans="1:7" x14ac:dyDescent="0.25">
      <c r="A129" s="8">
        <v>42814.613923611112</v>
      </c>
      <c r="B129" s="20" t="s">
        <v>402</v>
      </c>
      <c r="C129" s="20" t="s">
        <v>757</v>
      </c>
      <c r="D129" s="150">
        <v>920000</v>
      </c>
      <c r="E129" s="20" t="s">
        <v>463</v>
      </c>
      <c r="F129" s="20" t="s">
        <v>198</v>
      </c>
      <c r="G129" s="8" t="str">
        <f t="shared" si="1"/>
        <v>DAVIS MICHAEL</v>
      </c>
    </row>
    <row r="130" spans="1:7" x14ac:dyDescent="0.25">
      <c r="A130" s="8">
        <v>42814.61515046296</v>
      </c>
      <c r="B130" s="20" t="s">
        <v>530</v>
      </c>
      <c r="C130" s="20" t="s">
        <v>758</v>
      </c>
      <c r="D130" s="150">
        <v>3020000</v>
      </c>
      <c r="E130" s="20" t="s">
        <v>676</v>
      </c>
      <c r="F130" s="20" t="s">
        <v>677</v>
      </c>
      <c r="G130" s="8" t="str">
        <f t="shared" si="1"/>
        <v>MENGES BRAD</v>
      </c>
    </row>
    <row r="131" spans="1:7" x14ac:dyDescent="0.25">
      <c r="A131" s="8">
        <v>42814.62462962963</v>
      </c>
      <c r="B131" s="20" t="s">
        <v>526</v>
      </c>
      <c r="C131" s="20" t="s">
        <v>628</v>
      </c>
      <c r="D131" s="150">
        <v>2040000</v>
      </c>
      <c r="E131" s="20" t="s">
        <v>532</v>
      </c>
      <c r="F131" s="20" t="s">
        <v>533</v>
      </c>
      <c r="G131" s="8" t="str">
        <f t="shared" ref="G131:G194" si="2">E131&amp;" "&amp;F131</f>
        <v>MOSES BRADLEY</v>
      </c>
    </row>
    <row r="132" spans="1:7" x14ac:dyDescent="0.25">
      <c r="A132" s="8">
        <v>42814.628333333334</v>
      </c>
      <c r="B132" s="20" t="s">
        <v>411</v>
      </c>
      <c r="C132" s="20" t="s">
        <v>759</v>
      </c>
      <c r="D132" s="150">
        <v>2360000</v>
      </c>
      <c r="E132" s="20" t="s">
        <v>426</v>
      </c>
      <c r="F132" s="20" t="s">
        <v>427</v>
      </c>
      <c r="G132" s="8" t="str">
        <f t="shared" si="2"/>
        <v>BRANDNER MELINDA</v>
      </c>
    </row>
    <row r="133" spans="1:7" x14ac:dyDescent="0.25">
      <c r="A133" s="8">
        <v>42814.632222222222</v>
      </c>
      <c r="B133" s="20" t="s">
        <v>537</v>
      </c>
      <c r="C133" s="20" t="s">
        <v>760</v>
      </c>
      <c r="D133" s="150">
        <v>2560000</v>
      </c>
      <c r="E133" s="20" t="s">
        <v>472</v>
      </c>
      <c r="F133" s="20" t="s">
        <v>473</v>
      </c>
      <c r="G133" s="8" t="str">
        <f t="shared" si="2"/>
        <v>MACDONALD THOMAS</v>
      </c>
    </row>
    <row r="134" spans="1:7" x14ac:dyDescent="0.25">
      <c r="A134" s="8">
        <v>42814.634872685187</v>
      </c>
      <c r="B134" s="20" t="s">
        <v>407</v>
      </c>
      <c r="C134" s="20" t="s">
        <v>761</v>
      </c>
      <c r="D134" s="150">
        <v>1810000</v>
      </c>
      <c r="E134" s="20" t="s">
        <v>545</v>
      </c>
      <c r="F134" s="20" t="s">
        <v>195</v>
      </c>
      <c r="G134" s="8" t="str">
        <f t="shared" si="2"/>
        <v>NEWELL JAMES</v>
      </c>
    </row>
    <row r="135" spans="1:7" x14ac:dyDescent="0.25">
      <c r="A135" s="8">
        <v>42814.636863425927</v>
      </c>
      <c r="B135" s="20" t="s">
        <v>524</v>
      </c>
      <c r="C135" s="20" t="s">
        <v>762</v>
      </c>
      <c r="D135" s="150">
        <v>3000000</v>
      </c>
      <c r="E135" s="20" t="s">
        <v>743</v>
      </c>
      <c r="F135" s="20" t="s">
        <v>744</v>
      </c>
      <c r="G135" s="8" t="str">
        <f t="shared" si="2"/>
        <v>FORTUNATO FRANK</v>
      </c>
    </row>
    <row r="136" spans="1:7" x14ac:dyDescent="0.25">
      <c r="A136" s="8">
        <v>42814.63925925926</v>
      </c>
      <c r="B136" s="20" t="s">
        <v>525</v>
      </c>
      <c r="C136" s="20" t="s">
        <v>629</v>
      </c>
      <c r="D136" s="150">
        <v>880000</v>
      </c>
      <c r="E136" s="20" t="s">
        <v>441</v>
      </c>
      <c r="F136" s="20" t="s">
        <v>198</v>
      </c>
      <c r="G136" s="8" t="str">
        <f t="shared" si="2"/>
        <v>STEWART MICHAEL</v>
      </c>
    </row>
    <row r="137" spans="1:7" x14ac:dyDescent="0.25">
      <c r="A137" s="8">
        <v>42814.642916666664</v>
      </c>
      <c r="B137" s="20" t="s">
        <v>424</v>
      </c>
      <c r="C137" s="20" t="s">
        <v>763</v>
      </c>
      <c r="D137" s="150">
        <v>1120000</v>
      </c>
      <c r="E137" s="20" t="s">
        <v>538</v>
      </c>
      <c r="F137" s="20" t="s">
        <v>539</v>
      </c>
      <c r="G137" s="8" t="str">
        <f t="shared" si="2"/>
        <v>LOCKLEAR TRAVIS</v>
      </c>
    </row>
    <row r="138" spans="1:7" x14ac:dyDescent="0.25">
      <c r="A138" s="8">
        <v>42814.644756944443</v>
      </c>
      <c r="B138" s="20" t="s">
        <v>408</v>
      </c>
      <c r="C138" s="20" t="s">
        <v>764</v>
      </c>
      <c r="D138" s="150">
        <v>1810000</v>
      </c>
      <c r="E138" s="20" t="s">
        <v>545</v>
      </c>
      <c r="F138" s="20" t="s">
        <v>195</v>
      </c>
      <c r="G138" s="8" t="str">
        <f t="shared" si="2"/>
        <v>NEWELL JAMES</v>
      </c>
    </row>
    <row r="139" spans="1:7" x14ac:dyDescent="0.25">
      <c r="A139" s="8">
        <v>42814.651319444441</v>
      </c>
      <c r="B139" s="20" t="s">
        <v>527</v>
      </c>
      <c r="C139" s="20" t="s">
        <v>630</v>
      </c>
      <c r="D139" s="150">
        <v>3000000</v>
      </c>
      <c r="E139" s="20" t="s">
        <v>743</v>
      </c>
      <c r="F139" s="20" t="s">
        <v>744</v>
      </c>
      <c r="G139" s="8" t="str">
        <f t="shared" si="2"/>
        <v>FORTUNATO FRANK</v>
      </c>
    </row>
    <row r="140" spans="1:7" x14ac:dyDescent="0.25">
      <c r="A140" s="8">
        <v>42814.652060185188</v>
      </c>
      <c r="B140" s="20" t="s">
        <v>401</v>
      </c>
      <c r="C140" s="20" t="s">
        <v>631</v>
      </c>
      <c r="D140" s="150">
        <v>920000</v>
      </c>
      <c r="E140" s="20" t="s">
        <v>463</v>
      </c>
      <c r="F140" s="20" t="s">
        <v>198</v>
      </c>
      <c r="G140" s="8" t="str">
        <f t="shared" si="2"/>
        <v>DAVIS MICHAEL</v>
      </c>
    </row>
    <row r="141" spans="1:7" x14ac:dyDescent="0.25">
      <c r="A141" s="8">
        <v>42814.655925925923</v>
      </c>
      <c r="B141" s="20" t="s">
        <v>542</v>
      </c>
      <c r="C141" s="20" t="s">
        <v>765</v>
      </c>
      <c r="D141" s="150">
        <v>3020000</v>
      </c>
      <c r="E141" s="20" t="s">
        <v>676</v>
      </c>
      <c r="F141" s="20" t="s">
        <v>677</v>
      </c>
      <c r="G141" s="8" t="str">
        <f t="shared" si="2"/>
        <v>MENGES BRAD</v>
      </c>
    </row>
    <row r="142" spans="1:7" x14ac:dyDescent="0.25">
      <c r="A142" s="8">
        <v>42814.661550925928</v>
      </c>
      <c r="B142" s="20" t="s">
        <v>523</v>
      </c>
      <c r="C142" s="20" t="s">
        <v>766</v>
      </c>
      <c r="D142" s="150">
        <v>2040000</v>
      </c>
      <c r="E142" s="20" t="s">
        <v>532</v>
      </c>
      <c r="F142" s="20" t="s">
        <v>533</v>
      </c>
      <c r="G142" s="8" t="str">
        <f t="shared" si="2"/>
        <v>MOSES BRADLEY</v>
      </c>
    </row>
    <row r="143" spans="1:7" x14ac:dyDescent="0.25">
      <c r="A143" s="8">
        <v>42814.665000000001</v>
      </c>
      <c r="B143" s="20" t="s">
        <v>412</v>
      </c>
      <c r="C143" s="20" t="s">
        <v>767</v>
      </c>
      <c r="D143" s="150">
        <v>2360000</v>
      </c>
      <c r="E143" s="20" t="s">
        <v>426</v>
      </c>
      <c r="F143" s="20" t="s">
        <v>427</v>
      </c>
      <c r="G143" s="8" t="str">
        <f t="shared" si="2"/>
        <v>BRANDNER MELINDA</v>
      </c>
    </row>
    <row r="144" spans="1:7" x14ac:dyDescent="0.25">
      <c r="A144" s="8">
        <v>42814.670706018522</v>
      </c>
      <c r="B144" s="20" t="s">
        <v>407</v>
      </c>
      <c r="C144" s="20" t="s">
        <v>768</v>
      </c>
      <c r="D144" s="150">
        <v>1810000</v>
      </c>
      <c r="E144" s="20" t="s">
        <v>545</v>
      </c>
      <c r="F144" s="20" t="s">
        <v>195</v>
      </c>
      <c r="G144" s="8" t="str">
        <f t="shared" si="2"/>
        <v>NEWELL JAMES</v>
      </c>
    </row>
    <row r="145" spans="1:7" x14ac:dyDescent="0.25">
      <c r="A145" s="8">
        <v>42814.671527777777</v>
      </c>
      <c r="B145" s="20" t="s">
        <v>534</v>
      </c>
      <c r="C145" s="20" t="s">
        <v>769</v>
      </c>
      <c r="D145" s="150">
        <v>2560000</v>
      </c>
      <c r="E145" s="20" t="s">
        <v>472</v>
      </c>
      <c r="F145" s="20" t="s">
        <v>473</v>
      </c>
      <c r="G145" s="8" t="str">
        <f t="shared" si="2"/>
        <v>MACDONALD THOMAS</v>
      </c>
    </row>
    <row r="146" spans="1:7" x14ac:dyDescent="0.25">
      <c r="A146" s="8">
        <v>42814.675219907411</v>
      </c>
      <c r="B146" s="20" t="s">
        <v>531</v>
      </c>
      <c r="C146" s="20" t="s">
        <v>770</v>
      </c>
      <c r="D146" s="150">
        <v>880000</v>
      </c>
      <c r="E146" s="20" t="s">
        <v>441</v>
      </c>
      <c r="F146" s="20" t="s">
        <v>198</v>
      </c>
      <c r="G146" s="8" t="str">
        <f t="shared" si="2"/>
        <v>STEWART MICHAEL</v>
      </c>
    </row>
    <row r="147" spans="1:7" x14ac:dyDescent="0.25">
      <c r="A147" s="8">
        <v>42814.678136574075</v>
      </c>
      <c r="B147" s="20" t="s">
        <v>524</v>
      </c>
      <c r="C147" s="20" t="s">
        <v>771</v>
      </c>
      <c r="D147" s="150">
        <v>3000000</v>
      </c>
      <c r="E147" s="20" t="s">
        <v>743</v>
      </c>
      <c r="F147" s="20" t="s">
        <v>744</v>
      </c>
      <c r="G147" s="8" t="str">
        <f t="shared" si="2"/>
        <v>FORTUNATO FRANK</v>
      </c>
    </row>
    <row r="148" spans="1:7" x14ac:dyDescent="0.25">
      <c r="A148" s="8">
        <v>42814.682604166665</v>
      </c>
      <c r="B148" s="20" t="s">
        <v>421</v>
      </c>
      <c r="C148" s="20" t="s">
        <v>772</v>
      </c>
      <c r="D148" s="150">
        <v>1120000</v>
      </c>
      <c r="E148" s="20" t="s">
        <v>538</v>
      </c>
      <c r="F148" s="20" t="s">
        <v>539</v>
      </c>
      <c r="G148" s="8" t="str">
        <f t="shared" si="2"/>
        <v>LOCKLEAR TRAVIS</v>
      </c>
    </row>
    <row r="149" spans="1:7" x14ac:dyDescent="0.25">
      <c r="A149" s="8">
        <v>42814.685833333337</v>
      </c>
      <c r="B149" s="20" t="s">
        <v>402</v>
      </c>
      <c r="C149" s="20" t="s">
        <v>773</v>
      </c>
      <c r="D149" s="150">
        <v>920000</v>
      </c>
      <c r="E149" s="20" t="s">
        <v>463</v>
      </c>
      <c r="F149" s="20" t="s">
        <v>198</v>
      </c>
      <c r="G149" s="8" t="str">
        <f t="shared" si="2"/>
        <v>DAVIS MICHAEL</v>
      </c>
    </row>
    <row r="150" spans="1:7" x14ac:dyDescent="0.25">
      <c r="A150" s="8">
        <v>42814.691087962965</v>
      </c>
      <c r="B150" s="20" t="s">
        <v>530</v>
      </c>
      <c r="C150" s="20" t="s">
        <v>633</v>
      </c>
      <c r="D150" s="150">
        <v>3020000</v>
      </c>
      <c r="E150" s="20" t="s">
        <v>676</v>
      </c>
      <c r="F150" s="20" t="s">
        <v>677</v>
      </c>
      <c r="G150" s="8" t="str">
        <f t="shared" si="2"/>
        <v>MENGES BRAD</v>
      </c>
    </row>
    <row r="151" spans="1:7" x14ac:dyDescent="0.25">
      <c r="A151" s="8">
        <v>42814.693599537037</v>
      </c>
      <c r="B151" s="20" t="s">
        <v>526</v>
      </c>
      <c r="C151" s="20" t="s">
        <v>634</v>
      </c>
      <c r="D151" s="150">
        <v>930000</v>
      </c>
      <c r="E151" s="20" t="s">
        <v>723</v>
      </c>
      <c r="F151" s="20" t="s">
        <v>724</v>
      </c>
      <c r="G151" s="8" t="str">
        <f t="shared" si="2"/>
        <v>CLARK KATHLEEN</v>
      </c>
    </row>
    <row r="152" spans="1:7" x14ac:dyDescent="0.25">
      <c r="A152" s="8">
        <v>42814.694988425923</v>
      </c>
      <c r="B152" s="20" t="s">
        <v>408</v>
      </c>
      <c r="C152" s="20" t="s">
        <v>774</v>
      </c>
      <c r="D152" s="150">
        <v>1810000</v>
      </c>
      <c r="E152" s="20" t="s">
        <v>545</v>
      </c>
      <c r="F152" s="20" t="s">
        <v>195</v>
      </c>
      <c r="G152" s="8" t="str">
        <f t="shared" si="2"/>
        <v>NEWELL JAMES</v>
      </c>
    </row>
    <row r="153" spans="1:7" x14ac:dyDescent="0.25">
      <c r="A153" s="8">
        <v>42814.699293981481</v>
      </c>
      <c r="B153" s="20" t="s">
        <v>527</v>
      </c>
      <c r="C153" s="20" t="s">
        <v>632</v>
      </c>
      <c r="D153" s="150">
        <v>3000000</v>
      </c>
      <c r="E153" s="20" t="s">
        <v>743</v>
      </c>
      <c r="F153" s="20" t="s">
        <v>744</v>
      </c>
      <c r="G153" s="8" t="str">
        <f t="shared" si="2"/>
        <v>FORTUNATO FRANK</v>
      </c>
    </row>
    <row r="154" spans="1:7" x14ac:dyDescent="0.25">
      <c r="A154" s="8">
        <v>42814.69971064815</v>
      </c>
      <c r="B154" s="20" t="s">
        <v>411</v>
      </c>
      <c r="C154" s="20" t="s">
        <v>636</v>
      </c>
      <c r="D154" s="150">
        <v>2360000</v>
      </c>
      <c r="E154" s="20" t="s">
        <v>426</v>
      </c>
      <c r="F154" s="20" t="s">
        <v>427</v>
      </c>
      <c r="G154" s="8" t="str">
        <f t="shared" si="2"/>
        <v>BRANDNER MELINDA</v>
      </c>
    </row>
    <row r="155" spans="1:7" x14ac:dyDescent="0.25">
      <c r="A155" s="8">
        <v>42814.703530092593</v>
      </c>
      <c r="B155" s="20" t="s">
        <v>527</v>
      </c>
      <c r="C155" s="20" t="s">
        <v>632</v>
      </c>
      <c r="D155" s="150">
        <v>3000000</v>
      </c>
      <c r="E155" s="20" t="s">
        <v>743</v>
      </c>
      <c r="F155" s="20" t="s">
        <v>744</v>
      </c>
      <c r="G155" s="8" t="str">
        <f t="shared" si="2"/>
        <v>FORTUNATO FRANK</v>
      </c>
    </row>
    <row r="156" spans="1:7" x14ac:dyDescent="0.25">
      <c r="A156" s="8">
        <v>42814.704247685186</v>
      </c>
      <c r="B156" s="20" t="s">
        <v>527</v>
      </c>
      <c r="C156" s="20" t="s">
        <v>632</v>
      </c>
      <c r="D156" s="150">
        <v>3000000</v>
      </c>
      <c r="E156" s="20" t="s">
        <v>743</v>
      </c>
      <c r="F156" s="20" t="s">
        <v>744</v>
      </c>
      <c r="G156" s="8" t="str">
        <f t="shared" si="2"/>
        <v>FORTUNATO FRANK</v>
      </c>
    </row>
    <row r="157" spans="1:7" x14ac:dyDescent="0.25">
      <c r="A157" s="8">
        <v>42814.70722222222</v>
      </c>
      <c r="B157" s="20" t="s">
        <v>537</v>
      </c>
      <c r="C157" s="20" t="s">
        <v>775</v>
      </c>
      <c r="D157" s="150">
        <v>2470000</v>
      </c>
      <c r="E157" s="20" t="s">
        <v>442</v>
      </c>
      <c r="F157" s="20" t="s">
        <v>443</v>
      </c>
      <c r="G157" s="8" t="str">
        <f t="shared" si="2"/>
        <v>ROMERO CHAD</v>
      </c>
    </row>
    <row r="158" spans="1:7" x14ac:dyDescent="0.25">
      <c r="A158" s="8">
        <v>42814.712280092594</v>
      </c>
      <c r="B158" s="20" t="s">
        <v>525</v>
      </c>
      <c r="C158" s="20" t="s">
        <v>776</v>
      </c>
      <c r="D158" s="150">
        <v>880000</v>
      </c>
      <c r="E158" s="20" t="s">
        <v>441</v>
      </c>
      <c r="F158" s="20" t="s">
        <v>198</v>
      </c>
      <c r="G158" s="8" t="str">
        <f t="shared" si="2"/>
        <v>STEWART MICHAEL</v>
      </c>
    </row>
    <row r="159" spans="1:7" x14ac:dyDescent="0.25">
      <c r="A159" s="8">
        <v>42814.717777777776</v>
      </c>
      <c r="B159" s="20" t="s">
        <v>524</v>
      </c>
      <c r="C159" s="20" t="s">
        <v>777</v>
      </c>
      <c r="D159" s="150">
        <v>3000000</v>
      </c>
      <c r="E159" s="20" t="s">
        <v>743</v>
      </c>
      <c r="F159" s="20" t="s">
        <v>744</v>
      </c>
      <c r="G159" s="8" t="str">
        <f t="shared" si="2"/>
        <v>FORTUNATO FRANK</v>
      </c>
    </row>
    <row r="160" spans="1:7" x14ac:dyDescent="0.25">
      <c r="A160" s="8">
        <v>42814.718518518515</v>
      </c>
      <c r="B160" s="20" t="s">
        <v>424</v>
      </c>
      <c r="C160" s="20" t="s">
        <v>778</v>
      </c>
      <c r="D160" s="150">
        <v>1800000</v>
      </c>
      <c r="E160" s="20" t="s">
        <v>540</v>
      </c>
      <c r="F160" s="20" t="s">
        <v>541</v>
      </c>
      <c r="G160" s="8" t="str">
        <f t="shared" si="2"/>
        <v>CHANDLER KELVIN</v>
      </c>
    </row>
    <row r="161" spans="1:7" x14ac:dyDescent="0.25">
      <c r="A161" s="8">
        <v>42814.719490740739</v>
      </c>
      <c r="B161" s="20" t="s">
        <v>435</v>
      </c>
      <c r="C161" s="20" t="s">
        <v>779</v>
      </c>
      <c r="D161" s="150">
        <v>2530000</v>
      </c>
      <c r="E161" s="20" t="s">
        <v>535</v>
      </c>
      <c r="F161" s="20" t="s">
        <v>536</v>
      </c>
      <c r="G161" s="8" t="str">
        <f t="shared" si="2"/>
        <v>LALONDE GREGORY</v>
      </c>
    </row>
    <row r="162" spans="1:7" x14ac:dyDescent="0.25">
      <c r="A162" s="8">
        <v>42814.72246527778</v>
      </c>
      <c r="B162" s="20" t="s">
        <v>407</v>
      </c>
      <c r="C162" s="20" t="s">
        <v>780</v>
      </c>
      <c r="D162" s="150">
        <v>1810000</v>
      </c>
      <c r="E162" s="20" t="s">
        <v>545</v>
      </c>
      <c r="F162" s="20" t="s">
        <v>195</v>
      </c>
      <c r="G162" s="8" t="str">
        <f t="shared" si="2"/>
        <v>NEWELL JAMES</v>
      </c>
    </row>
    <row r="163" spans="1:7" x14ac:dyDescent="0.25">
      <c r="A163" s="8">
        <v>42814.724421296298</v>
      </c>
      <c r="B163" s="20" t="s">
        <v>401</v>
      </c>
      <c r="C163" s="20" t="s">
        <v>637</v>
      </c>
      <c r="D163" s="150">
        <v>920000</v>
      </c>
      <c r="E163" s="20" t="s">
        <v>463</v>
      </c>
      <c r="F163" s="20" t="s">
        <v>198</v>
      </c>
      <c r="G163" s="8" t="str">
        <f t="shared" si="2"/>
        <v>DAVIS MICHAEL</v>
      </c>
    </row>
    <row r="164" spans="1:7" x14ac:dyDescent="0.25">
      <c r="A164" s="8">
        <v>42814.726504629631</v>
      </c>
      <c r="B164" s="20" t="s">
        <v>542</v>
      </c>
      <c r="C164" s="20" t="s">
        <v>635</v>
      </c>
      <c r="D164" s="150">
        <v>1120000</v>
      </c>
      <c r="E164" s="20" t="s">
        <v>538</v>
      </c>
      <c r="F164" s="20" t="s">
        <v>539</v>
      </c>
      <c r="G164" s="8" t="str">
        <f t="shared" si="2"/>
        <v>LOCKLEAR TRAVIS</v>
      </c>
    </row>
    <row r="165" spans="1:7" x14ac:dyDescent="0.25">
      <c r="A165" s="8">
        <v>42814.733414351853</v>
      </c>
      <c r="B165" s="20" t="s">
        <v>542</v>
      </c>
      <c r="C165" s="20" t="s">
        <v>635</v>
      </c>
      <c r="D165" s="150">
        <v>1120000</v>
      </c>
      <c r="E165" s="20" t="s">
        <v>538</v>
      </c>
      <c r="F165" s="20" t="s">
        <v>539</v>
      </c>
      <c r="G165" s="8" t="str">
        <f t="shared" si="2"/>
        <v>LOCKLEAR TRAVIS</v>
      </c>
    </row>
    <row r="166" spans="1:7" x14ac:dyDescent="0.25">
      <c r="A166" s="8">
        <v>42814.734293981484</v>
      </c>
      <c r="B166" s="20" t="s">
        <v>523</v>
      </c>
      <c r="C166" s="20" t="s">
        <v>781</v>
      </c>
      <c r="D166" s="150">
        <v>930000</v>
      </c>
      <c r="E166" s="20" t="s">
        <v>723</v>
      </c>
      <c r="F166" s="20" t="s">
        <v>724</v>
      </c>
      <c r="G166" s="8" t="str">
        <f t="shared" si="2"/>
        <v>CLARK KATHLEEN</v>
      </c>
    </row>
    <row r="167" spans="1:7" x14ac:dyDescent="0.25">
      <c r="A167" s="8">
        <v>42814.738912037035</v>
      </c>
      <c r="B167" s="20" t="s">
        <v>527</v>
      </c>
      <c r="C167" s="20" t="s">
        <v>782</v>
      </c>
      <c r="D167" s="150">
        <v>3000000</v>
      </c>
      <c r="E167" s="20" t="s">
        <v>743</v>
      </c>
      <c r="F167" s="20" t="s">
        <v>744</v>
      </c>
      <c r="G167" s="8" t="str">
        <f t="shared" si="2"/>
        <v>FORTUNATO FRANK</v>
      </c>
    </row>
    <row r="168" spans="1:7" x14ac:dyDescent="0.25">
      <c r="A168" s="8">
        <v>42814.739016203705</v>
      </c>
      <c r="B168" s="20" t="s">
        <v>412</v>
      </c>
      <c r="C168" s="20" t="s">
        <v>783</v>
      </c>
      <c r="D168" s="150">
        <v>2230000</v>
      </c>
      <c r="E168" s="20" t="s">
        <v>425</v>
      </c>
      <c r="F168" s="20" t="s">
        <v>198</v>
      </c>
      <c r="G168" s="8" t="str">
        <f t="shared" si="2"/>
        <v>SMITH MICHAEL</v>
      </c>
    </row>
    <row r="169" spans="1:7" x14ac:dyDescent="0.25">
      <c r="A169" s="8">
        <v>42814.739236111112</v>
      </c>
      <c r="B169" s="20" t="s">
        <v>408</v>
      </c>
      <c r="C169" s="20" t="s">
        <v>784</v>
      </c>
      <c r="D169" s="150">
        <v>1810000</v>
      </c>
      <c r="E169" s="20" t="s">
        <v>545</v>
      </c>
      <c r="F169" s="20" t="s">
        <v>195</v>
      </c>
      <c r="G169" s="8" t="str">
        <f t="shared" si="2"/>
        <v>NEWELL JAMES</v>
      </c>
    </row>
    <row r="170" spans="1:7" x14ac:dyDescent="0.25">
      <c r="A170" s="8">
        <v>42814.744791666664</v>
      </c>
      <c r="B170" s="20" t="s">
        <v>534</v>
      </c>
      <c r="C170" s="20" t="s">
        <v>785</v>
      </c>
      <c r="D170" s="150">
        <v>2470000</v>
      </c>
      <c r="E170" s="20" t="s">
        <v>442</v>
      </c>
      <c r="F170" s="20" t="s">
        <v>443</v>
      </c>
      <c r="G170" s="8" t="str">
        <f t="shared" si="2"/>
        <v>ROMERO CHAD</v>
      </c>
    </row>
    <row r="171" spans="1:7" x14ac:dyDescent="0.25">
      <c r="A171" s="8">
        <v>42814.746828703705</v>
      </c>
      <c r="B171" s="20" t="s">
        <v>531</v>
      </c>
      <c r="C171" s="20" t="s">
        <v>786</v>
      </c>
      <c r="D171" s="150">
        <v>2360000</v>
      </c>
      <c r="E171" s="20" t="s">
        <v>426</v>
      </c>
      <c r="F171" s="20" t="s">
        <v>427</v>
      </c>
      <c r="G171" s="8" t="str">
        <f t="shared" si="2"/>
        <v>BRANDNER MELINDA</v>
      </c>
    </row>
    <row r="172" spans="1:7" x14ac:dyDescent="0.25">
      <c r="A172" s="8">
        <v>42814.750937500001</v>
      </c>
      <c r="B172" s="20" t="s">
        <v>400</v>
      </c>
      <c r="C172" s="20" t="s">
        <v>787</v>
      </c>
      <c r="D172" s="150">
        <v>2680000</v>
      </c>
      <c r="E172" s="20" t="s">
        <v>543</v>
      </c>
      <c r="F172" s="20" t="s">
        <v>544</v>
      </c>
      <c r="G172" s="8" t="str">
        <f t="shared" si="2"/>
        <v>DUNCAN SHEILA</v>
      </c>
    </row>
    <row r="173" spans="1:7" x14ac:dyDescent="0.25">
      <c r="A173" s="8">
        <v>42814.754155092596</v>
      </c>
      <c r="B173" s="20" t="s">
        <v>407</v>
      </c>
      <c r="C173" s="20" t="s">
        <v>788</v>
      </c>
      <c r="D173" s="150">
        <v>1810000</v>
      </c>
      <c r="E173" s="20" t="s">
        <v>545</v>
      </c>
      <c r="F173" s="20" t="s">
        <v>195</v>
      </c>
      <c r="G173" s="8" t="str">
        <f t="shared" si="2"/>
        <v>NEWELL JAMES</v>
      </c>
    </row>
    <row r="174" spans="1:7" x14ac:dyDescent="0.25">
      <c r="A174" s="8">
        <v>42814.756979166668</v>
      </c>
      <c r="B174" s="20" t="s">
        <v>421</v>
      </c>
      <c r="C174" s="20" t="s">
        <v>789</v>
      </c>
      <c r="D174" s="150">
        <v>1800000</v>
      </c>
      <c r="E174" s="20" t="s">
        <v>540</v>
      </c>
      <c r="F174" s="20" t="s">
        <v>541</v>
      </c>
      <c r="G174" s="8" t="str">
        <f t="shared" si="2"/>
        <v>CHANDLER KELVIN</v>
      </c>
    </row>
    <row r="175" spans="1:7" x14ac:dyDescent="0.25">
      <c r="A175" s="8">
        <v>42814.758009259262</v>
      </c>
      <c r="B175" s="20" t="s">
        <v>402</v>
      </c>
      <c r="C175" s="20" t="s">
        <v>638</v>
      </c>
      <c r="D175" s="150">
        <v>2000000</v>
      </c>
      <c r="E175" s="20" t="s">
        <v>403</v>
      </c>
      <c r="F175" s="20" t="s">
        <v>195</v>
      </c>
      <c r="G175" s="8" t="str">
        <f t="shared" si="2"/>
        <v>STAMBAUGH JAMES</v>
      </c>
    </row>
    <row r="176" spans="1:7" x14ac:dyDescent="0.25">
      <c r="A176" s="8">
        <v>42814.76253472222</v>
      </c>
      <c r="B176" s="20" t="s">
        <v>524</v>
      </c>
      <c r="C176" s="20" t="s">
        <v>790</v>
      </c>
      <c r="D176" s="150">
        <v>2610000</v>
      </c>
      <c r="E176" s="20" t="s">
        <v>791</v>
      </c>
      <c r="F176" s="20" t="s">
        <v>792</v>
      </c>
      <c r="G176" s="8" t="str">
        <f t="shared" si="2"/>
        <v>MAGEE KENYA</v>
      </c>
    </row>
    <row r="177" spans="1:7" x14ac:dyDescent="0.25">
      <c r="A177" s="8">
        <v>42814.765659722223</v>
      </c>
      <c r="B177" s="20" t="s">
        <v>530</v>
      </c>
      <c r="C177" s="20" t="s">
        <v>793</v>
      </c>
      <c r="D177" s="150">
        <v>1120000</v>
      </c>
      <c r="E177" s="20" t="s">
        <v>538</v>
      </c>
      <c r="F177" s="20" t="s">
        <v>539</v>
      </c>
      <c r="G177" s="8" t="str">
        <f t="shared" si="2"/>
        <v>LOCKLEAR TRAVIS</v>
      </c>
    </row>
    <row r="178" spans="1:7" x14ac:dyDescent="0.25">
      <c r="A178" s="8">
        <v>42814.768483796295</v>
      </c>
      <c r="B178" s="20" t="s">
        <v>408</v>
      </c>
      <c r="C178" s="20" t="s">
        <v>794</v>
      </c>
      <c r="D178" s="150">
        <v>1810000</v>
      </c>
      <c r="E178" s="20" t="s">
        <v>545</v>
      </c>
      <c r="F178" s="20" t="s">
        <v>195</v>
      </c>
      <c r="G178" s="8" t="str">
        <f t="shared" si="2"/>
        <v>NEWELL JAMES</v>
      </c>
    </row>
    <row r="179" spans="1:7" x14ac:dyDescent="0.25">
      <c r="A179" s="8">
        <v>42814.769803240742</v>
      </c>
      <c r="B179" s="20" t="s">
        <v>526</v>
      </c>
      <c r="C179" s="20" t="s">
        <v>639</v>
      </c>
      <c r="D179" s="150">
        <v>1740000</v>
      </c>
      <c r="E179" s="20" t="s">
        <v>795</v>
      </c>
      <c r="F179" s="20" t="s">
        <v>796</v>
      </c>
      <c r="G179" s="8" t="str">
        <f t="shared" si="2"/>
        <v>STORY SAMANTHA</v>
      </c>
    </row>
    <row r="180" spans="1:7" x14ac:dyDescent="0.25">
      <c r="A180" s="8">
        <v>42814.772939814815</v>
      </c>
      <c r="B180" s="20" t="s">
        <v>411</v>
      </c>
      <c r="C180" s="20" t="s">
        <v>797</v>
      </c>
      <c r="D180" s="150">
        <v>2230000</v>
      </c>
      <c r="E180" s="20" t="s">
        <v>425</v>
      </c>
      <c r="F180" s="20" t="s">
        <v>198</v>
      </c>
      <c r="G180" s="8" t="str">
        <f t="shared" si="2"/>
        <v>SMITH MICHAEL</v>
      </c>
    </row>
    <row r="181" spans="1:7" x14ac:dyDescent="0.25">
      <c r="A181" s="8">
        <v>42814.775833333333</v>
      </c>
      <c r="B181" s="20" t="s">
        <v>537</v>
      </c>
      <c r="C181" s="20" t="s">
        <v>798</v>
      </c>
      <c r="D181" s="150">
        <v>2470000</v>
      </c>
      <c r="E181" s="20" t="s">
        <v>442</v>
      </c>
      <c r="F181" s="20" t="s">
        <v>443</v>
      </c>
      <c r="G181" s="8" t="str">
        <f t="shared" si="2"/>
        <v>ROMERO CHAD</v>
      </c>
    </row>
    <row r="182" spans="1:7" x14ac:dyDescent="0.25">
      <c r="A182" s="8">
        <v>42814.775879629633</v>
      </c>
      <c r="B182" s="20" t="s">
        <v>527</v>
      </c>
      <c r="C182" s="20" t="s">
        <v>799</v>
      </c>
      <c r="D182" s="150">
        <v>2610000</v>
      </c>
      <c r="E182" s="20" t="s">
        <v>791</v>
      </c>
      <c r="F182" s="20" t="s">
        <v>792</v>
      </c>
      <c r="G182" s="8" t="str">
        <f t="shared" si="2"/>
        <v>MAGEE KENYA</v>
      </c>
    </row>
    <row r="183" spans="1:7" x14ac:dyDescent="0.25">
      <c r="A183" s="8">
        <v>42814.782916666663</v>
      </c>
      <c r="B183" s="20" t="s">
        <v>525</v>
      </c>
      <c r="C183" s="20" t="s">
        <v>800</v>
      </c>
      <c r="D183" s="150">
        <v>2360000</v>
      </c>
      <c r="E183" s="20" t="s">
        <v>426</v>
      </c>
      <c r="F183" s="20" t="s">
        <v>427</v>
      </c>
      <c r="G183" s="8" t="str">
        <f t="shared" si="2"/>
        <v>BRANDNER MELINDA</v>
      </c>
    </row>
    <row r="184" spans="1:7" x14ac:dyDescent="0.25">
      <c r="A184" s="8">
        <v>42814.791516203702</v>
      </c>
      <c r="B184" s="20" t="s">
        <v>424</v>
      </c>
      <c r="C184" s="20" t="s">
        <v>640</v>
      </c>
      <c r="D184" s="150">
        <v>1800000</v>
      </c>
      <c r="E184" s="20" t="s">
        <v>540</v>
      </c>
      <c r="F184" s="20" t="s">
        <v>541</v>
      </c>
      <c r="G184" s="8" t="str">
        <f t="shared" si="2"/>
        <v>CHANDLER KELVIN</v>
      </c>
    </row>
    <row r="185" spans="1:7" x14ac:dyDescent="0.25">
      <c r="A185" s="8">
        <v>42814.795243055552</v>
      </c>
      <c r="B185" s="20" t="s">
        <v>407</v>
      </c>
      <c r="C185" s="20" t="s">
        <v>801</v>
      </c>
      <c r="D185" s="150">
        <v>1810000</v>
      </c>
      <c r="E185" s="20" t="s">
        <v>545</v>
      </c>
      <c r="F185" s="20" t="s">
        <v>195</v>
      </c>
      <c r="G185" s="8" t="str">
        <f t="shared" si="2"/>
        <v>NEWELL JAMES</v>
      </c>
    </row>
    <row r="186" spans="1:7" x14ac:dyDescent="0.25">
      <c r="A186" s="8">
        <v>42814.797199074077</v>
      </c>
      <c r="B186" s="20" t="s">
        <v>542</v>
      </c>
      <c r="C186" s="20" t="s">
        <v>641</v>
      </c>
      <c r="D186" s="150">
        <v>1120000</v>
      </c>
      <c r="E186" s="20" t="s">
        <v>538</v>
      </c>
      <c r="F186" s="20" t="s">
        <v>539</v>
      </c>
      <c r="G186" s="8" t="str">
        <f t="shared" si="2"/>
        <v>LOCKLEAR TRAVIS</v>
      </c>
    </row>
    <row r="187" spans="1:7" x14ac:dyDescent="0.25">
      <c r="A187" s="8">
        <v>42814.79724537037</v>
      </c>
      <c r="B187" s="20" t="s">
        <v>401</v>
      </c>
      <c r="C187" s="20" t="s">
        <v>802</v>
      </c>
      <c r="D187" s="150">
        <v>2000000</v>
      </c>
      <c r="E187" s="20" t="s">
        <v>403</v>
      </c>
      <c r="F187" s="20" t="s">
        <v>195</v>
      </c>
      <c r="G187" s="8" t="str">
        <f t="shared" si="2"/>
        <v>STAMBAUGH JAMES</v>
      </c>
    </row>
    <row r="188" spans="1:7" x14ac:dyDescent="0.25">
      <c r="A188" s="8">
        <v>42814.805254629631</v>
      </c>
      <c r="B188" s="20" t="s">
        <v>524</v>
      </c>
      <c r="C188" s="20" t="s">
        <v>803</v>
      </c>
      <c r="D188" s="150">
        <v>3000000</v>
      </c>
      <c r="E188" s="20" t="s">
        <v>743</v>
      </c>
      <c r="F188" s="20" t="s">
        <v>744</v>
      </c>
      <c r="G188" s="8" t="str">
        <f t="shared" si="2"/>
        <v>FORTUNATO FRANK</v>
      </c>
    </row>
    <row r="189" spans="1:7" x14ac:dyDescent="0.25">
      <c r="A189" s="8">
        <v>42814.808831018519</v>
      </c>
      <c r="B189" s="20" t="s">
        <v>523</v>
      </c>
      <c r="C189" s="20" t="s">
        <v>804</v>
      </c>
      <c r="D189" s="150">
        <v>1740000</v>
      </c>
      <c r="E189" s="20" t="s">
        <v>795</v>
      </c>
      <c r="F189" s="20" t="s">
        <v>796</v>
      </c>
      <c r="G189" s="8" t="str">
        <f t="shared" si="2"/>
        <v>STORY SAMANTHA</v>
      </c>
    </row>
    <row r="190" spans="1:7" x14ac:dyDescent="0.25">
      <c r="A190" s="8">
        <v>42814.808993055558</v>
      </c>
      <c r="B190" s="20" t="s">
        <v>412</v>
      </c>
      <c r="C190" s="20" t="s">
        <v>805</v>
      </c>
      <c r="D190" s="150">
        <v>2230000</v>
      </c>
      <c r="E190" s="20" t="s">
        <v>425</v>
      </c>
      <c r="F190" s="20" t="s">
        <v>198</v>
      </c>
      <c r="G190" s="8" t="str">
        <f t="shared" si="2"/>
        <v>SMITH MICHAEL</v>
      </c>
    </row>
    <row r="191" spans="1:7" x14ac:dyDescent="0.25">
      <c r="A191" s="8">
        <v>42814.817824074074</v>
      </c>
      <c r="B191" s="20" t="s">
        <v>527</v>
      </c>
      <c r="C191" s="20" t="s">
        <v>642</v>
      </c>
      <c r="D191" s="150">
        <v>3000000</v>
      </c>
      <c r="E191" s="20" t="s">
        <v>743</v>
      </c>
      <c r="F191" s="20" t="s">
        <v>744</v>
      </c>
      <c r="G191" s="8" t="str">
        <f t="shared" si="2"/>
        <v>FORTUNATO FRANK</v>
      </c>
    </row>
    <row r="192" spans="1:7" x14ac:dyDescent="0.25">
      <c r="A192" s="8">
        <v>42814.820810185185</v>
      </c>
      <c r="B192" s="20" t="s">
        <v>531</v>
      </c>
      <c r="C192" s="20" t="s">
        <v>806</v>
      </c>
      <c r="D192" s="150">
        <v>2360000</v>
      </c>
      <c r="E192" s="20" t="s">
        <v>426</v>
      </c>
      <c r="F192" s="20" t="s">
        <v>427</v>
      </c>
      <c r="G192" s="8" t="str">
        <f t="shared" si="2"/>
        <v>BRANDNER MELINDA</v>
      </c>
    </row>
    <row r="193" spans="1:7" x14ac:dyDescent="0.25">
      <c r="A193" s="8">
        <v>42814.827685185184</v>
      </c>
      <c r="B193" s="20" t="s">
        <v>402</v>
      </c>
      <c r="C193" s="20" t="s">
        <v>807</v>
      </c>
      <c r="D193" s="150">
        <v>2000000</v>
      </c>
      <c r="E193" s="20" t="s">
        <v>403</v>
      </c>
      <c r="F193" s="20" t="s">
        <v>195</v>
      </c>
      <c r="G193" s="8" t="str">
        <f t="shared" si="2"/>
        <v>STAMBAUGH JAMES</v>
      </c>
    </row>
    <row r="194" spans="1:7" x14ac:dyDescent="0.25">
      <c r="A194" s="8">
        <v>42814.828935185185</v>
      </c>
      <c r="B194" s="20" t="s">
        <v>421</v>
      </c>
      <c r="C194" s="20" t="s">
        <v>643</v>
      </c>
      <c r="D194" s="150">
        <v>1800000</v>
      </c>
      <c r="E194" s="20" t="s">
        <v>540</v>
      </c>
      <c r="F194" s="20" t="s">
        <v>541</v>
      </c>
      <c r="G194" s="8" t="str">
        <f t="shared" si="2"/>
        <v>CHANDLER KELVIN</v>
      </c>
    </row>
    <row r="195" spans="1:7" x14ac:dyDescent="0.25">
      <c r="A195" s="8">
        <v>42814.833715277775</v>
      </c>
      <c r="B195" s="20" t="s">
        <v>528</v>
      </c>
      <c r="C195" s="20" t="s">
        <v>808</v>
      </c>
      <c r="D195" s="150">
        <v>2730000</v>
      </c>
      <c r="E195" s="20" t="s">
        <v>546</v>
      </c>
      <c r="F195" s="20" t="s">
        <v>547</v>
      </c>
      <c r="G195" s="8" t="str">
        <f t="shared" ref="G195:G258" si="3">E195&amp;" "&amp;F195</f>
        <v>YANG JAN</v>
      </c>
    </row>
    <row r="196" spans="1:7" x14ac:dyDescent="0.25">
      <c r="A196" s="8">
        <v>42814.845000000001</v>
      </c>
      <c r="B196" s="20" t="s">
        <v>411</v>
      </c>
      <c r="C196" s="20" t="s">
        <v>809</v>
      </c>
      <c r="D196" s="150">
        <v>2230000</v>
      </c>
      <c r="E196" s="20" t="s">
        <v>425</v>
      </c>
      <c r="F196" s="20" t="s">
        <v>198</v>
      </c>
      <c r="G196" s="8" t="str">
        <f t="shared" si="3"/>
        <v>SMITH MICHAEL</v>
      </c>
    </row>
    <row r="197" spans="1:7" x14ac:dyDescent="0.25">
      <c r="A197" s="8">
        <v>42814.847187500003</v>
      </c>
      <c r="B197" s="20" t="s">
        <v>524</v>
      </c>
      <c r="C197" s="20" t="s">
        <v>810</v>
      </c>
      <c r="D197" s="150">
        <v>3000000</v>
      </c>
      <c r="E197" s="20" t="s">
        <v>743</v>
      </c>
      <c r="F197" s="20" t="s">
        <v>744</v>
      </c>
      <c r="G197" s="8" t="str">
        <f t="shared" si="3"/>
        <v>FORTUNATO FRANK</v>
      </c>
    </row>
    <row r="198" spans="1:7" x14ac:dyDescent="0.25">
      <c r="A198" s="8">
        <v>42814.849664351852</v>
      </c>
      <c r="B198" s="20" t="s">
        <v>548</v>
      </c>
      <c r="C198" s="20" t="s">
        <v>811</v>
      </c>
      <c r="D198" s="150">
        <v>2730000</v>
      </c>
      <c r="E198" s="20" t="s">
        <v>546</v>
      </c>
      <c r="F198" s="20" t="s">
        <v>547</v>
      </c>
      <c r="G198" s="8" t="str">
        <f t="shared" si="3"/>
        <v>YANG JAN</v>
      </c>
    </row>
    <row r="199" spans="1:7" x14ac:dyDescent="0.25">
      <c r="A199" s="8">
        <v>42814.852905092594</v>
      </c>
      <c r="B199" s="20" t="s">
        <v>526</v>
      </c>
      <c r="C199" s="20" t="s">
        <v>812</v>
      </c>
      <c r="D199" s="150">
        <v>2680000</v>
      </c>
      <c r="E199" s="20" t="s">
        <v>543</v>
      </c>
      <c r="F199" s="20" t="s">
        <v>544</v>
      </c>
      <c r="G199" s="8" t="str">
        <f t="shared" si="3"/>
        <v>DUNCAN SHEILA</v>
      </c>
    </row>
    <row r="200" spans="1:7" x14ac:dyDescent="0.25">
      <c r="A200" s="8">
        <v>42814.85869212963</v>
      </c>
      <c r="B200" s="20" t="s">
        <v>527</v>
      </c>
      <c r="C200" s="20" t="s">
        <v>813</v>
      </c>
      <c r="D200" s="150">
        <v>3000000</v>
      </c>
      <c r="E200" s="20" t="s">
        <v>743</v>
      </c>
      <c r="F200" s="20" t="s">
        <v>744</v>
      </c>
      <c r="G200" s="8" t="str">
        <f t="shared" si="3"/>
        <v>FORTUNATO FRANK</v>
      </c>
    </row>
    <row r="201" spans="1:7" x14ac:dyDescent="0.25">
      <c r="A201" s="8">
        <v>42814.867071759261</v>
      </c>
      <c r="B201" s="20" t="s">
        <v>401</v>
      </c>
      <c r="C201" s="20" t="s">
        <v>814</v>
      </c>
      <c r="D201" s="150">
        <v>2000000</v>
      </c>
      <c r="E201" s="20" t="s">
        <v>403</v>
      </c>
      <c r="F201" s="20" t="s">
        <v>195</v>
      </c>
      <c r="G201" s="8" t="str">
        <f t="shared" si="3"/>
        <v>STAMBAUGH JAMES</v>
      </c>
    </row>
    <row r="202" spans="1:7" x14ac:dyDescent="0.25">
      <c r="A202" s="26">
        <v>42814.872916666667</v>
      </c>
      <c r="B202" s="20" t="s">
        <v>424</v>
      </c>
      <c r="C202" s="20" t="s">
        <v>815</v>
      </c>
      <c r="D202" s="150">
        <v>1800000</v>
      </c>
      <c r="E202" s="20" t="s">
        <v>540</v>
      </c>
      <c r="F202" s="20" t="s">
        <v>541</v>
      </c>
      <c r="G202" s="8" t="str">
        <f t="shared" si="3"/>
        <v>CHANDLER KELVIN</v>
      </c>
    </row>
    <row r="203" spans="1:7" x14ac:dyDescent="0.25">
      <c r="A203" s="8">
        <v>42814.877986111111</v>
      </c>
      <c r="B203" s="20" t="s">
        <v>524</v>
      </c>
      <c r="C203" s="20" t="s">
        <v>816</v>
      </c>
      <c r="D203" s="150">
        <v>1810000</v>
      </c>
      <c r="E203" s="20" t="s">
        <v>545</v>
      </c>
      <c r="F203" s="20" t="s">
        <v>195</v>
      </c>
      <c r="G203" s="8" t="str">
        <f t="shared" si="3"/>
        <v>NEWELL JAMES</v>
      </c>
    </row>
    <row r="204" spans="1:7" x14ac:dyDescent="0.25">
      <c r="A204" s="8">
        <v>42814.887395833335</v>
      </c>
      <c r="B204" s="20" t="s">
        <v>412</v>
      </c>
      <c r="C204" s="20" t="s">
        <v>817</v>
      </c>
      <c r="D204" s="150">
        <v>2230000</v>
      </c>
      <c r="E204" s="20" t="s">
        <v>425</v>
      </c>
      <c r="F204" s="20" t="s">
        <v>198</v>
      </c>
      <c r="G204" s="8" t="str">
        <f t="shared" si="3"/>
        <v>SMITH MICHAEL</v>
      </c>
    </row>
    <row r="205" spans="1:7" x14ac:dyDescent="0.25">
      <c r="A205" s="8">
        <v>42814.888101851851</v>
      </c>
      <c r="B205" s="20" t="s">
        <v>523</v>
      </c>
      <c r="C205" s="20" t="s">
        <v>818</v>
      </c>
      <c r="D205" s="150">
        <v>2680000</v>
      </c>
      <c r="E205" s="20" t="s">
        <v>543</v>
      </c>
      <c r="F205" s="20" t="s">
        <v>544</v>
      </c>
      <c r="G205" s="8" t="str">
        <f t="shared" si="3"/>
        <v>DUNCAN SHEILA</v>
      </c>
    </row>
    <row r="206" spans="1:7" x14ac:dyDescent="0.25">
      <c r="A206" s="8">
        <v>42814.892060185186</v>
      </c>
      <c r="B206" s="20" t="s">
        <v>528</v>
      </c>
      <c r="C206" s="20" t="s">
        <v>808</v>
      </c>
      <c r="D206" s="150">
        <v>2730000</v>
      </c>
      <c r="E206" s="20" t="s">
        <v>546</v>
      </c>
      <c r="F206" s="20" t="s">
        <v>547</v>
      </c>
      <c r="G206" s="8" t="str">
        <f t="shared" si="3"/>
        <v>YANG JAN</v>
      </c>
    </row>
    <row r="207" spans="1:7" x14ac:dyDescent="0.25">
      <c r="A207" s="8">
        <v>42814.9</v>
      </c>
      <c r="B207" s="20" t="s">
        <v>527</v>
      </c>
      <c r="C207" s="20" t="s">
        <v>819</v>
      </c>
      <c r="D207" s="150">
        <v>1810000</v>
      </c>
      <c r="E207" s="20" t="s">
        <v>545</v>
      </c>
      <c r="F207" s="20" t="s">
        <v>195</v>
      </c>
      <c r="G207" s="8" t="str">
        <f t="shared" si="3"/>
        <v>NEWELL JAMES</v>
      </c>
    </row>
    <row r="208" spans="1:7" x14ac:dyDescent="0.25">
      <c r="A208" s="8">
        <v>42814.901342592595</v>
      </c>
      <c r="B208" s="20" t="s">
        <v>402</v>
      </c>
      <c r="C208" s="20" t="s">
        <v>644</v>
      </c>
      <c r="D208" s="150">
        <v>2000000</v>
      </c>
      <c r="E208" s="20" t="s">
        <v>403</v>
      </c>
      <c r="F208" s="20" t="s">
        <v>195</v>
      </c>
      <c r="G208" s="8" t="str">
        <f t="shared" si="3"/>
        <v>STAMBAUGH JAMES</v>
      </c>
    </row>
    <row r="209" spans="1:7" x14ac:dyDescent="0.25">
      <c r="A209" s="8">
        <v>42814.913414351853</v>
      </c>
      <c r="B209" s="20" t="s">
        <v>421</v>
      </c>
      <c r="C209" s="20" t="s">
        <v>820</v>
      </c>
      <c r="D209" s="150">
        <v>1800000</v>
      </c>
      <c r="E209" s="20" t="s">
        <v>540</v>
      </c>
      <c r="F209" s="20" t="s">
        <v>541</v>
      </c>
      <c r="G209" s="8" t="str">
        <f t="shared" si="3"/>
        <v>CHANDLER KELVIN</v>
      </c>
    </row>
    <row r="210" spans="1:7" x14ac:dyDescent="0.25">
      <c r="A210" s="8">
        <v>42814.927152777775</v>
      </c>
      <c r="B210" s="20" t="s">
        <v>548</v>
      </c>
      <c r="C210" s="20" t="s">
        <v>811</v>
      </c>
      <c r="D210" s="150">
        <v>2730000</v>
      </c>
      <c r="E210" s="20" t="s">
        <v>546</v>
      </c>
      <c r="F210" s="20" t="s">
        <v>547</v>
      </c>
      <c r="G210" s="8" t="str">
        <f t="shared" si="3"/>
        <v>YANG JAN</v>
      </c>
    </row>
    <row r="211" spans="1:7" x14ac:dyDescent="0.25">
      <c r="A211" s="8">
        <v>42814.927199074074</v>
      </c>
      <c r="B211" s="20" t="s">
        <v>411</v>
      </c>
      <c r="C211" s="20" t="s">
        <v>821</v>
      </c>
      <c r="D211" s="150">
        <v>2230000</v>
      </c>
      <c r="E211" s="20" t="s">
        <v>425</v>
      </c>
      <c r="F211" s="20" t="s">
        <v>198</v>
      </c>
      <c r="G211" s="8" t="str">
        <f t="shared" si="3"/>
        <v>SMITH MICHAEL</v>
      </c>
    </row>
    <row r="212" spans="1:7" x14ac:dyDescent="0.25">
      <c r="A212" s="8">
        <v>42814.927800925929</v>
      </c>
      <c r="B212" s="20" t="s">
        <v>524</v>
      </c>
      <c r="C212" s="20" t="s">
        <v>822</v>
      </c>
      <c r="D212" s="150">
        <v>1810000</v>
      </c>
      <c r="E212" s="20" t="s">
        <v>545</v>
      </c>
      <c r="F212" s="20" t="s">
        <v>195</v>
      </c>
      <c r="G212" s="8" t="str">
        <f t="shared" si="3"/>
        <v>NEWELL JAMES</v>
      </c>
    </row>
    <row r="213" spans="1:7" x14ac:dyDescent="0.25">
      <c r="A213" s="8">
        <v>42814.935324074075</v>
      </c>
      <c r="B213" s="20" t="s">
        <v>526</v>
      </c>
      <c r="C213" s="20" t="s">
        <v>823</v>
      </c>
      <c r="D213" s="150">
        <v>1740000</v>
      </c>
      <c r="E213" s="20" t="s">
        <v>795</v>
      </c>
      <c r="F213" s="20" t="s">
        <v>796</v>
      </c>
      <c r="G213" s="8" t="str">
        <f t="shared" si="3"/>
        <v>STORY SAMANTHA</v>
      </c>
    </row>
    <row r="214" spans="1:7" x14ac:dyDescent="0.25">
      <c r="A214" s="8">
        <v>42814.942048611112</v>
      </c>
      <c r="B214" s="20" t="s">
        <v>527</v>
      </c>
      <c r="C214" s="20" t="s">
        <v>824</v>
      </c>
      <c r="D214" s="150">
        <v>1810000</v>
      </c>
      <c r="E214" s="20" t="s">
        <v>545</v>
      </c>
      <c r="F214" s="20" t="s">
        <v>195</v>
      </c>
      <c r="G214" s="8" t="str">
        <f t="shared" si="3"/>
        <v>NEWELL JAMES</v>
      </c>
    </row>
    <row r="215" spans="1:7" x14ac:dyDescent="0.25">
      <c r="A215" s="8">
        <v>42814.953900462962</v>
      </c>
      <c r="B215" s="20" t="s">
        <v>401</v>
      </c>
      <c r="C215" s="20" t="s">
        <v>825</v>
      </c>
      <c r="D215" s="150">
        <v>2000000</v>
      </c>
      <c r="E215" s="20" t="s">
        <v>403</v>
      </c>
      <c r="F215" s="20" t="s">
        <v>195</v>
      </c>
      <c r="G215" s="8" t="str">
        <f t="shared" si="3"/>
        <v>STAMBAUGH JAMES</v>
      </c>
    </row>
    <row r="216" spans="1:7" x14ac:dyDescent="0.25">
      <c r="A216" s="8">
        <v>42814.956944444442</v>
      </c>
      <c r="B216" s="20" t="s">
        <v>424</v>
      </c>
      <c r="C216" s="20" t="s">
        <v>826</v>
      </c>
      <c r="D216" s="150">
        <v>1800000</v>
      </c>
      <c r="E216" s="20" t="s">
        <v>540</v>
      </c>
      <c r="F216" s="20" t="s">
        <v>541</v>
      </c>
      <c r="G216" s="8" t="str">
        <f t="shared" si="3"/>
        <v>CHANDLER KELVIN</v>
      </c>
    </row>
    <row r="217" spans="1:7" x14ac:dyDescent="0.25">
      <c r="A217" s="8">
        <v>42814.960902777777</v>
      </c>
      <c r="B217" s="20" t="s">
        <v>528</v>
      </c>
      <c r="C217" s="20" t="s">
        <v>808</v>
      </c>
      <c r="D217" s="150">
        <v>2730000</v>
      </c>
      <c r="E217" s="20" t="s">
        <v>546</v>
      </c>
      <c r="F217" s="20" t="s">
        <v>547</v>
      </c>
      <c r="G217" s="8" t="str">
        <f t="shared" si="3"/>
        <v>YANG JAN</v>
      </c>
    </row>
    <row r="218" spans="1:7" x14ac:dyDescent="0.25">
      <c r="A218" s="8">
        <v>42814.965300925927</v>
      </c>
      <c r="B218" s="20" t="s">
        <v>412</v>
      </c>
      <c r="C218" s="20" t="s">
        <v>827</v>
      </c>
      <c r="D218" s="150">
        <v>2230000</v>
      </c>
      <c r="E218" s="20" t="s">
        <v>425</v>
      </c>
      <c r="F218" s="20" t="s">
        <v>198</v>
      </c>
      <c r="G218" s="8" t="str">
        <f t="shared" si="3"/>
        <v>SMITH MICHAEL</v>
      </c>
    </row>
    <row r="219" spans="1:7" x14ac:dyDescent="0.25">
      <c r="A219" s="8">
        <v>42814.974108796298</v>
      </c>
      <c r="B219" s="20" t="s">
        <v>523</v>
      </c>
      <c r="C219" s="20" t="s">
        <v>828</v>
      </c>
      <c r="D219" s="150">
        <v>1740000</v>
      </c>
      <c r="E219" s="20" t="s">
        <v>795</v>
      </c>
      <c r="F219" s="20" t="s">
        <v>796</v>
      </c>
      <c r="G219" s="8" t="str">
        <f t="shared" si="3"/>
        <v>STORY SAMANTHA</v>
      </c>
    </row>
    <row r="220" spans="1:7" x14ac:dyDescent="0.25">
      <c r="A220" s="8">
        <v>42814.980034722219</v>
      </c>
      <c r="B220" s="20" t="s">
        <v>523</v>
      </c>
      <c r="C220" s="20" t="s">
        <v>828</v>
      </c>
      <c r="D220" s="150">
        <v>1740000</v>
      </c>
      <c r="E220" s="20" t="s">
        <v>795</v>
      </c>
      <c r="F220" s="20" t="s">
        <v>796</v>
      </c>
      <c r="G220" s="8" t="str">
        <f t="shared" si="3"/>
        <v>STORY SAMANTHA</v>
      </c>
    </row>
    <row r="221" spans="1:7" x14ac:dyDescent="0.25">
      <c r="A221" s="8">
        <v>42814.980706018519</v>
      </c>
      <c r="B221" s="20" t="s">
        <v>523</v>
      </c>
      <c r="C221" s="20" t="s">
        <v>828</v>
      </c>
      <c r="D221" s="150">
        <v>1740000</v>
      </c>
      <c r="E221" s="20" t="s">
        <v>795</v>
      </c>
      <c r="F221" s="20" t="s">
        <v>796</v>
      </c>
      <c r="G221" s="8" t="str">
        <f t="shared" si="3"/>
        <v>STORY SAMANTHA</v>
      </c>
    </row>
    <row r="222" spans="1:7" x14ac:dyDescent="0.25">
      <c r="A222" s="8">
        <v>42814.987268518518</v>
      </c>
      <c r="B222" s="20" t="s">
        <v>402</v>
      </c>
      <c r="C222" s="20" t="s">
        <v>645</v>
      </c>
      <c r="D222" s="150">
        <v>2000000</v>
      </c>
      <c r="E222" s="20" t="s">
        <v>403</v>
      </c>
      <c r="F222" s="20" t="s">
        <v>195</v>
      </c>
      <c r="G222" s="8" t="str">
        <f t="shared" si="3"/>
        <v>STAMBAUGH JAMES</v>
      </c>
    </row>
    <row r="223" spans="1:7" x14ac:dyDescent="0.25">
      <c r="A223" s="8">
        <v>42814.993738425925</v>
      </c>
      <c r="B223" s="20" t="s">
        <v>421</v>
      </c>
      <c r="C223" s="20" t="s">
        <v>829</v>
      </c>
      <c r="D223" s="150">
        <v>1800000</v>
      </c>
      <c r="E223" s="20" t="s">
        <v>540</v>
      </c>
      <c r="F223" s="20" t="s">
        <v>541</v>
      </c>
      <c r="G223" s="8" t="str">
        <f t="shared" si="3"/>
        <v>CHANDLER KELVIN</v>
      </c>
    </row>
    <row r="224" spans="1:7" x14ac:dyDescent="0.25">
      <c r="A224" s="8">
        <v>42814.999560185184</v>
      </c>
      <c r="B224" t="s">
        <v>548</v>
      </c>
      <c r="C224" t="s">
        <v>811</v>
      </c>
      <c r="D224" s="150">
        <v>2730000</v>
      </c>
      <c r="E224" t="s">
        <v>546</v>
      </c>
      <c r="F224" s="20" t="s">
        <v>547</v>
      </c>
      <c r="G224" s="8" t="str">
        <f t="shared" si="3"/>
        <v>YANG JAN</v>
      </c>
    </row>
    <row r="225" spans="1:7" x14ac:dyDescent="0.25">
      <c r="A225" s="8">
        <v>42815.008888888886</v>
      </c>
      <c r="B225" t="s">
        <v>411</v>
      </c>
      <c r="C225" t="s">
        <v>830</v>
      </c>
      <c r="D225" s="150">
        <v>2230000</v>
      </c>
      <c r="E225" t="s">
        <v>425</v>
      </c>
      <c r="F225" s="20" t="s">
        <v>198</v>
      </c>
      <c r="G225" s="8" t="str">
        <f t="shared" si="3"/>
        <v>SMITH MICHAEL</v>
      </c>
    </row>
    <row r="226" spans="1:7" x14ac:dyDescent="0.25">
      <c r="A226" s="8">
        <v>42815.018379629626</v>
      </c>
      <c r="B226" t="s">
        <v>526</v>
      </c>
      <c r="C226" t="s">
        <v>831</v>
      </c>
      <c r="D226" s="150">
        <v>1740000</v>
      </c>
      <c r="E226" t="s">
        <v>795</v>
      </c>
      <c r="F226" s="20" t="s">
        <v>796</v>
      </c>
      <c r="G226" s="8" t="str">
        <f t="shared" si="3"/>
        <v>STORY SAMANTHA</v>
      </c>
    </row>
    <row r="227" spans="1:7" x14ac:dyDescent="0.25">
      <c r="A227" s="8">
        <v>42815.029074074075</v>
      </c>
      <c r="B227" t="s">
        <v>424</v>
      </c>
      <c r="C227" t="s">
        <v>832</v>
      </c>
      <c r="D227" s="150">
        <v>1800000</v>
      </c>
      <c r="E227" t="s">
        <v>540</v>
      </c>
      <c r="F227" s="20" t="s">
        <v>541</v>
      </c>
      <c r="G227" s="8" t="str">
        <f t="shared" si="3"/>
        <v>CHANDLER KELVIN</v>
      </c>
    </row>
    <row r="228" spans="1:7" x14ac:dyDescent="0.25">
      <c r="A228" s="8">
        <v>42815.037800925929</v>
      </c>
      <c r="B228" t="s">
        <v>401</v>
      </c>
      <c r="C228" t="s">
        <v>646</v>
      </c>
      <c r="D228" s="150">
        <v>2000000</v>
      </c>
      <c r="E228" t="s">
        <v>403</v>
      </c>
      <c r="F228" s="20" t="s">
        <v>195</v>
      </c>
      <c r="G228" s="8" t="str">
        <f t="shared" si="3"/>
        <v>STAMBAUGH JAMES</v>
      </c>
    </row>
    <row r="229" spans="1:7" x14ac:dyDescent="0.25">
      <c r="A229" s="8">
        <v>42815.048229166663</v>
      </c>
      <c r="B229" t="s">
        <v>412</v>
      </c>
      <c r="C229" t="s">
        <v>833</v>
      </c>
      <c r="D229" s="150">
        <v>2230000</v>
      </c>
      <c r="E229" t="s">
        <v>425</v>
      </c>
      <c r="F229" s="20" t="s">
        <v>198</v>
      </c>
      <c r="G229" s="8" t="str">
        <f t="shared" si="3"/>
        <v>SMITH MICHAEL</v>
      </c>
    </row>
    <row r="230" spans="1:7" x14ac:dyDescent="0.25">
      <c r="A230" s="8">
        <v>42815.048414351855</v>
      </c>
      <c r="B230" t="s">
        <v>528</v>
      </c>
      <c r="C230" t="s">
        <v>811</v>
      </c>
      <c r="D230" s="150">
        <v>2730000</v>
      </c>
      <c r="E230" t="s">
        <v>546</v>
      </c>
      <c r="F230" s="20" t="s">
        <v>547</v>
      </c>
      <c r="G230" s="8" t="str">
        <f t="shared" si="3"/>
        <v>YANG JAN</v>
      </c>
    </row>
    <row r="231" spans="1:7" x14ac:dyDescent="0.25">
      <c r="A231" s="8">
        <v>42815.051481481481</v>
      </c>
      <c r="B231" t="s">
        <v>523</v>
      </c>
      <c r="C231" t="s">
        <v>834</v>
      </c>
      <c r="D231" s="150">
        <v>1740000</v>
      </c>
      <c r="E231" t="s">
        <v>795</v>
      </c>
      <c r="F231" s="20" t="s">
        <v>796</v>
      </c>
      <c r="G231" s="8" t="str">
        <f t="shared" si="3"/>
        <v>STORY SAMANTHA</v>
      </c>
    </row>
    <row r="232" spans="1:7" x14ac:dyDescent="0.25">
      <c r="A232" s="8">
        <v>42815.052708333336</v>
      </c>
      <c r="B232" t="s">
        <v>523</v>
      </c>
      <c r="C232" t="s">
        <v>834</v>
      </c>
      <c r="D232" s="150">
        <v>1740000</v>
      </c>
      <c r="E232" t="s">
        <v>795</v>
      </c>
      <c r="F232" s="20" t="s">
        <v>796</v>
      </c>
      <c r="G232" s="8" t="str">
        <f t="shared" si="3"/>
        <v>STORY SAMANTHA</v>
      </c>
    </row>
    <row r="233" spans="1:7" x14ac:dyDescent="0.25">
      <c r="A233" s="8">
        <v>42815.066967592589</v>
      </c>
      <c r="B233" t="s">
        <v>402</v>
      </c>
      <c r="C233" t="s">
        <v>835</v>
      </c>
      <c r="D233" s="150">
        <v>2000000</v>
      </c>
      <c r="E233" t="s">
        <v>403</v>
      </c>
      <c r="F233" s="20" t="s">
        <v>195</v>
      </c>
      <c r="G233" s="8" t="str">
        <f t="shared" si="3"/>
        <v>STAMBAUGH JAMES</v>
      </c>
    </row>
    <row r="234" spans="1:7" x14ac:dyDescent="0.25">
      <c r="A234" s="8">
        <v>42815.082789351851</v>
      </c>
      <c r="B234" t="s">
        <v>548</v>
      </c>
      <c r="C234" t="s">
        <v>811</v>
      </c>
      <c r="D234" s="150">
        <v>2730000</v>
      </c>
      <c r="E234" t="s">
        <v>546</v>
      </c>
      <c r="F234" s="20" t="s">
        <v>547</v>
      </c>
      <c r="G234" s="8" t="str">
        <f t="shared" si="3"/>
        <v>YANG JAN</v>
      </c>
    </row>
    <row r="235" spans="1:7" x14ac:dyDescent="0.25">
      <c r="A235" s="8">
        <v>42815.085729166669</v>
      </c>
      <c r="B235" t="s">
        <v>548</v>
      </c>
      <c r="C235" t="s">
        <v>811</v>
      </c>
      <c r="D235" s="150">
        <v>2730000</v>
      </c>
      <c r="E235" t="s">
        <v>546</v>
      </c>
      <c r="F235" s="20" t="s">
        <v>547</v>
      </c>
      <c r="G235" s="8" t="str">
        <f t="shared" si="3"/>
        <v>YANG JAN</v>
      </c>
    </row>
    <row r="236" spans="1:7" x14ac:dyDescent="0.25">
      <c r="A236" s="8">
        <v>42815.089548611111</v>
      </c>
      <c r="B236" t="s">
        <v>526</v>
      </c>
      <c r="C236" t="s">
        <v>836</v>
      </c>
      <c r="D236" s="150">
        <v>1740000</v>
      </c>
      <c r="E236" t="s">
        <v>795</v>
      </c>
      <c r="F236" s="20" t="s">
        <v>796</v>
      </c>
      <c r="G236" s="8" t="str">
        <f t="shared" si="3"/>
        <v>STORY SAMANTHA</v>
      </c>
    </row>
    <row r="237" spans="1:7" x14ac:dyDescent="0.25">
      <c r="A237" s="8">
        <v>42815.109074074076</v>
      </c>
      <c r="B237" t="s">
        <v>548</v>
      </c>
      <c r="C237" t="s">
        <v>811</v>
      </c>
      <c r="D237" s="150">
        <v>2730000</v>
      </c>
      <c r="E237" t="s">
        <v>546</v>
      </c>
      <c r="F237" s="20" t="s">
        <v>547</v>
      </c>
      <c r="G237" s="8" t="str">
        <f t="shared" si="3"/>
        <v>YANG JAN</v>
      </c>
    </row>
    <row r="238" spans="1:7" x14ac:dyDescent="0.25">
      <c r="A238" s="8">
        <v>42812.832025462965</v>
      </c>
      <c r="B238" t="s">
        <v>401</v>
      </c>
      <c r="C238" t="s">
        <v>458</v>
      </c>
      <c r="D238" s="150">
        <v>2270000</v>
      </c>
      <c r="E238" t="s">
        <v>210</v>
      </c>
      <c r="F238" s="20" t="s">
        <v>211</v>
      </c>
      <c r="G238" s="8" t="str">
        <f t="shared" si="3"/>
        <v>BROWN JACOB</v>
      </c>
    </row>
    <row r="239" spans="1:7" x14ac:dyDescent="0.25">
      <c r="A239" s="8">
        <v>42812.833148148151</v>
      </c>
      <c r="B239" t="s">
        <v>401</v>
      </c>
      <c r="C239" t="s">
        <v>458</v>
      </c>
      <c r="D239" s="150">
        <v>2270000</v>
      </c>
      <c r="E239" t="s">
        <v>210</v>
      </c>
      <c r="F239" s="20" t="s">
        <v>211</v>
      </c>
      <c r="G239" s="8" t="str">
        <f t="shared" si="3"/>
        <v>BROWN JACOB</v>
      </c>
    </row>
    <row r="240" spans="1:7" x14ac:dyDescent="0.25">
      <c r="A240" s="8">
        <v>42812.83488425926</v>
      </c>
      <c r="B240" t="s">
        <v>411</v>
      </c>
      <c r="C240" t="s">
        <v>457</v>
      </c>
      <c r="D240" s="150">
        <v>2450000</v>
      </c>
      <c r="E240" t="s">
        <v>469</v>
      </c>
      <c r="F240" s="20" t="s">
        <v>470</v>
      </c>
      <c r="G240" s="8" t="str">
        <f t="shared" si="3"/>
        <v>NELSON ARIANE</v>
      </c>
    </row>
    <row r="241" spans="1:7" x14ac:dyDescent="0.25">
      <c r="A241" s="8">
        <v>42812.835011574076</v>
      </c>
      <c r="B241" t="s">
        <v>201</v>
      </c>
      <c r="C241" t="s">
        <v>471</v>
      </c>
      <c r="D241" s="150">
        <v>2230000</v>
      </c>
      <c r="E241" t="s">
        <v>425</v>
      </c>
      <c r="F241" s="20" t="s">
        <v>198</v>
      </c>
      <c r="G241" s="8" t="str">
        <f t="shared" si="3"/>
        <v>SMITH MICHAEL</v>
      </c>
    </row>
    <row r="242" spans="1:7" x14ac:dyDescent="0.25">
      <c r="A242" s="8">
        <v>42812.843414351853</v>
      </c>
      <c r="B242" t="s">
        <v>437</v>
      </c>
      <c r="C242" t="s">
        <v>456</v>
      </c>
      <c r="D242" s="150">
        <v>2560000</v>
      </c>
      <c r="E242" t="s">
        <v>472</v>
      </c>
      <c r="F242" s="20" t="s">
        <v>473</v>
      </c>
      <c r="G242" s="8" t="str">
        <f t="shared" si="3"/>
        <v>MACDONALD THOMAS</v>
      </c>
    </row>
    <row r="243" spans="1:7" x14ac:dyDescent="0.25">
      <c r="A243" s="8">
        <v>42812.843518518515</v>
      </c>
      <c r="B243" t="s">
        <v>411</v>
      </c>
      <c r="C243" t="s">
        <v>457</v>
      </c>
      <c r="D243" s="150">
        <v>2450000</v>
      </c>
      <c r="E243" t="s">
        <v>469</v>
      </c>
      <c r="F243" s="20" t="s">
        <v>470</v>
      </c>
      <c r="G243" s="8" t="str">
        <f t="shared" si="3"/>
        <v>NELSON ARIANE</v>
      </c>
    </row>
    <row r="244" spans="1:7" x14ac:dyDescent="0.25">
      <c r="A244" s="8">
        <v>42812.844050925924</v>
      </c>
      <c r="B244" t="s">
        <v>437</v>
      </c>
      <c r="C244" t="s">
        <v>456</v>
      </c>
      <c r="D244" s="150">
        <v>2560000</v>
      </c>
      <c r="E244" t="s">
        <v>472</v>
      </c>
      <c r="F244" s="20" t="s">
        <v>473</v>
      </c>
      <c r="G244" s="8" t="str">
        <f t="shared" si="3"/>
        <v>MACDONALD THOMAS</v>
      </c>
    </row>
    <row r="245" spans="1:7" x14ac:dyDescent="0.25">
      <c r="A245" s="8">
        <v>42812.844965277778</v>
      </c>
      <c r="B245" t="s">
        <v>437</v>
      </c>
      <c r="C245" t="s">
        <v>456</v>
      </c>
      <c r="D245" s="150">
        <v>2560000</v>
      </c>
      <c r="E245" t="s">
        <v>472</v>
      </c>
      <c r="F245" s="20" t="s">
        <v>473</v>
      </c>
      <c r="G245" s="8" t="str">
        <f t="shared" si="3"/>
        <v>MACDONALD THOMAS</v>
      </c>
    </row>
    <row r="246" spans="1:7" x14ac:dyDescent="0.25">
      <c r="A246" s="8">
        <v>42812.846030092594</v>
      </c>
      <c r="B246" t="s">
        <v>424</v>
      </c>
      <c r="C246" t="s">
        <v>474</v>
      </c>
      <c r="D246" s="150">
        <v>1540000</v>
      </c>
      <c r="E246" t="s">
        <v>415</v>
      </c>
      <c r="F246" s="20" t="s">
        <v>416</v>
      </c>
      <c r="G246" s="8" t="str">
        <f t="shared" si="3"/>
        <v>HELVIE ADAM</v>
      </c>
    </row>
    <row r="247" spans="1:7" x14ac:dyDescent="0.25">
      <c r="A247" s="8">
        <v>42812.85119212963</v>
      </c>
      <c r="B247" t="s">
        <v>455</v>
      </c>
      <c r="C247" t="s">
        <v>459</v>
      </c>
      <c r="D247" s="150">
        <v>2230000</v>
      </c>
      <c r="E247" t="s">
        <v>425</v>
      </c>
      <c r="F247" s="20" t="s">
        <v>198</v>
      </c>
      <c r="G247" s="8" t="str">
        <f t="shared" si="3"/>
        <v>SMITH MICHAEL</v>
      </c>
    </row>
    <row r="248" spans="1:7" x14ac:dyDescent="0.25">
      <c r="A248" s="8">
        <v>42812.852048611108</v>
      </c>
      <c r="B248" t="s">
        <v>455</v>
      </c>
      <c r="C248" t="s">
        <v>459</v>
      </c>
      <c r="D248" s="150">
        <v>2230000</v>
      </c>
      <c r="E248" t="s">
        <v>425</v>
      </c>
      <c r="F248" s="20" t="s">
        <v>198</v>
      </c>
      <c r="G248" s="8" t="str">
        <f t="shared" si="3"/>
        <v>SMITH MICHAEL</v>
      </c>
    </row>
    <row r="249" spans="1:7" x14ac:dyDescent="0.25">
      <c r="A249" s="8">
        <v>42812.852372685185</v>
      </c>
      <c r="B249" t="s">
        <v>407</v>
      </c>
      <c r="C249" t="s">
        <v>460</v>
      </c>
      <c r="D249" s="150">
        <v>2630000</v>
      </c>
      <c r="E249" t="s">
        <v>444</v>
      </c>
      <c r="F249" s="20" t="s">
        <v>445</v>
      </c>
      <c r="G249" s="8" t="str">
        <f t="shared" si="3"/>
        <v>SAFIEF AEIMEN</v>
      </c>
    </row>
    <row r="250" spans="1:7" x14ac:dyDescent="0.25">
      <c r="A250" s="8">
        <v>42812.853321759256</v>
      </c>
      <c r="B250" t="s">
        <v>455</v>
      </c>
      <c r="C250" t="s">
        <v>459</v>
      </c>
      <c r="D250" s="150">
        <v>2230000</v>
      </c>
      <c r="E250" t="s">
        <v>425</v>
      </c>
      <c r="F250" s="20" t="s">
        <v>198</v>
      </c>
      <c r="G250" s="8" t="str">
        <f t="shared" si="3"/>
        <v>SMITH MICHAEL</v>
      </c>
    </row>
    <row r="251" spans="1:7" x14ac:dyDescent="0.25">
      <c r="A251" s="8">
        <v>42812.854247685187</v>
      </c>
      <c r="B251" t="s">
        <v>455</v>
      </c>
      <c r="C251" t="s">
        <v>459</v>
      </c>
      <c r="D251" s="150">
        <v>2230000</v>
      </c>
      <c r="E251" t="s">
        <v>425</v>
      </c>
      <c r="F251" s="20" t="s">
        <v>198</v>
      </c>
      <c r="G251" s="8" t="str">
        <f t="shared" si="3"/>
        <v>SMITH MICHAEL</v>
      </c>
    </row>
    <row r="252" spans="1:7" x14ac:dyDescent="0.25">
      <c r="A252" s="8">
        <v>42812.859027777777</v>
      </c>
      <c r="B252" t="s">
        <v>412</v>
      </c>
      <c r="C252" t="s">
        <v>475</v>
      </c>
      <c r="D252" s="150">
        <v>2450000</v>
      </c>
      <c r="E252" t="s">
        <v>469</v>
      </c>
      <c r="F252" s="20" t="s">
        <v>470</v>
      </c>
      <c r="G252" s="8" t="str">
        <f t="shared" si="3"/>
        <v>NELSON ARIANE</v>
      </c>
    </row>
    <row r="253" spans="1:7" x14ac:dyDescent="0.25">
      <c r="A253" s="8">
        <v>42812.859166666669</v>
      </c>
      <c r="B253" t="s">
        <v>421</v>
      </c>
      <c r="C253" t="s">
        <v>476</v>
      </c>
      <c r="D253" s="150">
        <v>1540000</v>
      </c>
      <c r="E253" t="s">
        <v>415</v>
      </c>
      <c r="F253" s="20" t="s">
        <v>416</v>
      </c>
      <c r="G253" s="8" t="str">
        <f t="shared" si="3"/>
        <v>HELVIE ADAM</v>
      </c>
    </row>
    <row r="254" spans="1:7" x14ac:dyDescent="0.25">
      <c r="A254" s="8">
        <v>42812.88082175926</v>
      </c>
      <c r="B254" t="s">
        <v>435</v>
      </c>
      <c r="C254" t="s">
        <v>477</v>
      </c>
      <c r="D254" s="150">
        <v>2150000</v>
      </c>
      <c r="E254" t="s">
        <v>393</v>
      </c>
      <c r="F254" s="20" t="s">
        <v>394</v>
      </c>
      <c r="G254" s="8" t="str">
        <f t="shared" si="3"/>
        <v>SWANSON BRYCE</v>
      </c>
    </row>
    <row r="255" spans="1:7" x14ac:dyDescent="0.25">
      <c r="A255" s="8">
        <v>42812.881689814814</v>
      </c>
      <c r="B255" t="s">
        <v>435</v>
      </c>
      <c r="C255" t="s">
        <v>477</v>
      </c>
      <c r="D255" s="150">
        <v>2150000</v>
      </c>
      <c r="E255" t="s">
        <v>393</v>
      </c>
      <c r="F255" s="20" t="s">
        <v>394</v>
      </c>
      <c r="G255" s="8" t="str">
        <f t="shared" si="3"/>
        <v>SWANSON BRYCE</v>
      </c>
    </row>
    <row r="256" spans="1:7" x14ac:dyDescent="0.25">
      <c r="A256" s="8">
        <v>42812.886805555558</v>
      </c>
      <c r="B256" t="s">
        <v>438</v>
      </c>
      <c r="C256" t="s">
        <v>478</v>
      </c>
      <c r="D256" s="150">
        <v>2560000</v>
      </c>
      <c r="E256" t="s">
        <v>472</v>
      </c>
      <c r="F256" s="20" t="s">
        <v>473</v>
      </c>
      <c r="G256" s="8" t="str">
        <f t="shared" si="3"/>
        <v>MACDONALD THOMAS</v>
      </c>
    </row>
    <row r="257" spans="1:7" x14ac:dyDescent="0.25">
      <c r="A257" s="8">
        <v>42812.88863425926</v>
      </c>
      <c r="B257" t="s">
        <v>424</v>
      </c>
      <c r="C257" t="s">
        <v>479</v>
      </c>
      <c r="D257" s="150">
        <v>1540000</v>
      </c>
      <c r="E257" t="s">
        <v>415</v>
      </c>
      <c r="F257" s="20" t="s">
        <v>416</v>
      </c>
      <c r="G257" s="8" t="str">
        <f t="shared" si="3"/>
        <v>HELVIE ADAM</v>
      </c>
    </row>
    <row r="258" spans="1:7" x14ac:dyDescent="0.25">
      <c r="A258" s="8">
        <v>42812.889756944445</v>
      </c>
      <c r="B258" t="s">
        <v>438</v>
      </c>
      <c r="C258" t="s">
        <v>480</v>
      </c>
      <c r="D258" s="150">
        <v>2560000</v>
      </c>
      <c r="E258" t="s">
        <v>472</v>
      </c>
      <c r="F258" s="20" t="s">
        <v>473</v>
      </c>
      <c r="G258" s="8" t="str">
        <f t="shared" si="3"/>
        <v>MACDONALD THOMAS</v>
      </c>
    </row>
    <row r="259" spans="1:7" x14ac:dyDescent="0.25">
      <c r="A259" s="8">
        <v>42812.890347222223</v>
      </c>
      <c r="B259" t="s">
        <v>438</v>
      </c>
      <c r="C259" t="s">
        <v>480</v>
      </c>
      <c r="D259" s="150">
        <v>2560000</v>
      </c>
      <c r="E259" t="s">
        <v>472</v>
      </c>
      <c r="F259" s="20" t="s">
        <v>473</v>
      </c>
      <c r="G259" s="8" t="str">
        <f t="shared" ref="G259:G322" si="4">E259&amp;" "&amp;F259</f>
        <v>MACDONALD THOMAS</v>
      </c>
    </row>
    <row r="260" spans="1:7" x14ac:dyDescent="0.25">
      <c r="A260" s="8">
        <v>42812.891099537039</v>
      </c>
      <c r="B260" t="s">
        <v>438</v>
      </c>
      <c r="C260" t="s">
        <v>480</v>
      </c>
      <c r="D260" s="150">
        <v>2560000</v>
      </c>
      <c r="E260" t="s">
        <v>472</v>
      </c>
      <c r="F260" s="20" t="s">
        <v>473</v>
      </c>
      <c r="G260" s="8" t="str">
        <f t="shared" si="4"/>
        <v>MACDONALD THOMAS</v>
      </c>
    </row>
    <row r="261" spans="1:7" x14ac:dyDescent="0.25">
      <c r="A261" s="8">
        <v>42812.892951388887</v>
      </c>
      <c r="B261" t="s">
        <v>438</v>
      </c>
      <c r="C261" t="s">
        <v>480</v>
      </c>
      <c r="D261" s="150">
        <v>2560000</v>
      </c>
      <c r="E261" t="s">
        <v>472</v>
      </c>
      <c r="F261" s="20" t="s">
        <v>473</v>
      </c>
      <c r="G261" s="8" t="str">
        <f t="shared" si="4"/>
        <v>MACDONALD THOMAS</v>
      </c>
    </row>
    <row r="262" spans="1:7" x14ac:dyDescent="0.25">
      <c r="A262" s="8">
        <v>42812.901053240741</v>
      </c>
      <c r="B262" t="s">
        <v>421</v>
      </c>
      <c r="C262" t="s">
        <v>481</v>
      </c>
      <c r="D262" s="150">
        <v>1540000</v>
      </c>
      <c r="E262" t="s">
        <v>415</v>
      </c>
      <c r="F262" s="20" t="s">
        <v>416</v>
      </c>
      <c r="G262" s="8" t="str">
        <f t="shared" si="4"/>
        <v>HELVIE ADAM</v>
      </c>
    </row>
    <row r="263" spans="1:7" x14ac:dyDescent="0.25">
      <c r="A263" s="8">
        <v>42812.901053240741</v>
      </c>
      <c r="B263" t="s">
        <v>201</v>
      </c>
      <c r="C263" t="s">
        <v>482</v>
      </c>
      <c r="D263" s="150">
        <v>2230000</v>
      </c>
      <c r="E263" t="s">
        <v>425</v>
      </c>
      <c r="F263" s="20" t="s">
        <v>198</v>
      </c>
      <c r="G263" s="8" t="str">
        <f t="shared" si="4"/>
        <v>SMITH MICHAEL</v>
      </c>
    </row>
    <row r="264" spans="1:7" x14ac:dyDescent="0.25">
      <c r="A264" s="8">
        <v>42812.911840277775</v>
      </c>
      <c r="B264" t="s">
        <v>402</v>
      </c>
      <c r="C264" t="s">
        <v>483</v>
      </c>
      <c r="D264" s="150">
        <v>2270000</v>
      </c>
      <c r="E264" t="s">
        <v>210</v>
      </c>
      <c r="F264" s="20" t="s">
        <v>211</v>
      </c>
      <c r="G264" s="8" t="str">
        <f t="shared" si="4"/>
        <v>BROWN JACOB</v>
      </c>
    </row>
    <row r="265" spans="1:7" x14ac:dyDescent="0.25">
      <c r="A265" s="8">
        <v>42812.926099537035</v>
      </c>
      <c r="B265" t="s">
        <v>424</v>
      </c>
      <c r="C265" t="s">
        <v>484</v>
      </c>
      <c r="D265" s="150">
        <v>1540000</v>
      </c>
      <c r="E265" t="s">
        <v>415</v>
      </c>
      <c r="F265" s="20" t="s">
        <v>416</v>
      </c>
      <c r="G265" s="8" t="str">
        <f t="shared" si="4"/>
        <v>HELVIE ADAM</v>
      </c>
    </row>
    <row r="266" spans="1:7" x14ac:dyDescent="0.25">
      <c r="A266" s="8">
        <v>42812.931909722225</v>
      </c>
      <c r="B266" t="s">
        <v>438</v>
      </c>
      <c r="C266" t="s">
        <v>480</v>
      </c>
      <c r="D266" s="150">
        <v>2560000</v>
      </c>
      <c r="E266" t="s">
        <v>472</v>
      </c>
      <c r="F266" s="20" t="s">
        <v>473</v>
      </c>
      <c r="G266" s="8" t="str">
        <f t="shared" si="4"/>
        <v>MACDONALD THOMAS</v>
      </c>
    </row>
    <row r="267" spans="1:7" x14ac:dyDescent="0.25">
      <c r="A267" s="8">
        <v>42812.935150462959</v>
      </c>
      <c r="B267" t="s">
        <v>439</v>
      </c>
      <c r="C267" t="s">
        <v>485</v>
      </c>
      <c r="D267" s="150">
        <v>2150000</v>
      </c>
      <c r="E267" t="s">
        <v>393</v>
      </c>
      <c r="F267" s="20" t="s">
        <v>394</v>
      </c>
      <c r="G267" s="8" t="str">
        <f t="shared" si="4"/>
        <v>SWANSON BRYCE</v>
      </c>
    </row>
    <row r="268" spans="1:7" x14ac:dyDescent="0.25">
      <c r="A268" s="8">
        <v>42812.938842592594</v>
      </c>
      <c r="B268" t="s">
        <v>408</v>
      </c>
      <c r="C268" t="s">
        <v>486</v>
      </c>
      <c r="D268" s="150">
        <v>2000000</v>
      </c>
      <c r="E268" t="s">
        <v>403</v>
      </c>
      <c r="F268" s="20" t="s">
        <v>195</v>
      </c>
      <c r="G268" s="8" t="str">
        <f t="shared" si="4"/>
        <v>STAMBAUGH JAMES</v>
      </c>
    </row>
    <row r="269" spans="1:7" x14ac:dyDescent="0.25">
      <c r="A269" s="8">
        <v>42812.942025462966</v>
      </c>
      <c r="B269" t="s">
        <v>421</v>
      </c>
      <c r="C269" t="s">
        <v>487</v>
      </c>
      <c r="D269" s="150">
        <v>1540000</v>
      </c>
      <c r="E269" t="s">
        <v>415</v>
      </c>
      <c r="F269" s="20" t="s">
        <v>416</v>
      </c>
      <c r="G269" s="8" t="str">
        <f t="shared" si="4"/>
        <v>HELVIE ADAM</v>
      </c>
    </row>
    <row r="270" spans="1:7" x14ac:dyDescent="0.25">
      <c r="A270" s="8">
        <v>42812.965555555558</v>
      </c>
      <c r="B270" t="s">
        <v>424</v>
      </c>
      <c r="C270" t="s">
        <v>488</v>
      </c>
      <c r="D270" s="150">
        <v>2630000</v>
      </c>
      <c r="E270" t="s">
        <v>444</v>
      </c>
      <c r="F270" s="20" t="s">
        <v>445</v>
      </c>
      <c r="G270" s="8" t="str">
        <f t="shared" si="4"/>
        <v>SAFIEF AEIMEN</v>
      </c>
    </row>
    <row r="271" spans="1:7" x14ac:dyDescent="0.25">
      <c r="A271" s="8">
        <v>42812.968553240738</v>
      </c>
      <c r="B271" t="s">
        <v>408</v>
      </c>
      <c r="C271" t="s">
        <v>486</v>
      </c>
      <c r="D271" s="150">
        <v>2000000</v>
      </c>
      <c r="E271" t="s">
        <v>403</v>
      </c>
      <c r="F271" s="20" t="s">
        <v>195</v>
      </c>
      <c r="G271" s="8" t="str">
        <f t="shared" si="4"/>
        <v>STAMBAUGH JAMES</v>
      </c>
    </row>
    <row r="272" spans="1:7" x14ac:dyDescent="0.25">
      <c r="A272" s="8">
        <v>42812.978981481479</v>
      </c>
      <c r="B272" t="s">
        <v>201</v>
      </c>
      <c r="C272" t="s">
        <v>482</v>
      </c>
      <c r="D272" s="150">
        <v>2230000</v>
      </c>
      <c r="E272" t="s">
        <v>425</v>
      </c>
      <c r="F272" s="20" t="s">
        <v>198</v>
      </c>
      <c r="G272" s="8" t="str">
        <f t="shared" si="4"/>
        <v>SMITH MICHAEL</v>
      </c>
    </row>
    <row r="273" spans="1:7" x14ac:dyDescent="0.25">
      <c r="A273" s="8">
        <v>42812.988240740742</v>
      </c>
      <c r="B273" t="s">
        <v>401</v>
      </c>
      <c r="C273" t="s">
        <v>461</v>
      </c>
      <c r="D273" s="150">
        <v>2270000</v>
      </c>
      <c r="E273" t="s">
        <v>210</v>
      </c>
      <c r="F273" s="20" t="s">
        <v>211</v>
      </c>
      <c r="G273" s="8" t="str">
        <f t="shared" si="4"/>
        <v>BROWN JACOB</v>
      </c>
    </row>
    <row r="274" spans="1:7" x14ac:dyDescent="0.25">
      <c r="A274" s="8">
        <v>42812.990706018521</v>
      </c>
      <c r="B274" t="s">
        <v>421</v>
      </c>
      <c r="C274" t="s">
        <v>489</v>
      </c>
      <c r="D274" s="150">
        <v>2630000</v>
      </c>
      <c r="E274" t="s">
        <v>444</v>
      </c>
      <c r="F274" s="20" t="s">
        <v>445</v>
      </c>
      <c r="G274" s="8" t="str">
        <f t="shared" si="4"/>
        <v>SAFIEF AEIMEN</v>
      </c>
    </row>
    <row r="275" spans="1:7" x14ac:dyDescent="0.25">
      <c r="A275" s="8">
        <v>42812.991481481484</v>
      </c>
      <c r="B275" t="s">
        <v>401</v>
      </c>
      <c r="C275" t="s">
        <v>461</v>
      </c>
      <c r="D275" s="150">
        <v>2270000</v>
      </c>
      <c r="E275" t="s">
        <v>210</v>
      </c>
      <c r="F275" s="20" t="s">
        <v>211</v>
      </c>
      <c r="G275" s="8" t="str">
        <f t="shared" si="4"/>
        <v>BROWN JACOB</v>
      </c>
    </row>
    <row r="276" spans="1:7" x14ac:dyDescent="0.25">
      <c r="A276" s="8">
        <v>42812.992361111108</v>
      </c>
      <c r="B276" t="s">
        <v>401</v>
      </c>
      <c r="C276" t="s">
        <v>461</v>
      </c>
      <c r="D276" s="150">
        <v>2270000</v>
      </c>
      <c r="E276" t="s">
        <v>210</v>
      </c>
      <c r="F276" s="20" t="s">
        <v>211</v>
      </c>
      <c r="G276" s="8" t="str">
        <f t="shared" si="4"/>
        <v>BROWN JACOB</v>
      </c>
    </row>
    <row r="277" spans="1:7" x14ac:dyDescent="0.25">
      <c r="A277" s="8">
        <v>42813.001851851855</v>
      </c>
      <c r="B277" t="s">
        <v>455</v>
      </c>
      <c r="C277" t="s">
        <v>490</v>
      </c>
      <c r="D277" s="150">
        <v>2230000</v>
      </c>
      <c r="E277" t="s">
        <v>425</v>
      </c>
      <c r="F277" s="20" t="s">
        <v>198</v>
      </c>
      <c r="G277" s="8" t="str">
        <f t="shared" si="4"/>
        <v>SMITH MICHAEL</v>
      </c>
    </row>
    <row r="278" spans="1:7" x14ac:dyDescent="0.25">
      <c r="A278" s="8">
        <v>42813.005509259259</v>
      </c>
      <c r="B278" t="s">
        <v>455</v>
      </c>
      <c r="C278" t="s">
        <v>491</v>
      </c>
      <c r="D278" s="150">
        <v>2230000</v>
      </c>
      <c r="E278" t="s">
        <v>425</v>
      </c>
      <c r="F278" s="20" t="s">
        <v>198</v>
      </c>
      <c r="G278" s="8" t="str">
        <f t="shared" si="4"/>
        <v>SMITH MICHAEL</v>
      </c>
    </row>
    <row r="279" spans="1:7" x14ac:dyDescent="0.25">
      <c r="A279" s="8">
        <v>42813.01185185185</v>
      </c>
      <c r="B279" t="s">
        <v>435</v>
      </c>
      <c r="C279" t="s">
        <v>462</v>
      </c>
      <c r="D279" s="150">
        <v>2150000</v>
      </c>
      <c r="E279" t="s">
        <v>393</v>
      </c>
      <c r="F279" s="20" t="s">
        <v>394</v>
      </c>
      <c r="G279" s="8" t="str">
        <f t="shared" si="4"/>
        <v>SWANSON BRYCE</v>
      </c>
    </row>
    <row r="280" spans="1:7" x14ac:dyDescent="0.25">
      <c r="A280" s="8">
        <v>42813.013032407405</v>
      </c>
      <c r="B280" t="s">
        <v>435</v>
      </c>
      <c r="C280" t="s">
        <v>462</v>
      </c>
      <c r="D280" s="150">
        <v>2150000</v>
      </c>
      <c r="E280" t="s">
        <v>393</v>
      </c>
      <c r="F280" s="20" t="s">
        <v>394</v>
      </c>
      <c r="G280" s="8" t="str">
        <f t="shared" si="4"/>
        <v>SWANSON BRYCE</v>
      </c>
    </row>
    <row r="281" spans="1:7" x14ac:dyDescent="0.25">
      <c r="A281" s="8">
        <v>42813.014224537037</v>
      </c>
      <c r="B281" t="s">
        <v>455</v>
      </c>
      <c r="C281" t="s">
        <v>491</v>
      </c>
      <c r="D281" s="150">
        <v>2230000</v>
      </c>
      <c r="E281" t="s">
        <v>425</v>
      </c>
      <c r="F281" s="20" t="s">
        <v>198</v>
      </c>
      <c r="G281" s="8" t="str">
        <f t="shared" si="4"/>
        <v>SMITH MICHAEL</v>
      </c>
    </row>
    <row r="282" spans="1:7" x14ac:dyDescent="0.25">
      <c r="A282" s="8">
        <v>42813.014872685184</v>
      </c>
      <c r="B282" t="s">
        <v>407</v>
      </c>
      <c r="C282" t="s">
        <v>492</v>
      </c>
      <c r="D282" s="150">
        <v>2000000</v>
      </c>
      <c r="E282" t="s">
        <v>403</v>
      </c>
      <c r="F282" s="20" t="s">
        <v>195</v>
      </c>
      <c r="G282" s="8" t="str">
        <f t="shared" si="4"/>
        <v>STAMBAUGH JAMES</v>
      </c>
    </row>
    <row r="283" spans="1:7" x14ac:dyDescent="0.25">
      <c r="A283" s="8">
        <v>42813.014965277776</v>
      </c>
      <c r="B283" t="s">
        <v>455</v>
      </c>
      <c r="C283" t="s">
        <v>491</v>
      </c>
      <c r="D283" s="150">
        <v>2230000</v>
      </c>
      <c r="E283" t="s">
        <v>425</v>
      </c>
      <c r="F283" s="20" t="s">
        <v>198</v>
      </c>
      <c r="G283" s="8" t="str">
        <f t="shared" si="4"/>
        <v>SMITH MICHAEL</v>
      </c>
    </row>
    <row r="284" spans="1:7" x14ac:dyDescent="0.25">
      <c r="A284" s="8">
        <v>42813.018391203703</v>
      </c>
      <c r="B284" t="s">
        <v>437</v>
      </c>
      <c r="C284" t="s">
        <v>493</v>
      </c>
      <c r="D284" s="150">
        <v>2560000</v>
      </c>
      <c r="E284" t="s">
        <v>472</v>
      </c>
      <c r="F284" s="20" t="s">
        <v>473</v>
      </c>
      <c r="G284" s="8" t="str">
        <f t="shared" si="4"/>
        <v>MACDONALD THOMAS</v>
      </c>
    </row>
    <row r="285" spans="1:7" x14ac:dyDescent="0.25">
      <c r="A285" s="8">
        <v>42813.020914351851</v>
      </c>
      <c r="B285" t="s">
        <v>455</v>
      </c>
      <c r="C285" t="s">
        <v>491</v>
      </c>
      <c r="D285" s="150">
        <v>2230000</v>
      </c>
      <c r="E285" t="s">
        <v>425</v>
      </c>
      <c r="F285" s="20" t="s">
        <v>198</v>
      </c>
      <c r="G285" s="8" t="str">
        <f t="shared" si="4"/>
        <v>SMITH MICHAEL</v>
      </c>
    </row>
    <row r="286" spans="1:7" x14ac:dyDescent="0.25">
      <c r="A286" s="8">
        <v>42813.032476851855</v>
      </c>
      <c r="B286" t="s">
        <v>402</v>
      </c>
      <c r="C286" t="s">
        <v>494</v>
      </c>
      <c r="D286" s="150">
        <v>2270000</v>
      </c>
      <c r="E286" t="s">
        <v>210</v>
      </c>
      <c r="F286" s="20" t="s">
        <v>211</v>
      </c>
      <c r="G286" s="8" t="str">
        <f t="shared" si="4"/>
        <v>BROWN JACOB</v>
      </c>
    </row>
    <row r="287" spans="1:7" x14ac:dyDescent="0.25">
      <c r="A287" s="8">
        <v>42813.04420138889</v>
      </c>
      <c r="B287" t="s">
        <v>201</v>
      </c>
      <c r="C287" t="s">
        <v>495</v>
      </c>
      <c r="D287" s="150">
        <v>2230000</v>
      </c>
      <c r="E287" t="s">
        <v>425</v>
      </c>
      <c r="F287" s="20" t="s">
        <v>198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408</v>
      </c>
      <c r="C288" t="s">
        <v>496</v>
      </c>
      <c r="D288" s="150">
        <v>2000000</v>
      </c>
      <c r="E288" t="s">
        <v>403</v>
      </c>
      <c r="F288" s="20" t="s">
        <v>195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439</v>
      </c>
      <c r="C289" t="s">
        <v>497</v>
      </c>
      <c r="D289" s="150">
        <v>2150000</v>
      </c>
      <c r="E289" t="s">
        <v>393</v>
      </c>
      <c r="F289" s="20" t="s">
        <v>394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439</v>
      </c>
      <c r="C290" t="s">
        <v>497</v>
      </c>
      <c r="D290" s="150">
        <v>2150000</v>
      </c>
      <c r="E290" t="s">
        <v>393</v>
      </c>
      <c r="F290" s="20" t="s">
        <v>394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439</v>
      </c>
      <c r="C291" t="s">
        <v>497</v>
      </c>
      <c r="D291" s="150">
        <v>2150000</v>
      </c>
      <c r="E291" t="s">
        <v>393</v>
      </c>
      <c r="F291" s="20" t="s">
        <v>394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455</v>
      </c>
      <c r="C292" t="s">
        <v>498</v>
      </c>
      <c r="D292" s="150">
        <v>2230000</v>
      </c>
      <c r="E292" t="s">
        <v>425</v>
      </c>
      <c r="F292" s="20" t="s">
        <v>198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401</v>
      </c>
      <c r="C293" t="s">
        <v>499</v>
      </c>
      <c r="D293" s="150">
        <v>2270000</v>
      </c>
      <c r="E293" t="s">
        <v>210</v>
      </c>
      <c r="F293" s="20" t="s">
        <v>211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401</v>
      </c>
      <c r="C294" t="s">
        <v>499</v>
      </c>
      <c r="D294" s="150">
        <v>2270000</v>
      </c>
      <c r="E294" t="s">
        <v>210</v>
      </c>
      <c r="F294" s="20" t="s">
        <v>211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401</v>
      </c>
      <c r="C295" t="s">
        <v>499</v>
      </c>
      <c r="D295" s="150">
        <v>2270000</v>
      </c>
      <c r="E295" t="s">
        <v>210</v>
      </c>
      <c r="F295" s="20" t="s">
        <v>211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424</v>
      </c>
      <c r="C296" t="s">
        <v>500</v>
      </c>
      <c r="D296" s="150">
        <v>2150000</v>
      </c>
      <c r="E296" t="s">
        <v>393</v>
      </c>
      <c r="F296" s="20" t="s">
        <v>394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402</v>
      </c>
      <c r="C297" t="s">
        <v>501</v>
      </c>
      <c r="D297" s="150">
        <v>2270000</v>
      </c>
      <c r="E297" t="s">
        <v>210</v>
      </c>
      <c r="F297" s="20" t="s">
        <v>211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163</v>
      </c>
      <c r="K1" s="190" t="s">
        <v>161</v>
      </c>
      <c r="L1" s="190" t="s">
        <v>156</v>
      </c>
      <c r="M1" s="190" t="s">
        <v>166</v>
      </c>
      <c r="N1" s="190" t="s">
        <v>160</v>
      </c>
      <c r="O1" s="190" t="s">
        <v>167</v>
      </c>
      <c r="P1" s="190" t="s">
        <v>164</v>
      </c>
      <c r="Q1"/>
      <c r="R1"/>
    </row>
    <row r="2" spans="1:18" x14ac:dyDescent="0.25">
      <c r="A2" s="168">
        <v>56.76</v>
      </c>
      <c r="B2" s="168">
        <v>0.75</v>
      </c>
      <c r="C2" s="168">
        <v>21.82</v>
      </c>
      <c r="D2" s="8">
        <v>42814</v>
      </c>
      <c r="E2" s="168">
        <v>0.26</v>
      </c>
      <c r="F2" s="168" t="s">
        <v>362</v>
      </c>
      <c r="G2" s="168">
        <v>291.33</v>
      </c>
      <c r="H2" s="168">
        <v>0</v>
      </c>
      <c r="I2" s="168">
        <v>0</v>
      </c>
      <c r="J2" s="168">
        <v>1016.43</v>
      </c>
      <c r="K2" s="168" t="s">
        <v>554</v>
      </c>
      <c r="L2" s="168">
        <v>56.76</v>
      </c>
      <c r="M2" s="168">
        <v>1489989600</v>
      </c>
      <c r="N2" s="168">
        <v>5.0599999999999996</v>
      </c>
      <c r="O2" s="168">
        <v>202</v>
      </c>
      <c r="P2" s="168">
        <v>2.48</v>
      </c>
      <c r="Q2"/>
      <c r="R2"/>
    </row>
    <row r="3" spans="1:18" x14ac:dyDescent="0.25">
      <c r="A3" s="168">
        <v>54.5</v>
      </c>
      <c r="B3" s="168">
        <v>0.8</v>
      </c>
      <c r="C3" s="168">
        <v>23.69</v>
      </c>
      <c r="D3" s="8">
        <v>42814.041666666664</v>
      </c>
      <c r="E3" s="168">
        <v>0.3</v>
      </c>
      <c r="F3" s="168" t="s">
        <v>362</v>
      </c>
      <c r="G3" s="168">
        <v>290.88</v>
      </c>
      <c r="H3" s="168">
        <v>0</v>
      </c>
      <c r="I3" s="168">
        <v>0</v>
      </c>
      <c r="J3" s="168">
        <v>1016.77</v>
      </c>
      <c r="K3" s="168" t="s">
        <v>554</v>
      </c>
      <c r="L3" s="168">
        <v>54.5</v>
      </c>
      <c r="M3" s="168">
        <v>1489993200</v>
      </c>
      <c r="N3" s="168">
        <v>5.43</v>
      </c>
      <c r="O3" s="168">
        <v>193</v>
      </c>
      <c r="P3" s="168">
        <v>3.49</v>
      </c>
      <c r="Q3"/>
      <c r="R3"/>
    </row>
    <row r="4" spans="1:18" x14ac:dyDescent="0.25">
      <c r="A4" s="168">
        <v>53.92</v>
      </c>
      <c r="B4" s="168">
        <v>0.82</v>
      </c>
      <c r="C4" s="168">
        <v>20.96</v>
      </c>
      <c r="D4" s="8">
        <v>42814.083333333336</v>
      </c>
      <c r="E4" s="168">
        <v>0.27</v>
      </c>
      <c r="F4" s="168" t="s">
        <v>362</v>
      </c>
      <c r="G4" s="168">
        <v>290.42</v>
      </c>
      <c r="H4" s="168">
        <v>0</v>
      </c>
      <c r="I4" s="168">
        <v>0</v>
      </c>
      <c r="J4" s="168">
        <v>1017.08</v>
      </c>
      <c r="K4" s="168" t="s">
        <v>554</v>
      </c>
      <c r="L4" s="168">
        <v>53.92</v>
      </c>
      <c r="M4" s="168">
        <v>1489996800</v>
      </c>
      <c r="N4" s="168">
        <v>4.92</v>
      </c>
      <c r="O4" s="168">
        <v>191</v>
      </c>
      <c r="P4" s="168">
        <v>4.13</v>
      </c>
      <c r="Q4"/>
      <c r="R4"/>
    </row>
    <row r="5" spans="1:18" x14ac:dyDescent="0.25">
      <c r="A5" s="168">
        <v>52.45</v>
      </c>
      <c r="B5" s="168">
        <v>0.86</v>
      </c>
      <c r="C5" s="168">
        <v>23.13</v>
      </c>
      <c r="D5" s="8">
        <v>42814.125</v>
      </c>
      <c r="E5" s="168">
        <v>0.32</v>
      </c>
      <c r="F5" s="168" t="s">
        <v>362</v>
      </c>
      <c r="G5" s="168">
        <v>289.97000000000003</v>
      </c>
      <c r="H5" s="168">
        <v>0</v>
      </c>
      <c r="I5" s="168">
        <v>0</v>
      </c>
      <c r="J5" s="168">
        <v>1017.39</v>
      </c>
      <c r="K5" s="168" t="s">
        <v>554</v>
      </c>
      <c r="L5" s="168">
        <v>52.45</v>
      </c>
      <c r="M5" s="168">
        <v>1490000400</v>
      </c>
      <c r="N5" s="168">
        <v>4.6500000000000004</v>
      </c>
      <c r="O5" s="168">
        <v>212</v>
      </c>
      <c r="P5" s="168">
        <v>3.24</v>
      </c>
      <c r="Q5"/>
      <c r="R5"/>
    </row>
    <row r="6" spans="1:18" x14ac:dyDescent="0.25">
      <c r="A6" s="168">
        <v>51.2</v>
      </c>
      <c r="B6" s="168">
        <v>0.86</v>
      </c>
      <c r="C6" s="168">
        <v>21.71</v>
      </c>
      <c r="D6" s="8">
        <v>42814.166666666664</v>
      </c>
      <c r="E6" s="168">
        <v>0.31</v>
      </c>
      <c r="F6" s="168" t="s">
        <v>362</v>
      </c>
      <c r="G6" s="168">
        <v>289.58999999999997</v>
      </c>
      <c r="H6" s="168">
        <v>0</v>
      </c>
      <c r="I6" s="168">
        <v>0</v>
      </c>
      <c r="J6" s="168">
        <v>1017.21</v>
      </c>
      <c r="K6" s="168" t="s">
        <v>554</v>
      </c>
      <c r="L6" s="168">
        <v>51.2</v>
      </c>
      <c r="M6" s="168">
        <v>1490004000</v>
      </c>
      <c r="N6" s="168">
        <v>4.5599999999999996</v>
      </c>
      <c r="O6" s="168">
        <v>226</v>
      </c>
      <c r="P6" s="168">
        <v>3.85</v>
      </c>
      <c r="Q6"/>
      <c r="R6"/>
    </row>
    <row r="7" spans="1:18" x14ac:dyDescent="0.25">
      <c r="A7" s="168">
        <v>51.01</v>
      </c>
      <c r="B7" s="168">
        <v>0.78</v>
      </c>
      <c r="C7" s="168">
        <v>20.87</v>
      </c>
      <c r="D7" s="8">
        <v>42814.208333333336</v>
      </c>
      <c r="E7" s="168">
        <v>0.3</v>
      </c>
      <c r="F7" s="168" t="s">
        <v>362</v>
      </c>
      <c r="G7" s="168">
        <v>289.23</v>
      </c>
      <c r="H7" s="168">
        <v>0</v>
      </c>
      <c r="I7" s="168">
        <v>0</v>
      </c>
      <c r="J7" s="168">
        <v>1016.78</v>
      </c>
      <c r="K7" s="168" t="s">
        <v>554</v>
      </c>
      <c r="L7" s="168">
        <v>51.01</v>
      </c>
      <c r="M7" s="168">
        <v>1490007600</v>
      </c>
      <c r="N7" s="168">
        <v>5.0599999999999996</v>
      </c>
      <c r="O7" s="168">
        <v>229</v>
      </c>
      <c r="P7" s="168">
        <v>3.96</v>
      </c>
      <c r="Q7"/>
      <c r="R7"/>
    </row>
    <row r="8" spans="1:18" x14ac:dyDescent="0.25">
      <c r="A8" s="168">
        <v>51.04</v>
      </c>
      <c r="B8" s="168">
        <v>0.71</v>
      </c>
      <c r="C8" s="168">
        <v>21.77</v>
      </c>
      <c r="D8" s="8">
        <v>42814.25</v>
      </c>
      <c r="E8" s="168">
        <v>0.31</v>
      </c>
      <c r="F8" s="168" t="s">
        <v>362</v>
      </c>
      <c r="G8" s="168">
        <v>288.86</v>
      </c>
      <c r="H8" s="168">
        <v>0</v>
      </c>
      <c r="I8" s="168">
        <v>0</v>
      </c>
      <c r="J8" s="168">
        <v>1016.69</v>
      </c>
      <c r="K8" s="168" t="s">
        <v>554</v>
      </c>
      <c r="L8" s="168">
        <v>51.04</v>
      </c>
      <c r="M8" s="168">
        <v>1490011200</v>
      </c>
      <c r="N8" s="168">
        <v>6.95</v>
      </c>
      <c r="O8" s="168">
        <v>226</v>
      </c>
      <c r="P8" s="168">
        <v>3.26</v>
      </c>
      <c r="Q8"/>
      <c r="R8"/>
    </row>
    <row r="9" spans="1:18" x14ac:dyDescent="0.25">
      <c r="A9" s="168">
        <v>51.69</v>
      </c>
      <c r="B9" s="168">
        <v>0.83</v>
      </c>
      <c r="C9" s="168">
        <v>23.24</v>
      </c>
      <c r="D9" s="8">
        <v>42814.291666666664</v>
      </c>
      <c r="E9" s="168">
        <v>0.33</v>
      </c>
      <c r="F9" s="168" t="s">
        <v>362</v>
      </c>
      <c r="G9" s="168">
        <v>288.52</v>
      </c>
      <c r="H9" s="168">
        <v>0</v>
      </c>
      <c r="I9" s="168">
        <v>0</v>
      </c>
      <c r="J9" s="168">
        <v>1016.86</v>
      </c>
      <c r="K9" s="168" t="s">
        <v>554</v>
      </c>
      <c r="L9" s="168">
        <v>51.69</v>
      </c>
      <c r="M9" s="168">
        <v>1490014800</v>
      </c>
      <c r="N9" s="168">
        <v>5.26</v>
      </c>
      <c r="O9" s="168">
        <v>240</v>
      </c>
      <c r="P9" s="168">
        <v>2.71</v>
      </c>
      <c r="Q9"/>
      <c r="R9"/>
    </row>
    <row r="10" spans="1:18" x14ac:dyDescent="0.25">
      <c r="A10" s="168">
        <v>52.21</v>
      </c>
      <c r="B10" s="168">
        <v>0.84</v>
      </c>
      <c r="C10" s="168">
        <v>24.59</v>
      </c>
      <c r="D10" s="8">
        <v>42814.333333333336</v>
      </c>
      <c r="E10" s="168">
        <v>0.34</v>
      </c>
      <c r="F10" s="168" t="s">
        <v>364</v>
      </c>
      <c r="G10" s="168">
        <v>288.16000000000003</v>
      </c>
      <c r="H10" s="168">
        <v>0</v>
      </c>
      <c r="I10" s="168">
        <v>0</v>
      </c>
      <c r="J10" s="168">
        <v>1017.09</v>
      </c>
      <c r="K10" s="168" t="s">
        <v>554</v>
      </c>
      <c r="L10" s="168">
        <v>52.21</v>
      </c>
      <c r="M10" s="168">
        <v>1490018400</v>
      </c>
      <c r="N10" s="168">
        <v>4.58</v>
      </c>
      <c r="O10" s="168">
        <v>236</v>
      </c>
      <c r="P10" s="168">
        <v>3.3</v>
      </c>
      <c r="Q10"/>
      <c r="R10"/>
    </row>
    <row r="11" spans="1:18" x14ac:dyDescent="0.25">
      <c r="A11" s="168">
        <v>55.27</v>
      </c>
      <c r="B11" s="168">
        <v>0.83</v>
      </c>
      <c r="C11" s="168">
        <v>26.27</v>
      </c>
      <c r="D11" s="8">
        <v>42814.375</v>
      </c>
      <c r="E11" s="168">
        <v>0.32</v>
      </c>
      <c r="F11" s="168" t="s">
        <v>364</v>
      </c>
      <c r="G11" s="168">
        <v>287.67</v>
      </c>
      <c r="H11" s="168">
        <v>0</v>
      </c>
      <c r="I11" s="168">
        <v>0</v>
      </c>
      <c r="J11" s="168">
        <v>1017.07</v>
      </c>
      <c r="K11" s="168" t="s">
        <v>554</v>
      </c>
      <c r="L11" s="168">
        <v>55.27</v>
      </c>
      <c r="M11" s="168">
        <v>1490022000</v>
      </c>
      <c r="N11" s="168">
        <v>4.33</v>
      </c>
      <c r="O11" s="168">
        <v>250</v>
      </c>
      <c r="P11" s="168">
        <v>3.82</v>
      </c>
      <c r="Q11"/>
      <c r="R11"/>
    </row>
    <row r="12" spans="1:18" x14ac:dyDescent="0.25">
      <c r="A12" s="168">
        <v>62.16</v>
      </c>
      <c r="B12" s="168">
        <v>0.87</v>
      </c>
      <c r="C12" s="168">
        <v>29.18</v>
      </c>
      <c r="D12" s="8">
        <v>42814.416666666664</v>
      </c>
      <c r="E12" s="168">
        <v>0.28999999999999998</v>
      </c>
      <c r="F12" s="168" t="s">
        <v>364</v>
      </c>
      <c r="G12" s="168">
        <v>286.92</v>
      </c>
      <c r="H12" s="168">
        <v>0</v>
      </c>
      <c r="I12" s="168">
        <v>0</v>
      </c>
      <c r="J12" s="168">
        <v>1016.51</v>
      </c>
      <c r="K12" s="168" t="s">
        <v>554</v>
      </c>
      <c r="L12" s="168">
        <v>62.16</v>
      </c>
      <c r="M12" s="168">
        <v>1490025600</v>
      </c>
      <c r="N12" s="168">
        <v>4.29</v>
      </c>
      <c r="O12" s="168">
        <v>255</v>
      </c>
      <c r="P12" s="168">
        <v>3.79</v>
      </c>
      <c r="Q12"/>
      <c r="R12"/>
    </row>
    <row r="13" spans="1:18" x14ac:dyDescent="0.25">
      <c r="A13" s="168">
        <v>68.89</v>
      </c>
      <c r="B13" s="168">
        <v>0.82</v>
      </c>
      <c r="C13" s="168">
        <v>28.96</v>
      </c>
      <c r="D13" s="8">
        <v>42814.458333333336</v>
      </c>
      <c r="E13" s="168">
        <v>0.22</v>
      </c>
      <c r="F13" s="168" t="s">
        <v>364</v>
      </c>
      <c r="G13" s="168">
        <v>286.04000000000002</v>
      </c>
      <c r="H13" s="168">
        <v>0</v>
      </c>
      <c r="I13" s="168">
        <v>0</v>
      </c>
      <c r="J13" s="168">
        <v>1015.74</v>
      </c>
      <c r="K13" s="168" t="s">
        <v>554</v>
      </c>
      <c r="L13" s="168">
        <v>68.89</v>
      </c>
      <c r="M13" s="168">
        <v>1490029200</v>
      </c>
      <c r="N13" s="168">
        <v>4.37</v>
      </c>
      <c r="O13" s="168">
        <v>302</v>
      </c>
      <c r="P13" s="168">
        <v>4.03</v>
      </c>
      <c r="Q13"/>
      <c r="R13"/>
    </row>
    <row r="14" spans="1:18" x14ac:dyDescent="0.25">
      <c r="A14" s="168">
        <v>72.849999999999994</v>
      </c>
      <c r="B14" s="168">
        <v>0.8</v>
      </c>
      <c r="C14" s="168">
        <v>22.5</v>
      </c>
      <c r="D14" s="8">
        <v>42814.5</v>
      </c>
      <c r="E14" s="168">
        <v>0.15</v>
      </c>
      <c r="F14" s="168" t="s">
        <v>364</v>
      </c>
      <c r="G14" s="168">
        <v>285.31</v>
      </c>
      <c r="H14" s="168">
        <v>0</v>
      </c>
      <c r="I14" s="168">
        <v>0</v>
      </c>
      <c r="J14" s="168">
        <v>1015.01</v>
      </c>
      <c r="K14" s="168" t="s">
        <v>554</v>
      </c>
      <c r="L14" s="168">
        <v>72.849999999999994</v>
      </c>
      <c r="M14" s="168">
        <v>1490032800</v>
      </c>
      <c r="N14" s="168">
        <v>4.4800000000000004</v>
      </c>
      <c r="O14" s="168">
        <v>320</v>
      </c>
      <c r="P14" s="168">
        <v>2.78</v>
      </c>
      <c r="Q14"/>
      <c r="R14"/>
    </row>
    <row r="15" spans="1:18" x14ac:dyDescent="0.25">
      <c r="A15" s="168">
        <v>73.86</v>
      </c>
      <c r="B15" s="168">
        <v>0.83</v>
      </c>
      <c r="C15" s="168">
        <v>20.63</v>
      </c>
      <c r="D15" s="8">
        <v>42814.541666666664</v>
      </c>
      <c r="E15" s="168">
        <v>0.13</v>
      </c>
      <c r="F15" s="168" t="s">
        <v>364</v>
      </c>
      <c r="G15" s="168">
        <v>284.92</v>
      </c>
      <c r="H15" s="168">
        <v>0</v>
      </c>
      <c r="I15" s="168">
        <v>0</v>
      </c>
      <c r="J15" s="168">
        <v>1014.3</v>
      </c>
      <c r="K15" s="168" t="s">
        <v>554</v>
      </c>
      <c r="L15" s="168">
        <v>73.86</v>
      </c>
      <c r="M15" s="168">
        <v>1490036400</v>
      </c>
      <c r="N15" s="168">
        <v>4.6399999999999997</v>
      </c>
      <c r="O15" s="168">
        <v>316</v>
      </c>
      <c r="P15" s="168">
        <v>4.16</v>
      </c>
      <c r="Q15"/>
      <c r="R15"/>
    </row>
    <row r="16" spans="1:18" x14ac:dyDescent="0.25">
      <c r="A16" s="168">
        <v>73.86</v>
      </c>
      <c r="B16" s="168">
        <v>0.9</v>
      </c>
      <c r="C16" s="168">
        <v>22.17</v>
      </c>
      <c r="D16" s="8">
        <v>42814.583333333336</v>
      </c>
      <c r="E16" s="168">
        <v>0.14000000000000001</v>
      </c>
      <c r="F16" s="168" t="s">
        <v>364</v>
      </c>
      <c r="G16" s="168">
        <v>284.68</v>
      </c>
      <c r="H16" s="168">
        <v>0</v>
      </c>
      <c r="I16" s="168">
        <v>0</v>
      </c>
      <c r="J16" s="168">
        <v>1013.56</v>
      </c>
      <c r="K16" s="168" t="s">
        <v>554</v>
      </c>
      <c r="L16" s="168">
        <v>73.86</v>
      </c>
      <c r="M16" s="168">
        <v>1490040000</v>
      </c>
      <c r="N16" s="168">
        <v>4.63</v>
      </c>
      <c r="O16" s="168">
        <v>315</v>
      </c>
      <c r="P16" s="168">
        <v>2.2999999999999998</v>
      </c>
      <c r="Q16"/>
      <c r="R16"/>
    </row>
    <row r="17" spans="1:18" x14ac:dyDescent="0.25">
      <c r="A17" s="168">
        <v>72.94</v>
      </c>
      <c r="B17" s="168">
        <v>0.78</v>
      </c>
      <c r="C17" s="168">
        <v>23.17</v>
      </c>
      <c r="D17" s="8">
        <v>42814.625</v>
      </c>
      <c r="E17" s="168">
        <v>0.15</v>
      </c>
      <c r="F17" s="168" t="s">
        <v>364</v>
      </c>
      <c r="G17" s="168">
        <v>284.26</v>
      </c>
      <c r="H17" s="168">
        <v>0</v>
      </c>
      <c r="I17" s="168">
        <v>0</v>
      </c>
      <c r="J17" s="168">
        <v>1012.96</v>
      </c>
      <c r="K17" s="168" t="s">
        <v>554</v>
      </c>
      <c r="L17" s="168">
        <v>72.94</v>
      </c>
      <c r="M17" s="168">
        <v>1490043600</v>
      </c>
      <c r="N17" s="168">
        <v>6.01</v>
      </c>
      <c r="O17" s="168">
        <v>333</v>
      </c>
      <c r="P17" s="168">
        <v>3.85</v>
      </c>
      <c r="Q17"/>
      <c r="R17"/>
    </row>
    <row r="18" spans="1:18" x14ac:dyDescent="0.25">
      <c r="A18" s="168">
        <v>72.03</v>
      </c>
      <c r="B18" s="168">
        <v>0.83</v>
      </c>
      <c r="C18" s="168">
        <v>22.86</v>
      </c>
      <c r="D18" s="8">
        <v>42814.666666666664</v>
      </c>
      <c r="E18" s="168">
        <v>0.16</v>
      </c>
      <c r="F18" s="168" t="s">
        <v>364</v>
      </c>
      <c r="G18" s="168">
        <v>283.33</v>
      </c>
      <c r="H18" s="168">
        <v>0</v>
      </c>
      <c r="I18" s="168">
        <v>0</v>
      </c>
      <c r="J18" s="168">
        <v>1012.58</v>
      </c>
      <c r="K18" s="168" t="s">
        <v>554</v>
      </c>
      <c r="L18" s="168">
        <v>72.03</v>
      </c>
      <c r="M18" s="168">
        <v>1490047200</v>
      </c>
      <c r="N18" s="168">
        <v>6.1</v>
      </c>
      <c r="O18" s="168">
        <v>341</v>
      </c>
      <c r="P18" s="168">
        <v>3.3</v>
      </c>
      <c r="Q18"/>
      <c r="R18"/>
    </row>
    <row r="19" spans="1:18" x14ac:dyDescent="0.25">
      <c r="A19" s="168">
        <v>70.91</v>
      </c>
      <c r="B19" s="168">
        <v>0.87</v>
      </c>
      <c r="C19" s="168">
        <v>24.75</v>
      </c>
      <c r="D19" s="8">
        <v>42814.708333333336</v>
      </c>
      <c r="E19" s="168">
        <v>0.18</v>
      </c>
      <c r="F19" s="168" t="s">
        <v>364</v>
      </c>
      <c r="G19" s="168">
        <v>282.20999999999998</v>
      </c>
      <c r="H19" s="168">
        <v>0</v>
      </c>
      <c r="I19" s="168">
        <v>0</v>
      </c>
      <c r="J19" s="168">
        <v>1012.41</v>
      </c>
      <c r="K19" s="168" t="s">
        <v>554</v>
      </c>
      <c r="L19" s="168">
        <v>70.91</v>
      </c>
      <c r="M19" s="168">
        <v>1490050800</v>
      </c>
      <c r="N19" s="168">
        <v>6.3</v>
      </c>
      <c r="O19" s="168">
        <v>342</v>
      </c>
      <c r="P19" s="168">
        <v>1.36</v>
      </c>
      <c r="Q19"/>
      <c r="R19"/>
    </row>
    <row r="20" spans="1:18" x14ac:dyDescent="0.25">
      <c r="A20" s="168">
        <v>70.010000000000005</v>
      </c>
      <c r="B20" s="168">
        <v>0.91</v>
      </c>
      <c r="C20" s="168">
        <v>24.49</v>
      </c>
      <c r="D20" s="8">
        <v>42814.75</v>
      </c>
      <c r="E20" s="168">
        <v>0.18</v>
      </c>
      <c r="F20" s="168" t="s">
        <v>364</v>
      </c>
      <c r="G20" s="168">
        <v>281.67</v>
      </c>
      <c r="H20" s="168">
        <v>0</v>
      </c>
      <c r="I20" s="168">
        <v>0</v>
      </c>
      <c r="J20" s="168">
        <v>1012.47</v>
      </c>
      <c r="K20" s="168" t="s">
        <v>554</v>
      </c>
      <c r="L20" s="168">
        <v>70.010000000000005</v>
      </c>
      <c r="M20" s="168">
        <v>1490054400</v>
      </c>
      <c r="N20" s="168">
        <v>5.69</v>
      </c>
      <c r="O20" s="168">
        <v>358</v>
      </c>
      <c r="P20" s="168">
        <v>3.79</v>
      </c>
      <c r="Q20"/>
      <c r="R20"/>
    </row>
    <row r="21" spans="1:18" x14ac:dyDescent="0.25">
      <c r="A21" s="168">
        <v>68.05</v>
      </c>
      <c r="B21" s="168">
        <v>0.85</v>
      </c>
      <c r="C21" s="168">
        <v>25.02</v>
      </c>
      <c r="D21" s="8">
        <v>42814.791666666664</v>
      </c>
      <c r="E21" s="168">
        <v>0.2</v>
      </c>
      <c r="F21" s="168" t="s">
        <v>364</v>
      </c>
      <c r="G21" s="168">
        <v>282.14999999999998</v>
      </c>
      <c r="H21" s="168">
        <v>0</v>
      </c>
      <c r="I21" s="168">
        <v>0</v>
      </c>
      <c r="J21" s="168">
        <v>1012.54</v>
      </c>
      <c r="K21" s="168" t="s">
        <v>554</v>
      </c>
      <c r="L21" s="168">
        <v>68.05</v>
      </c>
      <c r="M21" s="168">
        <v>1490058000</v>
      </c>
      <c r="N21" s="168">
        <v>6.28</v>
      </c>
      <c r="O21" s="168">
        <v>1</v>
      </c>
      <c r="P21" s="168">
        <v>3.58</v>
      </c>
      <c r="Q21"/>
      <c r="R21"/>
    </row>
    <row r="22" spans="1:18" x14ac:dyDescent="0.25">
      <c r="A22" s="168">
        <v>65.510000000000005</v>
      </c>
      <c r="B22" s="168">
        <v>0.74</v>
      </c>
      <c r="C22" s="168">
        <v>26.17</v>
      </c>
      <c r="D22" s="8">
        <v>42814.833333333336</v>
      </c>
      <c r="E22" s="168">
        <v>0.22</v>
      </c>
      <c r="F22" s="168" t="s">
        <v>362</v>
      </c>
      <c r="G22" s="168">
        <v>283.2</v>
      </c>
      <c r="H22" s="168">
        <v>0</v>
      </c>
      <c r="I22" s="168">
        <v>0</v>
      </c>
      <c r="J22" s="168">
        <v>1012.85</v>
      </c>
      <c r="K22" s="168" t="s">
        <v>554</v>
      </c>
      <c r="L22" s="168">
        <v>65.510000000000005</v>
      </c>
      <c r="M22" s="168">
        <v>1490061600</v>
      </c>
      <c r="N22" s="168">
        <v>7.26</v>
      </c>
      <c r="O22" s="168">
        <v>1</v>
      </c>
      <c r="P22" s="168">
        <v>2.78</v>
      </c>
      <c r="Q22"/>
      <c r="R22"/>
    </row>
    <row r="23" spans="1:18" x14ac:dyDescent="0.25">
      <c r="A23" s="168">
        <v>63.04</v>
      </c>
      <c r="B23" s="168">
        <v>0.68</v>
      </c>
      <c r="C23" s="168">
        <v>25.71</v>
      </c>
      <c r="D23" s="8">
        <v>42814.875</v>
      </c>
      <c r="E23" s="168">
        <v>0.24</v>
      </c>
      <c r="F23" s="168" t="s">
        <v>362</v>
      </c>
      <c r="G23" s="168">
        <v>284.23</v>
      </c>
      <c r="H23" s="168">
        <v>0</v>
      </c>
      <c r="I23" s="168">
        <v>0</v>
      </c>
      <c r="J23" s="168">
        <v>1013.41</v>
      </c>
      <c r="K23" s="168" t="s">
        <v>554</v>
      </c>
      <c r="L23" s="168">
        <v>63.04</v>
      </c>
      <c r="M23" s="168">
        <v>1490065200</v>
      </c>
      <c r="N23" s="168">
        <v>6.9</v>
      </c>
      <c r="O23" s="168">
        <v>3</v>
      </c>
      <c r="P23" s="168">
        <v>2.82</v>
      </c>
      <c r="Q23"/>
      <c r="R23"/>
    </row>
    <row r="24" spans="1:18" x14ac:dyDescent="0.25">
      <c r="A24" s="168">
        <v>60.65</v>
      </c>
      <c r="B24" s="168">
        <v>0.77</v>
      </c>
      <c r="C24" s="168">
        <v>27.6</v>
      </c>
      <c r="D24" s="8">
        <v>42814.916666666664</v>
      </c>
      <c r="E24" s="168">
        <v>0.28000000000000003</v>
      </c>
      <c r="F24" s="168" t="s">
        <v>362</v>
      </c>
      <c r="G24" s="168">
        <v>284.99</v>
      </c>
      <c r="H24" s="168">
        <v>0</v>
      </c>
      <c r="I24" s="168">
        <v>0</v>
      </c>
      <c r="J24" s="168">
        <v>1014.45</v>
      </c>
      <c r="K24" s="168" t="s">
        <v>554</v>
      </c>
      <c r="L24" s="168">
        <v>60.65</v>
      </c>
      <c r="M24" s="168">
        <v>1490068800</v>
      </c>
      <c r="N24" s="168">
        <v>5.77</v>
      </c>
      <c r="O24" s="168">
        <v>25</v>
      </c>
      <c r="P24" s="168">
        <v>3.14</v>
      </c>
      <c r="Q24"/>
      <c r="R24"/>
    </row>
    <row r="25" spans="1:18" x14ac:dyDescent="0.25">
      <c r="A25" s="168">
        <v>58.46</v>
      </c>
      <c r="B25" s="168">
        <v>0.76</v>
      </c>
      <c r="C25" s="168">
        <v>30.4</v>
      </c>
      <c r="D25" s="8">
        <v>42814.958333333336</v>
      </c>
      <c r="E25" s="168">
        <v>0.34</v>
      </c>
      <c r="F25" s="168" t="s">
        <v>362</v>
      </c>
      <c r="G25" s="168">
        <v>285.74</v>
      </c>
      <c r="H25" s="168">
        <v>0</v>
      </c>
      <c r="I25" s="168">
        <v>0</v>
      </c>
      <c r="J25" s="168">
        <v>1015.87</v>
      </c>
      <c r="K25" s="168" t="s">
        <v>554</v>
      </c>
      <c r="L25" s="168">
        <v>58.46</v>
      </c>
      <c r="M25" s="168">
        <v>1490072400</v>
      </c>
      <c r="N25" s="168">
        <v>5.48</v>
      </c>
      <c r="O25" s="168">
        <v>17</v>
      </c>
      <c r="P25" s="168">
        <v>3.11</v>
      </c>
      <c r="Q25"/>
      <c r="R25"/>
    </row>
    <row r="26" spans="1:18" x14ac:dyDescent="0.25">
      <c r="A26" s="168">
        <v>55.6</v>
      </c>
      <c r="B26" s="168">
        <v>0.54</v>
      </c>
      <c r="C26" s="168">
        <v>31.28</v>
      </c>
      <c r="D26" s="8">
        <v>42815</v>
      </c>
      <c r="E26" s="168">
        <v>0.39</v>
      </c>
      <c r="F26" s="168" t="s">
        <v>362</v>
      </c>
      <c r="G26" s="168">
        <v>286.58</v>
      </c>
      <c r="H26" s="168">
        <v>0</v>
      </c>
      <c r="I26" s="168">
        <v>0</v>
      </c>
      <c r="J26" s="168">
        <v>1017.2</v>
      </c>
      <c r="K26" s="168" t="s">
        <v>363</v>
      </c>
      <c r="L26" s="168">
        <v>55.6</v>
      </c>
      <c r="M26" s="168">
        <v>1490076000</v>
      </c>
      <c r="N26" s="168">
        <v>5.55</v>
      </c>
      <c r="O26" s="168">
        <v>10</v>
      </c>
      <c r="P26" s="168">
        <v>3.05</v>
      </c>
      <c r="Q26"/>
      <c r="R26"/>
    </row>
    <row r="27" spans="1:18" x14ac:dyDescent="0.25">
      <c r="A27" s="168">
        <v>53.22</v>
      </c>
      <c r="B27" s="168">
        <v>0.7</v>
      </c>
      <c r="C27" s="168">
        <v>32.03</v>
      </c>
      <c r="D27" s="8">
        <v>42815.041666666664</v>
      </c>
      <c r="E27" s="168">
        <v>0.44</v>
      </c>
      <c r="F27" s="168" t="s">
        <v>362</v>
      </c>
      <c r="G27" s="168">
        <v>287.63</v>
      </c>
      <c r="H27" s="168">
        <v>0</v>
      </c>
      <c r="I27" s="168">
        <v>0</v>
      </c>
      <c r="J27" s="168">
        <v>1017.95</v>
      </c>
      <c r="K27" s="168" t="s">
        <v>554</v>
      </c>
      <c r="L27" s="168">
        <v>53.22</v>
      </c>
      <c r="M27" s="168">
        <v>1490079600</v>
      </c>
      <c r="N27" s="168">
        <v>5.64</v>
      </c>
      <c r="O27" s="168">
        <v>356</v>
      </c>
      <c r="P27" s="168">
        <v>5.12</v>
      </c>
      <c r="Q27"/>
      <c r="R27"/>
    </row>
    <row r="28" spans="1:18" x14ac:dyDescent="0.25">
      <c r="A28" s="168">
        <v>50.72</v>
      </c>
      <c r="B28" s="168">
        <v>0.65</v>
      </c>
      <c r="C28" s="168">
        <v>32.1</v>
      </c>
      <c r="D28" s="8">
        <v>42815.083333333336</v>
      </c>
      <c r="E28" s="168">
        <v>0.49</v>
      </c>
      <c r="F28" s="168" t="s">
        <v>362</v>
      </c>
      <c r="G28" s="168">
        <v>288.67</v>
      </c>
      <c r="H28" s="168">
        <v>0</v>
      </c>
      <c r="I28" s="168">
        <v>0</v>
      </c>
      <c r="J28" s="168">
        <v>1018.67</v>
      </c>
      <c r="K28" s="168" t="s">
        <v>554</v>
      </c>
      <c r="L28" s="168">
        <v>50.72</v>
      </c>
      <c r="M28" s="168">
        <v>1490083200</v>
      </c>
      <c r="N28" s="168">
        <v>5.88</v>
      </c>
      <c r="O28" s="168">
        <v>348</v>
      </c>
      <c r="P28" s="168">
        <v>5.42</v>
      </c>
      <c r="Q28"/>
      <c r="R28"/>
    </row>
    <row r="29" spans="1:18" x14ac:dyDescent="0.25">
      <c r="A29" s="168">
        <v>46.6</v>
      </c>
      <c r="B29" s="168">
        <v>0.3</v>
      </c>
      <c r="C29" s="168">
        <v>32.08</v>
      </c>
      <c r="D29" s="8">
        <v>42815.125</v>
      </c>
      <c r="E29" s="168">
        <v>0.52</v>
      </c>
      <c r="F29" s="168" t="s">
        <v>362</v>
      </c>
      <c r="G29" s="168">
        <v>289.72000000000003</v>
      </c>
      <c r="H29" s="168">
        <v>0</v>
      </c>
      <c r="I29" s="168">
        <v>0</v>
      </c>
      <c r="J29" s="168">
        <v>1019.35</v>
      </c>
      <c r="K29" s="168" t="s">
        <v>363</v>
      </c>
      <c r="L29" s="168">
        <v>48.69</v>
      </c>
      <c r="M29" s="168">
        <v>1490086800</v>
      </c>
      <c r="N29" s="168">
        <v>4.55</v>
      </c>
      <c r="O29" s="168">
        <v>344</v>
      </c>
      <c r="P29" s="168">
        <v>5.13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188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8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  <col min="20" max="24" width="9.140625" style="168"/>
  </cols>
  <sheetData>
    <row r="1" spans="1:24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  <c r="T1" s="219" t="s">
        <v>377</v>
      </c>
      <c r="U1" s="219"/>
      <c r="V1" s="219"/>
      <c r="W1" s="219"/>
      <c r="X1" s="219"/>
    </row>
    <row r="2" spans="1:24" ht="15.75" thickBot="1" x14ac:dyDescent="0.3">
      <c r="A2" s="12">
        <v>42814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  <c r="T2" s="197" t="s">
        <v>378</v>
      </c>
      <c r="U2" s="197">
        <v>167</v>
      </c>
      <c r="V2" s="197">
        <v>168</v>
      </c>
      <c r="W2" s="197">
        <v>199</v>
      </c>
      <c r="X2" s="197">
        <v>200</v>
      </c>
    </row>
    <row r="3" spans="1:24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  <c r="T3" s="197" t="s">
        <v>390</v>
      </c>
      <c r="U3" s="197">
        <v>174</v>
      </c>
      <c r="V3" s="197">
        <v>176</v>
      </c>
      <c r="W3" s="197">
        <v>207</v>
      </c>
      <c r="X3" s="197">
        <v>210</v>
      </c>
    </row>
    <row r="4" spans="1:24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  <c r="T4" s="197" t="s">
        <v>391</v>
      </c>
      <c r="U4" s="197">
        <v>173</v>
      </c>
      <c r="V4" s="197">
        <v>175</v>
      </c>
      <c r="W4" s="197">
        <v>208</v>
      </c>
      <c r="X4" s="197">
        <v>209</v>
      </c>
    </row>
    <row r="5" spans="1:24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  <c r="T5" s="197" t="s">
        <v>392</v>
      </c>
      <c r="U5" s="197">
        <v>187</v>
      </c>
      <c r="V5" s="197">
        <v>188</v>
      </c>
      <c r="W5" s="197">
        <v>223</v>
      </c>
      <c r="X5" s="197">
        <v>224</v>
      </c>
    </row>
    <row r="6" spans="1:24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  <c r="T6" s="197"/>
      <c r="U6" s="197"/>
      <c r="V6" s="197"/>
      <c r="W6" s="197"/>
      <c r="X6" s="197"/>
    </row>
    <row r="7" spans="1:24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  <c r="T7" s="197"/>
      <c r="U7" s="197"/>
      <c r="V7" s="197"/>
      <c r="W7" s="197"/>
      <c r="X7" s="197"/>
    </row>
    <row r="8" spans="1:24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  <c r="T8" s="197"/>
      <c r="U8" s="197"/>
      <c r="V8" s="197"/>
      <c r="W8" s="197"/>
      <c r="X8" s="197"/>
    </row>
    <row r="9" spans="1:24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  <c r="T9" s="197"/>
      <c r="U9" s="197"/>
      <c r="V9" s="197"/>
      <c r="W9" s="197"/>
      <c r="X9" s="197"/>
    </row>
    <row r="10" spans="1:24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  <c r="T10" s="197"/>
      <c r="U10" s="197"/>
      <c r="V10" s="197"/>
      <c r="W10" s="197"/>
      <c r="X10" s="197"/>
    </row>
    <row r="11" spans="1:24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  <c r="T11" s="197"/>
      <c r="U11" s="197"/>
      <c r="V11" s="197"/>
      <c r="W11" s="197"/>
      <c r="X11" s="197"/>
    </row>
    <row r="12" spans="1:24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  <c r="T12" s="197"/>
      <c r="U12" s="197"/>
      <c r="V12" s="197"/>
      <c r="W12" s="197"/>
      <c r="X12" s="197"/>
    </row>
    <row r="13" spans="1:24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  <c r="T13" s="197"/>
      <c r="U13" s="197"/>
      <c r="V13" s="197"/>
      <c r="W13" s="197"/>
      <c r="X13" s="197"/>
    </row>
    <row r="14" spans="1:24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  <c r="T14" s="197"/>
      <c r="U14" s="197"/>
      <c r="V14" s="197"/>
      <c r="W14" s="197"/>
      <c r="X14" s="197"/>
    </row>
    <row r="15" spans="1:24" x14ac:dyDescent="0.25">
      <c r="C15" s="64"/>
      <c r="J15" s="160"/>
      <c r="K15" s="161"/>
      <c r="L15" s="161"/>
      <c r="T15" s="197"/>
      <c r="U15" s="197"/>
      <c r="V15" s="197"/>
      <c r="W15" s="197"/>
      <c r="X15" s="197"/>
    </row>
    <row r="16" spans="1:24" x14ac:dyDescent="0.25">
      <c r="C16" s="64"/>
      <c r="J16" s="160"/>
      <c r="K16" s="161"/>
      <c r="L16" s="161"/>
      <c r="T16" s="197"/>
      <c r="U16" s="197"/>
      <c r="V16" s="197"/>
      <c r="W16" s="197"/>
      <c r="X16" s="197"/>
    </row>
    <row r="17" spans="3:24" x14ac:dyDescent="0.25">
      <c r="C17" s="149" t="s">
        <v>189</v>
      </c>
      <c r="J17" s="160"/>
      <c r="K17" s="161"/>
      <c r="L17" s="161"/>
      <c r="T17" s="197"/>
      <c r="U17" s="197"/>
      <c r="V17" s="197"/>
      <c r="W17" s="197"/>
      <c r="X17" s="197"/>
    </row>
    <row r="18" spans="3:24" x14ac:dyDescent="0.25">
      <c r="C18" t="s">
        <v>989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  <c r="T18" s="197"/>
      <c r="U18" s="197"/>
      <c r="V18" s="197"/>
      <c r="W18" s="197"/>
      <c r="X18" s="197"/>
    </row>
    <row r="19" spans="3:24" x14ac:dyDescent="0.25">
      <c r="C19" t="s">
        <v>593</v>
      </c>
      <c r="J19" s="160" t="s">
        <v>86</v>
      </c>
      <c r="K19" s="161"/>
      <c r="L19" s="161"/>
      <c r="M19" s="168" t="s">
        <v>112</v>
      </c>
      <c r="T19" s="197"/>
      <c r="U19" s="197"/>
      <c r="V19" s="197"/>
      <c r="W19" s="197"/>
      <c r="X19" s="197"/>
    </row>
    <row r="20" spans="3:24" x14ac:dyDescent="0.25">
      <c r="C20" t="s">
        <v>990</v>
      </c>
      <c r="J20" s="152" t="s">
        <v>87</v>
      </c>
      <c r="M20" s="168" t="s">
        <v>369</v>
      </c>
      <c r="N20" s="168" t="s">
        <v>369</v>
      </c>
      <c r="T20" s="197"/>
      <c r="U20" s="197"/>
      <c r="V20" s="197"/>
      <c r="W20" s="197"/>
      <c r="X20" s="197"/>
    </row>
    <row r="21" spans="3:24" x14ac:dyDescent="0.25">
      <c r="C21" t="s">
        <v>991</v>
      </c>
      <c r="J21" s="152" t="s">
        <v>90</v>
      </c>
      <c r="K21" s="152" t="s">
        <v>91</v>
      </c>
      <c r="M21" s="168" t="s">
        <v>178</v>
      </c>
      <c r="T21" s="197"/>
      <c r="U21" s="197"/>
      <c r="V21" s="197"/>
      <c r="W21" s="197"/>
      <c r="X21" s="197"/>
    </row>
    <row r="22" spans="3:24" x14ac:dyDescent="0.25">
      <c r="C22" t="s">
        <v>992</v>
      </c>
      <c r="J22" s="152" t="s">
        <v>92</v>
      </c>
      <c r="K22" s="152" t="s">
        <v>93</v>
      </c>
      <c r="M22" s="168" t="s">
        <v>111</v>
      </c>
      <c r="T22" s="197"/>
      <c r="U22" s="197"/>
      <c r="V22" s="197"/>
      <c r="W22" s="197"/>
      <c r="X22" s="197"/>
    </row>
    <row r="23" spans="3:24" x14ac:dyDescent="0.25">
      <c r="C23" t="s">
        <v>993</v>
      </c>
      <c r="J23" s="162" t="s">
        <v>95</v>
      </c>
      <c r="M23" s="168" t="str">
        <f>"-06"</f>
        <v>-06</v>
      </c>
      <c r="T23" s="197"/>
      <c r="U23" s="197"/>
      <c r="V23" s="197"/>
      <c r="W23" s="197"/>
      <c r="X23" s="197"/>
    </row>
    <row r="24" spans="3:24" x14ac:dyDescent="0.25">
      <c r="C24" t="s">
        <v>994</v>
      </c>
      <c r="J24" s="152" t="s">
        <v>108</v>
      </c>
      <c r="M24" s="168" t="s">
        <v>110</v>
      </c>
      <c r="T24" s="197"/>
      <c r="U24" s="197"/>
      <c r="V24" s="197"/>
      <c r="W24" s="197"/>
      <c r="X24" s="197"/>
    </row>
    <row r="25" spans="3:24" x14ac:dyDescent="0.25">
      <c r="C25" t="s">
        <v>995</v>
      </c>
      <c r="J25" s="152" t="s">
        <v>150</v>
      </c>
      <c r="M25" s="168" t="b">
        <v>1</v>
      </c>
    </row>
    <row r="26" spans="3:24" x14ac:dyDescent="0.25">
      <c r="C26" t="s">
        <v>996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C:\Users\stu\Documents\GitHub\eaglep3-reporting\EC\2017-03-20-refined-times.txt</v>
      </c>
    </row>
    <row r="27" spans="3:24" x14ac:dyDescent="0.25">
      <c r="C27" t="s">
        <v>997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C:\Users\stu\Documents\GitHub\eaglep3-reporting\EC\2017-03-20-Enforcements.txt</v>
      </c>
    </row>
    <row r="28" spans="3:24" x14ac:dyDescent="0.25">
      <c r="C28" t="s">
        <v>998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C:\Users\stu\Documents\GitHub\eaglep3-reporting\EC\2017-03-20-Runs-refined.txt</v>
      </c>
    </row>
    <row r="29" spans="3:24" x14ac:dyDescent="0.25">
      <c r="C29" t="s">
        <v>999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C:\Users\stu\Documents\GitHub\eaglep3-reporting\EC\2017-03-20-Trips.txt</v>
      </c>
    </row>
    <row r="30" spans="3:24" x14ac:dyDescent="0.25">
      <c r="C30" t="s">
        <v>1000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C:\Users\stu\Documents\GitHub\eaglep3-reporting\EC\2017-03-20-Weather.txt</v>
      </c>
    </row>
    <row r="31" spans="3:24" x14ac:dyDescent="0.25">
      <c r="C31" t="s">
        <v>1001</v>
      </c>
      <c r="J31" s="152" t="s">
        <v>203</v>
      </c>
      <c r="M31" s="168" t="s">
        <v>204</v>
      </c>
    </row>
    <row r="32" spans="3:24" x14ac:dyDescent="0.25">
      <c r="C32" t="s">
        <v>1002</v>
      </c>
    </row>
    <row r="33" spans="3:3" x14ac:dyDescent="0.25">
      <c r="C33" t="s">
        <v>1003</v>
      </c>
    </row>
    <row r="34" spans="3:3" x14ac:dyDescent="0.25">
      <c r="C34" t="s">
        <v>1004</v>
      </c>
    </row>
    <row r="35" spans="3:3" x14ac:dyDescent="0.25">
      <c r="C35" t="s">
        <v>1005</v>
      </c>
    </row>
    <row r="36" spans="3:3" x14ac:dyDescent="0.25">
      <c r="C36" t="s">
        <v>1006</v>
      </c>
    </row>
    <row r="37" spans="3:3" x14ac:dyDescent="0.25">
      <c r="C37" t="s">
        <v>1007</v>
      </c>
    </row>
    <row r="38" spans="3:3" x14ac:dyDescent="0.25">
      <c r="C38" t="s">
        <v>1008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231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232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233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234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235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236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237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238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239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240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241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242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243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244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245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246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247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248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249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250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251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252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253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254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255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256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257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258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259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260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261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262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263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264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265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266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267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268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269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270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271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272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273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274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275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276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277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278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279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280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281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282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283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284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285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286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287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288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289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290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291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292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293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294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295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296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297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298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299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300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301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302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303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304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305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306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307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308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309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310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311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312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313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314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315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316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317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318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319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320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321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322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323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324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325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326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327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328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329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330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331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332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333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334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335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336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337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338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339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340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341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342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343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344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345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346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347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348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349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350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351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352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353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354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355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356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357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358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359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360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2017-03-21T20:36:13Z</dcterms:modified>
</cp:coreProperties>
</file>