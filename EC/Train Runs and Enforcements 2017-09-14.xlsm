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Trips'!$A$2:$J$26</definedName>
    <definedName name="_xlnm._FilterDatabase" localSheetId="0" hidden="1">'Train Runs'!$A$12:$AG$290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28" i="1" l="1"/>
  <c r="X186" i="1" l="1"/>
  <c r="X187" i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X167" i="1"/>
  <c r="X168" i="1"/>
  <c r="K167" i="1"/>
  <c r="L167" i="1"/>
  <c r="M167" i="1"/>
  <c r="N167" i="1"/>
  <c r="V167" i="1"/>
  <c r="AA167" i="1"/>
  <c r="AB167" i="1"/>
  <c r="AC167" i="1"/>
  <c r="AD167" i="1"/>
  <c r="T167" i="1" s="1"/>
  <c r="AE167" i="1"/>
  <c r="R40" i="3" s="1"/>
  <c r="AF167" i="1"/>
  <c r="AH167" i="1"/>
  <c r="AM167" i="1"/>
  <c r="AN167" i="1"/>
  <c r="K166" i="1"/>
  <c r="L166" i="1"/>
  <c r="M166" i="1"/>
  <c r="N166" i="1"/>
  <c r="V166" i="1"/>
  <c r="AA166" i="1"/>
  <c r="AB166" i="1"/>
  <c r="AC166" i="1"/>
  <c r="AD166" i="1"/>
  <c r="T166" i="1" s="1"/>
  <c r="AE166" i="1"/>
  <c r="R42" i="3" s="1"/>
  <c r="AF166" i="1"/>
  <c r="AH166" i="1"/>
  <c r="AM166" i="1"/>
  <c r="AN166" i="1"/>
  <c r="X147" i="1"/>
  <c r="K146" i="1"/>
  <c r="L146" i="1"/>
  <c r="M146" i="1"/>
  <c r="N146" i="1"/>
  <c r="V146" i="1"/>
  <c r="AA146" i="1"/>
  <c r="AB146" i="1"/>
  <c r="AC146" i="1"/>
  <c r="AD146" i="1"/>
  <c r="T146" i="1" s="1"/>
  <c r="AE146" i="1"/>
  <c r="AF146" i="1"/>
  <c r="AH146" i="1"/>
  <c r="AM146" i="1"/>
  <c r="AN146" i="1"/>
  <c r="P137" i="1"/>
  <c r="X126" i="1"/>
  <c r="K125" i="1"/>
  <c r="L125" i="1"/>
  <c r="M125" i="1"/>
  <c r="N125" i="1"/>
  <c r="V125" i="1"/>
  <c r="AA125" i="1"/>
  <c r="AB125" i="1"/>
  <c r="AC125" i="1"/>
  <c r="AD125" i="1"/>
  <c r="T125" i="1" s="1"/>
  <c r="AE125" i="1"/>
  <c r="AF125" i="1"/>
  <c r="AH125" i="1"/>
  <c r="AM125" i="1"/>
  <c r="AN12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N18" i="1"/>
  <c r="V18" i="1"/>
  <c r="S25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T31" i="1"/>
  <c r="V31" i="1"/>
  <c r="Y31" i="1"/>
  <c r="Z31" i="1"/>
  <c r="AA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18" i="3" s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T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P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R9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R29" i="3" s="1"/>
  <c r="AF65" i="1"/>
  <c r="AH65" i="1"/>
  <c r="AM65" i="1"/>
  <c r="AN65" i="1"/>
  <c r="K66" i="1"/>
  <c r="L66" i="1"/>
  <c r="M66" i="1"/>
  <c r="N66" i="1" s="1"/>
  <c r="V66" i="1"/>
  <c r="S11" i="3" s="1"/>
  <c r="Y66" i="1"/>
  <c r="AA66" i="1" s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AA68" i="1" s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K81" i="1"/>
  <c r="L81" i="1"/>
  <c r="M81" i="1"/>
  <c r="N81" i="1" s="1"/>
  <c r="T81" i="1"/>
  <c r="V81" i="1"/>
  <c r="S31" i="3" s="1"/>
  <c r="Y81" i="1"/>
  <c r="Z81" i="1"/>
  <c r="AA81" i="1" s="1"/>
  <c r="AB81" i="1"/>
  <c r="AC81" i="1"/>
  <c r="AD81" i="1"/>
  <c r="AE81" i="1"/>
  <c r="R10" i="3" s="1"/>
  <c r="AF81" i="1"/>
  <c r="AH81" i="1"/>
  <c r="AM81" i="1"/>
  <c r="AN81" i="1"/>
  <c r="K82" i="1"/>
  <c r="L82" i="1"/>
  <c r="M82" i="1"/>
  <c r="N82" i="1" s="1"/>
  <c r="V82" i="1"/>
  <c r="X82" i="1"/>
  <c r="Y82" i="1"/>
  <c r="Z82" i="1"/>
  <c r="AA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S32" i="3" s="1"/>
  <c r="Y85" i="1"/>
  <c r="Z85" i="1"/>
  <c r="AB85" i="1"/>
  <c r="AC85" i="1"/>
  <c r="AD85" i="1"/>
  <c r="T85" i="1" s="1"/>
  <c r="AE85" i="1"/>
  <c r="R32" i="3" s="1"/>
  <c r="AF85" i="1"/>
  <c r="AH85" i="1"/>
  <c r="AM85" i="1"/>
  <c r="AN85" i="1"/>
  <c r="K86" i="1"/>
  <c r="L86" i="1"/>
  <c r="M86" i="1"/>
  <c r="V86" i="1"/>
  <c r="Y86" i="1"/>
  <c r="Z86" i="1"/>
  <c r="AA86" i="1" s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S12" i="3" s="1"/>
  <c r="Y87" i="1"/>
  <c r="Z87" i="1"/>
  <c r="AB87" i="1"/>
  <c r="AC87" i="1"/>
  <c r="AD87" i="1"/>
  <c r="AE87" i="1"/>
  <c r="R12" i="3" s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/>
  <c r="V89" i="1"/>
  <c r="Y89" i="1"/>
  <c r="AA89" i="1" s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23" i="3" s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X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R14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P113" i="1" s="1"/>
  <c r="V113" i="1"/>
  <c r="Y113" i="1"/>
  <c r="Z113" i="1"/>
  <c r="AA113" i="1" s="1"/>
  <c r="AB113" i="1"/>
  <c r="AC113" i="1"/>
  <c r="AD113" i="1"/>
  <c r="T113" i="1" s="1"/>
  <c r="AE113" i="1"/>
  <c r="R17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R30" i="3" s="1"/>
  <c r="AF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/>
  <c r="V130" i="1"/>
  <c r="Y130" i="1"/>
  <c r="AA130" i="1" s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24" i="3" s="1"/>
  <c r="AF159" i="1"/>
  <c r="AH159" i="1"/>
  <c r="AM159" i="1"/>
  <c r="AN159" i="1"/>
  <c r="K160" i="1"/>
  <c r="L160" i="1"/>
  <c r="M160" i="1"/>
  <c r="N160" i="1" s="1"/>
  <c r="V160" i="1"/>
  <c r="S16" i="3" s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8" i="1"/>
  <c r="L228" i="1"/>
  <c r="M228" i="1"/>
  <c r="V228" i="1"/>
  <c r="Y228" i="1"/>
  <c r="Z228" i="1"/>
  <c r="AA228" i="1" s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R55" i="3" s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T233" i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T234" i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3" i="1"/>
  <c r="AM183" i="1"/>
  <c r="AN183" i="1"/>
  <c r="K237" i="1"/>
  <c r="L237" i="1"/>
  <c r="M237" i="1"/>
  <c r="N237" i="1" s="1"/>
  <c r="V237" i="1"/>
  <c r="S56" i="3" s="1"/>
  <c r="Y237" i="1"/>
  <c r="Z237" i="1"/>
  <c r="AB237" i="1"/>
  <c r="AC237" i="1"/>
  <c r="AD237" i="1"/>
  <c r="T237" i="1" s="1"/>
  <c r="AE237" i="1"/>
  <c r="R56" i="3" s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7" i="1"/>
  <c r="AM187" i="1"/>
  <c r="AN18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8" i="1"/>
  <c r="AM188" i="1"/>
  <c r="AN18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9" i="1"/>
  <c r="AM189" i="1"/>
  <c r="AN189" i="1"/>
  <c r="K163" i="1"/>
  <c r="L163" i="1"/>
  <c r="M163" i="1"/>
  <c r="N163" i="1" s="1"/>
  <c r="V163" i="1"/>
  <c r="S39" i="3" s="1"/>
  <c r="Y163" i="1"/>
  <c r="Z163" i="1"/>
  <c r="AB163" i="1"/>
  <c r="AC163" i="1"/>
  <c r="AD163" i="1"/>
  <c r="T163" i="1" s="1"/>
  <c r="AE163" i="1"/>
  <c r="R39" i="3" s="1"/>
  <c r="AF163" i="1"/>
  <c r="AH190" i="1"/>
  <c r="AM190" i="1"/>
  <c r="AN19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1" i="1"/>
  <c r="AM191" i="1"/>
  <c r="AN19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2" i="1"/>
  <c r="AM192" i="1"/>
  <c r="AN192" i="1"/>
  <c r="K168" i="1"/>
  <c r="L168" i="1"/>
  <c r="M168" i="1"/>
  <c r="N168" i="1" s="1"/>
  <c r="V168" i="1"/>
  <c r="S35" i="3" s="1"/>
  <c r="Y168" i="1"/>
  <c r="Z168" i="1"/>
  <c r="AB168" i="1"/>
  <c r="AC168" i="1"/>
  <c r="AD168" i="1"/>
  <c r="T168" i="1" s="1"/>
  <c r="AE168" i="1"/>
  <c r="R35" i="3" s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4" i="1"/>
  <c r="AM194" i="1"/>
  <c r="AN194" i="1"/>
  <c r="K170" i="1"/>
  <c r="L170" i="1"/>
  <c r="M170" i="1"/>
  <c r="N170" i="1" s="1"/>
  <c r="V170" i="1"/>
  <c r="S45" i="3" s="1"/>
  <c r="Y170" i="1"/>
  <c r="Z170" i="1"/>
  <c r="AB170" i="1"/>
  <c r="AC170" i="1"/>
  <c r="AD170" i="1"/>
  <c r="T170" i="1" s="1"/>
  <c r="AE170" i="1"/>
  <c r="R45" i="3" s="1"/>
  <c r="AF170" i="1"/>
  <c r="AH195" i="1"/>
  <c r="AM195" i="1"/>
  <c r="AN19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01" i="1"/>
  <c r="AM201" i="1"/>
  <c r="AN20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3" i="1"/>
  <c r="AM203" i="1"/>
  <c r="AN20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5" i="1"/>
  <c r="AM205" i="1"/>
  <c r="AN205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206" i="1"/>
  <c r="AM206" i="1"/>
  <c r="AN20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7" i="1"/>
  <c r="AM207" i="1"/>
  <c r="AN207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208" i="1"/>
  <c r="AM208" i="1"/>
  <c r="AN20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09" i="1"/>
  <c r="AM209" i="1"/>
  <c r="AN20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10" i="1"/>
  <c r="AM210" i="1"/>
  <c r="AN210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11" i="1"/>
  <c r="AM211" i="1"/>
  <c r="AN211" i="1"/>
  <c r="K182" i="1"/>
  <c r="L182" i="1"/>
  <c r="M182" i="1"/>
  <c r="N182" i="1" s="1"/>
  <c r="V182" i="1"/>
  <c r="S46" i="3" s="1"/>
  <c r="Y182" i="1"/>
  <c r="Z182" i="1"/>
  <c r="AB182" i="1"/>
  <c r="AC182" i="1"/>
  <c r="AD182" i="1"/>
  <c r="AE182" i="1"/>
  <c r="AF182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5" i="1"/>
  <c r="AM215" i="1"/>
  <c r="AN215" i="1"/>
  <c r="K187" i="1"/>
  <c r="L187" i="1"/>
  <c r="M187" i="1"/>
  <c r="N187" i="1" s="1"/>
  <c r="T187" i="1"/>
  <c r="V187" i="1"/>
  <c r="Y187" i="1"/>
  <c r="Z187" i="1"/>
  <c r="AA187" i="1" s="1"/>
  <c r="AB187" i="1"/>
  <c r="AC187" i="1"/>
  <c r="AD187" i="1"/>
  <c r="AE187" i="1"/>
  <c r="R41" i="3" s="1"/>
  <c r="AF187" i="1"/>
  <c r="AH216" i="1"/>
  <c r="AM216" i="1"/>
  <c r="AN216" i="1"/>
  <c r="K188" i="1"/>
  <c r="L188" i="1"/>
  <c r="M188" i="1"/>
  <c r="N188" i="1" s="1"/>
  <c r="V188" i="1"/>
  <c r="S37" i="3" s="1"/>
  <c r="Y188" i="1"/>
  <c r="Z188" i="1"/>
  <c r="AB188" i="1"/>
  <c r="AC188" i="1"/>
  <c r="AD188" i="1"/>
  <c r="T188" i="1" s="1"/>
  <c r="AE188" i="1"/>
  <c r="R37" i="3" s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K191" i="1"/>
  <c r="L191" i="1"/>
  <c r="M191" i="1"/>
  <c r="N191" i="1" s="1"/>
  <c r="V191" i="1"/>
  <c r="S34" i="3" s="1"/>
  <c r="Y191" i="1"/>
  <c r="Z191" i="1"/>
  <c r="AB191" i="1"/>
  <c r="AC191" i="1"/>
  <c r="AD191" i="1"/>
  <c r="AE191" i="1"/>
  <c r="R34" i="3" s="1"/>
  <c r="AF191" i="1"/>
  <c r="AH220" i="1"/>
  <c r="AM220" i="1"/>
  <c r="AN220" i="1"/>
  <c r="K192" i="1"/>
  <c r="L192" i="1"/>
  <c r="M192" i="1"/>
  <c r="N192" i="1" s="1"/>
  <c r="V192" i="1"/>
  <c r="S36" i="3" s="1"/>
  <c r="Y192" i="1"/>
  <c r="Z192" i="1"/>
  <c r="AB192" i="1"/>
  <c r="AC192" i="1"/>
  <c r="AD192" i="1"/>
  <c r="T192" i="1" s="1"/>
  <c r="AE192" i="1"/>
  <c r="R36" i="3" s="1"/>
  <c r="AF192" i="1"/>
  <c r="AH221" i="1"/>
  <c r="AM221" i="1"/>
  <c r="AN22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4" i="1"/>
  <c r="AM224" i="1"/>
  <c r="AN224" i="1"/>
  <c r="K196" i="1"/>
  <c r="L196" i="1"/>
  <c r="M196" i="1"/>
  <c r="N196" i="1" s="1"/>
  <c r="V196" i="1"/>
  <c r="S49" i="3" s="1"/>
  <c r="Y196" i="1"/>
  <c r="Z196" i="1"/>
  <c r="AB196" i="1"/>
  <c r="AC196" i="1"/>
  <c r="AD196" i="1"/>
  <c r="T196" i="1" s="1"/>
  <c r="AE196" i="1"/>
  <c r="R49" i="3" s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AM227" i="1"/>
  <c r="AN227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AM231" i="1"/>
  <c r="AN23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2" i="1"/>
  <c r="AM232" i="1"/>
  <c r="AN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5" i="1"/>
  <c r="AM235" i="1"/>
  <c r="AN23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6" i="1"/>
  <c r="AM236" i="1"/>
  <c r="AN23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37" i="1"/>
  <c r="AM237" i="1"/>
  <c r="AN237" i="1"/>
  <c r="K209" i="1"/>
  <c r="L209" i="1"/>
  <c r="M209" i="1"/>
  <c r="N209" i="1" s="1"/>
  <c r="V209" i="1"/>
  <c r="Y209" i="1"/>
  <c r="Z209" i="1"/>
  <c r="AB209" i="1"/>
  <c r="AC209" i="1"/>
  <c r="AD209" i="1"/>
  <c r="AE209" i="1"/>
  <c r="R52" i="3" s="1"/>
  <c r="AF209" i="1"/>
  <c r="AH238" i="1"/>
  <c r="AM238" i="1"/>
  <c r="AN238" i="1"/>
  <c r="K222" i="1"/>
  <c r="L222" i="1"/>
  <c r="M222" i="1"/>
  <c r="N222" i="1" s="1"/>
  <c r="V222" i="1"/>
  <c r="S54" i="3" s="1"/>
  <c r="Y222" i="1"/>
  <c r="Z222" i="1"/>
  <c r="AB222" i="1"/>
  <c r="AC222" i="1"/>
  <c r="AD222" i="1"/>
  <c r="T222" i="1" s="1"/>
  <c r="AE222" i="1"/>
  <c r="R53" i="3" s="1"/>
  <c r="AF222" i="1"/>
  <c r="AH239" i="1"/>
  <c r="AM239" i="1"/>
  <c r="AN23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0" i="1"/>
  <c r="AM240" i="1"/>
  <c r="AN240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AH241" i="1"/>
  <c r="AM241" i="1"/>
  <c r="AN24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2" i="1"/>
  <c r="AM242" i="1"/>
  <c r="AN24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3" i="1"/>
  <c r="AM243" i="1"/>
  <c r="AN24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4" i="1"/>
  <c r="AM244" i="1"/>
  <c r="AN244" i="1"/>
  <c r="M28" i="3"/>
  <c r="U28" i="3"/>
  <c r="T28" i="3" s="1"/>
  <c r="V28" i="3"/>
  <c r="X28" i="3"/>
  <c r="M53" i="3"/>
  <c r="U53" i="3"/>
  <c r="AD53" i="3" s="1"/>
  <c r="V53" i="3"/>
  <c r="X53" i="3"/>
  <c r="M54" i="3"/>
  <c r="U54" i="3"/>
  <c r="AD54" i="3" s="1"/>
  <c r="V54" i="3"/>
  <c r="X54" i="3"/>
  <c r="M38" i="3"/>
  <c r="R38" i="3"/>
  <c r="S38" i="3"/>
  <c r="U38" i="3"/>
  <c r="T38" i="3" s="1"/>
  <c r="V38" i="3"/>
  <c r="X38" i="3"/>
  <c r="M25" i="3"/>
  <c r="R25" i="3"/>
  <c r="U25" i="3"/>
  <c r="AD25" i="3" s="1"/>
  <c r="V25" i="3"/>
  <c r="X25" i="3"/>
  <c r="M39" i="3"/>
  <c r="U39" i="3"/>
  <c r="V39" i="3"/>
  <c r="X39" i="3"/>
  <c r="M42" i="3"/>
  <c r="S42" i="3"/>
  <c r="U42" i="3"/>
  <c r="AC42" i="3" s="1"/>
  <c r="V42" i="3"/>
  <c r="X42" i="3"/>
  <c r="M43" i="3"/>
  <c r="S43" i="3"/>
  <c r="U43" i="3"/>
  <c r="T43" i="3" s="1"/>
  <c r="V43" i="3"/>
  <c r="X43" i="3"/>
  <c r="M35" i="3"/>
  <c r="U35" i="3"/>
  <c r="V35" i="3"/>
  <c r="X35" i="3"/>
  <c r="M33" i="3"/>
  <c r="S33" i="3"/>
  <c r="U33" i="3"/>
  <c r="AD33" i="3" s="1"/>
  <c r="V33" i="3"/>
  <c r="X33" i="3"/>
  <c r="M44" i="3"/>
  <c r="U44" i="3"/>
  <c r="AC44" i="3" s="1"/>
  <c r="V44" i="3"/>
  <c r="X44" i="3"/>
  <c r="M40" i="3"/>
  <c r="S40" i="3"/>
  <c r="U40" i="3"/>
  <c r="T40" i="3" s="1"/>
  <c r="V40" i="3"/>
  <c r="X40" i="3"/>
  <c r="M45" i="3"/>
  <c r="U45" i="3"/>
  <c r="V45" i="3"/>
  <c r="X45" i="3"/>
  <c r="M18" i="3"/>
  <c r="R18" i="3"/>
  <c r="U18" i="3"/>
  <c r="AD18" i="3" s="1"/>
  <c r="V18" i="3"/>
  <c r="X18" i="3"/>
  <c r="M26" i="3"/>
  <c r="R26" i="3"/>
  <c r="S26" i="3"/>
  <c r="U26" i="3"/>
  <c r="V26" i="3"/>
  <c r="X26" i="3"/>
  <c r="M11" i="3"/>
  <c r="R11" i="3"/>
  <c r="U11" i="3"/>
  <c r="T11" i="3" s="1"/>
  <c r="V11" i="3"/>
  <c r="X11" i="3"/>
  <c r="M21" i="3"/>
  <c r="S21" i="3"/>
  <c r="U21" i="3"/>
  <c r="V21" i="3"/>
  <c r="X21" i="3"/>
  <c r="M55" i="3"/>
  <c r="S55" i="3"/>
  <c r="U55" i="3"/>
  <c r="V55" i="3"/>
  <c r="X55" i="3"/>
  <c r="M19" i="3"/>
  <c r="R19" i="3"/>
  <c r="S19" i="3"/>
  <c r="U19" i="3"/>
  <c r="AC19" i="3" s="1"/>
  <c r="V19" i="3"/>
  <c r="X19" i="3"/>
  <c r="M9" i="3"/>
  <c r="S9" i="3"/>
  <c r="U9" i="3"/>
  <c r="T9" i="3" s="1"/>
  <c r="V9" i="3"/>
  <c r="X9" i="3"/>
  <c r="M7" i="3"/>
  <c r="R7" i="3"/>
  <c r="S7" i="3"/>
  <c r="U7" i="3"/>
  <c r="V7" i="3"/>
  <c r="X7" i="3"/>
  <c r="M8" i="3"/>
  <c r="S8" i="3"/>
  <c r="U8" i="3"/>
  <c r="AD8" i="3" s="1"/>
  <c r="V8" i="3"/>
  <c r="X8" i="3"/>
  <c r="M13" i="3"/>
  <c r="R13" i="3"/>
  <c r="S13" i="3"/>
  <c r="U13" i="3"/>
  <c r="AC13" i="3" s="1"/>
  <c r="V13" i="3"/>
  <c r="X13" i="3"/>
  <c r="M29" i="3"/>
  <c r="S29" i="3"/>
  <c r="U29" i="3"/>
  <c r="T29" i="3" s="1"/>
  <c r="V29" i="3"/>
  <c r="X29" i="3"/>
  <c r="M20" i="3"/>
  <c r="R20" i="3"/>
  <c r="S20" i="3"/>
  <c r="U20" i="3"/>
  <c r="V20" i="3"/>
  <c r="X20" i="3"/>
  <c r="M10" i="3"/>
  <c r="U10" i="3"/>
  <c r="V10" i="3"/>
  <c r="X10" i="3"/>
  <c r="M31" i="3"/>
  <c r="U31" i="3"/>
  <c r="AC31" i="3" s="1"/>
  <c r="V31" i="3"/>
  <c r="X31" i="3"/>
  <c r="M32" i="3"/>
  <c r="U32" i="3"/>
  <c r="T32" i="3" s="1"/>
  <c r="V32" i="3"/>
  <c r="X32" i="3"/>
  <c r="M46" i="3"/>
  <c r="R46" i="3"/>
  <c r="U46" i="3"/>
  <c r="V46" i="3"/>
  <c r="X46" i="3"/>
  <c r="M12" i="3"/>
  <c r="U12" i="3"/>
  <c r="AD12" i="3" s="1"/>
  <c r="V12" i="3"/>
  <c r="X12" i="3"/>
  <c r="M23" i="3"/>
  <c r="R23" i="3"/>
  <c r="U23" i="3"/>
  <c r="AC23" i="3" s="1"/>
  <c r="V23" i="3"/>
  <c r="X23" i="3"/>
  <c r="M47" i="3"/>
  <c r="R47" i="3"/>
  <c r="S47" i="3"/>
  <c r="U47" i="3"/>
  <c r="T47" i="3" s="1"/>
  <c r="V47" i="3"/>
  <c r="X47" i="3"/>
  <c r="AD38" i="3"/>
  <c r="M14" i="3"/>
  <c r="S14" i="3"/>
  <c r="U14" i="3"/>
  <c r="V14" i="3"/>
  <c r="X14" i="3"/>
  <c r="M37" i="3"/>
  <c r="U37" i="3"/>
  <c r="V37" i="3"/>
  <c r="X37" i="3"/>
  <c r="M41" i="3"/>
  <c r="S41" i="3"/>
  <c r="U41" i="3"/>
  <c r="AC41" i="3" s="1"/>
  <c r="V41" i="3"/>
  <c r="X41" i="3"/>
  <c r="M15" i="3"/>
  <c r="R15" i="3"/>
  <c r="S15" i="3"/>
  <c r="U15" i="3"/>
  <c r="V15" i="3"/>
  <c r="X15" i="3"/>
  <c r="AD42" i="3"/>
  <c r="M36" i="3"/>
  <c r="U36" i="3"/>
  <c r="V36" i="3"/>
  <c r="X36" i="3"/>
  <c r="M34" i="3"/>
  <c r="U34" i="3"/>
  <c r="AD34" i="3" s="1"/>
  <c r="V34" i="3"/>
  <c r="X34" i="3"/>
  <c r="M17" i="3"/>
  <c r="S17" i="3"/>
  <c r="U17" i="3"/>
  <c r="AC17" i="3" s="1"/>
  <c r="V17" i="3"/>
  <c r="X17" i="3"/>
  <c r="AD46" i="3"/>
  <c r="M30" i="3"/>
  <c r="S30" i="3"/>
  <c r="U30" i="3"/>
  <c r="V30" i="3"/>
  <c r="X30" i="3"/>
  <c r="M48" i="3"/>
  <c r="U48" i="3"/>
  <c r="T48" i="3" s="1"/>
  <c r="V48" i="3"/>
  <c r="X48" i="3"/>
  <c r="M49" i="3"/>
  <c r="U49" i="3"/>
  <c r="AC49" i="3" s="1"/>
  <c r="V49" i="3"/>
  <c r="X49" i="3"/>
  <c r="M50" i="3"/>
  <c r="U50" i="3"/>
  <c r="V50" i="3"/>
  <c r="X50" i="3"/>
  <c r="M56" i="3"/>
  <c r="U56" i="3"/>
  <c r="AC56" i="3" s="1"/>
  <c r="V56" i="3"/>
  <c r="X56" i="3"/>
  <c r="M27" i="3"/>
  <c r="R27" i="3"/>
  <c r="S27" i="3"/>
  <c r="U27" i="3"/>
  <c r="V27" i="3"/>
  <c r="X27" i="3"/>
  <c r="M51" i="3"/>
  <c r="U51" i="3"/>
  <c r="V51" i="3"/>
  <c r="X51" i="3"/>
  <c r="M52" i="3"/>
  <c r="U52" i="3"/>
  <c r="T52" i="3" s="1"/>
  <c r="V52" i="3"/>
  <c r="X52" i="3"/>
  <c r="M24" i="3"/>
  <c r="S24" i="3"/>
  <c r="U24" i="3"/>
  <c r="V24" i="3"/>
  <c r="X24" i="3"/>
  <c r="M16" i="3"/>
  <c r="R16" i="3"/>
  <c r="U16" i="3"/>
  <c r="V16" i="3"/>
  <c r="X16" i="3"/>
  <c r="M22" i="3"/>
  <c r="U22" i="3"/>
  <c r="AC22" i="3" s="1"/>
  <c r="V22" i="3"/>
  <c r="X22" i="3"/>
  <c r="AG186" i="1"/>
  <c r="AG167" i="1"/>
  <c r="AG166" i="1"/>
  <c r="AG146" i="1"/>
  <c r="AG125" i="1"/>
  <c r="AG16" i="1"/>
  <c r="AG32" i="1"/>
  <c r="AG48" i="1"/>
  <c r="AG27" i="1"/>
  <c r="AG43" i="1"/>
  <c r="AG18" i="1"/>
  <c r="AG34" i="1"/>
  <c r="AG50" i="1"/>
  <c r="AG29" i="1"/>
  <c r="AG45" i="1"/>
  <c r="AG67" i="1"/>
  <c r="AG83" i="1"/>
  <c r="AG52" i="1"/>
  <c r="AG66" i="1"/>
  <c r="AG82" i="1"/>
  <c r="AG53" i="1"/>
  <c r="AG69" i="1"/>
  <c r="AG85" i="1"/>
  <c r="AG56" i="1"/>
  <c r="AG72" i="1"/>
  <c r="AG88" i="1"/>
  <c r="AG100" i="1"/>
  <c r="AG116" i="1"/>
  <c r="AG99" i="1"/>
  <c r="AG115" i="1"/>
  <c r="AG102" i="1"/>
  <c r="AG118" i="1"/>
  <c r="AG98" i="1"/>
  <c r="AG113" i="1"/>
  <c r="AG130" i="1"/>
  <c r="AG148" i="1"/>
  <c r="AG213" i="1"/>
  <c r="AG142" i="1"/>
  <c r="AG159" i="1"/>
  <c r="AG133" i="1"/>
  <c r="AG150" i="1"/>
  <c r="AG215" i="1"/>
  <c r="AG210" i="1"/>
  <c r="AG165" i="1"/>
  <c r="AG180" i="1"/>
  <c r="AG195" i="1"/>
  <c r="AG223" i="1"/>
  <c r="AG231" i="1"/>
  <c r="AG170" i="1"/>
  <c r="AG181" i="1"/>
  <c r="AG198" i="1"/>
  <c r="AG136" i="1"/>
  <c r="AG238" i="1"/>
  <c r="AG174" i="1"/>
  <c r="AG189" i="1"/>
  <c r="AG24" i="1"/>
  <c r="AG44" i="1"/>
  <c r="AG31" i="1"/>
  <c r="AG51" i="1"/>
  <c r="AG30" i="1"/>
  <c r="AG17" i="1"/>
  <c r="AG37" i="1"/>
  <c r="AG63" i="1"/>
  <c r="AG87" i="1"/>
  <c r="AG58" i="1"/>
  <c r="AG78" i="1"/>
  <c r="AG57" i="1"/>
  <c r="AG77" i="1"/>
  <c r="AG97" i="1"/>
  <c r="AG76" i="1"/>
  <c r="AG96" i="1"/>
  <c r="AG112" i="1"/>
  <c r="AG103" i="1"/>
  <c r="AG123" i="1"/>
  <c r="AG114" i="1"/>
  <c r="AG101" i="1"/>
  <c r="AG121" i="1"/>
  <c r="AG143" i="1"/>
  <c r="AG217" i="1"/>
  <c r="AG151" i="1"/>
  <c r="AG220" i="1"/>
  <c r="AG154" i="1"/>
  <c r="AG132" i="1"/>
  <c r="AG161" i="1"/>
  <c r="AG182" i="1"/>
  <c r="AG203" i="1"/>
  <c r="AG214" i="1"/>
  <c r="AG171" i="1"/>
  <c r="AG190" i="1"/>
  <c r="AG222" i="1"/>
  <c r="AG163" i="1"/>
  <c r="AG244" i="1"/>
  <c r="AG201" i="1"/>
  <c r="AG140" i="1"/>
  <c r="AG228" i="1"/>
  <c r="AG162" i="1"/>
  <c r="AG177" i="1"/>
  <c r="AG192" i="1"/>
  <c r="AG224" i="1"/>
  <c r="AG28" i="1"/>
  <c r="AG15" i="1"/>
  <c r="AG35" i="1"/>
  <c r="AG14" i="1"/>
  <c r="AG38" i="1"/>
  <c r="AG21" i="1"/>
  <c r="AG41" i="1"/>
  <c r="AG71" i="1"/>
  <c r="AG91" i="1"/>
  <c r="AG62" i="1"/>
  <c r="AG86" i="1"/>
  <c r="AG61" i="1"/>
  <c r="AG81" i="1"/>
  <c r="AG60" i="1"/>
  <c r="AG80" i="1"/>
  <c r="AG95" i="1"/>
  <c r="AG120" i="1"/>
  <c r="AG107" i="1"/>
  <c r="AG128" i="1"/>
  <c r="AG122" i="1"/>
  <c r="AG105" i="1"/>
  <c r="AG126" i="1"/>
  <c r="AG152" i="1"/>
  <c r="AG134" i="1"/>
  <c r="AG155" i="1"/>
  <c r="AG137" i="1"/>
  <c r="AG158" i="1"/>
  <c r="AG144" i="1"/>
  <c r="AG240" i="1"/>
  <c r="AG187" i="1"/>
  <c r="AG207" i="1"/>
  <c r="AG235" i="1"/>
  <c r="AG175" i="1"/>
  <c r="AG194" i="1"/>
  <c r="AG153" i="1"/>
  <c r="AG169" i="1"/>
  <c r="AG184" i="1"/>
  <c r="AG205" i="1"/>
  <c r="AG157" i="1"/>
  <c r="AG229" i="1"/>
  <c r="AG168" i="1"/>
  <c r="AG243" i="1"/>
  <c r="AG196" i="1"/>
  <c r="AG204" i="1"/>
  <c r="AG20" i="1"/>
  <c r="AG40" i="1"/>
  <c r="AG23" i="1"/>
  <c r="AG47" i="1"/>
  <c r="AG26" i="1"/>
  <c r="AG46" i="1"/>
  <c r="AG59" i="1"/>
  <c r="AG79" i="1"/>
  <c r="AG54" i="1"/>
  <c r="AG74" i="1"/>
  <c r="AG94" i="1"/>
  <c r="AG73" i="1"/>
  <c r="AG93" i="1"/>
  <c r="AG68" i="1"/>
  <c r="AG92" i="1"/>
  <c r="AG108" i="1"/>
  <c r="AG129" i="1"/>
  <c r="AG110" i="1"/>
  <c r="AG131" i="1"/>
  <c r="AG117" i="1"/>
  <c r="AG160" i="1"/>
  <c r="AG216" i="1"/>
  <c r="AG145" i="1"/>
  <c r="AG236" i="1"/>
  <c r="AG199" i="1"/>
  <c r="AG164" i="1"/>
  <c r="AG234" i="1"/>
  <c r="AG197" i="1"/>
  <c r="AG221" i="1"/>
  <c r="AG173" i="1"/>
  <c r="AG208" i="1"/>
  <c r="AG33" i="1"/>
  <c r="AG119" i="1"/>
  <c r="AG139" i="1"/>
  <c r="AG147" i="1"/>
  <c r="AG219" i="1"/>
  <c r="AG176" i="1"/>
  <c r="AG149" i="1"/>
  <c r="AG185" i="1"/>
  <c r="AG206" i="1"/>
  <c r="AG178" i="1"/>
  <c r="AG225" i="1"/>
  <c r="AG237" i="1"/>
  <c r="AG188" i="1"/>
  <c r="AG36" i="1"/>
  <c r="AG19" i="1"/>
  <c r="AG39" i="1"/>
  <c r="AG22" i="1"/>
  <c r="AG42" i="1"/>
  <c r="AG25" i="1"/>
  <c r="AG55" i="1"/>
  <c r="AG75" i="1"/>
  <c r="AG49" i="1"/>
  <c r="AG70" i="1"/>
  <c r="AG90" i="1"/>
  <c r="AG65" i="1"/>
  <c r="AG89" i="1"/>
  <c r="AG64" i="1"/>
  <c r="AG84" i="1"/>
  <c r="AG104" i="1"/>
  <c r="AG124" i="1"/>
  <c r="AG111" i="1"/>
  <c r="AG106" i="1"/>
  <c r="AG127" i="1"/>
  <c r="AG109" i="1"/>
  <c r="AG135" i="1"/>
  <c r="AG156" i="1"/>
  <c r="AG138" i="1"/>
  <c r="AG212" i="1"/>
  <c r="AG141" i="1"/>
  <c r="AG211" i="1"/>
  <c r="AG232" i="1"/>
  <c r="AG172" i="1"/>
  <c r="AG191" i="1"/>
  <c r="AG227" i="1"/>
  <c r="AG239" i="1"/>
  <c r="AG179" i="1"/>
  <c r="AG202" i="1"/>
  <c r="AG230" i="1"/>
  <c r="AG242" i="1"/>
  <c r="AG193" i="1"/>
  <c r="AG209" i="1"/>
  <c r="AG218" i="1"/>
  <c r="AG233" i="1"/>
  <c r="AG241" i="1"/>
  <c r="AG183" i="1"/>
  <c r="AG200" i="1"/>
  <c r="AG226" i="1"/>
  <c r="W46" i="3"/>
  <c r="W12" i="3"/>
  <c r="W38" i="3"/>
  <c r="W32" i="3"/>
  <c r="W55" i="3"/>
  <c r="W9" i="3"/>
  <c r="W39" i="3"/>
  <c r="W34" i="3"/>
  <c r="W19" i="3"/>
  <c r="W50" i="3"/>
  <c r="W14" i="3"/>
  <c r="W37" i="3"/>
  <c r="W17" i="3"/>
  <c r="W49" i="3"/>
  <c r="W25" i="3"/>
  <c r="W36" i="3"/>
  <c r="W8" i="3"/>
  <c r="W13" i="3"/>
  <c r="W15" i="3"/>
  <c r="W52" i="3"/>
  <c r="W7" i="3"/>
  <c r="W54" i="3"/>
  <c r="W28" i="3"/>
  <c r="W35" i="3"/>
  <c r="W20" i="3"/>
  <c r="W30" i="3"/>
  <c r="W33" i="3"/>
  <c r="W10" i="3"/>
  <c r="W48" i="3"/>
  <c r="W31" i="3"/>
  <c r="W42" i="3"/>
  <c r="W41" i="3"/>
  <c r="W43" i="3"/>
  <c r="W24" i="3"/>
  <c r="W40" i="3"/>
  <c r="W11" i="3"/>
  <c r="W45" i="3"/>
  <c r="W56" i="3"/>
  <c r="W18" i="3"/>
  <c r="W27" i="3"/>
  <c r="W23" i="3"/>
  <c r="W44" i="3"/>
  <c r="W29" i="3"/>
  <c r="W47" i="3"/>
  <c r="W21" i="3"/>
  <c r="W53" i="3"/>
  <c r="W16" i="3"/>
  <c r="W26" i="3"/>
  <c r="W51" i="3"/>
  <c r="W22" i="3"/>
  <c r="AI186" i="1" l="1"/>
  <c r="U186" i="1"/>
  <c r="S186" i="1" s="1"/>
  <c r="W186" i="1"/>
  <c r="AE42" i="3"/>
  <c r="R50" i="3"/>
  <c r="R33" i="3"/>
  <c r="W167" i="1"/>
  <c r="U167" i="1"/>
  <c r="S167" i="1" s="1"/>
  <c r="AI167" i="1"/>
  <c r="R43" i="3"/>
  <c r="AI166" i="1"/>
  <c r="U166" i="1"/>
  <c r="S166" i="1" s="1"/>
  <c r="W166" i="1"/>
  <c r="X166" i="1"/>
  <c r="AI146" i="1"/>
  <c r="U146" i="1"/>
  <c r="S146" i="1" s="1"/>
  <c r="W146" i="1"/>
  <c r="X146" i="1"/>
  <c r="AI125" i="1"/>
  <c r="U125" i="1"/>
  <c r="S125" i="1" s="1"/>
  <c r="W125" i="1"/>
  <c r="X125" i="1"/>
  <c r="S48" i="3"/>
  <c r="S10" i="3"/>
  <c r="R44" i="3"/>
  <c r="S50" i="3"/>
  <c r="R48" i="3"/>
  <c r="AD39" i="3"/>
  <c r="R21" i="3"/>
  <c r="AC38" i="3"/>
  <c r="AE25" i="3"/>
  <c r="R8" i="3"/>
  <c r="R51" i="3"/>
  <c r="AE52" i="3"/>
  <c r="R31" i="3"/>
  <c r="S53" i="3"/>
  <c r="X192" i="1"/>
  <c r="AA234" i="1"/>
  <c r="X152" i="1"/>
  <c r="AA111" i="1"/>
  <c r="AA105" i="1"/>
  <c r="X81" i="1"/>
  <c r="X76" i="1"/>
  <c r="AA74" i="1"/>
  <c r="AA72" i="1"/>
  <c r="AA47" i="1"/>
  <c r="X44" i="1"/>
  <c r="AA198" i="1"/>
  <c r="AA229" i="1"/>
  <c r="AA221" i="1"/>
  <c r="AA156" i="1"/>
  <c r="X153" i="1"/>
  <c r="T80" i="1"/>
  <c r="AA77" i="1"/>
  <c r="AA75" i="1"/>
  <c r="AA73" i="1"/>
  <c r="X72" i="1"/>
  <c r="X71" i="1"/>
  <c r="X68" i="1"/>
  <c r="X65" i="1"/>
  <c r="X61" i="1"/>
  <c r="AC52" i="3"/>
  <c r="AE45" i="3"/>
  <c r="AC40" i="3"/>
  <c r="S44" i="3"/>
  <c r="AA225" i="1"/>
  <c r="AA223" i="1"/>
  <c r="AA215" i="1"/>
  <c r="AA213" i="1"/>
  <c r="AA152" i="1"/>
  <c r="AA147" i="1"/>
  <c r="AA142" i="1"/>
  <c r="AA138" i="1"/>
  <c r="AA134" i="1"/>
  <c r="AA110" i="1"/>
  <c r="AA90" i="1"/>
  <c r="AA71" i="1"/>
  <c r="AA64" i="1"/>
  <c r="AA62" i="1"/>
  <c r="AA60" i="1"/>
  <c r="AA51" i="1"/>
  <c r="AA43" i="1"/>
  <c r="T50" i="3"/>
  <c r="AC50" i="3"/>
  <c r="AC26" i="3"/>
  <c r="AD26" i="3"/>
  <c r="AC51" i="3"/>
  <c r="T51" i="3"/>
  <c r="AE15" i="3"/>
  <c r="T15" i="3"/>
  <c r="AC15" i="3"/>
  <c r="X178" i="1"/>
  <c r="T178" i="1"/>
  <c r="AA168" i="1"/>
  <c r="AA162" i="1"/>
  <c r="T156" i="1"/>
  <c r="U156" i="1" s="1"/>
  <c r="S156" i="1" s="1"/>
  <c r="X156" i="1"/>
  <c r="AD56" i="3"/>
  <c r="AC16" i="3"/>
  <c r="AD50" i="3"/>
  <c r="AD47" i="3"/>
  <c r="AC54" i="3"/>
  <c r="T54" i="3"/>
  <c r="T86" i="1"/>
  <c r="U86" i="1" s="1"/>
  <c r="X86" i="1"/>
  <c r="AE53" i="3"/>
  <c r="AE33" i="3"/>
  <c r="AA178" i="1"/>
  <c r="W178" i="1" s="1"/>
  <c r="T238" i="1"/>
  <c r="X238" i="1"/>
  <c r="T139" i="1"/>
  <c r="X139" i="1"/>
  <c r="AA212" i="1"/>
  <c r="X157" i="1"/>
  <c r="X143" i="1"/>
  <c r="X135" i="1"/>
  <c r="AA100" i="1"/>
  <c r="AA97" i="1"/>
  <c r="X87" i="1"/>
  <c r="X171" i="1"/>
  <c r="X169" i="1"/>
  <c r="AA239" i="1"/>
  <c r="X217" i="1"/>
  <c r="AA151" i="1"/>
  <c r="W151" i="1" s="1"/>
  <c r="AA132" i="1"/>
  <c r="X110" i="1"/>
  <c r="X95" i="1"/>
  <c r="AA93" i="1"/>
  <c r="W93" i="1" s="1"/>
  <c r="X84" i="1"/>
  <c r="AA36" i="1"/>
  <c r="AA28" i="1"/>
  <c r="X25" i="1"/>
  <c r="AA19" i="1"/>
  <c r="AE54" i="3"/>
  <c r="AD43" i="3"/>
  <c r="AE37" i="3"/>
  <c r="AA209" i="1"/>
  <c r="AA206" i="1"/>
  <c r="AA193" i="1"/>
  <c r="AA188" i="1"/>
  <c r="W188" i="1" s="1"/>
  <c r="AA179" i="1"/>
  <c r="AA176" i="1"/>
  <c r="AA241" i="1"/>
  <c r="AA165" i="1"/>
  <c r="W165" i="1" s="1"/>
  <c r="AA238" i="1"/>
  <c r="AA237" i="1"/>
  <c r="AA214" i="1"/>
  <c r="X160" i="1"/>
  <c r="T157" i="1"/>
  <c r="T143" i="1"/>
  <c r="T135" i="1"/>
  <c r="AA133" i="1"/>
  <c r="W133" i="1" s="1"/>
  <c r="AA131" i="1"/>
  <c r="X127" i="1"/>
  <c r="X122" i="1"/>
  <c r="X118" i="1"/>
  <c r="AA114" i="1"/>
  <c r="AA106" i="1"/>
  <c r="X101" i="1"/>
  <c r="X98" i="1"/>
  <c r="AA96" i="1"/>
  <c r="AA94" i="1"/>
  <c r="T87" i="1"/>
  <c r="AA85" i="1"/>
  <c r="AA83" i="1"/>
  <c r="X67" i="1"/>
  <c r="X57" i="1"/>
  <c r="X56" i="1"/>
  <c r="X52" i="1"/>
  <c r="AA44" i="1"/>
  <c r="AA32" i="1"/>
  <c r="AA20" i="1"/>
  <c r="AA16" i="1"/>
  <c r="AA61" i="1"/>
  <c r="AA53" i="1"/>
  <c r="AA48" i="1"/>
  <c r="AA45" i="1"/>
  <c r="AA35" i="1"/>
  <c r="AA29" i="1"/>
  <c r="T25" i="1"/>
  <c r="U25" i="1" s="1"/>
  <c r="S25" i="1" s="1"/>
  <c r="AA21" i="1"/>
  <c r="X20" i="1"/>
  <c r="X195" i="1"/>
  <c r="T195" i="1"/>
  <c r="U195" i="1" s="1"/>
  <c r="S195" i="1" s="1"/>
  <c r="R54" i="3"/>
  <c r="X227" i="1"/>
  <c r="AA190" i="1"/>
  <c r="AA222" i="1"/>
  <c r="W222" i="1" s="1"/>
  <c r="AA207" i="1"/>
  <c r="AA203" i="1"/>
  <c r="AA196" i="1"/>
  <c r="X183" i="1"/>
  <c r="AA243" i="1"/>
  <c r="AA177" i="1"/>
  <c r="AA174" i="1"/>
  <c r="AA172" i="1"/>
  <c r="W172" i="1" s="1"/>
  <c r="AA169" i="1"/>
  <c r="X235" i="1"/>
  <c r="AA233" i="1"/>
  <c r="AA230" i="1"/>
  <c r="W230" i="1" s="1"/>
  <c r="AA219" i="1"/>
  <c r="AA217" i="1"/>
  <c r="X213" i="1"/>
  <c r="AA211" i="1"/>
  <c r="W211" i="1" s="1"/>
  <c r="X210" i="1"/>
  <c r="AA157" i="1"/>
  <c r="AA155" i="1"/>
  <c r="T153" i="1"/>
  <c r="U153" i="1" s="1"/>
  <c r="S153" i="1" s="1"/>
  <c r="AA143" i="1"/>
  <c r="AA139" i="1"/>
  <c r="AA137" i="1"/>
  <c r="AA135" i="1"/>
  <c r="W135" i="1" s="1"/>
  <c r="X131" i="1"/>
  <c r="T122" i="1"/>
  <c r="AA120" i="1"/>
  <c r="AA118" i="1"/>
  <c r="W118" i="1" s="1"/>
  <c r="AA116" i="1"/>
  <c r="X115" i="1"/>
  <c r="X109" i="1"/>
  <c r="X107" i="1"/>
  <c r="T101" i="1"/>
  <c r="AA99" i="1"/>
  <c r="X94" i="1"/>
  <c r="AA92" i="1"/>
  <c r="X91" i="1"/>
  <c r="T84" i="1"/>
  <c r="AA79" i="1"/>
  <c r="T76" i="1"/>
  <c r="U76" i="1" s="1"/>
  <c r="S76" i="1" s="1"/>
  <c r="X64" i="1"/>
  <c r="X59" i="1"/>
  <c r="X40" i="1"/>
  <c r="X28" i="1"/>
  <c r="AA201" i="1"/>
  <c r="AA195" i="1"/>
  <c r="AA194" i="1"/>
  <c r="AA184" i="1"/>
  <c r="AA180" i="1"/>
  <c r="T180" i="1"/>
  <c r="X175" i="1"/>
  <c r="X231" i="1"/>
  <c r="AA158" i="1"/>
  <c r="X148" i="1"/>
  <c r="T127" i="1"/>
  <c r="AA124" i="1"/>
  <c r="AA122" i="1"/>
  <c r="AA101" i="1"/>
  <c r="T95" i="1"/>
  <c r="X90" i="1"/>
  <c r="AA78" i="1"/>
  <c r="AA70" i="1"/>
  <c r="AA65" i="1"/>
  <c r="T65" i="1"/>
  <c r="T61" i="1"/>
  <c r="X60" i="1"/>
  <c r="AA58" i="1"/>
  <c r="X55" i="1"/>
  <c r="AA50" i="1"/>
  <c r="AA46" i="1"/>
  <c r="X45" i="1"/>
  <c r="AA41" i="1"/>
  <c r="W41" i="1" s="1"/>
  <c r="T41" i="1"/>
  <c r="AA40" i="1"/>
  <c r="X24" i="1"/>
  <c r="X21" i="1"/>
  <c r="X16" i="1"/>
  <c r="X15" i="1"/>
  <c r="AA127" i="1"/>
  <c r="AA112" i="1"/>
  <c r="W112" i="1" s="1"/>
  <c r="X111" i="1"/>
  <c r="AA107" i="1"/>
  <c r="AA95" i="1"/>
  <c r="AA204" i="1"/>
  <c r="W204" i="1" s="1"/>
  <c r="AA170" i="1"/>
  <c r="T230" i="1"/>
  <c r="U230" i="1" s="1"/>
  <c r="S230" i="1" s="1"/>
  <c r="X214" i="1"/>
  <c r="AA159" i="1"/>
  <c r="W159" i="1" s="1"/>
  <c r="X140" i="1"/>
  <c r="AA69" i="1"/>
  <c r="X63" i="1"/>
  <c r="AA57" i="1"/>
  <c r="W57" i="1" s="1"/>
  <c r="X43" i="1"/>
  <c r="AA39" i="1"/>
  <c r="AA34" i="1"/>
  <c r="AA30" i="1"/>
  <c r="W30" i="1" s="1"/>
  <c r="X29" i="1"/>
  <c r="AA25" i="1"/>
  <c r="AA23" i="1"/>
  <c r="AA15" i="1"/>
  <c r="W15" i="1" s="1"/>
  <c r="X200" i="1"/>
  <c r="T199" i="1"/>
  <c r="U199" i="1" s="1"/>
  <c r="S199" i="1" s="1"/>
  <c r="X199" i="1"/>
  <c r="T227" i="1"/>
  <c r="U227" i="1" s="1"/>
  <c r="S227" i="1" s="1"/>
  <c r="X225" i="1"/>
  <c r="X208" i="1"/>
  <c r="X207" i="1"/>
  <c r="X203" i="1"/>
  <c r="AA227" i="1"/>
  <c r="X223" i="1"/>
  <c r="AA205" i="1"/>
  <c r="AA202" i="1"/>
  <c r="W202" i="1" s="1"/>
  <c r="AA171" i="1"/>
  <c r="X242" i="1"/>
  <c r="X241" i="1"/>
  <c r="X163" i="1"/>
  <c r="X162" i="1"/>
  <c r="T217" i="1"/>
  <c r="X123" i="1"/>
  <c r="T123" i="1"/>
  <c r="U123" i="1" s="1"/>
  <c r="S123" i="1" s="1"/>
  <c r="AA208" i="1"/>
  <c r="AA200" i="1"/>
  <c r="AA192" i="1"/>
  <c r="X191" i="1"/>
  <c r="AA183" i="1"/>
  <c r="X182" i="1"/>
  <c r="AA175" i="1"/>
  <c r="X174" i="1"/>
  <c r="X173" i="1"/>
  <c r="AA164" i="1"/>
  <c r="AA231" i="1"/>
  <c r="X230" i="1"/>
  <c r="X228" i="1"/>
  <c r="X220" i="1"/>
  <c r="X218" i="1"/>
  <c r="AA154" i="1"/>
  <c r="W154" i="1" s="1"/>
  <c r="AA150" i="1"/>
  <c r="X149" i="1"/>
  <c r="X128" i="1"/>
  <c r="T128" i="1"/>
  <c r="U128" i="1" s="1"/>
  <c r="S128" i="1" s="1"/>
  <c r="AA226" i="1"/>
  <c r="X224" i="1"/>
  <c r="X204" i="1"/>
  <c r="X196" i="1"/>
  <c r="X188" i="1"/>
  <c r="X243" i="1"/>
  <c r="X177" i="1"/>
  <c r="AA242" i="1"/>
  <c r="W242" i="1" s="1"/>
  <c r="T242" i="1"/>
  <c r="AA163" i="1"/>
  <c r="X239" i="1"/>
  <c r="AA236" i="1"/>
  <c r="AA235" i="1"/>
  <c r="X234" i="1"/>
  <c r="X233" i="1"/>
  <c r="AA148" i="1"/>
  <c r="AA145" i="1"/>
  <c r="X144" i="1"/>
  <c r="X132" i="1"/>
  <c r="T132" i="1"/>
  <c r="AA199" i="1"/>
  <c r="AA197" i="1"/>
  <c r="AA191" i="1"/>
  <c r="W191" i="1" s="1"/>
  <c r="T191" i="1"/>
  <c r="AA189" i="1"/>
  <c r="AA182" i="1"/>
  <c r="T182" i="1"/>
  <c r="U182" i="1" s="1"/>
  <c r="S182" i="1" s="1"/>
  <c r="AA244" i="1"/>
  <c r="AA240" i="1"/>
  <c r="AA161" i="1"/>
  <c r="X237" i="1"/>
  <c r="AA220" i="1"/>
  <c r="AA218" i="1"/>
  <c r="AA141" i="1"/>
  <c r="X136" i="1"/>
  <c r="T136" i="1"/>
  <c r="X119" i="1"/>
  <c r="T119" i="1"/>
  <c r="X117" i="1"/>
  <c r="AA87" i="1"/>
  <c r="X70" i="1"/>
  <c r="AA63" i="1"/>
  <c r="X62" i="1"/>
  <c r="AA59" i="1"/>
  <c r="X58" i="1"/>
  <c r="AA55" i="1"/>
  <c r="X54" i="1"/>
  <c r="X53" i="1"/>
  <c r="X49" i="1"/>
  <c r="X36" i="1"/>
  <c r="X35" i="1"/>
  <c r="X33" i="1"/>
  <c r="AA22" i="1"/>
  <c r="T20" i="1"/>
  <c r="AA18" i="1"/>
  <c r="W18" i="1" s="1"/>
  <c r="T16" i="1"/>
  <c r="AA149" i="1"/>
  <c r="AA140" i="1"/>
  <c r="AA136" i="1"/>
  <c r="W136" i="1" s="1"/>
  <c r="AA128" i="1"/>
  <c r="AA123" i="1"/>
  <c r="AA119" i="1"/>
  <c r="X114" i="1"/>
  <c r="X113" i="1"/>
  <c r="AA108" i="1"/>
  <c r="X106" i="1"/>
  <c r="AA103" i="1"/>
  <c r="W103" i="1" s="1"/>
  <c r="X102" i="1"/>
  <c r="X100" i="1"/>
  <c r="AA98" i="1"/>
  <c r="X83" i="1"/>
  <c r="AA80" i="1"/>
  <c r="X75" i="1"/>
  <c r="T68" i="1"/>
  <c r="AA67" i="1"/>
  <c r="W67" i="1" s="1"/>
  <c r="T67" i="1"/>
  <c r="X66" i="1"/>
  <c r="X48" i="1"/>
  <c r="X47" i="1"/>
  <c r="AA42" i="1"/>
  <c r="T39" i="1"/>
  <c r="AA37" i="1"/>
  <c r="T37" i="1"/>
  <c r="U37" i="1" s="1"/>
  <c r="S37" i="1" s="1"/>
  <c r="X32" i="1"/>
  <c r="X31" i="1"/>
  <c r="AA14" i="1"/>
  <c r="X104" i="1"/>
  <c r="T70" i="1"/>
  <c r="AA49" i="1"/>
  <c r="AA38" i="1"/>
  <c r="AA33" i="1"/>
  <c r="W33" i="1" s="1"/>
  <c r="X103" i="1"/>
  <c r="AA84" i="1"/>
  <c r="X79" i="1"/>
  <c r="AA76" i="1"/>
  <c r="W76" i="1" s="1"/>
  <c r="AA52" i="1"/>
  <c r="X39" i="1"/>
  <c r="AI243" i="1"/>
  <c r="U226" i="1"/>
  <c r="S226" i="1" s="1"/>
  <c r="AI233" i="1"/>
  <c r="U204" i="1"/>
  <c r="S204" i="1" s="1"/>
  <c r="U224" i="1"/>
  <c r="S224" i="1" s="1"/>
  <c r="AI241" i="1"/>
  <c r="AI237" i="1"/>
  <c r="U208" i="1"/>
  <c r="S208" i="1" s="1"/>
  <c r="AI229" i="1"/>
  <c r="U200" i="1"/>
  <c r="S200" i="1" s="1"/>
  <c r="AI225" i="1"/>
  <c r="U196" i="1"/>
  <c r="S196" i="1" s="1"/>
  <c r="AI221" i="1"/>
  <c r="U192" i="1"/>
  <c r="S192" i="1" s="1"/>
  <c r="AI217" i="1"/>
  <c r="U188" i="1"/>
  <c r="S188" i="1" s="1"/>
  <c r="AI213" i="1"/>
  <c r="U183" i="1"/>
  <c r="S183" i="1" s="1"/>
  <c r="AI209" i="1"/>
  <c r="U243" i="1"/>
  <c r="S243" i="1" s="1"/>
  <c r="AI205" i="1"/>
  <c r="U177" i="1"/>
  <c r="S177" i="1" s="1"/>
  <c r="AI201" i="1"/>
  <c r="U173" i="1"/>
  <c r="S173" i="1" s="1"/>
  <c r="AI197" i="1"/>
  <c r="U241" i="1"/>
  <c r="S241" i="1" s="1"/>
  <c r="AI193" i="1"/>
  <c r="U168" i="1"/>
  <c r="S168" i="1" s="1"/>
  <c r="AI189" i="1"/>
  <c r="U162" i="1"/>
  <c r="S162" i="1" s="1"/>
  <c r="AI184" i="1"/>
  <c r="U237" i="1"/>
  <c r="S237" i="1" s="1"/>
  <c r="AI180" i="1"/>
  <c r="U233" i="1"/>
  <c r="S233" i="1" s="1"/>
  <c r="AI176" i="1"/>
  <c r="AI175" i="1"/>
  <c r="U228" i="1"/>
  <c r="S228" i="1" s="1"/>
  <c r="AI174" i="1"/>
  <c r="U221" i="1"/>
  <c r="S221" i="1" s="1"/>
  <c r="AI171" i="1"/>
  <c r="U218" i="1"/>
  <c r="S218" i="1" s="1"/>
  <c r="AI157" i="1"/>
  <c r="U157" i="1"/>
  <c r="S157" i="1" s="1"/>
  <c r="AI140" i="1"/>
  <c r="U140" i="1"/>
  <c r="S140" i="1" s="1"/>
  <c r="AI242" i="1"/>
  <c r="AI238" i="1"/>
  <c r="AI234" i="1"/>
  <c r="AI230" i="1"/>
  <c r="AI226" i="1"/>
  <c r="U197" i="1"/>
  <c r="S197" i="1" s="1"/>
  <c r="AI222" i="1"/>
  <c r="U193" i="1"/>
  <c r="S193" i="1" s="1"/>
  <c r="AI218" i="1"/>
  <c r="U189" i="1"/>
  <c r="S189" i="1" s="1"/>
  <c r="AI214" i="1"/>
  <c r="U184" i="1"/>
  <c r="S184" i="1" s="1"/>
  <c r="AI210" i="1"/>
  <c r="U244" i="1"/>
  <c r="S244" i="1" s="1"/>
  <c r="AI206" i="1"/>
  <c r="U178" i="1"/>
  <c r="S178" i="1" s="1"/>
  <c r="AI202" i="1"/>
  <c r="U174" i="1"/>
  <c r="S174" i="1" s="1"/>
  <c r="AI198" i="1"/>
  <c r="U242" i="1"/>
  <c r="S242" i="1" s="1"/>
  <c r="AI194" i="1"/>
  <c r="U169" i="1"/>
  <c r="S169" i="1" s="1"/>
  <c r="AI190" i="1"/>
  <c r="U163" i="1"/>
  <c r="S163" i="1" s="1"/>
  <c r="AI185" i="1"/>
  <c r="U238" i="1"/>
  <c r="S238" i="1" s="1"/>
  <c r="AI181" i="1"/>
  <c r="U234" i="1"/>
  <c r="S234" i="1" s="1"/>
  <c r="AI177" i="1"/>
  <c r="AI153" i="1"/>
  <c r="AI136" i="1"/>
  <c r="U136" i="1"/>
  <c r="S136" i="1" s="1"/>
  <c r="U222" i="1"/>
  <c r="S222" i="1" s="1"/>
  <c r="AI239" i="1"/>
  <c r="U206" i="1"/>
  <c r="S206" i="1" s="1"/>
  <c r="AI235" i="1"/>
  <c r="U202" i="1"/>
  <c r="S202" i="1" s="1"/>
  <c r="AI231" i="1"/>
  <c r="U198" i="1"/>
  <c r="S198" i="1" s="1"/>
  <c r="AI227" i="1"/>
  <c r="U194" i="1"/>
  <c r="S194" i="1" s="1"/>
  <c r="AI223" i="1"/>
  <c r="U190" i="1"/>
  <c r="S190" i="1" s="1"/>
  <c r="AI219" i="1"/>
  <c r="U185" i="1"/>
  <c r="S185" i="1" s="1"/>
  <c r="AI215" i="1"/>
  <c r="U181" i="1"/>
  <c r="S181" i="1" s="1"/>
  <c r="AI211" i="1"/>
  <c r="U179" i="1"/>
  <c r="S179" i="1" s="1"/>
  <c r="AI207" i="1"/>
  <c r="U175" i="1"/>
  <c r="S175" i="1" s="1"/>
  <c r="AI203" i="1"/>
  <c r="U171" i="1"/>
  <c r="S171" i="1" s="1"/>
  <c r="AI199" i="1"/>
  <c r="U170" i="1"/>
  <c r="S170" i="1" s="1"/>
  <c r="AI195" i="1"/>
  <c r="U164" i="1"/>
  <c r="S164" i="1" s="1"/>
  <c r="AI191" i="1"/>
  <c r="U239" i="1"/>
  <c r="S239" i="1" s="1"/>
  <c r="AI187" i="1"/>
  <c r="U235" i="1"/>
  <c r="S235" i="1" s="1"/>
  <c r="AI182" i="1"/>
  <c r="U231" i="1"/>
  <c r="S231" i="1" s="1"/>
  <c r="AI178" i="1"/>
  <c r="AI165" i="1"/>
  <c r="U214" i="1"/>
  <c r="S214" i="1" s="1"/>
  <c r="AI149" i="1"/>
  <c r="U149" i="1"/>
  <c r="S149" i="1" s="1"/>
  <c r="AI244" i="1"/>
  <c r="U223" i="1"/>
  <c r="S223" i="1" s="1"/>
  <c r="AI240" i="1"/>
  <c r="U207" i="1"/>
  <c r="S207" i="1" s="1"/>
  <c r="AI236" i="1"/>
  <c r="U203" i="1"/>
  <c r="S203" i="1" s="1"/>
  <c r="AI232" i="1"/>
  <c r="AI228" i="1"/>
  <c r="AI224" i="1"/>
  <c r="U191" i="1"/>
  <c r="S191" i="1" s="1"/>
  <c r="AI220" i="1"/>
  <c r="U187" i="1"/>
  <c r="S187" i="1"/>
  <c r="AI216" i="1"/>
  <c r="AI212" i="1"/>
  <c r="U180" i="1"/>
  <c r="S180" i="1" s="1"/>
  <c r="AI208" i="1"/>
  <c r="AI204" i="1"/>
  <c r="AI200" i="1"/>
  <c r="AI196" i="1"/>
  <c r="AI192" i="1"/>
  <c r="AI188" i="1"/>
  <c r="AI183" i="1"/>
  <c r="AI179" i="1"/>
  <c r="AI161" i="1"/>
  <c r="U210" i="1"/>
  <c r="S210" i="1" s="1"/>
  <c r="AI144" i="1"/>
  <c r="U144" i="1"/>
  <c r="S144" i="1" s="1"/>
  <c r="AI132" i="1"/>
  <c r="U132" i="1"/>
  <c r="S132" i="1" s="1"/>
  <c r="AI172" i="1"/>
  <c r="AI168" i="1"/>
  <c r="AI162" i="1"/>
  <c r="AI158" i="1"/>
  <c r="AI154" i="1"/>
  <c r="AI150" i="1"/>
  <c r="AI145" i="1"/>
  <c r="AI141" i="1"/>
  <c r="AI137" i="1"/>
  <c r="AI133" i="1"/>
  <c r="U133" i="1"/>
  <c r="S133" i="1" s="1"/>
  <c r="U220" i="1"/>
  <c r="S220" i="1" s="1"/>
  <c r="AI173" i="1"/>
  <c r="U216" i="1"/>
  <c r="S216" i="1" s="1"/>
  <c r="AI169" i="1"/>
  <c r="W216" i="1"/>
  <c r="U212" i="1"/>
  <c r="S212" i="1" s="1"/>
  <c r="W212" i="1"/>
  <c r="AI163" i="1"/>
  <c r="U159" i="1"/>
  <c r="S159" i="1" s="1"/>
  <c r="AI159" i="1"/>
  <c r="U155" i="1"/>
  <c r="S155" i="1" s="1"/>
  <c r="AI155" i="1"/>
  <c r="W155" i="1"/>
  <c r="U151" i="1"/>
  <c r="S151" i="1" s="1"/>
  <c r="AI151" i="1"/>
  <c r="U147" i="1"/>
  <c r="S147" i="1" s="1"/>
  <c r="W147" i="1"/>
  <c r="AI147" i="1"/>
  <c r="U142" i="1"/>
  <c r="S142" i="1" s="1"/>
  <c r="AI142" i="1"/>
  <c r="U138" i="1"/>
  <c r="AI138" i="1"/>
  <c r="U134" i="1"/>
  <c r="S134" i="1" s="1"/>
  <c r="AI134" i="1"/>
  <c r="U217" i="1"/>
  <c r="S217" i="1" s="1"/>
  <c r="AI170" i="1"/>
  <c r="U213" i="1"/>
  <c r="S213" i="1" s="1"/>
  <c r="AI164" i="1"/>
  <c r="U160" i="1"/>
  <c r="S160" i="1" s="1"/>
  <c r="AI160" i="1"/>
  <c r="AI156" i="1"/>
  <c r="U152" i="1"/>
  <c r="S152" i="1" s="1"/>
  <c r="AI152" i="1"/>
  <c r="U148" i="1"/>
  <c r="S148" i="1" s="1"/>
  <c r="AI148" i="1"/>
  <c r="U143" i="1"/>
  <c r="S143" i="1" s="1"/>
  <c r="AI143" i="1"/>
  <c r="U139" i="1"/>
  <c r="S139" i="1" s="1"/>
  <c r="AI139" i="1"/>
  <c r="U135" i="1"/>
  <c r="S135" i="1" s="1"/>
  <c r="AI135" i="1"/>
  <c r="U130" i="1"/>
  <c r="S130" i="1" s="1"/>
  <c r="AI130" i="1"/>
  <c r="AI126" i="1"/>
  <c r="U126" i="1"/>
  <c r="S126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8" i="1"/>
  <c r="U98" i="1"/>
  <c r="S98" i="1" s="1"/>
  <c r="U131" i="1"/>
  <c r="S131" i="1" s="1"/>
  <c r="AI131" i="1"/>
  <c r="AI127" i="1"/>
  <c r="U127" i="1"/>
  <c r="S127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128" i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129" i="1"/>
  <c r="S129" i="1" s="1"/>
  <c r="AI129" i="1"/>
  <c r="U124" i="1"/>
  <c r="S124" i="1" s="1"/>
  <c r="AI124" i="1"/>
  <c r="U120" i="1"/>
  <c r="S120" i="1" s="1"/>
  <c r="AI120" i="1"/>
  <c r="AI116" i="1"/>
  <c r="AI112" i="1"/>
  <c r="AI108" i="1"/>
  <c r="U104" i="1"/>
  <c r="S104" i="1" s="1"/>
  <c r="AI104" i="1"/>
  <c r="U100" i="1"/>
  <c r="S100" i="1" s="1"/>
  <c r="AI100" i="1"/>
  <c r="AI95" i="1"/>
  <c r="U95" i="1"/>
  <c r="S95" i="1" s="1"/>
  <c r="AI96" i="1"/>
  <c r="AI92" i="1"/>
  <c r="U92" i="1"/>
  <c r="S92" i="1" s="1"/>
  <c r="AI88" i="1"/>
  <c r="U88" i="1"/>
  <c r="S88" i="1" s="1"/>
  <c r="AI84" i="1"/>
  <c r="U84" i="1"/>
  <c r="S84" i="1" s="1"/>
  <c r="AI80" i="1"/>
  <c r="U80" i="1"/>
  <c r="S80" i="1" s="1"/>
  <c r="AI76" i="1"/>
  <c r="AI72" i="1"/>
  <c r="U72" i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97" i="1"/>
  <c r="U93" i="1"/>
  <c r="S93" i="1" s="1"/>
  <c r="AI93" i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U94" i="1"/>
  <c r="S94" i="1" s="1"/>
  <c r="AI94" i="1"/>
  <c r="U90" i="1"/>
  <c r="S90" i="1" s="1"/>
  <c r="AI90" i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AI54" i="1"/>
  <c r="U52" i="1"/>
  <c r="S52" i="1" s="1"/>
  <c r="AI52" i="1"/>
  <c r="AI49" i="1"/>
  <c r="U49" i="1"/>
  <c r="S49" i="1" s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5" i="1"/>
  <c r="U45" i="1"/>
  <c r="S45" i="1" s="1"/>
  <c r="AI41" i="1"/>
  <c r="U41" i="1"/>
  <c r="S41" i="1" s="1"/>
  <c r="AI37" i="1"/>
  <c r="AI33" i="1"/>
  <c r="U33" i="1"/>
  <c r="S33" i="1" s="1"/>
  <c r="AI29" i="1"/>
  <c r="U29" i="1"/>
  <c r="S29" i="1" s="1"/>
  <c r="AI25" i="1"/>
  <c r="AI21" i="1"/>
  <c r="U21" i="1"/>
  <c r="S21" i="1" s="1"/>
  <c r="AI17" i="1"/>
  <c r="U17" i="1"/>
  <c r="S17" i="1" s="1"/>
  <c r="AI50" i="1"/>
  <c r="AI46" i="1"/>
  <c r="AI42" i="1"/>
  <c r="AI38" i="1"/>
  <c r="AI34" i="1"/>
  <c r="AI30" i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W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6" i="1"/>
  <c r="W206" i="1"/>
  <c r="W224" i="1"/>
  <c r="W209" i="1"/>
  <c r="W207" i="1"/>
  <c r="T205" i="1"/>
  <c r="U205" i="1" s="1"/>
  <c r="S205" i="1" s="1"/>
  <c r="X205" i="1"/>
  <c r="W199" i="1"/>
  <c r="W197" i="1"/>
  <c r="W196" i="1"/>
  <c r="W189" i="1"/>
  <c r="W182" i="1"/>
  <c r="W244" i="1"/>
  <c r="W243" i="1"/>
  <c r="W179" i="1"/>
  <c r="W174" i="1"/>
  <c r="W241" i="1"/>
  <c r="W240" i="1"/>
  <c r="W170" i="1"/>
  <c r="W162" i="1"/>
  <c r="W161" i="1"/>
  <c r="W239" i="1"/>
  <c r="W221" i="1"/>
  <c r="W220" i="1"/>
  <c r="W219" i="1"/>
  <c r="W227" i="1"/>
  <c r="W225" i="1"/>
  <c r="T225" i="1"/>
  <c r="U225" i="1" s="1"/>
  <c r="S225" i="1" s="1"/>
  <c r="W223" i="1"/>
  <c r="T209" i="1"/>
  <c r="U209" i="1" s="1"/>
  <c r="S209" i="1" s="1"/>
  <c r="X209" i="1"/>
  <c r="W208" i="1"/>
  <c r="W198" i="1"/>
  <c r="W190" i="1"/>
  <c r="W181" i="1"/>
  <c r="W173" i="1"/>
  <c r="W171" i="1"/>
  <c r="W169" i="1"/>
  <c r="W234" i="1"/>
  <c r="W229" i="1"/>
  <c r="W201" i="1"/>
  <c r="W200" i="1"/>
  <c r="W195" i="1"/>
  <c r="W193" i="1"/>
  <c r="W192" i="1"/>
  <c r="W187" i="1"/>
  <c r="W184" i="1"/>
  <c r="W183" i="1"/>
  <c r="W180" i="1"/>
  <c r="W177" i="1"/>
  <c r="W176" i="1"/>
  <c r="W175" i="1"/>
  <c r="W168" i="1"/>
  <c r="W164" i="1"/>
  <c r="W238" i="1"/>
  <c r="W233" i="1"/>
  <c r="W232" i="1"/>
  <c r="W231" i="1"/>
  <c r="W142" i="1"/>
  <c r="W138" i="1"/>
  <c r="S51" i="3"/>
  <c r="S52" i="3"/>
  <c r="W205" i="1"/>
  <c r="W203" i="1"/>
  <c r="T201" i="1"/>
  <c r="U201" i="1" s="1"/>
  <c r="S201" i="1" s="1"/>
  <c r="X201" i="1"/>
  <c r="W194" i="1"/>
  <c r="W185" i="1"/>
  <c r="W163" i="1"/>
  <c r="W237" i="1"/>
  <c r="W236" i="1"/>
  <c r="W235" i="1"/>
  <c r="X176" i="1"/>
  <c r="T176" i="1"/>
  <c r="U176" i="1" s="1"/>
  <c r="S176" i="1" s="1"/>
  <c r="X172" i="1"/>
  <c r="T172" i="1"/>
  <c r="U172" i="1" s="1"/>
  <c r="S172" i="1" s="1"/>
  <c r="X240" i="1"/>
  <c r="T240" i="1"/>
  <c r="U240" i="1" s="1"/>
  <c r="S240" i="1" s="1"/>
  <c r="X165" i="1"/>
  <c r="T165" i="1"/>
  <c r="U165" i="1" s="1"/>
  <c r="S165" i="1" s="1"/>
  <c r="X161" i="1"/>
  <c r="T161" i="1"/>
  <c r="U161" i="1" s="1"/>
  <c r="S161" i="1" s="1"/>
  <c r="X236" i="1"/>
  <c r="T236" i="1"/>
  <c r="U236" i="1" s="1"/>
  <c r="S236" i="1" s="1"/>
  <c r="X232" i="1"/>
  <c r="T232" i="1"/>
  <c r="U232" i="1" s="1"/>
  <c r="S232" i="1" s="1"/>
  <c r="W215" i="1"/>
  <c r="W214" i="1"/>
  <c r="T154" i="1"/>
  <c r="U154" i="1" s="1"/>
  <c r="S154" i="1" s="1"/>
  <c r="X154" i="1"/>
  <c r="W152" i="1"/>
  <c r="W150" i="1"/>
  <c r="W149" i="1"/>
  <c r="T137" i="1"/>
  <c r="U137" i="1" s="1"/>
  <c r="S137" i="1" s="1"/>
  <c r="X137" i="1"/>
  <c r="X221" i="1"/>
  <c r="T219" i="1"/>
  <c r="U219" i="1" s="1"/>
  <c r="S219" i="1" s="1"/>
  <c r="X219" i="1"/>
  <c r="X216" i="1"/>
  <c r="T215" i="1"/>
  <c r="U215" i="1" s="1"/>
  <c r="S215" i="1" s="1"/>
  <c r="X215" i="1"/>
  <c r="W213" i="1"/>
  <c r="AA210" i="1"/>
  <c r="W210" i="1" s="1"/>
  <c r="T150" i="1"/>
  <c r="U150" i="1" s="1"/>
  <c r="S150" i="1" s="1"/>
  <c r="X150" i="1"/>
  <c r="W148" i="1"/>
  <c r="W145" i="1"/>
  <c r="AA144" i="1"/>
  <c r="W144" i="1" s="1"/>
  <c r="X197" i="1"/>
  <c r="X193" i="1"/>
  <c r="X189" i="1"/>
  <c r="X184" i="1"/>
  <c r="X244" i="1"/>
  <c r="W228" i="1"/>
  <c r="W218" i="1"/>
  <c r="T211" i="1"/>
  <c r="U211" i="1" s="1"/>
  <c r="S211" i="1" s="1"/>
  <c r="X211" i="1"/>
  <c r="W160" i="1"/>
  <c r="W158" i="1"/>
  <c r="W157" i="1"/>
  <c r="T145" i="1"/>
  <c r="U145" i="1" s="1"/>
  <c r="S145" i="1" s="1"/>
  <c r="X145" i="1"/>
  <c r="W143" i="1"/>
  <c r="W141" i="1"/>
  <c r="W140" i="1"/>
  <c r="W134" i="1"/>
  <c r="W132" i="1"/>
  <c r="W130" i="1"/>
  <c r="X226" i="1"/>
  <c r="X222" i="1"/>
  <c r="X206" i="1"/>
  <c r="X202" i="1"/>
  <c r="X198" i="1"/>
  <c r="X194" i="1"/>
  <c r="X190" i="1"/>
  <c r="X185" i="1"/>
  <c r="X181" i="1"/>
  <c r="X179" i="1"/>
  <c r="X170" i="1"/>
  <c r="X164" i="1"/>
  <c r="T229" i="1"/>
  <c r="U229" i="1" s="1"/>
  <c r="S229" i="1" s="1"/>
  <c r="X229" i="1"/>
  <c r="W217" i="1"/>
  <c r="T158" i="1"/>
  <c r="U158" i="1" s="1"/>
  <c r="S158" i="1" s="1"/>
  <c r="X158" i="1"/>
  <c r="W156" i="1"/>
  <c r="AA153" i="1"/>
  <c r="W153" i="1" s="1"/>
  <c r="T141" i="1"/>
  <c r="U141" i="1" s="1"/>
  <c r="S141" i="1" s="1"/>
  <c r="X141" i="1"/>
  <c r="W139" i="1"/>
  <c r="W137" i="1"/>
  <c r="W109" i="1"/>
  <c r="W107" i="1"/>
  <c r="W106" i="1"/>
  <c r="W105" i="1"/>
  <c r="W100" i="1"/>
  <c r="W99" i="1"/>
  <c r="W97" i="1"/>
  <c r="W128" i="1"/>
  <c r="W127" i="1"/>
  <c r="W123" i="1"/>
  <c r="W122" i="1"/>
  <c r="W119" i="1"/>
  <c r="W108" i="1"/>
  <c r="W104" i="1"/>
  <c r="W98" i="1"/>
  <c r="X133" i="1"/>
  <c r="W131" i="1"/>
  <c r="W129" i="1"/>
  <c r="W126" i="1"/>
  <c r="W124" i="1"/>
  <c r="W121" i="1"/>
  <c r="W120" i="1"/>
  <c r="W117" i="1"/>
  <c r="W115" i="1"/>
  <c r="W114" i="1"/>
  <c r="W102" i="1"/>
  <c r="X212" i="1"/>
  <c r="X159" i="1"/>
  <c r="X155" i="1"/>
  <c r="X151" i="1"/>
  <c r="X142" i="1"/>
  <c r="X138" i="1"/>
  <c r="X134" i="1"/>
  <c r="W116" i="1"/>
  <c r="W113" i="1"/>
  <c r="W111" i="1"/>
  <c r="W110" i="1"/>
  <c r="W101" i="1"/>
  <c r="X129" i="1"/>
  <c r="X124" i="1"/>
  <c r="X120" i="1"/>
  <c r="X116" i="1"/>
  <c r="T116" i="1"/>
  <c r="U116" i="1" s="1"/>
  <c r="S116" i="1" s="1"/>
  <c r="X112" i="1"/>
  <c r="T112" i="1"/>
  <c r="U112" i="1" s="1"/>
  <c r="S112" i="1" s="1"/>
  <c r="X108" i="1"/>
  <c r="T108" i="1"/>
  <c r="U108" i="1" s="1"/>
  <c r="S108" i="1" s="1"/>
  <c r="T97" i="1"/>
  <c r="U97" i="1" s="1"/>
  <c r="S97" i="1" s="1"/>
  <c r="X97" i="1"/>
  <c r="W92" i="1"/>
  <c r="W89" i="1"/>
  <c r="W88" i="1"/>
  <c r="W87" i="1"/>
  <c r="W85" i="1"/>
  <c r="W81" i="1"/>
  <c r="W79" i="1"/>
  <c r="W77" i="1"/>
  <c r="W71" i="1"/>
  <c r="W63" i="1"/>
  <c r="W59" i="1"/>
  <c r="W55" i="1"/>
  <c r="X130" i="1"/>
  <c r="X121" i="1"/>
  <c r="W96" i="1"/>
  <c r="W95" i="1"/>
  <c r="W80" i="1"/>
  <c r="W78" i="1"/>
  <c r="W72" i="1"/>
  <c r="W70" i="1"/>
  <c r="W62" i="1"/>
  <c r="W58" i="1"/>
  <c r="W54" i="1"/>
  <c r="T96" i="1"/>
  <c r="U96" i="1" s="1"/>
  <c r="S96" i="1" s="1"/>
  <c r="X96" i="1"/>
  <c r="W94" i="1"/>
  <c r="W83" i="1"/>
  <c r="W75" i="1"/>
  <c r="W73" i="1"/>
  <c r="W69" i="1"/>
  <c r="W68" i="1"/>
  <c r="W66" i="1"/>
  <c r="W61" i="1"/>
  <c r="W53" i="1"/>
  <c r="W91" i="1"/>
  <c r="W90" i="1"/>
  <c r="W86" i="1"/>
  <c r="W84" i="1"/>
  <c r="W82" i="1"/>
  <c r="W74" i="1"/>
  <c r="W65" i="1"/>
  <c r="W64" i="1"/>
  <c r="W60" i="1"/>
  <c r="W56" i="1"/>
  <c r="W52" i="1"/>
  <c r="W50" i="1"/>
  <c r="W49" i="1"/>
  <c r="W46" i="1"/>
  <c r="W43" i="1"/>
  <c r="W40" i="1"/>
  <c r="W27" i="1"/>
  <c r="W26" i="1"/>
  <c r="W23" i="1"/>
  <c r="W22" i="1"/>
  <c r="W19" i="1"/>
  <c r="X92" i="1"/>
  <c r="X88" i="1"/>
  <c r="X51" i="1"/>
  <c r="T50" i="1"/>
  <c r="U50" i="1" s="1"/>
  <c r="S50" i="1" s="1"/>
  <c r="X50" i="1"/>
  <c r="W48" i="1"/>
  <c r="W42" i="1"/>
  <c r="W39" i="1"/>
  <c r="W37" i="1"/>
  <c r="W36" i="1"/>
  <c r="W14" i="1"/>
  <c r="X93" i="1"/>
  <c r="X89" i="1"/>
  <c r="X85" i="1"/>
  <c r="X77" i="1"/>
  <c r="X73" i="1"/>
  <c r="X69" i="1"/>
  <c r="W38" i="1"/>
  <c r="W35" i="1"/>
  <c r="W32" i="1"/>
  <c r="X78" i="1"/>
  <c r="X74" i="1"/>
  <c r="W47" i="1"/>
  <c r="W45" i="1"/>
  <c r="W44" i="1"/>
  <c r="W34" i="1"/>
  <c r="W31" i="1"/>
  <c r="W29" i="1"/>
  <c r="W28" i="1"/>
  <c r="W25" i="1"/>
  <c r="W24" i="1"/>
  <c r="W21" i="1"/>
  <c r="W20" i="1"/>
  <c r="W17" i="1"/>
  <c r="W16" i="1"/>
  <c r="X46" i="1"/>
  <c r="T46" i="1"/>
  <c r="U46" i="1" s="1"/>
  <c r="S46" i="1" s="1"/>
  <c r="X42" i="1"/>
  <c r="T42" i="1"/>
  <c r="U42" i="1" s="1"/>
  <c r="S42" i="1" s="1"/>
  <c r="X38" i="1"/>
  <c r="T38" i="1"/>
  <c r="U38" i="1" s="1"/>
  <c r="S38" i="1" s="1"/>
  <c r="X34" i="1"/>
  <c r="T34" i="1"/>
  <c r="U34" i="1" s="1"/>
  <c r="S34" i="1" s="1"/>
  <c r="X30" i="1"/>
  <c r="T30" i="1"/>
  <c r="U30" i="1" s="1"/>
  <c r="S30" i="1" s="1"/>
  <c r="X26" i="1"/>
  <c r="X22" i="1"/>
  <c r="X18" i="1"/>
  <c r="X27" i="1"/>
  <c r="X23" i="1"/>
  <c r="X19" i="1"/>
  <c r="AE50" i="3"/>
  <c r="AD35" i="3"/>
  <c r="AE34" i="3"/>
  <c r="AD27" i="3"/>
  <c r="AE26" i="3"/>
  <c r="AD19" i="3"/>
  <c r="AE18" i="3"/>
  <c r="AE11" i="3"/>
  <c r="AC28" i="3"/>
  <c r="AE49" i="3"/>
  <c r="AE41" i="3"/>
  <c r="AD17" i="3"/>
  <c r="AD9" i="3"/>
  <c r="AC32" i="3"/>
  <c r="AD31" i="3"/>
  <c r="AC9" i="3"/>
  <c r="AD24" i="3"/>
  <c r="T44" i="3"/>
  <c r="AC35" i="3"/>
  <c r="AD16" i="3"/>
  <c r="AD11" i="3"/>
  <c r="AE8" i="3"/>
  <c r="AD49" i="3"/>
  <c r="T49" i="3"/>
  <c r="AC30" i="3"/>
  <c r="AD41" i="3"/>
  <c r="T41" i="3"/>
  <c r="AC14" i="3"/>
  <c r="T31" i="3"/>
  <c r="AC20" i="3"/>
  <c r="AD30" i="3"/>
  <c r="AE29" i="3"/>
  <c r="T19" i="3"/>
  <c r="AC21" i="3"/>
  <c r="AD23" i="3"/>
  <c r="AD20" i="3"/>
  <c r="AE19" i="3"/>
  <c r="AD13" i="3"/>
  <c r="AE12" i="3"/>
  <c r="AE38" i="3"/>
  <c r="AD37" i="3"/>
  <c r="T23" i="3"/>
  <c r="AC46" i="3"/>
  <c r="AC29" i="3"/>
  <c r="AE23" i="3"/>
  <c r="AD22" i="3"/>
  <c r="T26" i="3"/>
  <c r="AC45" i="3"/>
  <c r="AC43" i="3"/>
  <c r="AE22" i="3"/>
  <c r="AE48" i="3"/>
  <c r="AE46" i="3"/>
  <c r="AD45" i="3"/>
  <c r="T17" i="3"/>
  <c r="AC36" i="3"/>
  <c r="AC47" i="3"/>
  <c r="AE30" i="3"/>
  <c r="AD29" i="3"/>
  <c r="T13" i="3"/>
  <c r="AC7" i="3"/>
  <c r="AC11" i="3"/>
  <c r="AE16" i="3"/>
  <c r="AD15" i="3"/>
  <c r="T42" i="3"/>
  <c r="AC25" i="3"/>
  <c r="Y11" i="3"/>
  <c r="Y52" i="3"/>
  <c r="Y49" i="3"/>
  <c r="Y32" i="3"/>
  <c r="Y40" i="3"/>
  <c r="Y28" i="3"/>
  <c r="Y51" i="3"/>
  <c r="Y47" i="3"/>
  <c r="Y24" i="3"/>
  <c r="Y50" i="3"/>
  <c r="Y29" i="3"/>
  <c r="Y43" i="3"/>
  <c r="Y15" i="3"/>
  <c r="Y9" i="3"/>
  <c r="Y38" i="3"/>
  <c r="Y41" i="3"/>
  <c r="Y19" i="3"/>
  <c r="Y26" i="3"/>
  <c r="Y44" i="3"/>
  <c r="Y42" i="3"/>
  <c r="Y54" i="3"/>
  <c r="Y17" i="3"/>
  <c r="Y23" i="3"/>
  <c r="Y31" i="3"/>
  <c r="Y13" i="3"/>
  <c r="Y16" i="3"/>
  <c r="Y27" i="3"/>
  <c r="Y48" i="3"/>
  <c r="Y34" i="3"/>
  <c r="Y37" i="3"/>
  <c r="Y12" i="3"/>
  <c r="Y10" i="3"/>
  <c r="Y8" i="3"/>
  <c r="Y55" i="3"/>
  <c r="Y18" i="3"/>
  <c r="Y33" i="3"/>
  <c r="Y39" i="3"/>
  <c r="Y53" i="3"/>
  <c r="Y56" i="3"/>
  <c r="Y30" i="3"/>
  <c r="Y36" i="3"/>
  <c r="Y14" i="3"/>
  <c r="Y46" i="3"/>
  <c r="Y20" i="3"/>
  <c r="Y7" i="3"/>
  <c r="Y21" i="3"/>
  <c r="Y45" i="3"/>
  <c r="Y35" i="3"/>
  <c r="Y25" i="3"/>
  <c r="AC27" i="3"/>
  <c r="AD52" i="3"/>
  <c r="AC37" i="3"/>
  <c r="AD40" i="3"/>
  <c r="T37" i="3"/>
  <c r="AE40" i="3"/>
  <c r="AC55" i="3"/>
  <c r="T55" i="3"/>
  <c r="AC53" i="3"/>
  <c r="AD10" i="3"/>
  <c r="T53" i="3"/>
  <c r="AE10" i="3"/>
  <c r="T16" i="3"/>
  <c r="T27" i="3"/>
  <c r="AC48" i="3"/>
  <c r="AD48" i="3"/>
  <c r="AC12" i="3"/>
  <c r="AD36" i="3"/>
  <c r="AE36" i="3"/>
  <c r="T12" i="3"/>
  <c r="AC18" i="3"/>
  <c r="AD21" i="3"/>
  <c r="T18" i="3"/>
  <c r="AE21" i="3"/>
  <c r="T24" i="3"/>
  <c r="AE55" i="3"/>
  <c r="AD55" i="3"/>
  <c r="AD51" i="3"/>
  <c r="T56" i="3"/>
  <c r="AE51" i="3"/>
  <c r="AC10" i="3"/>
  <c r="AD32" i="3"/>
  <c r="T10" i="3"/>
  <c r="AE32" i="3"/>
  <c r="AC33" i="3"/>
  <c r="T33" i="3"/>
  <c r="AE56" i="3"/>
  <c r="AC24" i="3"/>
  <c r="AC34" i="3"/>
  <c r="AD44" i="3"/>
  <c r="T34" i="3"/>
  <c r="AE44" i="3"/>
  <c r="AC8" i="3"/>
  <c r="AD28" i="3"/>
  <c r="T8" i="3"/>
  <c r="AE28" i="3"/>
  <c r="AC39" i="3"/>
  <c r="AD14" i="3"/>
  <c r="T39" i="3"/>
  <c r="AE14" i="3"/>
  <c r="AE47" i="3"/>
  <c r="T30" i="3"/>
  <c r="AE43" i="3"/>
  <c r="T36" i="3"/>
  <c r="AE39" i="3"/>
  <c r="T14" i="3"/>
  <c r="AE35" i="3"/>
  <c r="T46" i="3"/>
  <c r="AE31" i="3"/>
  <c r="T20" i="3"/>
  <c r="AE27" i="3"/>
  <c r="T7" i="3"/>
  <c r="AE24" i="3"/>
  <c r="T21" i="3"/>
  <c r="AE20" i="3"/>
  <c r="T45" i="3"/>
  <c r="AE17" i="3"/>
  <c r="T35" i="3"/>
  <c r="AE13" i="3"/>
  <c r="T25" i="3"/>
  <c r="AE9" i="3"/>
  <c r="Y22" i="3"/>
  <c r="T22" i="3"/>
  <c r="S72" i="1" l="1"/>
  <c r="S53" i="1"/>
  <c r="B3" i="6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16" i="3" l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4" i="3" l="1"/>
  <c r="N51" i="3"/>
  <c r="N52" i="3"/>
  <c r="K13" i="1"/>
  <c r="M13" i="1"/>
  <c r="P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S22" i="3" l="1"/>
  <c r="S28" i="3"/>
  <c r="R28" i="3"/>
  <c r="R22" i="3"/>
  <c r="AI13" i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47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54" i="3" l="1"/>
  <c r="N53" i="3"/>
  <c r="N34" i="3"/>
  <c r="N15" i="3"/>
  <c r="N56" i="3"/>
  <c r="N13" i="3"/>
  <c r="N9" i="3"/>
  <c r="N7" i="3"/>
  <c r="N21" i="3"/>
  <c r="N8" i="3"/>
  <c r="N18" i="3"/>
  <c r="N55" i="3"/>
  <c r="N30" i="3"/>
  <c r="N36" i="3"/>
  <c r="N37" i="3"/>
  <c r="N31" i="3"/>
  <c r="N10" i="3"/>
  <c r="N11" i="3"/>
  <c r="N39" i="3"/>
  <c r="N41" i="3"/>
  <c r="N12" i="3"/>
  <c r="N46" i="3"/>
  <c r="N45" i="3"/>
  <c r="N43" i="3"/>
  <c r="N42" i="3"/>
  <c r="N14" i="3"/>
  <c r="N23" i="3"/>
  <c r="N32" i="3"/>
  <c r="N40" i="3"/>
  <c r="N33" i="3"/>
  <c r="N25" i="3"/>
  <c r="N28" i="3"/>
  <c r="N27" i="3"/>
  <c r="N50" i="3"/>
  <c r="N49" i="3"/>
  <c r="N48" i="3"/>
  <c r="N17" i="3"/>
  <c r="N20" i="3"/>
  <c r="N29" i="3"/>
  <c r="N19" i="3"/>
  <c r="N26" i="3"/>
  <c r="N44" i="3"/>
  <c r="N35" i="3"/>
  <c r="N38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<sst xmlns="http://schemas.openxmlformats.org/spreadsheetml/2006/main" count="2859" uniqueCount="1022">
  <si>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</si>
  <si>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</si>
  <si>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</si>
  <si>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</si>
  <si>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</si>
  <si>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</si>
  <si>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</si>
  <si>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</si>
  <si>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</si>
  <si>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</si>
  <si>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</si>
  <si>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</si>
  <si>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</si>
  <si>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</si>
  <si>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</si>
  <si>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</si>
  <si>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</si>
  <si>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</si>
  <si>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</si>
  <si>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</si>
  <si>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</si>
  <si>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</si>
  <si>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</si>
  <si>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</si>
  <si>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</si>
  <si>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</si>
  <si>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</si>
  <si>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</si>
  <si>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</si>
  <si>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</si>
  <si>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</si>
  <si>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</si>
  <si>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</si>
  <si>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</si>
  <si>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</si>
  <si>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</si>
  <si>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</si>
  <si>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</si>
  <si>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</si>
  <si>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</si>
  <si>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</si>
  <si>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</si>
  <si>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</si>
  <si>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</si>
  <si>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</si>
  <si>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</si>
  <si>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</si>
  <si>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</si>
  <si>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</si>
  <si>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</si>
  <si>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</si>
  <si>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</si>
  <si>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</si>
  <si>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</si>
  <si>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</si>
  <si>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</si>
  <si>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</si>
  <si>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</si>
  <si>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</si>
  <si>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</si>
  <si>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</si>
  <si>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</si>
  <si>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</si>
  <si>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</si>
  <si>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</si>
  <si>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</si>
  <si>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</si>
  <si>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</si>
  <si>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</si>
  <si>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</si>
  <si>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</si>
  <si>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</si>
  <si>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</si>
  <si>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</si>
  <si>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</si>
  <si>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</si>
  <si>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</si>
  <si>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</si>
  <si>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</si>
  <si>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</si>
  <si>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</si>
  <si>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</si>
  <si>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</si>
  <si>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</si>
  <si>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</si>
  <si>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</si>
  <si>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</si>
  <si>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</si>
  <si>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</si>
  <si>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</si>
  <si>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</si>
  <si>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</si>
  <si>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</si>
  <si>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</si>
  <si>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</si>
  <si>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</si>
  <si>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</si>
  <si>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</si>
  <si>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</si>
  <si>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</si>
  <si>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</si>
  <si>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</si>
  <si>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</si>
  <si>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</si>
  <si>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</si>
  <si>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</si>
  <si>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</si>
  <si>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</si>
  <si>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</si>
  <si>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</si>
  <si>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</si>
  <si>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</si>
  <si>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</si>
  <si>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</si>
  <si>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</si>
  <si>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</si>
  <si>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</si>
  <si>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</si>
  <si>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</si>
  <si>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</si>
  <si>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</si>
  <si>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</si>
  <si>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</si>
  <si>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</si>
  <si>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</si>
  <si>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</si>
  <si>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</si>
  <si>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</si>
  <si>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</si>
  <si>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</si>
  <si>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</si>
  <si>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</si>
  <si>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</si>
  <si>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</si>
  <si>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</si>
  <si>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</si>
  <si>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</si>
  <si>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</si>
  <si>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</si>
  <si>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</si>
  <si>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</si>
  <si>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</si>
  <si>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</si>
  <si>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</si>
  <si>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</si>
  <si>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</si>
  <si>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</si>
  <si>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</si>
  <si>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</si>
  <si>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</si>
  <si>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</si>
  <si>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</si>
  <si>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</si>
  <si>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</si>
  <si>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</si>
  <si>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</si>
  <si>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</si>
  <si>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</si>
  <si>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</si>
  <si>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</si>
  <si>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</si>
  <si>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</si>
  <si>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</si>
  <si>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</si>
  <si>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</si>
  <si>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</si>
  <si>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</si>
  <si>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</si>
  <si>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</si>
  <si>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</si>
  <si>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</si>
  <si>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</si>
  <si>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</si>
  <si>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</si>
  <si>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</si>
  <si>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</si>
  <si>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</si>
  <si>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</si>
  <si>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</si>
  <si>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</si>
  <si>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</si>
  <si>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</si>
  <si>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</si>
  <si>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</si>
  <si>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</si>
  <si>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</si>
  <si>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</si>
  <si>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</si>
  <si>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</si>
  <si>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</si>
  <si>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</si>
  <si>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</si>
  <si>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</si>
  <si>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</si>
  <si>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</si>
  <si>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</si>
  <si>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</si>
  <si>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</si>
  <si>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</si>
  <si>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</si>
  <si>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</si>
  <si>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</si>
  <si>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</si>
  <si>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</si>
  <si>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</si>
  <si>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</si>
  <si>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</si>
  <si>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</si>
  <si>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</si>
  <si>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</si>
  <si>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</si>
  <si>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</si>
  <si>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</si>
  <si>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</si>
  <si>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</si>
  <si>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</si>
  <si>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</si>
  <si>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</si>
  <si>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</si>
  <si>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</si>
  <si>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</si>
  <si>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</si>
  <si>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</si>
  <si>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</si>
  <si>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</si>
  <si>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</si>
  <si>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</si>
  <si>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</si>
  <si>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</si>
  <si>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</si>
  <si>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</si>
  <si>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</si>
  <si>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</si>
  <si>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</si>
  <si>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</si>
  <si>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</si>
  <si>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</si>
  <si>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</si>
  <si>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</si>
  <si>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</si>
  <si>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</si>
  <si>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</si>
  <si>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</si>
  <si>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</si>
  <si>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</si>
  <si>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</si>
  <si>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</si>
  <si>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</si>
  <si>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</si>
  <si>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</si>
  <si>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</si>
  <si>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</si>
  <si>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</si>
  <si>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</si>
  <si>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</si>
  <si>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</si>
  <si>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</si>
  <si>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</si>
  <si>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</si>
  <si>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</si>
  <si>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</si>
  <si>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</si>
  <si>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</si>
  <si>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</si>
  <si>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</si>
  <si>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</si>
  <si>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</si>
  <si>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</si>
  <si>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</si>
  <si>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</si>
  <si>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</si>
  <si>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</si>
  <si>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</si>
  <si>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</si>
  <si>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</si>
  <si>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</si>
  <si>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</si>
  <si>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</si>
  <si>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</si>
  <si>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</si>
  <si>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</si>
  <si>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</si>
  <si>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</si>
  <si>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</si>
  <si>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</si>
  <si>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</si>
  <si>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</si>
  <si>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</si>
  <si>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</si>
  <si>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</si>
  <si>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</si>
  <si>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</si>
  <si>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</si>
  <si>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</si>
  <si>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</si>
  <si>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</si>
  <si>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</si>
  <si>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</si>
  <si>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</si>
  <si>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</si>
  <si>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</si>
  <si>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</si>
  <si>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</si>
  <si>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</si>
  <si>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</si>
  <si>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</si>
  <si>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</si>
  <si>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</si>
  <si>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</si>
  <si>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</si>
  <si>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</si>
  <si>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</si>
  <si>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</si>
  <si>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</si>
  <si>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</si>
  <si>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</si>
  <si>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</si>
  <si>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</si>
  <si>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</si>
  <si>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</si>
  <si>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</si>
  <si>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</si>
  <si>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</si>
  <si>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</si>
  <si>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</si>
  <si>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</si>
  <si>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</si>
  <si>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</si>
  <si>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</si>
  <si>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</si>
  <si>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</si>
  <si>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</si>
  <si>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</si>
  <si>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</si>
  <si>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</si>
  <si>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</si>
  <si>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</si>
  <si>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</si>
  <si>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</si>
  <si>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</si>
  <si>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</si>
  <si>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</si>
  <si>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</si>
  <si>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</si>
  <si>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</si>
  <si>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</si>
  <si>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</si>
  <si>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</si>
  <si>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</si>
  <si>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</si>
  <si>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</si>
  <si>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</si>
  <si>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</si>
  <si>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</si>
  <si>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</si>
  <si>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</si>
  <si>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</si>
  <si>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</si>
  <si>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</si>
  <si>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</si>
  <si>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</si>
  <si>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</si>
  <si>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</si>
  <si>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</si>
  <si>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</si>
  <si>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</si>
  <si>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</si>
  <si>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</si>
  <si>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</si>
  <si>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</si>
  <si>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</si>
  <si>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</si>
  <si>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</si>
  <si>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</si>
  <si>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</si>
  <si>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</si>
  <si>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</si>
  <si>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</si>
  <si>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</si>
  <si>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</si>
  <si>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</si>
  <si>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</si>
  <si>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</si>
  <si>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</si>
  <si>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LEVERE</t>
  </si>
  <si>
    <t>CRAIG</t>
  </si>
  <si>
    <t>rtdc.l.rtdc.4032:itc</t>
  </si>
  <si>
    <t>204:232994</t>
  </si>
  <si>
    <t>204:233314</t>
  </si>
  <si>
    <t>rtdc.l.rtdc.4009:itc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</si>
  <si>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</si>
  <si>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</si>
  <si>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</si>
  <si>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</si>
  <si>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</si>
  <si>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</si>
  <si>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</si>
  <si>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</si>
  <si>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</si>
  <si>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</si>
  <si>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</si>
  <si>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</si>
  <si>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</si>
  <si>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</si>
  <si>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</si>
  <si>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</si>
  <si>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</si>
  <si>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</si>
  <si>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</si>
  <si>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</si>
  <si>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</si>
  <si>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</si>
  <si>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</si>
  <si>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</si>
  <si>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</si>
  <si>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</si>
  <si>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</si>
  <si>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</si>
  <si>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</si>
  <si>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</si>
  <si>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</si>
  <si>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</si>
  <si>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</si>
  <si>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</si>
  <si>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</si>
  <si>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204:962</t>
  </si>
  <si>
    <t>rtdc.l.rtdc.4002:itc</t>
  </si>
  <si>
    <t>rtdc.l.rtdc.4029:itc</t>
  </si>
  <si>
    <t>rtdc.l.rtdc.4026:itc</t>
  </si>
  <si>
    <t>204:233289</t>
  </si>
  <si>
    <t>204:233291</t>
  </si>
  <si>
    <t>204:233312</t>
  </si>
  <si>
    <t>204:232989</t>
  </si>
  <si>
    <t>204:471</t>
  </si>
  <si>
    <t>204:232998</t>
  </si>
  <si>
    <t>STAMBAUGH</t>
  </si>
  <si>
    <t>204:233311</t>
  </si>
  <si>
    <t>204:233308</t>
  </si>
  <si>
    <t>204:233013</t>
  </si>
  <si>
    <t>204:232980</t>
  </si>
  <si>
    <t>rtdc.l.rtdc.4066:itc</t>
  </si>
  <si>
    <t>rtdc.l.rtdc.4065:itc</t>
  </si>
  <si>
    <t>SPECTOR</t>
  </si>
  <si>
    <t>YANG</t>
  </si>
  <si>
    <t>JAN</t>
  </si>
  <si>
    <t>YANAI</t>
  </si>
  <si>
    <t>IAN</t>
  </si>
  <si>
    <t>rtdc.l.rtdc.4058:itc</t>
  </si>
  <si>
    <t>204:154</t>
  </si>
  <si>
    <t>204:233307</t>
  </si>
  <si>
    <t>204:232981</t>
  </si>
  <si>
    <t>204:233315</t>
  </si>
  <si>
    <t>204:233008</t>
  </si>
  <si>
    <t>204:437</t>
  </si>
  <si>
    <t>204:233297</t>
  </si>
  <si>
    <t>204:466</t>
  </si>
  <si>
    <t>204:233334</t>
  </si>
  <si>
    <t>204:232988</t>
  </si>
  <si>
    <t>204:680</t>
  </si>
  <si>
    <t>204:694</t>
  </si>
  <si>
    <t>rtdc.l.rtdc.4028:itc</t>
  </si>
  <si>
    <t>rtdc.l.rtdc.4027:itc</t>
  </si>
  <si>
    <t>FORTUNATO</t>
  </si>
  <si>
    <t>FRANK</t>
  </si>
  <si>
    <t>NEWELL</t>
  </si>
  <si>
    <t>BRUDER</t>
  </si>
  <si>
    <t>RICHARD</t>
  </si>
  <si>
    <t>MOSES</t>
  </si>
  <si>
    <t>BRADLEY</t>
  </si>
  <si>
    <t>LEVIN</t>
  </si>
  <si>
    <t>SCOTT</t>
  </si>
  <si>
    <t>ZEWDU</t>
  </si>
  <si>
    <t>DEREJE</t>
  </si>
  <si>
    <t>BIRKHOLZ</t>
  </si>
  <si>
    <t>NADINE</t>
  </si>
  <si>
    <t>204:233295</t>
  </si>
  <si>
    <t>204:232969</t>
  </si>
  <si>
    <t>204:447</t>
  </si>
  <si>
    <t>204:233293</t>
  </si>
  <si>
    <t>204:486</t>
  </si>
  <si>
    <t>204:232978</t>
  </si>
  <si>
    <t>204:438</t>
  </si>
  <si>
    <t>204:435</t>
  </si>
  <si>
    <t>204:233319</t>
  </si>
  <si>
    <t>204:232991</t>
  </si>
  <si>
    <t>204:477</t>
  </si>
  <si>
    <t>204:233347</t>
  </si>
  <si>
    <t>204:233306</t>
  </si>
  <si>
    <t>204:433</t>
  </si>
  <si>
    <t>300:23310</t>
  </si>
  <si>
    <t>204:703</t>
  </si>
  <si>
    <t>204:990</t>
  </si>
  <si>
    <t>204:983</t>
  </si>
  <si>
    <t>300:58933</t>
  </si>
  <si>
    <t>300:58634</t>
  </si>
  <si>
    <t>204:685</t>
  </si>
  <si>
    <t>300:58950</t>
  </si>
  <si>
    <t>204:687</t>
  </si>
  <si>
    <t>rtdc.l.rtdc.4043:itc</t>
  </si>
  <si>
    <t>rtdc.l.rtdc.4025:itc</t>
  </si>
  <si>
    <t>YORK</t>
  </si>
  <si>
    <t>EDGAR</t>
  </si>
  <si>
    <t>WENDY</t>
  </si>
  <si>
    <t>GEBRETEKLE</t>
  </si>
  <si>
    <t>DAGNEW</t>
  </si>
  <si>
    <t>PAGE</t>
  </si>
  <si>
    <t>MARCUS</t>
  </si>
  <si>
    <t>DELGADO</t>
  </si>
  <si>
    <t>DIANAH</t>
  </si>
  <si>
    <t>ROBINSON</t>
  </si>
  <si>
    <t>KADDIBA</t>
  </si>
  <si>
    <t>HOLCOMB</t>
  </si>
  <si>
    <t>KAMDEN</t>
  </si>
  <si>
    <t>KILLION</t>
  </si>
  <si>
    <t>DAVID</t>
  </si>
  <si>
    <t>LOPES</t>
  </si>
  <si>
    <t>KIMBERLY</t>
  </si>
  <si>
    <t>240-13</t>
  </si>
  <si>
    <t>242-13</t>
  </si>
  <si>
    <t>309-13</t>
  </si>
  <si>
    <t>244-13</t>
  </si>
  <si>
    <t>311-13</t>
  </si>
  <si>
    <t>313-13</t>
  </si>
  <si>
    <t>rtdc.l.rtdc.4003:itc</t>
  </si>
  <si>
    <t>300-14</t>
  </si>
  <si>
    <t>ROCHA</t>
  </si>
  <si>
    <t>YAOTL</t>
  </si>
  <si>
    <t>precipType</t>
  </si>
  <si>
    <t>partly-cloudy-day</t>
  </si>
  <si>
    <t>Partly Cloudy</t>
  </si>
  <si>
    <t>rain</t>
  </si>
  <si>
    <t>204:726</t>
  </si>
  <si>
    <t>204:232983</t>
  </si>
  <si>
    <t>204:482</t>
  </si>
  <si>
    <t>204:233300</t>
  </si>
  <si>
    <t>204:232990</t>
  </si>
  <si>
    <t>204:233299</t>
  </si>
  <si>
    <t>204:233366</t>
  </si>
  <si>
    <t>204:233010</t>
  </si>
  <si>
    <t>204:233042</t>
  </si>
  <si>
    <t>204:233362</t>
  </si>
  <si>
    <t>204:233040</t>
  </si>
  <si>
    <t>204:233030</t>
  </si>
  <si>
    <t>204:473</t>
  </si>
  <si>
    <t>204:233320</t>
  </si>
  <si>
    <t>204:233323</t>
  </si>
  <si>
    <t>204:233276</t>
  </si>
  <si>
    <t>204:132</t>
  </si>
  <si>
    <t>204:167</t>
  </si>
  <si>
    <t>300:23306</t>
  </si>
  <si>
    <t>300:23295</t>
  </si>
  <si>
    <t>204:493</t>
  </si>
  <si>
    <t>300:23299</t>
  </si>
  <si>
    <t>204:429</t>
  </si>
  <si>
    <t>300:58660</t>
  </si>
  <si>
    <t>204:1004</t>
  </si>
  <si>
    <t>300:58973</t>
  </si>
  <si>
    <t>300:58954</t>
  </si>
  <si>
    <t>300:58638</t>
  </si>
  <si>
    <t>300:58958</t>
  </si>
  <si>
    <t>300:58647</t>
  </si>
  <si>
    <t>300:58621</t>
  </si>
  <si>
    <t>204:673</t>
  </si>
  <si>
    <t>204:986</t>
  </si>
  <si>
    <t>300:58649</t>
  </si>
  <si>
    <t>300:58630</t>
  </si>
  <si>
    <t>204:1007</t>
  </si>
  <si>
    <t>204:689</t>
  </si>
  <si>
    <t>start /low /b %USERPROFILE%\Documents\GitHub\eaglep3\Utilities\DownloadLogsFromS3.py --loco 4060 --day 2017-09-14</t>
  </si>
  <si>
    <t>Onboard in-route failure</t>
  </si>
  <si>
    <t>101-14</t>
  </si>
  <si>
    <t>SWITCH UNKNOWN</t>
  </si>
  <si>
    <t>Track device (7)</t>
  </si>
  <si>
    <t>rtdc.l.rtdc.4014:itc</t>
  </si>
  <si>
    <t>901-14</t>
  </si>
  <si>
    <t>rtdc.l.rtdc.4013:itc</t>
  </si>
  <si>
    <t>800-14</t>
  </si>
  <si>
    <t>106-14</t>
  </si>
  <si>
    <t>802-14</t>
  </si>
  <si>
    <t>805-14</t>
  </si>
  <si>
    <t>rtdc.l.rtdc.4034:itc</t>
  </si>
  <si>
    <t>807-14</t>
  </si>
  <si>
    <t>806-14</t>
  </si>
  <si>
    <t>809-14</t>
  </si>
  <si>
    <t>124-14</t>
  </si>
  <si>
    <t>141-14</t>
  </si>
  <si>
    <t>153-14</t>
  </si>
  <si>
    <t>150-14</t>
  </si>
  <si>
    <t>53-14</t>
  </si>
  <si>
    <t>157-14</t>
  </si>
  <si>
    <t>163-14</t>
  </si>
  <si>
    <t>152-14</t>
  </si>
  <si>
    <t>rtdc.l.rtdc.4001:itc</t>
  </si>
  <si>
    <t>156-14</t>
  </si>
  <si>
    <t>rtdc.l.rtdc.4004:itc</t>
  </si>
  <si>
    <t>167-14</t>
  </si>
  <si>
    <t>171-14</t>
  </si>
  <si>
    <t>821-14</t>
  </si>
  <si>
    <t>rtdc.l.rtdc.4057:itc</t>
  </si>
  <si>
    <t>172-14</t>
  </si>
  <si>
    <t>183-14</t>
  </si>
  <si>
    <t>825-14</t>
  </si>
  <si>
    <t>195-14</t>
  </si>
  <si>
    <t>827-14</t>
  </si>
  <si>
    <t>rtdc.l.rtdc.4033:itc</t>
  </si>
  <si>
    <t>826-14</t>
  </si>
  <si>
    <t>190-14</t>
  </si>
  <si>
    <t>831-14</t>
  </si>
  <si>
    <t>830-14</t>
  </si>
  <si>
    <t>198-14</t>
  </si>
  <si>
    <t>200-14</t>
  </si>
  <si>
    <t>835-14</t>
  </si>
  <si>
    <t>75-14</t>
  </si>
  <si>
    <t>218-14</t>
  </si>
  <si>
    <t>849-14</t>
  </si>
  <si>
    <t>243-14</t>
  </si>
  <si>
    <t>244-14</t>
  </si>
  <si>
    <t>Y</t>
  </si>
  <si>
    <t>52-14</t>
  </si>
  <si>
    <t>302-14</t>
  </si>
  <si>
    <t>MAELZER</t>
  </si>
  <si>
    <t>KURT</t>
  </si>
  <si>
    <t>103-14</t>
  </si>
  <si>
    <t>304-14</t>
  </si>
  <si>
    <t>102-14</t>
  </si>
  <si>
    <t>105-14</t>
  </si>
  <si>
    <t>306-14</t>
  </si>
  <si>
    <t>308-14</t>
  </si>
  <si>
    <t>WILLIAMS</t>
  </si>
  <si>
    <t>DONTE</t>
  </si>
  <si>
    <t>107-14</t>
  </si>
  <si>
    <t>104-14</t>
  </si>
  <si>
    <t>109-14</t>
  </si>
  <si>
    <t>310-14</t>
  </si>
  <si>
    <t>111-14</t>
  </si>
  <si>
    <t>113-14</t>
  </si>
  <si>
    <t>108-14</t>
  </si>
  <si>
    <t>312-14</t>
  </si>
  <si>
    <t>115-14</t>
  </si>
  <si>
    <t>801-14</t>
  </si>
  <si>
    <t>110-14</t>
  </si>
  <si>
    <t>902-14</t>
  </si>
  <si>
    <t>117-14</t>
  </si>
  <si>
    <t>112-14</t>
  </si>
  <si>
    <t>114-14</t>
  </si>
  <si>
    <t>119-14</t>
  </si>
  <si>
    <t>803-14</t>
  </si>
  <si>
    <t>121-14</t>
  </si>
  <si>
    <t>116-14</t>
  </si>
  <si>
    <t>123-14</t>
  </si>
  <si>
    <t>804-14</t>
  </si>
  <si>
    <t>125-14</t>
  </si>
  <si>
    <t>118-14</t>
  </si>
  <si>
    <t>120-14</t>
  </si>
  <si>
    <t>122-14</t>
  </si>
  <si>
    <t>127-14</t>
  </si>
  <si>
    <t>CASSIDY</t>
  </si>
  <si>
    <t>BRANDON</t>
  </si>
  <si>
    <t>129-14</t>
  </si>
  <si>
    <t>131-14</t>
  </si>
  <si>
    <t>808-14</t>
  </si>
  <si>
    <t>133-14</t>
  </si>
  <si>
    <t>GONZALEZ</t>
  </si>
  <si>
    <t>ARMANDO</t>
  </si>
  <si>
    <t>126-14</t>
  </si>
  <si>
    <t>135-14</t>
  </si>
  <si>
    <t>128-14</t>
  </si>
  <si>
    <t>810-14</t>
  </si>
  <si>
    <t>811-14</t>
  </si>
  <si>
    <t>130-14</t>
  </si>
  <si>
    <t>137-14</t>
  </si>
  <si>
    <t>132-14</t>
  </si>
  <si>
    <t>139-14</t>
  </si>
  <si>
    <t>134-14</t>
  </si>
  <si>
    <t>812-14</t>
  </si>
  <si>
    <t>903-14</t>
  </si>
  <si>
    <t>136-14</t>
  </si>
  <si>
    <t>143-14</t>
  </si>
  <si>
    <t>813-14</t>
  </si>
  <si>
    <t>138-14</t>
  </si>
  <si>
    <t>145-14</t>
  </si>
  <si>
    <t>147-14</t>
  </si>
  <si>
    <t>140-14</t>
  </si>
  <si>
    <t>814-14</t>
  </si>
  <si>
    <t>142-14</t>
  </si>
  <si>
    <t>149-14</t>
  </si>
  <si>
    <t>144-14</t>
  </si>
  <si>
    <t>151-14</t>
  </si>
  <si>
    <t>815-14</t>
  </si>
  <si>
    <t>146-14</t>
  </si>
  <si>
    <t>155-14</t>
  </si>
  <si>
    <t>148-14</t>
  </si>
  <si>
    <t>816-14</t>
  </si>
  <si>
    <t>159-14</t>
  </si>
  <si>
    <t>817-14</t>
  </si>
  <si>
    <t>154-14</t>
  </si>
  <si>
    <t>161-14</t>
  </si>
  <si>
    <t>158-14</t>
  </si>
  <si>
    <t>818-14</t>
  </si>
  <si>
    <t>51-14</t>
  </si>
  <si>
    <t>165-14</t>
  </si>
  <si>
    <t>67-14</t>
  </si>
  <si>
    <t>160-14</t>
  </si>
  <si>
    <t>819-14</t>
  </si>
  <si>
    <t>162-14</t>
  </si>
  <si>
    <t>169-14</t>
  </si>
  <si>
    <t>164-14</t>
  </si>
  <si>
    <t>820-14</t>
  </si>
  <si>
    <t>BADERTSCHER</t>
  </si>
  <si>
    <t>DIANE</t>
  </si>
  <si>
    <t>166-14</t>
  </si>
  <si>
    <t>DE LA ROSA</t>
  </si>
  <si>
    <t>ALEX</t>
  </si>
  <si>
    <t>173-14</t>
  </si>
  <si>
    <t>168-14</t>
  </si>
  <si>
    <t>175-14</t>
  </si>
  <si>
    <t>73-14</t>
  </si>
  <si>
    <t>170-14</t>
  </si>
  <si>
    <t>177-14</t>
  </si>
  <si>
    <t>822-14</t>
  </si>
  <si>
    <t>179-14</t>
  </si>
  <si>
    <t>174-14</t>
  </si>
  <si>
    <t>181-14</t>
  </si>
  <si>
    <t>176-14</t>
  </si>
  <si>
    <t>823-14</t>
  </si>
  <si>
    <t>178-14</t>
  </si>
  <si>
    <t>185-14</t>
  </si>
  <si>
    <t>180-14</t>
  </si>
  <si>
    <t>187-14</t>
  </si>
  <si>
    <t>824-14</t>
  </si>
  <si>
    <t>182-14</t>
  </si>
  <si>
    <t>189-14</t>
  </si>
  <si>
    <t>184-14</t>
  </si>
  <si>
    <t>191-14</t>
  </si>
  <si>
    <t>186-14</t>
  </si>
  <si>
    <t>193-14</t>
  </si>
  <si>
    <t>188-14</t>
  </si>
  <si>
    <t>904-14</t>
  </si>
  <si>
    <t>197-14</t>
  </si>
  <si>
    <t>192-14</t>
  </si>
  <si>
    <t>199-14</t>
  </si>
  <si>
    <t>194-14</t>
  </si>
  <si>
    <t>828-14</t>
  </si>
  <si>
    <t>829-14</t>
  </si>
  <si>
    <t>196-14</t>
  </si>
  <si>
    <t>201-14</t>
  </si>
  <si>
    <t>203-14</t>
  </si>
  <si>
    <t>205-14</t>
  </si>
  <si>
    <t>rtdc.l.rtdc.4012:itc</t>
  </si>
  <si>
    <t>77-14</t>
  </si>
  <si>
    <t>207-14</t>
  </si>
  <si>
    <t>832-14</t>
  </si>
  <si>
    <t>833-14</t>
  </si>
  <si>
    <t>202-14</t>
  </si>
  <si>
    <t>209-14</t>
  </si>
  <si>
    <t>204-14</t>
  </si>
  <si>
    <t>211-14</t>
  </si>
  <si>
    <t>834-14</t>
  </si>
  <si>
    <t>206-14</t>
  </si>
  <si>
    <t>213-14</t>
  </si>
  <si>
    <t>208-14</t>
  </si>
  <si>
    <t>215-14</t>
  </si>
  <si>
    <t>836-14</t>
  </si>
  <si>
    <t>210-14</t>
  </si>
  <si>
    <t>217-14</t>
  </si>
  <si>
    <t>ELBAUM</t>
  </si>
  <si>
    <t>MIKE</t>
  </si>
  <si>
    <t>837-14</t>
  </si>
  <si>
    <t>212-14</t>
  </si>
  <si>
    <t>219-14</t>
  </si>
  <si>
    <t>SANTIZO</t>
  </si>
  <si>
    <t>D. EDY</t>
  </si>
  <si>
    <t>838-14</t>
  </si>
  <si>
    <t>839-14</t>
  </si>
  <si>
    <t>214-14</t>
  </si>
  <si>
    <t>301-14</t>
  </si>
  <si>
    <t>216-14</t>
  </si>
  <si>
    <t>221-14</t>
  </si>
  <si>
    <t>906-14</t>
  </si>
  <si>
    <t>841-14</t>
  </si>
  <si>
    <t>303-14</t>
  </si>
  <si>
    <t>220-14</t>
  </si>
  <si>
    <t>rtdc.l.rtdc.4035:itc</t>
  </si>
  <si>
    <t>81-14</t>
  </si>
  <si>
    <t>840-14</t>
  </si>
  <si>
    <t>223-14</t>
  </si>
  <si>
    <t>rtdc.l.rtdc.4036:itc</t>
  </si>
  <si>
    <t>82-14</t>
  </si>
  <si>
    <t>305-14</t>
  </si>
  <si>
    <t>225-14</t>
  </si>
  <si>
    <t>222-14</t>
  </si>
  <si>
    <t>843-14</t>
  </si>
  <si>
    <t>227-14</t>
  </si>
  <si>
    <t>224-14</t>
  </si>
  <si>
    <t>842-14</t>
  </si>
  <si>
    <t>226-14</t>
  </si>
  <si>
    <t>229-14</t>
  </si>
  <si>
    <t>845-14</t>
  </si>
  <si>
    <t>231-14</t>
  </si>
  <si>
    <t>228-14</t>
  </si>
  <si>
    <t>844-14</t>
  </si>
  <si>
    <t>233-14</t>
  </si>
  <si>
    <t>230-14</t>
  </si>
  <si>
    <t>847-14</t>
  </si>
  <si>
    <t>235-14</t>
  </si>
  <si>
    <t>232-14</t>
  </si>
  <si>
    <t>846-14</t>
  </si>
  <si>
    <t>234-14</t>
  </si>
  <si>
    <t>237-14</t>
  </si>
  <si>
    <t>239-14</t>
  </si>
  <si>
    <t>236-14</t>
  </si>
  <si>
    <t>908-14</t>
  </si>
  <si>
    <t>238-14</t>
  </si>
  <si>
    <t>241-14</t>
  </si>
  <si>
    <t>240-14</t>
  </si>
  <si>
    <t>307-14</t>
  </si>
  <si>
    <t>242-14</t>
  </si>
  <si>
    <t>309-14</t>
  </si>
  <si>
    <t>311-14</t>
  </si>
  <si>
    <t>55-15</t>
  </si>
  <si>
    <t>313-14</t>
  </si>
  <si>
    <t>300-15</t>
  </si>
  <si>
    <t>Light Rain</t>
  </si>
  <si>
    <t>Drizzle</t>
  </si>
  <si>
    <t>partly-cloudy-night</t>
  </si>
  <si>
    <t>Mostly Cloudy</t>
  </si>
  <si>
    <t>204:763</t>
  </si>
  <si>
    <t>204:218920</t>
  </si>
  <si>
    <t>204:233138</t>
  </si>
  <si>
    <t>204:232982</t>
  </si>
  <si>
    <t>204:232984</t>
  </si>
  <si>
    <t>204:233407</t>
  </si>
  <si>
    <t>204:233071</t>
  </si>
  <si>
    <t>204:233057</t>
  </si>
  <si>
    <t>204:233005</t>
  </si>
  <si>
    <t>204:233346</t>
  </si>
  <si>
    <t>204:233002</t>
  </si>
  <si>
    <t>204:233391</t>
  </si>
  <si>
    <t>204:233115</t>
  </si>
  <si>
    <t>204:233378</t>
  </si>
  <si>
    <t>204:233111</t>
  </si>
  <si>
    <t>204:233341</t>
  </si>
  <si>
    <t>204:233344</t>
  </si>
  <si>
    <t>204:233268</t>
  </si>
  <si>
    <t>204:232963</t>
  </si>
  <si>
    <t>204:475</t>
  </si>
  <si>
    <t>204:233305</t>
  </si>
  <si>
    <t>204:57447</t>
  </si>
  <si>
    <t>204:64712</t>
  </si>
  <si>
    <t>204:232979</t>
  </si>
  <si>
    <t>204:232992</t>
  </si>
  <si>
    <t>204:232993</t>
  </si>
  <si>
    <t>204:427</t>
  </si>
  <si>
    <t>204:232973</t>
  </si>
  <si>
    <t>204:232985</t>
  </si>
  <si>
    <t>204:181</t>
  </si>
  <si>
    <t>204:1156</t>
  </si>
  <si>
    <t>204:107148</t>
  </si>
  <si>
    <t>204:128260</t>
  </si>
  <si>
    <t>204:233274</t>
  </si>
  <si>
    <t>204:1152</t>
  </si>
  <si>
    <t>204:491</t>
  </si>
  <si>
    <t>204:233025</t>
  </si>
  <si>
    <t>204:233385</t>
  </si>
  <si>
    <t>204:233059</t>
  </si>
  <si>
    <t>204:3169</t>
  </si>
  <si>
    <t>204:327</t>
  </si>
  <si>
    <t>204:233357</t>
  </si>
  <si>
    <t>204:233316</t>
  </si>
  <si>
    <t>204:233332</t>
  </si>
  <si>
    <t>204:642</t>
  </si>
  <si>
    <t>204:659</t>
  </si>
  <si>
    <t>204:16819</t>
  </si>
  <si>
    <t>204:233298</t>
  </si>
  <si>
    <t>204:116</t>
  </si>
  <si>
    <t>204:233003</t>
  </si>
  <si>
    <t>204:233363</t>
  </si>
  <si>
    <t>204:431</t>
  </si>
  <si>
    <t>204:233327</t>
  </si>
  <si>
    <t>204:420</t>
  </si>
  <si>
    <t>204:233280</t>
  </si>
  <si>
    <t>204:127867</t>
  </si>
  <si>
    <t>204:172</t>
  </si>
  <si>
    <t>204:426</t>
  </si>
  <si>
    <t>204:233351</t>
  </si>
  <si>
    <t>204:121</t>
  </si>
  <si>
    <t>204:233345</t>
  </si>
  <si>
    <t>204:233355</t>
  </si>
  <si>
    <t>204:108</t>
  </si>
  <si>
    <t>204:233325</t>
  </si>
  <si>
    <t>204:233349</t>
  </si>
  <si>
    <t>204:107</t>
  </si>
  <si>
    <t>300:23308</t>
  </si>
  <si>
    <t>300:19741</t>
  </si>
  <si>
    <t>300:23506</t>
  </si>
  <si>
    <t>300:23555</t>
  </si>
  <si>
    <t>204:178</t>
  </si>
  <si>
    <t>204:421</t>
  </si>
  <si>
    <t>300:23673</t>
  </si>
  <si>
    <t>300:23470</t>
  </si>
  <si>
    <t>300:23092</t>
  </si>
  <si>
    <t>300:23834</t>
  </si>
  <si>
    <t>204:332</t>
  </si>
  <si>
    <t>300:24239</t>
  </si>
  <si>
    <t>204:3213</t>
  </si>
  <si>
    <t>204:1169</t>
  </si>
  <si>
    <t>204:415</t>
  </si>
  <si>
    <t>204:3562</t>
  </si>
  <si>
    <t>300:23618</t>
  </si>
  <si>
    <t>204:517</t>
  </si>
  <si>
    <t>204:1490</t>
  </si>
  <si>
    <t>204:3405</t>
  </si>
  <si>
    <t>204:2933</t>
  </si>
  <si>
    <t>204:1483</t>
  </si>
  <si>
    <t>204:3284</t>
  </si>
  <si>
    <t>204:329</t>
  </si>
  <si>
    <t>300:23137</t>
  </si>
  <si>
    <t>204:975</t>
  </si>
  <si>
    <t>204:1479</t>
  </si>
  <si>
    <t>204:3493</t>
  </si>
  <si>
    <t>204:1139</t>
  </si>
  <si>
    <t>300:58700</t>
  </si>
  <si>
    <t>204:626</t>
  </si>
  <si>
    <t>204:922</t>
  </si>
  <si>
    <t>300:59012</t>
  </si>
  <si>
    <t>300:58705</t>
  </si>
  <si>
    <t>300:58961</t>
  </si>
  <si>
    <t>204:682</t>
  </si>
  <si>
    <t>204:958</t>
  </si>
  <si>
    <t>300:59020</t>
  </si>
  <si>
    <t>300:58694</t>
  </si>
  <si>
    <t>204:1002</t>
  </si>
  <si>
    <t>300:59008</t>
  </si>
  <si>
    <t>300:23288</t>
  </si>
  <si>
    <t>204:148</t>
  </si>
  <si>
    <t>204:10269</t>
  </si>
  <si>
    <t>204:192700</t>
  </si>
  <si>
    <t>300:58688</t>
  </si>
  <si>
    <t>204:988</t>
  </si>
  <si>
    <t>300:58943</t>
  </si>
  <si>
    <t>204:985</t>
  </si>
  <si>
    <t>300:58965</t>
  </si>
  <si>
    <t>204:715</t>
  </si>
  <si>
    <t>204:1028</t>
  </si>
  <si>
    <t>300:58960</t>
  </si>
  <si>
    <t>204:705</t>
  </si>
  <si>
    <t>300:58628</t>
  </si>
  <si>
    <t>300:57614</t>
  </si>
  <si>
    <t>204:448</t>
  </si>
  <si>
    <t>204:10507</t>
  </si>
  <si>
    <t>204:1006</t>
  </si>
  <si>
    <t>300:58952</t>
  </si>
  <si>
    <t>300:58641</t>
  </si>
  <si>
    <t>204:948</t>
  </si>
  <si>
    <t>300:58931</t>
  </si>
  <si>
    <t>300:58613</t>
  </si>
  <si>
    <t>204:652</t>
  </si>
  <si>
    <t>204:976</t>
  </si>
  <si>
    <t>204:657</t>
  </si>
  <si>
    <t>300:58963</t>
  </si>
  <si>
    <t>300:58643</t>
  </si>
  <si>
    <t>204:950</t>
  </si>
  <si>
    <t>300:58928</t>
  </si>
  <si>
    <t>300:58606</t>
  </si>
  <si>
    <t>204:696</t>
  </si>
  <si>
    <t>204:943</t>
  </si>
  <si>
    <t>300:58956</t>
  </si>
  <si>
    <t>300:58640</t>
  </si>
  <si>
    <t>300:58615</t>
  </si>
  <si>
    <t>204:965</t>
  </si>
  <si>
    <t>300:58929</t>
  </si>
  <si>
    <t>300:58611</t>
  </si>
  <si>
    <t>204:972</t>
  </si>
  <si>
    <t>300:58937</t>
  </si>
  <si>
    <t>300:58604</t>
  </si>
  <si>
    <t>204:971</t>
  </si>
  <si>
    <t>300:58922</t>
  </si>
  <si>
    <t>300:30095</t>
  </si>
  <si>
    <t>300:59016</t>
  </si>
  <si>
    <t>300:23411</t>
  </si>
  <si>
    <t>204:706</t>
  </si>
  <si>
    <t>204:459</t>
  </si>
  <si>
    <t>300:24243</t>
  </si>
  <si>
    <t>300:23285</t>
  </si>
  <si>
    <t>300:58617</t>
  </si>
  <si>
    <t>300:28770</t>
  </si>
  <si>
    <t>300:28793</t>
  </si>
  <si>
    <t>start /low /b %USERPROFILE%\Documents\GitHub\eaglep3\Utilities\DownloadLogsFromS3.py --loco 4026 --day 2017-09-14</t>
  </si>
  <si>
    <t>start /low /b %USERPROFILE%\Documents\GitHub\eaglep3\Utilities\DownloadLogsFromS3.py --loco 4002 --day 2017-09-14</t>
  </si>
  <si>
    <t>start /low /b %USERPROFILE%\Documents\GitHub\eaglep3\Utilities\DownloadLogsFromS3.py --loco 4032 --day 2017-09-14</t>
  </si>
  <si>
    <t>start /low /b %USERPROFILE%\Documents\GitHub\eaglep3\Utilities\DownloadLogsFromS3.py --loco 4058 --day 2017-09-14</t>
  </si>
  <si>
    <t>start /low /b %USERPROFILE%\Documents\GitHub\eaglep3\Utilities\DownloadLogsFromS3.py --loco 4025 --day 2017-09-14</t>
  </si>
  <si>
    <t>start /low /b %USERPROFILE%\Documents\GitHub\eaglep3\Utilities\DownloadLogsFromS3.py --loco 4001 --day 2017-09-14</t>
  </si>
  <si>
    <t>start /low /b %USERPROFILE%\Documents\GitHub\eaglep3\Utilities\DownloadLogsFromS3.py --loco 4003 --day 2017-09-14</t>
  </si>
  <si>
    <t>start /low /b %USERPROFILE%\Documents\GitHub\eaglep3\Utilities\DownloadLogsFromS3.py --loco 4059 --day 2017-09-14</t>
  </si>
  <si>
    <t>start /low /b %USERPROFILE%\Documents\GitHub\eaglep3\Utilities\DownloadLogsFromS3.py --loco 4004 --day 2017-09-14</t>
  </si>
  <si>
    <t>start /low /b %USERPROFILE%\Documents\GitHub\eaglep3\Utilities\DownloadLogsFromS3.py --loco 4057 --day 2017-09-14</t>
  </si>
  <si>
    <t>start /low /b %USERPROFILE%\Documents\GitHub\eaglep3\Utilities\DownloadLogsFromS3.py --loco 4029 --day 2017-09-14</t>
  </si>
  <si>
    <t>start /low /b %USERPROFILE%\Documents\GitHub\eaglep3\Utilities\DownloadLogsFromS3.py --loco 4031 --day 2017-09-15</t>
  </si>
  <si>
    <t>start /low /b %USERPROFILE%\Documents\GitHub\eaglep3\Utilities\DownloadLogsFromS3.py --loco 4061 --day 2017-09-14</t>
  </si>
  <si>
    <t>start /low /b %USERPROFILE%\Documents\GitHub\eaglep3\Utilities\DownloadLogsFromS3.py --loco 4032 --day 2017-09-15</t>
  </si>
  <si>
    <t>start /low /b %USERPROFILE%\Documents\GitHub\eaglep3\Utilities\DownloadLogsFromS3.py --loco 4029 --day 2017-09-15</t>
  </si>
  <si>
    <t>start /low /b %USERPROFILE%\Documents\GitHub\eaglep3\Utilities\DownloadLogsFromS3.py --loco 4013 --day 2017-09-14</t>
  </si>
  <si>
    <t>start /low /b %USERPROFILE%\Documents\GitHub\eaglep3\Utilities\DownloadLogsFromS3.py --loco 4033 --day 2017-09-14</t>
  </si>
  <si>
    <t>start /low /b %USERPROFILE%\Documents\GitHub\eaglep3\Utilities\DownloadLogsFromS3.py --loco 4034 --day 2017-09-14</t>
  </si>
  <si>
    <t>start /low /b %USERPROFILE%\Documents\GitHub\eaglep3\Utilities\DownloadLogsFromS3.py --loco 4014 --day 2017-09-14</t>
  </si>
  <si>
    <t>start /low /b %USERPROFILE%\Documents\GitHub\eaglep3\Utilities\DownloadLogsFromS3.py --loco 4034 --day 2017-09-15</t>
  </si>
  <si>
    <t>204:233027</t>
  </si>
  <si>
    <t>204:336</t>
  </si>
  <si>
    <t>204:631</t>
  </si>
  <si>
    <t>204:233288</t>
  </si>
  <si>
    <t>204:233051</t>
  </si>
  <si>
    <t>204:205</t>
  </si>
  <si>
    <t>204:129</t>
  </si>
  <si>
    <t>Wi-MAX data drop</t>
  </si>
  <si>
    <t>Power outage at CP DIA (UPS reset)</t>
  </si>
  <si>
    <t>Delayed by XING repairs at Chambers (semi accident with crossing arm) - see 53854</t>
  </si>
  <si>
    <t>XING repairs at Chambers (semi accident with crossing arm) - see 53854</t>
  </si>
  <si>
    <t>Premature downgrade at Bright 4S</t>
  </si>
  <si>
    <t>9/14/2017  17:16:16 Bright 4S dropped from Proceed Cab to Stop while train was approx 0.6 miles away, do logs tell of anything unusual?</t>
  </si>
  <si>
    <t>Restricting aspect, delayed route firing at CP Pecos</t>
  </si>
  <si>
    <t>No southbound init attempts (no button presses) in 12:00 timeframe - 53857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</si>
</sst>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2" applyNumberFormat="1" applyFont="1" applyAlignment="1">
      <alignment horizontal="left"/>
    </xf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95"/>
  <sheetViews>
    <sheetView tabSelected="1" topLeftCell="A99" zoomScaleNormal="100" workbookViewId="0">
      <selection activeCell="R113" sqref="R11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0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5" customWidth="1"/>
    <col min="20" max="20" width="3.85546875" style="169" customWidth="1"/>
    <col min="21" max="21" width="5" style="202" customWidth="1"/>
    <col min="22" max="22" width="5.7109375" style="227" customWidth="1"/>
    <col min="23" max="23" width="3.85546875" style="208" customWidth="1"/>
    <col min="24" max="24" width="6.5703125" style="208" customWidth="1"/>
    <col min="25" max="25" width="11.5703125" style="208" bestFit="1" customWidth="1"/>
    <col min="26" max="26" width="7.28515625" style="208" customWidth="1"/>
    <col min="27" max="27" width="9.140625" style="20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0"/>
      <c r="M1" s="35"/>
      <c r="N1" s="36"/>
      <c r="O1" s="2"/>
      <c r="P1" s="2"/>
      <c r="R1" s="160" t="s">
        <v>104</v>
      </c>
      <c r="S1" s="211"/>
      <c r="T1" s="170"/>
      <c r="U1" s="198"/>
      <c r="V1" s="218"/>
      <c r="W1" s="198"/>
      <c r="X1" s="202"/>
      <c r="Y1" s="208"/>
      <c r="Z1" s="208"/>
      <c r="AA1" s="208"/>
      <c r="AB1" s="52"/>
      <c r="AC1" s="49"/>
      <c r="AD1" s="2"/>
      <c r="AE1" s="1"/>
      <c r="AF1" s="1"/>
      <c r="AG1" s="18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42992</v>
      </c>
      <c r="J2" s="58"/>
      <c r="K2" s="59"/>
      <c r="L2" s="171"/>
      <c r="M2" s="60" t="s">
        <v>8</v>
      </c>
      <c r="N2" s="61"/>
      <c r="O2" s="62"/>
      <c r="P2" s="2"/>
      <c r="R2" s="57">
        <f>Variables!$A$2</f>
        <v>42992</v>
      </c>
      <c r="S2" s="212"/>
      <c r="T2" s="171"/>
      <c r="U2" s="199"/>
      <c r="V2" s="219" t="s">
        <v>8</v>
      </c>
      <c r="W2" s="220"/>
      <c r="X2" s="205"/>
      <c r="Y2" s="208"/>
      <c r="Z2" s="208"/>
      <c r="AA2" s="208"/>
      <c r="AB2" s="52"/>
      <c r="AC2" s="49"/>
      <c r="AD2" s="2"/>
      <c r="AE2" s="1"/>
      <c r="AF2" s="1"/>
      <c r="AG2" s="18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2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13"/>
      <c r="T3" s="172"/>
      <c r="U3" s="200"/>
      <c r="V3" s="221" t="s">
        <v>11</v>
      </c>
      <c r="W3" s="222" t="s">
        <v>12</v>
      </c>
      <c r="X3" s="206" t="s">
        <v>13</v>
      </c>
      <c r="Y3" s="208"/>
      <c r="Z3" s="208"/>
      <c r="AA3" s="208"/>
      <c r="AB3" s="52"/>
      <c r="AC3" s="49"/>
      <c r="AD3" s="2"/>
      <c r="AE3" s="1"/>
      <c r="AF3" s="1"/>
      <c r="AG3" s="18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3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14">
        <f>SUM(S5:S7)</f>
        <v>49</v>
      </c>
      <c r="T4" s="173"/>
      <c r="U4" s="201"/>
      <c r="V4" s="221" t="s">
        <v>15</v>
      </c>
      <c r="W4" s="222" t="s">
        <v>15</v>
      </c>
      <c r="X4" s="206" t="s">
        <v>15</v>
      </c>
      <c r="Y4" s="208"/>
      <c r="Z4" s="208"/>
      <c r="AA4" s="208"/>
      <c r="AB4" s="52"/>
      <c r="AC4" s="49"/>
      <c r="AD4" s="2"/>
      <c r="AE4" s="1"/>
      <c r="AF4" s="1"/>
      <c r="AG4" s="18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COUNTIFS($N$13:$N$9338,"&gt;0",$AG$13:$AG$9338,I1)</f>
        <v>139</v>
      </c>
      <c r="K5" s="39"/>
      <c r="L5" s="173"/>
      <c r="M5" s="40">
        <f>AVERAGEIFS($N$13:$N$9338,$AG$13:$AG$9338,I1)</f>
        <v>37.614028777151617</v>
      </c>
      <c r="N5" s="38">
        <f t="array" ref="N5">MIN(IF($AG$13:$AG$9338=I1,IF(ISNUMBER($N$13:$N$9338),IF($N$13:$N$9338&gt;0,$N$13:$N$9338))))</f>
        <v>34.049999996786937</v>
      </c>
      <c r="O5" s="3">
        <f t="array" ref="O5">MAX(IF($AG$13:$AG$9338=I1,IF(ISNUMBER($N$13:$N$9338),IF($N$13:$N$9338&gt;0,$N$13:$N$9338))))</f>
        <v>58.233333335956559</v>
      </c>
      <c r="P5" s="2"/>
      <c r="R5" s="163" t="s">
        <v>17</v>
      </c>
      <c r="S5" s="214">
        <f>COUNTIFS($N$13:$N$9338,"&gt;0",$AG$13:$AG$9338,R1)</f>
        <v>49</v>
      </c>
      <c r="T5" s="173"/>
      <c r="U5" s="201"/>
      <c r="V5" s="221">
        <f>AVERAGEIFS($N$13:$N$9338,$AG$13:$AG$9338,R1)</f>
        <v>15.258163264857567</v>
      </c>
      <c r="W5" s="222">
        <f t="array" ref="W5">MIN(IF($AG$13:$AG$9338=R1,IF(ISNUMBER($N$13:$N$9338),IF($N$13:$N$9338&gt;0,$N$13:$N$9338))))</f>
        <v>10.983333333861083</v>
      </c>
      <c r="X5" s="206">
        <f t="array" ref="X5">MAX(IF($AG$13:$AG$9338=R1,IF(ISNUMBER($N$13:$N$9338),IF($N$13:$N$9338&gt;0,$N$13:$N$9338))))</f>
        <v>24.36666666297242</v>
      </c>
      <c r="Y5" s="208"/>
      <c r="Z5" s="208"/>
      <c r="AA5" s="208"/>
      <c r="AB5" s="52"/>
      <c r="AC5" s="49"/>
      <c r="AD5" s="2"/>
      <c r="AE5" s="1"/>
      <c r="AF5" s="1"/>
      <c r="AG5" s="18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COUNT($O$13:$O$139)</f>
        <v>0</v>
      </c>
      <c r="K6" s="39"/>
      <c r="L6" s="173"/>
      <c r="M6" s="40">
        <f>IFERROR(AVERAGE($O$13:$O$139),0)</f>
        <v>0</v>
      </c>
      <c r="N6" s="38">
        <f>MIN($O$13:$O$139)</f>
        <v>0</v>
      </c>
      <c r="O6" s="3">
        <f>MAX($O$13:$O$139)</f>
        <v>0</v>
      </c>
      <c r="P6" s="2"/>
      <c r="R6" s="164" t="s">
        <v>43</v>
      </c>
      <c r="S6" s="214">
        <f>COUNT($O$13:$O$139)</f>
        <v>0</v>
      </c>
      <c r="T6" s="173"/>
      <c r="U6" s="201"/>
      <c r="V6" s="221">
        <f>IFERROR(AVERAGE($O$13:$O$139),0)</f>
        <v>0</v>
      </c>
      <c r="W6" s="222">
        <f>MIN($O$13:$O$139)</f>
        <v>0</v>
      </c>
      <c r="X6" s="206">
        <f>MAX($O$13:$O$139)</f>
        <v>0</v>
      </c>
      <c r="Y6" s="208"/>
      <c r="Z6" s="208"/>
      <c r="AA6" s="208"/>
      <c r="AB6" s="52"/>
      <c r="AC6" s="49"/>
      <c r="AD6" s="2"/>
      <c r="AE6" s="1"/>
      <c r="AF6" s="1"/>
      <c r="AG6" s="18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COUNTIFS($P$13:$P$9338,"&gt;0",$AG$13:$AG$9338,I1)</f>
        <v>5</v>
      </c>
      <c r="K7" s="39"/>
      <c r="L7" s="173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14">
        <f>COUNTIFS($P$13:$P$9338,"&gt;0",$AG$13:$AG$9338,R1)</f>
        <v>0</v>
      </c>
      <c r="T7" s="173"/>
      <c r="U7" s="201"/>
      <c r="V7" s="221" t="s">
        <v>15</v>
      </c>
      <c r="W7" s="222" t="s">
        <v>15</v>
      </c>
      <c r="X7" s="206" t="s">
        <v>15</v>
      </c>
      <c r="Y7" s="208"/>
      <c r="Z7" s="208"/>
      <c r="AA7" s="208"/>
      <c r="AB7" s="52"/>
      <c r="AC7" s="49"/>
      <c r="AD7" s="2"/>
      <c r="AE7" s="1"/>
      <c r="AF7" s="1"/>
      <c r="AG7" s="18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3"/>
      <c r="M8" s="40">
        <f>M5</f>
        <v>37.614028777151617</v>
      </c>
      <c r="N8" s="38">
        <f>N5</f>
        <v>34.049999996786937</v>
      </c>
      <c r="O8" s="3">
        <f>O5</f>
        <v>58.233333335956559</v>
      </c>
      <c r="P8" s="2"/>
      <c r="R8" s="163" t="s">
        <v>16</v>
      </c>
      <c r="S8" s="214">
        <f>S5</f>
        <v>49</v>
      </c>
      <c r="T8" s="173"/>
      <c r="U8" s="201"/>
      <c r="V8" s="221">
        <f>V5</f>
        <v>15.258163264857567</v>
      </c>
      <c r="W8" s="222">
        <f>W5</f>
        <v>10.983333333861083</v>
      </c>
      <c r="X8" s="206">
        <f>X5</f>
        <v>24.36666666297242</v>
      </c>
      <c r="Y8" s="208"/>
      <c r="Z8" s="208"/>
      <c r="AA8" s="208"/>
      <c r="AB8" s="52"/>
      <c r="AC8" s="49"/>
      <c r="AD8" s="2"/>
      <c r="AE8" s="1"/>
      <c r="AF8" s="1"/>
      <c r="AG8" s="18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70"/>
      <c r="M9" s="69"/>
      <c r="N9" s="36"/>
      <c r="O9" s="70"/>
      <c r="P9" s="2"/>
      <c r="R9" s="163" t="s">
        <v>19</v>
      </c>
      <c r="S9" s="211">
        <f>S8/S4</f>
        <v>1</v>
      </c>
      <c r="T9" s="170"/>
      <c r="U9" s="198"/>
      <c r="V9" s="223"/>
      <c r="W9" s="198"/>
      <c r="X9" s="207"/>
      <c r="Y9" s="208"/>
      <c r="Z9" s="208"/>
      <c r="AA9" s="208"/>
      <c r="AB9" s="52"/>
      <c r="AC9" s="49"/>
      <c r="AD9" s="2"/>
      <c r="AE9" s="1"/>
      <c r="AF9" s="1"/>
      <c r="AG9" s="18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0"/>
      <c r="M10" s="35"/>
      <c r="N10" s="36"/>
      <c r="O10" s="2"/>
      <c r="P10" s="2"/>
      <c r="R10" s="161"/>
      <c r="S10" s="215"/>
      <c r="T10" s="169"/>
      <c r="U10" s="202"/>
      <c r="V10" s="224"/>
      <c r="W10" s="208"/>
      <c r="X10" s="208"/>
      <c r="Y10" s="208"/>
      <c r="Z10" s="208"/>
      <c r="AA10" s="208"/>
      <c r="AB10" s="52"/>
      <c r="AC10" s="49"/>
      <c r="AD10" s="2"/>
      <c r="AE10" s="1"/>
      <c r="AF10" s="1"/>
      <c r="AG10" s="186"/>
      <c r="AH10" s="47"/>
      <c r="AI10" s="1"/>
      <c r="AM10" s="142"/>
      <c r="AO10" s="169"/>
    </row>
    <row r="11" spans="1:91" ht="16.5" thickBot="1" x14ac:dyDescent="0.3">
      <c r="A11" s="196" t="str">
        <f>"Eagle P3 System Performance - "&amp;TEXT(Variables!A2,"yyyy-mm-dd")</f>
        <v>Eagle P3 System Performance - 2017-09-14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215">
        <f>AVERAGE(S13:S106)</f>
        <v>0.99633699633699624</v>
      </c>
      <c r="V11" s="224"/>
      <c r="AE11" s="1"/>
      <c r="AF11" s="1"/>
      <c r="AG11" s="18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8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16" t="s">
        <v>63</v>
      </c>
      <c r="T12" s="174" t="s">
        <v>64</v>
      </c>
      <c r="U12" s="203" t="s">
        <v>65</v>
      </c>
      <c r="V12" s="225" t="s">
        <v>45</v>
      </c>
      <c r="W12" s="209" t="s">
        <v>23</v>
      </c>
      <c r="X12" s="209" t="s">
        <v>48</v>
      </c>
      <c r="Y12" s="209" t="s">
        <v>20</v>
      </c>
      <c r="Z12" s="209" t="s">
        <v>21</v>
      </c>
      <c r="AA12" s="209" t="s">
        <v>22</v>
      </c>
      <c r="AB12" s="53" t="s">
        <v>39</v>
      </c>
      <c r="AC12" s="50" t="s">
        <v>40</v>
      </c>
      <c r="AD12" s="182" t="s">
        <v>82</v>
      </c>
      <c r="AE12" s="76" t="s">
        <v>89</v>
      </c>
      <c r="AF12" s="73" t="s">
        <v>94</v>
      </c>
      <c r="AG12" s="18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8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570</v>
      </c>
      <c r="B13" s="7">
        <v>4026</v>
      </c>
      <c r="C13" s="21" t="s">
        <v>197</v>
      </c>
      <c r="D13" s="21" t="s">
        <v>826</v>
      </c>
      <c r="E13" s="13">
        <v>42992.132997685185</v>
      </c>
      <c r="F13" s="13">
        <v>42992.135648148149</v>
      </c>
      <c r="G13" s="7">
        <v>69</v>
      </c>
      <c r="H13" s="21" t="s">
        <v>827</v>
      </c>
      <c r="I13" s="13">
        <v>42992.159085648149</v>
      </c>
      <c r="J13" s="7">
        <v>1</v>
      </c>
      <c r="K13" s="89" t="str">
        <f t="shared" ref="K13:K76" si="0">IF(ISEVEN(B13),(B13-1)&amp;"/"&amp;B13,B13&amp;"/"&amp;(B13+1))</f>
        <v>4025/4026</v>
      </c>
      <c r="L13" s="189" t="str">
        <f>VLOOKUP(A13,'Trips&amp;Operators'!$C$1:$G$99911,5,FALSE)</f>
        <v>ROCHA YAOTL</v>
      </c>
      <c r="M13" s="6">
        <f t="shared" ref="M13:M76" si="1">I13-F13</f>
        <v>2.34375E-2</v>
      </c>
      <c r="N13" s="7"/>
      <c r="O13" s="7"/>
      <c r="P13" s="7">
        <f>24*60*SUM($M13:$M13)</f>
        <v>33.75</v>
      </c>
      <c r="Q13" s="22"/>
      <c r="R13" s="167" t="s">
        <v>1015</v>
      </c>
      <c r="S13" s="217">
        <f t="shared" ref="S13:S52" si="2">1/IF(AG13="EC",12,1)*SUM(U13:U13)</f>
        <v>1</v>
      </c>
      <c r="T13" s="175" t="str">
        <f t="shared" ref="T13:T76" si="3">IF(ISEVEN(LEFT(AD13,4)),"Southbound","NorthBound")</f>
        <v>NorthBound</v>
      </c>
      <c r="U13" s="20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2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-14T02:11:31-0600',mode:absolute,to:'2017-09-14T04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10" t="str">
        <f>IF(AA13&lt;VLOOKUP(AG13,Variables!$AC$3:$AD$8,2,FALSE),"Y","N")</f>
        <v>Y</v>
      </c>
      <c r="X13" s="210" t="e">
        <f t="shared" ref="X13:X44" si="5">VALUE(LEFT(AD13,4))-VALUE(LEFT(AD12,4))</f>
        <v>#VALUE!</v>
      </c>
      <c r="Y13" s="210">
        <f t="shared" ref="Y13:Y44" si="6">RIGHT(D13,LEN(D13)-4)/10000</f>
        <v>7.6300000000000007E-2</v>
      </c>
      <c r="Z13" s="210">
        <f t="shared" ref="Z13:Z44" si="7">RIGHT(H13,LEN(H13)-4)/10000</f>
        <v>21.891999999999999</v>
      </c>
      <c r="AA13" s="210">
        <f t="shared" ref="AA13:AA76" si="8">ABS(Z13-Y13)</f>
        <v>21.8157</v>
      </c>
      <c r="AB13" s="54" t="e">
        <f>VLOOKUP(A13,Enforcements!$C$7:$K$11,8,0)</f>
        <v>#N/A</v>
      </c>
      <c r="AC13" s="51" t="e">
        <f>VLOOKUP(A13,Enforcements!$C$7:$E$11,3,0)</f>
        <v>#N/A</v>
      </c>
      <c r="AD13" s="183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/stypes="app*4026*20170914*" /stext=" 09:.+((SYSTEM_STATE.+slice.+state.+changed )|(ment ac)|(multiple cpu faults)|(system.+state.+changed )|(\[timeout)|(PRM\|1\|D)|(kpr)|(kdp)|(train st.+moving)|(\|lc)|(penalty))"</v>
      </c>
      <c r="AG13" s="186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4026 --swversion DE.1.0.9.0 --startMP 204:763 --initTime 2017-09-14T03:11:31 --startdatetime 2017-09-14T03:15:20 --delay 69 --endMP 204:218920 --enddatetime 2017-09-14T03:49:05 --enforcementcount 1 &gt;&gt;C:\Users\stu\Documents\GitHub\eaglep3-reporting\EC\2017-09-14-refined-times.txt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{"issue":{"subject":"Power outage at CP DIA (UPS reset)","project_id":79,"tracker_id":40,"status_id":1,"priority_id":2,"assigned_to_id":338,"start_date":"2017-09-14","description":"","custom_fields":[{"id":1,"name":"Subdivision","value":"EC"},{"id":4,"name":"Milepost","value":"21.892"},{"id":17,"name":"Train ID","value":"101-14"},{"id":16,"name":"Locomotive ID","value":"4026"},{"id":130,"name":"Impact","value":""},{"id":150,"name":"Time of Event (Mountain Time)","value":"03:49:05"},{"id":151,"name":"Denver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4026 --day 2017-09-14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 outage at CP DIA (UPS reset)","project_id":30,"tracker_id":4,"status_id":1,"priority_id":1,"assigned_to_id":10,"start_date":"2017-09-14","description":"","custom_fields":[{"id":30,"name":"Category","value":"Issue"},{"id":3,"name":"Functional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09:49:05"},{"id":29,"name":"Sharepoint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624</v>
      </c>
      <c r="B14" s="7">
        <v>4025</v>
      </c>
      <c r="C14" s="21" t="s">
        <v>197</v>
      </c>
      <c r="D14" s="21" t="s">
        <v>828</v>
      </c>
      <c r="E14" s="13">
        <v>42992.167245370372</v>
      </c>
      <c r="F14" s="13">
        <v>42992.175416666665</v>
      </c>
      <c r="G14" s="7">
        <v>60</v>
      </c>
      <c r="H14" s="21" t="s">
        <v>360</v>
      </c>
      <c r="I14" s="13">
        <v>42992.200798611113</v>
      </c>
      <c r="J14" s="7">
        <v>1</v>
      </c>
      <c r="K14" s="89" t="str">
        <f t="shared" si="0"/>
        <v>4025/4026</v>
      </c>
      <c r="L14" s="189" t="str">
        <f>VLOOKUP(A14,'Trips&amp;Operators'!$C$1:$G$99911,5,FALSE)</f>
        <v>ROCHA YAOTL</v>
      </c>
      <c r="M14" s="6">
        <f t="shared" si="1"/>
        <v>2.5381944447872229E-2</v>
      </c>
      <c r="N14" s="7">
        <f t="shared" ref="N14:N52" si="17">24*60*SUM($M14:$M14)</f>
        <v>36.55000000493601</v>
      </c>
      <c r="O14" s="7"/>
      <c r="P14" s="7"/>
      <c r="Q14" s="22"/>
      <c r="R14" s="167"/>
      <c r="S14" s="217">
        <f t="shared" si="2"/>
        <v>1</v>
      </c>
      <c r="T14" s="175" t="str">
        <f t="shared" si="3"/>
        <v>Southbound</v>
      </c>
      <c r="U14" s="20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26" t="str">
        <f t="shared" si="4"/>
        <v>https://d0f6bd738d7f1b3e5a7ca70fe4ff75f0.us-east-1.aws.found.io/app/kibana#/discover/Steve-Slow-Train-Analysis-(2080s-and-2083s)?_g=(refreshInterval:(display:Off,pause:!f,section:0,value:0),time:(from:'2017-09-14T03:00:50-0600',mode:absolute,to:'2017-09-14T05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10" t="str">
        <f>IF(AA14&lt;VLOOKUP(AG14,Variables!$AC$3:$AD$8,2,FALSE),"Y","N")</f>
        <v>N</v>
      </c>
      <c r="X14" s="210">
        <f t="shared" si="5"/>
        <v>1</v>
      </c>
      <c r="Y14" s="210">
        <f t="shared" si="6"/>
        <v>23.313800000000001</v>
      </c>
      <c r="Z14" s="210">
        <f t="shared" si="7"/>
        <v>1.52E-2</v>
      </c>
      <c r="AA14" s="210">
        <f t="shared" si="8"/>
        <v>23.2986</v>
      </c>
      <c r="AB14" s="54" t="e">
        <f>VLOOKUP(A14,Enforcements!$C$7:$K$11,8,0)</f>
        <v>#N/A</v>
      </c>
      <c r="AC14" s="51" t="e">
        <f>VLOOKUP(A14,Enforcements!$C$7:$E$11,3,0)</f>
        <v>#N/A</v>
      </c>
      <c r="AD14" s="183">
        <f t="shared" si="9"/>
        <v>102</v>
      </c>
      <c r="AE14" s="77" t="str">
        <f t="shared" si="10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14" s="74" t="str">
        <f t="shared" si="11"/>
        <v>"C:\Program Files (x86)\AstroGrep\AstroGrep.exe" /e /r /s /spath="%USERPROFILE%\AppData\Local\Temp\OnboardLogs" /stypes="app*4025*20170914*" /stext=" 10:.+((SYSTEM_STATE.+slice.+state.+changed )|(ment ac)|(multiple cpu faults)|(system.+state.+changed )|(\[timeout)|(PRM\|1\|D)|(kpr)|(kdp)|(train st.+moving)|(\|lc)|(penalty))"</v>
      </c>
      <c r="AG14" s="186" t="str">
        <f t="shared" si="12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4025 --swversion DE.1.0.9.0 --startMP 204:233138 --initTime 2017-09-14T04:00:50 --startdatetime 2017-09-14T04:12:36 --delay 60 --endMP 204:152 --enddatetime 2017-09-14T04:49:09 --enforcementcount 1 &gt;&gt;C:\Users\stu\Documents\GitHub\eaglep3-reporting\EC\2017-09-14-refined-times.txt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{"issue":{"subject":"","project_id":79,"tracker_id":40,"status_id":1,"priority_id":2,"assigned_to_id":338,"start_date":"2017-09-14","description":"","custom_fields":[{"id":1,"name":"Subdivision","value":"EC"},{"id":4,"name":"Milepost","value":"0.0152"},{"id":17,"name":"Train ID","value":"102-14"},{"id":16,"name":"Locomotive ID","value":"4025"},{"id":130,"name":"Impact","value":""},{"id":150,"name":"Time of Event (Mountain Time)","value":"04:49:09"},{"id":151,"name":"Denver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4025 --day 2017-09-14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622</v>
      </c>
      <c r="B15" s="7">
        <v>4058</v>
      </c>
      <c r="C15" s="21" t="s">
        <v>197</v>
      </c>
      <c r="D15" s="21" t="s">
        <v>337</v>
      </c>
      <c r="E15" s="13">
        <v>42992.151238425926</v>
      </c>
      <c r="F15" s="13">
        <v>42992.156481481485</v>
      </c>
      <c r="G15" s="7">
        <v>60</v>
      </c>
      <c r="H15" s="21" t="s">
        <v>478</v>
      </c>
      <c r="I15" s="13">
        <v>42992.188391203701</v>
      </c>
      <c r="J15" s="7">
        <v>1</v>
      </c>
      <c r="K15" s="89" t="str">
        <f t="shared" si="0"/>
        <v>4057/4058</v>
      </c>
      <c r="L15" s="189" t="str">
        <f>VLOOKUP(A15,'Trips&amp;Operators'!$C$1:$G$99911,5,FALSE)</f>
        <v>MAELZER KURT</v>
      </c>
      <c r="M15" s="6">
        <f t="shared" si="1"/>
        <v>3.1909722216369119E-2</v>
      </c>
      <c r="N15" s="7">
        <f t="shared" si="17"/>
        <v>45.949999991571531</v>
      </c>
      <c r="O15" s="7"/>
      <c r="P15" s="7"/>
      <c r="Q15" s="22"/>
      <c r="R15" s="167"/>
      <c r="S15" s="217">
        <f t="shared" si="2"/>
        <v>1</v>
      </c>
      <c r="T15" s="175" t="str">
        <f t="shared" si="3"/>
        <v>NorthBound</v>
      </c>
      <c r="U15" s="20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26" t="str">
        <f t="shared" si="4"/>
        <v>https://d0f6bd738d7f1b3e5a7ca70fe4ff75f0.us-east-1.aws.found.io/app/kibana#/discover/Steve-Slow-Train-Analysis-(2080s-and-2083s)?_g=(refreshInterval:(display:Off,pause:!f,section:0,value:0),time:(from:'2017-09-14T02:37:47-0600',mode:absolute,to:'2017-09-14T05:31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" s="210" t="str">
        <f>IF(AA15&lt;VLOOKUP(AG15,Variables!$AC$3:$AD$8,2,FALSE),"Y","N")</f>
        <v>N</v>
      </c>
      <c r="X15" s="210">
        <f t="shared" si="5"/>
        <v>1</v>
      </c>
      <c r="Y15" s="210">
        <f t="shared" si="6"/>
        <v>4.4600000000000001E-2</v>
      </c>
      <c r="Z15" s="210">
        <f t="shared" si="7"/>
        <v>23.3293</v>
      </c>
      <c r="AA15" s="210">
        <f t="shared" si="8"/>
        <v>23.284700000000001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83">
        <f t="shared" si="9"/>
        <v>103</v>
      </c>
      <c r="AE15" s="77" t="str">
        <f t="shared" si="10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5" s="74" t="str">
        <f t="shared" si="11"/>
        <v>"C:\Program Files (x86)\AstroGrep\AstroGrep.exe" /e /r /s /spath="%USERPROFILE%\AppData\Local\Temp\OnboardLogs" /stypes="app*4058*20170914*" /stext=" 10:.+((SYSTEM_STATE.+slice.+state.+changed )|(ment ac)|(multiple cpu faults)|(system.+state.+changed )|(\[timeout)|(PRM\|1\|D)|(kpr)|(kdp)|(train st.+moving)|(\|lc)|(penalty))"</v>
      </c>
      <c r="AG15" s="186" t="str">
        <f t="shared" si="12"/>
        <v>EC</v>
      </c>
      <c r="AH15" s="78" t="str">
        <f t="shared" si="18"/>
        <v>"%USERPROFILE%\Documents\GitHub\eaglep3\Utilities\RefineRTDCRunTimes.py" --tripid 103-14 --locoid 4058 --swversion DE.1.0.9.0 --startMP 204:446 --initTime 2017-09-14T03:37:47 --startdatetime 2017-09-14T03:45:20 --delay 60 --endMP 204:233293 --enddatetime 2017-09-14T04:31:17 --enforcementcount 1 &gt;&gt;C:\Users\stu\Documents\GitHub\eaglep3-reporting\EC\2017-09-14-refined-times.txt</v>
      </c>
      <c r="AI1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{"issue":{"subject":"","project_id":79,"tracker_id":40,"status_id":1,"priority_id":2,"assigned_to_id":338,"start_date":"2017-09-14","description":"","custom_fields":[{"id":1,"name":"Subdivision","value":"EC"},{"id":4,"name":"Milepost","value":"23.3293"},{"id":17,"name":"Train ID","value":"103-14"},{"id":16,"name":"Locomotive ID","value":"4058"},{"id":130,"name":"Impact","value":""},{"id":150,"name":"Time of Event (Mountain Time)","value":"04:31:17"},{"id":151,"name":"Denver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4058 --day 2017-09-14</v>
      </c>
      <c r="AN1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10:31:17"},{"id":29,"name":"Sharepoint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631</v>
      </c>
      <c r="B16" s="7">
        <v>4057</v>
      </c>
      <c r="C16" s="21" t="s">
        <v>197</v>
      </c>
      <c r="D16" s="21" t="s">
        <v>829</v>
      </c>
      <c r="E16" s="13">
        <v>42992.194050925929</v>
      </c>
      <c r="F16" s="13">
        <v>42992.196064814816</v>
      </c>
      <c r="G16" s="7">
        <v>53</v>
      </c>
      <c r="H16" s="21" t="s">
        <v>340</v>
      </c>
      <c r="I16" s="13">
        <v>42992.222083333334</v>
      </c>
      <c r="J16" s="7">
        <v>1</v>
      </c>
      <c r="K16" s="89" t="str">
        <f t="shared" si="0"/>
        <v>4057/4058</v>
      </c>
      <c r="L16" s="189" t="str">
        <f>VLOOKUP(A16,'Trips&amp;Operators'!$C$1:$G$99911,5,FALSE)</f>
        <v>MAELZER KURT</v>
      </c>
      <c r="M16" s="6">
        <f t="shared" si="1"/>
        <v>2.6018518517958E-2</v>
      </c>
      <c r="N16" s="7">
        <f t="shared" si="17"/>
        <v>37.46666666585952</v>
      </c>
      <c r="O16" s="7"/>
      <c r="P16" s="7"/>
      <c r="Q16" s="22"/>
      <c r="R16" s="167"/>
      <c r="S16" s="217">
        <f t="shared" si="2"/>
        <v>1</v>
      </c>
      <c r="T16" s="175" t="str">
        <f t="shared" si="3"/>
        <v>Southbound</v>
      </c>
      <c r="U16" s="20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26" t="str">
        <f t="shared" si="4"/>
        <v>https://d0f6bd738d7f1b3e5a7ca70fe4ff75f0.us-east-1.aws.found.io/app/kibana#/discover/Steve-Slow-Train-Analysis-(2080s-and-2083s)?_g=(refreshInterval:(display:Off,pause:!f,section:0,value:0),time:(from:'2017-09-14T03:39:26-0600',mode:absolute,to:'2017-09-14T06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" s="210" t="str">
        <f>IF(AA16&lt;VLOOKUP(AG16,Variables!$AC$3:$AD$8,2,FALSE),"Y","N")</f>
        <v>N</v>
      </c>
      <c r="X16" s="210">
        <f t="shared" si="5"/>
        <v>1</v>
      </c>
      <c r="Y16" s="210">
        <f t="shared" si="6"/>
        <v>23.298200000000001</v>
      </c>
      <c r="Z16" s="210">
        <f t="shared" si="7"/>
        <v>1.43E-2</v>
      </c>
      <c r="AA16" s="210">
        <f t="shared" si="8"/>
        <v>23.283900000000003</v>
      </c>
      <c r="AB16" s="54" t="e">
        <f>VLOOKUP(A16,Enforcements!$C$7:$K$11,8,0)</f>
        <v>#N/A</v>
      </c>
      <c r="AC16" s="51" t="e">
        <f>VLOOKUP(A16,Enforcements!$C$7:$E$11,3,0)</f>
        <v>#N/A</v>
      </c>
      <c r="AD16" s="183">
        <f t="shared" si="9"/>
        <v>104</v>
      </c>
      <c r="AE16" s="77" t="str">
        <f t="shared" si="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6" s="74" t="str">
        <f t="shared" si="11"/>
        <v>"C:\Program Files (x86)\AstroGrep\AstroGrep.exe" /e /r /s /spath="%USERPROFILE%\AppData\Local\Temp\OnboardLogs" /stypes="app*4057*20170914*" /stext=" 11:.+((SYSTEM_STATE.+slice.+state.+changed )|(ment ac)|(multiple cpu faults)|(system.+state.+changed )|(\[timeout)|(PRM\|1\|D)|(kpr)|(kdp)|(train st.+moving)|(\|lc)|(penalty))"</v>
      </c>
      <c r="AG16" s="186" t="str">
        <f t="shared" si="12"/>
        <v>EC</v>
      </c>
      <c r="AH16" s="78" t="str">
        <f t="shared" si="18"/>
        <v>"%USERPROFILE%\Documents\GitHub\eaglep3\Utilities\RefineRTDCRunTimes.py" --tripid 104-14 --locoid 4057 --swversion DE.1.0.9.0 --startMP 204:232982 --initTime 2017-09-14T04:39:26 --startdatetime 2017-09-14T04:42:20 --delay 53 --endMP 204:143 --enddatetime 2017-09-14T05:19:48 --enforcementcount 1 &gt;&gt;C:\Users\stu\Documents\GitHub\eaglep3-reporting\EC\2017-09-14-refined-times.txt</v>
      </c>
      <c r="AI1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{"issue":{"subject":"","project_id":79,"tracker_id":40,"status_id":1,"priority_id":2,"assigned_to_id":338,"start_date":"2017-09-14","description":"","custom_fields":[{"id":1,"name":"Subdivision","value":"EC"},{"id":4,"name":"Milepost","value":"0.0143"},{"id":17,"name":"Train ID","value":"104-14"},{"id":16,"name":"Locomotive ID","value":"4057"},{"id":130,"name":"Impact","value":""},{"id":150,"name":"Time of Event (Mountain Time)","value":"05:19:48"},{"id":151,"name":"Denver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4057 --day 2017-09-14</v>
      </c>
      <c r="AN1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625</v>
      </c>
      <c r="B17" s="7">
        <v>4030</v>
      </c>
      <c r="C17" s="21" t="s">
        <v>197</v>
      </c>
      <c r="D17" s="21" t="s">
        <v>423</v>
      </c>
      <c r="E17" s="13">
        <v>42992.168310185189</v>
      </c>
      <c r="F17" s="13">
        <v>42992.177268518521</v>
      </c>
      <c r="G17" s="7">
        <v>85</v>
      </c>
      <c r="H17" s="21" t="s">
        <v>430</v>
      </c>
      <c r="I17" s="13">
        <v>42992.20244212963</v>
      </c>
      <c r="J17" s="7">
        <v>1</v>
      </c>
      <c r="K17" s="89" t="str">
        <f t="shared" si="0"/>
        <v>4029/4030</v>
      </c>
      <c r="L17" s="189" t="str">
        <f>VLOOKUP(A17,'Trips&amp;Operators'!$C$1:$G$99911,5,FALSE)</f>
        <v>PAGE MARCUS</v>
      </c>
      <c r="M17" s="6">
        <f t="shared" si="1"/>
        <v>2.5173611109494232E-2</v>
      </c>
      <c r="N17" s="7">
        <f t="shared" si="17"/>
        <v>36.249999997671694</v>
      </c>
      <c r="O17" s="7"/>
      <c r="P17" s="7"/>
      <c r="Q17" s="22"/>
      <c r="R17" s="167"/>
      <c r="S17" s="217">
        <f t="shared" si="2"/>
        <v>1</v>
      </c>
      <c r="T17" s="175" t="str">
        <f t="shared" si="3"/>
        <v>NorthBound</v>
      </c>
      <c r="U17" s="20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26" t="str">
        <f t="shared" si="4"/>
        <v>https://d0f6bd738d7f1b3e5a7ca70fe4ff75f0.us-east-1.aws.found.io/app/kibana#/discover/Steve-Slow-Train-Analysis-(2080s-and-2083s)?_g=(refreshInterval:(display:Off,pause:!f,section:0,value:0),time:(from:'2017-09-14T03:02:22-0600',mode:absolute,to:'2017-09-14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10" t="str">
        <f>IF(AA17&lt;VLOOKUP(AG17,Variables!$AC$3:$AD$8,2,FALSE),"Y","N")</f>
        <v>N</v>
      </c>
      <c r="X17" s="210">
        <f t="shared" si="5"/>
        <v>1</v>
      </c>
      <c r="Y17" s="210">
        <f t="shared" si="6"/>
        <v>4.5100000000000001E-2</v>
      </c>
      <c r="Z17" s="210">
        <f t="shared" si="7"/>
        <v>23.3291</v>
      </c>
      <c r="AA17" s="210">
        <f t="shared" si="8"/>
        <v>23.283999999999999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83">
        <f t="shared" si="9"/>
        <v>105</v>
      </c>
      <c r="AE17" s="77" t="str">
        <f t="shared" si="10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7" s="74" t="str">
        <f t="shared" si="11"/>
        <v>"C:\Program Files (x86)\AstroGrep\AstroGrep.exe" /e /r /s /spath="%USERPROFILE%\AppData\Local\Temp\OnboardLogs" /stypes="app*4030*20170914*" /stext=" 10:.+((SYSTEM_STATE.+slice.+state.+changed )|(ment ac)|(multiple cpu faults)|(system.+state.+changed )|(\[timeout)|(PRM\|1\|D)|(kpr)|(kdp)|(train st.+moving)|(\|lc)|(penalty))"</v>
      </c>
      <c r="AG17" s="186" t="str">
        <f t="shared" si="12"/>
        <v>EC</v>
      </c>
      <c r="AH17" s="78" t="str">
        <f t="shared" si="18"/>
        <v>"%USERPROFILE%\Documents\GitHub\eaglep3\Utilities\RefineRTDCRunTimes.py" --tripid 105-14 --locoid 4030 --swversion DE.1.0.9.0 --startMP 204:451 --initTime 2017-09-14T04:02:22 --startdatetime 2017-09-14T04:15:16 --delay 85 --endMP 204:233291 --enddatetime 2017-09-14T04:51:31 --enforcementcount 1 &gt;&gt;C:\Users\stu\Documents\GitHub\eaglep3-reporting\EC\2017-09-14-refined-times.txt</v>
      </c>
      <c r="AI1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{"issue":{"subject":"","project_id":79,"tracker_id":40,"status_id":1,"priority_id":2,"assigned_to_id":338,"start_date":"2017-09-14","description":"","custom_fields":[{"id":1,"name":"Subdivision","value":"EC"},{"id":4,"name":"Milepost","value":"23.3291"},{"id":17,"name":"Train ID","value":"105-14"},{"id":16,"name":"Locomotive ID","value":"4030"},{"id":130,"name":"Impact","value":""},{"id":150,"name":"Time of Event (Mountain Time)","value":"04:51:31"},{"id":151,"name":"Denver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4030 --day 2017-09-14</v>
      </c>
      <c r="AN1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577</v>
      </c>
      <c r="B18" s="7">
        <v>4029</v>
      </c>
      <c r="C18" s="21" t="s">
        <v>197</v>
      </c>
      <c r="D18" s="21" t="s">
        <v>532</v>
      </c>
      <c r="E18" s="13">
        <v>42992.210532407407</v>
      </c>
      <c r="F18" s="13">
        <v>42992.216851851852</v>
      </c>
      <c r="G18" s="7">
        <v>57</v>
      </c>
      <c r="H18" s="21" t="s">
        <v>343</v>
      </c>
      <c r="I18" s="13">
        <v>42992.244120370371</v>
      </c>
      <c r="J18" s="7">
        <v>1</v>
      </c>
      <c r="K18" s="89" t="str">
        <f t="shared" si="0"/>
        <v>4029/4030</v>
      </c>
      <c r="L18" s="189" t="str">
        <f>VLOOKUP(A18,'Trips&amp;Operators'!$C$1:$G$99911,5,FALSE)</f>
        <v>PAGE MARCUS</v>
      </c>
      <c r="M18" s="6">
        <f t="shared" si="1"/>
        <v>2.7268518519122154E-2</v>
      </c>
      <c r="N18" s="7">
        <f t="shared" si="17"/>
        <v>39.266666667535901</v>
      </c>
      <c r="O18" s="7"/>
      <c r="P18" s="7"/>
      <c r="Q18" s="22"/>
      <c r="R18" s="167"/>
      <c r="S18" s="217">
        <f t="shared" si="2"/>
        <v>1</v>
      </c>
      <c r="T18" s="175" t="str">
        <f t="shared" si="3"/>
        <v>Southbound</v>
      </c>
      <c r="U18" s="20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26" t="str">
        <f t="shared" si="4"/>
        <v>https://d0f6bd738d7f1b3e5a7ca70fe4ff75f0.us-east-1.aws.found.io/app/kibana#/discover/Steve-Slow-Train-Analysis-(2080s-and-2083s)?_g=(refreshInterval:(display:Off,pause:!f,section:0,value:0),time:(from:'2017-09-14T04:03:10-0600',mode:absolute,to:'2017-09-14T06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10" t="str">
        <f>IF(AA18&lt;VLOOKUP(AG18,Variables!$AC$3:$AD$8,2,FALSE),"Y","N")</f>
        <v>N</v>
      </c>
      <c r="X18" s="210">
        <f t="shared" si="5"/>
        <v>1</v>
      </c>
      <c r="Y18" s="210">
        <f t="shared" si="6"/>
        <v>23.298300000000001</v>
      </c>
      <c r="Z18" s="210">
        <f t="shared" si="7"/>
        <v>1.47E-2</v>
      </c>
      <c r="AA18" s="210">
        <f t="shared" si="8"/>
        <v>23.2836</v>
      </c>
      <c r="AB18" s="54" t="e">
        <f>VLOOKUP(A18,Enforcements!$C$7:$K$11,8,0)</f>
        <v>#N/A</v>
      </c>
      <c r="AC18" s="51" t="e">
        <f>VLOOKUP(A18,Enforcements!$C$7:$E$11,3,0)</f>
        <v>#N/A</v>
      </c>
      <c r="AD18" s="183">
        <f t="shared" si="9"/>
        <v>106</v>
      </c>
      <c r="AE18" s="77" t="str">
        <f t="shared" si="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8" s="74" t="str">
        <f t="shared" si="11"/>
        <v>"C:\Program Files (x86)\AstroGrep\AstroGrep.exe" /e /r /s /spath="%USERPROFILE%\AppData\Local\Temp\OnboardLogs" /stypes="app*4029*20170914*" /stext=" 11:.+((SYSTEM_STATE.+slice.+state.+changed )|(ment ac)|(multiple cpu faults)|(system.+state.+changed )|(\[timeout)|(PRM\|1\|D)|(kpr)|(kdp)|(train st.+moving)|(\|lc)|(penalty))"</v>
      </c>
      <c r="AG18" s="186" t="str">
        <f t="shared" si="12"/>
        <v>EC</v>
      </c>
      <c r="AH18" s="78" t="str">
        <f t="shared" si="18"/>
        <v>"%USERPROFILE%\Documents\GitHub\eaglep3\Utilities\RefineRTDCRunTimes.py" --tripid 106-14 --locoid 4029 --swversion DE.1.0.9.0 --startMP 204:232983 --initTime 2017-09-14T05:03:10 --startdatetime 2017-09-14T05:12:16 --delay 57 --endMP 204:147 --enddatetime 2017-09-14T05:51:32 --enforcementcount 1 &gt;&gt;C:\Users\stu\Documents\GitHub\eaglep3-reporting\EC\2017-09-14-refined-times.txt</v>
      </c>
      <c r="AI1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{"issue":{"subject":"","project_id":79,"tracker_id":40,"status_id":1,"priority_id":2,"assigned_to_id":338,"start_date":"2017-09-14","description":"","custom_fields":[{"id":1,"name":"Subdivision","value":"EC"},{"id":4,"name":"Milepost","value":"0.0147"},{"id":17,"name":"Train ID","value":"106-14"},{"id":16,"name":"Locomotive ID","value":"4029"},{"id":130,"name":"Impact","value":""},{"id":150,"name":"Time of Event (Mountain Time)","value":"05:51:32"},{"id":151,"name":"Denver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4029 --day 2017-09-14</v>
      </c>
      <c r="AN1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630</v>
      </c>
      <c r="B19" s="7">
        <v>4060</v>
      </c>
      <c r="C19" s="21" t="s">
        <v>197</v>
      </c>
      <c r="D19" s="21" t="s">
        <v>421</v>
      </c>
      <c r="E19" s="13">
        <v>42992.183854166666</v>
      </c>
      <c r="F19" s="13">
        <v>42992.187696759262</v>
      </c>
      <c r="G19" s="7">
        <v>70</v>
      </c>
      <c r="H19" s="21" t="s">
        <v>454</v>
      </c>
      <c r="I19" s="13">
        <v>42992.211851851855</v>
      </c>
      <c r="J19" s="7">
        <v>1</v>
      </c>
      <c r="K19" s="89" t="str">
        <f t="shared" si="0"/>
        <v>4059/4060</v>
      </c>
      <c r="L19" s="189" t="str">
        <f>VLOOKUP(A19,'Trips&amp;Operators'!$C$1:$G$99911,5,FALSE)</f>
        <v>GEBRETEKLE DAGNEW</v>
      </c>
      <c r="M19" s="6">
        <f t="shared" si="1"/>
        <v>2.4155092592991423E-2</v>
      </c>
      <c r="N19" s="7">
        <f t="shared" si="17"/>
        <v>34.783333333907649</v>
      </c>
      <c r="O19" s="7"/>
      <c r="P19" s="7"/>
      <c r="Q19" s="22"/>
      <c r="R19" s="167"/>
      <c r="S19" s="217">
        <f t="shared" si="2"/>
        <v>1</v>
      </c>
      <c r="T19" s="175" t="str">
        <f t="shared" si="3"/>
        <v>NorthBound</v>
      </c>
      <c r="U19" s="20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26" t="str">
        <f t="shared" si="4"/>
        <v>https://d0f6bd738d7f1b3e5a7ca70fe4ff75f0.us-east-1.aws.found.io/app/kibana#/discover/Steve-Slow-Train-Analysis-(2080s-and-2083s)?_g=(refreshInterval:(display:Off,pause:!f,section:0,value:0),time:(from:'2017-09-14T03:24:45-0600',mode:absolute,to:'2017-09-14T06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210" t="str">
        <f>IF(AA19&lt;VLOOKUP(AG19,Variables!$AC$3:$AD$8,2,FALSE),"Y","N")</f>
        <v>N</v>
      </c>
      <c r="X19" s="210">
        <f t="shared" si="5"/>
        <v>1</v>
      </c>
      <c r="Y19" s="210">
        <f t="shared" si="6"/>
        <v>4.6199999999999998E-2</v>
      </c>
      <c r="Z19" s="210">
        <f t="shared" si="7"/>
        <v>23.329699999999999</v>
      </c>
      <c r="AA19" s="210">
        <f t="shared" si="8"/>
        <v>23.2835</v>
      </c>
      <c r="AB19" s="54" t="e">
        <f>VLOOKUP(A19,Enforcements!$C$7:$K$11,8,0)</f>
        <v>#N/A</v>
      </c>
      <c r="AC19" s="51" t="e">
        <f>VLOOKUP(A19,Enforcements!$C$7:$E$11,3,0)</f>
        <v>#N/A</v>
      </c>
      <c r="AD19" s="183">
        <f t="shared" si="9"/>
        <v>107</v>
      </c>
      <c r="AE19" s="77" t="str">
        <f t="shared" si="10"/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19" s="74" t="str">
        <f t="shared" si="11"/>
        <v>"C:\Program Files (x86)\AstroGrep\AstroGrep.exe" /e /r /s /spath="%USERPROFILE%\AppData\Local\Temp\OnboardLogs" /stypes="app*4060*20170914*" /stext=" 11:.+((SYSTEM_STATE.+slice.+state.+changed )|(ment ac)|(multiple cpu faults)|(system.+state.+changed )|(\[timeout)|(PRM\|1\|D)|(kpr)|(kdp)|(train st.+moving)|(\|lc)|(penalty))"</v>
      </c>
      <c r="AG19" s="186" t="str">
        <f t="shared" si="12"/>
        <v>EC</v>
      </c>
      <c r="AH19" s="78" t="str">
        <f t="shared" si="18"/>
        <v>"%USERPROFILE%\Documents\GitHub\eaglep3\Utilities\RefineRTDCRunTimes.py" --tripid 107-14 --locoid 4060 --swversion DE.1.0.9.0 --startMP 204:462 --initTime 2017-09-14T04:24:45 --startdatetime 2017-09-14T04:30:17 --delay 70 --endMP 204:233297 --enddatetime 2017-09-14T05:05:04 --enforcementcount 1 &gt;&gt;C:\Users\stu\Documents\GitHub\eaglep3-reporting\EC\2017-09-14-refined-times.txt</v>
      </c>
      <c r="AI1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{"issue":{"subject":"","project_id":79,"tracker_id":40,"status_id":1,"priority_id":2,"assigned_to_id":338,"start_date":"2017-09-14","description":"","custom_fields":[{"id":1,"name":"Subdivision","value":"EC"},{"id":4,"name":"Milepost","value":"23.3297"},{"id":17,"name":"Train ID","value":"107-14"},{"id":16,"name":"Locomotive ID","value":"4060"},{"id":130,"name":"Impact","value":""},{"id":150,"name":"Time of Event (Mountain Time)","value":"05:05:04"},{"id":151,"name":"Denver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4060 --day 2017-09-14</v>
      </c>
      <c r="AN1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636</v>
      </c>
      <c r="B20" s="7">
        <v>4059</v>
      </c>
      <c r="C20" s="21" t="s">
        <v>197</v>
      </c>
      <c r="D20" s="21" t="s">
        <v>830</v>
      </c>
      <c r="E20" s="13">
        <v>42992.213067129633</v>
      </c>
      <c r="F20" s="13">
        <v>42992.22729166667</v>
      </c>
      <c r="G20" s="7">
        <v>54</v>
      </c>
      <c r="H20" s="21" t="s">
        <v>371</v>
      </c>
      <c r="I20" s="13">
        <v>42992.252766203703</v>
      </c>
      <c r="J20" s="7">
        <v>1</v>
      </c>
      <c r="K20" s="89" t="str">
        <f t="shared" si="0"/>
        <v>4059/4060</v>
      </c>
      <c r="L20" s="189" t="str">
        <f>VLOOKUP(A20,'Trips&amp;Operators'!$C$1:$G$99911,5,FALSE)</f>
        <v>GEBRETEKLE DAGNEW</v>
      </c>
      <c r="M20" s="6">
        <f t="shared" si="1"/>
        <v>2.5474537033005618E-2</v>
      </c>
      <c r="N20" s="7">
        <f t="shared" si="17"/>
        <v>36.683333327528089</v>
      </c>
      <c r="O20" s="7"/>
      <c r="P20" s="7"/>
      <c r="Q20" s="22"/>
      <c r="R20" s="167"/>
      <c r="S20" s="217">
        <f t="shared" si="2"/>
        <v>1</v>
      </c>
      <c r="T20" s="175" t="str">
        <f t="shared" si="3"/>
        <v>Southbound</v>
      </c>
      <c r="U20" s="20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26" t="str">
        <f t="shared" si="4"/>
        <v>https://d0f6bd738d7f1b3e5a7ca70fe4ff75f0.us-east-1.aws.found.io/app/kibana#/discover/Steve-Slow-Train-Analysis-(2080s-and-2083s)?_g=(refreshInterval:(display:Off,pause:!f,section:0,value:0),time:(from:'2017-09-14T04:06:49-0600',mode:absolute,to:'2017-09-14T07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210" t="str">
        <f>IF(AA20&lt;VLOOKUP(AG20,Variables!$AC$3:$AD$8,2,FALSE),"Y","N")</f>
        <v>N</v>
      </c>
      <c r="X20" s="210">
        <f t="shared" si="5"/>
        <v>1</v>
      </c>
      <c r="Y20" s="210">
        <f t="shared" si="6"/>
        <v>23.298400000000001</v>
      </c>
      <c r="Z20" s="210">
        <f t="shared" si="7"/>
        <v>1.5599999999999999E-2</v>
      </c>
      <c r="AA20" s="210">
        <f t="shared" si="8"/>
        <v>23.282800000000002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83">
        <f t="shared" si="9"/>
        <v>108</v>
      </c>
      <c r="AE20" s="77" t="str">
        <f t="shared" si="10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20" s="74" t="str">
        <f t="shared" si="11"/>
        <v>"C:\Program Files (x86)\AstroGrep\AstroGrep.exe" /e /r /s /spath="%USERPROFILE%\AppData\Local\Temp\OnboardLogs" /stypes="app*4059*20170914*" /stext=" 12:.+((SYSTEM_STATE.+slice.+state.+changed )|(ment ac)|(multiple cpu faults)|(system.+state.+changed )|(\[timeout)|(PRM\|1\|D)|(kpr)|(kdp)|(train st.+moving)|(\|lc)|(penalty))"</v>
      </c>
      <c r="AG20" s="186" t="str">
        <f t="shared" si="12"/>
        <v>EC</v>
      </c>
      <c r="AH20" s="78" t="str">
        <f t="shared" si="18"/>
        <v>"%USERPROFILE%\Documents\GitHub\eaglep3\Utilities\RefineRTDCRunTimes.py" --tripid 108-14 --locoid 4059 --swversion DE.1.0.9.0 --startMP 204:232984 --initTime 2017-09-14T05:06:49 --startdatetime 2017-09-14T05:27:18 --delay 54 --endMP 204:156 --enddatetime 2017-09-14T06:03:59 --enforcementcount 1 &gt;&gt;C:\Users\stu\Documents\GitHub\eaglep3-reporting\EC\2017-09-14-refined-times.txt</v>
      </c>
      <c r="AI2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{"issue":{"subject":"","project_id":79,"tracker_id":40,"status_id":1,"priority_id":2,"assigned_to_id":338,"start_date":"2017-09-14","description":"","custom_fields":[{"id":1,"name":"Subdivision","value":"EC"},{"id":4,"name":"Milepost","value":"0.0156"},{"id":17,"name":"Train ID","value":"108-14"},{"id":16,"name":"Locomotive ID","value":"4059"},{"id":130,"name":"Impact","value":""},{"id":150,"name":"Time of Event (Mountain Time)","value":"06:03:59"},{"id":151,"name":"Denver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4059 --day 2017-09-14</v>
      </c>
      <c r="AN2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632</v>
      </c>
      <c r="B21" s="7">
        <v>4062</v>
      </c>
      <c r="C21" s="21" t="s">
        <v>197</v>
      </c>
      <c r="D21" s="21" t="s">
        <v>551</v>
      </c>
      <c r="E21" s="13">
        <v>42992.1952662037</v>
      </c>
      <c r="F21" s="13">
        <v>42992.19809027778</v>
      </c>
      <c r="G21" s="7">
        <v>82</v>
      </c>
      <c r="H21" s="21" t="s">
        <v>487</v>
      </c>
      <c r="I21" s="13">
        <v>42992.224224537036</v>
      </c>
      <c r="J21" s="7">
        <v>1</v>
      </c>
      <c r="K21" s="89" t="str">
        <f t="shared" si="0"/>
        <v>4061/4062</v>
      </c>
      <c r="L21" s="189" t="str">
        <f>VLOOKUP(A21,'Trips&amp;Operators'!$C$1:$G$99911,5,FALSE)</f>
        <v>WILLIAMS DONTE</v>
      </c>
      <c r="M21" s="6">
        <f t="shared" si="1"/>
        <v>2.6134259256650694E-2</v>
      </c>
      <c r="N21" s="7">
        <f t="shared" si="17"/>
        <v>37.633333329576999</v>
      </c>
      <c r="O21" s="7"/>
      <c r="P21" s="7"/>
      <c r="Q21" s="22"/>
      <c r="R21" s="167"/>
      <c r="S21" s="217">
        <f t="shared" si="2"/>
        <v>1</v>
      </c>
      <c r="T21" s="175" t="str">
        <f t="shared" si="3"/>
        <v>NorthBound</v>
      </c>
      <c r="U21" s="20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26" t="str">
        <f t="shared" si="4"/>
        <v>https://d0f6bd738d7f1b3e5a7ca70fe4ff75f0.us-east-1.aws.found.io/app/kibana#/discover/Steve-Slow-Train-Analysis-(2080s-and-2083s)?_g=(refreshInterval:(display:Off,pause:!f,section:0,value:0),time:(from:'2017-09-14T03:41:11-0600',mode:absolute,to:'2017-09-14T06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10" t="str">
        <f>IF(AA21&lt;VLOOKUP(AG21,Variables!$AC$3:$AD$8,2,FALSE),"Y","N")</f>
        <v>N</v>
      </c>
      <c r="X21" s="210">
        <f t="shared" si="5"/>
        <v>1</v>
      </c>
      <c r="Y21" s="210">
        <f t="shared" si="6"/>
        <v>4.9299999999999997E-2</v>
      </c>
      <c r="Z21" s="210">
        <f t="shared" si="7"/>
        <v>23.3306</v>
      </c>
      <c r="AA21" s="210">
        <f t="shared" si="8"/>
        <v>23.281300000000002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83">
        <f t="shared" si="9"/>
        <v>109</v>
      </c>
      <c r="AE21" s="77" t="str">
        <f t="shared" si="10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21" s="74" t="str">
        <f t="shared" si="11"/>
        <v>"C:\Program Files (x86)\AstroGrep\AstroGrep.exe" /e /r /s /spath="%USERPROFILE%\AppData\Local\Temp\OnboardLogs" /stypes="app*4062*20170914*" /stext=" 11:.+((SYSTEM_STATE.+slice.+state.+changed )|(ment ac)|(multiple cpu faults)|(system.+state.+changed )|(\[timeout)|(PRM\|1\|D)|(kpr)|(kdp)|(train st.+moving)|(\|lc)|(penalty))"</v>
      </c>
      <c r="AG21" s="186" t="str">
        <f t="shared" si="12"/>
        <v>EC</v>
      </c>
      <c r="AH21" s="78" t="str">
        <f t="shared" si="18"/>
        <v>"%USERPROFILE%\Documents\GitHub\eaglep3\Utilities\RefineRTDCRunTimes.py" --tripid 109-14 --locoid 4062 --swversion DE.1.0.9.0 --startMP 204:493 --initTime 2017-09-14T04:41:11 --startdatetime 2017-09-14T04:45:15 --delay 82 --endMP 204:233306 --enddatetime 2017-09-14T05:22:53 --enforcementcount 1 &gt;&gt;C:\Users\stu\Documents\GitHub\eaglep3-reporting\EC\2017-09-14-refined-times.txt</v>
      </c>
      <c r="AI2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{"issue":{"subject":"","project_id":79,"tracker_id":40,"status_id":1,"priority_id":2,"assigned_to_id":338,"start_date":"2017-09-14","description":"","custom_fields":[{"id":1,"name":"Subdivision","value":"EC"},{"id":4,"name":"Milepost","value":"23.3306"},{"id":17,"name":"Train ID","value":"109-14"},{"id":16,"name":"Locomotive ID","value":"4062"},{"id":130,"name":"Impact","value":""},{"id":150,"name":"Time of Event (Mountain Time)","value":"05:22:53"},{"id":151,"name":"Denver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4062 --day 2017-09-14</v>
      </c>
      <c r="AN2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640</v>
      </c>
      <c r="B22" s="7">
        <v>4061</v>
      </c>
      <c r="C22" s="21" t="s">
        <v>197</v>
      </c>
      <c r="D22" s="21" t="s">
        <v>484</v>
      </c>
      <c r="E22" s="13">
        <v>42992.232372685183</v>
      </c>
      <c r="F22" s="13">
        <v>42992.237719907411</v>
      </c>
      <c r="G22" s="7">
        <v>95</v>
      </c>
      <c r="H22" s="21" t="s">
        <v>371</v>
      </c>
      <c r="I22" s="13">
        <v>42992.264282407406</v>
      </c>
      <c r="J22" s="7">
        <v>1</v>
      </c>
      <c r="K22" s="89" t="str">
        <f t="shared" si="0"/>
        <v>4061/4062</v>
      </c>
      <c r="L22" s="189" t="str">
        <f>VLOOKUP(A22,'Trips&amp;Operators'!$C$1:$G$99911,5,FALSE)</f>
        <v>WILLIAMS DONTE</v>
      </c>
      <c r="M22" s="6">
        <f t="shared" si="1"/>
        <v>2.6562499995634425E-2</v>
      </c>
      <c r="N22" s="7">
        <f t="shared" si="17"/>
        <v>38.249999993713573</v>
      </c>
      <c r="O22" s="7"/>
      <c r="P22" s="7"/>
      <c r="Q22" s="22"/>
      <c r="R22" s="167"/>
      <c r="S22" s="217">
        <f t="shared" si="2"/>
        <v>1</v>
      </c>
      <c r="T22" s="175" t="str">
        <f t="shared" si="3"/>
        <v>Southbound</v>
      </c>
      <c r="U22" s="20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26" t="str">
        <f t="shared" si="4"/>
        <v>https://d0f6bd738d7f1b3e5a7ca70fe4ff75f0.us-east-1.aws.found.io/app/kibana#/discover/Steve-Slow-Train-Analysis-(2080s-and-2083s)?_g=(refreshInterval:(display:Off,pause:!f,section:0,value:0),time:(from:'2017-09-14T04:34:37-0600',mode:absolute,to:'2017-09-14T07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10" t="str">
        <f>IF(AA22&lt;VLOOKUP(AG22,Variables!$AC$3:$AD$8,2,FALSE),"Y","N")</f>
        <v>N</v>
      </c>
      <c r="X22" s="210">
        <f t="shared" si="5"/>
        <v>1</v>
      </c>
      <c r="Y22" s="210">
        <f t="shared" si="6"/>
        <v>23.299099999999999</v>
      </c>
      <c r="Z22" s="210">
        <f t="shared" si="7"/>
        <v>1.5599999999999999E-2</v>
      </c>
      <c r="AA22" s="210">
        <f t="shared" si="8"/>
        <v>23.2835</v>
      </c>
      <c r="AB22" s="54" t="e">
        <f>VLOOKUP(A22,Enforcements!$C$7:$K$11,8,0)</f>
        <v>#N/A</v>
      </c>
      <c r="AC22" s="51" t="e">
        <f>VLOOKUP(A22,Enforcements!$C$7:$E$11,3,0)</f>
        <v>#N/A</v>
      </c>
      <c r="AD22" s="183">
        <f t="shared" si="9"/>
        <v>110</v>
      </c>
      <c r="AE22" s="77" t="str">
        <f t="shared" si="10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22" s="74" t="str">
        <f t="shared" si="11"/>
        <v>"C:\Program Files (x86)\AstroGrep\AstroGrep.exe" /e /r /s /spath="%USERPROFILE%\AppData\Local\Temp\OnboardLogs" /stypes="app*4061*20170914*" /stext=" 12:.+((SYSTEM_STATE.+slice.+state.+changed )|(ment ac)|(multiple cpu faults)|(system.+state.+changed )|(\[timeout)|(PRM\|1\|D)|(kpr)|(kdp)|(train st.+moving)|(\|lc)|(penalty))"</v>
      </c>
      <c r="AG22" s="186" t="str">
        <f t="shared" si="12"/>
        <v>EC</v>
      </c>
      <c r="AH22" s="78" t="str">
        <f t="shared" si="18"/>
        <v>"%USERPROFILE%\Documents\GitHub\eaglep3\Utilities\RefineRTDCRunTimes.py" --tripid 110-14 --locoid 4061 --swversion DE.1.0.9.0 --startMP 204:232991 --initTime 2017-09-14T05:34:37 --startdatetime 2017-09-14T05:42:19 --delay 95 --endMP 204:156 --enddatetime 2017-09-14T06:20:34 --enforcementcount 1 &gt;&gt;C:\Users\stu\Documents\GitHub\eaglep3-reporting\EC\2017-09-14-refined-times.txt</v>
      </c>
      <c r="AI22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{"issue":{"subject":"","project_id":79,"tracker_id":40,"status_id":1,"priority_id":2,"assigned_to_id":338,"start_date":"2017-09-14","description":"","custom_fields":[{"id":1,"name":"Subdivision","value":"EC"},{"id":4,"name":"Milepost","value":"0.0156"},{"id":17,"name":"Train ID","value":"110-14"},{"id":16,"name":"Locomotive ID","value":"4061"},{"id":130,"name":"Impact","value":""},{"id":150,"name":"Time of Event (Mountain Time)","value":"06:20:34"},{"id":151,"name":"Denver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4061 --day 2017-09-14</v>
      </c>
      <c r="AN22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634</v>
      </c>
      <c r="B23" s="7">
        <v>4026</v>
      </c>
      <c r="C23" s="21" t="s">
        <v>197</v>
      </c>
      <c r="D23" s="21" t="s">
        <v>382</v>
      </c>
      <c r="E23" s="13">
        <v>42992.206018518518</v>
      </c>
      <c r="F23" s="13">
        <v>42992.208506944444</v>
      </c>
      <c r="G23" s="7">
        <v>58</v>
      </c>
      <c r="H23" s="21" t="s">
        <v>831</v>
      </c>
      <c r="I23" s="13">
        <v>42992.233194444445</v>
      </c>
      <c r="J23" s="7">
        <v>1</v>
      </c>
      <c r="K23" s="89" t="str">
        <f t="shared" si="0"/>
        <v>4025/4026</v>
      </c>
      <c r="L23" s="189" t="str">
        <f>VLOOKUP(A23,'Trips&amp;Operators'!$C$1:$G$99911,5,FALSE)</f>
        <v>ROCHA YAOTL</v>
      </c>
      <c r="M23" s="6">
        <f t="shared" si="1"/>
        <v>2.4687500001164153E-2</v>
      </c>
      <c r="N23" s="7">
        <f t="shared" si="17"/>
        <v>35.550000001676381</v>
      </c>
      <c r="O23" s="7"/>
      <c r="P23" s="7"/>
      <c r="Q23" s="22"/>
      <c r="R23" s="167"/>
      <c r="S23" s="217">
        <f t="shared" si="2"/>
        <v>1</v>
      </c>
      <c r="T23" s="175" t="str">
        <f t="shared" si="3"/>
        <v>NorthBound</v>
      </c>
      <c r="U23" s="20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26" t="str">
        <f t="shared" si="4"/>
        <v>https://d0f6bd738d7f1b3e5a7ca70fe4ff75f0.us-east-1.aws.found.io/app/kibana#/discover/Steve-Slow-Train-Analysis-(2080s-and-2083s)?_g=(refreshInterval:(display:Off,pause:!f,section:0,value:0),time:(from:'2017-09-14T03:56:40-0600',mode:absolute,to:'2017-09-14T06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10" t="str">
        <f>IF(AA23&lt;VLOOKUP(AG23,Variables!$AC$3:$AD$8,2,FALSE),"Y","N")</f>
        <v>N</v>
      </c>
      <c r="X23" s="210">
        <f t="shared" si="5"/>
        <v>1</v>
      </c>
      <c r="Y23" s="210">
        <f t="shared" si="6"/>
        <v>4.5999999999999999E-2</v>
      </c>
      <c r="Z23" s="210">
        <f t="shared" si="7"/>
        <v>23.340699999999998</v>
      </c>
      <c r="AA23" s="210">
        <f t="shared" si="8"/>
        <v>23.294699999999999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83">
        <f t="shared" si="9"/>
        <v>111</v>
      </c>
      <c r="AE23" s="77" t="str">
        <f t="shared" si="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23" s="74" t="str">
        <f t="shared" si="11"/>
        <v>"C:\Program Files (x86)\AstroGrep\AstroGrep.exe" /e /r /s /spath="%USERPROFILE%\AppData\Local\Temp\OnboardLogs" /stypes="app*4026*20170914*" /stext=" 11:.+((SYSTEM_STATE.+slice.+state.+changed )|(ment ac)|(multiple cpu faults)|(system.+state.+changed )|(\[timeout)|(PRM\|1\|D)|(kpr)|(kdp)|(train st.+moving)|(\|lc)|(penalty))"</v>
      </c>
      <c r="AG23" s="186" t="str">
        <f t="shared" si="12"/>
        <v>EC</v>
      </c>
      <c r="AH23" s="78" t="str">
        <f t="shared" si="18"/>
        <v>"%USERPROFILE%\Documents\GitHub\eaglep3\Utilities\RefineRTDCRunTimes.py" --tripid 111-14 --locoid 4026 --swversion DE.1.0.9.0 --startMP 204:460 --initTime 2017-09-14T04:56:40 --startdatetime 2017-09-14T05:00:15 --delay 58 --endMP 204:233407 --enddatetime 2017-09-14T05:35:48 --enforcementcount 1 &gt;&gt;C:\Users\stu\Documents\GitHub\eaglep3-reporting\EC\2017-09-14-refined-times.txt</v>
      </c>
      <c r="AI23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{"issue":{"subject":"","project_id":79,"tracker_id":40,"status_id":1,"priority_id":2,"assigned_to_id":338,"start_date":"2017-09-14","description":"","custom_fields":[{"id":1,"name":"Subdivision","value":"EC"},{"id":4,"name":"Milepost","value":"23.3407"},{"id":17,"name":"Train ID","value":"111-14"},{"id":16,"name":"Locomotive ID","value":"4026"},{"id":130,"name":"Impact","value":""},{"id":150,"name":"Time of Event (Mountain Time)","value":"05:35:48"},{"id":151,"name":"Denver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4026 --day 2017-09-14</v>
      </c>
      <c r="AN23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643</v>
      </c>
      <c r="B24" s="7">
        <v>4025</v>
      </c>
      <c r="C24" s="21" t="s">
        <v>197</v>
      </c>
      <c r="D24" s="21" t="s">
        <v>832</v>
      </c>
      <c r="E24" s="13">
        <v>42992.243136574078</v>
      </c>
      <c r="F24" s="13">
        <v>42992.248090277775</v>
      </c>
      <c r="G24" s="7">
        <v>48</v>
      </c>
      <c r="H24" s="21" t="s">
        <v>448</v>
      </c>
      <c r="I24" s="13">
        <v>42992.273888888885</v>
      </c>
      <c r="J24" s="7">
        <v>1</v>
      </c>
      <c r="K24" s="89" t="str">
        <f t="shared" si="0"/>
        <v>4025/4026</v>
      </c>
      <c r="L24" s="189" t="str">
        <f>VLOOKUP(A24,'Trips&amp;Operators'!$C$1:$G$99911,5,FALSE)</f>
        <v>ROCHA YAOTL</v>
      </c>
      <c r="M24" s="6">
        <f t="shared" si="1"/>
        <v>2.5798611110076308E-2</v>
      </c>
      <c r="N24" s="7">
        <f t="shared" si="17"/>
        <v>37.149999998509884</v>
      </c>
      <c r="O24" s="7"/>
      <c r="P24" s="7"/>
      <c r="Q24" s="22"/>
      <c r="R24" s="167"/>
      <c r="S24" s="217">
        <f t="shared" si="2"/>
        <v>1</v>
      </c>
      <c r="T24" s="175" t="str">
        <f t="shared" si="3"/>
        <v>Southbound</v>
      </c>
      <c r="U24" s="20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26" t="str">
        <f t="shared" si="4"/>
        <v>https://d0f6bd738d7f1b3e5a7ca70fe4ff75f0.us-east-1.aws.found.io/app/kibana#/discover/Steve-Slow-Train-Analysis-(2080s-and-2083s)?_g=(refreshInterval:(display:Off,pause:!f,section:0,value:0),time:(from:'2017-09-14T04:50:07-0600',mode:absolute,to:'2017-09-14T07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10" t="str">
        <f>IF(AA24&lt;VLOOKUP(AG24,Variables!$AC$3:$AD$8,2,FALSE),"Y","N")</f>
        <v>N</v>
      </c>
      <c r="X24" s="210">
        <f t="shared" si="5"/>
        <v>1</v>
      </c>
      <c r="Y24" s="210">
        <f t="shared" si="6"/>
        <v>23.307099999999998</v>
      </c>
      <c r="Z24" s="210">
        <f t="shared" si="7"/>
        <v>1.54E-2</v>
      </c>
      <c r="AA24" s="210">
        <f t="shared" si="8"/>
        <v>23.291699999999999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83">
        <f t="shared" si="9"/>
        <v>112</v>
      </c>
      <c r="AE24" s="77" t="str">
        <f t="shared" si="10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24" s="74" t="str">
        <f t="shared" si="11"/>
        <v>"C:\Program Files (x86)\AstroGrep\AstroGrep.exe" /e /r /s /spath="%USERPROFILE%\AppData\Local\Temp\OnboardLogs" /stypes="app*4025*20170914*" /stext=" 12:.+((SYSTEM_STATE.+slice.+state.+changed )|(ment ac)|(multiple cpu faults)|(system.+state.+changed )|(\[timeout)|(PRM\|1\|D)|(kpr)|(kdp)|(train st.+moving)|(\|lc)|(penalty))"</v>
      </c>
      <c r="AG24" s="186" t="str">
        <f t="shared" si="12"/>
        <v>EC</v>
      </c>
      <c r="AH24" s="78" t="str">
        <f t="shared" si="18"/>
        <v>"%USERPROFILE%\Documents\GitHub\eaglep3\Utilities\RefineRTDCRunTimes.py" --tripid 112-14 --locoid 4025 --swversion DE.1.0.9.0 --startMP 204:233071 --initTime 2017-09-14T05:50:07 --startdatetime 2017-09-14T05:57:15 --delay 48 --endMP 204:154 --enddatetime 2017-09-14T06:34:24 --enforcementcount 1 &gt;&gt;C:\Users\stu\Documents\GitHub\eaglep3-reporting\EC\2017-09-14-refined-times.txt</v>
      </c>
      <c r="AI2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{"issue":{"subject":"","project_id":79,"tracker_id":40,"status_id":1,"priority_id":2,"assigned_to_id":338,"start_date":"2017-09-14","description":"","custom_fields":[{"id":1,"name":"Subdivision","value":"EC"},{"id":4,"name":"Milepost","value":"0.0154"},{"id":17,"name":"Train ID","value":"112-14"},{"id":16,"name":"Locomotive ID","value":"4025"},{"id":130,"name":"Impact","value":""},{"id":150,"name":"Time of Event (Mountain Time)","value":"06:34:24"},{"id":151,"name":"Denver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4025 --day 2017-09-14</v>
      </c>
      <c r="AN2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635</v>
      </c>
      <c r="B25" s="7">
        <v>4002</v>
      </c>
      <c r="C25" s="21" t="s">
        <v>197</v>
      </c>
      <c r="D25" s="21" t="s">
        <v>479</v>
      </c>
      <c r="E25" s="13">
        <v>42992.208692129629</v>
      </c>
      <c r="F25" s="13">
        <v>42992.218900462962</v>
      </c>
      <c r="G25" s="7">
        <v>57</v>
      </c>
      <c r="H25" s="21" t="s">
        <v>537</v>
      </c>
      <c r="I25" s="13">
        <v>42992.243715277778</v>
      </c>
      <c r="J25" s="7">
        <v>1</v>
      </c>
      <c r="K25" s="89" t="str">
        <f t="shared" si="0"/>
        <v>4001/4002</v>
      </c>
      <c r="L25" s="189" t="str">
        <f>VLOOKUP(A25,'Trips&amp;Operators'!$C$1:$G$99911,5,FALSE)</f>
        <v>YANAI IAN</v>
      </c>
      <c r="M25" s="6">
        <f t="shared" si="1"/>
        <v>2.4814814816636499E-2</v>
      </c>
      <c r="N25" s="7">
        <f t="shared" si="17"/>
        <v>35.733333335956559</v>
      </c>
      <c r="O25" s="7"/>
      <c r="P25" s="7"/>
      <c r="Q25" s="22"/>
      <c r="R25" s="167"/>
      <c r="S25" s="217">
        <f t="shared" si="2"/>
        <v>1</v>
      </c>
      <c r="T25" s="175" t="str">
        <f t="shared" si="3"/>
        <v>NorthBound</v>
      </c>
      <c r="U25" s="20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26" t="str">
        <f t="shared" si="4"/>
        <v>https://d0f6bd738d7f1b3e5a7ca70fe4ff75f0.us-east-1.aws.found.io/app/kibana#/discover/Steve-Slow-Train-Analysis-(2080s-and-2083s)?_g=(refreshInterval:(display:Off,pause:!f,section:0,value:0),time:(from:'2017-09-14T04:00:31-0600',mode:absolute,to:'2017-09-14T06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10" t="str">
        <f>IF(AA25&lt;VLOOKUP(AG25,Variables!$AC$3:$AD$8,2,FALSE),"Y","N")</f>
        <v>N</v>
      </c>
      <c r="X25" s="210">
        <f t="shared" si="5"/>
        <v>1</v>
      </c>
      <c r="Y25" s="210">
        <f t="shared" si="6"/>
        <v>4.8599999999999997E-2</v>
      </c>
      <c r="Z25" s="210">
        <f t="shared" si="7"/>
        <v>23.336600000000001</v>
      </c>
      <c r="AA25" s="210">
        <f t="shared" si="8"/>
        <v>23.288</v>
      </c>
      <c r="AB25" s="54" t="e">
        <f>VLOOKUP(A25,Enforcements!$C$7:$K$11,8,0)</f>
        <v>#N/A</v>
      </c>
      <c r="AC25" s="51" t="e">
        <f>VLOOKUP(A25,Enforcements!$C$7:$E$11,3,0)</f>
        <v>#N/A</v>
      </c>
      <c r="AD25" s="183">
        <f t="shared" si="9"/>
        <v>113</v>
      </c>
      <c r="AE25" s="77" t="str">
        <f t="shared" si="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25" s="74" t="str">
        <f t="shared" si="11"/>
        <v>"C:\Program Files (x86)\AstroGrep\AstroGrep.exe" /e /r /s /spath="%USERPROFILE%\AppData\Local\Temp\OnboardLogs" /stypes="app*4002*20170914*" /stext=" 11:.+((SYSTEM_STATE.+slice.+state.+changed )|(ment ac)|(multiple cpu faults)|(system.+state.+changed )|(\[timeout)|(PRM\|1\|D)|(kpr)|(kdp)|(train st.+moving)|(\|lc)|(penalty))"</v>
      </c>
      <c r="AG25" s="186" t="str">
        <f t="shared" si="12"/>
        <v>EC</v>
      </c>
      <c r="AH25" s="78" t="str">
        <f t="shared" si="18"/>
        <v>"%USERPROFILE%\Documents\GitHub\eaglep3\Utilities\RefineRTDCRunTimes.py" --tripid 113-14 --locoid 4002 --swversion DE.1.0.9.0 --startMP 204:486 --initTime 2017-09-14T05:00:31 --startdatetime 2017-09-14T05:15:13 --delay 57 --endMP 204:233366 --enddatetime 2017-09-14T05:50:57 --enforcementcount 1 &gt;&gt;C:\Users\stu\Documents\GitHub\eaglep3-reporting\EC\2017-09-14-refined-times.txt</v>
      </c>
      <c r="AI2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{"issue":{"subject":"","project_id":79,"tracker_id":40,"status_id":1,"priority_id":2,"assigned_to_id":338,"start_date":"2017-09-14","description":"","custom_fields":[{"id":1,"name":"Subdivision","value":"EC"},{"id":4,"name":"Milepost","value":"23.3366"},{"id":17,"name":"Train ID","value":"113-14"},{"id":16,"name":"Locomotive ID","value":"4002"},{"id":130,"name":"Impact","value":""},{"id":150,"name":"Time of Event (Mountain Time)","value":"05:50:57"},{"id":151,"name":"Denver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2017-09-14</v>
      </c>
      <c r="AN2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644</v>
      </c>
      <c r="B26" s="7">
        <v>4001</v>
      </c>
      <c r="C26" s="21" t="s">
        <v>197</v>
      </c>
      <c r="D26" s="21" t="s">
        <v>833</v>
      </c>
      <c r="E26" s="13">
        <v>42992.245127314818</v>
      </c>
      <c r="F26" s="13">
        <v>42992.258553240739</v>
      </c>
      <c r="G26" s="7">
        <v>49</v>
      </c>
      <c r="H26" s="21" t="s">
        <v>342</v>
      </c>
      <c r="I26" s="13">
        <v>42992.283935185187</v>
      </c>
      <c r="J26" s="7">
        <v>1</v>
      </c>
      <c r="K26" s="89" t="str">
        <f t="shared" si="0"/>
        <v>4001/4002</v>
      </c>
      <c r="L26" s="189" t="str">
        <f>VLOOKUP(A26,'Trips&amp;Operators'!$C$1:$G$99911,5,FALSE)</f>
        <v>YANAI IAN</v>
      </c>
      <c r="M26" s="6">
        <f t="shared" si="1"/>
        <v>2.5381944447872229E-2</v>
      </c>
      <c r="N26" s="7">
        <f t="shared" si="17"/>
        <v>36.55000000493601</v>
      </c>
      <c r="O26" s="7"/>
      <c r="P26" s="7"/>
      <c r="Q26" s="22"/>
      <c r="R26" s="167"/>
      <c r="S26" s="217">
        <f t="shared" si="2"/>
        <v>1</v>
      </c>
      <c r="T26" s="175" t="str">
        <f t="shared" si="3"/>
        <v>Southbound</v>
      </c>
      <c r="U26" s="20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26" t="str">
        <f t="shared" si="4"/>
        <v>https://d0f6bd738d7f1b3e5a7ca70fe4ff75f0.us-east-1.aws.found.io/app/kibana#/discover/Steve-Slow-Train-Analysis-(2080s-and-2083s)?_g=(refreshInterval:(display:Off,pause:!f,section:0,value:0),time:(from:'2017-09-14T04:52:59-0600',mode:absolute,to:'2017-09-14T07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10" t="str">
        <f>IF(AA26&lt;VLOOKUP(AG26,Variables!$AC$3:$AD$8,2,FALSE),"Y","N")</f>
        <v>N</v>
      </c>
      <c r="X26" s="210">
        <f t="shared" si="5"/>
        <v>1</v>
      </c>
      <c r="Y26" s="210">
        <f t="shared" si="6"/>
        <v>23.305700000000002</v>
      </c>
      <c r="Z26" s="210">
        <f t="shared" si="7"/>
        <v>1.41E-2</v>
      </c>
      <c r="AA26" s="210">
        <f t="shared" si="8"/>
        <v>23.291600000000003</v>
      </c>
      <c r="AB26" s="54" t="e">
        <f>VLOOKUP(A26,Enforcements!$C$7:$K$11,8,0)</f>
        <v>#N/A</v>
      </c>
      <c r="AC26" s="51" t="e">
        <f>VLOOKUP(A26,Enforcements!$C$7:$E$11,3,0)</f>
        <v>#N/A</v>
      </c>
      <c r="AD26" s="183">
        <f t="shared" si="9"/>
        <v>114</v>
      </c>
      <c r="AE26" s="77" t="str">
        <f t="shared" si="10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26" s="74" t="str">
        <f t="shared" si="11"/>
        <v>"C:\Program Files (x86)\AstroGrep\AstroGrep.exe" /e /r /s /spath="%USERPROFILE%\AppData\Local\Temp\OnboardLogs" /stypes="app*4001*20170914*" /stext=" 12:.+((SYSTEM_STATE.+slice.+state.+changed )|(ment ac)|(multiple cpu faults)|(system.+state.+changed )|(\[timeout)|(PRM\|1\|D)|(kpr)|(kdp)|(train st.+moving)|(\|lc)|(penalty))"</v>
      </c>
      <c r="AG26" s="186" t="str">
        <f t="shared" si="12"/>
        <v>EC</v>
      </c>
      <c r="AH26" s="78" t="str">
        <f t="shared" si="18"/>
        <v>"%USERPROFILE%\Documents\GitHub\eaglep3\Utilities\RefineRTDCRunTimes.py" --tripid 114-14 --locoid 4001 --swversion DE.1.0.9.0 --startMP 204:233057 --initTime 2017-09-14T05:52:59 --startdatetime 2017-09-14T06:12:19 --delay 49 --endMP 204:141 --enddatetime 2017-09-14T06:48:52 --enforcementcount 1 &gt;&gt;C:\Users\stu\Documents\GitHub\eaglep3-reporting\EC\2017-09-14-refined-times.txt</v>
      </c>
      <c r="AI2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ID","value":"114-14"},{"id":16,"name":"Locomotive ID","value":"4001"},{"id":130,"name":"Impact","value":""},{"id":150,"name":"Time of Event (Mountain Time)","value":"06:48:52"},{"id":151,"name":"Denver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2017-09-14</v>
      </c>
      <c r="AN2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638</v>
      </c>
      <c r="B27" s="7">
        <v>4058</v>
      </c>
      <c r="C27" s="21" t="s">
        <v>197</v>
      </c>
      <c r="D27" s="21" t="s">
        <v>481</v>
      </c>
      <c r="E27" s="13">
        <v>42992.226342592592</v>
      </c>
      <c r="F27" s="13">
        <v>42992.229432870372</v>
      </c>
      <c r="G27" s="7">
        <v>47</v>
      </c>
      <c r="H27" s="21" t="s">
        <v>544</v>
      </c>
      <c r="I27" s="13">
        <v>42992.255046296297</v>
      </c>
      <c r="J27" s="7">
        <v>1</v>
      </c>
      <c r="K27" s="89" t="str">
        <f t="shared" si="0"/>
        <v>4057/4058</v>
      </c>
      <c r="L27" s="189" t="str">
        <f>VLOOKUP(A27,'Trips&amp;Operators'!$C$1:$G$99911,5,FALSE)</f>
        <v>MAELZER KURT</v>
      </c>
      <c r="M27" s="6">
        <f t="shared" si="1"/>
        <v>2.5613425925257616E-2</v>
      </c>
      <c r="N27" s="7">
        <f t="shared" si="17"/>
        <v>36.883333332370967</v>
      </c>
      <c r="O27" s="7"/>
      <c r="P27" s="7"/>
      <c r="Q27" s="22"/>
      <c r="R27" s="167"/>
      <c r="S27" s="217">
        <f t="shared" si="2"/>
        <v>1</v>
      </c>
      <c r="T27" s="175" t="str">
        <f t="shared" si="3"/>
        <v>NorthBound</v>
      </c>
      <c r="U27" s="20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26" t="str">
        <f t="shared" si="4"/>
        <v>https://d0f6bd738d7f1b3e5a7ca70fe4ff75f0.us-east-1.aws.found.io/app/kibana#/discover/Steve-Slow-Train-Analysis-(2080s-and-2083s)?_g=(refreshInterval:(display:Off,pause:!f,section:0,value:0),time:(from:'2017-09-14T04:25:56-0600',mode:absolute,to:'2017-09-14T07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7" s="210" t="str">
        <f>IF(AA27&lt;VLOOKUP(AG27,Variables!$AC$3:$AD$8,2,FALSE),"Y","N")</f>
        <v>N</v>
      </c>
      <c r="X27" s="210">
        <f t="shared" si="5"/>
        <v>1</v>
      </c>
      <c r="Y27" s="210">
        <f t="shared" si="6"/>
        <v>4.3799999999999999E-2</v>
      </c>
      <c r="Z27" s="210">
        <f t="shared" si="7"/>
        <v>23.332000000000001</v>
      </c>
      <c r="AA27" s="210">
        <f t="shared" si="8"/>
        <v>23.2882</v>
      </c>
      <c r="AB27" s="54" t="e">
        <f>VLOOKUP(A27,Enforcements!$C$7:$K$11,8,0)</f>
        <v>#N/A</v>
      </c>
      <c r="AC27" s="51" t="e">
        <f>VLOOKUP(A27,Enforcements!$C$7:$E$11,3,0)</f>
        <v>#N/A</v>
      </c>
      <c r="AD27" s="183">
        <f t="shared" si="9"/>
        <v>115</v>
      </c>
      <c r="AE27" s="77" t="str">
        <f t="shared" si="10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27" s="74" t="str">
        <f t="shared" si="11"/>
        <v>"C:\Program Files (x86)\AstroGrep\AstroGrep.exe" /e /r /s /spath="%USERPROFILE%\AppData\Local\Temp\OnboardLogs" /stypes="app*4058*20170914*" /stext=" 12:.+((SYSTEM_STATE.+slice.+state.+changed )|(ment ac)|(multiple cpu faults)|(system.+state.+changed )|(\[timeout)|(PRM\|1\|D)|(kpr)|(kdp)|(train st.+moving)|(\|lc)|(penalty))"</v>
      </c>
      <c r="AG27" s="186" t="str">
        <f t="shared" si="12"/>
        <v>EC</v>
      </c>
      <c r="AH27" s="78" t="str">
        <f t="shared" si="18"/>
        <v>"%USERPROFILE%\Documents\GitHub\eaglep3\Utilities\RefineRTDCRunTimes.py" --tripid 115-14 --locoid 4058 --swversion DE.1.0.9.0 --startMP 204:438 --initTime 2017-09-14T05:25:56 --startdatetime 2017-09-14T05:30:23 --delay 47 --endMP 204:233320 --enddatetime 2017-09-14T06:07:16 --enforcementcount 1 &gt;&gt;C:\Users\stu\Documents\GitHub\eaglep3-reporting\EC\2017-09-14-refined-times.txt</v>
      </c>
      <c r="AI2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{"issue":{"subject":"","project_id":79,"tracker_id":40,"status_id":1,"priority_id":2,"assigned_to_id":338,"start_date":"2017-09-14","description":"","custom_fields":[{"id":1,"name":"Subdivision","value":"EC"},{"id":4,"name":"Milepost","value":"23.332"},{"id":17,"name":"Train ID","value":"115-14"},{"id":16,"name":"Locomotive ID","value":"4058"},{"id":130,"name":"Impact","value":""},{"id":150,"name":"Time of Event (Mountain Time)","value":"06:07:16"},{"id":151,"name":"Denver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4058 --day 2017-09-14</v>
      </c>
      <c r="AN2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648</v>
      </c>
      <c r="B28" s="7">
        <v>4057</v>
      </c>
      <c r="C28" s="21" t="s">
        <v>197</v>
      </c>
      <c r="D28" s="21" t="s">
        <v>834</v>
      </c>
      <c r="E28" s="13">
        <v>42992.26284722222</v>
      </c>
      <c r="F28" s="13">
        <v>42992.268958333334</v>
      </c>
      <c r="G28" s="7">
        <v>54</v>
      </c>
      <c r="H28" s="21" t="s">
        <v>401</v>
      </c>
      <c r="I28" s="13">
        <v>42992.295393518521</v>
      </c>
      <c r="J28" s="7">
        <v>1</v>
      </c>
      <c r="K28" s="89" t="str">
        <f t="shared" si="0"/>
        <v>4057/4058</v>
      </c>
      <c r="L28" s="189" t="str">
        <f>VLOOKUP(A28,'Trips&amp;Operators'!$C$1:$G$99911,5,FALSE)</f>
        <v>MAELZER KURT</v>
      </c>
      <c r="M28" s="6">
        <f t="shared" si="1"/>
        <v>2.6435185187438037E-2</v>
      </c>
      <c r="N28" s="7">
        <f t="shared" si="17"/>
        <v>38.066666669910774</v>
      </c>
      <c r="O28" s="7"/>
      <c r="P28" s="7"/>
      <c r="Q28" s="22"/>
      <c r="R28" s="167"/>
      <c r="S28" s="217">
        <f t="shared" si="2"/>
        <v>1</v>
      </c>
      <c r="T28" s="175" t="str">
        <f t="shared" si="3"/>
        <v>Southbound</v>
      </c>
      <c r="U28" s="20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26" t="str">
        <f t="shared" si="4"/>
        <v>https://d0f6bd738d7f1b3e5a7ca70fe4ff75f0.us-east-1.aws.found.io/app/kibana#/discover/Steve-Slow-Train-Analysis-(2080s-and-2083s)?_g=(refreshInterval:(display:Off,pause:!f,section:0,value:0),time:(from:'2017-09-14T05:18:30-0600',mode:absolute,to:'2017-09-14T08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8" s="210" t="str">
        <f>IF(AA28&lt;VLOOKUP(AG28,Variables!$AC$3:$AD$8,2,FALSE),"Y","N")</f>
        <v>N</v>
      </c>
      <c r="X28" s="210">
        <f t="shared" si="5"/>
        <v>1</v>
      </c>
      <c r="Y28" s="210">
        <f t="shared" si="6"/>
        <v>23.3005</v>
      </c>
      <c r="Z28" s="210">
        <f t="shared" si="7"/>
        <v>1.3899999999999999E-2</v>
      </c>
      <c r="AA28" s="210">
        <f t="shared" si="8"/>
        <v>23.2866</v>
      </c>
      <c r="AB28" s="54" t="e">
        <f>VLOOKUP(A28,Enforcements!$C$7:$K$11,8,0)</f>
        <v>#N/A</v>
      </c>
      <c r="AC28" s="51" t="e">
        <f>VLOOKUP(A28,Enforcements!$C$7:$E$11,3,0)</f>
        <v>#N/A</v>
      </c>
      <c r="AD28" s="183">
        <f t="shared" si="9"/>
        <v>116</v>
      </c>
      <c r="AE28" s="77" t="str">
        <f t="shared" si="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28" s="74" t="str">
        <f t="shared" si="11"/>
        <v>"C:\Program Files (x86)\AstroGrep\AstroGrep.exe" /e /r /s /spath="%USERPROFILE%\AppData\Local\Temp\OnboardLogs" /stypes="app*4057*20170914*" /stext=" 13:.+((SYSTEM_STATE.+slice.+state.+changed )|(ment ac)|(multiple cpu faults)|(system.+state.+changed )|(\[timeout)|(PRM\|1\|D)|(kpr)|(kdp)|(train st.+moving)|(\|lc)|(penalty))"</v>
      </c>
      <c r="AG28" s="186" t="str">
        <f t="shared" si="12"/>
        <v>EC</v>
      </c>
      <c r="AH28" s="78" t="str">
        <f t="shared" si="18"/>
        <v>"%USERPROFILE%\Documents\GitHub\eaglep3\Utilities\RefineRTDCRunTimes.py" --tripid 116-14 --locoid 4057 --swversion DE.1.0.9.0 --startMP 204:233005 --initTime 2017-09-14T06:18:30 --startdatetime 2017-09-14T06:27:18 --delay 54 --endMP 204:139 --enddatetime 2017-09-14T07:05:22 --enforcementcount 1 &gt;&gt;C:\Users\stu\Documents\GitHub\eaglep3-reporting\EC\2017-09-14-refined-times.txt</v>
      </c>
      <c r="AI2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ID","value":"116-14"},{"id":16,"name":"Locomotive ID","value":"4057"},{"id":130,"name":"Impact","value":""},{"id":150,"name":"Time of Event (Mountain Time)","value":"07:05:22"},{"id":151,"name":"Denver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4057 --day 2017-09-14</v>
      </c>
      <c r="AN2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642</v>
      </c>
      <c r="B29" s="7">
        <v>4032</v>
      </c>
      <c r="C29" s="21" t="s">
        <v>197</v>
      </c>
      <c r="D29" s="21" t="s">
        <v>453</v>
      </c>
      <c r="E29" s="13">
        <v>42992.236712962964</v>
      </c>
      <c r="F29" s="13">
        <v>42992.239768518521</v>
      </c>
      <c r="G29" s="7">
        <v>78</v>
      </c>
      <c r="H29" s="21" t="s">
        <v>835</v>
      </c>
      <c r="I29" s="13">
        <v>42992.264907407407</v>
      </c>
      <c r="J29" s="7">
        <v>1</v>
      </c>
      <c r="K29" s="89" t="str">
        <f t="shared" si="0"/>
        <v>4031/4032</v>
      </c>
      <c r="L29" s="189" t="str">
        <f>VLOOKUP(A29,'Trips&amp;Operators'!$C$1:$G$99911,5,FALSE)</f>
        <v>YANG JAN</v>
      </c>
      <c r="M29" s="6">
        <f t="shared" si="1"/>
        <v>2.5138888886431232E-2</v>
      </c>
      <c r="N29" s="7">
        <f t="shared" si="17"/>
        <v>36.199999996460974</v>
      </c>
      <c r="O29" s="7"/>
      <c r="P29" s="7"/>
      <c r="Q29" s="22"/>
      <c r="R29" s="167"/>
      <c r="S29" s="217">
        <f t="shared" si="2"/>
        <v>1</v>
      </c>
      <c r="T29" s="175" t="str">
        <f t="shared" si="3"/>
        <v>NorthBound</v>
      </c>
      <c r="U29" s="20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26" t="str">
        <f t="shared" si="4"/>
        <v>https://d0f6bd738d7f1b3e5a7ca70fe4ff75f0.us-east-1.aws.found.io/app/kibana#/discover/Steve-Slow-Train-Analysis-(2080s-and-2083s)?_g=(refreshInterval:(display:Off,pause:!f,section:0,value:0),time:(from:'2017-09-14T04:40:52-0600',mode:absolute,to:'2017-09-14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210" t="str">
        <f>IF(AA29&lt;VLOOKUP(AG29,Variables!$AC$3:$AD$8,2,FALSE),"Y","N")</f>
        <v>N</v>
      </c>
      <c r="X29" s="210">
        <f t="shared" si="5"/>
        <v>1</v>
      </c>
      <c r="Y29" s="210">
        <f t="shared" si="6"/>
        <v>4.3700000000000003E-2</v>
      </c>
      <c r="Z29" s="210">
        <f t="shared" si="7"/>
        <v>23.334599999999998</v>
      </c>
      <c r="AA29" s="210">
        <f t="shared" si="8"/>
        <v>23.290899999999997</v>
      </c>
      <c r="AB29" s="54" t="e">
        <f>VLOOKUP(A29,Enforcements!$C$7:$K$11,8,0)</f>
        <v>#N/A</v>
      </c>
      <c r="AC29" s="51" t="e">
        <f>VLOOKUP(A29,Enforcements!$C$7:$E$11,3,0)</f>
        <v>#N/A</v>
      </c>
      <c r="AD29" s="183">
        <f t="shared" si="9"/>
        <v>117</v>
      </c>
      <c r="AE29" s="77" t="str">
        <f t="shared" si="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29" s="74" t="str">
        <f t="shared" si="11"/>
        <v>"C:\Program Files (x86)\AstroGrep\AstroGrep.exe" /e /r /s /spath="%USERPROFILE%\AppData\Local\Temp\OnboardLogs" /stypes="app*4032*20170914*" /stext=" 12:.+((SYSTEM_STATE.+slice.+state.+changed )|(ment ac)|(multiple cpu faults)|(system.+state.+changed )|(\[timeout)|(PRM\|1\|D)|(kpr)|(kdp)|(train st.+moving)|(\|lc)|(penalty))"</v>
      </c>
      <c r="AG29" s="186" t="str">
        <f t="shared" si="12"/>
        <v>EC</v>
      </c>
      <c r="AH29" s="78" t="str">
        <f t="shared" si="18"/>
        <v>"%USERPROFILE%\Documents\GitHub\eaglep3\Utilities\RefineRTDCRunTimes.py" --tripid 117-14 --locoid 4032 --swversion DE.1.0.9.0 --startMP 204:437 --initTime 2017-09-14T05:40:52 --startdatetime 2017-09-14T05:45:16 --delay 78 --endMP 204:233346 --enddatetime 2017-09-14T06:21:28 --enforcementcount 1 &gt;&gt;C:\Users\stu\Documents\GitHub\eaglep3-reporting\EC\2017-09-14-refined-times.txt</v>
      </c>
      <c r="AI2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{"issue":{"subject":"","project_id":79,"tracker_id":40,"status_id":1,"priority_id":2,"assigned_to_id":338,"start_date":"2017-09-14","description":"","custom_fields":[{"id":1,"name":"Subdivision","value":"EC"},{"id":4,"name":"Milepost","value":"23.3346"},{"id":17,"name":"Train ID","value":"117-14"},{"id":16,"name":"Locomotive ID","value":"4032"},{"id":130,"name":"Impact","value":""},{"id":150,"name":"Time of Event (Mountain Time)","value":"06:21:28"},{"id":151,"name":"Denver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4032 --day 2017-09-14</v>
      </c>
      <c r="AN2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652</v>
      </c>
      <c r="B30" s="7">
        <v>4031</v>
      </c>
      <c r="C30" s="21" t="s">
        <v>197</v>
      </c>
      <c r="D30" s="21" t="s">
        <v>452</v>
      </c>
      <c r="E30" s="13">
        <v>42992.276296296295</v>
      </c>
      <c r="F30" s="13">
        <v>42992.279409722221</v>
      </c>
      <c r="G30" s="7">
        <v>110</v>
      </c>
      <c r="H30" s="21" t="s">
        <v>340</v>
      </c>
      <c r="I30" s="13">
        <v>42992.305219907408</v>
      </c>
      <c r="J30" s="7">
        <v>1</v>
      </c>
      <c r="K30" s="89" t="str">
        <f t="shared" si="0"/>
        <v>4031/4032</v>
      </c>
      <c r="L30" s="189" t="str">
        <f>VLOOKUP(A30,'Trips&amp;Operators'!$C$1:$G$99911,5,FALSE)</f>
        <v>YANG JAN</v>
      </c>
      <c r="M30" s="6">
        <f t="shared" si="1"/>
        <v>2.5810185186855961E-2</v>
      </c>
      <c r="N30" s="7">
        <f t="shared" si="17"/>
        <v>37.166666669072583</v>
      </c>
      <c r="O30" s="7"/>
      <c r="P30" s="7"/>
      <c r="Q30" s="22"/>
      <c r="R30" s="167"/>
      <c r="S30" s="217">
        <f t="shared" si="2"/>
        <v>1</v>
      </c>
      <c r="T30" s="175" t="str">
        <f t="shared" si="3"/>
        <v>Southbound</v>
      </c>
      <c r="U30" s="20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26" t="str">
        <f t="shared" si="4"/>
        <v>https://d0f6bd738d7f1b3e5a7ca70fe4ff75f0.us-east-1.aws.found.io/app/kibana#/discover/Steve-Slow-Train-Analysis-(2080s-and-2083s)?_g=(refreshInterval:(display:Off,pause:!f,section:0,value:0),time:(from:'2017-09-14T05:37:52-0600',mode:absolute,to:'2017-09-14T08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210" t="str">
        <f>IF(AA30&lt;VLOOKUP(AG30,Variables!$AC$3:$AD$8,2,FALSE),"Y","N")</f>
        <v>N</v>
      </c>
      <c r="X30" s="210">
        <f t="shared" si="5"/>
        <v>1</v>
      </c>
      <c r="Y30" s="210">
        <f t="shared" si="6"/>
        <v>23.300799999999999</v>
      </c>
      <c r="Z30" s="210">
        <f t="shared" si="7"/>
        <v>1.43E-2</v>
      </c>
      <c r="AA30" s="210">
        <f t="shared" si="8"/>
        <v>23.2865</v>
      </c>
      <c r="AB30" s="54" t="e">
        <f>VLOOKUP(A30,Enforcements!$C$7:$K$11,8,0)</f>
        <v>#N/A</v>
      </c>
      <c r="AC30" s="51" t="e">
        <f>VLOOKUP(A30,Enforcements!$C$7:$E$11,3,0)</f>
        <v>#N/A</v>
      </c>
      <c r="AD30" s="183">
        <f t="shared" si="9"/>
        <v>118</v>
      </c>
      <c r="AE30" s="77" t="str">
        <f t="shared" si="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30" s="74" t="str">
        <f t="shared" si="11"/>
        <v>"C:\Program Files (x86)\AstroGrep\AstroGrep.exe" /e /r /s /spath="%USERPROFILE%\AppData\Local\Temp\OnboardLogs" /stypes="app*4031*20170914*" /stext=" 13:.+((SYSTEM_STATE.+slice.+state.+changed )|(ment ac)|(multiple cpu faults)|(system.+state.+changed )|(\[timeout)|(PRM\|1\|D)|(kpr)|(kdp)|(train st.+moving)|(\|lc)|(penalty))"</v>
      </c>
      <c r="AG30" s="186" t="str">
        <f t="shared" si="12"/>
        <v>EC</v>
      </c>
      <c r="AH30" s="78" t="str">
        <f t="shared" si="18"/>
        <v>"%USERPROFILE%\Documents\GitHub\eaglep3\Utilities\RefineRTDCRunTimes.py" --tripid 118-14 --locoid 4031 --swversion DE.1.0.9.0 --startMP 204:233008 --initTime 2017-09-14T06:37:52 --startdatetime 2017-09-14T06:42:21 --delay 110 --endMP 204:143 --enddatetime 2017-09-14T07:19:31 --enforcementcount 1 &gt;&gt;C:\Users\stu\Documents\GitHub\eaglep3-reporting\EC\2017-09-14-refined-times.txt</v>
      </c>
      <c r="AI3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{"issue":{"subject":"","project_id":79,"tracker_id":40,"status_id":1,"priority_id":2,"assigned_to_id":338,"start_date":"2017-09-14","description":"","custom_fields":[{"id":1,"name":"Subdivision","value":"EC"},{"id":4,"name":"Milepost","value":"0.0143"},{"id":17,"name":"Train ID","value":"118-14"},{"id":16,"name":"Locomotive ID","value":"4031"},{"id":130,"name":"Impact","value":""},{"id":150,"name":"Time of Event (Mountain Time)","value":"07:19:31"},{"id":151,"name":"Denver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4031 --day 2017-09-14</v>
      </c>
      <c r="AN3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645</v>
      </c>
      <c r="B31" s="7">
        <v>4030</v>
      </c>
      <c r="C31" s="21" t="s">
        <v>197</v>
      </c>
      <c r="D31" s="21" t="s">
        <v>364</v>
      </c>
      <c r="E31" s="13">
        <v>42992.245937500003</v>
      </c>
      <c r="F31" s="13">
        <v>42992.250219907408</v>
      </c>
      <c r="G31" s="7">
        <v>63</v>
      </c>
      <c r="H31" s="21" t="s">
        <v>536</v>
      </c>
      <c r="I31" s="13">
        <v>42992.27480324074</v>
      </c>
      <c r="J31" s="7">
        <v>1</v>
      </c>
      <c r="K31" s="89" t="str">
        <f t="shared" si="0"/>
        <v>4029/4030</v>
      </c>
      <c r="L31" s="189" t="str">
        <f>VLOOKUP(A31,'Trips&amp;Operators'!$C$1:$G$99911,5,FALSE)</f>
        <v>PAGE MARCUS</v>
      </c>
      <c r="M31" s="6">
        <f t="shared" si="1"/>
        <v>2.4583333331975155E-2</v>
      </c>
      <c r="N31" s="7">
        <f t="shared" si="17"/>
        <v>35.399999998044223</v>
      </c>
      <c r="O31" s="7"/>
      <c r="P31" s="7"/>
      <c r="Q31" s="22"/>
      <c r="R31" s="167"/>
      <c r="S31" s="217">
        <f t="shared" si="2"/>
        <v>1</v>
      </c>
      <c r="T31" s="175" t="str">
        <f t="shared" si="3"/>
        <v>NorthBound</v>
      </c>
      <c r="U31" s="20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26" t="str">
        <f t="shared" si="4"/>
        <v>https://d0f6bd738d7f1b3e5a7ca70fe4ff75f0.us-east-1.aws.found.io/app/kibana#/discover/Steve-Slow-Train-Analysis-(2080s-and-2083s)?_g=(refreshInterval:(display:Off,pause:!f,section:0,value:0),time:(from:'2017-09-14T04:54:09-0600',mode:absolute,to:'2017-09-14T07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10" t="str">
        <f>IF(AA31&lt;VLOOKUP(AG31,Variables!$AC$3:$AD$8,2,FALSE),"Y","N")</f>
        <v>N</v>
      </c>
      <c r="X31" s="210">
        <f t="shared" si="5"/>
        <v>1</v>
      </c>
      <c r="Y31" s="210">
        <f t="shared" si="6"/>
        <v>4.6399999999999997E-2</v>
      </c>
      <c r="Z31" s="210">
        <f t="shared" si="7"/>
        <v>23.329899999999999</v>
      </c>
      <c r="AA31" s="210">
        <f t="shared" si="8"/>
        <v>23.2835</v>
      </c>
      <c r="AB31" s="54" t="e">
        <f>VLOOKUP(A31,Enforcements!$C$7:$K$11,8,0)</f>
        <v>#N/A</v>
      </c>
      <c r="AC31" s="51" t="e">
        <f>VLOOKUP(A31,Enforcements!$C$7:$E$11,3,0)</f>
        <v>#N/A</v>
      </c>
      <c r="AD31" s="183">
        <f t="shared" si="9"/>
        <v>119</v>
      </c>
      <c r="AE31" s="77" t="str">
        <f t="shared" si="10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31" s="74" t="str">
        <f t="shared" si="11"/>
        <v>"C:\Program Files (x86)\AstroGrep\AstroGrep.exe" /e /r /s /spath="%USERPROFILE%\AppData\Local\Temp\OnboardLogs" /stypes="app*4030*20170914*" /stext=" 12:.+((SYSTEM_STATE.+slice.+state.+changed )|(ment ac)|(multiple cpu faults)|(system.+state.+changed )|(\[timeout)|(PRM\|1\|D)|(kpr)|(kdp)|(train st.+moving)|(\|lc)|(penalty))"</v>
      </c>
      <c r="AG31" s="186" t="str">
        <f t="shared" si="12"/>
        <v>EC</v>
      </c>
      <c r="AH31" s="78" t="str">
        <f t="shared" si="18"/>
        <v>"%USERPROFILE%\Documents\GitHub\eaglep3\Utilities\RefineRTDCRunTimes.py" --tripid 119-14 --locoid 4030 --swversion DE.1.0.9.0 --startMP 204:464 --initTime 2017-09-14T05:54:09 --startdatetime 2017-09-14T06:00:19 --delay 63 --endMP 204:233299 --enddatetime 2017-09-14T06:35:43 --enforcementcount 1 &gt;&gt;C:\Users\stu\Documents\GitHub\eaglep3-reporting\EC\2017-09-14-refined-times.txt</v>
      </c>
      <c r="AI3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{"issue":{"subject":"","project_id":79,"tracker_id":40,"status_id":1,"priority_id":2,"assigned_to_id":338,"start_date":"2017-09-14","description":"","custom_fields":[{"id":1,"name":"Subdivision","value":"EC"},{"id":4,"name":"Milepost","value":"23.3299"},{"id":17,"name":"Train ID","value":"119-14"},{"id":16,"name":"Locomotive ID","value":"4030"},{"id":130,"name":"Impact","value":""},{"id":150,"name":"Time of Event (Mountain Time)","value":"06:35:43"},{"id":151,"name":"Denver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4030 --day 2017-09-14</v>
      </c>
      <c r="AN3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653</v>
      </c>
      <c r="B32" s="7">
        <v>4029</v>
      </c>
      <c r="C32" s="21" t="s">
        <v>197</v>
      </c>
      <c r="D32" s="21" t="s">
        <v>439</v>
      </c>
      <c r="E32" s="13">
        <v>42992.286712962959</v>
      </c>
      <c r="F32" s="13">
        <v>42992.289780092593</v>
      </c>
      <c r="G32" s="7">
        <v>53</v>
      </c>
      <c r="H32" s="21" t="s">
        <v>360</v>
      </c>
      <c r="I32" s="13">
        <v>42992.315879629627</v>
      </c>
      <c r="J32" s="7">
        <v>1</v>
      </c>
      <c r="K32" s="89" t="str">
        <f t="shared" si="0"/>
        <v>4029/4030</v>
      </c>
      <c r="L32" s="189" t="str">
        <f>VLOOKUP(A32,'Trips&amp;Operators'!$C$1:$G$99911,5,FALSE)</f>
        <v>PAGE MARCUS</v>
      </c>
      <c r="M32" s="6">
        <f t="shared" si="1"/>
        <v>2.6099537033587694E-2</v>
      </c>
      <c r="N32" s="7">
        <f t="shared" si="17"/>
        <v>37.58333332836628</v>
      </c>
      <c r="O32" s="7"/>
      <c r="P32" s="7"/>
      <c r="Q32" s="22"/>
      <c r="R32" s="167"/>
      <c r="S32" s="217">
        <f t="shared" si="2"/>
        <v>1</v>
      </c>
      <c r="T32" s="175" t="str">
        <f t="shared" si="3"/>
        <v>Southbound</v>
      </c>
      <c r="U32" s="20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26" t="str">
        <f t="shared" si="4"/>
        <v>https://d0f6bd738d7f1b3e5a7ca70fe4ff75f0.us-east-1.aws.found.io/app/kibana#/discover/Steve-Slow-Train-Analysis-(2080s-and-2083s)?_g=(refreshInterval:(display:Off,pause:!f,section:0,value:0),time:(from:'2017-09-14T05:52:52-0600',mode:absolute,to:'2017-09-14T08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10" t="str">
        <f>IF(AA32&lt;VLOOKUP(AG32,Variables!$AC$3:$AD$8,2,FALSE),"Y","N")</f>
        <v>N</v>
      </c>
      <c r="X32" s="210">
        <f t="shared" si="5"/>
        <v>1</v>
      </c>
      <c r="Y32" s="210">
        <f t="shared" si="6"/>
        <v>23.297999999999998</v>
      </c>
      <c r="Z32" s="210">
        <f t="shared" si="7"/>
        <v>1.52E-2</v>
      </c>
      <c r="AA32" s="210">
        <f t="shared" si="8"/>
        <v>23.282799999999998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183">
        <f t="shared" si="9"/>
        <v>120</v>
      </c>
      <c r="AE32" s="77" t="str">
        <f t="shared" si="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32" s="74" t="str">
        <f t="shared" si="11"/>
        <v>"C:\Program Files (x86)\AstroGrep\AstroGrep.exe" /e /r /s /spath="%USERPROFILE%\AppData\Local\Temp\OnboardLogs" /stypes="app*4029*20170914*" /stext=" 13:.+((SYSTEM_STATE.+slice.+state.+changed )|(ment ac)|(multiple cpu faults)|(system.+state.+changed )|(\[timeout)|(PRM\|1\|D)|(kpr)|(kdp)|(train st.+moving)|(\|lc)|(penalty))"</v>
      </c>
      <c r="AG32" s="186" t="str">
        <f t="shared" si="12"/>
        <v>EC</v>
      </c>
      <c r="AH32" s="78" t="str">
        <f t="shared" si="18"/>
        <v>"%USERPROFILE%\Documents\GitHub\eaglep3\Utilities\RefineRTDCRunTimes.py" --tripid 120-14 --locoid 4029 --swversion DE.1.0.9.0 --startMP 204:232980 --initTime 2017-09-14T06:52:52 --startdatetime 2017-09-14T06:57:17 --delay 53 --endMP 204:152 --enddatetime 2017-09-14T07:34:52 --enforcementcount 1 &gt;&gt;C:\Users\stu\Documents\GitHub\eaglep3-reporting\EC\2017-09-14-refined-times.txt</v>
      </c>
      <c r="AI32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{"issue":{"subject":"","project_id":79,"tracker_id":40,"status_id":1,"priority_id":2,"assigned_to_id":338,"start_date":"2017-09-14","description":"","custom_fields":[{"id":1,"name":"Subdivision","value":"EC"},{"id":4,"name":"Milepost","value":"0.0152"},{"id":17,"name":"Train ID","value":"120-14"},{"id":16,"name":"Locomotive ID","value":"4029"},{"id":130,"name":"Impact","value":""},{"id":150,"name":"Time of Event (Mountain Time)","value":"07:34:52"},{"id":151,"name":"Denver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4029 --day 2017-09-14</v>
      </c>
      <c r="AN32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647</v>
      </c>
      <c r="B33" s="7">
        <v>4060</v>
      </c>
      <c r="C33" s="21" t="s">
        <v>197</v>
      </c>
      <c r="D33" s="21" t="s">
        <v>350</v>
      </c>
      <c r="E33" s="13">
        <v>42992.255474537036</v>
      </c>
      <c r="F33" s="13">
        <v>42992.261087962965</v>
      </c>
      <c r="G33" s="7">
        <v>49</v>
      </c>
      <c r="H33" s="21" t="s">
        <v>487</v>
      </c>
      <c r="I33" s="13">
        <v>42992.285879629628</v>
      </c>
      <c r="J33" s="7">
        <v>1</v>
      </c>
      <c r="K33" s="89" t="str">
        <f t="shared" si="0"/>
        <v>4059/4060</v>
      </c>
      <c r="L33" s="189" t="str">
        <f>VLOOKUP(A33,'Trips&amp;Operators'!$C$1:$G$99911,5,FALSE)</f>
        <v>GEBRETEKLE DAGNEW</v>
      </c>
      <c r="M33" s="6">
        <f t="shared" si="1"/>
        <v>2.4791666663077194E-2</v>
      </c>
      <c r="N33" s="7">
        <f t="shared" si="17"/>
        <v>35.69999999483116</v>
      </c>
      <c r="O33" s="7"/>
      <c r="P33" s="7"/>
      <c r="Q33" s="22"/>
      <c r="R33" s="167"/>
      <c r="S33" s="217">
        <f t="shared" si="2"/>
        <v>1</v>
      </c>
      <c r="T33" s="175" t="str">
        <f t="shared" si="3"/>
        <v>NorthBound</v>
      </c>
      <c r="U33" s="20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26" t="str">
        <f t="shared" si="4"/>
        <v>https://d0f6bd738d7f1b3e5a7ca70fe4ff75f0.us-east-1.aws.found.io/app/kibana#/discover/Steve-Slow-Train-Analysis-(2080s-and-2083s)?_g=(refreshInterval:(display:Off,pause:!f,section:0,value:0),time:(from:'2017-09-14T05:07:53-0600',mode:absolute,to:'2017-09-14T07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210" t="str">
        <f>IF(AA33&lt;VLOOKUP(AG33,Variables!$AC$3:$AD$8,2,FALSE),"Y","N")</f>
        <v>N</v>
      </c>
      <c r="X33" s="210">
        <f t="shared" si="5"/>
        <v>1</v>
      </c>
      <c r="Y33" s="210">
        <f t="shared" si="6"/>
        <v>4.5499999999999999E-2</v>
      </c>
      <c r="Z33" s="210">
        <f t="shared" si="7"/>
        <v>23.3306</v>
      </c>
      <c r="AA33" s="210">
        <f t="shared" si="8"/>
        <v>23.2851</v>
      </c>
      <c r="AB33" s="54" t="e">
        <f>VLOOKUP(A33,Enforcements!$C$7:$K$11,8,0)</f>
        <v>#N/A</v>
      </c>
      <c r="AC33" s="51" t="e">
        <f>VLOOKUP(A33,Enforcements!$C$7:$E$11,3,0)</f>
        <v>#N/A</v>
      </c>
      <c r="AD33" s="183">
        <f t="shared" si="9"/>
        <v>121</v>
      </c>
      <c r="AE33" s="77" t="str">
        <f t="shared" si="10"/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33" s="74" t="str">
        <f t="shared" si="11"/>
        <v>"C:\Program Files (x86)\AstroGrep\AstroGrep.exe" /e /r /s /spath="%USERPROFILE%\AppData\Local\Temp\OnboardLogs" /stypes="app*4060*20170914*" /stext=" 12:.+((SYSTEM_STATE.+slice.+state.+changed )|(ment ac)|(multiple cpu faults)|(system.+state.+changed )|(\[timeout)|(PRM\|1\|D)|(kpr)|(kdp)|(train st.+moving)|(\|lc)|(penalty))"</v>
      </c>
      <c r="AG33" s="186" t="str">
        <f t="shared" si="12"/>
        <v>EC</v>
      </c>
      <c r="AH33" s="78" t="str">
        <f t="shared" si="18"/>
        <v>"%USERPROFILE%\Documents\GitHub\eaglep3\Utilities\RefineRTDCRunTimes.py" --tripid 121-14 --locoid 4060 --swversion DE.1.0.9.0 --startMP 204:455 --initTime 2017-09-14T06:07:53 --startdatetime 2017-09-14T06:15:58 --delay 49 --endMP 204:233306 --enddatetime 2017-09-14T06:51:40 --enforcementcount 1 &gt;&gt;C:\Users\stu\Documents\GitHub\eaglep3-reporting\EC\2017-09-14-refined-times.txt</v>
      </c>
      <c r="AI33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{"issue":{"subject":"","project_id":79,"tracker_id":40,"status_id":1,"priority_id":2,"assigned_to_id":338,"start_date":"2017-09-14","description":"","custom_fields":[{"id":1,"name":"Subdivision","value":"EC"},{"id":4,"name":"Milepost","value":"23.3306"},{"id":17,"name":"Train ID","value":"121-14"},{"id":16,"name":"Locomotive ID","value":"4060"},{"id":130,"name":"Impact","value":""},{"id":150,"name":"Time of Event (Mountain Time)","value":"06:51:40"},{"id":151,"name":"Denver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4060 --day 2017-09-14</v>
      </c>
      <c r="AN33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654</v>
      </c>
      <c r="B34" s="7">
        <v>4059</v>
      </c>
      <c r="C34" s="21" t="s">
        <v>197</v>
      </c>
      <c r="D34" s="21" t="s">
        <v>836</v>
      </c>
      <c r="E34" s="13">
        <v>42992.287002314813</v>
      </c>
      <c r="F34" s="13">
        <v>42992.300208333334</v>
      </c>
      <c r="G34" s="7">
        <v>50</v>
      </c>
      <c r="H34" s="21" t="s">
        <v>365</v>
      </c>
      <c r="I34" s="13">
        <v>42992.325949074075</v>
      </c>
      <c r="J34" s="7">
        <v>1</v>
      </c>
      <c r="K34" s="89" t="str">
        <f t="shared" si="0"/>
        <v>4059/4060</v>
      </c>
      <c r="L34" s="189" t="str">
        <f>VLOOKUP(A34,'Trips&amp;Operators'!$C$1:$G$99911,5,FALSE)</f>
        <v>GEBRETEKLE DAGNEW</v>
      </c>
      <c r="M34" s="6">
        <f t="shared" si="1"/>
        <v>2.5740740740729962E-2</v>
      </c>
      <c r="N34" s="7">
        <f t="shared" si="17"/>
        <v>37.066666666651145</v>
      </c>
      <c r="O34" s="7"/>
      <c r="P34" s="7"/>
      <c r="Q34" s="22"/>
      <c r="R34" s="167"/>
      <c r="S34" s="217">
        <f t="shared" si="2"/>
        <v>1</v>
      </c>
      <c r="T34" s="175" t="str">
        <f t="shared" si="3"/>
        <v>Southbound</v>
      </c>
      <c r="U34" s="20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26" t="str">
        <f t="shared" si="4"/>
        <v>https://d0f6bd738d7f1b3e5a7ca70fe4ff75f0.us-east-1.aws.found.io/app/kibana#/discover/Steve-Slow-Train-Analysis-(2080s-and-2083s)?_g=(refreshInterval:(display:Off,pause:!f,section:0,value:0),time:(from:'2017-09-14T05:53:17-0600',mode:absolute,to:'2017-09-14T08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210" t="str">
        <f>IF(AA34&lt;VLOOKUP(AG34,Variables!$AC$3:$AD$8,2,FALSE),"Y","N")</f>
        <v>N</v>
      </c>
      <c r="X34" s="210">
        <f t="shared" si="5"/>
        <v>1</v>
      </c>
      <c r="Y34" s="210">
        <f t="shared" si="6"/>
        <v>23.3002</v>
      </c>
      <c r="Z34" s="210">
        <f t="shared" si="7"/>
        <v>1.4500000000000001E-2</v>
      </c>
      <c r="AA34" s="210">
        <f t="shared" si="8"/>
        <v>23.285699999999999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83">
        <f t="shared" si="9"/>
        <v>122</v>
      </c>
      <c r="AE34" s="77" t="str">
        <f t="shared" si="10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34" s="74" t="str">
        <f t="shared" si="11"/>
        <v>"C:\Program Files (x86)\AstroGrep\AstroGrep.exe" /e /r /s /spath="%USERPROFILE%\AppData\Local\Temp\OnboardLogs" /stypes="app*4059*20170914*" /stext=" 13:.+((SYSTEM_STATE.+slice.+state.+changed )|(ment ac)|(multiple cpu faults)|(system.+state.+changed )|(\[timeout)|(PRM\|1\|D)|(kpr)|(kdp)|(train st.+moving)|(\|lc)|(penalty))"</v>
      </c>
      <c r="AG34" s="186" t="str">
        <f t="shared" si="12"/>
        <v>EC</v>
      </c>
      <c r="AH34" s="78" t="str">
        <f t="shared" si="18"/>
        <v>"%USERPROFILE%\Documents\GitHub\eaglep3\Utilities\RefineRTDCRunTimes.py" --tripid 122-14 --locoid 4059 --swversion DE.1.0.9.0 --startMP 204:233002 --initTime 2017-09-14T06:53:17 --startdatetime 2017-09-14T07:12:18 --delay 50 --endMP 204:145 --enddatetime 2017-09-14T07:49:22 --enforcementcount 1 &gt;&gt;C:\Users\stu\Documents\GitHub\eaglep3-reporting\EC\2017-09-14-refined-times.txt</v>
      </c>
      <c r="AI3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{"issue":{"subject":"","project_id":79,"tracker_id":40,"status_id":1,"priority_id":2,"assigned_to_id":338,"start_date":"2017-09-14","description":"","custom_fields":[{"id":1,"name":"Subdivision","value":"EC"},{"id":4,"name":"Milepost","value":"0.0145"},{"id":17,"name":"Train ID","value":"122-14"},{"id":16,"name":"Locomotive ID","value":"4059"},{"id":130,"name":"Impact","value":""},{"id":150,"name":"Time of Event (Mountain Time)","value":"07:49:22"},{"id":151,"name":"Denver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4059 --day 2017-09-14</v>
      </c>
      <c r="AN3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649</v>
      </c>
      <c r="B35" s="7">
        <v>4062</v>
      </c>
      <c r="C35" s="21" t="s">
        <v>197</v>
      </c>
      <c r="D35" s="21" t="s">
        <v>377</v>
      </c>
      <c r="E35" s="13">
        <v>42992.267013888886</v>
      </c>
      <c r="F35" s="13">
        <v>42992.27103009259</v>
      </c>
      <c r="G35" s="7">
        <v>62</v>
      </c>
      <c r="H35" s="21" t="s">
        <v>388</v>
      </c>
      <c r="I35" s="13">
        <v>42992.295740740738</v>
      </c>
      <c r="J35" s="7">
        <v>1</v>
      </c>
      <c r="K35" s="89" t="str">
        <f t="shared" si="0"/>
        <v>4061/4062</v>
      </c>
      <c r="L35" s="189" t="str">
        <f>VLOOKUP(A35,'Trips&amp;Operators'!$C$1:$G$99911,5,FALSE)</f>
        <v>WILLIAMS DONTE</v>
      </c>
      <c r="M35" s="6">
        <f t="shared" si="1"/>
        <v>2.47106481474475E-2</v>
      </c>
      <c r="N35" s="7">
        <f t="shared" si="17"/>
        <v>35.583333332324401</v>
      </c>
      <c r="O35" s="7"/>
      <c r="P35" s="7"/>
      <c r="Q35" s="22"/>
      <c r="R35" s="167"/>
      <c r="S35" s="217">
        <f t="shared" si="2"/>
        <v>1</v>
      </c>
      <c r="T35" s="175" t="str">
        <f t="shared" si="3"/>
        <v>NorthBound</v>
      </c>
      <c r="U35" s="20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26" t="str">
        <f t="shared" si="4"/>
        <v>https://d0f6bd738d7f1b3e5a7ca70fe4ff75f0.us-east-1.aws.found.io/app/kibana#/discover/Steve-Slow-Train-Analysis-(2080s-and-2083s)?_g=(refreshInterval:(display:Off,pause:!f,section:0,value:0),time:(from:'2017-09-14T05:24:30-0600',mode:absolute,to:'2017-09-14T08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10" t="str">
        <f>IF(AA35&lt;VLOOKUP(AG35,Variables!$AC$3:$AD$8,2,FALSE),"Y","N")</f>
        <v>N</v>
      </c>
      <c r="X35" s="210">
        <f t="shared" si="5"/>
        <v>1</v>
      </c>
      <c r="Y35" s="210">
        <f t="shared" si="6"/>
        <v>4.6899999999999997E-2</v>
      </c>
      <c r="Z35" s="210">
        <f t="shared" si="7"/>
        <v>23.331399999999999</v>
      </c>
      <c r="AA35" s="210">
        <f t="shared" si="8"/>
        <v>23.284499999999998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183">
        <f t="shared" si="9"/>
        <v>123</v>
      </c>
      <c r="AE35" s="77" t="str">
        <f t="shared" si="10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35" s="74" t="str">
        <f t="shared" si="11"/>
        <v>"C:\Program Files (x86)\AstroGrep\AstroGrep.exe" /e /r /s /spath="%USERPROFILE%\AppData\Local\Temp\OnboardLogs" /stypes="app*4062*20170914*" /stext=" 13:.+((SYSTEM_STATE.+slice.+state.+changed )|(ment ac)|(multiple cpu faults)|(system.+state.+changed )|(\[timeout)|(PRM\|1\|D)|(kpr)|(kdp)|(train st.+moving)|(\|lc)|(penalty))"</v>
      </c>
      <c r="AG35" s="186" t="str">
        <f t="shared" si="12"/>
        <v>EC</v>
      </c>
      <c r="AH35" s="78" t="str">
        <f t="shared" si="18"/>
        <v>"%USERPROFILE%\Documents\GitHub\eaglep3\Utilities\RefineRTDCRunTimes.py" --tripid 123-14 --locoid 4062 --swversion DE.1.0.9.0 --startMP 204:469 --initTime 2017-09-14T06:24:30 --startdatetime 2017-09-14T06:30:17 --delay 62 --endMP 204:233314 --enddatetime 2017-09-14T07:05:52 --enforcementcount 1 &gt;&gt;C:\Users\stu\Documents\GitHub\eaglep3-reporting\EC\2017-09-14-refined-times.txt</v>
      </c>
      <c r="AI3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ID","value":"123-14"},{"id":16,"name":"Locomotive ID","value":"4062"},{"id":130,"name":"Impact","value":""},{"id":150,"name":"Time of Event (Mountain Time)","value":"07:05:52"},{"id":151,"name":"Denver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4062 --day 2017-09-14</v>
      </c>
      <c r="AN3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584</v>
      </c>
      <c r="B36" s="7">
        <v>4061</v>
      </c>
      <c r="C36" s="21" t="s">
        <v>197</v>
      </c>
      <c r="D36" s="21" t="s">
        <v>829</v>
      </c>
      <c r="E36" s="13">
        <v>42992.297326388885</v>
      </c>
      <c r="F36" s="13">
        <v>42992.310659722221</v>
      </c>
      <c r="G36" s="7">
        <v>70</v>
      </c>
      <c r="H36" s="21" t="s">
        <v>338</v>
      </c>
      <c r="I36" s="13">
        <v>42992.339756944442</v>
      </c>
      <c r="J36" s="7">
        <v>1</v>
      </c>
      <c r="K36" s="89" t="str">
        <f t="shared" si="0"/>
        <v>4061/4062</v>
      </c>
      <c r="L36" s="189" t="str">
        <f>VLOOKUP(A36,'Trips&amp;Operators'!$C$1:$G$99911,5,FALSE)</f>
        <v>WILLIAMS DONTE</v>
      </c>
      <c r="M36" s="6">
        <f t="shared" si="1"/>
        <v>2.9097222221025731E-2</v>
      </c>
      <c r="N36" s="7">
        <f t="shared" si="17"/>
        <v>41.899999998277053</v>
      </c>
      <c r="O36" s="7"/>
      <c r="P36" s="7"/>
      <c r="Q36" s="22"/>
      <c r="R36" s="167"/>
      <c r="S36" s="217">
        <f t="shared" si="2"/>
        <v>1</v>
      </c>
      <c r="T36" s="175" t="str">
        <f t="shared" si="3"/>
        <v>Southbound</v>
      </c>
      <c r="U36" s="20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26" t="str">
        <f t="shared" si="4"/>
        <v>https://d0f6bd738d7f1b3e5a7ca70fe4ff75f0.us-east-1.aws.found.io/app/kibana#/discover/Steve-Slow-Train-Analysis-(2080s-and-2083s)?_g=(refreshInterval:(display:Off,pause:!f,section:0,value:0),time:(from:'2017-09-14T06:08:09-0600',mode:absolute,to:'2017-09-14T09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10" t="str">
        <f>IF(AA36&lt;VLOOKUP(AG36,Variables!$AC$3:$AD$8,2,FALSE),"Y","N")</f>
        <v>N</v>
      </c>
      <c r="X36" s="210">
        <f t="shared" si="5"/>
        <v>1</v>
      </c>
      <c r="Y36" s="210">
        <f t="shared" si="6"/>
        <v>23.298200000000001</v>
      </c>
      <c r="Z36" s="210">
        <f t="shared" si="7"/>
        <v>1.4999999999999999E-2</v>
      </c>
      <c r="AA36" s="210">
        <f t="shared" si="8"/>
        <v>23.283200000000001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83">
        <f t="shared" si="9"/>
        <v>124</v>
      </c>
      <c r="AE36" s="77" t="str">
        <f t="shared" si="10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36" s="74" t="str">
        <f t="shared" si="11"/>
        <v>"C:\Program Files (x86)\AstroGrep\AstroGrep.exe" /e /r /s /spath="%USERPROFILE%\AppData\Local\Temp\OnboardLogs" /stypes="app*4061*20170914*" /stext=" 14:.+((SYSTEM_STATE.+slice.+state.+changed )|(ment ac)|(multiple cpu faults)|(system.+state.+changed )|(\[timeout)|(PRM\|1\|D)|(kpr)|(kdp)|(train st.+moving)|(\|lc)|(penalty))"</v>
      </c>
      <c r="AG36" s="186" t="str">
        <f t="shared" si="12"/>
        <v>EC</v>
      </c>
      <c r="AH36" s="78" t="str">
        <f t="shared" si="18"/>
        <v>"%USERPROFILE%\Documents\GitHub\eaglep3\Utilities\RefineRTDCRunTimes.py" --tripid 124-14 --locoid 4061 --swversion DE.1.0.9.0 --startMP 204:232982 --initTime 2017-09-14T07:08:09 --startdatetime 2017-09-14T07:27:21 --delay 70 --endMP 204:150 --enddatetime 2017-09-14T08:09:15 --enforcementcount 1 &gt;&gt;C:\Users\stu\Documents\GitHub\eaglep3-reporting\EC\2017-09-14-refined-times.txt</v>
      </c>
      <c r="AI3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ID","value":"124-14"},{"id":16,"name":"Locomotive ID","value":"4061"},{"id":130,"name":"Impact","value":""},{"id":150,"name":"Time of Event (Mountain Time)","value":"08:09:15"},{"id":151,"name":"Denver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4061 --day 2017-09-14</v>
      </c>
      <c r="AN3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651</v>
      </c>
      <c r="B37" s="7">
        <v>4026</v>
      </c>
      <c r="C37" s="21" t="s">
        <v>197</v>
      </c>
      <c r="D37" s="21" t="s">
        <v>341</v>
      </c>
      <c r="E37" s="13">
        <v>42992.275856481479</v>
      </c>
      <c r="F37" s="13">
        <v>42992.281412037039</v>
      </c>
      <c r="G37" s="7">
        <v>54</v>
      </c>
      <c r="H37" s="21" t="s">
        <v>837</v>
      </c>
      <c r="I37" s="13">
        <v>42992.306238425925</v>
      </c>
      <c r="J37" s="7">
        <v>1</v>
      </c>
      <c r="K37" s="89" t="str">
        <f t="shared" si="0"/>
        <v>4025/4026</v>
      </c>
      <c r="L37" s="189" t="str">
        <f>VLOOKUP(A37,'Trips&amp;Operators'!$C$1:$G$99911,5,FALSE)</f>
        <v>ROCHA YAOTL</v>
      </c>
      <c r="M37" s="6">
        <f t="shared" si="1"/>
        <v>2.4826388886140194E-2</v>
      </c>
      <c r="N37" s="7">
        <f t="shared" si="17"/>
        <v>35.749999996041879</v>
      </c>
      <c r="O37" s="7"/>
      <c r="P37" s="7"/>
      <c r="Q37" s="22"/>
      <c r="R37" s="167"/>
      <c r="S37" s="217">
        <f t="shared" si="2"/>
        <v>1</v>
      </c>
      <c r="T37" s="175" t="str">
        <f t="shared" si="3"/>
        <v>NorthBound</v>
      </c>
      <c r="U37" s="20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26" t="str">
        <f t="shared" si="4"/>
        <v>https://d0f6bd738d7f1b3e5a7ca70fe4ff75f0.us-east-1.aws.found.io/app/kibana#/discover/Steve-Slow-Train-Analysis-(2080s-and-2083s)?_g=(refreshInterval:(display:Off,pause:!f,section:0,value:0),time:(from:'2017-09-14T05:37:14-0600',mode:absolute,to:'2017-09-14T08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210" t="str">
        <f>IF(AA37&lt;VLOOKUP(AG37,Variables!$AC$3:$AD$8,2,FALSE),"Y","N")</f>
        <v>N</v>
      </c>
      <c r="X37" s="210">
        <f t="shared" si="5"/>
        <v>1</v>
      </c>
      <c r="Y37" s="210">
        <f t="shared" si="6"/>
        <v>4.53E-2</v>
      </c>
      <c r="Z37" s="210">
        <f t="shared" si="7"/>
        <v>23.339099999999998</v>
      </c>
      <c r="AA37" s="210">
        <f t="shared" si="8"/>
        <v>23.293799999999997</v>
      </c>
      <c r="AB37" s="54" t="e">
        <f>VLOOKUP(A37,Enforcements!$C$7:$K$11,8,0)</f>
        <v>#N/A</v>
      </c>
      <c r="AC37" s="51" t="e">
        <f>VLOOKUP(A37,Enforcements!$C$7:$E$11,3,0)</f>
        <v>#N/A</v>
      </c>
      <c r="AD37" s="183">
        <f t="shared" si="9"/>
        <v>125</v>
      </c>
      <c r="AE37" s="77" t="str">
        <f t="shared" si="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37" s="74" t="str">
        <f t="shared" si="11"/>
        <v>"C:\Program Files (x86)\AstroGrep\AstroGrep.exe" /e /r /s /spath="%USERPROFILE%\AppData\Local\Temp\OnboardLogs" /stypes="app*4026*20170914*" /stext=" 13:.+((SYSTEM_STATE.+slice.+state.+changed )|(ment ac)|(multiple cpu faults)|(system.+state.+changed )|(\[timeout)|(PRM\|1\|D)|(kpr)|(kdp)|(train st.+moving)|(\|lc)|(penalty))"</v>
      </c>
      <c r="AG37" s="186" t="str">
        <f t="shared" si="12"/>
        <v>EC</v>
      </c>
      <c r="AH37" s="78" t="str">
        <f t="shared" si="18"/>
        <v>"%USERPROFILE%\Documents\GitHub\eaglep3\Utilities\RefineRTDCRunTimes.py" --tripid 125-14 --locoid 4026 --swversion DE.1.0.9.0 --startMP 204:453 --initTime 2017-09-14T06:37:14 --startdatetime 2017-09-14T06:45:14 --delay 54 --endMP 204:233391 --enddatetime 2017-09-14T07:20:59 --enforcementcount 1 &gt;&gt;C:\Users\stu\Documents\GitHub\eaglep3-reporting\EC\2017-09-14-refined-times.txt</v>
      </c>
      <c r="AI3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{"issue":{"subject":"","project_id":79,"tracker_id":40,"status_id":1,"priority_id":2,"assigned_to_id":338,"start_date":"2017-09-14","description":"","custom_fields":[{"id":1,"name":"Subdivision","value":"EC"},{"id":4,"name":"Milepost","value":"23.3391"},{"id":17,"name":"Train ID","value":"125-14"},{"id":16,"name":"Locomotive ID","value":"4026"},{"id":130,"name":"Impact","value":""},{"id":150,"name":"Time of Event (Mountain Time)","value":"07:20:59"},{"id":151,"name":"Denver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4026 --day 2017-09-14</v>
      </c>
      <c r="AN3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664</v>
      </c>
      <c r="B38" s="7">
        <v>4025</v>
      </c>
      <c r="C38" s="21" t="s">
        <v>197</v>
      </c>
      <c r="D38" s="21" t="s">
        <v>838</v>
      </c>
      <c r="E38" s="13">
        <v>42992.319074074076</v>
      </c>
      <c r="F38" s="13">
        <v>42992.321006944447</v>
      </c>
      <c r="G38" s="7">
        <v>48</v>
      </c>
      <c r="H38" s="21" t="s">
        <v>338</v>
      </c>
      <c r="I38" s="13">
        <v>42992.346388888887</v>
      </c>
      <c r="J38" s="7">
        <v>1</v>
      </c>
      <c r="K38" s="89" t="str">
        <f t="shared" si="0"/>
        <v>4025/4026</v>
      </c>
      <c r="L38" s="189" t="str">
        <f>VLOOKUP(A38,'Trips&amp;Operators'!$C$1:$G$99911,5,FALSE)</f>
        <v>ROCHA YAOTL</v>
      </c>
      <c r="M38" s="6">
        <f t="shared" si="1"/>
        <v>2.5381944440596271E-2</v>
      </c>
      <c r="N38" s="7">
        <f t="shared" si="17"/>
        <v>36.549999994458631</v>
      </c>
      <c r="O38" s="7"/>
      <c r="P38" s="7"/>
      <c r="Q38" s="22"/>
      <c r="R38" s="167"/>
      <c r="S38" s="217">
        <f t="shared" si="2"/>
        <v>1</v>
      </c>
      <c r="T38" s="175" t="str">
        <f t="shared" si="3"/>
        <v>Southbound</v>
      </c>
      <c r="U38" s="20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26" t="str">
        <f t="shared" si="4"/>
        <v>https://d0f6bd738d7f1b3e5a7ca70fe4ff75f0.us-east-1.aws.found.io/app/kibana#/discover/Steve-Slow-Train-Analysis-(2080s-and-2083s)?_g=(refreshInterval:(display:Off,pause:!f,section:0,value:0),time:(from:'2017-09-14T06:39:28-0600',mode:absolute,to:'2017-09-14T09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210" t="str">
        <f>IF(AA38&lt;VLOOKUP(AG38,Variables!$AC$3:$AD$8,2,FALSE),"Y","N")</f>
        <v>N</v>
      </c>
      <c r="X38" s="210">
        <f t="shared" si="5"/>
        <v>1</v>
      </c>
      <c r="Y38" s="210">
        <f t="shared" si="6"/>
        <v>23.311499999999999</v>
      </c>
      <c r="Z38" s="210">
        <f t="shared" si="7"/>
        <v>1.4999999999999999E-2</v>
      </c>
      <c r="AA38" s="210">
        <f t="shared" si="8"/>
        <v>23.296499999999998</v>
      </c>
      <c r="AB38" s="54" t="e">
        <f>VLOOKUP(A38,Enforcements!$C$7:$K$11,8,0)</f>
        <v>#N/A</v>
      </c>
      <c r="AC38" s="51" t="e">
        <f>VLOOKUP(A38,Enforcements!$C$7:$E$11,3,0)</f>
        <v>#N/A</v>
      </c>
      <c r="AD38" s="183">
        <f t="shared" si="9"/>
        <v>126</v>
      </c>
      <c r="AE38" s="77" t="str">
        <f t="shared" si="10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38" s="74" t="str">
        <f t="shared" si="11"/>
        <v>"C:\Program Files (x86)\AstroGrep\AstroGrep.exe" /e /r /s /spath="%USERPROFILE%\AppData\Local\Temp\OnboardLogs" /stypes="app*4025*20170914*" /stext=" 14:.+((SYSTEM_STATE.+slice.+state.+changed )|(ment ac)|(multiple cpu faults)|(system.+state.+changed )|(\[timeout)|(PRM\|1\|D)|(kpr)|(kdp)|(train st.+moving)|(\|lc)|(penalty))"</v>
      </c>
      <c r="AG38" s="186" t="str">
        <f t="shared" si="12"/>
        <v>EC</v>
      </c>
      <c r="AH38" s="78" t="str">
        <f t="shared" si="18"/>
        <v>"%USERPROFILE%\Documents\GitHub\eaglep3\Utilities\RefineRTDCRunTimes.py" --tripid 126-14 --locoid 4025 --swversion DE.1.0.9.0 --startMP 204:233115 --initTime 2017-09-14T07:39:28 --startdatetime 2017-09-14T07:42:15 --delay 48 --endMP 204:150 --enddatetime 2017-09-14T08:18:48 --enforcementcount 1 &gt;&gt;C:\Users\stu\Documents\GitHub\eaglep3-reporting\EC\2017-09-14-refined-times.txt</v>
      </c>
      <c r="AI3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ID","value":"126-14"},{"id":16,"name":"Locomotive ID","value":"4025"},{"id":130,"name":"Impact","value":""},{"id":150,"name":"Time of Event (Mountain Time)","value":"08:18:48"},{"id":151,"name":"Denver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4025 --day 2017-09-14</v>
      </c>
      <c r="AN3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655</v>
      </c>
      <c r="B39" s="7">
        <v>4002</v>
      </c>
      <c r="C39" s="21" t="s">
        <v>197</v>
      </c>
      <c r="D39" s="21" t="s">
        <v>377</v>
      </c>
      <c r="E39" s="13">
        <v>42992.286666666667</v>
      </c>
      <c r="F39" s="13">
        <v>42992.291886574072</v>
      </c>
      <c r="G39" s="7">
        <v>118</v>
      </c>
      <c r="H39" s="21" t="s">
        <v>839</v>
      </c>
      <c r="I39" s="13">
        <v>42992.316643518519</v>
      </c>
      <c r="J39" s="7">
        <v>1</v>
      </c>
      <c r="K39" s="89" t="str">
        <f t="shared" si="0"/>
        <v>4001/4002</v>
      </c>
      <c r="L39" s="189" t="str">
        <f>VLOOKUP(A39,'Trips&amp;Operators'!$C$1:$G$99911,5,FALSE)</f>
        <v>CASSIDY BRANDON</v>
      </c>
      <c r="M39" s="6">
        <f t="shared" si="1"/>
        <v>2.4756944447290152E-2</v>
      </c>
      <c r="N39" s="7">
        <f t="shared" si="17"/>
        <v>35.650000004097819</v>
      </c>
      <c r="O39" s="7"/>
      <c r="P39" s="7"/>
      <c r="Q39" s="22"/>
      <c r="R39" s="167"/>
      <c r="S39" s="217">
        <f t="shared" si="2"/>
        <v>1</v>
      </c>
      <c r="T39" s="175" t="str">
        <f t="shared" si="3"/>
        <v>NorthBound</v>
      </c>
      <c r="U39" s="20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26" t="str">
        <f t="shared" si="4"/>
        <v>https://d0f6bd738d7f1b3e5a7ca70fe4ff75f0.us-east-1.aws.found.io/app/kibana#/discover/Steve-Slow-Train-Analysis-(2080s-and-2083s)?_g=(refreshInterval:(display:Off,pause:!f,section:0,value:0),time:(from:'2017-09-14T05:52:48-0600',mode:absolute,to:'2017-09-14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210" t="str">
        <f>IF(AA39&lt;VLOOKUP(AG39,Variables!$AC$3:$AD$8,2,FALSE),"Y","N")</f>
        <v>N</v>
      </c>
      <c r="X39" s="210">
        <f t="shared" si="5"/>
        <v>1</v>
      </c>
      <c r="Y39" s="210">
        <f t="shared" si="6"/>
        <v>4.6899999999999997E-2</v>
      </c>
      <c r="Z39" s="210">
        <f t="shared" si="7"/>
        <v>23.337800000000001</v>
      </c>
      <c r="AA39" s="210">
        <f t="shared" si="8"/>
        <v>23.290900000000001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83">
        <f t="shared" si="9"/>
        <v>127</v>
      </c>
      <c r="AE39" s="77" t="str">
        <f t="shared" si="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39" s="74" t="str">
        <f t="shared" si="11"/>
        <v>"C:\Program Files (x86)\AstroGrep\AstroGrep.exe" /e /r /s /spath="%USERPROFILE%\AppData\Local\Temp\OnboardLogs" /stypes="app*4002*20170914*" /stext=" 13:.+((SYSTEM_STATE.+slice.+state.+changed )|(ment ac)|(multiple cpu faults)|(system.+state.+changed )|(\[timeout)|(PRM\|1\|D)|(kpr)|(kdp)|(train st.+moving)|(\|lc)|(penalty))"</v>
      </c>
      <c r="AG39" s="186" t="str">
        <f t="shared" si="12"/>
        <v>EC</v>
      </c>
      <c r="AH39" s="78" t="str">
        <f t="shared" si="18"/>
        <v>"%USERPROFILE%\Documents\GitHub\eaglep3\Utilities\RefineRTDCRunTimes.py" --tripid 127-14 --locoid 4002 --swversion DE.1.0.9.0 --startMP 204:469 --initTime 2017-09-14T06:52:48 --startdatetime 2017-09-14T07:00:19 --delay 118 --endMP 204:233378 --enddatetime 2017-09-14T07:35:58 --enforcementcount 1 &gt;&gt;C:\Users\stu\Documents\GitHub\eaglep3-reporting\EC\2017-09-14-refined-times.txt</v>
      </c>
      <c r="AI3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{"issue":{"subject":"","project_id":79,"tracker_id":40,"status_id":1,"priority_id":2,"assigned_to_id":338,"start_date":"2017-09-14","description":"","custom_fields":[{"id":1,"name":"Subdivision","value":"EC"},{"id":4,"name":"Milepost","value":"23.3378"},{"id":17,"name":"Train ID","value":"127-14"},{"id":16,"name":"Locomotive ID","value":"4002"},{"id":130,"name":"Impact","value":""},{"id":150,"name":"Time of Event (Mountain Time)","value":"07:35:58"},{"id":151,"name":"Denver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4002 --day 2017-09-14</v>
      </c>
      <c r="AN3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666</v>
      </c>
      <c r="B40" s="7">
        <v>4001</v>
      </c>
      <c r="C40" s="21" t="s">
        <v>197</v>
      </c>
      <c r="D40" s="21" t="s">
        <v>840</v>
      </c>
      <c r="E40" s="13">
        <v>42992.329143518517</v>
      </c>
      <c r="F40" s="13">
        <v>42992.33153935185</v>
      </c>
      <c r="G40" s="7">
        <v>72</v>
      </c>
      <c r="H40" s="21" t="s">
        <v>338</v>
      </c>
      <c r="I40" s="13">
        <v>42992.35832175926</v>
      </c>
      <c r="J40" s="7">
        <v>1</v>
      </c>
      <c r="K40" s="89" t="str">
        <f t="shared" si="0"/>
        <v>4001/4002</v>
      </c>
      <c r="L40" s="189" t="str">
        <f>VLOOKUP(A40,'Trips&amp;Operators'!$C$1:$G$99911,5,FALSE)</f>
        <v>CASSIDY BRANDON</v>
      </c>
      <c r="M40" s="6">
        <f t="shared" si="1"/>
        <v>2.6782407410792075E-2</v>
      </c>
      <c r="N40" s="7">
        <f t="shared" si="17"/>
        <v>38.566666671540588</v>
      </c>
      <c r="O40" s="7"/>
      <c r="P40" s="7"/>
      <c r="Q40" s="22"/>
      <c r="R40" s="167"/>
      <c r="S40" s="217">
        <f t="shared" si="2"/>
        <v>1</v>
      </c>
      <c r="T40" s="175" t="str">
        <f t="shared" si="3"/>
        <v>Southbound</v>
      </c>
      <c r="U40" s="20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26" t="str">
        <f t="shared" si="4"/>
        <v>https://d0f6bd738d7f1b3e5a7ca70fe4ff75f0.us-east-1.aws.found.io/app/kibana#/discover/Steve-Slow-Train-Analysis-(2080s-and-2083s)?_g=(refreshInterval:(display:Off,pause:!f,section:0,value:0),time:(from:'2017-09-14T06:53:58-0600',mode:absolute,to:'2017-09-14T09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210" t="str">
        <f>IF(AA40&lt;VLOOKUP(AG40,Variables!$AC$3:$AD$8,2,FALSE),"Y","N")</f>
        <v>N</v>
      </c>
      <c r="X40" s="210">
        <f t="shared" si="5"/>
        <v>1</v>
      </c>
      <c r="Y40" s="210">
        <f t="shared" si="6"/>
        <v>23.3111</v>
      </c>
      <c r="Z40" s="210">
        <f t="shared" si="7"/>
        <v>1.4999999999999999E-2</v>
      </c>
      <c r="AA40" s="210">
        <f t="shared" si="8"/>
        <v>23.296099999999999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83">
        <f t="shared" si="9"/>
        <v>128</v>
      </c>
      <c r="AE40" s="77" t="str">
        <f t="shared" si="10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40" s="74" t="str">
        <f t="shared" si="11"/>
        <v>"C:\Program Files (x86)\AstroGrep\AstroGrep.exe" /e /r /s /spath="%USERPROFILE%\AppData\Local\Temp\OnboardLogs" /stypes="app*4001*20170914*" /stext=" 14:.+((SYSTEM_STATE.+slice.+state.+changed )|(ment ac)|(multiple cpu faults)|(system.+state.+changed )|(\[timeout)|(PRM\|1\|D)|(kpr)|(kdp)|(train st.+moving)|(\|lc)|(penalty))"</v>
      </c>
      <c r="AG40" s="186" t="str">
        <f t="shared" si="12"/>
        <v>EC</v>
      </c>
      <c r="AH40" s="78" t="str">
        <f t="shared" si="18"/>
        <v>"%USERPROFILE%\Documents\GitHub\eaglep3\Utilities\RefineRTDCRunTimes.py" --tripid 128-14 --locoid 4001 --swversion DE.1.0.9.0 --startMP 204:233111 --initTime 2017-09-14T07:53:58 --startdatetime 2017-09-14T07:57:25 --delay 72 --endMP 204:150 --enddatetime 2017-09-14T08:35:59 --enforcementcount 1 &gt;&gt;C:\Users\stu\Documents\GitHub\eaglep3-reporting\EC\2017-09-14-refined-times.txt</v>
      </c>
      <c r="AI4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ID","value":"128-14"},{"id":16,"name":"Locomotive ID","value":"4001"},{"id":130,"name":"Impact","value":""},{"id":150,"name":"Time of Event (Mountain Time)","value":"08:35:59"},{"id":151,"name":"Denver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4001 --day 2017-09-14</v>
      </c>
      <c r="AN4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658</v>
      </c>
      <c r="B41" s="7">
        <v>4058</v>
      </c>
      <c r="C41" s="21" t="s">
        <v>197</v>
      </c>
      <c r="D41" s="21" t="s">
        <v>488</v>
      </c>
      <c r="E41" s="13">
        <v>42992.297465277778</v>
      </c>
      <c r="F41" s="13">
        <v>42992.30232638889</v>
      </c>
      <c r="G41" s="7">
        <v>47</v>
      </c>
      <c r="H41" s="21" t="s">
        <v>483</v>
      </c>
      <c r="I41" s="13">
        <v>42992.327650462961</v>
      </c>
      <c r="J41" s="7">
        <v>1</v>
      </c>
      <c r="K41" s="89" t="str">
        <f t="shared" si="0"/>
        <v>4057/4058</v>
      </c>
      <c r="L41" s="189" t="str">
        <f>VLOOKUP(A41,'Trips&amp;Operators'!$C$1:$G$99911,5,FALSE)</f>
        <v>MAELZER KURT</v>
      </c>
      <c r="M41" s="6">
        <f t="shared" si="1"/>
        <v>2.5324074071249925E-2</v>
      </c>
      <c r="N41" s="7">
        <f t="shared" si="17"/>
        <v>36.466666662599891</v>
      </c>
      <c r="O41" s="7"/>
      <c r="P41" s="7"/>
      <c r="Q41" s="22"/>
      <c r="R41" s="167"/>
      <c r="S41" s="217">
        <f t="shared" si="2"/>
        <v>1</v>
      </c>
      <c r="T41" s="175" t="str">
        <f t="shared" si="3"/>
        <v>NorthBound</v>
      </c>
      <c r="U41" s="20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26" t="str">
        <f t="shared" si="4"/>
        <v>https://d0f6bd738d7f1b3e5a7ca70fe4ff75f0.us-east-1.aws.found.io/app/kibana#/discover/Steve-Slow-Train-Analysis-(2080s-and-2083s)?_g=(refreshInterval:(display:Off,pause:!f,section:0,value:0),time:(from:'2017-09-14T06:08:21-0600',mode:absolute,to:'2017-09-14T08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1" s="210" t="str">
        <f>IF(AA41&lt;VLOOKUP(AG41,Variables!$AC$3:$AD$8,2,FALSE),"Y","N")</f>
        <v>N</v>
      </c>
      <c r="X41" s="210">
        <f t="shared" si="5"/>
        <v>1</v>
      </c>
      <c r="Y41" s="210">
        <f t="shared" si="6"/>
        <v>4.3299999999999998E-2</v>
      </c>
      <c r="Z41" s="210">
        <f t="shared" si="7"/>
        <v>23.331900000000001</v>
      </c>
      <c r="AA41" s="210">
        <f t="shared" si="8"/>
        <v>23.288600000000002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183">
        <f t="shared" si="9"/>
        <v>129</v>
      </c>
      <c r="AE41" s="77" t="str">
        <f t="shared" si="10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41" s="74" t="str">
        <f t="shared" si="11"/>
        <v>"C:\Program Files (x86)\AstroGrep\AstroGrep.exe" /e /r /s /spath="%USERPROFILE%\AppData\Local\Temp\OnboardLogs" /stypes="app*4058*20170914*" /stext=" 13:.+((SYSTEM_STATE.+slice.+state.+changed )|(ment ac)|(multiple cpu faults)|(system.+state.+changed )|(\[timeout)|(PRM\|1\|D)|(kpr)|(kdp)|(train st.+moving)|(\|lc)|(penalty))"</v>
      </c>
      <c r="AG41" s="186" t="str">
        <f t="shared" si="12"/>
        <v>EC</v>
      </c>
      <c r="AH41" s="78" t="str">
        <f t="shared" si="18"/>
        <v>"%USERPROFILE%\Documents\GitHub\eaglep3\Utilities\RefineRTDCRunTimes.py" --tripid 129-14 --locoid 4058 --swversion DE.1.0.9.0 --startMP 204:433 --initTime 2017-09-14T07:08:21 --startdatetime 2017-09-14T07:15:21 --delay 47 --endMP 204:233319 --enddatetime 2017-09-14T07:51:49 --enforcementcount 1 &gt;&gt;C:\Users\stu\Documents\GitHub\eaglep3-reporting\EC\2017-09-14-refined-times.txt</v>
      </c>
      <c r="AI4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{"issue":{"subject":"","project_id":79,"tracker_id":40,"status_id":1,"priority_id":2,"assigned_to_id":338,"start_date":"2017-09-14","description":"","custom_fields":[{"id":1,"name":"Subdivision","value":"EC"},{"id":4,"name":"Milepost","value":"23.3319"},{"id":17,"name":"Train ID","value":"129-14"},{"id":16,"name":"Locomotive ID","value":"4058"},{"id":130,"name":"Impact","value":""},{"id":150,"name":"Time of Event (Mountain Time)","value":"07:51:49"},{"id":151,"name":"Denver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4058 --day 2017-09-14</v>
      </c>
      <c r="AN4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669</v>
      </c>
      <c r="B42" s="7">
        <v>4057</v>
      </c>
      <c r="C42" s="21" t="s">
        <v>197</v>
      </c>
      <c r="D42" s="21" t="s">
        <v>538</v>
      </c>
      <c r="E42" s="13">
        <v>42992.338576388887</v>
      </c>
      <c r="F42" s="13">
        <v>42992.341898148145</v>
      </c>
      <c r="G42" s="7">
        <v>46</v>
      </c>
      <c r="H42" s="21" t="s">
        <v>342</v>
      </c>
      <c r="I42" s="13">
        <v>42992.368090277778</v>
      </c>
      <c r="J42" s="7">
        <v>1</v>
      </c>
      <c r="K42" s="89" t="str">
        <f t="shared" si="0"/>
        <v>4057/4058</v>
      </c>
      <c r="L42" s="189" t="str">
        <f>VLOOKUP(A42,'Trips&amp;Operators'!$C$1:$G$99911,5,FALSE)</f>
        <v>MAELZER KURT</v>
      </c>
      <c r="M42" s="6">
        <f t="shared" si="1"/>
        <v>2.6192129633272998E-2</v>
      </c>
      <c r="N42" s="7">
        <f t="shared" si="17"/>
        <v>37.716666671913117</v>
      </c>
      <c r="O42" s="7"/>
      <c r="P42" s="7"/>
      <c r="Q42" s="22"/>
      <c r="R42" s="167"/>
      <c r="S42" s="217">
        <f t="shared" si="2"/>
        <v>1</v>
      </c>
      <c r="T42" s="175" t="str">
        <f t="shared" si="3"/>
        <v>Southbound</v>
      </c>
      <c r="U42" s="20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26" t="str">
        <f t="shared" si="4"/>
        <v>https://d0f6bd738d7f1b3e5a7ca70fe4ff75f0.us-east-1.aws.found.io/app/kibana#/discover/Steve-Slow-Train-Analysis-(2080s-and-2083s)?_g=(refreshInterval:(display:Off,pause:!f,section:0,value:0),time:(from:'2017-09-14T07:07:33-0600',mode:absolute,to:'2017-09-14T09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2" s="210" t="str">
        <f>IF(AA42&lt;VLOOKUP(AG42,Variables!$AC$3:$AD$8,2,FALSE),"Y","N")</f>
        <v>N</v>
      </c>
      <c r="X42" s="210">
        <f t="shared" si="5"/>
        <v>1</v>
      </c>
      <c r="Y42" s="210">
        <f t="shared" si="6"/>
        <v>23.300999999999998</v>
      </c>
      <c r="Z42" s="210">
        <f t="shared" si="7"/>
        <v>1.41E-2</v>
      </c>
      <c r="AA42" s="210">
        <f t="shared" si="8"/>
        <v>23.286899999999999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83">
        <f t="shared" si="9"/>
        <v>130</v>
      </c>
      <c r="AE42" s="77" t="str">
        <f t="shared" si="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42" s="74" t="str">
        <f t="shared" si="11"/>
        <v>"C:\Program Files (x86)\AstroGrep\AstroGrep.exe" /e /r /s /spath="%USERPROFILE%\AppData\Local\Temp\OnboardLogs" /stypes="app*4057*20170914*" /stext=" 14:.+((SYSTEM_STATE.+slice.+state.+changed )|(ment ac)|(multiple cpu faults)|(system.+state.+changed )|(\[timeout)|(PRM\|1\|D)|(kpr)|(kdp)|(train st.+moving)|(\|lc)|(penalty))"</v>
      </c>
      <c r="AG42" s="186" t="str">
        <f t="shared" si="12"/>
        <v>EC</v>
      </c>
      <c r="AH42" s="78" t="str">
        <f t="shared" si="18"/>
        <v>"%USERPROFILE%\Documents\GitHub\eaglep3\Utilities\RefineRTDCRunTimes.py" --tripid 130-14 --locoid 4057 --swversion DE.1.0.9.0 --startMP 204:233010 --initTime 2017-09-14T08:07:33 --startdatetime 2017-09-14T08:12:20 --delay 46 --endMP 204:141 --enddatetime 2017-09-14T08:50:03 --enforcementcount 1 &gt;&gt;C:\Users\stu\Documents\GitHub\eaglep3-reporting\EC\2017-09-14-refined-times.txt</v>
      </c>
      <c r="AI42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ID","value":"130-14"},{"id":16,"name":"Locomotive ID","value":"4057"},{"id":130,"name":"Impact","value":""},{"id":150,"name":"Time of Event (Mountain Time)","value":"08:50:03"},{"id":151,"name":"Denver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4057 --day 2017-09-14</v>
      </c>
      <c r="AN42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659</v>
      </c>
      <c r="B43" s="7">
        <v>4032</v>
      </c>
      <c r="C43" s="21" t="s">
        <v>197</v>
      </c>
      <c r="D43" s="21" t="s">
        <v>382</v>
      </c>
      <c r="E43" s="13">
        <v>42992.308356481481</v>
      </c>
      <c r="F43" s="13">
        <v>42992.312673611108</v>
      </c>
      <c r="G43" s="7">
        <v>92</v>
      </c>
      <c r="H43" s="21" t="s">
        <v>841</v>
      </c>
      <c r="I43" s="13">
        <v>42992.337222222224</v>
      </c>
      <c r="J43" s="7">
        <v>1</v>
      </c>
      <c r="K43" s="89" t="str">
        <f t="shared" si="0"/>
        <v>4031/4032</v>
      </c>
      <c r="L43" s="189" t="str">
        <f>VLOOKUP(A43,'Trips&amp;Operators'!$C$1:$G$99911,5,FALSE)</f>
        <v>YANG JAN</v>
      </c>
      <c r="M43" s="6">
        <f t="shared" si="1"/>
        <v>2.4548611116188113E-2</v>
      </c>
      <c r="N43" s="7">
        <f t="shared" si="17"/>
        <v>35.350000007310882</v>
      </c>
      <c r="O43" s="7"/>
      <c r="P43" s="7"/>
      <c r="Q43" s="22"/>
      <c r="R43" s="167"/>
      <c r="S43" s="217">
        <f t="shared" si="2"/>
        <v>1</v>
      </c>
      <c r="T43" s="175" t="str">
        <f t="shared" si="3"/>
        <v>NorthBound</v>
      </c>
      <c r="U43" s="20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26" t="str">
        <f t="shared" si="4"/>
        <v>https://d0f6bd738d7f1b3e5a7ca70fe4ff75f0.us-east-1.aws.found.io/app/kibana#/discover/Steve-Slow-Train-Analysis-(2080s-and-2083s)?_g=(refreshInterval:(display:Off,pause:!f,section:0,value:0),time:(from:'2017-09-14T06:24:02-0600',mode:absolute,to:'2017-09-14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210" t="str">
        <f>IF(AA43&lt;VLOOKUP(AG43,Variables!$AC$3:$AD$8,2,FALSE),"Y","N")</f>
        <v>N</v>
      </c>
      <c r="X43" s="210">
        <f t="shared" si="5"/>
        <v>1</v>
      </c>
      <c r="Y43" s="210">
        <f t="shared" si="6"/>
        <v>4.5999999999999999E-2</v>
      </c>
      <c r="Z43" s="210">
        <f t="shared" si="7"/>
        <v>23.334099999999999</v>
      </c>
      <c r="AA43" s="210">
        <f t="shared" si="8"/>
        <v>23.2881</v>
      </c>
      <c r="AB43" s="54" t="e">
        <f>VLOOKUP(A43,Enforcements!$C$7:$K$11,8,0)</f>
        <v>#N/A</v>
      </c>
      <c r="AC43" s="51" t="e">
        <f>VLOOKUP(A43,Enforcements!$C$7:$E$11,3,0)</f>
        <v>#N/A</v>
      </c>
      <c r="AD43" s="183">
        <f t="shared" si="9"/>
        <v>131</v>
      </c>
      <c r="AE43" s="77" t="str">
        <f t="shared" si="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43" s="74" t="str">
        <f t="shared" si="11"/>
        <v>"C:\Program Files (x86)\AstroGrep\AstroGrep.exe" /e /r /s /spath="%USERPROFILE%\AppData\Local\Temp\OnboardLogs" /stypes="app*4032*20170914*" /stext=" 14:.+((SYSTEM_STATE.+slice.+state.+changed )|(ment ac)|(multiple cpu faults)|(system.+state.+changed )|(\[timeout)|(PRM\|1\|D)|(kpr)|(kdp)|(train st.+moving)|(\|lc)|(penalty))"</v>
      </c>
      <c r="AG43" s="186" t="str">
        <f t="shared" si="12"/>
        <v>EC</v>
      </c>
      <c r="AH43" s="78" t="str">
        <f t="shared" si="18"/>
        <v>"%USERPROFILE%\Documents\GitHub\eaglep3\Utilities\RefineRTDCRunTimes.py" --tripid 131-14 --locoid 4032 --swversion DE.1.0.9.0 --startMP 204:460 --initTime 2017-09-14T07:24:02 --startdatetime 2017-09-14T07:30:15 --delay 92 --endMP 204:233341 --enddatetime 2017-09-14T08:05:36 --enforcementcount 1 &gt;&gt;C:\Users\stu\Documents\GitHub\eaglep3-reporting\EC\2017-09-14-refined-times.txt</v>
      </c>
      <c r="AI43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{"issue":{"subject":"","project_id":79,"tracker_id":40,"status_id":1,"priority_id":2,"assigned_to_id":338,"start_date":"2017-09-14","description":"","custom_fields":[{"id":1,"name":"Subdivision","value":"EC"},{"id":4,"name":"Milepost","value":"23.3341"},{"id":17,"name":"Train ID","value":"131-14"},{"id":16,"name":"Locomotive ID","value":"4032"},{"id":130,"name":"Impact","value":""},{"id":150,"name":"Time of Event (Mountain Time)","value":"08:05:36"},{"id":151,"name":"Denver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4032 --day 2017-09-14</v>
      </c>
      <c r="AN43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671</v>
      </c>
      <c r="B44" s="7">
        <v>4031</v>
      </c>
      <c r="C44" s="21" t="s">
        <v>197</v>
      </c>
      <c r="D44" s="21" t="s">
        <v>422</v>
      </c>
      <c r="E44" s="13">
        <v>42992.34752314815</v>
      </c>
      <c r="F44" s="13">
        <v>42992.352256944447</v>
      </c>
      <c r="G44" s="7">
        <v>94</v>
      </c>
      <c r="H44" s="21" t="s">
        <v>340</v>
      </c>
      <c r="I44" s="13">
        <v>42992.378530092596</v>
      </c>
      <c r="J44" s="7">
        <v>1</v>
      </c>
      <c r="K44" s="89" t="str">
        <f t="shared" si="0"/>
        <v>4031/4032</v>
      </c>
      <c r="L44" s="189" t="str">
        <f>VLOOKUP(A44,'Trips&amp;Operators'!$C$1:$G$99911,5,FALSE)</f>
        <v>YANG JAN</v>
      </c>
      <c r="M44" s="6">
        <f t="shared" si="1"/>
        <v>2.6273148148902692E-2</v>
      </c>
      <c r="N44" s="7">
        <f t="shared" si="17"/>
        <v>37.833333334419876</v>
      </c>
      <c r="O44" s="7"/>
      <c r="P44" s="7"/>
      <c r="Q44" s="22"/>
      <c r="R44" s="167"/>
      <c r="S44" s="217">
        <f t="shared" si="2"/>
        <v>1</v>
      </c>
      <c r="T44" s="175" t="str">
        <f t="shared" si="3"/>
        <v>Southbound</v>
      </c>
      <c r="U44" s="20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26" t="str">
        <f t="shared" si="4"/>
        <v>https://d0f6bd738d7f1b3e5a7ca70fe4ff75f0.us-east-1.aws.found.io/app/kibana#/discover/Steve-Slow-Train-Analysis-(2080s-and-2083s)?_g=(refreshInterval:(display:Off,pause:!f,section:0,value:0),time:(from:'2017-09-14T07:20:26-0600',mode:absolute,to:'2017-09-14T10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210" t="str">
        <f>IF(AA44&lt;VLOOKUP(AG44,Variables!$AC$3:$AD$8,2,FALSE),"Y","N")</f>
        <v>N</v>
      </c>
      <c r="X44" s="210">
        <f t="shared" si="5"/>
        <v>1</v>
      </c>
      <c r="Y44" s="210">
        <f t="shared" si="6"/>
        <v>23.299600000000002</v>
      </c>
      <c r="Z44" s="210">
        <f t="shared" si="7"/>
        <v>1.43E-2</v>
      </c>
      <c r="AA44" s="210">
        <f t="shared" si="8"/>
        <v>23.285300000000003</v>
      </c>
      <c r="AB44" s="54" t="e">
        <f>VLOOKUP(A44,Enforcements!$C$7:$K$11,8,0)</f>
        <v>#N/A</v>
      </c>
      <c r="AC44" s="51" t="e">
        <f>VLOOKUP(A44,Enforcements!$C$7:$E$11,3,0)</f>
        <v>#N/A</v>
      </c>
      <c r="AD44" s="183">
        <f t="shared" si="9"/>
        <v>132</v>
      </c>
      <c r="AE44" s="77" t="str">
        <f t="shared" si="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44" s="74" t="str">
        <f t="shared" si="11"/>
        <v>"C:\Program Files (x86)\AstroGrep\AstroGrep.exe" /e /r /s /spath="%USERPROFILE%\AppData\Local\Temp\OnboardLogs" /stypes="app*4031*20170914*" /stext=" 15:.+((SYSTEM_STATE.+slice.+state.+changed )|(ment ac)|(multiple cpu faults)|(system.+state.+changed )|(\[timeout)|(PRM\|1\|D)|(kpr)|(kdp)|(train st.+moving)|(\|lc)|(penalty))"</v>
      </c>
      <c r="AG44" s="186" t="str">
        <f t="shared" si="12"/>
        <v>EC</v>
      </c>
      <c r="AH44" s="78" t="str">
        <f t="shared" si="18"/>
        <v>"%USERPROFILE%\Documents\GitHub\eaglep3\Utilities\RefineRTDCRunTimes.py" --tripid 132-14 --locoid 4031 --swversion DE.1.0.9.0 --startMP 204:232996 --initTime 2017-09-14T08:20:26 --startdatetime 2017-09-14T08:27:15 --delay 94 --endMP 204:143 --enddatetime 2017-09-14T09:05:05 --enforcementcount 1 &gt;&gt;C:\Users\stu\Documents\GitHub\eaglep3-reporting\EC\2017-09-14-refined-times.txt</v>
      </c>
      <c r="AI4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{"issue":{"subject":"","project_id":79,"tracker_id":40,"status_id":1,"priority_id":2,"assigned_to_id":338,"start_date":"2017-09-14","description":"","custom_fields":[{"id":1,"name":"Subdivision","value":"EC"},{"id":4,"name":"Milepost","value":"0.0143"},{"id":17,"name":"Train ID","value":"132-14"},{"id":16,"name":"Locomotive ID","value":"4031"},{"id":130,"name":"Impact","value":""},{"id":150,"name":"Time of Event (Mountain Time)","value":"09:05:05"},{"id":151,"name":"Denver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4031 --day 2017-09-14</v>
      </c>
      <c r="AN4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661</v>
      </c>
      <c r="B45" s="7">
        <v>4030</v>
      </c>
      <c r="C45" s="21" t="s">
        <v>197</v>
      </c>
      <c r="D45" s="21" t="s">
        <v>424</v>
      </c>
      <c r="E45" s="13">
        <v>42992.317928240744</v>
      </c>
      <c r="F45" s="13">
        <v>42992.323298611111</v>
      </c>
      <c r="G45" s="7">
        <v>131</v>
      </c>
      <c r="H45" s="21" t="s">
        <v>842</v>
      </c>
      <c r="I45" s="13">
        <v>42992.348738425928</v>
      </c>
      <c r="J45" s="7">
        <v>1</v>
      </c>
      <c r="K45" s="89" t="str">
        <f t="shared" si="0"/>
        <v>4029/4030</v>
      </c>
      <c r="L45" s="189" t="str">
        <f>VLOOKUP(A45,'Trips&amp;Operators'!$C$1:$G$99911,5,FALSE)</f>
        <v>GONZALEZ ARMANDO</v>
      </c>
      <c r="M45" s="6">
        <f t="shared" si="1"/>
        <v>2.5439814817218576E-2</v>
      </c>
      <c r="N45" s="7">
        <f t="shared" si="17"/>
        <v>36.633333336794749</v>
      </c>
      <c r="O45" s="7"/>
      <c r="P45" s="7"/>
      <c r="Q45" s="22"/>
      <c r="R45" s="167"/>
      <c r="S45" s="217">
        <f t="shared" si="2"/>
        <v>1</v>
      </c>
      <c r="T45" s="175" t="str">
        <f t="shared" si="3"/>
        <v>NorthBound</v>
      </c>
      <c r="U45" s="20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26" t="str">
        <f t="shared" si="4"/>
        <v>https://d0f6bd738d7f1b3e5a7ca70fe4ff75f0.us-east-1.aws.found.io/app/kibana#/discover/Steve-Slow-Train-Analysis-(2080s-and-2083s)?_g=(refreshInterval:(display:Off,pause:!f,section:0,value:0),time:(from:'2017-09-14T06:37:49-0600',mode:absolute,to:'2017-09-14T09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210" t="str">
        <f>IF(AA45&lt;VLOOKUP(AG45,Variables!$AC$3:$AD$8,2,FALSE),"Y","N")</f>
        <v>N</v>
      </c>
      <c r="X45" s="210">
        <f t="shared" ref="X45:X76" si="22">VALUE(LEFT(AD45,4))-VALUE(LEFT(AD44,4))</f>
        <v>1</v>
      </c>
      <c r="Y45" s="210">
        <f t="shared" ref="Y45:Y76" si="23">RIGHT(D45,LEN(D45)-4)/10000</f>
        <v>4.4400000000000002E-2</v>
      </c>
      <c r="Z45" s="210">
        <f t="shared" ref="Z45:Z76" si="24">RIGHT(H45,LEN(H45)-4)/10000</f>
        <v>23.334399999999999</v>
      </c>
      <c r="AA45" s="210">
        <f t="shared" si="8"/>
        <v>23.29</v>
      </c>
      <c r="AB45" s="54" t="e">
        <f>VLOOKUP(A45,Enforcements!$C$7:$K$11,8,0)</f>
        <v>#N/A</v>
      </c>
      <c r="AC45" s="51" t="e">
        <f>VLOOKUP(A45,Enforcements!$C$7:$E$11,3,0)</f>
        <v>#N/A</v>
      </c>
      <c r="AD45" s="183">
        <f t="shared" si="9"/>
        <v>133</v>
      </c>
      <c r="AE45" s="77" t="str">
        <f t="shared" si="10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45" s="74" t="str">
        <f t="shared" si="11"/>
        <v>"C:\Program Files (x86)\AstroGrep\AstroGrep.exe" /e /r /s /spath="%USERPROFILE%\AppData\Local\Temp\OnboardLogs" /stypes="app*4030*20170914*" /stext=" 14:.+((SYSTEM_STATE.+slice.+state.+changed )|(ment ac)|(multiple cpu faults)|(system.+state.+changed )|(\[timeout)|(PRM\|1\|D)|(kpr)|(kdp)|(train st.+moving)|(\|lc)|(penalty))"</v>
      </c>
      <c r="AG45" s="186" t="str">
        <f t="shared" si="12"/>
        <v>EC</v>
      </c>
      <c r="AH45" s="78" t="str">
        <f t="shared" si="18"/>
        <v>"%USERPROFILE%\Documents\GitHub\eaglep3\Utilities\RefineRTDCRunTimes.py" --tripid 133-14 --locoid 4030 --swversion DE.1.0.9.0 --startMP 204:444 --initTime 2017-09-14T07:37:49 --startdatetime 2017-09-14T07:45:33 --delay 131 --endMP 204:233344 --enddatetime 2017-09-14T08:22:11 --enforcementcount 1 &gt;&gt;C:\Users\stu\Documents\GitHub\eaglep3-reporting\EC\2017-09-14-refined-times.txt</v>
      </c>
      <c r="AI4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{"issue":{"subject":"","project_id":79,"tracker_id":40,"status_id":1,"priority_id":2,"assigned_to_id":338,"start_date":"2017-09-14","description":"","custom_fields":[{"id":1,"name":"Subdivision","value":"EC"},{"id":4,"name":"Milepost","value":"23.3344"},{"id":17,"name":"Train ID","value":"133-14"},{"id":16,"name":"Locomotive ID","value":"4030"},{"id":130,"name":"Impact","value":""},{"id":150,"name":"Time of Event (Mountain Time)","value":"08:22:11"},{"id":151,"name":"Denver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4030 --day 2017-09-14</v>
      </c>
      <c r="AN4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673</v>
      </c>
      <c r="B46" s="7">
        <v>4029</v>
      </c>
      <c r="C46" s="21" t="s">
        <v>197</v>
      </c>
      <c r="D46" s="21" t="s">
        <v>538</v>
      </c>
      <c r="E46" s="13">
        <v>42992.351006944446</v>
      </c>
      <c r="F46" s="13">
        <v>42992.362673611111</v>
      </c>
      <c r="G46" s="7">
        <v>79</v>
      </c>
      <c r="H46" s="21" t="s">
        <v>381</v>
      </c>
      <c r="I46" s="13">
        <v>42992.388472222221</v>
      </c>
      <c r="J46" s="7">
        <v>1</v>
      </c>
      <c r="K46" s="89" t="str">
        <f t="shared" si="0"/>
        <v>4029/4030</v>
      </c>
      <c r="L46" s="189" t="str">
        <f>VLOOKUP(A46,'Trips&amp;Operators'!$C$1:$G$99911,5,FALSE)</f>
        <v>GONZALEZ ARMANDO</v>
      </c>
      <c r="M46" s="6">
        <f t="shared" si="1"/>
        <v>2.5798611110076308E-2</v>
      </c>
      <c r="N46" s="7">
        <f t="shared" si="17"/>
        <v>37.149999998509884</v>
      </c>
      <c r="O46" s="7"/>
      <c r="P46" s="7"/>
      <c r="Q46" s="22"/>
      <c r="R46" s="167"/>
      <c r="S46" s="217">
        <f t="shared" si="2"/>
        <v>1</v>
      </c>
      <c r="T46" s="175" t="str">
        <f t="shared" si="3"/>
        <v>Southbound</v>
      </c>
      <c r="U46" s="20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26" t="str">
        <f t="shared" si="4"/>
        <v>https://d0f6bd738d7f1b3e5a7ca70fe4ff75f0.us-east-1.aws.found.io/app/kibana#/discover/Steve-Slow-Train-Analysis-(2080s-and-2083s)?_g=(refreshInterval:(display:Off,pause:!f,section:0,value:0),time:(from:'2017-09-14T07:25:27-0600',mode:absolute,to:'2017-09-14T10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210" t="str">
        <f>IF(AA46&lt;VLOOKUP(AG46,Variables!$AC$3:$AD$8,2,FALSE),"Y","N")</f>
        <v>N</v>
      </c>
      <c r="X46" s="210">
        <f t="shared" si="22"/>
        <v>1</v>
      </c>
      <c r="Y46" s="210">
        <f t="shared" si="23"/>
        <v>23.300999999999998</v>
      </c>
      <c r="Z46" s="210">
        <f t="shared" si="24"/>
        <v>1.6E-2</v>
      </c>
      <c r="AA46" s="210">
        <f t="shared" si="8"/>
        <v>23.285</v>
      </c>
      <c r="AB46" s="54" t="e">
        <f>VLOOKUP(A46,Enforcements!$C$7:$K$11,8,0)</f>
        <v>#N/A</v>
      </c>
      <c r="AC46" s="51" t="e">
        <f>VLOOKUP(A46,Enforcements!$C$7:$E$11,3,0)</f>
        <v>#N/A</v>
      </c>
      <c r="AD46" s="183">
        <f t="shared" si="9"/>
        <v>134</v>
      </c>
      <c r="AE46" s="77" t="str">
        <f t="shared" si="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46" s="74" t="str">
        <f t="shared" si="11"/>
        <v>"C:\Program Files (x86)\AstroGrep\AstroGrep.exe" /e /r /s /spath="%USERPROFILE%\AppData\Local\Temp\OnboardLogs" /stypes="app*4029*20170914*" /stext=" 15:.+((SYSTEM_STATE.+slice.+state.+changed )|(ment ac)|(multiple cpu faults)|(system.+state.+changed )|(\[timeout)|(PRM\|1\|D)|(kpr)|(kdp)|(train st.+moving)|(\|lc)|(penalty))"</v>
      </c>
      <c r="AG46" s="186" t="str">
        <f t="shared" si="12"/>
        <v>EC</v>
      </c>
      <c r="AH46" s="78" t="str">
        <f t="shared" si="18"/>
        <v>"%USERPROFILE%\Documents\GitHub\eaglep3\Utilities\RefineRTDCRunTimes.py" --tripid 134-14 --locoid 4029 --swversion DE.1.0.9.0 --startMP 204:233010 --initTime 2017-09-14T08:25:27 --startdatetime 2017-09-14T08:42:15 --delay 79 --endMP 204:160 --enddatetime 2017-09-14T09:19:24 --enforcementcount 1 &gt;&gt;C:\Users\stu\Documents\GitHub\eaglep3-reporting\EC\2017-09-14-refined-times.txt</v>
      </c>
      <c r="AI4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{"issue":{"subject":"","project_id":79,"tracker_id":40,"status_id":1,"priority_id":2,"assigned_to_id":338,"start_date":"2017-09-14","description":"","custom_fields":[{"id":1,"name":"Subdivision","value":"EC"},{"id":4,"name":"Milepost","value":"0.016"},{"id":17,"name":"Train ID","value":"134-14"},{"id":16,"name":"Locomotive ID","value":"4029"},{"id":130,"name":"Impact","value":""},{"id":150,"name":"Time of Event (Mountain Time)","value":"09:19:24"},{"id":151,"name":"Denver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4029 --day 2017-09-14</v>
      </c>
      <c r="AN4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665</v>
      </c>
      <c r="B47" s="7">
        <v>4060</v>
      </c>
      <c r="C47" s="21" t="s">
        <v>197</v>
      </c>
      <c r="D47" s="21" t="s">
        <v>421</v>
      </c>
      <c r="E47" s="13">
        <v>42992.328067129631</v>
      </c>
      <c r="F47" s="13">
        <v>42992.333518518521</v>
      </c>
      <c r="G47" s="7">
        <v>64</v>
      </c>
      <c r="H47" s="21" t="s">
        <v>843</v>
      </c>
      <c r="I47" s="13">
        <v>42992.357164351852</v>
      </c>
      <c r="J47" s="7">
        <v>1</v>
      </c>
      <c r="K47" s="89" t="str">
        <f t="shared" si="0"/>
        <v>4059/4060</v>
      </c>
      <c r="L47" s="189" t="str">
        <f>VLOOKUP(A47,'Trips&amp;Operators'!$C$1:$G$99911,5,FALSE)</f>
        <v>GEBRETEKLE DAGNEW</v>
      </c>
      <c r="M47" s="6">
        <f t="shared" si="1"/>
        <v>2.364583333110204E-2</v>
      </c>
      <c r="N47" s="7">
        <f t="shared" si="17"/>
        <v>34.049999996786937</v>
      </c>
      <c r="O47" s="7"/>
      <c r="P47" s="7"/>
      <c r="Q47" s="22"/>
      <c r="R47" s="167"/>
      <c r="S47" s="217">
        <f t="shared" si="2"/>
        <v>1</v>
      </c>
      <c r="T47" s="175" t="str">
        <f t="shared" si="3"/>
        <v>NorthBound</v>
      </c>
      <c r="U47" s="20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26" t="str">
        <f t="shared" si="4"/>
        <v>https://d0f6bd738d7f1b3e5a7ca70fe4ff75f0.us-east-1.aws.found.io/app/kibana#/discover/Steve-Slow-Train-Analysis-(2080s-and-2083s)?_g=(refreshInterval:(display:Off,pause:!f,section:0,value:0),time:(from:'2017-09-14T06:52:25-0600',mode:absolute,to:'2017-09-14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7" s="210" t="str">
        <f>IF(AA47&lt;VLOOKUP(AG47,Variables!$AC$3:$AD$8,2,FALSE),"Y","N")</f>
        <v>N</v>
      </c>
      <c r="X47" s="210">
        <f t="shared" si="22"/>
        <v>1</v>
      </c>
      <c r="Y47" s="210">
        <f t="shared" si="23"/>
        <v>4.6199999999999998E-2</v>
      </c>
      <c r="Z47" s="210">
        <f t="shared" si="24"/>
        <v>23.326799999999999</v>
      </c>
      <c r="AA47" s="210">
        <f t="shared" si="8"/>
        <v>23.2806</v>
      </c>
      <c r="AB47" s="54" t="e">
        <f>VLOOKUP(A47,Enforcements!$C$7:$K$11,8,0)</f>
        <v>#N/A</v>
      </c>
      <c r="AC47" s="51" t="e">
        <f>VLOOKUP(A47,Enforcements!$C$7:$E$11,3,0)</f>
        <v>#N/A</v>
      </c>
      <c r="AD47" s="183">
        <f t="shared" si="9"/>
        <v>135</v>
      </c>
      <c r="AE47" s="77" t="str">
        <f t="shared" si="10"/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47" s="74" t="str">
        <f t="shared" si="11"/>
        <v>"C:\Program Files (x86)\AstroGrep\AstroGrep.exe" /e /r /s /spath="%USERPROFILE%\AppData\Local\Temp\OnboardLogs" /stypes="app*4060*20170914*" /stext=" 14:.+((SYSTEM_STATE.+slice.+state.+changed )|(ment ac)|(multiple cpu faults)|(system.+state.+changed )|(\[timeout)|(PRM\|1\|D)|(kpr)|(kdp)|(train st.+moving)|(\|lc)|(penalty))"</v>
      </c>
      <c r="AG47" s="186" t="str">
        <f t="shared" si="12"/>
        <v>EC</v>
      </c>
      <c r="AH47" s="78" t="str">
        <f t="shared" si="18"/>
        <v>"%USERPROFILE%\Documents\GitHub\eaglep3\Utilities\RefineRTDCRunTimes.py" --tripid 135-14 --locoid 4060 --swversion DE.1.0.9.0 --startMP 204:462 --initTime 2017-09-14T07:52:25 --startdatetime 2017-09-14T08:00:16 --delay 64 --endMP 204:233268 --enddatetime 2017-09-14T08:34:19 --enforcementcount 1 &gt;&gt;C:\Users\stu\Documents\GitHub\eaglep3-reporting\EC\2017-09-14-refined-times.txt</v>
      </c>
      <c r="AI4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{"issue":{"subject":"","project_id":79,"tracker_id":40,"status_id":1,"priority_id":2,"assigned_to_id":338,"start_date":"2017-09-14","description":"","custom_fields":[{"id":1,"name":"Subdivision","value":"EC"},{"id":4,"name":"Milepost","value":"23.3268"},{"id":17,"name":"Train ID","value":"135-14"},{"id":16,"name":"Locomotive ID","value":"4060"},{"id":130,"name":"Impact","value":""},{"id":150,"name":"Time of Event (Mountain Time)","value":"08:34:19"},{"id":151,"name":"Denver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4060 --day 2017-09-14</v>
      </c>
      <c r="AN4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676</v>
      </c>
      <c r="B48" s="7">
        <v>4059</v>
      </c>
      <c r="C48" s="21" t="s">
        <v>197</v>
      </c>
      <c r="D48" s="21" t="s">
        <v>844</v>
      </c>
      <c r="E48" s="13">
        <v>42992.35832175926</v>
      </c>
      <c r="F48" s="13">
        <v>42992.373113425929</v>
      </c>
      <c r="G48" s="7">
        <v>58</v>
      </c>
      <c r="H48" s="21" t="s">
        <v>343</v>
      </c>
      <c r="I48" s="13">
        <v>42992.403055555558</v>
      </c>
      <c r="J48" s="7">
        <v>1</v>
      </c>
      <c r="K48" s="89" t="str">
        <f t="shared" si="0"/>
        <v>4059/4060</v>
      </c>
      <c r="L48" s="189" t="str">
        <f>VLOOKUP(A48,'Trips&amp;Operators'!$C$1:$G$99911,5,FALSE)</f>
        <v>GEBRETEKLE DAGNEW</v>
      </c>
      <c r="M48" s="6">
        <f t="shared" si="1"/>
        <v>2.99421296294895E-2</v>
      </c>
      <c r="N48" s="7">
        <f t="shared" si="17"/>
        <v>43.11666666646488</v>
      </c>
      <c r="O48" s="7"/>
      <c r="P48" s="7"/>
      <c r="Q48" s="22"/>
      <c r="R48" s="167"/>
      <c r="S48" s="217">
        <f t="shared" si="2"/>
        <v>1</v>
      </c>
      <c r="T48" s="175" t="str">
        <f t="shared" si="3"/>
        <v>Southbound</v>
      </c>
      <c r="U48" s="20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26" t="str">
        <f t="shared" si="4"/>
        <v>https://d0f6bd738d7f1b3e5a7ca70fe4ff75f0.us-east-1.aws.found.io/app/kibana#/discover/Steve-Slow-Train-Analysis-(2080s-and-2083s)?_g=(refreshInterval:(display:Off,pause:!f,section:0,value:0),time:(from:'2017-09-14T07:35:59-0600',mode:absolute,to:'2017-09-14T10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8" s="210" t="str">
        <f>IF(AA48&lt;VLOOKUP(AG48,Variables!$AC$3:$AD$8,2,FALSE),"Y","N")</f>
        <v>N</v>
      </c>
      <c r="X48" s="210">
        <f t="shared" si="22"/>
        <v>1</v>
      </c>
      <c r="Y48" s="210">
        <f t="shared" si="23"/>
        <v>23.296299999999999</v>
      </c>
      <c r="Z48" s="210">
        <f t="shared" si="24"/>
        <v>1.47E-2</v>
      </c>
      <c r="AA48" s="210">
        <f t="shared" si="8"/>
        <v>23.281599999999997</v>
      </c>
      <c r="AB48" s="54" t="e">
        <f>VLOOKUP(A48,Enforcements!$C$7:$K$11,8,0)</f>
        <v>#N/A</v>
      </c>
      <c r="AC48" s="51" t="e">
        <f>VLOOKUP(A48,Enforcements!$C$7:$E$11,3,0)</f>
        <v>#N/A</v>
      </c>
      <c r="AD48" s="183">
        <f t="shared" si="9"/>
        <v>136</v>
      </c>
      <c r="AE48" s="77" t="str">
        <f t="shared" si="10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48" s="74" t="str">
        <f t="shared" si="11"/>
        <v>"C:\Program Files (x86)\AstroGrep\AstroGrep.exe" /e /r /s /spath="%USERPROFILE%\AppData\Local\Temp\OnboardLogs" /stypes="app*4059*20170914*" /stext=" 15:.+((SYSTEM_STATE.+slice.+state.+changed )|(ment ac)|(multiple cpu faults)|(system.+state.+changed )|(\[timeout)|(PRM\|1\|D)|(kpr)|(kdp)|(train st.+moving)|(\|lc)|(penalty))"</v>
      </c>
      <c r="AG48" s="186" t="str">
        <f t="shared" si="12"/>
        <v>EC</v>
      </c>
      <c r="AH48" s="78" t="str">
        <f t="shared" si="18"/>
        <v>"%USERPROFILE%\Documents\GitHub\eaglep3\Utilities\RefineRTDCRunTimes.py" --tripid 136-14 --locoid 4059 --swversion DE.1.0.9.0 --startMP 204:232963 --initTime 2017-09-14T08:35:59 --startdatetime 2017-09-14T08:57:17 --delay 58 --endMP 204:147 --enddatetime 2017-09-14T09:40:24 --enforcementcount 1 &gt;&gt;C:\Users\stu\Documents\GitHub\eaglep3-reporting\EC\2017-09-14-refined-times.txt</v>
      </c>
      <c r="AI4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{"issue":{"subject":"","project_id":79,"tracker_id":40,"status_id":1,"priority_id":2,"assigned_to_id":338,"start_date":"2017-09-14","description":"","custom_fields":[{"id":1,"name":"Subdivision","value":"EC"},{"id":4,"name":"Milepost","value":"0.0147"},{"id":17,"name":"Train ID","value":"136-14"},{"id":16,"name":"Locomotive ID","value":"4059"},{"id":130,"name":"Impact","value":""},{"id":150,"name":"Time of Event (Mountain Time)","value":"09:40:24"},{"id":151,"name":"Denver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4059 --day 2017-09-14</v>
      </c>
      <c r="AN4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670</v>
      </c>
      <c r="B49" s="7">
        <v>4062</v>
      </c>
      <c r="C49" s="21" t="s">
        <v>197</v>
      </c>
      <c r="D49" s="21" t="s">
        <v>845</v>
      </c>
      <c r="E49" s="13">
        <v>42992.341874999998</v>
      </c>
      <c r="F49" s="13">
        <v>42992.343935185185</v>
      </c>
      <c r="G49" s="7">
        <v>86</v>
      </c>
      <c r="H49" s="21" t="s">
        <v>454</v>
      </c>
      <c r="I49" s="13">
        <v>42992.369791666664</v>
      </c>
      <c r="J49" s="7">
        <v>1</v>
      </c>
      <c r="K49" s="89" t="str">
        <f t="shared" si="0"/>
        <v>4061/4062</v>
      </c>
      <c r="L49" s="189" t="str">
        <f>VLOOKUP(A49,'Trips&amp;Operators'!$C$1:$G$99911,5,FALSE)</f>
        <v>WILLIAMS DONTE</v>
      </c>
      <c r="M49" s="6">
        <f t="shared" si="1"/>
        <v>2.5856481479422655E-2</v>
      </c>
      <c r="N49" s="7">
        <f t="shared" si="17"/>
        <v>37.233333330368623</v>
      </c>
      <c r="O49" s="7"/>
      <c r="P49" s="7"/>
      <c r="Q49" s="22"/>
      <c r="R49" s="167"/>
      <c r="S49" s="217">
        <f t="shared" si="2"/>
        <v>1</v>
      </c>
      <c r="T49" s="175" t="str">
        <f t="shared" si="3"/>
        <v>NorthBound</v>
      </c>
      <c r="U49" s="20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26" t="str">
        <f t="shared" si="4"/>
        <v>https://d0f6bd738d7f1b3e5a7ca70fe4ff75f0.us-east-1.aws.found.io/app/kibana#/discover/Steve-Slow-Train-Analysis-(2080s-and-2083s)?_g=(refreshInterval:(display:Off,pause:!f,section:0,value:0),time:(from:'2017-09-14T07:12:18-0600',mode:absolute,to:'2017-09-14T09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9" s="210" t="str">
        <f>IF(AA49&lt;VLOOKUP(AG49,Variables!$AC$3:$AD$8,2,FALSE),"Y","N")</f>
        <v>N</v>
      </c>
      <c r="X49" s="210">
        <f t="shared" si="22"/>
        <v>1</v>
      </c>
      <c r="Y49" s="210">
        <f t="shared" si="23"/>
        <v>4.7500000000000001E-2</v>
      </c>
      <c r="Z49" s="210">
        <f t="shared" si="24"/>
        <v>23.329699999999999</v>
      </c>
      <c r="AA49" s="210">
        <f t="shared" si="8"/>
        <v>23.2822</v>
      </c>
      <c r="AB49" s="54" t="e">
        <f>VLOOKUP(A49,Enforcements!$C$7:$K$11,8,0)</f>
        <v>#N/A</v>
      </c>
      <c r="AC49" s="51" t="e">
        <f>VLOOKUP(A49,Enforcements!$C$7:$E$11,3,0)</f>
        <v>#N/A</v>
      </c>
      <c r="AD49" s="183">
        <f t="shared" si="9"/>
        <v>137</v>
      </c>
      <c r="AE49" s="77" t="str">
        <f t="shared" si="10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49" s="74" t="str">
        <f t="shared" si="11"/>
        <v>"C:\Program Files (x86)\AstroGrep\AstroGrep.exe" /e /r /s /spath="%USERPROFILE%\AppData\Local\Temp\OnboardLogs" /stypes="app*4062*20170914*" /stext=" 14:.+((SYSTEM_STATE.+slice.+state.+changed )|(ment ac)|(multiple cpu faults)|(system.+state.+changed )|(\[timeout)|(PRM\|1\|D)|(kpr)|(kdp)|(train st.+moving)|(\|lc)|(penalty))"</v>
      </c>
      <c r="AG49" s="186" t="str">
        <f t="shared" si="12"/>
        <v>EC</v>
      </c>
      <c r="AH49" s="78" t="str">
        <f t="shared" si="18"/>
        <v>"%USERPROFILE%\Documents\GitHub\eaglep3\Utilities\RefineRTDCRunTimes.py" --tripid 137-14 --locoid 4062 --swversion DE.1.0.9.0 --startMP 204:475 --initTime 2017-09-14T08:12:18 --startdatetime 2017-09-14T08:15:16 --delay 86 --endMP 204:233297 --enddatetime 2017-09-14T08:52:30 --enforcementcount 1 &gt;&gt;C:\Users\stu\Documents\GitHub\eaglep3-reporting\EC\2017-09-14-refined-times.txt</v>
      </c>
      <c r="AI4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{"issue":{"subject":"","project_id":79,"tracker_id":40,"status_id":1,"priority_id":2,"assigned_to_id":338,"start_date":"2017-09-14","description":"","custom_fields":[{"id":1,"name":"Subdivision","value":"EC"},{"id":4,"name":"Milepost","value":"23.3297"},{"id":17,"name":"Train ID","value":"137-14"},{"id":16,"name":"Locomotive ID","value":"4062"},{"id":130,"name":"Impact","value":""},{"id":150,"name":"Time of Event (Mountain Time)","value":"08:52:30"},{"id":151,"name":"Denver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4062 --day 2017-09-14</v>
      </c>
      <c r="AN4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679</v>
      </c>
      <c r="B50" s="7">
        <v>4061</v>
      </c>
      <c r="C50" s="21" t="s">
        <v>197</v>
      </c>
      <c r="D50" s="21" t="s">
        <v>387</v>
      </c>
      <c r="E50" s="13">
        <v>42992.377916666665</v>
      </c>
      <c r="F50" s="13">
        <v>42992.383553240739</v>
      </c>
      <c r="G50" s="7">
        <v>107</v>
      </c>
      <c r="H50" s="21" t="s">
        <v>401</v>
      </c>
      <c r="I50" s="13">
        <v>42992.410613425927</v>
      </c>
      <c r="J50" s="7">
        <v>1</v>
      </c>
      <c r="K50" s="89" t="str">
        <f t="shared" si="0"/>
        <v>4061/4062</v>
      </c>
      <c r="L50" s="189" t="str">
        <f>VLOOKUP(A50,'Trips&amp;Operators'!$C$1:$G$99911,5,FALSE)</f>
        <v>WILLIAMS DONTE</v>
      </c>
      <c r="M50" s="6">
        <f t="shared" si="1"/>
        <v>2.7060185188020114E-2</v>
      </c>
      <c r="N50" s="7">
        <f t="shared" si="17"/>
        <v>38.966666670748964</v>
      </c>
      <c r="O50" s="7"/>
      <c r="P50" s="7"/>
      <c r="Q50" s="22"/>
      <c r="R50" s="167"/>
      <c r="S50" s="217">
        <f t="shared" si="2"/>
        <v>1</v>
      </c>
      <c r="T50" s="175" t="str">
        <f t="shared" si="3"/>
        <v>Southbound</v>
      </c>
      <c r="U50" s="20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26" t="str">
        <f t="shared" si="4"/>
        <v>https://d0f6bd738d7f1b3e5a7ca70fe4ff75f0.us-east-1.aws.found.io/app/kibana#/discover/Steve-Slow-Train-Analysis-(2080s-and-2083s)?_g=(refreshInterval:(display:Off,pause:!f,section:0,value:0),time:(from:'2017-09-14T08:04:12-0600',mode:absolute,to:'2017-09-14T10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0" s="210" t="str">
        <f>IF(AA50&lt;VLOOKUP(AG50,Variables!$AC$3:$AD$8,2,FALSE),"Y","N")</f>
        <v>N</v>
      </c>
      <c r="X50" s="210">
        <f t="shared" si="22"/>
        <v>1</v>
      </c>
      <c r="Y50" s="210">
        <f t="shared" si="23"/>
        <v>23.299399999999999</v>
      </c>
      <c r="Z50" s="210">
        <f t="shared" si="24"/>
        <v>1.3899999999999999E-2</v>
      </c>
      <c r="AA50" s="210">
        <f t="shared" si="8"/>
        <v>23.285499999999999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83">
        <f t="shared" si="9"/>
        <v>138</v>
      </c>
      <c r="AE50" s="77" t="str">
        <f t="shared" si="10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50" s="74" t="str">
        <f t="shared" si="11"/>
        <v>"C:\Program Files (x86)\AstroGrep\AstroGrep.exe" /e /r /s /spath="%USERPROFILE%\AppData\Local\Temp\OnboardLogs" /stypes="app*4061*20170914*" /stext=" 15:.+((SYSTEM_STATE.+slice.+state.+changed )|(ment ac)|(multiple cpu faults)|(system.+state.+changed )|(\[timeout)|(PRM\|1\|D)|(kpr)|(kdp)|(train st.+moving)|(\|lc)|(penalty))"</v>
      </c>
      <c r="AG50" s="186" t="str">
        <f t="shared" si="12"/>
        <v>EC</v>
      </c>
      <c r="AH50" s="78" t="str">
        <f t="shared" si="18"/>
        <v>"%USERPROFILE%\Documents\GitHub\eaglep3\Utilities\RefineRTDCRunTimes.py" --tripid 138-14 --locoid 4061 --swversion DE.1.0.9.0 --startMP 204:232994 --initTime 2017-09-14T09:04:12 --startdatetime 2017-09-14T09:12:19 --delay 107 --endMP 204:139 --enddatetime 2017-09-14T09:51:17 --enforcementcount 1 &gt;&gt;C:\Users\stu\Documents\GitHub\eaglep3-reporting\EC\2017-09-14-refined-times.txt</v>
      </c>
      <c r="AI5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ID","value":"138-14"},{"id":16,"name":"Locomotive ID","value":"4061"},{"id":130,"name":"Impact","value":""},{"id":150,"name":"Time of Event (Mountain Time)","value":"09:51:17"},{"id":151,"name":"Denver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4061 --day 2017-09-14</v>
      </c>
      <c r="AN5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672</v>
      </c>
      <c r="B51" s="7">
        <v>4026</v>
      </c>
      <c r="C51" s="21" t="s">
        <v>197</v>
      </c>
      <c r="D51" s="21" t="s">
        <v>455</v>
      </c>
      <c r="E51" s="13">
        <v>42992.348252314812</v>
      </c>
      <c r="F51" s="13">
        <v>42992.35434027778</v>
      </c>
      <c r="G51" s="7">
        <v>45</v>
      </c>
      <c r="H51" s="21" t="s">
        <v>846</v>
      </c>
      <c r="I51" s="13">
        <v>42992.37804398148</v>
      </c>
      <c r="J51" s="7">
        <v>1</v>
      </c>
      <c r="K51" s="89" t="str">
        <f t="shared" si="0"/>
        <v>4025/4026</v>
      </c>
      <c r="L51" s="189" t="str">
        <f>VLOOKUP(A51,'Trips&amp;Operators'!$C$1:$G$99911,5,FALSE)</f>
        <v>ROCHA YAOTL</v>
      </c>
      <c r="M51" s="6">
        <f t="shared" si="1"/>
        <v>2.3703703700448386E-2</v>
      </c>
      <c r="N51" s="7">
        <f t="shared" si="17"/>
        <v>34.133333328645676</v>
      </c>
      <c r="O51" s="7"/>
      <c r="P51" s="7"/>
      <c r="Q51" s="22"/>
      <c r="R51" s="167"/>
      <c r="S51" s="217">
        <f t="shared" si="2"/>
        <v>1</v>
      </c>
      <c r="T51" s="175" t="str">
        <f t="shared" si="3"/>
        <v>NorthBound</v>
      </c>
      <c r="U51" s="20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26" t="str">
        <f t="shared" si="4"/>
        <v>https://d0f6bd738d7f1b3e5a7ca70fe4ff75f0.us-east-1.aws.found.io/app/kibana#/discover/Steve-Slow-Train-Analysis-(2080s-and-2083s)?_g=(refreshInterval:(display:Off,pause:!f,section:0,value:0),time:(from:'2017-09-14T07:21:29-0600',mode:absolute,to:'2017-09-14T10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210" t="str">
        <f>IF(AA51&lt;VLOOKUP(AG51,Variables!$AC$3:$AD$8,2,FALSE),"Y","N")</f>
        <v>N</v>
      </c>
      <c r="X51" s="210">
        <f t="shared" si="22"/>
        <v>1</v>
      </c>
      <c r="Y51" s="210">
        <f t="shared" si="23"/>
        <v>4.6600000000000003E-2</v>
      </c>
      <c r="Z51" s="210">
        <f t="shared" si="24"/>
        <v>23.330500000000001</v>
      </c>
      <c r="AA51" s="210">
        <f t="shared" si="8"/>
        <v>23.283899999999999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83">
        <f t="shared" si="9"/>
        <v>139</v>
      </c>
      <c r="AE51" s="77" t="str">
        <f t="shared" si="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51" s="74" t="str">
        <f t="shared" si="11"/>
        <v>"C:\Program Files (x86)\AstroGrep\AstroGrep.exe" /e /r /s /spath="%USERPROFILE%\AppData\Local\Temp\OnboardLogs" /stypes="app*4026*20170914*" /stext=" 15:.+((SYSTEM_STATE.+slice.+state.+changed )|(ment ac)|(multiple cpu faults)|(system.+state.+changed )|(\[timeout)|(PRM\|1\|D)|(kpr)|(kdp)|(train st.+moving)|(\|lc)|(penalty))"</v>
      </c>
      <c r="AG51" s="186" t="str">
        <f t="shared" si="12"/>
        <v>EC</v>
      </c>
      <c r="AH51" s="78" t="str">
        <f t="shared" si="18"/>
        <v>"%USERPROFILE%\Documents\GitHub\eaglep3\Utilities\RefineRTDCRunTimes.py" --tripid 139-14 --locoid 4026 --swversion DE.1.0.9.0 --startMP 204:466 --initTime 2017-09-14T08:21:29 --startdatetime 2017-09-14T08:30:15 --delay 45 --endMP 204:233305 --enddatetime 2017-09-14T09:04:23 --enforcementcount 1 &gt;&gt;C:\Users\stu\Documents\GitHub\eaglep3-reporting\EC\2017-09-14-refined-times.txt</v>
      </c>
      <c r="AI5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{"issue":{"subject":"","project_id":79,"tracker_id":40,"status_id":1,"priority_id":2,"assigned_to_id":338,"start_date":"2017-09-14","description":"","custom_fields":[{"id":1,"name":"Subdivision","value":"EC"},{"id":4,"name":"Milepost","value":"23.3305"},{"id":17,"name":"Train ID","value":"139-14"},{"id":16,"name":"Locomotive ID","value":"4026"},{"id":130,"name":"Impact","value":""},{"id":150,"name":"Time of Event (Mountain Time)","value":"09:04:23"},{"id":151,"name":"Denver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4026 --day 2017-09-14</v>
      </c>
      <c r="AN5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682</v>
      </c>
      <c r="B52" s="7">
        <v>4025</v>
      </c>
      <c r="C52" s="21" t="s">
        <v>197</v>
      </c>
      <c r="D52" s="21" t="s">
        <v>439</v>
      </c>
      <c r="E52" s="13">
        <v>42992.39130787037</v>
      </c>
      <c r="F52" s="13">
        <v>42992.393946759257</v>
      </c>
      <c r="G52" s="7">
        <v>47</v>
      </c>
      <c r="H52" s="21" t="s">
        <v>378</v>
      </c>
      <c r="I52" s="13">
        <v>42992.420081018521</v>
      </c>
      <c r="J52" s="7">
        <v>1</v>
      </c>
      <c r="K52" s="89" t="str">
        <f t="shared" si="0"/>
        <v>4025/4026</v>
      </c>
      <c r="L52" s="189" t="str">
        <f>VLOOKUP(A52,'Trips&amp;Operators'!$C$1:$G$99911,5,FALSE)</f>
        <v>ROCHA YAOTL</v>
      </c>
      <c r="M52" s="6">
        <f t="shared" si="1"/>
        <v>2.6134259263926651E-2</v>
      </c>
      <c r="N52" s="7">
        <f t="shared" si="17"/>
        <v>37.633333340054378</v>
      </c>
      <c r="O52" s="7"/>
      <c r="P52" s="7"/>
      <c r="Q52" s="22"/>
      <c r="R52" s="167"/>
      <c r="S52" s="217">
        <f t="shared" si="2"/>
        <v>1</v>
      </c>
      <c r="T52" s="175" t="str">
        <f t="shared" si="3"/>
        <v>Southbound</v>
      </c>
      <c r="U52" s="20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26" t="str">
        <f t="shared" si="4"/>
        <v>https://d0f6bd738d7f1b3e5a7ca70fe4ff75f0.us-east-1.aws.found.io/app/kibana#/discover/Steve-Slow-Train-Analysis-(2080s-and-2083s)?_g=(refreshInterval:(display:Off,pause:!f,section:0,value:0),time:(from:'2017-09-14T08:23:29-0600',mode:absolute,to:'2017-09-14T11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210" t="str">
        <f>IF(AA52&lt;VLOOKUP(AG52,Variables!$AC$3:$AD$8,2,FALSE),"Y","N")</f>
        <v>N</v>
      </c>
      <c r="X52" s="210">
        <f t="shared" si="22"/>
        <v>1</v>
      </c>
      <c r="Y52" s="210">
        <f t="shared" si="23"/>
        <v>23.297999999999998</v>
      </c>
      <c r="Z52" s="210">
        <f t="shared" si="24"/>
        <v>1.61E-2</v>
      </c>
      <c r="AA52" s="210">
        <f t="shared" si="8"/>
        <v>23.281899999999997</v>
      </c>
      <c r="AB52" s="54" t="e">
        <f>VLOOKUP(A52,Enforcements!$C$7:$K$11,8,0)</f>
        <v>#N/A</v>
      </c>
      <c r="AC52" s="51" t="e">
        <f>VLOOKUP(A52,Enforcements!$C$7:$E$11,3,0)</f>
        <v>#N/A</v>
      </c>
      <c r="AD52" s="183">
        <f t="shared" si="9"/>
        <v>140</v>
      </c>
      <c r="AE52" s="77" t="str">
        <f t="shared" si="10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52" s="74" t="str">
        <f t="shared" si="11"/>
        <v>"C:\Program Files (x86)\AstroGrep\AstroGrep.exe" /e /r /s /spath="%USERPROFILE%\AppData\Local\Temp\OnboardLogs" /stypes="app*4025*20170914*" /stext=" 16:.+((SYSTEM_STATE.+slice.+state.+changed )|(ment ac)|(multiple cpu faults)|(system.+state.+changed )|(\[timeout)|(PRM\|1\|D)|(kpr)|(kdp)|(train st.+moving)|(\|lc)|(penalty))"</v>
      </c>
      <c r="AG52" s="186" t="str">
        <f t="shared" si="12"/>
        <v>EC</v>
      </c>
      <c r="AH52" s="78" t="str">
        <f t="shared" si="18"/>
        <v>"%USERPROFILE%\Documents\GitHub\eaglep3\Utilities\RefineRTDCRunTimes.py" --tripid 140-14 --locoid 4025 --swversion DE.1.0.9.0 --startMP 204:232980 --initTime 2017-09-14T09:23:29 --startdatetime 2017-09-14T09:27:17 --delay 47 --endMP 204:161 --enddatetime 2017-09-14T10:04:55 --enforcementcount 1 &gt;&gt;C:\Users\stu\Documents\GitHub\eaglep3-reporting\EC\2017-09-14-refined-times.txt</v>
      </c>
      <c r="AI52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{"issue":{"subject":"","project_id":79,"tracker_id":40,"status_id":1,"priority_id":2,"assigned_to_id":338,"start_date":"2017-09-14","description":"","custom_fields":[{"id":1,"name":"Subdivision","value":"EC"},{"id":4,"name":"Milepost","value":"0.0161"},{"id":17,"name":"Train ID","value":"140-14"},{"id":16,"name":"Locomotive ID","value":"4025"},{"id":130,"name":"Impact","value":""},{"id":150,"name":"Time of Event (Mountain Time)","value":"10:04:55"},{"id":151,"name":"Denver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4025 --day 2017-09-14</v>
      </c>
      <c r="AN52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585</v>
      </c>
      <c r="B53" s="7">
        <v>4002</v>
      </c>
      <c r="C53" s="21" t="s">
        <v>197</v>
      </c>
      <c r="D53" s="21" t="s">
        <v>350</v>
      </c>
      <c r="E53" s="13">
        <v>42992.361030092594</v>
      </c>
      <c r="F53" s="13">
        <v>42992.375972222224</v>
      </c>
      <c r="G53" s="7">
        <v>61</v>
      </c>
      <c r="H53" s="21" t="s">
        <v>847</v>
      </c>
      <c r="I53" s="13">
        <v>42992.390960648147</v>
      </c>
      <c r="J53" s="7">
        <v>1</v>
      </c>
      <c r="K53" s="89" t="str">
        <f t="shared" si="0"/>
        <v>4001/4002</v>
      </c>
      <c r="L53" s="189" t="str">
        <f>VLOOKUP(A53,'Trips&amp;Operators'!$C$1:$G$99911,5,FALSE)</f>
        <v>YANAI IAN</v>
      </c>
      <c r="M53" s="6">
        <f t="shared" si="1"/>
        <v>1.4988425922638271E-2</v>
      </c>
      <c r="N53" s="7"/>
      <c r="O53" s="7"/>
      <c r="P53" s="7">
        <f>24*60*SUM($M53:$M53)</f>
        <v>21.58333332859911</v>
      </c>
      <c r="Q53" s="22"/>
      <c r="R53" s="167" t="s">
        <v>1014</v>
      </c>
      <c r="S53" s="217">
        <f>1/IF(AG53="EC",12,1)*SUM(U53:U54)</f>
        <v>0.75</v>
      </c>
      <c r="T53" s="175" t="str">
        <f t="shared" si="3"/>
        <v>NorthBound</v>
      </c>
      <c r="U53" s="20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6</v>
      </c>
      <c r="V53" s="226" t="str">
        <f t="shared" si="4"/>
        <v>https://d0f6bd738d7f1b3e5a7ca70fe4ff75f0.us-east-1.aws.found.io/app/kibana#/discover/Steve-Slow-Train-Analysis-(2080s-and-2083s)?_g=(refreshInterval:(display:Off,pause:!f,section:0,value:0),time:(from:'2017-09-14T07:39:53-0600',mode:absolute,to:'2017-09-14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210" t="str">
        <f>IF(AA53&lt;VLOOKUP(AG53,Variables!$AC$3:$AD$8,2,FALSE),"Y","N")</f>
        <v>Y</v>
      </c>
      <c r="X53" s="210">
        <f t="shared" si="22"/>
        <v>1</v>
      </c>
      <c r="Y53" s="210">
        <f t="shared" si="23"/>
        <v>4.5499999999999999E-2</v>
      </c>
      <c r="Z53" s="210">
        <f t="shared" si="24"/>
        <v>5.7446999999999999</v>
      </c>
      <c r="AA53" s="210">
        <f t="shared" si="8"/>
        <v>5.6992000000000003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183">
        <f t="shared" si="9"/>
        <v>141</v>
      </c>
      <c r="AE53" s="77" t="str">
        <f t="shared" si="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53" s="74" t="str">
        <f t="shared" si="11"/>
        <v>"C:\Program Files (x86)\AstroGrep\AstroGrep.exe" /e /r /s /spath="%USERPROFILE%\AppData\Local\Temp\OnboardLogs" /stypes="app*4002*20170914*" /stext=" 15:.+((SYSTEM_STATE.+slice.+state.+changed )|(ment ac)|(multiple cpu faults)|(system.+state.+changed )|(\[timeout)|(PRM\|1\|D)|(kpr)|(kdp)|(train st.+moving)|(\|lc)|(penalty))"</v>
      </c>
      <c r="AG53" s="186" t="str">
        <f t="shared" si="12"/>
        <v>EC</v>
      </c>
      <c r="AH53" s="78" t="str">
        <f t="shared" si="18"/>
        <v>"%USERPROFILE%\Documents\GitHub\eaglep3\Utilities\RefineRTDCRunTimes.py" --tripid 141-14 --locoid 4002 --swversion DE.1.0.9.0 --startMP 204:455 --initTime 2017-09-14T08:39:53 --startdatetime 2017-09-14T09:01:24 --delay 61 --endMP 204:57447 --enddatetime 2017-09-14T09:22:59 --enforcementcount 1 &gt;&gt;C:\Users\stu\Documents\GitHub\eaglep3-reporting\EC\2017-09-14-refined-times.txt</v>
      </c>
      <c r="AI53" s="96" t="str">
        <f t="shared" si="19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drop","project_id":79,"tracker_id":40,"status_id":1,"priority_id":2,"assigned_to_id":338,"start_date":"2017-09-14","description":"","custom_fields":[{"id":1,"name":"Subdivision","value":"EC"},{"id":4,"name":"Milepost","value":"5.7447"},{"id":17,"name":"Train ID","value":"141-14"},{"id":16,"name":"Locomotive ID","value":"4002"},{"id":130,"name":"Impact","value":""},{"id":150,"name":"Time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4002 --day 2017-09-14</v>
      </c>
      <c r="AN53" s="151" t="str">
        <f t="shared" si="21"/>
        <v>echo {"issue":{"subject":"Wi-MAX data drop","project_id":30,"tracker_id":4,"status_id":1,"priority_id":1,"assigned_to_id":10,"start_date":"2017-09-14","description":"","custom_fields":[{"id":30,"name":"Category","value":"Issue"},{"id":3,"name":"Functional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585</v>
      </c>
      <c r="B54" s="7">
        <v>4002</v>
      </c>
      <c r="C54" s="21" t="s">
        <v>197</v>
      </c>
      <c r="D54" s="21" t="s">
        <v>848</v>
      </c>
      <c r="E54" s="13">
        <v>42992.375092592592</v>
      </c>
      <c r="F54" s="13">
        <v>42992.375972222224</v>
      </c>
      <c r="G54" s="7">
        <v>41</v>
      </c>
      <c r="H54" s="21" t="s">
        <v>478</v>
      </c>
      <c r="I54" s="13">
        <v>42992.390960648147</v>
      </c>
      <c r="J54" s="7">
        <v>1</v>
      </c>
      <c r="K54" s="89" t="str">
        <f t="shared" si="0"/>
        <v>4001/4002</v>
      </c>
      <c r="L54" s="189" t="str">
        <f>VLOOKUP(A54,'Trips&amp;Operators'!$C$1:$G$99911,5,FALSE)</f>
        <v>YANAI IAN</v>
      </c>
      <c r="M54" s="6">
        <f t="shared" si="1"/>
        <v>1.4988425922638271E-2</v>
      </c>
      <c r="N54" s="7"/>
      <c r="O54" s="7"/>
      <c r="P54" s="7"/>
      <c r="Q54" s="22"/>
      <c r="R54" s="167"/>
      <c r="S54" s="217"/>
      <c r="T54" s="175" t="str">
        <f t="shared" si="3"/>
        <v>NorthBound</v>
      </c>
      <c r="U54" s="20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3</v>
      </c>
      <c r="V54" s="226" t="str">
        <f t="shared" si="4"/>
        <v>https://d0f6bd738d7f1b3e5a7ca70fe4ff75f0.us-east-1.aws.found.io/app/kibana#/discover/Steve-Slow-Train-Analysis-(2080s-and-2083s)?_g=(refreshInterval:(display:Off,pause:!f,section:0,value:0),time:(from:'2017-09-14T08:00:08-0600',mode:absolute,to:'2017-09-14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210" t="str">
        <f>IF(AA54&lt;VLOOKUP(AG54,Variables!$AC$3:$AD$8,2,FALSE),"Y","N")</f>
        <v>Y</v>
      </c>
      <c r="X54" s="210">
        <f t="shared" si="22"/>
        <v>0</v>
      </c>
      <c r="Y54" s="210">
        <f t="shared" si="23"/>
        <v>6.4711999999999996</v>
      </c>
      <c r="Z54" s="210">
        <f t="shared" si="24"/>
        <v>23.3293</v>
      </c>
      <c r="AA54" s="210">
        <f t="shared" si="8"/>
        <v>16.8581</v>
      </c>
      <c r="AB54" s="54" t="e">
        <f>VLOOKUP(A54,Enforcements!$C$7:$K$11,8,0)</f>
        <v>#N/A</v>
      </c>
      <c r="AC54" s="51" t="e">
        <f>VLOOKUP(A54,Enforcements!$C$7:$E$11,3,0)</f>
        <v>#N/A</v>
      </c>
      <c r="AD54" s="183">
        <f t="shared" si="9"/>
        <v>141</v>
      </c>
      <c r="AE54" s="77" t="str">
        <f t="shared" si="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54" s="74" t="str">
        <f t="shared" si="11"/>
        <v>"C:\Program Files (x86)\AstroGrep\AstroGrep.exe" /e /r /s /spath="%USERPROFILE%\AppData\Local\Temp\OnboardLogs" /stypes="app*4002*20170914*" /stext=" 15:.+((SYSTEM_STATE.+slice.+state.+changed )|(ment ac)|(multiple cpu faults)|(system.+state.+changed )|(\[timeout)|(PRM\|1\|D)|(kpr)|(kdp)|(train st.+moving)|(\|lc)|(penalty))"</v>
      </c>
      <c r="AG54" s="186" t="str">
        <f t="shared" si="12"/>
        <v>EC</v>
      </c>
      <c r="AH54" s="78" t="str">
        <f t="shared" si="18"/>
        <v>"%USERPROFILE%\Documents\GitHub\eaglep3\Utilities\RefineRTDCRunTimes.py" --tripid 141-14 --locoid 4002 --swversion DE.1.0.9.0 --startMP 204:64712 --initTime 2017-09-14T09:00:08 --startdatetime 2017-09-14T09:01:24 --delay 41 --endMP 204:233293 --enddatetime 2017-09-14T09:22:59 --enforcementcount 1 &gt;&gt;C:\Users\stu\Documents\GitHub\eaglep3-reporting\EC\2017-09-14-refined-times.txt</v>
      </c>
      <c r="AI5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{"issue":{"subject":"","project_id":79,"tracker_id":40,"status_id":1,"priority_id":2,"assigned_to_id":338,"start_date":"2017-09-14","description":"","custom_fields":[{"id":1,"name":"Subdivision","value":"EC"},{"id":4,"name":"Milepost","value":"23.3293"},{"id":17,"name":"Train ID","value":"141-14"},{"id":16,"name":"Locomotive ID","value":"4002"},{"id":130,"name":"Impact","value":""},{"id":150,"name":"Time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4002 --day 2017-09-14</v>
      </c>
      <c r="AN5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684</v>
      </c>
      <c r="B55" s="7">
        <v>4001</v>
      </c>
      <c r="C55" s="21" t="s">
        <v>197</v>
      </c>
      <c r="D55" s="21" t="s">
        <v>849</v>
      </c>
      <c r="E55" s="13">
        <v>42992.392638888887</v>
      </c>
      <c r="F55" s="13">
        <v>42992.404363425929</v>
      </c>
      <c r="G55" s="7">
        <v>72</v>
      </c>
      <c r="H55" s="21" t="s">
        <v>366</v>
      </c>
      <c r="I55" s="13">
        <v>42992.4294212963</v>
      </c>
      <c r="J55" s="7">
        <v>1</v>
      </c>
      <c r="K55" s="89" t="str">
        <f t="shared" si="0"/>
        <v>4001/4002</v>
      </c>
      <c r="L55" s="189" t="str">
        <f>VLOOKUP(A55,'Trips&amp;Operators'!$C$1:$G$99911,5,FALSE)</f>
        <v>YANAI IAN</v>
      </c>
      <c r="M55" s="6">
        <f t="shared" si="1"/>
        <v>2.5057870370801538E-2</v>
      </c>
      <c r="N55" s="7">
        <f t="shared" ref="N55:N71" si="25">24*60*SUM($M55:$M55)</f>
        <v>36.083333333954215</v>
      </c>
      <c r="O55" s="7"/>
      <c r="P55" s="7"/>
      <c r="Q55" s="22"/>
      <c r="R55" s="167"/>
      <c r="S55" s="217">
        <f t="shared" ref="S55:S71" si="26">1/IF(AG55="EC",12,1)*SUM(U55:U55)</f>
        <v>1</v>
      </c>
      <c r="T55" s="175" t="str">
        <f t="shared" si="3"/>
        <v>Southbound</v>
      </c>
      <c r="U55" s="20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26" t="str">
        <f t="shared" si="4"/>
        <v>https://d0f6bd738d7f1b3e5a7ca70fe4ff75f0.us-east-1.aws.found.io/app/kibana#/discover/Steve-Slow-Train-Analysis-(2080s-and-2083s)?_g=(refreshInterval:(display:Off,pause:!f,section:0,value:0),time:(from:'2017-09-14T08:25:24-0600',mode:absolute,to:'2017-09-14T11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210" t="str">
        <f>IF(AA55&lt;VLOOKUP(AG55,Variables!$AC$3:$AD$8,2,FALSE),"Y","N")</f>
        <v>N</v>
      </c>
      <c r="X55" s="210">
        <f t="shared" si="22"/>
        <v>1</v>
      </c>
      <c r="Y55" s="210">
        <f t="shared" si="23"/>
        <v>23.297899999999998</v>
      </c>
      <c r="Z55" s="210">
        <f t="shared" si="24"/>
        <v>1.38E-2</v>
      </c>
      <c r="AA55" s="210">
        <f t="shared" si="8"/>
        <v>23.284099999999999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83">
        <f t="shared" si="9"/>
        <v>142</v>
      </c>
      <c r="AE55" s="77" t="str">
        <f t="shared" si="10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55" s="74" t="str">
        <f t="shared" si="11"/>
        <v>"C:\Program Files (x86)\AstroGrep\AstroGrep.exe" /e /r /s /spath="%USERPROFILE%\AppData\Local\Temp\OnboardLogs" /stypes="app*4001*20170914*" /stext=" 16:.+((SYSTEM_STATE.+slice.+state.+changed )|(ment ac)|(multiple cpu faults)|(system.+state.+changed )|(\[timeout)|(PRM\|1\|D)|(kpr)|(kdp)|(train st.+moving)|(\|lc)|(penalty))"</v>
      </c>
      <c r="AG55" s="186" t="str">
        <f t="shared" si="12"/>
        <v>EC</v>
      </c>
      <c r="AH55" s="78" t="str">
        <f t="shared" si="18"/>
        <v>"%USERPROFILE%\Documents\GitHub\eaglep3\Utilities\RefineRTDCRunTimes.py" --tripid 142-14 --locoid 4001 --swversion DE.1.0.9.0 --startMP 204:232979 --initTime 2017-09-14T09:25:24 --startdatetime 2017-09-14T09:42:17 --delay 72 --endMP 204:138 --enddatetime 2017-09-14T10:18:22 --enforcementcount 1 &gt;&gt;C:\Users\stu\Documents\GitHub\eaglep3-reporting\EC\2017-09-14-refined-times.txt</v>
      </c>
      <c r="AI5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{"issue":{"subject":"","project_id":79,"tracker_id":40,"status_id":1,"priority_id":2,"assigned_to_id":338,"start_date":"2017-09-14","description":"","custom_fields":[{"id":1,"name":"Subdivision","value":"EC"},{"id":4,"name":"Milepost","value":"0.0138"},{"id":17,"name":"Train ID","value":"142-14"},{"id":16,"name":"Locomotive ID","value":"4001"},{"id":130,"name":"Impact","value":""},{"id":150,"name":"Time of Event (Mountain Time)","value":"10:18:22"},{"id":151,"name":"Denver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4001 --day 2017-09-14</v>
      </c>
      <c r="AN5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677</v>
      </c>
      <c r="B56" s="7">
        <v>4058</v>
      </c>
      <c r="C56" s="21" t="s">
        <v>197</v>
      </c>
      <c r="D56" s="21" t="s">
        <v>382</v>
      </c>
      <c r="E56" s="13">
        <v>42992.370416666665</v>
      </c>
      <c r="F56" s="13">
        <v>42992.375219907408</v>
      </c>
      <c r="G56" s="7">
        <v>44</v>
      </c>
      <c r="H56" s="21" t="s">
        <v>478</v>
      </c>
      <c r="I56" s="13">
        <v>42992.399409722224</v>
      </c>
      <c r="J56" s="7">
        <v>1</v>
      </c>
      <c r="K56" s="89" t="str">
        <f t="shared" si="0"/>
        <v>4057/4058</v>
      </c>
      <c r="L56" s="189" t="str">
        <f>VLOOKUP(A56,'Trips&amp;Operators'!$C$1:$G$99911,5,FALSE)</f>
        <v>MAELZER KURT</v>
      </c>
      <c r="M56" s="6">
        <f t="shared" si="1"/>
        <v>2.4189814816054422E-2</v>
      </c>
      <c r="N56" s="7">
        <f t="shared" si="25"/>
        <v>34.833333335118368</v>
      </c>
      <c r="O56" s="7"/>
      <c r="P56" s="7"/>
      <c r="Q56" s="22"/>
      <c r="R56" s="167"/>
      <c r="S56" s="217">
        <f t="shared" si="26"/>
        <v>1</v>
      </c>
      <c r="T56" s="175" t="str">
        <f t="shared" si="3"/>
        <v>NorthBound</v>
      </c>
      <c r="U56" s="20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26" t="str">
        <f t="shared" si="4"/>
        <v>https://d0f6bd738d7f1b3e5a7ca70fe4ff75f0.us-east-1.aws.found.io/app/kibana#/discover/Steve-Slow-Train-Analysis-(2080s-and-2083s)?_g=(refreshInterval:(display:Off,pause:!f,section:0,value:0),time:(from:'2017-09-14T07:53:24-0600',mode:absolute,to:'2017-09-14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6" s="210" t="str">
        <f>IF(AA56&lt;VLOOKUP(AG56,Variables!$AC$3:$AD$8,2,FALSE),"Y","N")</f>
        <v>N</v>
      </c>
      <c r="X56" s="210">
        <f t="shared" si="22"/>
        <v>1</v>
      </c>
      <c r="Y56" s="210">
        <f t="shared" si="23"/>
        <v>4.5999999999999999E-2</v>
      </c>
      <c r="Z56" s="210">
        <f t="shared" si="24"/>
        <v>23.3293</v>
      </c>
      <c r="AA56" s="210">
        <f t="shared" si="8"/>
        <v>23.283300000000001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83">
        <f t="shared" si="9"/>
        <v>143</v>
      </c>
      <c r="AE56" s="77" t="str">
        <f t="shared" si="10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56" s="74" t="str">
        <f t="shared" si="11"/>
        <v>"C:\Program Files (x86)\AstroGrep\AstroGrep.exe" /e /r /s /spath="%USERPROFILE%\AppData\Local\Temp\OnboardLogs" /stypes="app*4058*20170914*" /stext=" 15:.+((SYSTEM_STATE.+slice.+state.+changed )|(ment ac)|(multiple cpu faults)|(system.+state.+changed )|(\[timeout)|(PRM\|1\|D)|(kpr)|(kdp)|(train st.+moving)|(\|lc)|(penalty))"</v>
      </c>
      <c r="AG56" s="186" t="str">
        <f t="shared" si="12"/>
        <v>EC</v>
      </c>
      <c r="AH56" s="78" t="str">
        <f t="shared" si="18"/>
        <v>"%USERPROFILE%\Documents\GitHub\eaglep3\Utilities\RefineRTDCRunTimes.py" --tripid 143-14 --locoid 4058 --swversion DE.1.0.9.0 --startMP 204:460 --initTime 2017-09-14T08:53:24 --startdatetime 2017-09-14T09:00:19 --delay 44 --endMP 204:233293 --enddatetime 2017-09-14T09:35:09 --enforcementcount 1 &gt;&gt;C:\Users\stu\Documents\GitHub\eaglep3-reporting\EC\2017-09-14-refined-times.txt</v>
      </c>
      <c r="AI5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{"issue":{"subject":"","project_id":79,"tracker_id":40,"status_id":1,"priority_id":2,"assigned_to_id":338,"start_date":"2017-09-14","description":"","custom_fields":[{"id":1,"name":"Subdivision","value":"EC"},{"id":4,"name":"Milepost","value":"23.3293"},{"id":17,"name":"Train ID","value":"143-14"},{"id":16,"name":"Locomotive ID","value":"4058"},{"id":130,"name":"Impact","value":""},{"id":150,"name":"Time of Event (Mountain Time)","value":"09:35:09"},{"id":151,"name":"Denver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4058 --day 2017-09-14</v>
      </c>
      <c r="AN5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686</v>
      </c>
      <c r="B57" s="7">
        <v>4057</v>
      </c>
      <c r="C57" s="21" t="s">
        <v>197</v>
      </c>
      <c r="D57" s="21" t="s">
        <v>850</v>
      </c>
      <c r="E57" s="13">
        <v>42992.408009259256</v>
      </c>
      <c r="F57" s="13">
        <v>42992.414803240739</v>
      </c>
      <c r="G57" s="7">
        <v>49</v>
      </c>
      <c r="H57" s="21" t="s">
        <v>547</v>
      </c>
      <c r="I57" s="13">
        <v>42992.440925925926</v>
      </c>
      <c r="J57" s="7">
        <v>1</v>
      </c>
      <c r="K57" s="89" t="str">
        <f t="shared" si="0"/>
        <v>4057/4058</v>
      </c>
      <c r="L57" s="189" t="str">
        <f>VLOOKUP(A57,'Trips&amp;Operators'!$C$1:$G$99911,5,FALSE)</f>
        <v>MAELZER KURT</v>
      </c>
      <c r="M57" s="6">
        <f t="shared" si="1"/>
        <v>2.6122685187146999E-2</v>
      </c>
      <c r="N57" s="7">
        <f t="shared" si="25"/>
        <v>37.616666669491678</v>
      </c>
      <c r="O57" s="7"/>
      <c r="P57" s="7"/>
      <c r="Q57" s="22"/>
      <c r="R57" s="167"/>
      <c r="S57" s="217">
        <f t="shared" si="26"/>
        <v>1</v>
      </c>
      <c r="T57" s="175" t="str">
        <f t="shared" si="3"/>
        <v>Southbound</v>
      </c>
      <c r="U57" s="20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26" t="str">
        <f t="shared" si="4"/>
        <v>https://d0f6bd738d7f1b3e5a7ca70fe4ff75f0.us-east-1.aws.found.io/app/kibana#/discover/Steve-Slow-Train-Analysis-(2080s-and-2083s)?_g=(refreshInterval:(display:Off,pause:!f,section:0,value:0),time:(from:'2017-09-14T08:47:32-0600',mode:absolute,to:'2017-09-14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7" s="210" t="str">
        <f>IF(AA57&lt;VLOOKUP(AG57,Variables!$AC$3:$AD$8,2,FALSE),"Y","N")</f>
        <v>N</v>
      </c>
      <c r="X57" s="210">
        <f t="shared" si="22"/>
        <v>1</v>
      </c>
      <c r="Y57" s="210">
        <f t="shared" si="23"/>
        <v>23.299199999999999</v>
      </c>
      <c r="Z57" s="210">
        <f t="shared" si="24"/>
        <v>1.32E-2</v>
      </c>
      <c r="AA57" s="210">
        <f t="shared" si="8"/>
        <v>23.285999999999998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83">
        <f t="shared" si="9"/>
        <v>144</v>
      </c>
      <c r="AE57" s="77" t="str">
        <f t="shared" si="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57" s="74" t="str">
        <f t="shared" si="11"/>
        <v>"C:\Program Files (x86)\AstroGrep\AstroGrep.exe" /e /r /s /spath="%USERPROFILE%\AppData\Local\Temp\OnboardLogs" /stypes="app*4057*20170914*" /stext=" 16:.+((SYSTEM_STATE.+slice.+state.+changed )|(ment ac)|(multiple cpu faults)|(system.+state.+changed )|(\[timeout)|(PRM\|1\|D)|(kpr)|(kdp)|(train st.+moving)|(\|lc)|(penalty))"</v>
      </c>
      <c r="AG57" s="186" t="str">
        <f t="shared" si="12"/>
        <v>EC</v>
      </c>
      <c r="AH57" s="78" t="str">
        <f t="shared" si="18"/>
        <v>"%USERPROFILE%\Documents\GitHub\eaglep3\Utilities\RefineRTDCRunTimes.py" --tripid 144-14 --locoid 4057 --swversion DE.1.0.9.0 --startMP 204:232992 --initTime 2017-09-14T09:47:32 --startdatetime 2017-09-14T09:57:19 --delay 49 --endMP 204:132 --enddatetime 2017-09-14T10:34:56 --enforcementcount 1 &gt;&gt;C:\Users\stu\Documents\GitHub\eaglep3-reporting\EC\2017-09-14-refined-times.txt</v>
      </c>
      <c r="AI5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{"issue":{"subject":"","project_id":79,"tracker_id":40,"status_id":1,"priority_id":2,"assigned_to_id":338,"start_date":"2017-09-14","description":"","custom_fields":[{"id":1,"name":"Subdivision","value":"EC"},{"id":4,"name":"Milepost","value":"0.0132"},{"id":17,"name":"Train ID","value":"144-14"},{"id":16,"name":"Locomotive ID","value":"4057"},{"id":130,"name":"Impact","value":""},{"id":150,"name":"Time of Event (Mountain Time)","value":"10:34:56"},{"id":151,"name":"Denver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4057 --day 2017-09-14</v>
      </c>
      <c r="AN5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680</v>
      </c>
      <c r="B58" s="7">
        <v>4032</v>
      </c>
      <c r="C58" s="21" t="s">
        <v>197</v>
      </c>
      <c r="D58" s="21" t="s">
        <v>361</v>
      </c>
      <c r="E58" s="13">
        <v>42992.382118055553</v>
      </c>
      <c r="F58" s="13">
        <v>42992.385740740741</v>
      </c>
      <c r="G58" s="7">
        <v>50</v>
      </c>
      <c r="H58" s="21" t="s">
        <v>388</v>
      </c>
      <c r="I58" s="13">
        <v>42992.411516203705</v>
      </c>
      <c r="J58" s="7">
        <v>1</v>
      </c>
      <c r="K58" s="89" t="str">
        <f t="shared" si="0"/>
        <v>4031/4032</v>
      </c>
      <c r="L58" s="189" t="str">
        <f>VLOOKUP(A58,'Trips&amp;Operators'!$C$1:$G$99911,5,FALSE)</f>
        <v>YANG JAN</v>
      </c>
      <c r="M58" s="6">
        <f t="shared" si="1"/>
        <v>2.5775462963792961E-2</v>
      </c>
      <c r="N58" s="7">
        <f t="shared" si="25"/>
        <v>37.116666667861864</v>
      </c>
      <c r="O58" s="7"/>
      <c r="P58" s="7"/>
      <c r="Q58" s="22"/>
      <c r="R58" s="167"/>
      <c r="S58" s="217">
        <f t="shared" si="26"/>
        <v>1</v>
      </c>
      <c r="T58" s="175" t="str">
        <f t="shared" si="3"/>
        <v>NorthBound</v>
      </c>
      <c r="U58" s="20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26" t="str">
        <f t="shared" si="4"/>
        <v>https://d0f6bd738d7f1b3e5a7ca70fe4ff75f0.us-east-1.aws.found.io/app/kibana#/discover/Steve-Slow-Train-Analysis-(2080s-and-2083s)?_g=(refreshInterval:(display:Off,pause:!f,section:0,value:0),time:(from:'2017-09-14T08:10:15-0600',mode:absolute,to:'2017-09-14T10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8" s="210" t="str">
        <f>IF(AA58&lt;VLOOKUP(AG58,Variables!$AC$3:$AD$8,2,FALSE),"Y","N")</f>
        <v>N</v>
      </c>
      <c r="X58" s="210">
        <f t="shared" si="22"/>
        <v>1</v>
      </c>
      <c r="Y58" s="210">
        <f t="shared" si="23"/>
        <v>4.4900000000000002E-2</v>
      </c>
      <c r="Z58" s="210">
        <f t="shared" si="24"/>
        <v>23.331399999999999</v>
      </c>
      <c r="AA58" s="210">
        <f t="shared" si="8"/>
        <v>23.2865</v>
      </c>
      <c r="AB58" s="54" t="e">
        <f>VLOOKUP(A58,Enforcements!$C$7:$K$11,8,0)</f>
        <v>#N/A</v>
      </c>
      <c r="AC58" s="51" t="e">
        <f>VLOOKUP(A58,Enforcements!$C$7:$E$11,3,0)</f>
        <v>#N/A</v>
      </c>
      <c r="AD58" s="183">
        <f t="shared" si="9"/>
        <v>145</v>
      </c>
      <c r="AE58" s="77" t="str">
        <f t="shared" si="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58" s="74" t="str">
        <f t="shared" si="11"/>
        <v>"C:\Program Files (x86)\AstroGrep\AstroGrep.exe" /e /r /s /spath="%USERPROFILE%\AppData\Local\Temp\OnboardLogs" /stypes="app*4032*20170914*" /stext=" 15:.+((SYSTEM_STATE.+slice.+state.+changed )|(ment ac)|(multiple cpu faults)|(system.+state.+changed )|(\[timeout)|(PRM\|1\|D)|(kpr)|(kdp)|(train st.+moving)|(\|lc)|(penalty))"</v>
      </c>
      <c r="AG58" s="186" t="str">
        <f t="shared" si="12"/>
        <v>EC</v>
      </c>
      <c r="AH58" s="78" t="str">
        <f t="shared" si="18"/>
        <v>"%USERPROFILE%\Documents\GitHub\eaglep3\Utilities\RefineRTDCRunTimes.py" --tripid 145-14 --locoid 4032 --swversion DE.1.0.9.0 --startMP 204:449 --initTime 2017-09-14T09:10:15 --startdatetime 2017-09-14T09:15:28 --delay 50 --endMP 204:233314 --enddatetime 2017-09-14T09:52:35 --enforcementcount 1 &gt;&gt;C:\Users\stu\Documents\GitHub\eaglep3-reporting\EC\2017-09-14-refined-times.txt</v>
      </c>
      <c r="AI5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ID","value":"145-14"},{"id":16,"name":"Locomotive ID","value":"4032"},{"id":130,"name":"Impact","value":""},{"id":150,"name":"Time of Event (Mountain Time)","value":"09:52:35"},{"id":151,"name":"Denver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4032 --day 2017-09-14</v>
      </c>
      <c r="AN5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689</v>
      </c>
      <c r="B59" s="7">
        <v>4031</v>
      </c>
      <c r="C59" s="21" t="s">
        <v>197</v>
      </c>
      <c r="D59" s="21" t="s">
        <v>851</v>
      </c>
      <c r="E59" s="13">
        <v>42992.420381944445</v>
      </c>
      <c r="F59" s="13">
        <v>42992.425208333334</v>
      </c>
      <c r="G59" s="7">
        <v>61</v>
      </c>
      <c r="H59" s="21" t="s">
        <v>340</v>
      </c>
      <c r="I59" s="13">
        <v>42992.45103009259</v>
      </c>
      <c r="J59" s="7">
        <v>1</v>
      </c>
      <c r="K59" s="89" t="str">
        <f t="shared" si="0"/>
        <v>4031/4032</v>
      </c>
      <c r="L59" s="189" t="str">
        <f>VLOOKUP(A59,'Trips&amp;Operators'!$C$1:$G$99911,5,FALSE)</f>
        <v>YANG JAN</v>
      </c>
      <c r="M59" s="6">
        <f t="shared" si="1"/>
        <v>2.5821759256359655E-2</v>
      </c>
      <c r="N59" s="7">
        <f t="shared" si="25"/>
        <v>37.183333329157904</v>
      </c>
      <c r="O59" s="7"/>
      <c r="P59" s="7"/>
      <c r="Q59" s="22"/>
      <c r="R59" s="167"/>
      <c r="S59" s="217">
        <f t="shared" si="26"/>
        <v>1</v>
      </c>
      <c r="T59" s="175" t="str">
        <f t="shared" si="3"/>
        <v>Southbound</v>
      </c>
      <c r="U59" s="20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26" t="str">
        <f t="shared" si="4"/>
        <v>https://d0f6bd738d7f1b3e5a7ca70fe4ff75f0.us-east-1.aws.found.io/app/kibana#/discover/Steve-Slow-Train-Analysis-(2080s-and-2083s)?_g=(refreshInterval:(display:Off,pause:!f,section:0,value:0),time:(from:'2017-09-14T09:05:21-0600',mode:absolute,to:'2017-09-14T11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9" s="210" t="str">
        <f>IF(AA59&lt;VLOOKUP(AG59,Variables!$AC$3:$AD$8,2,FALSE),"Y","N")</f>
        <v>N</v>
      </c>
      <c r="X59" s="210">
        <f t="shared" si="22"/>
        <v>1</v>
      </c>
      <c r="Y59" s="210">
        <f t="shared" si="23"/>
        <v>23.299299999999999</v>
      </c>
      <c r="Z59" s="210">
        <f t="shared" si="24"/>
        <v>1.43E-2</v>
      </c>
      <c r="AA59" s="210">
        <f t="shared" si="8"/>
        <v>23.285</v>
      </c>
      <c r="AB59" s="54" t="e">
        <f>VLOOKUP(A59,Enforcements!$C$7:$K$11,8,0)</f>
        <v>#N/A</v>
      </c>
      <c r="AC59" s="51" t="e">
        <f>VLOOKUP(A59,Enforcements!$C$7:$E$11,3,0)</f>
        <v>#N/A</v>
      </c>
      <c r="AD59" s="183">
        <f t="shared" si="9"/>
        <v>146</v>
      </c>
      <c r="AE59" s="77" t="str">
        <f t="shared" si="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59" s="74" t="str">
        <f t="shared" si="11"/>
        <v>"C:\Program Files (x86)\AstroGrep\AstroGrep.exe" /e /r /s /spath="%USERPROFILE%\AppData\Local\Temp\OnboardLogs" /stypes="app*4031*20170914*" /stext=" 16:.+((SYSTEM_STATE.+slice.+state.+changed )|(ment ac)|(multiple cpu faults)|(system.+state.+changed )|(\[timeout)|(PRM\|1\|D)|(kpr)|(kdp)|(train st.+moving)|(\|lc)|(penalty))"</v>
      </c>
      <c r="AG59" s="186" t="str">
        <f t="shared" si="12"/>
        <v>EC</v>
      </c>
      <c r="AH59" s="78" t="str">
        <f t="shared" si="18"/>
        <v>"%USERPROFILE%\Documents\GitHub\eaglep3\Utilities\RefineRTDCRunTimes.py" --tripid 146-14 --locoid 4031 --swversion DE.1.0.9.0 --startMP 204:232993 --initTime 2017-09-14T10:05:21 --startdatetime 2017-09-14T10:12:18 --delay 61 --endMP 204:143 --enddatetime 2017-09-14T10:49:29 --enforcementcount 1 &gt;&gt;C:\Users\stu\Documents\GitHub\eaglep3-reporting\EC\2017-09-14-refined-times.txt</v>
      </c>
      <c r="AI5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{"issue":{"subject":"","project_id":79,"tracker_id":40,"status_id":1,"priority_id":2,"assigned_to_id":338,"start_date":"2017-09-14","description":"","custom_fields":[{"id":1,"name":"Subdivision","value":"EC"},{"id":4,"name":"Milepost","value":"0.0143"},{"id":17,"name":"Train ID","value":"146-14"},{"id":16,"name":"Locomotive ID","value":"4031"},{"id":130,"name":"Impact","value":""},{"id":150,"name":"Time of Event (Mountain Time)","value":"10:49:29"},{"id":151,"name":"Denver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4031 --day 2017-09-14</v>
      </c>
      <c r="AN5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681</v>
      </c>
      <c r="B60" s="7">
        <v>4030</v>
      </c>
      <c r="C60" s="21" t="s">
        <v>197</v>
      </c>
      <c r="D60" s="21" t="s">
        <v>852</v>
      </c>
      <c r="E60" s="13">
        <v>42992.390740740739</v>
      </c>
      <c r="F60" s="13">
        <v>42992.396041666667</v>
      </c>
      <c r="G60" s="7">
        <v>81</v>
      </c>
      <c r="H60" s="21" t="s">
        <v>388</v>
      </c>
      <c r="I60" s="13">
        <v>42992.420243055552</v>
      </c>
      <c r="J60" s="7">
        <v>1</v>
      </c>
      <c r="K60" s="89" t="str">
        <f t="shared" si="0"/>
        <v>4029/4030</v>
      </c>
      <c r="L60" s="189" t="str">
        <f>VLOOKUP(A60,'Trips&amp;Operators'!$C$1:$G$99911,5,FALSE)</f>
        <v>PAGE MARCUS</v>
      </c>
      <c r="M60" s="6">
        <f t="shared" si="1"/>
        <v>2.4201388885558117E-2</v>
      </c>
      <c r="N60" s="7">
        <f t="shared" si="25"/>
        <v>34.849999995203689</v>
      </c>
      <c r="O60" s="7"/>
      <c r="P60" s="7"/>
      <c r="Q60" s="22"/>
      <c r="R60" s="167"/>
      <c r="S60" s="217">
        <f t="shared" si="26"/>
        <v>1</v>
      </c>
      <c r="T60" s="175" t="str">
        <f t="shared" si="3"/>
        <v>NorthBound</v>
      </c>
      <c r="U60" s="20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26" t="str">
        <f t="shared" si="4"/>
        <v>https://d0f6bd738d7f1b3e5a7ca70fe4ff75f0.us-east-1.aws.found.io/app/kibana#/discover/Steve-Slow-Train-Analysis-(2080s-and-2083s)?_g=(refreshInterval:(display:Off,pause:!f,section:0,value:0),time:(from:'2017-09-14T08:22:40-0600',mode:absolute,to:'2017-09-14T11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210" t="str">
        <f>IF(AA60&lt;VLOOKUP(AG60,Variables!$AC$3:$AD$8,2,FALSE),"Y","N")</f>
        <v>N</v>
      </c>
      <c r="X60" s="210">
        <f t="shared" si="22"/>
        <v>1</v>
      </c>
      <c r="Y60" s="210">
        <f t="shared" si="23"/>
        <v>4.2700000000000002E-2</v>
      </c>
      <c r="Z60" s="210">
        <f t="shared" si="24"/>
        <v>23.331399999999999</v>
      </c>
      <c r="AA60" s="210">
        <f t="shared" si="8"/>
        <v>23.288699999999999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83">
        <f t="shared" si="9"/>
        <v>147</v>
      </c>
      <c r="AE60" s="77" t="str">
        <f t="shared" si="10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60" s="74" t="str">
        <f t="shared" si="11"/>
        <v>"C:\Program Files (x86)\AstroGrep\AstroGrep.exe" /e /r /s /spath="%USERPROFILE%\AppData\Local\Temp\OnboardLogs" /stypes="app*4030*20170914*" /stext=" 16:.+((SYSTEM_STATE.+slice.+state.+changed )|(ment ac)|(multiple cpu faults)|(system.+state.+changed )|(\[timeout)|(PRM\|1\|D)|(kpr)|(kdp)|(train st.+moving)|(\|lc)|(penalty))"</v>
      </c>
      <c r="AG60" s="186" t="str">
        <f t="shared" si="12"/>
        <v>EC</v>
      </c>
      <c r="AH60" s="78" t="str">
        <f t="shared" si="18"/>
        <v>"%USERPROFILE%\Documents\GitHub\eaglep3\Utilities\RefineRTDCRunTimes.py" --tripid 147-14 --locoid 4030 --swversion DE.1.0.9.0 --startMP 204:427 --initTime 2017-09-14T09:22:40 --startdatetime 2017-09-14T09:30:18 --delay 81 --endMP 204:233314 --enddatetime 2017-09-14T10:05:09 --enforcementcount 1 &gt;&gt;C:\Users\stu\Documents\GitHub\eaglep3-reporting\EC\2017-09-14-refined-times.txt</v>
      </c>
      <c r="AI6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ID","value":"147-14"},{"id":16,"name":"Locomotive ID","value":"4030"},{"id":130,"name":"Impact","value":""},{"id":150,"name":"Time of Event (Mountain Time)","value":"10:05:09"},{"id":151,"name":"Denver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4030 --day 2017-09-14</v>
      </c>
      <c r="AN6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4029</v>
      </c>
      <c r="C61" s="21" t="s">
        <v>197</v>
      </c>
      <c r="D61" s="21" t="s">
        <v>853</v>
      </c>
      <c r="E61" s="13">
        <v>42992.431666666664</v>
      </c>
      <c r="F61" s="13">
        <v>42992.435590277775</v>
      </c>
      <c r="G61" s="7">
        <v>75</v>
      </c>
      <c r="H61" s="21" t="s">
        <v>383</v>
      </c>
      <c r="I61" s="13">
        <v>42992.461898148147</v>
      </c>
      <c r="J61" s="7">
        <v>1</v>
      </c>
      <c r="K61" s="89" t="str">
        <f t="shared" si="0"/>
        <v>4029/4030</v>
      </c>
      <c r="L61" s="189" t="str">
        <f>VLOOKUP(A61,'Trips&amp;Operators'!$C$1:$G$99911,5,FALSE)</f>
        <v>PAGE MARCUS</v>
      </c>
      <c r="M61" s="6">
        <f t="shared" si="1"/>
        <v>2.6307870371965691E-2</v>
      </c>
      <c r="N61" s="7">
        <f t="shared" si="25"/>
        <v>37.883333335630596</v>
      </c>
      <c r="O61" s="7"/>
      <c r="P61" s="7"/>
      <c r="Q61" s="22"/>
      <c r="R61" s="167"/>
      <c r="S61" s="217">
        <f t="shared" si="26"/>
        <v>1</v>
      </c>
      <c r="T61" s="175" t="str">
        <f t="shared" si="3"/>
        <v>Southbound</v>
      </c>
      <c r="U61" s="20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26" t="str">
        <f t="shared" si="4"/>
        <v>https://d0f6bd738d7f1b3e5a7ca70fe4ff75f0.us-east-1.aws.found.io/app/kibana#/discover/Steve-Slow-Train-Analysis-(2080s-and-2083s)?_g=(refreshInterval:(display:Off,pause:!f,section:0,value:0),time:(from:'2017-09-14T09:21:36-0600',mode:absolute,to:'2017-09-14T12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210" t="str">
        <f>IF(AA61&lt;VLOOKUP(AG61,Variables!$AC$3:$AD$8,2,FALSE),"Y","N")</f>
        <v>N</v>
      </c>
      <c r="X61" s="210">
        <f t="shared" si="22"/>
        <v>1</v>
      </c>
      <c r="Y61" s="210">
        <f t="shared" si="23"/>
        <v>23.2973</v>
      </c>
      <c r="Z61" s="210">
        <f t="shared" si="24"/>
        <v>1.5800000000000002E-2</v>
      </c>
      <c r="AA61" s="210">
        <f t="shared" si="8"/>
        <v>23.281500000000001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83">
        <f t="shared" si="9"/>
        <v>148</v>
      </c>
      <c r="AE61" s="77" t="str">
        <f t="shared" si="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61" s="74" t="str">
        <f t="shared" si="11"/>
        <v>"C:\Program Files (x86)\AstroGrep\AstroGrep.exe" /e /r /s /spath="%USERPROFILE%\AppData\Local\Temp\OnboardLogs" /stypes="app*4029*20170914*" /stext=" 17:.+((SYSTEM_STATE.+slice.+state.+changed )|(ment ac)|(multiple cpu faults)|(system.+state.+changed )|(\[timeout)|(PRM\|1\|D)|(kpr)|(kdp)|(train st.+moving)|(\|lc)|(penalty))"</v>
      </c>
      <c r="AG61" s="186" t="str">
        <f t="shared" si="12"/>
        <v>EC</v>
      </c>
      <c r="AH61" s="78" t="str">
        <f t="shared" si="18"/>
        <v>"%USERPROFILE%\Documents\GitHub\eaglep3\Utilities\RefineRTDCRunTimes.py" --tripid 148-14 --locoid 4029 --swversion DE.1.0.9.0 --startMP 204:232973 --initTime 2017-09-14T10:21:36 --startdatetime 2017-09-14T10:27:15 --delay 75 --endMP 204:158 --enddatetime 2017-09-14T11:05:08 --enforcementcount 1 &gt;&gt;C:\Users\stu\Documents\GitHub\eaglep3-reporting\EC\2017-09-14-refined-times.txt</v>
      </c>
      <c r="AI6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{"issue":{"subject":"","project_id":79,"tracker_id":40,"status_id":1,"priority_id":2,"assigned_to_id":338,"start_date":"2017-09-14","description":"","custom_fields":[{"id":1,"name":"Subdivision","value":"EC"},{"id":4,"name":"Milepost","value":"0.0158"},{"id":17,"name":"Train ID","value":"148-14"},{"id":16,"name":"Locomotive ID","value":"4029"},{"id":130,"name":"Impact","value":""},{"id":150,"name":"Time of Event (Mountain Time)","value":"11:05:08"},{"id":151,"name":"Denver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4029 --day 2017-09-14</v>
      </c>
      <c r="AN6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685</v>
      </c>
      <c r="B62" s="7">
        <v>4060</v>
      </c>
      <c r="C62" s="21" t="s">
        <v>197</v>
      </c>
      <c r="D62" s="21" t="s">
        <v>359</v>
      </c>
      <c r="E62" s="13">
        <v>42992.404502314814</v>
      </c>
      <c r="F62" s="13">
        <v>42992.406435185185</v>
      </c>
      <c r="G62" s="7">
        <v>50</v>
      </c>
      <c r="H62" s="21" t="s">
        <v>534</v>
      </c>
      <c r="I62" s="13">
        <v>42992.431192129632</v>
      </c>
      <c r="J62" s="7">
        <v>1</v>
      </c>
      <c r="K62" s="89" t="str">
        <f t="shared" si="0"/>
        <v>4059/4060</v>
      </c>
      <c r="L62" s="189" t="str">
        <f>VLOOKUP(A62,'Trips&amp;Operators'!$C$1:$G$99911,5,FALSE)</f>
        <v>GEBRETEKLE DAGNEW</v>
      </c>
      <c r="M62" s="6">
        <f t="shared" si="1"/>
        <v>2.4756944447290152E-2</v>
      </c>
      <c r="N62" s="7">
        <f t="shared" si="25"/>
        <v>35.650000004097819</v>
      </c>
      <c r="O62" s="7"/>
      <c r="P62" s="7"/>
      <c r="Q62" s="22"/>
      <c r="R62" s="167"/>
      <c r="S62" s="217">
        <f t="shared" si="26"/>
        <v>1</v>
      </c>
      <c r="T62" s="175" t="str">
        <f t="shared" si="3"/>
        <v>NorthBound</v>
      </c>
      <c r="U62" s="20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26" t="str">
        <f t="shared" si="4"/>
        <v>https://d0f6bd738d7f1b3e5a7ca70fe4ff75f0.us-east-1.aws.found.io/app/kibana#/discover/Steve-Slow-Train-Analysis-(2080s-and-2083s)?_g=(refreshInterval:(display:Off,pause:!f,section:0,value:0),time:(from:'2017-09-14T08:42:29-0600',mode:absolute,to:'2017-09-14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2" s="210" t="str">
        <f>IF(AA62&lt;VLOOKUP(AG62,Variables!$AC$3:$AD$8,2,FALSE),"Y","N")</f>
        <v>N</v>
      </c>
      <c r="X62" s="210">
        <f t="shared" si="22"/>
        <v>1</v>
      </c>
      <c r="Y62" s="210">
        <f t="shared" si="23"/>
        <v>4.58E-2</v>
      </c>
      <c r="Z62" s="210">
        <f t="shared" si="24"/>
        <v>23.33</v>
      </c>
      <c r="AA62" s="210">
        <f t="shared" si="8"/>
        <v>23.284199999999998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83">
        <f t="shared" si="9"/>
        <v>149</v>
      </c>
      <c r="AE62" s="77" t="str">
        <f t="shared" si="10"/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62" s="74" t="str">
        <f t="shared" si="11"/>
        <v>"C:\Program Files (x86)\AstroGrep\AstroGrep.exe" /e /r /s /spath="%USERPROFILE%\AppData\Local\Temp\OnboardLogs" /stypes="app*4060*20170914*" /stext=" 16:.+((SYSTEM_STATE.+slice.+state.+changed )|(ment ac)|(multiple cpu faults)|(system.+state.+changed )|(\[timeout)|(PRM\|1\|D)|(kpr)|(kdp)|(train st.+moving)|(\|lc)|(penalty))"</v>
      </c>
      <c r="AG62" s="186" t="str">
        <f t="shared" si="12"/>
        <v>EC</v>
      </c>
      <c r="AH62" s="78" t="str">
        <f t="shared" si="18"/>
        <v>"%USERPROFILE%\Documents\GitHub\eaglep3\Utilities\RefineRTDCRunTimes.py" --tripid 149-14 --locoid 4060 --swversion DE.1.0.9.0 --startMP 204:458 --initTime 2017-09-14T09:42:29 --startdatetime 2017-09-14T09:45:16 --delay 50 --endMP 204:233300 --enddatetime 2017-09-14T10:20:55 --enforcementcount 1 &gt;&gt;C:\Users\stu\Documents\GitHub\eaglep3-reporting\EC\2017-09-14-refined-times.txt</v>
      </c>
      <c r="AI62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{"issue":{"subject":"","project_id":79,"tracker_id":40,"status_id":1,"priority_id":2,"assigned_to_id":338,"start_date":"2017-09-14","description":"","custom_fields":[{"id":1,"name":"Subdivision","value":"EC"},{"id":4,"name":"Milepost","value":"23.33"},{"id":17,"name":"Train ID","value":"149-14"},{"id":16,"name":"Locomotive ID","value":"4060"},{"id":130,"name":"Impact","value":""},{"id":150,"name":"Time of Event (Mountain Time)","value":"10:20:55"},{"id":151,"name":"Denver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4060 --day 2017-09-14</v>
      </c>
      <c r="AN62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587</v>
      </c>
      <c r="B63" s="7">
        <v>4059</v>
      </c>
      <c r="C63" s="21" t="s">
        <v>197</v>
      </c>
      <c r="D63" s="21" t="s">
        <v>854</v>
      </c>
      <c r="E63" s="13">
        <v>42992.432280092595</v>
      </c>
      <c r="F63" s="13">
        <v>42992.446122685185</v>
      </c>
      <c r="G63" s="7">
        <v>70</v>
      </c>
      <c r="H63" s="21" t="s">
        <v>338</v>
      </c>
      <c r="I63" s="13">
        <v>42992.476006944446</v>
      </c>
      <c r="J63" s="7">
        <v>1</v>
      </c>
      <c r="K63" s="89" t="str">
        <f t="shared" si="0"/>
        <v>4059/4060</v>
      </c>
      <c r="L63" s="189" t="str">
        <f>VLOOKUP(A63,'Trips&amp;Operators'!$C$1:$G$99911,5,FALSE)</f>
        <v>GEBRETEKLE DAGNEW</v>
      </c>
      <c r="M63" s="6">
        <f t="shared" si="1"/>
        <v>2.9884259260143153E-2</v>
      </c>
      <c r="N63" s="7">
        <f t="shared" si="25"/>
        <v>43.033333334606141</v>
      </c>
      <c r="O63" s="7"/>
      <c r="P63" s="7"/>
      <c r="Q63" s="22"/>
      <c r="R63" s="167"/>
      <c r="S63" s="217">
        <f t="shared" si="26"/>
        <v>1</v>
      </c>
      <c r="T63" s="175" t="str">
        <f t="shared" si="3"/>
        <v>Southbound</v>
      </c>
      <c r="U63" s="20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26" t="str">
        <f t="shared" si="4"/>
        <v>https://d0f6bd738d7f1b3e5a7ca70fe4ff75f0.us-east-1.aws.found.io/app/kibana#/discover/Steve-Slow-Train-Analysis-(2080s-and-2083s)?_g=(refreshInterval:(display:Off,pause:!f,section:0,value:0),time:(from:'2017-09-14T09:22:29-0600',mode:absolute,to:'2017-09-14T12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3" s="210" t="str">
        <f>IF(AA63&lt;VLOOKUP(AG63,Variables!$AC$3:$AD$8,2,FALSE),"Y","N")</f>
        <v>N</v>
      </c>
      <c r="X63" s="210">
        <f t="shared" si="22"/>
        <v>1</v>
      </c>
      <c r="Y63" s="210">
        <f t="shared" si="23"/>
        <v>23.298500000000001</v>
      </c>
      <c r="Z63" s="210">
        <f t="shared" si="24"/>
        <v>1.4999999999999999E-2</v>
      </c>
      <c r="AA63" s="210">
        <f t="shared" si="8"/>
        <v>23.2835</v>
      </c>
      <c r="AB63" s="54" t="str">
        <f>VLOOKUP(A63,Enforcements!$C$7:$K$11,8,0)</f>
        <v>Bulletin (2)</v>
      </c>
      <c r="AC63" s="51" t="str">
        <f>VLOOKUP(A63,Enforcements!$C$7:$E$11,3,0)</f>
        <v>GRADE CROSSING</v>
      </c>
      <c r="AD63" s="183">
        <f t="shared" si="9"/>
        <v>150</v>
      </c>
      <c r="AE63" s="77" t="str">
        <f t="shared" si="10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63" s="74" t="str">
        <f t="shared" si="11"/>
        <v>"C:\Program Files (x86)\AstroGrep\AstroGrep.exe" /e /r /s /spath="%USERPROFILE%\AppData\Local\Temp\OnboardLogs" /stypes="app*4059*20170914*" /stext=" 17:.+((SYSTEM_STATE.+slice.+state.+changed )|(ment ac)|(multiple cpu faults)|(system.+state.+changed )|(\[timeout)|(PRM\|1\|D)|(kpr)|(kdp)|(train st.+moving)|(\|lc)|(penalty))"</v>
      </c>
      <c r="AG63" s="186" t="str">
        <f t="shared" si="12"/>
        <v>EC</v>
      </c>
      <c r="AH63" s="78" t="str">
        <f t="shared" si="18"/>
        <v>"%USERPROFILE%\Documents\GitHub\eaglep3\Utilities\RefineRTDCRunTimes.py" --tripid 150-14 --locoid 4059 --swversion DE.1.0.9.0 --startMP 204:232985 --initTime 2017-09-14T10:22:29 --startdatetime 2017-09-14T10:42:25 --delay 70 --endMP 204:150 --enddatetime 2017-09-14T11:25:27 --enforcementcount 1 &gt;&gt;C:\Users\stu\Documents\GitHub\eaglep3-reporting\EC\2017-09-14-refined-times.txt</v>
      </c>
      <c r="AI63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ID","value":"150-14"},{"id":16,"name":"Locomotive ID","value":"4059"},{"id":130,"name":"Impact","value":""},{"id":150,"name":"Time of Event (Mountain Time)","value":"11:25:27"},{"id":151,"name":"Denver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4059 --day 2017-09-14</v>
      </c>
      <c r="AN63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687</v>
      </c>
      <c r="B64" s="7">
        <v>4062</v>
      </c>
      <c r="C64" s="21" t="s">
        <v>197</v>
      </c>
      <c r="D64" s="21" t="s">
        <v>359</v>
      </c>
      <c r="E64" s="13">
        <v>42992.41300925926</v>
      </c>
      <c r="F64" s="13">
        <v>42992.416886574072</v>
      </c>
      <c r="G64" s="7">
        <v>52</v>
      </c>
      <c r="H64" s="21" t="s">
        <v>429</v>
      </c>
      <c r="I64" s="13">
        <v>42992.441655092596</v>
      </c>
      <c r="J64" s="7">
        <v>1</v>
      </c>
      <c r="K64" s="89" t="str">
        <f t="shared" si="0"/>
        <v>4061/4062</v>
      </c>
      <c r="L64" s="189" t="str">
        <f>VLOOKUP(A64,'Trips&amp;Operators'!$C$1:$G$99911,5,FALSE)</f>
        <v>WILLIAMS DONTE</v>
      </c>
      <c r="M64" s="6">
        <f t="shared" si="1"/>
        <v>2.4768518524069805E-2</v>
      </c>
      <c r="N64" s="7">
        <f t="shared" si="25"/>
        <v>35.666666674660519</v>
      </c>
      <c r="O64" s="7"/>
      <c r="P64" s="7"/>
      <c r="Q64" s="22"/>
      <c r="R64" s="167"/>
      <c r="S64" s="217">
        <f t="shared" si="26"/>
        <v>1</v>
      </c>
      <c r="T64" s="175" t="str">
        <f t="shared" si="3"/>
        <v>NorthBound</v>
      </c>
      <c r="U64" s="20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26" t="str">
        <f t="shared" si="4"/>
        <v>https://d0f6bd738d7f1b3e5a7ca70fe4ff75f0.us-east-1.aws.found.io/app/kibana#/discover/Steve-Slow-Train-Analysis-(2080s-and-2083s)?_g=(refreshInterval:(display:Off,pause:!f,section:0,value:0),time:(from:'2017-09-14T08:54:44-0600',mode:absolute,to:'2017-09-14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210" t="str">
        <f>IF(AA64&lt;VLOOKUP(AG64,Variables!$AC$3:$AD$8,2,FALSE),"Y","N")</f>
        <v>N</v>
      </c>
      <c r="X64" s="210">
        <f t="shared" si="22"/>
        <v>1</v>
      </c>
      <c r="Y64" s="210">
        <f t="shared" si="23"/>
        <v>4.58E-2</v>
      </c>
      <c r="Z64" s="210">
        <f t="shared" si="24"/>
        <v>23.328900000000001</v>
      </c>
      <c r="AA64" s="210">
        <f t="shared" si="8"/>
        <v>23.283100000000001</v>
      </c>
      <c r="AB64" s="54" t="e">
        <f>VLOOKUP(A64,Enforcements!$C$7:$K$11,8,0)</f>
        <v>#N/A</v>
      </c>
      <c r="AC64" s="51" t="e">
        <f>VLOOKUP(A64,Enforcements!$C$7:$E$11,3,0)</f>
        <v>#N/A</v>
      </c>
      <c r="AD64" s="183">
        <f t="shared" si="9"/>
        <v>151</v>
      </c>
      <c r="AE64" s="77" t="str">
        <f t="shared" si="10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64" s="74" t="str">
        <f t="shared" si="11"/>
        <v>"C:\Program Files (x86)\AstroGrep\AstroGrep.exe" /e /r /s /spath="%USERPROFILE%\AppData\Local\Temp\OnboardLogs" /stypes="app*4062*20170914*" /stext=" 16:.+((SYSTEM_STATE.+slice.+state.+changed )|(ment ac)|(multiple cpu faults)|(system.+state.+changed )|(\[timeout)|(PRM\|1\|D)|(kpr)|(kdp)|(train st.+moving)|(\|lc)|(penalty))"</v>
      </c>
      <c r="AG64" s="186" t="str">
        <f t="shared" si="12"/>
        <v>EC</v>
      </c>
      <c r="AH64" s="78" t="str">
        <f t="shared" si="18"/>
        <v>"%USERPROFILE%\Documents\GitHub\eaglep3\Utilities\RefineRTDCRunTimes.py" --tripid 151-14 --locoid 4062 --swversion DE.1.0.9.0 --startMP 204:458 --initTime 2017-09-14T09:54:44 --startdatetime 2017-09-14T10:00:19 --delay 52 --endMP 204:233289 --enddatetime 2017-09-14T10:35:59 --enforcementcount 1 &gt;&gt;C:\Users\stu\Documents\GitHub\eaglep3-reporting\EC\2017-09-14-refined-times.txt</v>
      </c>
      <c r="AI6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{"issue":{"subject":"","project_id":79,"tracker_id":40,"status_id":1,"priority_id":2,"assigned_to_id":338,"start_date":"2017-09-14","description":"","custom_fields":[{"id":1,"name":"Subdivision","value":"EC"},{"id":4,"name":"Milepost","value":"23.3289"},{"id":17,"name":"Train ID","value":"151-14"},{"id":16,"name":"Locomotive ID","value":"4062"},{"id":130,"name":"Impact","value":""},{"id":150,"name":"Time of Event (Mountain Time)","value":"10:35:59"},{"id":151,"name":"Denver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4062 --day 2017-09-14</v>
      </c>
      <c r="AN6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591</v>
      </c>
      <c r="B65" s="7">
        <v>4061</v>
      </c>
      <c r="C65" s="21" t="s">
        <v>197</v>
      </c>
      <c r="D65" s="21" t="s">
        <v>476</v>
      </c>
      <c r="E65" s="13">
        <v>42992.451354166667</v>
      </c>
      <c r="F65" s="13">
        <v>42992.456921296296</v>
      </c>
      <c r="G65" s="7">
        <v>91</v>
      </c>
      <c r="H65" s="21" t="s">
        <v>855</v>
      </c>
      <c r="I65" s="13">
        <v>42992.488865740743</v>
      </c>
      <c r="J65" s="7">
        <v>1</v>
      </c>
      <c r="K65" s="89" t="str">
        <f t="shared" si="0"/>
        <v>4061/4062</v>
      </c>
      <c r="L65" s="189" t="str">
        <f>VLOOKUP(A65,'Trips&amp;Operators'!$C$1:$G$99911,5,FALSE)</f>
        <v>WILLIAMS DONTE</v>
      </c>
      <c r="M65" s="6">
        <f t="shared" si="1"/>
        <v>3.1944444446708076E-2</v>
      </c>
      <c r="N65" s="7">
        <f t="shared" si="25"/>
        <v>46.000000003259629</v>
      </c>
      <c r="O65" s="7"/>
      <c r="P65" s="7"/>
      <c r="Q65" s="22"/>
      <c r="R65" s="167"/>
      <c r="S65" s="217">
        <f t="shared" si="26"/>
        <v>1</v>
      </c>
      <c r="T65" s="175" t="str">
        <f t="shared" si="3"/>
        <v>Southbound</v>
      </c>
      <c r="U65" s="20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26" t="str">
        <f t="shared" si="4"/>
        <v>https://d0f6bd738d7f1b3e5a7ca70fe4ff75f0.us-east-1.aws.found.io/app/kibana#/discover/Steve-Slow-Train-Analysis-(2080s-and-2083s)?_g=(refreshInterval:(display:Off,pause:!f,section:0,value:0),time:(from:'2017-09-14T09:49:57-0600',mode:absolute,to:'2017-09-14T12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210" t="str">
        <f>IF(AA65&lt;VLOOKUP(AG65,Variables!$AC$3:$AD$8,2,FALSE),"Y","N")</f>
        <v>N</v>
      </c>
      <c r="X65" s="210">
        <f t="shared" si="22"/>
        <v>1</v>
      </c>
      <c r="Y65" s="210">
        <f t="shared" si="23"/>
        <v>23.296900000000001</v>
      </c>
      <c r="Z65" s="210">
        <f t="shared" si="24"/>
        <v>1.8100000000000002E-2</v>
      </c>
      <c r="AA65" s="210">
        <f t="shared" si="8"/>
        <v>23.2788</v>
      </c>
      <c r="AB65" s="54" t="e">
        <f>VLOOKUP(A65,Enforcements!$C$7:$K$11,8,0)</f>
        <v>#N/A</v>
      </c>
      <c r="AC65" s="51" t="e">
        <f>VLOOKUP(A65,Enforcements!$C$7:$E$11,3,0)</f>
        <v>#N/A</v>
      </c>
      <c r="AD65" s="183">
        <f t="shared" si="9"/>
        <v>152</v>
      </c>
      <c r="AE65" s="77" t="str">
        <f t="shared" si="10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65" s="74" t="str">
        <f t="shared" si="11"/>
        <v>"C:\Program Files (x86)\AstroGrep\AstroGrep.exe" /e /r /s /spath="%USERPROFILE%\AppData\Local\Temp\OnboardLogs" /stypes="app*4061*20170914*" /stext=" 17:.+((SYSTEM_STATE.+slice.+state.+changed )|(ment ac)|(multiple cpu faults)|(system.+state.+changed )|(\[timeout)|(PRM\|1\|D)|(kpr)|(kdp)|(train st.+moving)|(\|lc)|(penalty))"</v>
      </c>
      <c r="AG65" s="186" t="str">
        <f t="shared" si="12"/>
        <v>EC</v>
      </c>
      <c r="AH65" s="78" t="str">
        <f t="shared" si="18"/>
        <v>"%USERPROFILE%\Documents\GitHub\eaglep3\Utilities\RefineRTDCRunTimes.py" --tripid 152-14 --locoid 4061 --swversion DE.1.0.9.0 --startMP 204:232969 --initTime 2017-09-14T10:49:57 --startdatetime 2017-09-14T10:57:58 --delay 91 --endMP 204:181 --enddatetime 2017-09-14T11:43:58 --enforcementcount 1 &gt;&gt;C:\Users\stu\Documents\GitHub\eaglep3-reporting\EC\2017-09-14-refined-times.txt</v>
      </c>
      <c r="AI6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{"issue":{"subject":"","project_id":79,"tracker_id":40,"status_id":1,"priority_id":2,"assigned_to_id":338,"start_date":"2017-09-14","description":"","custom_fields":[{"id":1,"name":"Subdivision","value":"EC"},{"id":4,"name":"Milepost","value":"0.0181"},{"id":17,"name":"Train ID","value":"152-14"},{"id":16,"name":"Locomotive ID","value":"4061"},{"id":130,"name":"Impact","value":""},{"id":150,"name":"Time of Event (Mountain Time)","value":"11:43:58"},{"id":151,"name":"Denver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4061 --day 2017-09-14</v>
      </c>
      <c r="AN6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17:43:58"},{"id":29,"name":"Sharepoint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586</v>
      </c>
      <c r="B66" s="7">
        <v>4026</v>
      </c>
      <c r="C66" s="21" t="s">
        <v>197</v>
      </c>
      <c r="D66" s="21" t="s">
        <v>455</v>
      </c>
      <c r="E66" s="13">
        <v>42992.422731481478</v>
      </c>
      <c r="F66" s="13">
        <v>42992.427291666667</v>
      </c>
      <c r="G66" s="7">
        <v>79</v>
      </c>
      <c r="H66" s="21" t="s">
        <v>388</v>
      </c>
      <c r="I66" s="13">
        <v>42992.454861111109</v>
      </c>
      <c r="J66" s="7">
        <v>1</v>
      </c>
      <c r="K66" s="89" t="str">
        <f t="shared" si="0"/>
        <v>4025/4026</v>
      </c>
      <c r="L66" s="189" t="str">
        <f>VLOOKUP(A66,'Trips&amp;Operators'!$C$1:$G$99911,5,FALSE)</f>
        <v>DAVIS WENDY</v>
      </c>
      <c r="M66" s="6">
        <f t="shared" si="1"/>
        <v>2.7569444442633539E-2</v>
      </c>
      <c r="N66" s="7">
        <f t="shared" si="25"/>
        <v>39.699999997392297</v>
      </c>
      <c r="O66" s="7"/>
      <c r="P66" s="7"/>
      <c r="Q66" s="22"/>
      <c r="R66" s="167"/>
      <c r="S66" s="217">
        <f t="shared" si="26"/>
        <v>1</v>
      </c>
      <c r="T66" s="175" t="str">
        <f t="shared" si="3"/>
        <v>NorthBound</v>
      </c>
      <c r="U66" s="20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26" t="str">
        <f t="shared" si="4"/>
        <v>https://d0f6bd738d7f1b3e5a7ca70fe4ff75f0.us-east-1.aws.found.io/app/kibana#/discover/Steve-Slow-Train-Analysis-(2080s-and-2083s)?_g=(refreshInterval:(display:Off,pause:!f,section:0,value:0),time:(from:'2017-09-14T09:08:44-0600',mode:absolute,to:'2017-09-14T11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210" t="str">
        <f>IF(AA66&lt;VLOOKUP(AG66,Variables!$AC$3:$AD$8,2,FALSE),"Y","N")</f>
        <v>N</v>
      </c>
      <c r="X66" s="210">
        <f t="shared" si="22"/>
        <v>1</v>
      </c>
      <c r="Y66" s="210">
        <f t="shared" si="23"/>
        <v>4.6600000000000003E-2</v>
      </c>
      <c r="Z66" s="210">
        <f t="shared" si="24"/>
        <v>23.331399999999999</v>
      </c>
      <c r="AA66" s="210">
        <f t="shared" si="8"/>
        <v>23.284799999999997</v>
      </c>
      <c r="AB66" s="54" t="str">
        <f>VLOOKUP(A66,Enforcements!$C$7:$K$11,8,0)</f>
        <v>Bulletin (2)</v>
      </c>
      <c r="AC66" s="51" t="str">
        <f>VLOOKUP(A66,Enforcements!$C$7:$E$11,3,0)</f>
        <v>GRADE CROSSING</v>
      </c>
      <c r="AD66" s="183">
        <f t="shared" si="9"/>
        <v>153</v>
      </c>
      <c r="AE66" s="77" t="str">
        <f t="shared" si="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66" s="74" t="str">
        <f t="shared" si="11"/>
        <v>"C:\Program Files (x86)\AstroGrep\AstroGrep.exe" /e /r /s /spath="%USERPROFILE%\AppData\Local\Temp\OnboardLogs" /stypes="app*4026*20170914*" /stext=" 16:.+((SYSTEM_STATE.+slice.+state.+changed )|(ment ac)|(multiple cpu faults)|(system.+state.+changed )|(\[timeout)|(PRM\|1\|D)|(kpr)|(kdp)|(train st.+moving)|(\|lc)|(penalty))"</v>
      </c>
      <c r="AG66" s="186" t="str">
        <f t="shared" si="12"/>
        <v>EC</v>
      </c>
      <c r="AH66" s="78" t="str">
        <f t="shared" si="18"/>
        <v>"%USERPROFILE%\Documents\GitHub\eaglep3\Utilities\RefineRTDCRunTimes.py" --tripid 153-14 --locoid 4026 --swversion DE.1.0.9.0 --startMP 204:466 --initTime 2017-09-14T10:08:44 --startdatetime 2017-09-14T10:15:18 --delay 79 --endMP 204:233314 --enddatetime 2017-09-14T10:55:00 --enforcementcount 1 &gt;&gt;C:\Users\stu\Documents\GitHub\eaglep3-reporting\EC\2017-09-14-refined-times.txt</v>
      </c>
      <c r="AI6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ID","value":"153-14"},{"id":16,"name":"Locomotive ID","value":"4026"},{"id":130,"name":"Impact","value":""},{"id":150,"name":"Time of Event (Mountain Time)","value":"10:55:00"},{"id":151,"name":"Denver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4026 --day 2017-09-14</v>
      </c>
      <c r="AN6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695</v>
      </c>
      <c r="B67" s="7">
        <v>4025</v>
      </c>
      <c r="C67" s="21" t="s">
        <v>197</v>
      </c>
      <c r="D67" s="21" t="s">
        <v>532</v>
      </c>
      <c r="E67" s="13">
        <v>42992.459849537037</v>
      </c>
      <c r="F67" s="13">
        <v>42992.466840277775</v>
      </c>
      <c r="G67" s="7">
        <v>80</v>
      </c>
      <c r="H67" s="21" t="s">
        <v>856</v>
      </c>
      <c r="I67" s="13">
        <v>42992.507280092592</v>
      </c>
      <c r="J67" s="7">
        <v>1</v>
      </c>
      <c r="K67" s="89" t="str">
        <f t="shared" si="0"/>
        <v>4025/4026</v>
      </c>
      <c r="L67" s="189" t="str">
        <f>VLOOKUP(A67,'Trips&amp;Operators'!$C$1:$G$99911,5,FALSE)</f>
        <v>DAVIS WENDY</v>
      </c>
      <c r="M67" s="6">
        <f t="shared" si="1"/>
        <v>4.0439814816636499E-2</v>
      </c>
      <c r="N67" s="7">
        <f t="shared" si="25"/>
        <v>58.233333335956559</v>
      </c>
      <c r="O67" s="7"/>
      <c r="P67" s="7"/>
      <c r="Q67" s="22"/>
      <c r="R67" s="167" t="s">
        <v>1016</v>
      </c>
      <c r="S67" s="217">
        <f t="shared" si="26"/>
        <v>1</v>
      </c>
      <c r="T67" s="175" t="str">
        <f t="shared" si="3"/>
        <v>Southbound</v>
      </c>
      <c r="U67" s="20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26" t="str">
        <f t="shared" si="4"/>
        <v>https://d0f6bd738d7f1b3e5a7ca70fe4ff75f0.us-east-1.aws.found.io/app/kibana#/discover/Steve-Slow-Train-Analysis-(2080s-and-2083s)?_g=(refreshInterval:(display:Off,pause:!f,section:0,value:0),time:(from:'2017-09-14T10:02:11-0600',mode:absolute,to:'2017-09-14T13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7" s="210" t="str">
        <f>IF(AA67&lt;VLOOKUP(AG67,Variables!$AC$3:$AD$8,2,FALSE),"Y","N")</f>
        <v>N</v>
      </c>
      <c r="X67" s="210">
        <f t="shared" si="22"/>
        <v>1</v>
      </c>
      <c r="Y67" s="210">
        <f t="shared" si="23"/>
        <v>23.298300000000001</v>
      </c>
      <c r="Z67" s="210">
        <f t="shared" si="24"/>
        <v>0.11559999999999999</v>
      </c>
      <c r="AA67" s="210">
        <f t="shared" si="8"/>
        <v>23.182700000000001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83">
        <f t="shared" si="9"/>
        <v>154</v>
      </c>
      <c r="AE67" s="77" t="str">
        <f t="shared" si="10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67" s="74" t="str">
        <f t="shared" si="11"/>
        <v>"C:\Program Files (x86)\AstroGrep\AstroGrep.exe" /e /r /s /spath="%USERPROFILE%\AppData\Local\Temp\OnboardLogs" /stypes="app*4025*20170914*" /stext=" 18:.+((SYSTEM_STATE.+slice.+state.+changed )|(ment ac)|(multiple cpu faults)|(system.+state.+changed )|(\[timeout)|(PRM\|1\|D)|(kpr)|(kdp)|(train st.+moving)|(\|lc)|(penalty))"</v>
      </c>
      <c r="AG67" s="186" t="str">
        <f t="shared" si="12"/>
        <v>EC</v>
      </c>
      <c r="AH67" s="78" t="str">
        <f t="shared" si="18"/>
        <v>"%USERPROFILE%\Documents\GitHub\eaglep3\Utilities\RefineRTDCRunTimes.py" --tripid 154-14 --locoid 4025 --swversion DE.1.0.9.0 --startMP 204:232983 --initTime 2017-09-14T11:02:11 --startdatetime 2017-09-14T11:12:15 --delay 80 --endMP 204:1156 --enddatetime 2017-09-14T12:10:29 --enforcementcount 1 &gt;&gt;C:\Users\stu\Documents\GitHub\eaglep3-reporting\EC\2017-09-14-refined-times.txt</v>
      </c>
      <c r="AI67" s="96" t="str">
        <f t="shared" si="19"/>
        <v>echo {"issue":{"subject":"Delayed by XING repairs at Chambers (semi accident with crossing arm) - see 53854","project_id":79,"tracker_id":40,"status_id":1,"priority_id":2,"assigned_to_id":338,"start_date":"2017-09-14","description":"","custom_fields":[{"id":1,"name":"Subdivision","value":"EC"},{"id":4,"name":"Milepost","value":"0.1156"},{"id":17,"name":"Train ID","value":"154-14"},{"id":16,"name":"Locomotive ID","value":"4025"},{"id":130,"name":"Impact","value":""},{"id":150,"name":"Time of Event (Mountain Time)","value":"12:10:29"},{"id":151,"name":"Denver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4025 --day 2017-09-14</v>
      </c>
      <c r="AN67" s="151" t="str">
        <f t="shared" si="21"/>
        <v>echo {"issue":{"subject":"Delayed by XING repairs at Chambers (semi accident with crossing arm) - see 53854","project_id":30,"tracker_id":4,"status_id":1,"priority_id":1,"assigned_to_id":10,"start_date":"2017-09-14","description":"","custom_fields":[{"id":30,"name":"Category","value":"Issue"},{"id":3,"name":"Functional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690</v>
      </c>
      <c r="B68" s="7">
        <v>4002</v>
      </c>
      <c r="C68" s="21" t="s">
        <v>197</v>
      </c>
      <c r="D68" s="21" t="s">
        <v>364</v>
      </c>
      <c r="E68" s="13">
        <v>42992.43041666667</v>
      </c>
      <c r="F68" s="13">
        <v>42992.437650462962</v>
      </c>
      <c r="G68" s="7">
        <v>53</v>
      </c>
      <c r="H68" s="21" t="s">
        <v>478</v>
      </c>
      <c r="I68" s="13">
        <v>42992.461400462962</v>
      </c>
      <c r="J68" s="7">
        <v>1</v>
      </c>
      <c r="K68" s="89" t="str">
        <f t="shared" si="0"/>
        <v>4001/4002</v>
      </c>
      <c r="L68" s="189" t="str">
        <f>VLOOKUP(A68,'Trips&amp;Operators'!$C$1:$G$99911,5,FALSE)</f>
        <v>YANAI IAN</v>
      </c>
      <c r="M68" s="6">
        <f t="shared" si="1"/>
        <v>2.3750000000291038E-2</v>
      </c>
      <c r="N68" s="7">
        <f t="shared" si="25"/>
        <v>34.200000000419095</v>
      </c>
      <c r="O68" s="7"/>
      <c r="P68" s="7"/>
      <c r="Q68" s="22"/>
      <c r="R68" s="167"/>
      <c r="S68" s="217">
        <f t="shared" si="26"/>
        <v>1</v>
      </c>
      <c r="T68" s="175" t="str">
        <f t="shared" si="3"/>
        <v>NorthBound</v>
      </c>
      <c r="U68" s="20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26" t="str">
        <f t="shared" si="4"/>
        <v>https://d0f6bd738d7f1b3e5a7ca70fe4ff75f0.us-east-1.aws.found.io/app/kibana#/discover/Steve-Slow-Train-Analysis-(2080s-and-2083s)?_g=(refreshInterval:(display:Off,pause:!f,section:0,value:0),time:(from:'2017-09-14T09:19:48-0600',mode:absolute,to:'2017-09-14T12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210" t="str">
        <f>IF(AA68&lt;VLOOKUP(AG68,Variables!$AC$3:$AD$8,2,FALSE),"Y","N")</f>
        <v>N</v>
      </c>
      <c r="X68" s="210">
        <f t="shared" si="22"/>
        <v>1</v>
      </c>
      <c r="Y68" s="210">
        <f t="shared" si="23"/>
        <v>4.6399999999999997E-2</v>
      </c>
      <c r="Z68" s="210">
        <f t="shared" si="24"/>
        <v>23.3293</v>
      </c>
      <c r="AA68" s="210">
        <f t="shared" si="8"/>
        <v>23.282900000000001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83">
        <f t="shared" si="9"/>
        <v>155</v>
      </c>
      <c r="AE68" s="77" t="str">
        <f t="shared" si="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68" s="74" t="str">
        <f t="shared" si="11"/>
        <v>"C:\Program Files (x86)\AstroGrep\AstroGrep.exe" /e /r /s /spath="%USERPROFILE%\AppData\Local\Temp\OnboardLogs" /stypes="app*4002*20170914*" /stext=" 17:.+((SYSTEM_STATE.+slice.+state.+changed )|(ment ac)|(multiple cpu faults)|(system.+state.+changed )|(\[timeout)|(PRM\|1\|D)|(kpr)|(kdp)|(train st.+moving)|(\|lc)|(penalty))"</v>
      </c>
      <c r="AG68" s="186" t="str">
        <f t="shared" si="12"/>
        <v>EC</v>
      </c>
      <c r="AH68" s="78" t="str">
        <f t="shared" si="18"/>
        <v>"%USERPROFILE%\Documents\GitHub\eaglep3\Utilities\RefineRTDCRunTimes.py" --tripid 155-14 --locoid 4002 --swversion DE.1.0.9.0 --startMP 204:464 --initTime 2017-09-14T10:19:48 --startdatetime 2017-09-14T10:30:13 --delay 53 --endMP 204:233293 --enddatetime 2017-09-14T11:04:25 --enforcementcount 1 &gt;&gt;C:\Users\stu\Documents\GitHub\eaglep3-reporting\EC\2017-09-14-refined-times.txt</v>
      </c>
      <c r="AI68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{"issue":{"subject":"","project_id":79,"tracker_id":40,"status_id":1,"priority_id":2,"assigned_to_id":338,"start_date":"2017-09-14","description":"","custom_fields":[{"id":1,"name":"Subdivision","value":"EC"},{"id":4,"name":"Milepost","value":"23.3293"},{"id":17,"name":"Train ID","value":"155-14"},{"id":16,"name":"Locomotive ID","value":"4002"},{"id":130,"name":"Impact","value":""},{"id":150,"name":"Time of Event (Mountain Time)","value":"11:04:25"},{"id":151,"name":"Denver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4002 --day 2017-09-14</v>
      </c>
      <c r="AN68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593</v>
      </c>
      <c r="B69" s="7">
        <v>4001</v>
      </c>
      <c r="C69" s="21" t="s">
        <v>197</v>
      </c>
      <c r="D69" s="21" t="s">
        <v>476</v>
      </c>
      <c r="E69" s="13">
        <v>42992.462361111109</v>
      </c>
      <c r="F69" s="13">
        <v>42992.47724537037</v>
      </c>
      <c r="G69" s="7">
        <v>50</v>
      </c>
      <c r="H69" s="21" t="s">
        <v>383</v>
      </c>
      <c r="I69" s="13">
        <v>42992.51190972222</v>
      </c>
      <c r="J69" s="7">
        <v>1</v>
      </c>
      <c r="K69" s="89" t="str">
        <f t="shared" si="0"/>
        <v>4001/4002</v>
      </c>
      <c r="L69" s="189" t="str">
        <f>VLOOKUP(A69,'Trips&amp;Operators'!$C$1:$G$99911,5,FALSE)</f>
        <v>YANAI IAN</v>
      </c>
      <c r="M69" s="6">
        <f t="shared" si="1"/>
        <v>3.4664351849642117E-2</v>
      </c>
      <c r="N69" s="7">
        <f t="shared" si="25"/>
        <v>49.916666663484648</v>
      </c>
      <c r="O69" s="7"/>
      <c r="P69" s="7"/>
      <c r="Q69" s="22"/>
      <c r="R69" s="167"/>
      <c r="S69" s="217">
        <f t="shared" si="26"/>
        <v>1</v>
      </c>
      <c r="T69" s="175" t="str">
        <f t="shared" si="3"/>
        <v>Southbound</v>
      </c>
      <c r="U69" s="20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26" t="str">
        <f t="shared" si="4"/>
        <v>https://d0f6bd738d7f1b3e5a7ca70fe4ff75f0.us-east-1.aws.found.io/app/kibana#/discover/Steve-Slow-Train-Analysis-(2080s-and-2083s)?_g=(refreshInterval:(display:Off,pause:!f,section:0,value:0),time:(from:'2017-09-14T10:05:48-0600',mode:absolute,to:'2017-09-14T13:17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210" t="str">
        <f>IF(AA69&lt;VLOOKUP(AG69,Variables!$AC$3:$AD$8,2,FALSE),"Y","N")</f>
        <v>N</v>
      </c>
      <c r="X69" s="210">
        <f t="shared" si="22"/>
        <v>1</v>
      </c>
      <c r="Y69" s="210">
        <f t="shared" si="23"/>
        <v>23.296900000000001</v>
      </c>
      <c r="Z69" s="210">
        <f t="shared" si="24"/>
        <v>1.5800000000000002E-2</v>
      </c>
      <c r="AA69" s="210">
        <f t="shared" si="8"/>
        <v>23.281100000000002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83">
        <f t="shared" si="9"/>
        <v>156</v>
      </c>
      <c r="AE69" s="77" t="str">
        <f t="shared" si="10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69" s="74" t="str">
        <f t="shared" si="11"/>
        <v>"C:\Program Files (x86)\AstroGrep\AstroGrep.exe" /e /r /s /spath="%USERPROFILE%\AppData\Local\Temp\OnboardLogs" /stypes="app*4001*20170914*" /stext=" 18:.+((SYSTEM_STATE.+slice.+state.+changed )|(ment ac)|(multiple cpu faults)|(system.+state.+changed )|(\[timeout)|(PRM\|1\|D)|(kpr)|(kdp)|(train st.+moving)|(\|lc)|(penalty))"</v>
      </c>
      <c r="AG69" s="186" t="str">
        <f t="shared" si="12"/>
        <v>EC</v>
      </c>
      <c r="AH69" s="78" t="str">
        <f t="shared" si="18"/>
        <v>"%USERPROFILE%\Documents\GitHub\eaglep3\Utilities\RefineRTDCRunTimes.py" --tripid 156-14 --locoid 4001 --swversion DE.1.0.9.0 --startMP 204:232969 --initTime 2017-09-14T11:05:48 --startdatetime 2017-09-14T11:27:14 --delay 50 --endMP 204:158 --enddatetime 2017-09-14T12:17:09 --enforcementcount 1 &gt;&gt;C:\Users\stu\Documents\GitHub\eaglep3-reporting\EC\2017-09-14-refined-times.txt</v>
      </c>
      <c r="AI69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{"issue":{"subject":"","project_id":79,"tracker_id":40,"status_id":1,"priority_id":2,"assigned_to_id":338,"start_date":"2017-09-14","description":"","custom_fields":[{"id":1,"name":"Subdivision","value":"EC"},{"id":4,"name":"Milepost","value":"0.0158"},{"id":17,"name":"Train ID","value":"156-14"},{"id":16,"name":"Locomotive ID","value":"4001"},{"id":130,"name":"Impact","value":""},{"id":150,"name":"Time of Event (Mountain Time)","value":"12:17:09"},{"id":151,"name":"Denver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4001 --day 2017-09-14</v>
      </c>
      <c r="AN69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18:17:09"},{"id":29,"name":"Sharepoint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589</v>
      </c>
      <c r="B70" s="7">
        <v>4058</v>
      </c>
      <c r="C70" s="21" t="s">
        <v>197</v>
      </c>
      <c r="D70" s="21" t="s">
        <v>482</v>
      </c>
      <c r="E70" s="13">
        <v>42992.443599537037</v>
      </c>
      <c r="F70" s="13">
        <v>42992.448136574072</v>
      </c>
      <c r="G70" s="7">
        <v>61</v>
      </c>
      <c r="H70" s="21" t="s">
        <v>546</v>
      </c>
      <c r="I70" s="13">
        <v>42992.474803240744</v>
      </c>
      <c r="J70" s="7">
        <v>1</v>
      </c>
      <c r="K70" s="89" t="str">
        <f t="shared" si="0"/>
        <v>4057/4058</v>
      </c>
      <c r="L70" s="189" t="str">
        <f>VLOOKUP(A70,'Trips&amp;Operators'!$C$1:$G$99911,5,FALSE)</f>
        <v>CASSIDY BRANDON</v>
      </c>
      <c r="M70" s="6">
        <f t="shared" si="1"/>
        <v>2.6666666672099382E-2</v>
      </c>
      <c r="N70" s="7">
        <f t="shared" si="25"/>
        <v>38.40000000782311</v>
      </c>
      <c r="O70" s="7"/>
      <c r="P70" s="7"/>
      <c r="Q70" s="22"/>
      <c r="R70" s="167"/>
      <c r="S70" s="217">
        <f t="shared" si="26"/>
        <v>1</v>
      </c>
      <c r="T70" s="175" t="str">
        <f t="shared" si="3"/>
        <v>NorthBound</v>
      </c>
      <c r="U70" s="20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26" t="str">
        <f t="shared" si="4"/>
        <v>https://d0f6bd738d7f1b3e5a7ca70fe4ff75f0.us-east-1.aws.found.io/app/kibana#/discover/Steve-Slow-Train-Analysis-(2080s-and-2083s)?_g=(refreshInterval:(display:Off,pause:!f,section:0,value:0),time:(from:'2017-09-14T09:38:47-0600',mode:absolute,to:'2017-09-14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0" s="210" t="str">
        <f>IF(AA70&lt;VLOOKUP(AG70,Variables!$AC$3:$AD$8,2,FALSE),"Y","N")</f>
        <v>N</v>
      </c>
      <c r="X70" s="210">
        <f t="shared" si="22"/>
        <v>1</v>
      </c>
      <c r="Y70" s="210">
        <f t="shared" si="23"/>
        <v>4.3499999999999997E-2</v>
      </c>
      <c r="Z70" s="210">
        <f t="shared" si="24"/>
        <v>23.3276</v>
      </c>
      <c r="AA70" s="210">
        <f t="shared" si="8"/>
        <v>23.284099999999999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83">
        <f t="shared" si="9"/>
        <v>157</v>
      </c>
      <c r="AE70" s="77" t="str">
        <f t="shared" si="10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70" s="74" t="str">
        <f t="shared" si="11"/>
        <v>"C:\Program Files (x86)\AstroGrep\AstroGrep.exe" /e /r /s /spath="%USERPROFILE%\AppData\Local\Temp\OnboardLogs" /stypes="app*4058*20170914*" /stext=" 17:.+((SYSTEM_STATE.+slice.+state.+changed )|(ment ac)|(multiple cpu faults)|(system.+state.+changed )|(\[timeout)|(PRM\|1\|D)|(kpr)|(kdp)|(train st.+moving)|(\|lc)|(penalty))"</v>
      </c>
      <c r="AG70" s="186" t="str">
        <f t="shared" si="12"/>
        <v>EC</v>
      </c>
      <c r="AH70" s="78" t="str">
        <f t="shared" si="18"/>
        <v>"%USERPROFILE%\Documents\GitHub\eaglep3\Utilities\RefineRTDCRunTimes.py" --tripid 157-14 --locoid 4058 --swversion DE.1.0.9.0 --startMP 204:435 --initTime 2017-09-14T10:38:47 --startdatetime 2017-09-14T10:45:19 --delay 61 --endMP 204:233276 --enddatetime 2017-09-14T11:23:43 --enforcementcount 1 &gt;&gt;C:\Users\stu\Documents\GitHub\eaglep3-reporting\EC\2017-09-14-refined-times.txt</v>
      </c>
      <c r="AI70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{"issue":{"subject":"","project_id":79,"tracker_id":40,"status_id":1,"priority_id":2,"assigned_to_id":338,"start_date":"2017-09-14","description":"","custom_fields":[{"id":1,"name":"Subdivision","value":"EC"},{"id":4,"name":"Milepost","value":"23.3276"},{"id":17,"name":"Train ID","value":"157-14"},{"id":16,"name":"Locomotive ID","value":"4058"},{"id":130,"name":"Impact","value":""},{"id":150,"name":"Time of Event (Mountain Time)","value":"11:23:43"},{"id":151,"name":"Denver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4058 --day 2017-09-14</v>
      </c>
      <c r="AN70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697</v>
      </c>
      <c r="B71" s="7">
        <v>4057</v>
      </c>
      <c r="C71" s="21" t="s">
        <v>197</v>
      </c>
      <c r="D71" s="21" t="s">
        <v>532</v>
      </c>
      <c r="E71" s="13">
        <v>42992.481458333335</v>
      </c>
      <c r="F71" s="13">
        <v>42992.48778935185</v>
      </c>
      <c r="G71" s="7">
        <v>128</v>
      </c>
      <c r="H71" s="21" t="s">
        <v>383</v>
      </c>
      <c r="I71" s="13">
        <v>42992.520682870374</v>
      </c>
      <c r="J71" s="7">
        <v>1</v>
      </c>
      <c r="K71" s="89" t="str">
        <f t="shared" si="0"/>
        <v>4057/4058</v>
      </c>
      <c r="L71" s="189" t="str">
        <f>VLOOKUP(A71,'Trips&amp;Operators'!$C$1:$G$99911,5,FALSE)</f>
        <v>CASSIDY BRANDON</v>
      </c>
      <c r="M71" s="6">
        <f t="shared" si="1"/>
        <v>3.2893518524360843E-2</v>
      </c>
      <c r="N71" s="7">
        <f t="shared" si="25"/>
        <v>47.366666675079614</v>
      </c>
      <c r="O71" s="7"/>
      <c r="P71" s="7"/>
      <c r="Q71" s="22"/>
      <c r="R71" s="167"/>
      <c r="S71" s="217">
        <f t="shared" si="26"/>
        <v>1</v>
      </c>
      <c r="T71" s="175" t="str">
        <f t="shared" si="3"/>
        <v>Southbound</v>
      </c>
      <c r="U71" s="20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26" t="str">
        <f t="shared" si="4"/>
        <v>https://d0f6bd738d7f1b3e5a7ca70fe4ff75f0.us-east-1.aws.found.io/app/kibana#/discover/Steve-Slow-Train-Analysis-(2080s-and-2083s)?_g=(refreshInterval:(display:Off,pause:!f,section:0,value:0),time:(from:'2017-09-14T10:33:18-0600',mode:absolute,to:'2017-09-14T13:29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1" s="210" t="str">
        <f>IF(AA71&lt;VLOOKUP(AG71,Variables!$AC$3:$AD$8,2,FALSE),"Y","N")</f>
        <v>N</v>
      </c>
      <c r="X71" s="210">
        <f t="shared" si="22"/>
        <v>1</v>
      </c>
      <c r="Y71" s="210">
        <f t="shared" si="23"/>
        <v>23.298300000000001</v>
      </c>
      <c r="Z71" s="210">
        <f t="shared" si="24"/>
        <v>1.5800000000000002E-2</v>
      </c>
      <c r="AA71" s="210">
        <f t="shared" si="8"/>
        <v>23.282500000000002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183">
        <f t="shared" si="9"/>
        <v>158</v>
      </c>
      <c r="AE71" s="77" t="str">
        <f t="shared" si="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71" s="74" t="str">
        <f t="shared" si="11"/>
        <v>"C:\Program Files (x86)\AstroGrep\AstroGrep.exe" /e /r /s /spath="%USERPROFILE%\AppData\Local\Temp\OnboardLogs" /stypes="app*4057*20170914*" /stext=" 18:.+((SYSTEM_STATE.+slice.+state.+changed )|(ment ac)|(multiple cpu faults)|(system.+state.+changed )|(\[timeout)|(PRM\|1\|D)|(kpr)|(kdp)|(train st.+moving)|(\|lc)|(penalty))"</v>
      </c>
      <c r="AG71" s="186" t="str">
        <f t="shared" si="12"/>
        <v>EC</v>
      </c>
      <c r="AH71" s="78" t="str">
        <f t="shared" si="18"/>
        <v>"%USERPROFILE%\Documents\GitHub\eaglep3\Utilities\RefineRTDCRunTimes.py" --tripid 158-14 --locoid 4057 --swversion DE.1.0.9.0 --startMP 204:232983 --initTime 2017-09-14T11:33:18 --startdatetime 2017-09-14T11:42:25 --delay 128 --endMP 204:158 --enddatetime 2017-09-14T12:29:47 --enforcementcount 1 &gt;&gt;C:\Users\stu\Documents\GitHub\eaglep3-reporting\EC\2017-09-14-refined-times.txt</v>
      </c>
      <c r="AI71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{"issue":{"subject":"","project_id":79,"tracker_id":40,"status_id":1,"priority_id":2,"assigned_to_id":338,"start_date":"2017-09-14","description":"","custom_fields":[{"id":1,"name":"Subdivision","value":"EC"},{"id":4,"name":"Milepost","value":"0.0158"},{"id":17,"name":"Train ID","value":"158-14"},{"id":16,"name":"Locomotive ID","value":"4057"},{"id":130,"name":"Impact","value":""},{"id":150,"name":"Time of Event (Mountain Time)","value":"12:29:47"},{"id":151,"name":"Denver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4057 --day 2017-09-14</v>
      </c>
      <c r="AN71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18:29:47"},{"id":29,"name":"Sharepoint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693</v>
      </c>
      <c r="B72" s="7">
        <v>4032</v>
      </c>
      <c r="C72" s="21" t="s">
        <v>197</v>
      </c>
      <c r="D72" s="21" t="s">
        <v>364</v>
      </c>
      <c r="E72" s="13">
        <v>42992.453530092593</v>
      </c>
      <c r="F72" s="13">
        <v>42992.48877314815</v>
      </c>
      <c r="G72" s="7">
        <v>83</v>
      </c>
      <c r="H72" s="21" t="s">
        <v>857</v>
      </c>
      <c r="I72" s="13">
        <v>42992.501527777778</v>
      </c>
      <c r="J72" s="7">
        <v>1</v>
      </c>
      <c r="K72" s="89" t="str">
        <f t="shared" si="0"/>
        <v>4031/4032</v>
      </c>
      <c r="L72" s="189" t="str">
        <f>VLOOKUP(A72,'Trips&amp;Operators'!$C$1:$G$99911,5,FALSE)</f>
        <v>YANG JAN</v>
      </c>
      <c r="M72" s="6">
        <f t="shared" si="1"/>
        <v>1.2754629628034309E-2</v>
      </c>
      <c r="N72" s="7"/>
      <c r="O72" s="7"/>
      <c r="P72" s="7">
        <f>24*60*SUM($M72:$M72)</f>
        <v>18.366666664369404</v>
      </c>
      <c r="Q72" s="22"/>
      <c r="R72" s="167" t="s">
        <v>1017</v>
      </c>
      <c r="S72" s="217">
        <f>1/IF(AG72="EC",12,1)*SUM(U72:U73)</f>
        <v>0.91666666666666663</v>
      </c>
      <c r="T72" s="175" t="str">
        <f t="shared" si="3"/>
        <v>NorthBound</v>
      </c>
      <c r="U72" s="20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11</v>
      </c>
      <c r="V72" s="226" t="str">
        <f t="shared" si="4"/>
        <v>https://d0f6bd738d7f1b3e5a7ca70fe4ff75f0.us-east-1.aws.found.io/app/kibana#/discover/Steve-Slow-Train-Analysis-(2080s-and-2083s)?_g=(refreshInterval:(display:Off,pause:!f,section:0,value:0),time:(from:'2017-09-14T09:53:05-0600',mode:absolute,to:'2017-09-14T13:02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210" t="str">
        <f>IF(AA72&lt;VLOOKUP(AG72,Variables!$AC$3:$AD$8,2,FALSE),"Y","N")</f>
        <v>Y</v>
      </c>
      <c r="X72" s="210">
        <f t="shared" si="22"/>
        <v>1</v>
      </c>
      <c r="Y72" s="210">
        <f t="shared" si="23"/>
        <v>4.6399999999999997E-2</v>
      </c>
      <c r="Z72" s="210">
        <f t="shared" si="24"/>
        <v>10.7148</v>
      </c>
      <c r="AA72" s="210">
        <f t="shared" si="8"/>
        <v>10.6684</v>
      </c>
      <c r="AB72" s="54" t="e">
        <f>VLOOKUP(A72,Enforcements!$C$7:$K$11,8,0)</f>
        <v>#N/A</v>
      </c>
      <c r="AC72" s="51" t="e">
        <f>VLOOKUP(A72,Enforcements!$C$7:$E$11,3,0)</f>
        <v>#N/A</v>
      </c>
      <c r="AD72" s="183">
        <f t="shared" si="9"/>
        <v>159</v>
      </c>
      <c r="AE72" s="77" t="str">
        <f t="shared" si="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72" s="74" t="str">
        <f t="shared" si="11"/>
        <v>"C:\Program Files (x86)\AstroGrep\AstroGrep.exe" /e /r /s /spath="%USERPROFILE%\AppData\Local\Temp\OnboardLogs" /stypes="app*4032*20170914*" /stext=" 18:.+((SYSTEM_STATE.+slice.+state.+changed )|(ment ac)|(multiple cpu faults)|(system.+state.+changed )|(\[timeout)|(PRM\|1\|D)|(kpr)|(kdp)|(train st.+moving)|(\|lc)|(penalty))"</v>
      </c>
      <c r="AG72" s="186" t="str">
        <f t="shared" si="12"/>
        <v>EC</v>
      </c>
      <c r="AH72" s="78" t="str">
        <f t="shared" si="18"/>
        <v>"%USERPROFILE%\Documents\GitHub\eaglep3\Utilities\RefineRTDCRunTimes.py" --tripid 159-14 --locoid 4032 --swversion DE.1.0.9.0 --startMP 204:464 --initTime 2017-09-14T10:53:05 --startdatetime 2017-09-14T11:43:50 --delay 83 --endMP 204:107148 --enddatetime 2017-09-14T12:02:12 --enforcementcount 1 &gt;&gt;C:\Users\stu\Documents\GitHub\eaglep3-reporting\EC\2017-09-14-refined-times.txt</v>
      </c>
      <c r="AI72" s="96" t="str">
        <f t="shared" si="19"/>
        <v>echo {"issue":{"subject":"XING repairs at Chambers (semi accident with crossing arm) - see 53854","project_id":79,"tracker_id":40,"status_id":1,"priority_id":2,"assigned_to_id":338,"start_date":"2017-09-14","description":"","custom_fields":[{"id":1,"name":"Subdivision","value":"EC"},{"id":4,"name":"Milepost","value":"10.7148"},{"id":17,"name":"Train ID","value":"159-14"},{"id":16,"name":"Locomotive ID","value":"4032"},{"id":130,"name":"Impact","value":""},{"id":150,"name":"Time of Event (Mountain Time)","value":"12:02:12"},{"id":151,"name":"Denver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4032 --day 2017-09-14</v>
      </c>
      <c r="AN72" s="151" t="str">
        <f t="shared" si="21"/>
        <v>echo {"issue":{"subject":"XING repairs at Chambers (semi accident with crossing arm) - see 53854","project_id":30,"tracker_id":4,"status_id":1,"priority_id":1,"assigned_to_id":10,"start_date":"2017-09-14","description":"","custom_fields":[{"id":30,"name":"Category","value":"Issue"},{"id":3,"name":"Functional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693</v>
      </c>
      <c r="B73" s="7">
        <v>4032</v>
      </c>
      <c r="C73" s="21" t="s">
        <v>197</v>
      </c>
      <c r="D73" s="21" t="s">
        <v>858</v>
      </c>
      <c r="E73" s="13">
        <v>42992.487615740742</v>
      </c>
      <c r="F73" s="13">
        <v>42992.48877314815</v>
      </c>
      <c r="G73" s="7">
        <v>60</v>
      </c>
      <c r="H73" s="21" t="s">
        <v>859</v>
      </c>
      <c r="I73" s="13">
        <v>42992.501527777778</v>
      </c>
      <c r="J73" s="7">
        <v>1</v>
      </c>
      <c r="K73" s="89" t="str">
        <f t="shared" si="0"/>
        <v>4031/4032</v>
      </c>
      <c r="L73" s="189" t="str">
        <f>VLOOKUP(A73,'Trips&amp;Operators'!$C$1:$G$99911,5,FALSE)</f>
        <v>YANG JAN</v>
      </c>
      <c r="M73" s="6">
        <f t="shared" si="1"/>
        <v>1.2754629628034309E-2</v>
      </c>
      <c r="N73" s="7"/>
      <c r="O73" s="7"/>
      <c r="P73" s="7"/>
      <c r="Q73" s="22"/>
      <c r="R73" s="167"/>
      <c r="S73" s="217"/>
      <c r="T73" s="175" t="str">
        <f t="shared" si="3"/>
        <v>NorthBound</v>
      </c>
      <c r="U73" s="20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226" t="str">
        <f t="shared" si="4"/>
        <v>https://d0f6bd738d7f1b3e5a7ca70fe4ff75f0.us-east-1.aws.found.io/app/kibana#/discover/Steve-Slow-Train-Analysis-(2080s-and-2083s)?_g=(refreshInterval:(display:Off,pause:!f,section:0,value:0),time:(from:'2017-09-14T10:42:10-0600',mode:absolute,to:'2017-09-14T13:02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210" t="str">
        <f>IF(AA73&lt;VLOOKUP(AG73,Variables!$AC$3:$AD$8,2,FALSE),"Y","N")</f>
        <v>Y</v>
      </c>
      <c r="X73" s="210">
        <f t="shared" si="22"/>
        <v>0</v>
      </c>
      <c r="Y73" s="210">
        <f t="shared" si="23"/>
        <v>12.826000000000001</v>
      </c>
      <c r="Z73" s="210">
        <f t="shared" si="24"/>
        <v>23.327400000000001</v>
      </c>
      <c r="AA73" s="210">
        <f t="shared" si="8"/>
        <v>10.5014</v>
      </c>
      <c r="AB73" s="54" t="e">
        <f>VLOOKUP(A73,Enforcements!$C$7:$K$11,8,0)</f>
        <v>#N/A</v>
      </c>
      <c r="AC73" s="51" t="e">
        <f>VLOOKUP(A73,Enforcements!$C$7:$E$11,3,0)</f>
        <v>#N/A</v>
      </c>
      <c r="AD73" s="183">
        <f t="shared" si="9"/>
        <v>159</v>
      </c>
      <c r="AE73" s="77" t="str">
        <f t="shared" si="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73" s="74" t="str">
        <f t="shared" si="11"/>
        <v>"C:\Program Files (x86)\AstroGrep\AstroGrep.exe" /e /r /s /spath="%USERPROFILE%\AppData\Local\Temp\OnboardLogs" /stypes="app*4032*20170914*" /stext=" 18:.+((SYSTEM_STATE.+slice.+state.+changed )|(ment ac)|(multiple cpu faults)|(system.+state.+changed )|(\[timeout)|(PRM\|1\|D)|(kpr)|(kdp)|(train st.+moving)|(\|lc)|(penalty))"</v>
      </c>
      <c r="AG73" s="186" t="str">
        <f t="shared" si="12"/>
        <v>EC</v>
      </c>
      <c r="AH73" s="78" t="str">
        <f t="shared" si="18"/>
        <v>"%USERPROFILE%\Documents\GitHub\eaglep3\Utilities\RefineRTDCRunTimes.py" --tripid 159-14 --locoid 4032 --swversion DE.1.0.9.0 --startMP 204:128260 --initTime 2017-09-14T11:42:10 --startdatetime 2017-09-14T11:43:50 --delay 60 --endMP 204:233274 --enddatetime 2017-09-14T12:02:12 --enforcementcount 1 &gt;&gt;C:\Users\stu\Documents\GitHub\eaglep3-reporting\EC\2017-09-14-refined-times.txt</v>
      </c>
      <c r="AI73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{"issue":{"subject":"","project_id":79,"tracker_id":40,"status_id":1,"priority_id":2,"assigned_to_id":338,"start_date":"2017-09-14","description":"","custom_fields":[{"id":1,"name":"Subdivision","value":"EC"},{"id":4,"name":"Milepost","value":"23.3274"},{"id":17,"name":"Train ID","value":"159-14"},{"id":16,"name":"Locomotive ID","value":"4032"},{"id":130,"name":"Impact","value":""},{"id":150,"name":"Time of Event (Mountain Time)","value":"12:02:12"},{"id":151,"name":"Denver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2017-09-14</v>
      </c>
      <c r="AN73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18:02:12"},{"id":29,"name":"Sharepoint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702</v>
      </c>
      <c r="B74" s="7">
        <v>4031</v>
      </c>
      <c r="C74" s="21" t="s">
        <v>197</v>
      </c>
      <c r="D74" s="21" t="s">
        <v>844</v>
      </c>
      <c r="E74" s="13">
        <v>42992.503437500003</v>
      </c>
      <c r="F74" s="13">
        <v>42992.504895833335</v>
      </c>
      <c r="G74" s="7">
        <v>64</v>
      </c>
      <c r="H74" s="21" t="s">
        <v>860</v>
      </c>
      <c r="I74" s="13">
        <v>42992.534629629627</v>
      </c>
      <c r="J74" s="7">
        <v>1</v>
      </c>
      <c r="K74" s="89" t="str">
        <f t="shared" si="0"/>
        <v>4031/4032</v>
      </c>
      <c r="L74" s="189" t="str">
        <f>VLOOKUP(A74,'Trips&amp;Operators'!$C$1:$G$99911,5,FALSE)</f>
        <v>YANG JAN</v>
      </c>
      <c r="M74" s="6">
        <f t="shared" si="1"/>
        <v>2.9733796291111503E-2</v>
      </c>
      <c r="N74" s="7">
        <f t="shared" ref="N74:N85" si="27">24*60*SUM($M74:$M74)</f>
        <v>42.816666659200564</v>
      </c>
      <c r="O74" s="7"/>
      <c r="P74" s="7"/>
      <c r="Q74" s="22"/>
      <c r="R74" s="167"/>
      <c r="S74" s="217">
        <f t="shared" ref="S74:S85" si="28">1/IF(AG74="EC",12,1)*SUM(U74:U74)</f>
        <v>1</v>
      </c>
      <c r="T74" s="175" t="str">
        <f t="shared" si="3"/>
        <v>Southbound</v>
      </c>
      <c r="U74" s="20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26" t="str">
        <f t="shared" si="4"/>
        <v>https://d0f6bd738d7f1b3e5a7ca70fe4ff75f0.us-east-1.aws.found.io/app/kibana#/discover/Steve-Slow-Train-Analysis-(2080s-and-2083s)?_g=(refreshInterval:(display:Off,pause:!f,section:0,value:0),time:(from:'2017-09-14T11:04:57-0600',mode:absolute,to:'2017-09-14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210" t="str">
        <f>IF(AA74&lt;VLOOKUP(AG74,Variables!$AC$3:$AD$8,2,FALSE),"Y","N")</f>
        <v>N</v>
      </c>
      <c r="X74" s="210">
        <f t="shared" si="22"/>
        <v>1</v>
      </c>
      <c r="Y74" s="210">
        <f t="shared" si="23"/>
        <v>23.296299999999999</v>
      </c>
      <c r="Z74" s="210">
        <f t="shared" si="24"/>
        <v>0.1152</v>
      </c>
      <c r="AA74" s="210">
        <f t="shared" si="8"/>
        <v>23.181099999999997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183">
        <f t="shared" si="9"/>
        <v>160</v>
      </c>
      <c r="AE74" s="77" t="str">
        <f t="shared" si="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74" s="74" t="str">
        <f t="shared" si="11"/>
        <v>"C:\Program Files (x86)\AstroGrep\AstroGrep.exe" /e /r /s /spath="%USERPROFILE%\AppData\Local\Temp\OnboardLogs" /stypes="app*4031*20170914*" /stext=" 18:.+((SYSTEM_STATE.+slice.+state.+changed )|(ment ac)|(multiple cpu faults)|(system.+state.+changed )|(\[timeout)|(PRM\|1\|D)|(kpr)|(kdp)|(train st.+moving)|(\|lc)|(penalty))"</v>
      </c>
      <c r="AG74" s="186" t="str">
        <f t="shared" si="12"/>
        <v>EC</v>
      </c>
      <c r="AH74" s="78" t="str">
        <f t="shared" si="18"/>
        <v>"%USERPROFILE%\Documents\GitHub\eaglep3\Utilities\RefineRTDCRunTimes.py" --tripid 160-14 --locoid 4031 --swversion DE.1.0.9.0 --startMP 204:232963 --initTime 2017-09-14T12:04:57 --startdatetime 2017-09-14T12:07:03 --delay 64 --endMP 204:1152 --enddatetime 2017-09-14T12:49:52 --enforcementcount 1 &gt;&gt;C:\Users\stu\Documents\GitHub\eaglep3-reporting\EC\2017-09-14-refined-times.txt</v>
      </c>
      <c r="AI74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{"issue":{"subject":"","project_id":79,"tracker_id":40,"status_id":1,"priority_id":2,"assigned_to_id":338,"start_date":"2017-09-14","description":"","custom_fields":[{"id":1,"name":"Subdivision","value":"EC"},{"id":4,"name":"Milepost","value":"0.1152"},{"id":17,"name":"Train ID","value":"160-14"},{"id":16,"name":"Locomotive ID","value":"4031"},{"id":130,"name":"Impact","value":""},{"id":150,"name":"Time of Event (Mountain Time)","value":"12:49:52"},{"id":151,"name":"Denver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2017-09-14</v>
      </c>
      <c r="AN74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696</v>
      </c>
      <c r="B75" s="7">
        <v>4030</v>
      </c>
      <c r="C75" s="21" t="s">
        <v>197</v>
      </c>
      <c r="D75" s="21" t="s">
        <v>423</v>
      </c>
      <c r="E75" s="13">
        <v>42992.46533564815</v>
      </c>
      <c r="F75" s="13">
        <v>42992.510960648149</v>
      </c>
      <c r="G75" s="7">
        <v>113</v>
      </c>
      <c r="H75" s="21" t="s">
        <v>431</v>
      </c>
      <c r="I75" s="13">
        <v>42992.538680555554</v>
      </c>
      <c r="J75" s="7">
        <v>1</v>
      </c>
      <c r="K75" s="89" t="str">
        <f t="shared" si="0"/>
        <v>4029/4030</v>
      </c>
      <c r="L75" s="189" t="str">
        <f>VLOOKUP(A75,'Trips&amp;Operators'!$C$1:$G$99911,5,FALSE)</f>
        <v>BRUDER RICHARD</v>
      </c>
      <c r="M75" s="6">
        <f t="shared" si="1"/>
        <v>2.7719907404389232E-2</v>
      </c>
      <c r="N75" s="7">
        <f t="shared" si="27"/>
        <v>39.916666662320495</v>
      </c>
      <c r="O75" s="7"/>
      <c r="P75" s="7"/>
      <c r="Q75" s="22"/>
      <c r="R75" s="167"/>
      <c r="S75" s="217">
        <f t="shared" si="28"/>
        <v>1</v>
      </c>
      <c r="T75" s="175" t="str">
        <f t="shared" si="3"/>
        <v>NorthBound</v>
      </c>
      <c r="U75" s="20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26" t="str">
        <f t="shared" si="4"/>
        <v>https://d0f6bd738d7f1b3e5a7ca70fe4ff75f0.us-east-1.aws.found.io/app/kibana#/discover/Steve-Slow-Train-Analysis-(2080s-and-2083s)?_g=(refreshInterval:(display:Off,pause:!f,section:0,value:0),time:(from:'2017-09-14T10:10:05-0600',mode:absolute,to:'2017-09-14T13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210" t="str">
        <f>IF(AA75&lt;VLOOKUP(AG75,Variables!$AC$3:$AD$8,2,FALSE),"Y","N")</f>
        <v>N</v>
      </c>
      <c r="X75" s="210">
        <f t="shared" si="22"/>
        <v>1</v>
      </c>
      <c r="Y75" s="210">
        <f t="shared" si="23"/>
        <v>4.5100000000000001E-2</v>
      </c>
      <c r="Z75" s="210">
        <f t="shared" si="24"/>
        <v>23.331199999999999</v>
      </c>
      <c r="AA75" s="210">
        <f t="shared" si="8"/>
        <v>23.286099999999998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83">
        <f t="shared" si="9"/>
        <v>161</v>
      </c>
      <c r="AE75" s="77" t="str">
        <f t="shared" si="10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75" s="74" t="str">
        <f t="shared" si="11"/>
        <v>"C:\Program Files (x86)\AstroGrep\AstroGrep.exe" /e /r /s /spath="%USERPROFILE%\AppData\Local\Temp\OnboardLogs" /stypes="app*4030*20170914*" /stext=" 18:.+((SYSTEM_STATE.+slice.+state.+changed )|(ment ac)|(multiple cpu faults)|(system.+state.+changed )|(\[timeout)|(PRM\|1\|D)|(kpr)|(kdp)|(train st.+moving)|(\|lc)|(penalty))"</v>
      </c>
      <c r="AG75" s="186" t="str">
        <f t="shared" si="12"/>
        <v>EC</v>
      </c>
      <c r="AH75" s="78" t="str">
        <f t="shared" si="18"/>
        <v>"%USERPROFILE%\Documents\GitHub\eaglep3\Utilities\RefineRTDCRunTimes.py" --tripid 161-14 --locoid 4030 --swversion DE.1.0.9.0 --startMP 204:451 --initTime 2017-09-14T11:10:05 --startdatetime 2017-09-14T12:15:47 --delay 113 --endMP 204:233312 --enddatetime 2017-09-14T12:55:42 --enforcementcount 1 &gt;&gt;C:\Users\stu\Documents\GitHub\eaglep3-reporting\EC\2017-09-14-refined-times.txt</v>
      </c>
      <c r="AI75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{"issue":{"subject":"","project_id":79,"tracker_id":40,"status_id":1,"priority_id":2,"assigned_to_id":338,"start_date":"2017-09-14","description":"","custom_fields":[{"id":1,"name":"Subdivision","value":"EC"},{"id":4,"name":"Milepost","value":"23.3312"},{"id":17,"name":"Train ID","value":"161-14"},{"id":16,"name":"Locomotive ID","value":"4030"},{"id":130,"name":"Impact","value":""},{"id":150,"name":"Time of Event (Mountain Time)","value":"12:55:42"},{"id":151,"name":"Denver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4030 --day 2017-09-14</v>
      </c>
      <c r="AN75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704</v>
      </c>
      <c r="B76" s="7">
        <v>4029</v>
      </c>
      <c r="C76" s="21" t="s">
        <v>197</v>
      </c>
      <c r="D76" s="21" t="s">
        <v>450</v>
      </c>
      <c r="E76" s="13">
        <v>42992.509027777778</v>
      </c>
      <c r="F76" s="13">
        <v>42992.510960648149</v>
      </c>
      <c r="G76" s="7">
        <v>66</v>
      </c>
      <c r="H76" s="21" t="s">
        <v>365</v>
      </c>
      <c r="I76" s="13">
        <v>42992.538680555554</v>
      </c>
      <c r="J76" s="7">
        <v>1</v>
      </c>
      <c r="K76" s="89" t="str">
        <f t="shared" si="0"/>
        <v>4029/4030</v>
      </c>
      <c r="L76" s="189" t="str">
        <f>VLOOKUP(A76,'Trips&amp;Operators'!$C$1:$G$99911,5,FALSE)</f>
        <v>BRUDER RICHARD</v>
      </c>
      <c r="M76" s="6">
        <f t="shared" si="1"/>
        <v>2.7719907404389232E-2</v>
      </c>
      <c r="N76" s="7">
        <f t="shared" si="27"/>
        <v>39.916666662320495</v>
      </c>
      <c r="O76" s="7"/>
      <c r="P76" s="7"/>
      <c r="Q76" s="22"/>
      <c r="R76" s="167"/>
      <c r="S76" s="217">
        <f t="shared" si="28"/>
        <v>1</v>
      </c>
      <c r="T76" s="175" t="str">
        <f t="shared" si="3"/>
        <v>Southbound</v>
      </c>
      <c r="U76" s="20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26" t="str">
        <f t="shared" si="4"/>
        <v>https://d0f6bd738d7f1b3e5a7ca70fe4ff75f0.us-east-1.aws.found.io/app/kibana#/discover/Steve-Slow-Train-Analysis-(2080s-and-2083s)?_g=(refreshInterval:(display:Off,pause:!f,section:0,value:0),time:(from:'2017-09-14T11:13:00-0600',mode:absolute,to:'2017-09-14T13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210" t="str">
        <f>IF(AA76&lt;VLOOKUP(AG76,Variables!$AC$3:$AD$8,2,FALSE),"Y","N")</f>
        <v>N</v>
      </c>
      <c r="X76" s="210">
        <f t="shared" si="22"/>
        <v>1</v>
      </c>
      <c r="Y76" s="210">
        <f t="shared" si="23"/>
        <v>23.298100000000002</v>
      </c>
      <c r="Z76" s="210">
        <f t="shared" si="24"/>
        <v>1.4500000000000001E-2</v>
      </c>
      <c r="AA76" s="210">
        <f t="shared" si="8"/>
        <v>23.2836</v>
      </c>
      <c r="AB76" s="54" t="e">
        <f>VLOOKUP(A76,Enforcements!$C$7:$K$11,8,0)</f>
        <v>#N/A</v>
      </c>
      <c r="AC76" s="51" t="e">
        <f>VLOOKUP(A76,Enforcements!$C$7:$E$11,3,0)</f>
        <v>#N/A</v>
      </c>
      <c r="AD76" s="183">
        <f t="shared" si="9"/>
        <v>162</v>
      </c>
      <c r="AE76" s="77" t="str">
        <f t="shared" si="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76" s="74" t="str">
        <f t="shared" si="11"/>
        <v>"C:\Program Files (x86)\AstroGrep\AstroGrep.exe" /e /r /s /spath="%USERPROFILE%\AppData\Local\Temp\OnboardLogs" /stypes="app*4029*20170914*" /stext=" 18:.+((SYSTEM_STATE.+slice.+state.+changed )|(ment ac)|(multiple cpu faults)|(system.+state.+changed )|(\[timeout)|(PRM\|1\|D)|(kpr)|(kdp)|(train st.+moving)|(\|lc)|(penalty))"</v>
      </c>
      <c r="AG76" s="186" t="str">
        <f t="shared" si="12"/>
        <v>EC</v>
      </c>
      <c r="AH76" s="78" t="str">
        <f t="shared" si="18"/>
        <v>"%USERPROFILE%\Documents\GitHub\eaglep3\Utilities\RefineRTDCRunTimes.py" --tripid 162-14 --locoid 4029 --swversion DE.1.0.9.0 --startMP 204:232981 --initTime 2017-09-14T12:13:00 --startdatetime 2017-09-14T12:15:47 --delay 66 --endMP 204:145 --enddatetime 2017-09-14T12:55:42 --enforcementcount 1 &gt;&gt;C:\Users\stu\Documents\GitHub\eaglep3-reporting\EC\2017-09-14-refined-times.txt</v>
      </c>
      <c r="AI76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{"issue":{"subject":"","project_id":79,"tracker_id":40,"status_id":1,"priority_id":2,"assigned_to_id":338,"start_date":"2017-09-14","description":"","custom_fields":[{"id":1,"name":"Subdivision","value":"EC"},{"id":4,"name":"Milepost","value":"0.0145"},{"id":17,"name":"Train ID","value":"162-14"},{"id":16,"name":"Locomotive ID","value":"4029"},{"id":130,"name":"Impact","value":""},{"id":150,"name":"Time of Event (Mountain Time)","value":"12:55:42"},{"id":151,"name":"Denver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4029 --day 2017-09-14</v>
      </c>
      <c r="AN76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590</v>
      </c>
      <c r="B77" s="7">
        <v>4060</v>
      </c>
      <c r="C77" s="21" t="s">
        <v>197</v>
      </c>
      <c r="D77" s="21" t="s">
        <v>845</v>
      </c>
      <c r="E77" s="13">
        <v>42992.477858796294</v>
      </c>
      <c r="F77" s="13">
        <v>42992.481296296297</v>
      </c>
      <c r="G77" s="7">
        <v>125</v>
      </c>
      <c r="H77" s="21" t="s">
        <v>436</v>
      </c>
      <c r="I77" s="13">
        <v>42992.511574074073</v>
      </c>
      <c r="J77" s="7">
        <v>1</v>
      </c>
      <c r="K77" s="89" t="str">
        <f t="shared" ref="K77:K140" si="29">IF(ISEVEN(B77),(B77-1)&amp;"/"&amp;B77,B77&amp;"/"&amp;(B77+1))</f>
        <v>4059/4060</v>
      </c>
      <c r="L77" s="189" t="str">
        <f>VLOOKUP(A77,'Trips&amp;Operators'!$C$1:$G$99911,5,FALSE)</f>
        <v>MOSES BRADLEY</v>
      </c>
      <c r="M77" s="6">
        <f t="shared" ref="M77:M140" si="30">I77-F77</f>
        <v>3.0277777776063886E-2</v>
      </c>
      <c r="N77" s="7">
        <f t="shared" si="27"/>
        <v>43.599999997531995</v>
      </c>
      <c r="O77" s="7"/>
      <c r="P77" s="7"/>
      <c r="Q77" s="22"/>
      <c r="R77" s="167"/>
      <c r="S77" s="217">
        <f t="shared" si="28"/>
        <v>1</v>
      </c>
      <c r="T77" s="175" t="str">
        <f t="shared" ref="T77:T140" si="31">IF(ISEVEN(LEFT(AD77,4)),"Southbound","NorthBound")</f>
        <v>NorthBound</v>
      </c>
      <c r="U77" s="20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2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-14T10:28:07-0600',mode:absolute,to:'2017-09-14T13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7" s="210" t="str">
        <f>IF(AA77&lt;VLOOKUP(AG77,Variables!$AC$3:$AD$8,2,FALSE),"Y","N")</f>
        <v>N</v>
      </c>
      <c r="X77" s="210">
        <f t="shared" ref="X77:X108" si="33">VALUE(LEFT(AD77,4))-VALUE(LEFT(AD76,4))</f>
        <v>1</v>
      </c>
      <c r="Y77" s="210">
        <f t="shared" ref="Y77:Y108" si="34">RIGHT(D77,LEN(D77)-4)/10000</f>
        <v>4.7500000000000001E-2</v>
      </c>
      <c r="Z77" s="210">
        <f t="shared" ref="Z77:Z108" si="35">RIGHT(H77,LEN(H77)-4)/10000</f>
        <v>23.331099999999999</v>
      </c>
      <c r="AA77" s="210">
        <f t="shared" ref="AA77:AA140" si="36">ABS(Z77-Y77)</f>
        <v>23.2836</v>
      </c>
      <c r="AB77" s="54" t="e">
        <f>VLOOKUP(A77,Enforcements!$C$7:$K$11,8,0)</f>
        <v>#N/A</v>
      </c>
      <c r="AC77" s="51" t="e">
        <f>VLOOKUP(A77,Enforcements!$C$7:$E$11,3,0)</f>
        <v>#N/A</v>
      </c>
      <c r="AD77" s="183">
        <f t="shared" ref="AD77:AD140" si="37">VALUE(LEFT(A77,LEN(A77)-3))</f>
        <v>163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/stypes="app*4060*20170914*" /stext=" 18:.+((SYSTEM_STATE.+slice.+state.+changed )|(ment ac)|(multiple cpu faults)|(system.+state.+changed )|(\[timeout)|(PRM\|1\|D)|(kpr)|(kdp)|(train st.+moving)|(\|lc)|(penalty))"</v>
      </c>
      <c r="AG77" s="186" t="str">
        <f t="shared" ref="AG77:AG140" si="40">DetSubdiv(A77)</f>
        <v>EC</v>
      </c>
      <c r="AH77" s="78" t="str">
        <f t="shared" si="18"/>
        <v>"%USERPROFILE%\Documents\GitHub\eaglep3\Utilities\RefineRTDCRunTimes.py" --tripid 163-14 --locoid 4060 --swversion DE.1.0.9.0 --startMP 204:475 --initTime 2017-09-14T11:28:07 --startdatetime 2017-09-14T11:33:04 --delay 125 --endMP 204:233311 --enddatetime 2017-09-14T12:16:40 --enforcementcount 1 &gt;&gt;C:\Users\stu\Documents\GitHub\eaglep3-reporting\EC\2017-09-14-refined-times.txt</v>
      </c>
      <c r="AI77" s="96" t="str">
        <f t="shared" si="19"/>
        <v>echo {"issue":{"subject":"","project_id":79,"tracker_id":40,"status_id":1,"priority_id":2,"assigned_to_id":338,"start_date":"2017-09-14","description":"","custom_fields":[{"id":1,"name":"Subdivision","value":"EC"},{"id":4,"name":"Milepost","value":"23.3311"},{"id":17,"name":"Train ID","value":"163-14"},{"id":16,"name":"Locomotive ID","value":"4060"},{"id":130,"name":"Impact","value":""},{"id":150,"name":"Time of Event (Mountain Time)","value":"12:16:40"},{"id":151,"name":"Denver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4060 --day 2017-09-14</v>
      </c>
      <c r="AN77" s="151" t="str">
        <f t="shared" si="21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706</v>
      </c>
      <c r="B78" s="7">
        <v>4059</v>
      </c>
      <c r="C78" s="21" t="s">
        <v>197</v>
      </c>
      <c r="D78" s="21" t="s">
        <v>375</v>
      </c>
      <c r="E78" s="13">
        <v>42992.51630787037</v>
      </c>
      <c r="F78" s="13">
        <v>42992.520046296297</v>
      </c>
      <c r="G78" s="7">
        <v>70</v>
      </c>
      <c r="H78" s="21" t="s">
        <v>420</v>
      </c>
      <c r="I78" s="13">
        <v>42992.54996527778</v>
      </c>
      <c r="J78" s="7">
        <v>1</v>
      </c>
      <c r="K78" s="89" t="str">
        <f t="shared" si="29"/>
        <v>4059/4060</v>
      </c>
      <c r="L78" s="189" t="str">
        <f>VLOOKUP(A78,'Trips&amp;Operators'!$C$1:$G$99911,5,FALSE)</f>
        <v>MOSES BRADLEY</v>
      </c>
      <c r="M78" s="6">
        <f t="shared" si="30"/>
        <v>2.9918981483206153E-2</v>
      </c>
      <c r="N78" s="7">
        <f t="shared" si="27"/>
        <v>43.08333333581686</v>
      </c>
      <c r="O78" s="7"/>
      <c r="P78" s="7"/>
      <c r="Q78" s="22"/>
      <c r="R78" s="167"/>
      <c r="S78" s="217">
        <f t="shared" si="28"/>
        <v>1</v>
      </c>
      <c r="T78" s="175" t="str">
        <f t="shared" si="31"/>
        <v>Southbound</v>
      </c>
      <c r="U78" s="20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26" t="str">
        <f t="shared" si="32"/>
        <v>https://d0f6bd738d7f1b3e5a7ca70fe4ff75f0.us-east-1.aws.found.io/app/kibana#/discover/Steve-Slow-Train-Analysis-(2080s-and-2083s)?_g=(refreshInterval:(display:Off,pause:!f,section:0,value:0),time:(from:'2017-09-14T11:23:29-0600',mode:absolute,to:'2017-09-14T14:11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8" s="210" t="str">
        <f>IF(AA78&lt;VLOOKUP(AG78,Variables!$AC$3:$AD$8,2,FALSE),"Y","N")</f>
        <v>N</v>
      </c>
      <c r="X78" s="210">
        <f t="shared" si="33"/>
        <v>1</v>
      </c>
      <c r="Y78" s="210">
        <f t="shared" si="34"/>
        <v>23.297699999999999</v>
      </c>
      <c r="Z78" s="210">
        <f t="shared" si="35"/>
        <v>1.6299999999999999E-2</v>
      </c>
      <c r="AA78" s="210">
        <f t="shared" si="36"/>
        <v>23.281399999999998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83">
        <f t="shared" si="37"/>
        <v>164</v>
      </c>
      <c r="AE78" s="77" t="str">
        <f t="shared" si="38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78" s="74" t="str">
        <f t="shared" si="39"/>
        <v>"C:\Program Files (x86)\AstroGrep\AstroGrep.exe" /e /r /s /spath="%USERPROFILE%\AppData\Local\Temp\OnboardLogs" /stypes="app*4059*20170914*" /stext=" 19:.+((SYSTEM_STATE.+slice.+state.+changed )|(ment ac)|(multiple cpu faults)|(system.+state.+changed )|(\[timeout)|(PRM\|1\|D)|(kpr)|(kdp)|(train st.+moving)|(\|lc)|(penalty))"</v>
      </c>
      <c r="AG78" s="186" t="str">
        <f t="shared" si="40"/>
        <v>EC</v>
      </c>
      <c r="AH78" s="78" t="str">
        <f t="shared" ref="AH78:AH142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164-14 --locoid 4059 --swversion DE.1.0.9.0 --startMP 204:232977 --initTime 2017-09-14T12:23:29 --startdatetime 2017-09-14T12:28:52 --delay 70 --endMP 204:163 --enddatetime 2017-09-14T13:11:57 --enforcementcount 1 &gt;&gt;C:\Users\stu\Documents\GitHub\eaglep3-reporting\EC\2017-09-14-refined-times.txt</v>
      </c>
      <c r="AI78" s="96" t="str">
        <f t="shared" ref="AI78:AI142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{"issue":{"subject":"","project_id":79,"tracker_id":40,"status_id":1,"priority_id":2,"assigned_to_id":338,"start_date":"2017-09-14","description":"","custom_fields":[{"id":1,"name":"Subdivision","value":"EC"},{"id":4,"name":"Milepost","value":"0.0163"},{"id":17,"name":"Train ID","value":"164-14"},{"id":16,"name":"Locomotive ID","value":"4059"},{"id":130,"name":"Impact","value":""},{"id":150,"name":"Time of Event (Mountain Time)","value":"13:11:57"},{"id":151,"name":"Denver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43">"start /low /b "&amp;dls3logs&amp;" --loco "&amp;B78&amp;" --day "&amp;TEXT(F78,"YYYY-MM-DD")</f>
        <v>start /low /b %USERPROFILE%\Documents\GitHub\eaglep3\Utilities\DownloadLogsFromS3.py --loco 4059 --day 2017-09-14</v>
      </c>
      <c r="AN78" s="151" t="str">
        <f t="shared" ref="AN78:AN142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19:11:57"},{"id":29,"name":"Sharepoint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700</v>
      </c>
      <c r="B79" s="7">
        <v>4062</v>
      </c>
      <c r="C79" s="21" t="s">
        <v>197</v>
      </c>
      <c r="D79" s="21" t="s">
        <v>861</v>
      </c>
      <c r="E79" s="13">
        <v>42992.490393518521</v>
      </c>
      <c r="F79" s="13">
        <v>42992.492905092593</v>
      </c>
      <c r="G79" s="7">
        <v>95</v>
      </c>
      <c r="H79" s="21" t="s">
        <v>486</v>
      </c>
      <c r="I79" s="13">
        <v>42992.520057870373</v>
      </c>
      <c r="J79" s="7">
        <v>1</v>
      </c>
      <c r="K79" s="89" t="str">
        <f t="shared" si="29"/>
        <v>4061/4062</v>
      </c>
      <c r="L79" s="189" t="str">
        <f>VLOOKUP(A79,'Trips&amp;Operators'!$C$1:$G$99911,5,FALSE)</f>
        <v>LEVIN SCOTT</v>
      </c>
      <c r="M79" s="6">
        <f t="shared" si="30"/>
        <v>2.715277778042946E-2</v>
      </c>
      <c r="N79" s="7">
        <f t="shared" si="27"/>
        <v>39.100000003818423</v>
      </c>
      <c r="O79" s="7"/>
      <c r="P79" s="7"/>
      <c r="Q79" s="22"/>
      <c r="R79" s="167"/>
      <c r="S79" s="217">
        <f t="shared" si="28"/>
        <v>1</v>
      </c>
      <c r="T79" s="175" t="str">
        <f t="shared" si="31"/>
        <v>NorthBound</v>
      </c>
      <c r="U79" s="20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26" t="str">
        <f t="shared" si="32"/>
        <v>https://d0f6bd738d7f1b3e5a7ca70fe4ff75f0.us-east-1.aws.found.io/app/kibana#/discover/Steve-Slow-Train-Analysis-(2080s-and-2083s)?_g=(refreshInterval:(display:Off,pause:!f,section:0,value:0),time:(from:'2017-09-14T10:46:10-0600',mode:absolute,to:'2017-09-14T13:28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9" s="210" t="str">
        <f>IF(AA79&lt;VLOOKUP(AG79,Variables!$AC$3:$AD$8,2,FALSE),"Y","N")</f>
        <v>N</v>
      </c>
      <c r="X79" s="210">
        <f t="shared" si="33"/>
        <v>1</v>
      </c>
      <c r="Y79" s="210">
        <f t="shared" si="34"/>
        <v>4.9099999999999998E-2</v>
      </c>
      <c r="Z79" s="210">
        <f t="shared" si="35"/>
        <v>23.334700000000002</v>
      </c>
      <c r="AA79" s="210">
        <f t="shared" si="36"/>
        <v>23.285600000000002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83">
        <f t="shared" si="37"/>
        <v>165</v>
      </c>
      <c r="AE79" s="77" t="str">
        <f t="shared" si="38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79" s="74" t="str">
        <f t="shared" si="39"/>
        <v>"C:\Program Files (x86)\AstroGrep\AstroGrep.exe" /e /r /s /spath="%USERPROFILE%\AppData\Local\Temp\OnboardLogs" /stypes="app*4062*20170914*" /stext=" 18:.+((SYSTEM_STATE.+slice.+state.+changed )|(ment ac)|(multiple cpu faults)|(system.+state.+changed )|(\[timeout)|(PRM\|1\|D)|(kpr)|(kdp)|(train st.+moving)|(\|lc)|(penalty))"</v>
      </c>
      <c r="AG79" s="186" t="str">
        <f t="shared" si="40"/>
        <v>EC</v>
      </c>
      <c r="AH79" s="78" t="str">
        <f t="shared" si="41"/>
        <v>"%USERPROFILE%\Documents\GitHub\eaglep3\Utilities\RefineRTDCRunTimes.py" --tripid 165-14 --locoid 4062 --swversion DE.1.0.9.0 --startMP 204:491 --initTime 2017-09-14T11:46:10 --startdatetime 2017-09-14T11:49:47 --delay 95 --endMP 204:233347 --enddatetime 2017-09-14T12:28:53 --enforcementcount 1 &gt;&gt;C:\Users\stu\Documents\GitHub\eaglep3-reporting\EC\2017-09-14-refined-times.txt</v>
      </c>
      <c r="AI7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{"issue":{"subject":"","project_id":79,"tracker_id":40,"status_id":1,"priority_id":2,"assigned_to_id":338,"start_date":"2017-09-14","description":"","custom_fields":[{"id":1,"name":"Subdivision","value":"EC"},{"id":4,"name":"Milepost","value":"23.3347"},{"id":17,"name":"Train ID","value":"165-14"},{"id":16,"name":"Locomotive ID","value":"4062"},{"id":130,"name":"Impact","value":""},{"id":150,"name":"Time of Event (Mountain Time)","value":"12:28:53"},{"id":151,"name":"Denver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4062 --day 2017-09-14</v>
      </c>
      <c r="AN7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18:28:53"},{"id":29,"name":"Sharepoint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710</v>
      </c>
      <c r="B80" s="7">
        <v>4061</v>
      </c>
      <c r="C80" s="21" t="s">
        <v>197</v>
      </c>
      <c r="D80" s="21" t="s">
        <v>862</v>
      </c>
      <c r="E80" s="13">
        <v>42992.526736111111</v>
      </c>
      <c r="F80" s="13">
        <v>42992.529745370368</v>
      </c>
      <c r="G80" s="7">
        <v>73</v>
      </c>
      <c r="H80" s="21" t="s">
        <v>381</v>
      </c>
      <c r="I80" s="13">
        <v>42992.559224537035</v>
      </c>
      <c r="J80" s="7">
        <v>1</v>
      </c>
      <c r="K80" s="89" t="str">
        <f t="shared" si="29"/>
        <v>4061/4062</v>
      </c>
      <c r="L80" s="189" t="str">
        <f>VLOOKUP(A80,'Trips&amp;Operators'!$C$1:$G$99911,5,FALSE)</f>
        <v>LEVIN SCOTT</v>
      </c>
      <c r="M80" s="6">
        <f t="shared" si="30"/>
        <v>2.9479166667442769E-2</v>
      </c>
      <c r="N80" s="7">
        <f t="shared" si="27"/>
        <v>42.450000001117587</v>
      </c>
      <c r="O80" s="7"/>
      <c r="P80" s="7"/>
      <c r="Q80" s="22"/>
      <c r="R80" s="167"/>
      <c r="S80" s="217">
        <f t="shared" si="28"/>
        <v>1</v>
      </c>
      <c r="T80" s="175" t="str">
        <f t="shared" si="31"/>
        <v>Southbound</v>
      </c>
      <c r="U80" s="20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26" t="str">
        <f t="shared" si="32"/>
        <v>https://d0f6bd738d7f1b3e5a7ca70fe4ff75f0.us-east-1.aws.found.io/app/kibana#/discover/Steve-Slow-Train-Analysis-(2080s-and-2083s)?_g=(refreshInterval:(display:Off,pause:!f,section:0,value:0),time:(from:'2017-09-14T11:38:30-0600',mode:absolute,to:'2017-09-14T14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0" s="210" t="str">
        <f>IF(AA80&lt;VLOOKUP(AG80,Variables!$AC$3:$AD$8,2,FALSE),"Y","N")</f>
        <v>N</v>
      </c>
      <c r="X80" s="210">
        <f t="shared" si="33"/>
        <v>1</v>
      </c>
      <c r="Y80" s="210">
        <f t="shared" si="34"/>
        <v>23.302499999999998</v>
      </c>
      <c r="Z80" s="210">
        <f t="shared" si="35"/>
        <v>1.6E-2</v>
      </c>
      <c r="AA80" s="210">
        <f t="shared" si="36"/>
        <v>23.2865</v>
      </c>
      <c r="AB80" s="54" t="e">
        <f>VLOOKUP(A80,Enforcements!$C$7:$K$11,8,0)</f>
        <v>#N/A</v>
      </c>
      <c r="AC80" s="51" t="e">
        <f>VLOOKUP(A80,Enforcements!$C$7:$E$11,3,0)</f>
        <v>#N/A</v>
      </c>
      <c r="AD80" s="183">
        <f t="shared" si="37"/>
        <v>166</v>
      </c>
      <c r="AE80" s="77" t="str">
        <f t="shared" si="38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80" s="74" t="str">
        <f t="shared" si="39"/>
        <v>"C:\Program Files (x86)\AstroGrep\AstroGrep.exe" /e /r /s /spath="%USERPROFILE%\AppData\Local\Temp\OnboardLogs" /stypes="app*4061*20170914*" /stext=" 19:.+((SYSTEM_STATE.+slice.+state.+changed )|(ment ac)|(multiple cpu faults)|(system.+state.+changed )|(\[timeout)|(PRM\|1\|D)|(kpr)|(kdp)|(train st.+moving)|(\|lc)|(penalty))"</v>
      </c>
      <c r="AG80" s="186" t="str">
        <f t="shared" si="40"/>
        <v>EC</v>
      </c>
      <c r="AH80" s="78" t="str">
        <f t="shared" si="41"/>
        <v>"%USERPROFILE%\Documents\GitHub\eaglep3\Utilities\RefineRTDCRunTimes.py" --tripid 166-14 --locoid 4061 --swversion DE.1.0.9.0 --startMP 204:233025 --initTime 2017-09-14T12:38:30 --startdatetime 2017-09-14T12:42:50 --delay 73 --endMP 204:160 --enddatetime 2017-09-14T13:25:17 --enforcementcount 1 &gt;&gt;C:\Users\stu\Documents\GitHub\eaglep3-reporting\EC\2017-09-14-refined-times.txt</v>
      </c>
      <c r="AI8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{"issue":{"subject":"","project_id":79,"tracker_id":40,"status_id":1,"priority_id":2,"assigned_to_id":338,"start_date":"2017-09-14","description":"","custom_fields":[{"id":1,"name":"Subdivision","value":"EC"},{"id":4,"name":"Milepost","value":"0.016"},{"id":17,"name":"Train ID","value":"166-14"},{"id":16,"name":"Locomotive ID","value":"4061"},{"id":130,"name":"Impact","value":""},{"id":150,"name":"Time of Event (Mountain Time)","value":"13:25:17"},{"id":151,"name":"Denver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4061 --day 2017-09-14</v>
      </c>
      <c r="AN8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595</v>
      </c>
      <c r="B81" s="7">
        <v>4004</v>
      </c>
      <c r="C81" s="21" t="s">
        <v>197</v>
      </c>
      <c r="D81" s="21" t="s">
        <v>364</v>
      </c>
      <c r="E81" s="13">
        <v>42992.500671296293</v>
      </c>
      <c r="F81" s="13">
        <v>42992.502569444441</v>
      </c>
      <c r="G81" s="7">
        <v>79</v>
      </c>
      <c r="H81" s="21" t="s">
        <v>863</v>
      </c>
      <c r="I81" s="13">
        <v>42992.526724537034</v>
      </c>
      <c r="J81" s="7">
        <v>1</v>
      </c>
      <c r="K81" s="89" t="str">
        <f t="shared" si="29"/>
        <v>4003/4004</v>
      </c>
      <c r="L81" s="189" t="str">
        <f>VLOOKUP(A81,'Trips&amp;Operators'!$C$1:$G$99911,5,FALSE)</f>
        <v>DELGADO DIANAH</v>
      </c>
      <c r="M81" s="6">
        <f t="shared" si="30"/>
        <v>2.4155092592991423E-2</v>
      </c>
      <c r="N81" s="7">
        <f t="shared" si="27"/>
        <v>34.783333333907649</v>
      </c>
      <c r="O81" s="7"/>
      <c r="P81" s="7"/>
      <c r="Q81" s="22"/>
      <c r="R81" s="167"/>
      <c r="S81" s="217">
        <f t="shared" si="28"/>
        <v>1</v>
      </c>
      <c r="T81" s="175" t="str">
        <f t="shared" si="31"/>
        <v>NorthBound</v>
      </c>
      <c r="U81" s="20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26" t="str">
        <f t="shared" si="32"/>
        <v>https://d0f6bd738d7f1b3e5a7ca70fe4ff75f0.us-east-1.aws.found.io/app/kibana#/discover/Steve-Slow-Train-Analysis-(2080s-and-2083s)?_g=(refreshInterval:(display:Off,pause:!f,section:0,value:0),time:(from:'2017-09-14T11:00:58-0600',mode:absolute,to:'2017-09-14T13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210" t="str">
        <f>IF(AA81&lt;VLOOKUP(AG81,Variables!$AC$3:$AD$8,2,FALSE),"Y","N")</f>
        <v>N</v>
      </c>
      <c r="X81" s="210">
        <f t="shared" si="33"/>
        <v>1</v>
      </c>
      <c r="Y81" s="210">
        <f t="shared" si="34"/>
        <v>4.6399999999999997E-2</v>
      </c>
      <c r="Z81" s="210">
        <f t="shared" si="35"/>
        <v>23.3385</v>
      </c>
      <c r="AA81" s="210">
        <f t="shared" si="36"/>
        <v>23.292100000000001</v>
      </c>
      <c r="AB81" s="54" t="str">
        <f>VLOOKUP(A81,Enforcements!$C$7:$K$11,8,0)</f>
        <v>Bulletin (2)</v>
      </c>
      <c r="AC81" s="51" t="str">
        <f>VLOOKUP(A81,Enforcements!$C$7:$E$11,3,0)</f>
        <v>GRADE CROSSING</v>
      </c>
      <c r="AD81" s="183">
        <f t="shared" si="37"/>
        <v>167</v>
      </c>
      <c r="AE81" s="77" t="str">
        <f t="shared" si="38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81" s="74" t="str">
        <f t="shared" si="39"/>
        <v>"C:\Program Files (x86)\AstroGrep\AstroGrep.exe" /e /r /s /spath="%USERPROFILE%\AppData\Local\Temp\OnboardLogs" /stypes="app*4004*20170914*" /stext=" 18:.+((SYSTEM_STATE.+slice.+state.+changed )|(ment ac)|(multiple cpu faults)|(system.+state.+changed )|(\[timeout)|(PRM\|1\|D)|(kpr)|(kdp)|(train st.+moving)|(\|lc)|(penalty))"</v>
      </c>
      <c r="AG81" s="186" t="str">
        <f t="shared" si="40"/>
        <v>EC</v>
      </c>
      <c r="AH81" s="78" t="str">
        <f t="shared" si="41"/>
        <v>"%USERPROFILE%\Documents\GitHub\eaglep3\Utilities\RefineRTDCRunTimes.py" --tripid 167-14 --locoid 4004 --swversion DE.1.0.9.0 --startMP 204:464 --initTime 2017-09-14T12:00:58 --startdatetime 2017-09-14T12:03:42 --delay 79 --endMP 204:233385 --enddatetime 2017-09-14T12:38:29 --enforcementcount 1 &gt;&gt;C:\Users\stu\Documents\GitHub\eaglep3-reporting\EC\2017-09-14-refined-times.txt</v>
      </c>
      <c r="AI8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{"issue":{"subject":"","project_id":79,"tracker_id":40,"status_id":1,"priority_id":2,"assigned_to_id":338,"start_date":"2017-09-14","description":"","custom_fields":[{"id":1,"name":"Subdivision","value":"EC"},{"id":4,"name":"Milepost","value":"23.3385"},{"id":17,"name":"Train ID","value":"167-14"},{"id":16,"name":"Locomotive ID","value":"4004"},{"id":130,"name":"Impact","value":""},{"id":150,"name":"Time of Event (Mountain Time)","value":"12:38:29"},{"id":151,"name":"Denver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4004 --day 2017-09-14</v>
      </c>
      <c r="AN8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714</v>
      </c>
      <c r="B82" s="7">
        <v>4003</v>
      </c>
      <c r="C82" s="21" t="s">
        <v>197</v>
      </c>
      <c r="D82" s="21" t="s">
        <v>864</v>
      </c>
      <c r="E82" s="13">
        <v>42992.536145833335</v>
      </c>
      <c r="F82" s="13">
        <v>42992.539768518516</v>
      </c>
      <c r="G82" s="7">
        <v>82</v>
      </c>
      <c r="H82" s="21" t="s">
        <v>448</v>
      </c>
      <c r="I82" s="13">
        <v>42992.567476851851</v>
      </c>
      <c r="J82" s="7">
        <v>1</v>
      </c>
      <c r="K82" s="89" t="str">
        <f t="shared" si="29"/>
        <v>4003/4004</v>
      </c>
      <c r="L82" s="189" t="str">
        <f>VLOOKUP(A82,'Trips&amp;Operators'!$C$1:$G$99911,5,FALSE)</f>
        <v>DELGADO DIANAH</v>
      </c>
      <c r="M82" s="6">
        <f t="shared" si="30"/>
        <v>2.7708333334885538E-2</v>
      </c>
      <c r="N82" s="7">
        <f t="shared" si="27"/>
        <v>39.900000002235174</v>
      </c>
      <c r="O82" s="7"/>
      <c r="P82" s="7"/>
      <c r="Q82" s="22"/>
      <c r="R82" s="167"/>
      <c r="S82" s="217">
        <f t="shared" si="28"/>
        <v>1</v>
      </c>
      <c r="T82" s="175" t="str">
        <f t="shared" si="31"/>
        <v>Southbound</v>
      </c>
      <c r="U82" s="20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26" t="str">
        <f t="shared" si="32"/>
        <v>https://d0f6bd738d7f1b3e5a7ca70fe4ff75f0.us-east-1.aws.found.io/app/kibana#/discover/Steve-Slow-Train-Analysis-(2080s-and-2083s)?_g=(refreshInterval:(display:Off,pause:!f,section:0,value:0),time:(from:'2017-09-14T11:52:03-0600',mode:absolute,to:'2017-09-14T14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210" t="str">
        <f>IF(AA82&lt;VLOOKUP(AG82,Variables!$AC$3:$AD$8,2,FALSE),"Y","N")</f>
        <v>N</v>
      </c>
      <c r="X82" s="210">
        <f t="shared" si="33"/>
        <v>1</v>
      </c>
      <c r="Y82" s="210">
        <f t="shared" si="34"/>
        <v>23.305900000000001</v>
      </c>
      <c r="Z82" s="210">
        <f t="shared" si="35"/>
        <v>1.54E-2</v>
      </c>
      <c r="AA82" s="210">
        <f t="shared" si="36"/>
        <v>23.290500000000002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83">
        <f t="shared" si="37"/>
        <v>168</v>
      </c>
      <c r="AE82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82" s="74" t="str">
        <f t="shared" si="39"/>
        <v>"C:\Program Files (x86)\AstroGrep\AstroGrep.exe" /e /r /s /spath="%USERPROFILE%\AppData\Local\Temp\OnboardLogs" /stypes="app*4003*20170914*" /stext=" 19:.+((SYSTEM_STATE.+slice.+state.+changed )|(ment ac)|(multiple cpu faults)|(system.+state.+changed )|(\[timeout)|(PRM\|1\|D)|(kpr)|(kdp)|(train st.+moving)|(\|lc)|(penalty))"</v>
      </c>
      <c r="AG82" s="186" t="str">
        <f t="shared" si="40"/>
        <v>EC</v>
      </c>
      <c r="AH82" s="78" t="str">
        <f t="shared" si="41"/>
        <v>"%USERPROFILE%\Documents\GitHub\eaglep3\Utilities\RefineRTDCRunTimes.py" --tripid 168-14 --locoid 4003 --swversion DE.1.0.9.0 --startMP 204:233059 --initTime 2017-09-14T12:52:03 --startdatetime 2017-09-14T12:57:16 --delay 82 --endMP 204:154 --enddatetime 2017-09-14T13:37:10 --enforcementcount 1 &gt;&gt;C:\Users\stu\Documents\GitHub\eaglep3-reporting\EC\2017-09-14-refined-times.txt</v>
      </c>
      <c r="AI8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{"issue":{"subject":"","project_id":79,"tracker_id":40,"status_id":1,"priority_id":2,"assigned_to_id":338,"start_date":"2017-09-14","description":"","custom_fields":[{"id":1,"name":"Subdivision","value":"EC"},{"id":4,"name":"Milepost","value":"0.0154"},{"id":17,"name":"Train ID","value":"168-14"},{"id":16,"name":"Locomotive ID","value":"4003"},{"id":130,"name":"Impact","value":""},{"id":150,"name":"Time of Event (Mountain Time)","value":"13:37:10"},{"id":151,"name":"Denver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4003 --day 2017-09-14</v>
      </c>
      <c r="AN8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705</v>
      </c>
      <c r="B83" s="7">
        <v>4002</v>
      </c>
      <c r="C83" s="21" t="s">
        <v>197</v>
      </c>
      <c r="D83" s="21" t="s">
        <v>433</v>
      </c>
      <c r="E83" s="13">
        <v>42992.512997685182</v>
      </c>
      <c r="F83" s="13">
        <v>42992.514745370368</v>
      </c>
      <c r="G83" s="7">
        <v>64</v>
      </c>
      <c r="H83" s="21" t="s">
        <v>437</v>
      </c>
      <c r="I83" s="13">
        <v>42992.541597222225</v>
      </c>
      <c r="J83" s="7">
        <v>1</v>
      </c>
      <c r="K83" s="89" t="str">
        <f t="shared" si="29"/>
        <v>4001/4002</v>
      </c>
      <c r="L83" s="189" t="str">
        <f>VLOOKUP(A83,'Trips&amp;Operators'!$C$1:$G$99911,5,FALSE)</f>
        <v>LEVERE CRAIG</v>
      </c>
      <c r="M83" s="6">
        <f t="shared" si="30"/>
        <v>2.6851851856918074E-2</v>
      </c>
      <c r="N83" s="7">
        <f t="shared" si="27"/>
        <v>38.666666673962027</v>
      </c>
      <c r="O83" s="7"/>
      <c r="P83" s="7"/>
      <c r="Q83" s="22"/>
      <c r="R83" s="167"/>
      <c r="S83" s="217">
        <f t="shared" si="28"/>
        <v>1</v>
      </c>
      <c r="T83" s="175" t="str">
        <f t="shared" si="31"/>
        <v>NorthBound</v>
      </c>
      <c r="U83" s="20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26" t="str">
        <f t="shared" si="32"/>
        <v>https://d0f6bd738d7f1b3e5a7ca70fe4ff75f0.us-east-1.aws.found.io/app/kibana#/discover/Steve-Slow-Train-Analysis-(2080s-and-2083s)?_g=(refreshInterval:(display:Off,pause:!f,section:0,value:0),time:(from:'2017-09-14T11:18:43-0600',mode:absolute,to:'2017-09-14T13:59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10" t="str">
        <f>IF(AA83&lt;VLOOKUP(AG83,Variables!$AC$3:$AD$8,2,FALSE),"Y","N")</f>
        <v>N</v>
      </c>
      <c r="X83" s="210">
        <f t="shared" si="33"/>
        <v>1</v>
      </c>
      <c r="Y83" s="210">
        <f t="shared" si="34"/>
        <v>4.7100000000000003E-2</v>
      </c>
      <c r="Z83" s="210">
        <f t="shared" si="35"/>
        <v>23.3308</v>
      </c>
      <c r="AA83" s="210">
        <f t="shared" si="36"/>
        <v>23.2837</v>
      </c>
      <c r="AB83" s="54" t="e">
        <f>VLOOKUP(A83,Enforcements!$C$7:$K$11,8,0)</f>
        <v>#N/A</v>
      </c>
      <c r="AC83" s="51" t="e">
        <f>VLOOKUP(A83,Enforcements!$C$7:$E$11,3,0)</f>
        <v>#N/A</v>
      </c>
      <c r="AD83" s="183">
        <f t="shared" si="37"/>
        <v>169</v>
      </c>
      <c r="AE83" s="77" t="str">
        <f t="shared" si="38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83" s="74" t="str">
        <f t="shared" si="39"/>
        <v>"C:\Program Files (x86)\AstroGrep\AstroGrep.exe" /e /r /s /spath="%USERPROFILE%\AppData\Local\Temp\OnboardLogs" /stypes="app*4002*20170914*" /stext=" 18:.+((SYSTEM_STATE.+slice.+state.+changed )|(ment ac)|(multiple cpu faults)|(system.+state.+changed )|(\[timeout)|(PRM\|1\|D)|(kpr)|(kdp)|(train st.+moving)|(\|lc)|(penalty))"</v>
      </c>
      <c r="AG83" s="186" t="str">
        <f t="shared" si="40"/>
        <v>EC</v>
      </c>
      <c r="AH83" s="78" t="str">
        <f t="shared" si="41"/>
        <v>"%USERPROFILE%\Documents\GitHub\eaglep3\Utilities\RefineRTDCRunTimes.py" --tripid 169-14 --locoid 4002 --swversion DE.1.0.9.0 --startMP 204:471 --initTime 2017-09-14T12:18:43 --startdatetime 2017-09-14T12:21:14 --delay 64 --endMP 204:233308 --enddatetime 2017-09-14T12:59:54 --enforcementcount 1 &gt;&gt;C:\Users\stu\Documents\GitHub\eaglep3-reporting\EC\2017-09-14-refined-times.txt</v>
      </c>
      <c r="AI83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{"issue":{"subject":"","project_id":79,"tracker_id":40,"status_id":1,"priority_id":2,"assigned_to_id":338,"start_date":"2017-09-14","description":"","custom_fields":[{"id":1,"name":"Subdivision","value":"EC"},{"id":4,"name":"Milepost","value":"23.3308"},{"id":17,"name":"Train ID","value":"169-14"},{"id":16,"name":"Locomotive ID","value":"4002"},{"id":130,"name":"Impact","value":""},{"id":150,"name":"Time of Event (Mountain Time)","value":"12:59:54"},{"id":151,"name":"Denver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4002 --day 2017-09-14</v>
      </c>
      <c r="AN83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18:59:54"},{"id":29,"name":"Sharepoint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717</v>
      </c>
      <c r="B84" s="7">
        <v>4001</v>
      </c>
      <c r="C84" s="21" t="s">
        <v>197</v>
      </c>
      <c r="D84" s="21" t="s">
        <v>422</v>
      </c>
      <c r="E84" s="13">
        <v>42992.545243055552</v>
      </c>
      <c r="F84" s="13">
        <v>42992.550300925926</v>
      </c>
      <c r="G84" s="7">
        <v>68</v>
      </c>
      <c r="H84" s="21" t="s">
        <v>343</v>
      </c>
      <c r="I84" s="13">
        <v>42992.577256944445</v>
      </c>
      <c r="J84" s="7">
        <v>1</v>
      </c>
      <c r="K84" s="89" t="str">
        <f t="shared" si="29"/>
        <v>4001/4002</v>
      </c>
      <c r="L84" s="189" t="str">
        <f>VLOOKUP(A84,'Trips&amp;Operators'!$C$1:$G$99911,5,FALSE)</f>
        <v>LEVERE CRAIG</v>
      </c>
      <c r="M84" s="6">
        <f t="shared" si="30"/>
        <v>2.6956018518831115E-2</v>
      </c>
      <c r="N84" s="7">
        <f t="shared" si="27"/>
        <v>38.816666667116806</v>
      </c>
      <c r="O84" s="7"/>
      <c r="P84" s="7"/>
      <c r="Q84" s="22"/>
      <c r="R84" s="167"/>
      <c r="S84" s="217">
        <f t="shared" si="28"/>
        <v>1</v>
      </c>
      <c r="T84" s="175" t="str">
        <f t="shared" si="31"/>
        <v>Southbound</v>
      </c>
      <c r="U84" s="20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26" t="str">
        <f t="shared" si="32"/>
        <v>https://d0f6bd738d7f1b3e5a7ca70fe4ff75f0.us-east-1.aws.found.io/app/kibana#/discover/Steve-Slow-Train-Analysis-(2080s-and-2083s)?_g=(refreshInterval:(display:Off,pause:!f,section:0,value:0),time:(from:'2017-09-14T12:05:09-0600',mode:absolute,to:'2017-09-14T14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10" t="str">
        <f>IF(AA84&lt;VLOOKUP(AG84,Variables!$AC$3:$AD$8,2,FALSE),"Y","N")</f>
        <v>N</v>
      </c>
      <c r="X84" s="210">
        <f t="shared" si="33"/>
        <v>1</v>
      </c>
      <c r="Y84" s="210">
        <f t="shared" si="34"/>
        <v>23.299600000000002</v>
      </c>
      <c r="Z84" s="210">
        <f t="shared" si="35"/>
        <v>1.47E-2</v>
      </c>
      <c r="AA84" s="210">
        <f t="shared" si="36"/>
        <v>23.2849</v>
      </c>
      <c r="AB84" s="54" t="e">
        <f>VLOOKUP(A84,Enforcements!$C$7:$K$11,8,0)</f>
        <v>#N/A</v>
      </c>
      <c r="AC84" s="51" t="e">
        <f>VLOOKUP(A84,Enforcements!$C$7:$E$11,3,0)</f>
        <v>#N/A</v>
      </c>
      <c r="AD84" s="183">
        <f t="shared" si="37"/>
        <v>170</v>
      </c>
      <c r="AE84" s="77" t="str">
        <f t="shared" si="38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84" s="74" t="str">
        <f t="shared" si="39"/>
        <v>"C:\Program Files (x86)\AstroGrep\AstroGrep.exe" /e /r /s /spath="%USERPROFILE%\AppData\Local\Temp\OnboardLogs" /stypes="app*4001*20170914*" /stext=" 19:.+((SYSTEM_STATE.+slice.+state.+changed )|(ment ac)|(multiple cpu faults)|(system.+state.+changed )|(\[timeout)|(PRM\|1\|D)|(kpr)|(kdp)|(train st.+moving)|(\|lc)|(penalty))"</v>
      </c>
      <c r="AG84" s="186" t="str">
        <f t="shared" si="40"/>
        <v>EC</v>
      </c>
      <c r="AH84" s="78" t="str">
        <f t="shared" si="41"/>
        <v>"%USERPROFILE%\Documents\GitHub\eaglep3\Utilities\RefineRTDCRunTimes.py" --tripid 170-14 --locoid 4001 --swversion DE.1.0.9.0 --startMP 204:232996 --initTime 2017-09-14T13:05:09 --startdatetime 2017-09-14T13:12:26 --delay 68 --endMP 204:147 --enddatetime 2017-09-14T13:51:15 --enforcementcount 1 &gt;&gt;C:\Users\stu\Documents\GitHub\eaglep3-reporting\EC\2017-09-14-refined-times.txt</v>
      </c>
      <c r="AI8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{"issue":{"subject":"","project_id":79,"tracker_id":40,"status_id":1,"priority_id":2,"assigned_to_id":338,"start_date":"2017-09-14","description":"","custom_fields":[{"id":1,"name":"Subdivision","value":"EC"},{"id":4,"name":"Milepost","value":"0.0147"},{"id":17,"name":"Train ID","value":"170-14"},{"id":16,"name":"Locomotive ID","value":"4001"},{"id":130,"name":"Impact","value":""},{"id":150,"name":"Time of Event (Mountain Time)","value":"13:51:15"},{"id":151,"name":"Denver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4001 --day 2017-09-14</v>
      </c>
      <c r="AN8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596</v>
      </c>
      <c r="B85" s="7">
        <v>4058</v>
      </c>
      <c r="C85" s="21" t="s">
        <v>197</v>
      </c>
      <c r="D85" s="21" t="s">
        <v>377</v>
      </c>
      <c r="E85" s="13">
        <v>42992.523877314816</v>
      </c>
      <c r="F85" s="13">
        <v>42992.525706018518</v>
      </c>
      <c r="G85" s="7">
        <v>59</v>
      </c>
      <c r="H85" s="21" t="s">
        <v>449</v>
      </c>
      <c r="I85" s="13">
        <v>42992.552627314813</v>
      </c>
      <c r="J85" s="7">
        <v>1</v>
      </c>
      <c r="K85" s="89" t="str">
        <f t="shared" si="29"/>
        <v>4057/4058</v>
      </c>
      <c r="L85" s="189" t="str">
        <f>VLOOKUP(A85,'Trips&amp;Operators'!$C$1:$G$99911,5,FALSE)</f>
        <v>BADERTSCHER DIANE</v>
      </c>
      <c r="M85" s="6">
        <f t="shared" si="30"/>
        <v>2.6921296295768116E-2</v>
      </c>
      <c r="N85" s="7">
        <f t="shared" si="27"/>
        <v>38.766666665906087</v>
      </c>
      <c r="O85" s="7"/>
      <c r="P85" s="7"/>
      <c r="Q85" s="22"/>
      <c r="R85" s="167"/>
      <c r="S85" s="217">
        <f t="shared" si="28"/>
        <v>1</v>
      </c>
      <c r="T85" s="175" t="str">
        <f t="shared" si="31"/>
        <v>NorthBound</v>
      </c>
      <c r="U85" s="20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26" t="str">
        <f t="shared" si="32"/>
        <v>https://d0f6bd738d7f1b3e5a7ca70fe4ff75f0.us-east-1.aws.found.io/app/kibana#/discover/Steve-Slow-Train-Analysis-(2080s-and-2083s)?_g=(refreshInterval:(display:Off,pause:!f,section:0,value:0),time:(from:'2017-09-14T11:34:23-0600',mode:absolute,to:'2017-09-14T14:15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210" t="str">
        <f>IF(AA85&lt;VLOOKUP(AG85,Variables!$AC$3:$AD$8,2,FALSE),"Y","N")</f>
        <v>N</v>
      </c>
      <c r="X85" s="210">
        <f t="shared" si="33"/>
        <v>1</v>
      </c>
      <c r="Y85" s="210">
        <f t="shared" si="34"/>
        <v>4.6899999999999997E-2</v>
      </c>
      <c r="Z85" s="210">
        <f t="shared" si="35"/>
        <v>23.3307</v>
      </c>
      <c r="AA85" s="210">
        <f t="shared" si="36"/>
        <v>23.283799999999999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83">
        <f t="shared" si="37"/>
        <v>171</v>
      </c>
      <c r="AE85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85" s="74" t="str">
        <f t="shared" si="39"/>
        <v>"C:\Program Files (x86)\AstroGrep\AstroGrep.exe" /e /r /s /spath="%USERPROFILE%\AppData\Local\Temp\OnboardLogs" /stypes="app*4058*20170914*" /stext=" 19:.+((SYSTEM_STATE.+slice.+state.+changed )|(ment ac)|(multiple cpu faults)|(system.+state.+changed )|(\[timeout)|(PRM\|1\|D)|(kpr)|(kdp)|(train st.+moving)|(\|lc)|(penalty))"</v>
      </c>
      <c r="AG85" s="186" t="str">
        <f t="shared" si="40"/>
        <v>EC</v>
      </c>
      <c r="AH85" s="78" t="str">
        <f t="shared" si="41"/>
        <v>"%USERPROFILE%\Documents\GitHub\eaglep3\Utilities\RefineRTDCRunTimes.py" --tripid 171-14 --locoid 4058 --swversion DE.1.0.9.0 --startMP 204:469 --initTime 2017-09-14T12:34:23 --startdatetime 2017-09-14T12:37:01 --delay 59 --endMP 204:233307 --enddatetime 2017-09-14T13:15:47 --enforcementcount 1 &gt;&gt;C:\Users\stu\Documents\GitHub\eaglep3-reporting\EC\2017-09-14-refined-times.txt</v>
      </c>
      <c r="AI85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{"issue":{"subject":"","project_id":79,"tracker_id":40,"status_id":1,"priority_id":2,"assigned_to_id":338,"start_date":"2017-09-14","description":"","custom_fields":[{"id":1,"name":"Subdivision","value":"EC"},{"id":4,"name":"Milepost","value":"23.3307"},{"id":17,"name":"Train ID","value":"171-14"},{"id":16,"name":"Locomotive ID","value":"4058"},{"id":130,"name":"Impact","value":""},{"id":150,"name":"Time of Event (Mountain Time)","value":"13:15:47"},{"id":151,"name":"Denver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4058 --day 2017-09-14</v>
      </c>
      <c r="AN8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19:15:47"},{"id":29,"name":"Sharepoint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596</v>
      </c>
      <c r="B86" s="7">
        <v>4058</v>
      </c>
      <c r="C86" s="21" t="s">
        <v>197</v>
      </c>
      <c r="D86" s="21" t="s">
        <v>361</v>
      </c>
      <c r="E86" s="13">
        <v>42992.522453703707</v>
      </c>
      <c r="F86" s="13">
        <v>42992.525706018518</v>
      </c>
      <c r="G86" s="7">
        <v>74</v>
      </c>
      <c r="H86" s="21" t="s">
        <v>337</v>
      </c>
      <c r="I86" s="13">
        <v>42992.552627314813</v>
      </c>
      <c r="J86" s="7">
        <v>1</v>
      </c>
      <c r="K86" s="89" t="str">
        <f t="shared" si="29"/>
        <v>4057/4058</v>
      </c>
      <c r="L86" s="189" t="str">
        <f>VLOOKUP(A86,'Trips&amp;Operators'!$C$1:$G$99911,5,FALSE)</f>
        <v>BADERTSCHER DIANE</v>
      </c>
      <c r="M86" s="6">
        <f t="shared" si="30"/>
        <v>2.6921296295768116E-2</v>
      </c>
      <c r="N86" s="7"/>
      <c r="O86" s="7"/>
      <c r="P86" s="7"/>
      <c r="Q86" s="22"/>
      <c r="R86" s="167"/>
      <c r="S86" s="217"/>
      <c r="T86" s="175" t="str">
        <f t="shared" si="31"/>
        <v>NorthBound</v>
      </c>
      <c r="U86" s="20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226" t="str">
        <f t="shared" si="32"/>
        <v>https://d0f6bd738d7f1b3e5a7ca70fe4ff75f0.us-east-1.aws.found.io/app/kibana#/discover/Steve-Slow-Train-Analysis-(2080s-and-2083s)?_g=(refreshInterval:(display:Off,pause:!f,section:0,value:0),time:(from:'2017-09-14T11:32:20-0600',mode:absolute,to:'2017-09-14T14:15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6" s="210" t="str">
        <f>IF(AA86&lt;VLOOKUP(AG86,Variables!$AC$3:$AD$8,2,FALSE),"Y","N")</f>
        <v>Y</v>
      </c>
      <c r="X86" s="210">
        <f t="shared" si="33"/>
        <v>0</v>
      </c>
      <c r="Y86" s="210">
        <f t="shared" si="34"/>
        <v>4.4900000000000002E-2</v>
      </c>
      <c r="Z86" s="210">
        <f t="shared" si="35"/>
        <v>4.4600000000000001E-2</v>
      </c>
      <c r="AA86" s="210">
        <f t="shared" si="36"/>
        <v>3.0000000000000165E-4</v>
      </c>
      <c r="AB86" s="54" t="e">
        <f>VLOOKUP(A86,Enforcements!$C$7:$K$11,8,0)</f>
        <v>#N/A</v>
      </c>
      <c r="AC86" s="51" t="e">
        <f>VLOOKUP(A86,Enforcements!$C$7:$E$11,3,0)</f>
        <v>#N/A</v>
      </c>
      <c r="AD86" s="183">
        <f t="shared" si="37"/>
        <v>171</v>
      </c>
      <c r="AE86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86" s="74" t="str">
        <f t="shared" si="39"/>
        <v>"C:\Program Files (x86)\AstroGrep\AstroGrep.exe" /e /r /s /spath="%USERPROFILE%\AppData\Local\Temp\OnboardLogs" /stypes="app*4058*20170914*" /stext=" 19:.+((SYSTEM_STATE.+slice.+state.+changed )|(ment ac)|(multiple cpu faults)|(system.+state.+changed )|(\[timeout)|(PRM\|1\|D)|(kpr)|(kdp)|(train st.+moving)|(\|lc)|(penalty))"</v>
      </c>
      <c r="AG86" s="186" t="str">
        <f t="shared" si="40"/>
        <v>EC</v>
      </c>
      <c r="AH86" s="78" t="str">
        <f t="shared" si="41"/>
        <v>"%USERPROFILE%\Documents\GitHub\eaglep3\Utilities\RefineRTDCRunTimes.py" --tripid 171-14 --locoid 4058 --swversion DE.1.0.9.0 --startMP 204:449 --initTime 2017-09-14T12:32:20 --startdatetime 2017-09-14T12:37:01 --delay 74 --endMP 204:446 --enddatetime 2017-09-14T13:15:47 --enforcementcount 1 &gt;&gt;C:\Users\stu\Documents\GitHub\eaglep3-reporting\EC\2017-09-14-refined-times.txt</v>
      </c>
      <c r="AI8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{"issue":{"subject":"","project_id":79,"tracker_id":40,"status_id":1,"priority_id":2,"assigned_to_id":338,"start_date":"2017-09-14","description":"","custom_fields":[{"id":1,"name":"Subdivision","value":"EC"},{"id":4,"name":"Milepost","value":"0.0446"},{"id":17,"name":"Train ID","value":"171-14"},{"id":16,"name":"Locomotive ID","value":"4058"},{"id":130,"name":"Impact","value":""},{"id":150,"name":"Time of Event (Mountain Time)","value":"13:15:47"},{"id":151,"name":"Denver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4058 --day 2017-09-14</v>
      </c>
      <c r="AN8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19:15:47"},{"id":29,"name":"Sharepoint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599</v>
      </c>
      <c r="B87" s="7">
        <v>4057</v>
      </c>
      <c r="C87" s="21" t="s">
        <v>197</v>
      </c>
      <c r="D87" s="21" t="s">
        <v>844</v>
      </c>
      <c r="E87" s="13">
        <v>42992.55541666667</v>
      </c>
      <c r="F87" s="13">
        <v>42992.560868055552</v>
      </c>
      <c r="G87" s="7">
        <v>66</v>
      </c>
      <c r="H87" s="21" t="s">
        <v>340</v>
      </c>
      <c r="I87" s="13">
        <v>42992.589050925926</v>
      </c>
      <c r="J87" s="7">
        <v>1</v>
      </c>
      <c r="K87" s="89" t="str">
        <f t="shared" si="29"/>
        <v>4057/4058</v>
      </c>
      <c r="L87" s="189" t="str">
        <f>VLOOKUP(A87,'Trips&amp;Operators'!$C$1:$G$99911,5,FALSE)</f>
        <v>BADERTSCHER DIANE</v>
      </c>
      <c r="M87" s="6">
        <f t="shared" si="30"/>
        <v>2.8182870373711921E-2</v>
      </c>
      <c r="N87" s="7">
        <f t="shared" ref="N87:N112" si="45">24*60*SUM($M87:$M87)</f>
        <v>40.583333338145167</v>
      </c>
      <c r="O87" s="7"/>
      <c r="P87" s="7"/>
      <c r="Q87" s="22"/>
      <c r="R87" s="167"/>
      <c r="S87" s="217">
        <f t="shared" ref="S87:S118" si="46">1/IF(AG87="EC",12,1)*SUM(U87:U87)</f>
        <v>1</v>
      </c>
      <c r="T87" s="175" t="str">
        <f t="shared" si="31"/>
        <v>Southbound</v>
      </c>
      <c r="U87" s="20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26" t="str">
        <f t="shared" si="32"/>
        <v>https://d0f6bd738d7f1b3e5a7ca70fe4ff75f0.us-east-1.aws.found.io/app/kibana#/discover/Steve-Slow-Train-Analysis-(2080s-and-2083s)?_g=(refreshInterval:(display:Off,pause:!f,section:0,value:0),time:(from:'2017-09-14T12:19:48-0600',mode:absolute,to:'2017-09-14T15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7" s="210" t="str">
        <f>IF(AA87&lt;VLOOKUP(AG87,Variables!$AC$3:$AD$8,2,FALSE),"Y","N")</f>
        <v>N</v>
      </c>
      <c r="X87" s="210">
        <f t="shared" si="33"/>
        <v>1</v>
      </c>
      <c r="Y87" s="210">
        <f t="shared" si="34"/>
        <v>23.296299999999999</v>
      </c>
      <c r="Z87" s="210">
        <f t="shared" si="35"/>
        <v>1.43E-2</v>
      </c>
      <c r="AA87" s="210">
        <f t="shared" si="36"/>
        <v>23.282</v>
      </c>
      <c r="AB87" s="54" t="e">
        <f>VLOOKUP(A87,Enforcements!$C$7:$K$11,8,0)</f>
        <v>#N/A</v>
      </c>
      <c r="AC87" s="51" t="e">
        <f>VLOOKUP(A87,Enforcements!$C$7:$E$11,3,0)</f>
        <v>#N/A</v>
      </c>
      <c r="AD87" s="183">
        <f t="shared" si="37"/>
        <v>172</v>
      </c>
      <c r="AE87" s="77" t="str">
        <f t="shared" si="38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87" s="74" t="str">
        <f t="shared" si="39"/>
        <v>"C:\Program Files (x86)\AstroGrep\AstroGrep.exe" /e /r /s /spath="%USERPROFILE%\AppData\Local\Temp\OnboardLogs" /stypes="app*4057*20170914*" /stext=" 20:.+((SYSTEM_STATE.+slice.+state.+changed )|(ment ac)|(multiple cpu faults)|(system.+state.+changed )|(\[timeout)|(PRM\|1\|D)|(kpr)|(kdp)|(train st.+moving)|(\|lc)|(penalty))"</v>
      </c>
      <c r="AG87" s="186" t="str">
        <f t="shared" si="40"/>
        <v>EC</v>
      </c>
      <c r="AH87" s="78" t="str">
        <f t="shared" si="41"/>
        <v>"%USERPROFILE%\Documents\GitHub\eaglep3\Utilities\RefineRTDCRunTimes.py" --tripid 172-14 --locoid 4057 --swversion DE.1.0.9.0 --startMP 204:232963 --initTime 2017-09-14T13:19:48 --startdatetime 2017-09-14T13:27:39 --delay 66 --endMP 204:143 --enddatetime 2017-09-14T14:08:14 --enforcementcount 1 &gt;&gt;C:\Users\stu\Documents\GitHub\eaglep3-reporting\EC\2017-09-14-refined-times.txt</v>
      </c>
      <c r="AI87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{"issue":{"subject":"","project_id":79,"tracker_id":40,"status_id":1,"priority_id":2,"assigned_to_id":338,"start_date":"2017-09-14","description":"","custom_fields":[{"id":1,"name":"Subdivision","value":"EC"},{"id":4,"name":"Milepost","value":"0.0143"},{"id":17,"name":"Train ID","value":"172-14"},{"id":16,"name":"Locomotive ID","value":"4057"},{"id":130,"name":"Impact","value":""},{"id":150,"name":"Time of Event (Mountain Time)","value":"14:08:14"},{"id":151,"name":"Denver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4057 --day 2017-09-14</v>
      </c>
      <c r="AN8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713</v>
      </c>
      <c r="B88" s="7">
        <v>4026</v>
      </c>
      <c r="C88" s="21" t="s">
        <v>197</v>
      </c>
      <c r="D88" s="21" t="s">
        <v>477</v>
      </c>
      <c r="E88" s="13">
        <v>42992.534629629627</v>
      </c>
      <c r="F88" s="13">
        <v>42992.535995370374</v>
      </c>
      <c r="G88" s="7">
        <v>52</v>
      </c>
      <c r="H88" s="21" t="s">
        <v>388</v>
      </c>
      <c r="I88" s="13">
        <v>42992.563692129632</v>
      </c>
      <c r="J88" s="7">
        <v>1</v>
      </c>
      <c r="K88" s="89" t="str">
        <f t="shared" si="29"/>
        <v>4025/4026</v>
      </c>
      <c r="L88" s="189" t="str">
        <f>VLOOKUP(A88,'Trips&amp;Operators'!$C$1:$G$99911,5,FALSE)</f>
        <v>HOLCOMB KAMDEN</v>
      </c>
      <c r="M88" s="6">
        <f t="shared" si="30"/>
        <v>2.7696759258105885E-2</v>
      </c>
      <c r="N88" s="7">
        <f t="shared" si="45"/>
        <v>39.883333331672475</v>
      </c>
      <c r="O88" s="7"/>
      <c r="P88" s="7"/>
      <c r="Q88" s="22"/>
      <c r="R88" s="167"/>
      <c r="S88" s="217">
        <f t="shared" si="46"/>
        <v>1</v>
      </c>
      <c r="T88" s="175" t="str">
        <f t="shared" si="31"/>
        <v>NorthBound</v>
      </c>
      <c r="U88" s="20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26" t="str">
        <f t="shared" si="32"/>
        <v>https://d0f6bd738d7f1b3e5a7ca70fe4ff75f0.us-east-1.aws.found.io/app/kibana#/discover/Steve-Slow-Train-Analysis-(2080s-and-2083s)?_g=(refreshInterval:(display:Off,pause:!f,section:0,value:0),time:(from:'2017-09-14T11:49:52-0600',mode:absolute,to:'2017-09-14T14:31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210" t="str">
        <f>IF(AA88&lt;VLOOKUP(AG88,Variables!$AC$3:$AD$8,2,FALSE),"Y","N")</f>
        <v>N</v>
      </c>
      <c r="X88" s="210">
        <f t="shared" si="33"/>
        <v>1</v>
      </c>
      <c r="Y88" s="210">
        <f t="shared" si="34"/>
        <v>4.4699999999999997E-2</v>
      </c>
      <c r="Z88" s="210">
        <f t="shared" si="35"/>
        <v>23.331399999999999</v>
      </c>
      <c r="AA88" s="210">
        <f t="shared" si="36"/>
        <v>23.2867</v>
      </c>
      <c r="AB88" s="54" t="e">
        <f>VLOOKUP(A88,Enforcements!$C$7:$K$11,8,0)</f>
        <v>#N/A</v>
      </c>
      <c r="AC88" s="51" t="e">
        <f>VLOOKUP(A88,Enforcements!$C$7:$E$11,3,0)</f>
        <v>#N/A</v>
      </c>
      <c r="AD88" s="183">
        <f t="shared" si="37"/>
        <v>173</v>
      </c>
      <c r="AE88" s="77" t="str">
        <f t="shared" si="38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88" s="74" t="str">
        <f t="shared" si="39"/>
        <v>"C:\Program Files (x86)\AstroGrep\AstroGrep.exe" /e /r /s /spath="%USERPROFILE%\AppData\Local\Temp\OnboardLogs" /stypes="app*4026*20170914*" /stext=" 19:.+((SYSTEM_STATE.+slice.+state.+changed )|(ment ac)|(multiple cpu faults)|(system.+state.+changed )|(\[timeout)|(PRM\|1\|D)|(kpr)|(kdp)|(train st.+moving)|(\|lc)|(penalty))"</v>
      </c>
      <c r="AG88" s="186" t="str">
        <f t="shared" si="40"/>
        <v>EC</v>
      </c>
      <c r="AH88" s="78" t="str">
        <f t="shared" si="41"/>
        <v>"%USERPROFILE%\Documents\GitHub\eaglep3\Utilities\RefineRTDCRunTimes.py" --tripid 173-14 --locoid 4026 --swversion DE.1.0.9.0 --startMP 204:447 --initTime 2017-09-14T12:49:52 --startdatetime 2017-09-14T12:51:50 --delay 52 --endMP 204:233314 --enddatetime 2017-09-14T13:31:43 --enforcementcount 1 &gt;&gt;C:\Users\stu\Documents\GitHub\eaglep3-reporting\EC\2017-09-14-refined-times.txt</v>
      </c>
      <c r="AI8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ID","value":"173-14"},{"id":16,"name":"Locomotive ID","value":"4026"},{"id":130,"name":"Impact","value":""},{"id":150,"name":"Time of Event (Mountain Time)","value":"13:31:43"},{"id":151,"name":"Denver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4026 --day 2017-09-14</v>
      </c>
      <c r="AN8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19:31:43"},{"id":29,"name":"Sharepoint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721</v>
      </c>
      <c r="B89" s="7">
        <v>4025</v>
      </c>
      <c r="C89" s="21" t="s">
        <v>197</v>
      </c>
      <c r="D89" s="21" t="s">
        <v>422</v>
      </c>
      <c r="E89" s="13">
        <v>42992.567048611112</v>
      </c>
      <c r="F89" s="13">
        <v>42992.57099537037</v>
      </c>
      <c r="G89" s="7">
        <v>92</v>
      </c>
      <c r="H89" s="21" t="s">
        <v>865</v>
      </c>
      <c r="I89" s="13">
        <v>42992.595590277779</v>
      </c>
      <c r="J89" s="7">
        <v>1</v>
      </c>
      <c r="K89" s="89" t="str">
        <f t="shared" si="29"/>
        <v>4025/4026</v>
      </c>
      <c r="L89" s="189" t="str">
        <f>VLOOKUP(A89,'Trips&amp;Operators'!$C$1:$G$99911,5,FALSE)</f>
        <v>HOLCOMB KAMDEN</v>
      </c>
      <c r="M89" s="6">
        <f t="shared" si="30"/>
        <v>2.4594907408754807E-2</v>
      </c>
      <c r="N89" s="7">
        <f t="shared" si="45"/>
        <v>35.416666668606922</v>
      </c>
      <c r="O89" s="7"/>
      <c r="P89" s="7"/>
      <c r="Q89" s="22"/>
      <c r="R89" s="167"/>
      <c r="S89" s="217">
        <f t="shared" si="46"/>
        <v>1</v>
      </c>
      <c r="T89" s="175" t="str">
        <f t="shared" si="31"/>
        <v>Southbound</v>
      </c>
      <c r="U89" s="20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26" t="str">
        <f t="shared" si="32"/>
        <v>https://d0f6bd738d7f1b3e5a7ca70fe4ff75f0.us-east-1.aws.found.io/app/kibana#/discover/Steve-Slow-Train-Analysis-(2080s-and-2083s)?_g=(refreshInterval:(display:Off,pause:!f,section:0,value:0),time:(from:'2017-09-14T12:36:33-0600',mode:absolute,to:'2017-09-14T15:17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9" s="210" t="str">
        <f>IF(AA89&lt;VLOOKUP(AG89,Variables!$AC$3:$AD$8,2,FALSE),"Y","N")</f>
        <v>Y</v>
      </c>
      <c r="X89" s="210">
        <f t="shared" si="33"/>
        <v>1</v>
      </c>
      <c r="Y89" s="210">
        <f t="shared" si="34"/>
        <v>23.299600000000002</v>
      </c>
      <c r="Z89" s="210">
        <f t="shared" si="35"/>
        <v>0.31690000000000002</v>
      </c>
      <c r="AA89" s="210">
        <f t="shared" si="36"/>
        <v>22.982700000000001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83">
        <f t="shared" si="37"/>
        <v>174</v>
      </c>
      <c r="AE89" s="77" t="str">
        <f t="shared" si="38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89" s="74" t="str">
        <f t="shared" si="39"/>
        <v>"C:\Program Files (x86)\AstroGrep\AstroGrep.exe" /e /r /s /spath="%USERPROFILE%\AppData\Local\Temp\OnboardLogs" /stypes="app*4025*20170914*" /stext=" 20:.+((SYSTEM_STATE.+slice.+state.+changed )|(ment ac)|(multiple cpu faults)|(system.+state.+changed )|(\[timeout)|(PRM\|1\|D)|(kpr)|(kdp)|(train st.+moving)|(\|lc)|(penalty))"</v>
      </c>
      <c r="AG89" s="186" t="str">
        <f t="shared" si="40"/>
        <v>EC</v>
      </c>
      <c r="AH89" s="78" t="str">
        <f t="shared" si="41"/>
        <v>"%USERPROFILE%\Documents\GitHub\eaglep3\Utilities\RefineRTDCRunTimes.py" --tripid 174-14 --locoid 4025 --swversion DE.1.0.9.0 --startMP 204:232996 --initTime 2017-09-14T13:36:33 --startdatetime 2017-09-14T13:42:14 --delay 92 --endMP 204:3169 --enddatetime 2017-09-14T14:17:39 --enforcementcount 1 &gt;&gt;C:\Users\stu\Documents\GitHub\eaglep3-reporting\EC\2017-09-14-refined-times.txt</v>
      </c>
      <c r="AI8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{"issue":{"subject":"","project_id":79,"tracker_id":40,"status_id":1,"priority_id":2,"assigned_to_id":338,"start_date":"2017-09-14","description":"","custom_fields":[{"id":1,"name":"Subdivision","value":"EC"},{"id":4,"name":"Milepost","value":"0.3169"},{"id":17,"name":"Train ID","value":"174-14"},{"id":16,"name":"Locomotive ID","value":"4025"},{"id":130,"name":"Impact","value":""},{"id":150,"name":"Time of Event (Mountain Time)","value":"14:17:39"},{"id":151,"name":"Denver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4025 --day 2017-09-14</v>
      </c>
      <c r="AN8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20:17:39"},{"id":29,"name":"Sharepoint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715</v>
      </c>
      <c r="B90" s="7">
        <v>4030</v>
      </c>
      <c r="C90" s="21" t="s">
        <v>197</v>
      </c>
      <c r="D90" s="21" t="s">
        <v>421</v>
      </c>
      <c r="E90" s="13">
        <v>42992.539930555555</v>
      </c>
      <c r="F90" s="13">
        <v>42992.54184027778</v>
      </c>
      <c r="G90" s="7">
        <v>68</v>
      </c>
      <c r="H90" s="21" t="s">
        <v>449</v>
      </c>
      <c r="I90" s="13">
        <v>42992.566550925927</v>
      </c>
      <c r="J90" s="7">
        <v>1</v>
      </c>
      <c r="K90" s="89" t="str">
        <f t="shared" si="29"/>
        <v>4029/4030</v>
      </c>
      <c r="L90" s="189" t="str">
        <f>VLOOKUP(A90,'Trips&amp;Operators'!$C$1:$G$99911,5,FALSE)</f>
        <v>BRUDER RICHARD</v>
      </c>
      <c r="M90" s="6">
        <f t="shared" si="30"/>
        <v>2.47106481474475E-2</v>
      </c>
      <c r="N90" s="7">
        <f t="shared" si="45"/>
        <v>35.583333332324401</v>
      </c>
      <c r="O90" s="7"/>
      <c r="P90" s="7"/>
      <c r="Q90" s="22"/>
      <c r="R90" s="167"/>
      <c r="S90" s="217">
        <f t="shared" si="46"/>
        <v>1</v>
      </c>
      <c r="T90" s="175" t="str">
        <f t="shared" si="31"/>
        <v>NorthBound</v>
      </c>
      <c r="U90" s="20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26" t="str">
        <f t="shared" si="32"/>
        <v>https://d0f6bd738d7f1b3e5a7ca70fe4ff75f0.us-east-1.aws.found.io/app/kibana#/discover/Steve-Slow-Train-Analysis-(2080s-and-2083s)?_g=(refreshInterval:(display:Off,pause:!f,section:0,value:0),time:(from:'2017-09-14T11:57:30-0600',mode:absolute,to:'2017-09-14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210" t="str">
        <f>IF(AA90&lt;VLOOKUP(AG90,Variables!$AC$3:$AD$8,2,FALSE),"Y","N")</f>
        <v>N</v>
      </c>
      <c r="X90" s="210">
        <f t="shared" si="33"/>
        <v>1</v>
      </c>
      <c r="Y90" s="210">
        <f t="shared" si="34"/>
        <v>4.6199999999999998E-2</v>
      </c>
      <c r="Z90" s="210">
        <f t="shared" si="35"/>
        <v>23.3307</v>
      </c>
      <c r="AA90" s="210">
        <f t="shared" si="36"/>
        <v>23.284500000000001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83">
        <f t="shared" si="37"/>
        <v>175</v>
      </c>
      <c r="AE90" s="77" t="str">
        <f t="shared" si="38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90" s="74" t="str">
        <f t="shared" si="39"/>
        <v>"C:\Program Files (x86)\AstroGrep\AstroGrep.exe" /e /r /s /spath="%USERPROFILE%\AppData\Local\Temp\OnboardLogs" /stypes="app*4030*20170914*" /stext=" 19:.+((SYSTEM_STATE.+slice.+state.+changed )|(ment ac)|(multiple cpu faults)|(system.+state.+changed )|(\[timeout)|(PRM\|1\|D)|(kpr)|(kdp)|(train st.+moving)|(\|lc)|(penalty))"</v>
      </c>
      <c r="AG90" s="186" t="str">
        <f t="shared" si="40"/>
        <v>EC</v>
      </c>
      <c r="AH90" s="78" t="str">
        <f t="shared" si="41"/>
        <v>"%USERPROFILE%\Documents\GitHub\eaglep3\Utilities\RefineRTDCRunTimes.py" --tripid 175-14 --locoid 4030 --swversion DE.1.0.9.0 --startMP 204:462 --initTime 2017-09-14T12:57:30 --startdatetime 2017-09-14T13:00:15 --delay 68 --endMP 204:233307 --enddatetime 2017-09-14T13:35:50 --enforcementcount 1 &gt;&gt;C:\Users\stu\Documents\GitHub\eaglep3-reporting\EC\2017-09-14-refined-times.txt</v>
      </c>
      <c r="AI9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{"issue":{"subject":"","project_id":79,"tracker_id":40,"status_id":1,"priority_id":2,"assigned_to_id":338,"start_date":"2017-09-14","description":"","custom_fields":[{"id":1,"name":"Subdivision","value":"EC"},{"id":4,"name":"Milepost","value":"23.3307"},{"id":17,"name":"Train ID","value":"175-14"},{"id":16,"name":"Locomotive ID","value":"4030"},{"id":130,"name":"Impact","value":""},{"id":150,"name":"Time of Event (Mountain Time)","value":"13:35:50"},{"id":151,"name":"Denver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4030 --day 2017-09-14</v>
      </c>
      <c r="AN9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723</v>
      </c>
      <c r="B91" s="7">
        <v>4029</v>
      </c>
      <c r="C91" s="21" t="s">
        <v>197</v>
      </c>
      <c r="D91" s="21" t="s">
        <v>853</v>
      </c>
      <c r="E91" s="13">
        <v>42992.577731481484</v>
      </c>
      <c r="F91" s="13">
        <v>42992.581504629627</v>
      </c>
      <c r="G91" s="7">
        <v>72</v>
      </c>
      <c r="H91" s="21" t="s">
        <v>338</v>
      </c>
      <c r="I91" s="13">
        <v>42992.607361111113</v>
      </c>
      <c r="J91" s="7">
        <v>1</v>
      </c>
      <c r="K91" s="89" t="str">
        <f t="shared" si="29"/>
        <v>4029/4030</v>
      </c>
      <c r="L91" s="189" t="str">
        <f>VLOOKUP(A91,'Trips&amp;Operators'!$C$1:$G$99911,5,FALSE)</f>
        <v>BRUDER RICHARD</v>
      </c>
      <c r="M91" s="6">
        <f t="shared" si="30"/>
        <v>2.5856481486698613E-2</v>
      </c>
      <c r="N91" s="7">
        <f t="shared" si="45"/>
        <v>37.233333340846002</v>
      </c>
      <c r="O91" s="7"/>
      <c r="P91" s="7"/>
      <c r="Q91" s="22"/>
      <c r="R91" s="167"/>
      <c r="S91" s="217">
        <f t="shared" si="46"/>
        <v>1</v>
      </c>
      <c r="T91" s="175" t="str">
        <f t="shared" si="31"/>
        <v>Southbound</v>
      </c>
      <c r="U91" s="20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26" t="str">
        <f t="shared" si="32"/>
        <v>https://d0f6bd738d7f1b3e5a7ca70fe4ff75f0.us-east-1.aws.found.io/app/kibana#/discover/Steve-Slow-Train-Analysis-(2080s-and-2083s)?_g=(refreshInterval:(display:Off,pause:!f,section:0,value:0),time:(from:'2017-09-14T12:51:56-0600',mode:absolute,to:'2017-09-14T15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1" s="210" t="str">
        <f>IF(AA91&lt;VLOOKUP(AG91,Variables!$AC$3:$AD$8,2,FALSE),"Y","N")</f>
        <v>N</v>
      </c>
      <c r="X91" s="210">
        <f t="shared" si="33"/>
        <v>1</v>
      </c>
      <c r="Y91" s="210">
        <f t="shared" si="34"/>
        <v>23.2973</v>
      </c>
      <c r="Z91" s="210">
        <f t="shared" si="35"/>
        <v>1.4999999999999999E-2</v>
      </c>
      <c r="AA91" s="210">
        <f t="shared" si="36"/>
        <v>23.282299999999999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83">
        <f t="shared" si="37"/>
        <v>176</v>
      </c>
      <c r="AE91" s="77" t="str">
        <f t="shared" si="38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91" s="74" t="str">
        <f t="shared" si="39"/>
        <v>"C:\Program Files (x86)\AstroGrep\AstroGrep.exe" /e /r /s /spath="%USERPROFILE%\AppData\Local\Temp\OnboardLogs" /stypes="app*4029*20170914*" /stext=" 20:.+((SYSTEM_STATE.+slice.+state.+changed )|(ment ac)|(multiple cpu faults)|(system.+state.+changed )|(\[timeout)|(PRM\|1\|D)|(kpr)|(kdp)|(train st.+moving)|(\|lc)|(penalty))"</v>
      </c>
      <c r="AG91" s="186" t="str">
        <f t="shared" si="40"/>
        <v>EC</v>
      </c>
      <c r="AH91" s="78" t="str">
        <f t="shared" si="41"/>
        <v>"%USERPROFILE%\Documents\GitHub\eaglep3\Utilities\RefineRTDCRunTimes.py" --tripid 176-14 --locoid 4029 --swversion DE.1.0.9.0 --startMP 204:232973 --initTime 2017-09-14T13:51:56 --startdatetime 2017-09-14T13:57:22 --delay 72 --endMP 204:150 --enddatetime 2017-09-14T14:34:36 --enforcementcount 1 &gt;&gt;C:\Users\stu\Documents\GitHub\eaglep3-reporting\EC\2017-09-14-refined-times.txt</v>
      </c>
      <c r="AI9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ID","value":"176-14"},{"id":16,"name":"Locomotive ID","value":"4029"},{"id":130,"name":"Impact","value":""},{"id":150,"name":"Time of Event (Mountain Time)","value":"14:34:36"},{"id":151,"name":"Denver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4029 --day 2017-09-14</v>
      </c>
      <c r="AN9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718</v>
      </c>
      <c r="B92" s="7">
        <v>4032</v>
      </c>
      <c r="C92" s="21" t="s">
        <v>197</v>
      </c>
      <c r="D92" s="21" t="s">
        <v>382</v>
      </c>
      <c r="E92" s="13">
        <v>42992.547777777778</v>
      </c>
      <c r="F92" s="13">
        <v>42992.552256944444</v>
      </c>
      <c r="G92" s="7">
        <v>67</v>
      </c>
      <c r="H92" s="21" t="s">
        <v>451</v>
      </c>
      <c r="I92" s="13">
        <v>42992.577777777777</v>
      </c>
      <c r="J92" s="7">
        <v>1</v>
      </c>
      <c r="K92" s="89" t="str">
        <f t="shared" si="29"/>
        <v>4031/4032</v>
      </c>
      <c r="L92" s="189" t="str">
        <f>VLOOKUP(A92,'Trips&amp;Operators'!$C$1:$G$99911,5,FALSE)</f>
        <v>ROBINSON KADDIBA</v>
      </c>
      <c r="M92" s="6">
        <f t="shared" si="30"/>
        <v>2.5520833332848269E-2</v>
      </c>
      <c r="N92" s="7">
        <f t="shared" si="45"/>
        <v>36.749999999301508</v>
      </c>
      <c r="O92" s="7"/>
      <c r="P92" s="7"/>
      <c r="Q92" s="22"/>
      <c r="R92" s="167"/>
      <c r="S92" s="217">
        <f t="shared" si="46"/>
        <v>1</v>
      </c>
      <c r="T92" s="175" t="str">
        <f t="shared" si="31"/>
        <v>NorthBound</v>
      </c>
      <c r="U92" s="20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26" t="str">
        <f t="shared" si="32"/>
        <v>https://d0f6bd738d7f1b3e5a7ca70fe4ff75f0.us-east-1.aws.found.io/app/kibana#/discover/Steve-Slow-Train-Analysis-(2080s-and-2083s)?_g=(refreshInterval:(display:Off,pause:!f,section:0,value:0),time:(from:'2017-09-14T12:08:48-0600',mode:absolute,to:'2017-09-14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210" t="str">
        <f>IF(AA92&lt;VLOOKUP(AG92,Variables!$AC$3:$AD$8,2,FALSE),"Y","N")</f>
        <v>N</v>
      </c>
      <c r="X92" s="210">
        <f t="shared" si="33"/>
        <v>1</v>
      </c>
      <c r="Y92" s="210">
        <f t="shared" si="34"/>
        <v>4.5999999999999999E-2</v>
      </c>
      <c r="Z92" s="210">
        <f t="shared" si="35"/>
        <v>23.331499999999998</v>
      </c>
      <c r="AA92" s="210">
        <f t="shared" si="36"/>
        <v>23.285499999999999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83">
        <f t="shared" si="37"/>
        <v>177</v>
      </c>
      <c r="AE92" s="77" t="str">
        <f t="shared" si="38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92" s="74" t="str">
        <f t="shared" si="39"/>
        <v>"C:\Program Files (x86)\AstroGrep\AstroGrep.exe" /e /r /s /spath="%USERPROFILE%\AppData\Local\Temp\OnboardLogs" /stypes="app*4032*20170914*" /stext=" 19:.+((SYSTEM_STATE.+slice.+state.+changed )|(ment ac)|(multiple cpu faults)|(system.+state.+changed )|(\[timeout)|(PRM\|1\|D)|(kpr)|(kdp)|(train st.+moving)|(\|lc)|(penalty))"</v>
      </c>
      <c r="AG92" s="186" t="str">
        <f t="shared" si="40"/>
        <v>EC</v>
      </c>
      <c r="AH92" s="78" t="str">
        <f t="shared" si="41"/>
        <v>"%USERPROFILE%\Documents\GitHub\eaglep3\Utilities\RefineRTDCRunTimes.py" --tripid 177-14 --locoid 4032 --swversion DE.1.0.9.0 --startMP 204:460 --initTime 2017-09-14T13:08:48 --startdatetime 2017-09-14T13:15:15 --delay 67 --endMP 204:233315 --enddatetime 2017-09-14T13:52:00 --enforcementcount 1 &gt;&gt;C:\Users\stu\Documents\GitHub\eaglep3-reporting\EC\2017-09-14-refined-times.txt</v>
      </c>
      <c r="AI9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{"issue":{"subject":"","project_id":79,"tracker_id":40,"status_id":1,"priority_id":2,"assigned_to_id":338,"start_date":"2017-09-14","description":"","custom_fields":[{"id":1,"name":"Subdivision","value":"EC"},{"id":4,"name":"Milepost","value":"23.3315"},{"id":17,"name":"Train ID","value":"177-14"},{"id":16,"name":"Locomotive ID","value":"4032"},{"id":130,"name":"Impact","value":""},{"id":150,"name":"Time of Event (Mountain Time)","value":"13:52:00"},{"id":151,"name":"Denver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4032 --day 2017-09-14</v>
      </c>
      <c r="AN9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725</v>
      </c>
      <c r="B93" s="7">
        <v>4031</v>
      </c>
      <c r="C93" s="21" t="s">
        <v>197</v>
      </c>
      <c r="D93" s="21" t="s">
        <v>484</v>
      </c>
      <c r="E93" s="13">
        <v>42992.589456018519</v>
      </c>
      <c r="F93" s="13">
        <v>42992.591979166667</v>
      </c>
      <c r="G93" s="7">
        <v>99</v>
      </c>
      <c r="H93" s="21" t="s">
        <v>866</v>
      </c>
      <c r="I93" s="13">
        <v>42992.619155092594</v>
      </c>
      <c r="J93" s="7">
        <v>1</v>
      </c>
      <c r="K93" s="89" t="str">
        <f t="shared" si="29"/>
        <v>4031/4032</v>
      </c>
      <c r="L93" s="189" t="str">
        <f>VLOOKUP(A93,'Trips&amp;Operators'!$C$1:$G$99911,5,FALSE)</f>
        <v>ROBINSON KADDIBA</v>
      </c>
      <c r="M93" s="6">
        <f t="shared" si="30"/>
        <v>2.7175925926712807E-2</v>
      </c>
      <c r="N93" s="7">
        <f t="shared" si="45"/>
        <v>39.133333334466442</v>
      </c>
      <c r="O93" s="7"/>
      <c r="P93" s="7"/>
      <c r="Q93" s="22"/>
      <c r="R93" s="167"/>
      <c r="S93" s="217">
        <f t="shared" si="46"/>
        <v>1</v>
      </c>
      <c r="T93" s="175" t="str">
        <f t="shared" si="31"/>
        <v>Southbound</v>
      </c>
      <c r="U93" s="20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26" t="str">
        <f t="shared" si="32"/>
        <v>https://d0f6bd738d7f1b3e5a7ca70fe4ff75f0.us-east-1.aws.found.io/app/kibana#/discover/Steve-Slow-Train-Analysis-(2080s-and-2083s)?_g=(refreshInterval:(display:Off,pause:!f,section:0,value:0),time:(from:'2017-09-14T13:08:49-0600',mode:absolute,to:'2017-09-14T15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210" t="str">
        <f>IF(AA93&lt;VLOOKUP(AG93,Variables!$AC$3:$AD$8,2,FALSE),"Y","N")</f>
        <v>N</v>
      </c>
      <c r="X93" s="210">
        <f t="shared" si="33"/>
        <v>1</v>
      </c>
      <c r="Y93" s="210">
        <f t="shared" si="34"/>
        <v>23.299099999999999</v>
      </c>
      <c r="Z93" s="210">
        <f t="shared" si="35"/>
        <v>3.27E-2</v>
      </c>
      <c r="AA93" s="210">
        <f t="shared" si="36"/>
        <v>23.266400000000001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83">
        <f t="shared" si="37"/>
        <v>178</v>
      </c>
      <c r="AE93" s="77" t="str">
        <f t="shared" si="38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93" s="74" t="str">
        <f t="shared" si="39"/>
        <v>"C:\Program Files (x86)\AstroGrep\AstroGrep.exe" /e /r /s /spath="%USERPROFILE%\AppData\Local\Temp\OnboardLogs" /stypes="app*4031*20170914*" /stext=" 20:.+((SYSTEM_STATE.+slice.+state.+changed )|(ment ac)|(multiple cpu faults)|(system.+state.+changed )|(\[timeout)|(PRM\|1\|D)|(kpr)|(kdp)|(train st.+moving)|(\|lc)|(penalty))"</v>
      </c>
      <c r="AG93" s="186" t="str">
        <f t="shared" si="40"/>
        <v>EC</v>
      </c>
      <c r="AH93" s="78" t="str">
        <f t="shared" si="41"/>
        <v>"%USERPROFILE%\Documents\GitHub\eaglep3\Utilities\RefineRTDCRunTimes.py" --tripid 178-14 --locoid 4031 --swversion DE.1.0.9.0 --startMP 204:232991 --initTime 2017-09-14T14:08:49 --startdatetime 2017-09-14T14:12:27 --delay 99 --endMP 204:327 --enddatetime 2017-09-14T14:51:35 --enforcementcount 1 &gt;&gt;C:\Users\stu\Documents\GitHub\eaglep3-reporting\EC\2017-09-14-refined-times.txt</v>
      </c>
      <c r="AI93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{"issue":{"subject":"","project_id":79,"tracker_id":40,"status_id":1,"priority_id":2,"assigned_to_id":338,"start_date":"2017-09-14","description":"","custom_fields":[{"id":1,"name":"Subdivision","value":"EC"},{"id":4,"name":"Milepost","value":"0.0327"},{"id":17,"name":"Train ID","value":"178-14"},{"id":16,"name":"Locomotive ID","value":"4031"},{"id":130,"name":"Impact","value":""},{"id":150,"name":"Time of Event (Mountain Time)","value":"14:51:35"},{"id":151,"name":"Denver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4031 --day 2017-09-14</v>
      </c>
      <c r="AN93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720</v>
      </c>
      <c r="B94" s="7">
        <v>4062</v>
      </c>
      <c r="C94" s="21" t="s">
        <v>197</v>
      </c>
      <c r="D94" s="21" t="s">
        <v>364</v>
      </c>
      <c r="E94" s="13">
        <v>42992.560312499998</v>
      </c>
      <c r="F94" s="13">
        <v>42992.562662037039</v>
      </c>
      <c r="G94" s="7">
        <v>53</v>
      </c>
      <c r="H94" s="21" t="s">
        <v>867</v>
      </c>
      <c r="I94" s="13">
        <v>42992.586585648147</v>
      </c>
      <c r="J94" s="7">
        <v>1</v>
      </c>
      <c r="K94" s="89" t="str">
        <f t="shared" si="29"/>
        <v>4061/4062</v>
      </c>
      <c r="L94" s="189" t="str">
        <f>VLOOKUP(A94,'Trips&amp;Operators'!$C$1:$G$99911,5,FALSE)</f>
        <v>LEVIN SCOTT</v>
      </c>
      <c r="M94" s="6">
        <f t="shared" si="30"/>
        <v>2.3923611108330078E-2</v>
      </c>
      <c r="N94" s="7">
        <f t="shared" si="45"/>
        <v>34.449999995995313</v>
      </c>
      <c r="O94" s="7"/>
      <c r="P94" s="7"/>
      <c r="Q94" s="22"/>
      <c r="R94" s="167"/>
      <c r="S94" s="217">
        <f t="shared" si="46"/>
        <v>1</v>
      </c>
      <c r="T94" s="175" t="str">
        <f t="shared" si="31"/>
        <v>NorthBound</v>
      </c>
      <c r="U94" s="20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26" t="str">
        <f t="shared" si="32"/>
        <v>https://d0f6bd738d7f1b3e5a7ca70fe4ff75f0.us-east-1.aws.found.io/app/kibana#/discover/Steve-Slow-Train-Analysis-(2080s-and-2083s)?_g=(refreshInterval:(display:Off,pause:!f,section:0,value:0),time:(from:'2017-09-14T12:26:51-0600',mode:absolute,to:'2017-09-14T15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210" t="str">
        <f>IF(AA94&lt;VLOOKUP(AG94,Variables!$AC$3:$AD$8,2,FALSE),"Y","N")</f>
        <v>N</v>
      </c>
      <c r="X94" s="210">
        <f t="shared" si="33"/>
        <v>1</v>
      </c>
      <c r="Y94" s="210">
        <f t="shared" si="34"/>
        <v>4.6399999999999997E-2</v>
      </c>
      <c r="Z94" s="210">
        <f t="shared" si="35"/>
        <v>23.335699999999999</v>
      </c>
      <c r="AA94" s="210">
        <f t="shared" si="36"/>
        <v>23.289300000000001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183">
        <f t="shared" si="37"/>
        <v>179</v>
      </c>
      <c r="AE94" s="77" t="str">
        <f t="shared" si="38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94" s="74" t="str">
        <f t="shared" si="39"/>
        <v>"C:\Program Files (x86)\AstroGrep\AstroGrep.exe" /e /r /s /spath="%USERPROFILE%\AppData\Local\Temp\OnboardLogs" /stypes="app*4062*20170914*" /stext=" 20:.+((SYSTEM_STATE.+slice.+state.+changed )|(ment ac)|(multiple cpu faults)|(system.+state.+changed )|(\[timeout)|(PRM\|1\|D)|(kpr)|(kdp)|(train st.+moving)|(\|lc)|(penalty))"</v>
      </c>
      <c r="AG94" s="186" t="str">
        <f t="shared" si="40"/>
        <v>EC</v>
      </c>
      <c r="AH94" s="78" t="str">
        <f t="shared" si="41"/>
        <v>"%USERPROFILE%\Documents\GitHub\eaglep3\Utilities\RefineRTDCRunTimes.py" --tripid 179-14 --locoid 4062 --swversion DE.1.0.9.0 --startMP 204:464 --initTime 2017-09-14T13:26:51 --startdatetime 2017-09-14T13:30:14 --delay 53 --endMP 204:233357 --enddatetime 2017-09-14T14:04:41 --enforcementcount 1 &gt;&gt;C:\Users\stu\Documents\GitHub\eaglep3-reporting\EC\2017-09-14-refined-times.txt</v>
      </c>
      <c r="AI9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{"issue":{"subject":"","project_id":79,"tracker_id":40,"status_id":1,"priority_id":2,"assigned_to_id":338,"start_date":"2017-09-14","description":"","custom_fields":[{"id":1,"name":"Subdivision","value":"EC"},{"id":4,"name":"Milepost","value":"23.3357"},{"id":17,"name":"Train ID","value":"179-14"},{"id":16,"name":"Locomotive ID","value":"4062"},{"id":130,"name":"Impact","value":""},{"id":150,"name":"Time of Event (Mountain Time)","value":"14:04:41"},{"id":151,"name":"Denver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4062 --day 2017-09-14</v>
      </c>
      <c r="AN9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727</v>
      </c>
      <c r="B95" s="7">
        <v>4061</v>
      </c>
      <c r="C95" s="21" t="s">
        <v>197</v>
      </c>
      <c r="D95" s="21" t="s">
        <v>438</v>
      </c>
      <c r="E95" s="13">
        <v>42992.590879629628</v>
      </c>
      <c r="F95" s="13">
        <v>42992.602361111109</v>
      </c>
      <c r="G95" s="7">
        <v>57</v>
      </c>
      <c r="H95" s="21" t="s">
        <v>381</v>
      </c>
      <c r="I95" s="13">
        <v>42992.628310185188</v>
      </c>
      <c r="J95" s="7">
        <v>1</v>
      </c>
      <c r="K95" s="89" t="str">
        <f t="shared" si="29"/>
        <v>4061/4062</v>
      </c>
      <c r="L95" s="189" t="str">
        <f>VLOOKUP(A95,'Trips&amp;Operators'!$C$1:$G$99911,5,FALSE)</f>
        <v>LEVIN SCOTT</v>
      </c>
      <c r="M95" s="6">
        <f t="shared" si="30"/>
        <v>2.5949074079107959E-2</v>
      </c>
      <c r="N95" s="7">
        <f t="shared" si="45"/>
        <v>37.366666673915461</v>
      </c>
      <c r="O95" s="7"/>
      <c r="P95" s="7"/>
      <c r="Q95" s="22"/>
      <c r="R95" s="167"/>
      <c r="S95" s="217">
        <f t="shared" si="46"/>
        <v>1</v>
      </c>
      <c r="T95" s="175" t="str">
        <f t="shared" si="31"/>
        <v>Southbound</v>
      </c>
      <c r="U95" s="20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26" t="str">
        <f t="shared" si="32"/>
        <v>https://d0f6bd738d7f1b3e5a7ca70fe4ff75f0.us-east-1.aws.found.io/app/kibana#/discover/Steve-Slow-Train-Analysis-(2080s-and-2083s)?_g=(refreshInterval:(display:Off,pause:!f,section:0,value:0),time:(from:'2017-09-14T13:10:52-0600',mode:absolute,to:'2017-09-14T16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210" t="str">
        <f>IF(AA95&lt;VLOOKUP(AG95,Variables!$AC$3:$AD$8,2,FALSE),"Y","N")</f>
        <v>N</v>
      </c>
      <c r="X95" s="210">
        <f t="shared" si="33"/>
        <v>1</v>
      </c>
      <c r="Y95" s="210">
        <f t="shared" si="34"/>
        <v>23.301300000000001</v>
      </c>
      <c r="Z95" s="210">
        <f t="shared" si="35"/>
        <v>1.6E-2</v>
      </c>
      <c r="AA95" s="210">
        <f t="shared" si="36"/>
        <v>23.285300000000003</v>
      </c>
      <c r="AB95" s="54" t="e">
        <f>VLOOKUP(A95,Enforcements!$C$7:$K$11,8,0)</f>
        <v>#N/A</v>
      </c>
      <c r="AC95" s="51" t="e">
        <f>VLOOKUP(A95,Enforcements!$C$7:$E$11,3,0)</f>
        <v>#N/A</v>
      </c>
      <c r="AD95" s="183">
        <f t="shared" si="37"/>
        <v>180</v>
      </c>
      <c r="AE95" s="77" t="str">
        <f t="shared" si="38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95" s="74" t="str">
        <f t="shared" si="39"/>
        <v>"C:\Program Files (x86)\AstroGrep\AstroGrep.exe" /e /r /s /spath="%USERPROFILE%\AppData\Local\Temp\OnboardLogs" /stypes="app*4061*20170914*" /stext=" 21:.+((SYSTEM_STATE.+slice.+state.+changed )|(ment ac)|(multiple cpu faults)|(system.+state.+changed )|(\[timeout)|(PRM\|1\|D)|(kpr)|(kdp)|(train st.+moving)|(\|lc)|(penalty))"</v>
      </c>
      <c r="AG95" s="186" t="str">
        <f t="shared" si="40"/>
        <v>EC</v>
      </c>
      <c r="AH95" s="78" t="str">
        <f t="shared" si="41"/>
        <v>"%USERPROFILE%\Documents\GitHub\eaglep3\Utilities\RefineRTDCRunTimes.py" --tripid 180-14 --locoid 4061 --swversion DE.1.0.9.0 --startMP 204:233013 --initTime 2017-09-14T14:10:52 --startdatetime 2017-09-14T14:27:24 --delay 57 --endMP 204:160 --enddatetime 2017-09-14T15:04:46 --enforcementcount 1 &gt;&gt;C:\Users\stu\Documents\GitHub\eaglep3-reporting\EC\2017-09-14-refined-times.txt</v>
      </c>
      <c r="AI95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{"issue":{"subject":"","project_id":79,"tracker_id":40,"status_id":1,"priority_id":2,"assigned_to_id":338,"start_date":"2017-09-14","description":"","custom_fields":[{"id":1,"name":"Subdivision","value":"EC"},{"id":4,"name":"Milepost","value":"0.016"},{"id":17,"name":"Train ID","value":"180-14"},{"id":16,"name":"Locomotive ID","value":"4061"},{"id":130,"name":"Impact","value":""},{"id":150,"name":"Time of Event (Mountain Time)","value":"15:04:46"},{"id":151,"name":"Denver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4061 --day 2017-09-14</v>
      </c>
      <c r="AN9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722</v>
      </c>
      <c r="B96" s="7">
        <v>4004</v>
      </c>
      <c r="C96" s="21" t="s">
        <v>197</v>
      </c>
      <c r="D96" s="21" t="s">
        <v>423</v>
      </c>
      <c r="E96" s="13">
        <v>42992.569027777776</v>
      </c>
      <c r="F96" s="13">
        <v>42992.573101851849</v>
      </c>
      <c r="G96" s="7">
        <v>47</v>
      </c>
      <c r="H96" s="21" t="s">
        <v>842</v>
      </c>
      <c r="I96" s="13">
        <v>42992.597361111111</v>
      </c>
      <c r="J96" s="7">
        <v>1</v>
      </c>
      <c r="K96" s="89" t="str">
        <f t="shared" si="29"/>
        <v>4003/4004</v>
      </c>
      <c r="L96" s="189" t="str">
        <f>VLOOKUP(A96,'Trips&amp;Operators'!$C$1:$G$99911,5,FALSE)</f>
        <v>DELGADO DIANAH</v>
      </c>
      <c r="M96" s="6">
        <f t="shared" si="30"/>
        <v>2.4259259262180422E-2</v>
      </c>
      <c r="N96" s="7">
        <f t="shared" si="45"/>
        <v>34.933333337539807</v>
      </c>
      <c r="O96" s="7"/>
      <c r="P96" s="7"/>
      <c r="Q96" s="22"/>
      <c r="R96" s="167"/>
      <c r="S96" s="217">
        <f t="shared" si="46"/>
        <v>1</v>
      </c>
      <c r="T96" s="175" t="str">
        <f t="shared" si="31"/>
        <v>NorthBound</v>
      </c>
      <c r="U96" s="20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26" t="str">
        <f t="shared" si="32"/>
        <v>https://d0f6bd738d7f1b3e5a7ca70fe4ff75f0.us-east-1.aws.found.io/app/kibana#/discover/Steve-Slow-Train-Analysis-(2080s-and-2083s)?_g=(refreshInterval:(display:Off,pause:!f,section:0,value:0),time:(from:'2017-09-14T12:39:24-0600',mode:absolute,to:'2017-09-14T15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10" t="str">
        <f>IF(AA96&lt;VLOOKUP(AG96,Variables!$AC$3:$AD$8,2,FALSE),"Y","N")</f>
        <v>N</v>
      </c>
      <c r="X96" s="210">
        <f t="shared" si="33"/>
        <v>1</v>
      </c>
      <c r="Y96" s="210">
        <f t="shared" si="34"/>
        <v>4.5100000000000001E-2</v>
      </c>
      <c r="Z96" s="210">
        <f t="shared" si="35"/>
        <v>23.334399999999999</v>
      </c>
      <c r="AA96" s="210">
        <f t="shared" si="36"/>
        <v>23.289299999999997</v>
      </c>
      <c r="AB96" s="54" t="e">
        <f>VLOOKUP(A96,Enforcements!$C$7:$K$11,8,0)</f>
        <v>#N/A</v>
      </c>
      <c r="AC96" s="51" t="e">
        <f>VLOOKUP(A96,Enforcements!$C$7:$E$11,3,0)</f>
        <v>#N/A</v>
      </c>
      <c r="AD96" s="183">
        <f t="shared" si="37"/>
        <v>181</v>
      </c>
      <c r="AE96" s="77" t="str">
        <f t="shared" si="38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96" s="74" t="str">
        <f t="shared" si="39"/>
        <v>"C:\Program Files (x86)\AstroGrep\AstroGrep.exe" /e /r /s /spath="%USERPROFILE%\AppData\Local\Temp\OnboardLogs" /stypes="app*4004*20170914*" /stext=" 20:.+((SYSTEM_STATE.+slice.+state.+changed )|(ment ac)|(multiple cpu faults)|(system.+state.+changed )|(\[timeout)|(PRM\|1\|D)|(kpr)|(kdp)|(train st.+moving)|(\|lc)|(penalty))"</v>
      </c>
      <c r="AG96" s="186" t="str">
        <f t="shared" si="40"/>
        <v>EC</v>
      </c>
      <c r="AH96" s="78" t="str">
        <f t="shared" si="41"/>
        <v>"%USERPROFILE%\Documents\GitHub\eaglep3\Utilities\RefineRTDCRunTimes.py" --tripid 181-14 --locoid 4004 --swversion DE.1.0.9.0 --startMP 204:451 --initTime 2017-09-14T13:39:24 --startdatetime 2017-09-14T13:45:16 --delay 47 --endMP 204:233344 --enddatetime 2017-09-14T14:20:12 --enforcementcount 1 &gt;&gt;C:\Users\stu\Documents\GitHub\eaglep3-reporting\EC\2017-09-14-refined-times.txt</v>
      </c>
      <c r="AI9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{"issue":{"subject":"","project_id":79,"tracker_id":40,"status_id":1,"priority_id":2,"assigned_to_id":338,"start_date":"2017-09-14","description":"","custom_fields":[{"id":1,"name":"Subdivision","value":"EC"},{"id":4,"name":"Milepost","value":"23.3344"},{"id":17,"name":"Train ID","value":"181-14"},{"id":16,"name":"Locomotive ID","value":"4004"},{"id":130,"name":"Impact","value":""},{"id":150,"name":"Time of Event (Mountain Time)","value":"14:20:12"},{"id":151,"name":"Denver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4004 --day 2017-09-14</v>
      </c>
      <c r="AN9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730</v>
      </c>
      <c r="B97" s="7">
        <v>4003</v>
      </c>
      <c r="C97" s="21" t="s">
        <v>197</v>
      </c>
      <c r="D97" s="21" t="s">
        <v>1007</v>
      </c>
      <c r="E97" s="13">
        <v>42992.606770833336</v>
      </c>
      <c r="F97" s="13">
        <v>42992.612708333334</v>
      </c>
      <c r="G97" s="7">
        <v>90</v>
      </c>
      <c r="H97" s="21" t="s">
        <v>1008</v>
      </c>
      <c r="I97" s="13">
        <v>42992.638136574074</v>
      </c>
      <c r="J97" s="7">
        <v>1</v>
      </c>
      <c r="K97" s="89" t="str">
        <f t="shared" si="29"/>
        <v>4003/4004</v>
      </c>
      <c r="L97" s="189" t="str">
        <f>VLOOKUP(A97,'Trips&amp;Operators'!$C$1:$G$99911,5,FALSE)</f>
        <v>DELGADO DIANAH</v>
      </c>
      <c r="M97" s="6">
        <f t="shared" si="30"/>
        <v>2.5428240740438923E-2</v>
      </c>
      <c r="N97" s="7">
        <f t="shared" si="45"/>
        <v>36.616666666232049</v>
      </c>
      <c r="O97" s="7"/>
      <c r="P97" s="7"/>
      <c r="Q97" s="22"/>
      <c r="R97" s="167"/>
      <c r="S97" s="217">
        <f t="shared" si="46"/>
        <v>1</v>
      </c>
      <c r="T97" s="175" t="str">
        <f t="shared" si="31"/>
        <v>Southbound</v>
      </c>
      <c r="U97" s="20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26" t="str">
        <f t="shared" si="32"/>
        <v>https://d0f6bd738d7f1b3e5a7ca70fe4ff75f0.us-east-1.aws.found.io/app/kibana#/discover/Steve-Slow-Train-Analysis-(2080s-and-2083s)?_g=(refreshInterval:(display:Off,pause:!f,section:0,value:0),time:(from:'2017-09-14T13:33:45-0600',mode:absolute,to:'2017-09-14T16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10" t="str">
        <f>IF(AA97&lt;VLOOKUP(AG97,Variables!$AC$3:$AD$8,2,FALSE),"Y","N")</f>
        <v>N</v>
      </c>
      <c r="X97" s="210">
        <f t="shared" si="33"/>
        <v>1</v>
      </c>
      <c r="Y97" s="210">
        <f t="shared" si="34"/>
        <v>23.302700000000002</v>
      </c>
      <c r="Z97" s="210">
        <f t="shared" si="35"/>
        <v>3.3599999999999998E-2</v>
      </c>
      <c r="AA97" s="210">
        <f t="shared" si="36"/>
        <v>23.269100000000002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183">
        <f t="shared" si="37"/>
        <v>182</v>
      </c>
      <c r="AE97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97" s="74" t="str">
        <f t="shared" si="39"/>
        <v>"C:\Program Files (x86)\AstroGrep\AstroGrep.exe" /e /r /s /spath="%USERPROFILE%\AppData\Local\Temp\OnboardLogs" /stypes="app*4003*20170914*" /stext=" 21:.+((SYSTEM_STATE.+slice.+state.+changed )|(ment ac)|(multiple cpu faults)|(system.+state.+changed )|(\[timeout)|(PRM\|1\|D)|(kpr)|(kdp)|(train st.+moving)|(\|lc)|(penalty))"</v>
      </c>
      <c r="AG97" s="186" t="str">
        <f t="shared" si="40"/>
        <v>EC</v>
      </c>
      <c r="AH97" s="78" t="str">
        <f t="shared" si="41"/>
        <v>"%USERPROFILE%\Documents\GitHub\eaglep3\Utilities\RefineRTDCRunTimes.py" --tripid 182-14 --locoid 4003 --swversion DE.1.0.9.0 --startMP 204:233027 --initTime 2017-09-14T14:33:45 --startdatetime 2017-09-14T14:42:18 --delay 90 --endMP 204:336 --enddatetime 2017-09-14T15:18:55 --enforcementcount 1 &gt;&gt;C:\Users\stu\Documents\GitHub\eaglep3-reporting\EC\2017-09-14-refined-times.txt</v>
      </c>
      <c r="AI97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{"issue":{"subject":"","project_id":79,"tracker_id":40,"status_id":1,"priority_id":2,"assigned_to_id":338,"start_date":"2017-09-14","description":"","custom_fields":[{"id":1,"name":"Subdivision","value":"EC"},{"id":4,"name":"Milepost","value":"0.0336"},{"id":17,"name":"Train ID","value":"182-14"},{"id":16,"name":"Locomotive ID","value":"4003"},{"id":130,"name":"Impact","value":""},{"id":150,"name":"Time of Event (Mountain Time)","value":"15:18:55"},{"id":151,"name":"Denver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4003 --day 2017-09-14</v>
      </c>
      <c r="AN9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600</v>
      </c>
      <c r="B98" s="7">
        <v>4002</v>
      </c>
      <c r="C98" s="21" t="s">
        <v>197</v>
      </c>
      <c r="D98" s="21" t="s">
        <v>377</v>
      </c>
      <c r="E98" s="13">
        <v>42992.579004629632</v>
      </c>
      <c r="F98" s="13">
        <v>42992.583495370367</v>
      </c>
      <c r="G98" s="7">
        <v>55</v>
      </c>
      <c r="H98" s="21" t="s">
        <v>868</v>
      </c>
      <c r="I98" s="13">
        <v>42992.609942129631</v>
      </c>
      <c r="J98" s="7">
        <v>1</v>
      </c>
      <c r="K98" s="89" t="str">
        <f t="shared" si="29"/>
        <v>4001/4002</v>
      </c>
      <c r="L98" s="189" t="str">
        <f>VLOOKUP(A98,'Trips&amp;Operators'!$C$1:$G$99911,5,FALSE)</f>
        <v>LEVERE CRAIG</v>
      </c>
      <c r="M98" s="6">
        <f t="shared" si="30"/>
        <v>2.644675926421769E-2</v>
      </c>
      <c r="N98" s="7">
        <f t="shared" si="45"/>
        <v>38.083333340473473</v>
      </c>
      <c r="O98" s="7"/>
      <c r="P98" s="7"/>
      <c r="Q98" s="22"/>
      <c r="R98" s="167"/>
      <c r="S98" s="217">
        <f t="shared" si="46"/>
        <v>1</v>
      </c>
      <c r="T98" s="175" t="str">
        <f t="shared" si="31"/>
        <v>NorthBound</v>
      </c>
      <c r="U98" s="20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26" t="str">
        <f t="shared" si="32"/>
        <v>https://d0f6bd738d7f1b3e5a7ca70fe4ff75f0.us-east-1.aws.found.io/app/kibana#/discover/Steve-Slow-Train-Analysis-(2080s-and-2083s)?_g=(refreshInterval:(display:Off,pause:!f,section:0,value:0),time:(from:'2017-09-14T12:53:46-0600',mode:absolute,to:'2017-09-14T15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210" t="str">
        <f>IF(AA98&lt;VLOOKUP(AG98,Variables!$AC$3:$AD$8,2,FALSE),"Y","N")</f>
        <v>N</v>
      </c>
      <c r="X98" s="210">
        <f t="shared" si="33"/>
        <v>1</v>
      </c>
      <c r="Y98" s="210">
        <f t="shared" si="34"/>
        <v>4.6899999999999997E-2</v>
      </c>
      <c r="Z98" s="210">
        <f t="shared" si="35"/>
        <v>23.331600000000002</v>
      </c>
      <c r="AA98" s="210">
        <f t="shared" si="36"/>
        <v>23.284700000000001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83">
        <f t="shared" si="37"/>
        <v>183</v>
      </c>
      <c r="AE98" s="77" t="str">
        <f t="shared" si="38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98" s="74" t="str">
        <f t="shared" si="39"/>
        <v>"C:\Program Files (x86)\AstroGrep\AstroGrep.exe" /e /r /s /spath="%USERPROFILE%\AppData\Local\Temp\OnboardLogs" /stypes="app*4002*20170914*" /stext=" 20:.+((SYSTEM_STATE.+slice.+state.+changed )|(ment ac)|(multiple cpu faults)|(system.+state.+changed )|(\[timeout)|(PRM\|1\|D)|(kpr)|(kdp)|(train st.+moving)|(\|lc)|(penalty))"</v>
      </c>
      <c r="AG98" s="186" t="str">
        <f t="shared" si="40"/>
        <v>EC</v>
      </c>
      <c r="AH98" s="78" t="str">
        <f t="shared" si="41"/>
        <v>"%USERPROFILE%\Documents\GitHub\eaglep3\Utilities\RefineRTDCRunTimes.py" --tripid 183-14 --locoid 4002 --swversion DE.1.0.9.0 --startMP 204:469 --initTime 2017-09-14T13:53:46 --startdatetime 2017-09-14T14:00:14 --delay 55 --endMP 204:233316 --enddatetime 2017-09-14T14:38:19 --enforcementcount 1 &gt;&gt;C:\Users\stu\Documents\GitHub\eaglep3-reporting\EC\2017-09-14-refined-times.txt</v>
      </c>
      <c r="AI9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{"issue":{"subject":"","project_id":79,"tracker_id":40,"status_id":1,"priority_id":2,"assigned_to_id":338,"start_date":"2017-09-14","description":"","custom_fields":[{"id":1,"name":"Subdivision","value":"EC"},{"id":4,"name":"Milepost","value":"23.3316"},{"id":17,"name":"Train ID","value":"183-14"},{"id":16,"name":"Locomotive ID","value":"4002"},{"id":130,"name":"Impact","value":""},{"id":150,"name":"Time of Event (Mountain Time)","value":"14:38:19"},{"id":151,"name":"Denver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4002 --day 2017-09-14</v>
      </c>
      <c r="AN9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732</v>
      </c>
      <c r="B99" s="7">
        <v>4001</v>
      </c>
      <c r="C99" s="21" t="s">
        <v>197</v>
      </c>
      <c r="D99" s="21" t="s">
        <v>422</v>
      </c>
      <c r="E99" s="13">
        <v>42992.617974537039</v>
      </c>
      <c r="F99" s="13">
        <v>42992.623090277775</v>
      </c>
      <c r="G99" s="7">
        <v>54</v>
      </c>
      <c r="H99" s="21" t="s">
        <v>401</v>
      </c>
      <c r="I99" s="13">
        <v>42992.649733796294</v>
      </c>
      <c r="J99" s="7">
        <v>1</v>
      </c>
      <c r="K99" s="89" t="str">
        <f t="shared" si="29"/>
        <v>4001/4002</v>
      </c>
      <c r="L99" s="189" t="str">
        <f>VLOOKUP(A99,'Trips&amp;Operators'!$C$1:$G$99911,5,FALSE)</f>
        <v>LEVERE CRAIG</v>
      </c>
      <c r="M99" s="6">
        <f t="shared" si="30"/>
        <v>2.6643518518540077E-2</v>
      </c>
      <c r="N99" s="7">
        <f t="shared" si="45"/>
        <v>38.366666666697711</v>
      </c>
      <c r="O99" s="7"/>
      <c r="P99" s="7"/>
      <c r="Q99" s="22"/>
      <c r="R99" s="167"/>
      <c r="S99" s="217">
        <f t="shared" si="46"/>
        <v>1</v>
      </c>
      <c r="T99" s="175" t="str">
        <f t="shared" si="31"/>
        <v>Southbound</v>
      </c>
      <c r="U99" s="20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26" t="str">
        <f t="shared" si="32"/>
        <v>https://d0f6bd738d7f1b3e5a7ca70fe4ff75f0.us-east-1.aws.found.io/app/kibana#/discover/Steve-Slow-Train-Analysis-(2080s-and-2083s)?_g=(refreshInterval:(display:Off,pause:!f,section:0,value:0),time:(from:'2017-09-14T13:49:53-0600',mode:absolute,to:'2017-09-14T16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210" t="str">
        <f>IF(AA99&lt;VLOOKUP(AG99,Variables!$AC$3:$AD$8,2,FALSE),"Y","N")</f>
        <v>N</v>
      </c>
      <c r="X99" s="210">
        <f t="shared" si="33"/>
        <v>1</v>
      </c>
      <c r="Y99" s="210">
        <f t="shared" si="34"/>
        <v>23.299600000000002</v>
      </c>
      <c r="Z99" s="210">
        <f t="shared" si="35"/>
        <v>1.3899999999999999E-2</v>
      </c>
      <c r="AA99" s="210">
        <f t="shared" si="36"/>
        <v>23.285700000000002</v>
      </c>
      <c r="AB99" s="54" t="e">
        <f>VLOOKUP(A99,Enforcements!$C$7:$K$11,8,0)</f>
        <v>#N/A</v>
      </c>
      <c r="AC99" s="51" t="e">
        <f>VLOOKUP(A99,Enforcements!$C$7:$E$11,3,0)</f>
        <v>#N/A</v>
      </c>
      <c r="AD99" s="183">
        <f t="shared" si="37"/>
        <v>184</v>
      </c>
      <c r="AE99" s="77" t="str">
        <f t="shared" si="38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99" s="74" t="str">
        <f t="shared" si="39"/>
        <v>"C:\Program Files (x86)\AstroGrep\AstroGrep.exe" /e /r /s /spath="%USERPROFILE%\AppData\Local\Temp\OnboardLogs" /stypes="app*4001*20170914*" /stext=" 21:.+((SYSTEM_STATE.+slice.+state.+changed )|(ment ac)|(multiple cpu faults)|(system.+state.+changed )|(\[timeout)|(PRM\|1\|D)|(kpr)|(kdp)|(train st.+moving)|(\|lc)|(penalty))"</v>
      </c>
      <c r="AG99" s="186" t="str">
        <f t="shared" si="40"/>
        <v>EC</v>
      </c>
      <c r="AH99" s="78" t="str">
        <f t="shared" si="41"/>
        <v>"%USERPROFILE%\Documents\GitHub\eaglep3\Utilities\RefineRTDCRunTimes.py" --tripid 184-14 --locoid 4001 --swversion DE.1.0.9.0 --startMP 204:232996 --initTime 2017-09-14T14:49:53 --startdatetime 2017-09-14T14:57:15 --delay 54 --endMP 204:139 --enddatetime 2017-09-14T15:35:37 --enforcementcount 1 &gt;&gt;C:\Users\stu\Documents\GitHub\eaglep3-reporting\EC\2017-09-14-refined-times.txt</v>
      </c>
      <c r="AI9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ID","value":"184-14"},{"id":16,"name":"Locomotive ID","value":"4001"},{"id":130,"name":"Impact","value":""},{"id":150,"name":"Time of Event (Mountain Time)","value":"15:35:37"},{"id":151,"name":"Denver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4001 --day 2017-09-14</v>
      </c>
      <c r="AN9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726</v>
      </c>
      <c r="B100" s="7">
        <v>4058</v>
      </c>
      <c r="C100" s="21" t="s">
        <v>197</v>
      </c>
      <c r="D100" s="21" t="s">
        <v>382</v>
      </c>
      <c r="E100" s="13">
        <v>42992.59070601852</v>
      </c>
      <c r="F100" s="13">
        <v>42992.593946759262</v>
      </c>
      <c r="G100" s="7">
        <v>57</v>
      </c>
      <c r="H100" s="21" t="s">
        <v>869</v>
      </c>
      <c r="I100" s="13">
        <v>42992.618981481479</v>
      </c>
      <c r="J100" s="7">
        <v>1</v>
      </c>
      <c r="K100" s="89" t="str">
        <f t="shared" si="29"/>
        <v>4057/4058</v>
      </c>
      <c r="L100" s="189" t="str">
        <f>VLOOKUP(A100,'Trips&amp;Operators'!$C$1:$G$99911,5,FALSE)</f>
        <v>BADERTSCHER DIANE</v>
      </c>
      <c r="M100" s="6">
        <f t="shared" si="30"/>
        <v>2.5034722217242233E-2</v>
      </c>
      <c r="N100" s="7">
        <f t="shared" si="45"/>
        <v>36.049999992828816</v>
      </c>
      <c r="O100" s="7"/>
      <c r="P100" s="7"/>
      <c r="Q100" s="22"/>
      <c r="R100" s="167"/>
      <c r="S100" s="217">
        <f t="shared" si="46"/>
        <v>1</v>
      </c>
      <c r="T100" s="175" t="str">
        <f t="shared" si="31"/>
        <v>NorthBound</v>
      </c>
      <c r="U100" s="20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26" t="str">
        <f t="shared" si="32"/>
        <v>https://d0f6bd738d7f1b3e5a7ca70fe4ff75f0.us-east-1.aws.found.io/app/kibana#/discover/Steve-Slow-Train-Analysis-(2080s-and-2083s)?_g=(refreshInterval:(display:Off,pause:!f,section:0,value:0),time:(from:'2017-09-14T13:10:37-0600',mode:absolute,to:'2017-09-14T15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0" s="210" t="str">
        <f>IF(AA100&lt;VLOOKUP(AG100,Variables!$AC$3:$AD$8,2,FALSE),"Y","N")</f>
        <v>N</v>
      </c>
      <c r="X100" s="210">
        <f t="shared" si="33"/>
        <v>1</v>
      </c>
      <c r="Y100" s="210">
        <f t="shared" si="34"/>
        <v>4.5999999999999999E-2</v>
      </c>
      <c r="Z100" s="210">
        <f t="shared" si="35"/>
        <v>23.333200000000001</v>
      </c>
      <c r="AA100" s="210">
        <f t="shared" si="36"/>
        <v>23.287200000000002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83">
        <f t="shared" si="37"/>
        <v>185</v>
      </c>
      <c r="AE100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00" s="74" t="str">
        <f t="shared" si="39"/>
        <v>"C:\Program Files (x86)\AstroGrep\AstroGrep.exe" /e /r /s /spath="%USERPROFILE%\AppData\Local\Temp\OnboardLogs" /stypes="app*4058*20170914*" /stext=" 20:.+((SYSTEM_STATE.+slice.+state.+changed )|(ment ac)|(multiple cpu faults)|(system.+state.+changed )|(\[timeout)|(PRM\|1\|D)|(kpr)|(kdp)|(train st.+moving)|(\|lc)|(penalty))"</v>
      </c>
      <c r="AG100" s="186" t="str">
        <f t="shared" si="40"/>
        <v>EC</v>
      </c>
      <c r="AH100" s="78" t="str">
        <f t="shared" si="41"/>
        <v>"%USERPROFILE%\Documents\GitHub\eaglep3\Utilities\RefineRTDCRunTimes.py" --tripid 185-14 --locoid 4058 --swversion DE.1.0.9.0 --startMP 204:460 --initTime 2017-09-14T14:10:37 --startdatetime 2017-09-14T14:15:17 --delay 57 --endMP 204:233332 --enddatetime 2017-09-14T14:51:20 --enforcementcount 1 &gt;&gt;C:\Users\stu\Documents\GitHub\eaglep3-reporting\EC\2017-09-14-refined-times.txt</v>
      </c>
      <c r="AI10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{"issue":{"subject":"","project_id":79,"tracker_id":40,"status_id":1,"priority_id":2,"assigned_to_id":338,"start_date":"2017-09-14","description":"","custom_fields":[{"id":1,"name":"Subdivision","value":"EC"},{"id":4,"name":"Milepost","value":"23.3332"},{"id":17,"name":"Train ID","value":"185-14"},{"id":16,"name":"Locomotive ID","value":"4058"},{"id":130,"name":"Impact","value":""},{"id":150,"name":"Time of Event (Mountain Time)","value":"14:51:20"},{"id":151,"name":"Denver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4058 --day 2017-09-14</v>
      </c>
      <c r="AN10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734</v>
      </c>
      <c r="B101" s="7">
        <v>4057</v>
      </c>
      <c r="C101" s="21" t="s">
        <v>197</v>
      </c>
      <c r="D101" s="21" t="s">
        <v>434</v>
      </c>
      <c r="E101" s="13">
        <v>42992.625254629631</v>
      </c>
      <c r="F101" s="13">
        <v>42992.633506944447</v>
      </c>
      <c r="G101" s="7">
        <v>68</v>
      </c>
      <c r="H101" s="21" t="s">
        <v>343</v>
      </c>
      <c r="I101" s="13">
        <v>42992.661122685182</v>
      </c>
      <c r="J101" s="7">
        <v>1</v>
      </c>
      <c r="K101" s="89" t="str">
        <f t="shared" si="29"/>
        <v>4057/4058</v>
      </c>
      <c r="L101" s="189" t="str">
        <f>VLOOKUP(A101,'Trips&amp;Operators'!$C$1:$G$99911,5,FALSE)</f>
        <v>BADERTSCHER DIANE</v>
      </c>
      <c r="M101" s="6">
        <f t="shared" si="30"/>
        <v>2.7615740735200234E-2</v>
      </c>
      <c r="N101" s="7">
        <f t="shared" si="45"/>
        <v>39.766666658688337</v>
      </c>
      <c r="O101" s="7"/>
      <c r="P101" s="7"/>
      <c r="Q101" s="22"/>
      <c r="R101" s="167"/>
      <c r="S101" s="217">
        <f t="shared" si="46"/>
        <v>1</v>
      </c>
      <c r="T101" s="175" t="str">
        <f t="shared" si="31"/>
        <v>Southbound</v>
      </c>
      <c r="U101" s="20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26" t="str">
        <f t="shared" si="32"/>
        <v>https://d0f6bd738d7f1b3e5a7ca70fe4ff75f0.us-east-1.aws.found.io/app/kibana#/discover/Steve-Slow-Train-Analysis-(2080s-and-2083s)?_g=(refreshInterval:(display:Off,pause:!f,section:0,value:0),time:(from:'2017-09-14T14:00:22-0600',mode:absolute,to:'2017-09-14T16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1" s="210" t="str">
        <f>IF(AA101&lt;VLOOKUP(AG101,Variables!$AC$3:$AD$8,2,FALSE),"Y","N")</f>
        <v>N</v>
      </c>
      <c r="X101" s="210">
        <f t="shared" si="33"/>
        <v>1</v>
      </c>
      <c r="Y101" s="210">
        <f t="shared" si="34"/>
        <v>23.299800000000001</v>
      </c>
      <c r="Z101" s="210">
        <f t="shared" si="35"/>
        <v>1.47E-2</v>
      </c>
      <c r="AA101" s="210">
        <f t="shared" si="36"/>
        <v>23.2851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83">
        <f t="shared" si="37"/>
        <v>186</v>
      </c>
      <c r="AE101" s="77" t="str">
        <f t="shared" si="38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01" s="74" t="str">
        <f t="shared" si="39"/>
        <v>"C:\Program Files (x86)\AstroGrep\AstroGrep.exe" /e /r /s /spath="%USERPROFILE%\AppData\Local\Temp\OnboardLogs" /stypes="app*4057*20170914*" /stext=" 21:.+((SYSTEM_STATE.+slice.+state.+changed )|(ment ac)|(multiple cpu faults)|(system.+state.+changed )|(\[timeout)|(PRM\|1\|D)|(kpr)|(kdp)|(train st.+moving)|(\|lc)|(penalty))"</v>
      </c>
      <c r="AG101" s="186" t="str">
        <f t="shared" si="40"/>
        <v>EC</v>
      </c>
      <c r="AH101" s="78" t="str">
        <f t="shared" si="41"/>
        <v>"%USERPROFILE%\Documents\GitHub\eaglep3\Utilities\RefineRTDCRunTimes.py" --tripid 186-14 --locoid 4057 --swversion DE.1.0.9.0 --startMP 204:232998 --initTime 2017-09-14T15:00:22 --startdatetime 2017-09-14T15:12:15 --delay 68 --endMP 204:147 --enddatetime 2017-09-14T15:52:01 --enforcementcount 1 &gt;&gt;C:\Users\stu\Documents\GitHub\eaglep3-reporting\EC\2017-09-14-refined-times.txt</v>
      </c>
      <c r="AI10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{"issue":{"subject":"","project_id":79,"tracker_id":40,"status_id":1,"priority_id":2,"assigned_to_id":338,"start_date":"2017-09-14","description":"","custom_fields":[{"id":1,"name":"Subdivision","value":"EC"},{"id":4,"name":"Milepost","value":"0.0147"},{"id":17,"name":"Train ID","value":"186-14"},{"id":16,"name":"Locomotive ID","value":"4057"},{"id":130,"name":"Impact","value":""},{"id":150,"name":"Time of Event (Mountain Time)","value":"15:52:01"},{"id":151,"name":"Denver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4057 --day 2017-09-14</v>
      </c>
      <c r="AN10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728</v>
      </c>
      <c r="B102" s="7">
        <v>4026</v>
      </c>
      <c r="C102" s="21" t="s">
        <v>197</v>
      </c>
      <c r="D102" s="21" t="s">
        <v>1009</v>
      </c>
      <c r="E102" s="13">
        <v>42992.598877314813</v>
      </c>
      <c r="F102" s="13">
        <v>42992.604548611111</v>
      </c>
      <c r="G102" s="7">
        <v>49</v>
      </c>
      <c r="H102" s="21" t="s">
        <v>846</v>
      </c>
      <c r="I102" s="13">
        <v>42992.628865740742</v>
      </c>
      <c r="J102" s="7">
        <v>1</v>
      </c>
      <c r="K102" s="89" t="str">
        <f t="shared" si="29"/>
        <v>4025/4026</v>
      </c>
      <c r="L102" s="189" t="str">
        <f>VLOOKUP(A102,'Trips&amp;Operators'!$C$1:$G$99911,5,FALSE)</f>
        <v>HOLCOMB KAMDEN</v>
      </c>
      <c r="M102" s="6">
        <f t="shared" si="30"/>
        <v>2.4317129631526768E-2</v>
      </c>
      <c r="N102" s="7">
        <f t="shared" si="45"/>
        <v>35.016666669398546</v>
      </c>
      <c r="O102" s="7"/>
      <c r="P102" s="7"/>
      <c r="Q102" s="22"/>
      <c r="R102" s="167"/>
      <c r="S102" s="217">
        <f t="shared" si="46"/>
        <v>1</v>
      </c>
      <c r="T102" s="175" t="str">
        <f t="shared" si="31"/>
        <v>NorthBound</v>
      </c>
      <c r="U102" s="20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26" t="str">
        <f t="shared" si="32"/>
        <v>https://d0f6bd738d7f1b3e5a7ca70fe4ff75f0.us-east-1.aws.found.io/app/kibana#/discover/Steve-Slow-Train-Analysis-(2080s-and-2083s)?_g=(refreshInterval:(display:Off,pause:!f,section:0,value:0),time:(from:'2017-09-14T13:22:23-0600',mode:absolute,to:'2017-09-14T16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2" s="210" t="str">
        <f>IF(AA102&lt;VLOOKUP(AG102,Variables!$AC$3:$AD$8,2,FALSE),"Y","N")</f>
        <v>N</v>
      </c>
      <c r="X102" s="210">
        <f t="shared" si="33"/>
        <v>1</v>
      </c>
      <c r="Y102" s="210">
        <f t="shared" si="34"/>
        <v>6.3100000000000003E-2</v>
      </c>
      <c r="Z102" s="210">
        <f t="shared" si="35"/>
        <v>23.330500000000001</v>
      </c>
      <c r="AA102" s="210">
        <f t="shared" si="36"/>
        <v>23.267400000000002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83">
        <f t="shared" si="37"/>
        <v>187</v>
      </c>
      <c r="AE102" s="77" t="str">
        <f t="shared" si="38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102" s="74" t="str">
        <f t="shared" si="39"/>
        <v>"C:\Program Files (x86)\AstroGrep\AstroGrep.exe" /e /r /s /spath="%USERPROFILE%\AppData\Local\Temp\OnboardLogs" /stypes="app*4026*20170914*" /stext=" 21:.+((SYSTEM_STATE.+slice.+state.+changed )|(ment ac)|(multiple cpu faults)|(system.+state.+changed )|(\[timeout)|(PRM\|1\|D)|(kpr)|(kdp)|(train st.+moving)|(\|lc)|(penalty))"</v>
      </c>
      <c r="AG102" s="186" t="str">
        <f t="shared" si="40"/>
        <v>EC</v>
      </c>
      <c r="AH102" s="78" t="str">
        <f t="shared" si="41"/>
        <v>"%USERPROFILE%\Documents\GitHub\eaglep3\Utilities\RefineRTDCRunTimes.py" --tripid 187-14 --locoid 4026 --swversion DE.1.0.9.0 --startMP 204:631 --initTime 2017-09-14T14:22:23 --startdatetime 2017-09-14T14:30:33 --delay 49 --endMP 204:233305 --enddatetime 2017-09-14T15:05:34 --enforcementcount 1 &gt;&gt;C:\Users\stu\Documents\GitHub\eaglep3-reporting\EC\2017-09-14-refined-times.txt</v>
      </c>
      <c r="AI10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{"issue":{"subject":"","project_id":79,"tracker_id":40,"status_id":1,"priority_id":2,"assigned_to_id":338,"start_date":"2017-09-14","description":"","custom_fields":[{"id":1,"name":"Subdivision","value":"EC"},{"id":4,"name":"Milepost","value":"23.3305"},{"id":17,"name":"Train ID","value":"187-14"},{"id":16,"name":"Locomotive ID","value":"4026"},{"id":130,"name":"Impact","value":""},{"id":150,"name":"Time of Event (Mountain Time)","value":"15:05:34"},{"id":151,"name":"Denver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4026 --day 2017-09-14</v>
      </c>
      <c r="AN10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736</v>
      </c>
      <c r="B103" s="7">
        <v>4025</v>
      </c>
      <c r="C103" s="21" t="s">
        <v>197</v>
      </c>
      <c r="D103" s="21" t="s">
        <v>457</v>
      </c>
      <c r="E103" s="13">
        <v>42992.639479166668</v>
      </c>
      <c r="F103" s="13">
        <v>42992.644247685188</v>
      </c>
      <c r="G103" s="7">
        <v>61</v>
      </c>
      <c r="H103" s="21" t="s">
        <v>419</v>
      </c>
      <c r="I103" s="13">
        <v>42992.669814814813</v>
      </c>
      <c r="J103" s="7">
        <v>1</v>
      </c>
      <c r="K103" s="89" t="str">
        <f t="shared" si="29"/>
        <v>4025/4026</v>
      </c>
      <c r="L103" s="189" t="str">
        <f>VLOOKUP(A103,'Trips&amp;Operators'!$C$1:$G$99911,5,FALSE)</f>
        <v>HOLCOMB KAMDEN</v>
      </c>
      <c r="M103" s="6">
        <f t="shared" si="30"/>
        <v>2.5567129625414964E-2</v>
      </c>
      <c r="N103" s="7">
        <f t="shared" si="45"/>
        <v>36.816666660597548</v>
      </c>
      <c r="O103" s="7"/>
      <c r="P103" s="7"/>
      <c r="Q103" s="22"/>
      <c r="R103" s="167"/>
      <c r="S103" s="217">
        <f t="shared" si="46"/>
        <v>1</v>
      </c>
      <c r="T103" s="175" t="str">
        <f t="shared" si="31"/>
        <v>Southbound</v>
      </c>
      <c r="U103" s="20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26" t="str">
        <f t="shared" si="32"/>
        <v>https://d0f6bd738d7f1b3e5a7ca70fe4ff75f0.us-east-1.aws.found.io/app/kibana#/discover/Steve-Slow-Train-Analysis-(2080s-and-2083s)?_g=(refreshInterval:(display:Off,pause:!f,section:0,value:0),time:(from:'2017-09-14T14:20:51-0600',mode:absolute,to:'2017-09-14T17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210" t="str">
        <f>IF(AA103&lt;VLOOKUP(AG103,Variables!$AC$3:$AD$8,2,FALSE),"Y","N")</f>
        <v>N</v>
      </c>
      <c r="X103" s="210">
        <f t="shared" si="33"/>
        <v>1</v>
      </c>
      <c r="Y103" s="210">
        <f t="shared" si="34"/>
        <v>23.2988</v>
      </c>
      <c r="Z103" s="210">
        <f t="shared" si="35"/>
        <v>1.3599999999999999E-2</v>
      </c>
      <c r="AA103" s="210">
        <f t="shared" si="36"/>
        <v>23.2852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83">
        <f t="shared" si="37"/>
        <v>188</v>
      </c>
      <c r="AE103" s="77" t="str">
        <f t="shared" si="38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103" s="74" t="str">
        <f t="shared" si="39"/>
        <v>"C:\Program Files (x86)\AstroGrep\AstroGrep.exe" /e /r /s /spath="%USERPROFILE%\AppData\Local\Temp\OnboardLogs" /stypes="app*4025*20170914*" /stext=" 22:.+((SYSTEM_STATE.+slice.+state.+changed )|(ment ac)|(multiple cpu faults)|(system.+state.+changed )|(\[timeout)|(PRM\|1\|D)|(kpr)|(kdp)|(train st.+moving)|(\|lc)|(penalty))"</v>
      </c>
      <c r="AG103" s="186" t="str">
        <f t="shared" si="40"/>
        <v>EC</v>
      </c>
      <c r="AH103" s="78" t="str">
        <f t="shared" si="41"/>
        <v>"%USERPROFILE%\Documents\GitHub\eaglep3\Utilities\RefineRTDCRunTimes.py" --tripid 188-14 --locoid 4025 --swversion DE.1.0.9.0 --startMP 204:232988 --initTime 2017-09-14T15:20:51 --startdatetime 2017-09-14T15:27:43 --delay 61 --endMP 204:136 --enddatetime 2017-09-14T16:04:32 --enforcementcount 1 &gt;&gt;C:\Users\stu\Documents\GitHub\eaglep3-reporting\EC\2017-09-14-refined-times.txt</v>
      </c>
      <c r="AI103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{"issue":{"subject":"","project_id":79,"tracker_id":40,"status_id":1,"priority_id":2,"assigned_to_id":338,"start_date":"2017-09-14","description":"","custom_fields":[{"id":1,"name":"Subdivision","value":"EC"},{"id":4,"name":"Milepost","value":"0.0136"},{"id":17,"name":"Train ID","value":"188-14"},{"id":16,"name":"Locomotive ID","value":"4025"},{"id":130,"name":"Impact","value":""},{"id":150,"name":"Time of Event (Mountain Time)","value":"16:04:32"},{"id":151,"name":"Denver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4025 --day 2017-09-14</v>
      </c>
      <c r="AN103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731</v>
      </c>
      <c r="B104" s="7">
        <v>4030</v>
      </c>
      <c r="C104" s="21" t="s">
        <v>197</v>
      </c>
      <c r="D104" s="21" t="s">
        <v>379</v>
      </c>
      <c r="E104" s="13">
        <v>42992.610497685186</v>
      </c>
      <c r="F104" s="13">
        <v>42992.614999999998</v>
      </c>
      <c r="G104" s="7">
        <v>61</v>
      </c>
      <c r="H104" s="21" t="s">
        <v>487</v>
      </c>
      <c r="I104" s="13">
        <v>42992.640532407408</v>
      </c>
      <c r="J104" s="7">
        <v>1</v>
      </c>
      <c r="K104" s="89" t="str">
        <f t="shared" si="29"/>
        <v>4029/4030</v>
      </c>
      <c r="L104" s="189" t="str">
        <f>VLOOKUP(A104,'Trips&amp;Operators'!$C$1:$G$99911,5,FALSE)</f>
        <v>KILLION DAVID</v>
      </c>
      <c r="M104" s="6">
        <f t="shared" si="30"/>
        <v>2.5532407409627922E-2</v>
      </c>
      <c r="N104" s="7">
        <f t="shared" si="45"/>
        <v>36.766666669864208</v>
      </c>
      <c r="O104" s="7"/>
      <c r="P104" s="7"/>
      <c r="Q104" s="22"/>
      <c r="R104" s="167"/>
      <c r="S104" s="217">
        <f t="shared" si="46"/>
        <v>1</v>
      </c>
      <c r="T104" s="175" t="str">
        <f t="shared" si="31"/>
        <v>NorthBound</v>
      </c>
      <c r="U104" s="20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26" t="str">
        <f t="shared" si="32"/>
        <v>https://d0f6bd738d7f1b3e5a7ca70fe4ff75f0.us-east-1.aws.found.io/app/kibana#/discover/Steve-Slow-Train-Analysis-(2080s-and-2083s)?_g=(refreshInterval:(display:Off,pause:!f,section:0,value:0),time:(from:'2017-09-14T13:39:07-0600',mode:absolute,to:'2017-09-14T16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210" t="str">
        <f>IF(AA104&lt;VLOOKUP(AG104,Variables!$AC$3:$AD$8,2,FALSE),"Y","N")</f>
        <v>N</v>
      </c>
      <c r="X104" s="210">
        <f t="shared" si="33"/>
        <v>1</v>
      </c>
      <c r="Y104" s="210">
        <f t="shared" si="34"/>
        <v>4.4200000000000003E-2</v>
      </c>
      <c r="Z104" s="210">
        <f t="shared" si="35"/>
        <v>23.3306</v>
      </c>
      <c r="AA104" s="210">
        <f t="shared" si="36"/>
        <v>23.2864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83">
        <f t="shared" si="37"/>
        <v>189</v>
      </c>
      <c r="AE104" s="77" t="str">
        <f t="shared" si="38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04" s="74" t="str">
        <f t="shared" si="39"/>
        <v>"C:\Program Files (x86)\AstroGrep\AstroGrep.exe" /e /r /s /spath="%USERPROFILE%\AppData\Local\Temp\OnboardLogs" /stypes="app*4030*20170914*" /stext=" 21:.+((SYSTEM_STATE.+slice.+state.+changed )|(ment ac)|(multiple cpu faults)|(system.+state.+changed )|(\[timeout)|(PRM\|1\|D)|(kpr)|(kdp)|(train st.+moving)|(\|lc)|(penalty))"</v>
      </c>
      <c r="AG104" s="186" t="str">
        <f t="shared" si="40"/>
        <v>EC</v>
      </c>
      <c r="AH104" s="78" t="str">
        <f t="shared" si="41"/>
        <v>"%USERPROFILE%\Documents\GitHub\eaglep3\Utilities\RefineRTDCRunTimes.py" --tripid 189-14 --locoid 4030 --swversion DE.1.0.9.0 --startMP 204:442 --initTime 2017-09-14T14:39:07 --startdatetime 2017-09-14T14:45:36 --delay 61 --endMP 204:233306 --enddatetime 2017-09-14T15:22:22 --enforcementcount 1 &gt;&gt;C:\Users\stu\Documents\GitHub\eaglep3-reporting\EC\2017-09-14-refined-times.txt</v>
      </c>
      <c r="AI10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{"issue":{"subject":"","project_id":79,"tracker_id":40,"status_id":1,"priority_id":2,"assigned_to_id":338,"start_date":"2017-09-14","description":"","custom_fields":[{"id":1,"name":"Subdivision","value":"EC"},{"id":4,"name":"Milepost","value":"23.3306"},{"id":17,"name":"Train ID","value":"189-14"},{"id":16,"name":"Locomotive ID","value":"4030"},{"id":130,"name":"Impact","value":""},{"id":150,"name":"Time of Event (Mountain Time)","value":"15:22:22"},{"id":151,"name":"Denver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4030 --day 2017-09-14</v>
      </c>
      <c r="AN10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606</v>
      </c>
      <c r="B105" s="7">
        <v>4029</v>
      </c>
      <c r="C105" s="21" t="s">
        <v>197</v>
      </c>
      <c r="D105" s="21" t="s">
        <v>432</v>
      </c>
      <c r="E105" s="13">
        <v>42992.648101851853</v>
      </c>
      <c r="F105" s="13">
        <v>42992.654386574075</v>
      </c>
      <c r="G105" s="7">
        <v>66</v>
      </c>
      <c r="H105" s="21" t="s">
        <v>338</v>
      </c>
      <c r="I105" s="13">
        <v>42992.681203703702</v>
      </c>
      <c r="J105" s="7">
        <v>1</v>
      </c>
      <c r="K105" s="89" t="str">
        <f t="shared" si="29"/>
        <v>4029/4030</v>
      </c>
      <c r="L105" s="189" t="str">
        <f>VLOOKUP(A105,'Trips&amp;Operators'!$C$1:$G$99911,5,FALSE)</f>
        <v>KILLION DAVID</v>
      </c>
      <c r="M105" s="6">
        <f t="shared" si="30"/>
        <v>2.6817129626579117E-2</v>
      </c>
      <c r="N105" s="7">
        <f t="shared" si="45"/>
        <v>38.616666662273929</v>
      </c>
      <c r="O105" s="7"/>
      <c r="P105" s="7"/>
      <c r="Q105" s="22"/>
      <c r="R105" s="167"/>
      <c r="S105" s="217">
        <f t="shared" si="46"/>
        <v>1</v>
      </c>
      <c r="T105" s="175" t="str">
        <f t="shared" si="31"/>
        <v>Southbound</v>
      </c>
      <c r="U105" s="20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26" t="str">
        <f t="shared" si="32"/>
        <v>https://d0f6bd738d7f1b3e5a7ca70fe4ff75f0.us-east-1.aws.found.io/app/kibana#/discover/Steve-Slow-Train-Analysis-(2080s-and-2083s)?_g=(refreshInterval:(display:Off,pause:!f,section:0,value:0),time:(from:'2017-09-14T14:33:16-0600',mode:absolute,to:'2017-09-14T17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210" t="str">
        <f>IF(AA105&lt;VLOOKUP(AG105,Variables!$AC$3:$AD$8,2,FALSE),"Y","N")</f>
        <v>N</v>
      </c>
      <c r="X105" s="210">
        <f t="shared" si="33"/>
        <v>1</v>
      </c>
      <c r="Y105" s="210">
        <f t="shared" si="34"/>
        <v>23.2989</v>
      </c>
      <c r="Z105" s="210">
        <f t="shared" si="35"/>
        <v>1.4999999999999999E-2</v>
      </c>
      <c r="AA105" s="210">
        <f t="shared" si="36"/>
        <v>23.283899999999999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83">
        <f t="shared" si="37"/>
        <v>190</v>
      </c>
      <c r="AE105" s="77" t="str">
        <f t="shared" si="38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05" s="74" t="str">
        <f t="shared" si="39"/>
        <v>"C:\Program Files (x86)\AstroGrep\AstroGrep.exe" /e /r /s /spath="%USERPROFILE%\AppData\Local\Temp\OnboardLogs" /stypes="app*4029*20170914*" /stext=" 22:.+((SYSTEM_STATE.+slice.+state.+changed )|(ment ac)|(multiple cpu faults)|(system.+state.+changed )|(\[timeout)|(PRM\|1\|D)|(kpr)|(kdp)|(train st.+moving)|(\|lc)|(penalty))"</v>
      </c>
      <c r="AG105" s="186" t="str">
        <f t="shared" si="40"/>
        <v>EC</v>
      </c>
      <c r="AH105" s="78" t="str">
        <f t="shared" si="41"/>
        <v>"%USERPROFILE%\Documents\GitHub\eaglep3\Utilities\RefineRTDCRunTimes.py" --tripid 190-14 --locoid 4029 --swversion DE.1.0.9.0 --startMP 204:232989 --initTime 2017-09-14T15:33:16 --startdatetime 2017-09-14T15:42:19 --delay 66 --endMP 204:150 --enddatetime 2017-09-14T16:20:56 --enforcementcount 1 &gt;&gt;C:\Users\stu\Documents\GitHub\eaglep3-reporting\EC\2017-09-14-refined-times.txt</v>
      </c>
      <c r="AI105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ID","value":"190-14"},{"id":16,"name":"Locomotive ID","value":"4029"},{"id":130,"name":"Impact","value":""},{"id":150,"name":"Time of Event (Mountain Time)","value":"16:20:56"},{"id":151,"name":"Denver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4029 --day 2017-09-14</v>
      </c>
      <c r="AN10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733</v>
      </c>
      <c r="B106" s="7">
        <v>4032</v>
      </c>
      <c r="C106" s="21" t="s">
        <v>197</v>
      </c>
      <c r="D106" s="21" t="s">
        <v>870</v>
      </c>
      <c r="E106" s="13">
        <v>42992.622476851851</v>
      </c>
      <c r="F106" s="13">
        <v>42992.625243055554</v>
      </c>
      <c r="G106" s="7">
        <v>73</v>
      </c>
      <c r="H106" s="21" t="s">
        <v>868</v>
      </c>
      <c r="I106" s="13">
        <v>42992.65011574074</v>
      </c>
      <c r="J106" s="7">
        <v>1</v>
      </c>
      <c r="K106" s="89" t="str">
        <f t="shared" si="29"/>
        <v>4031/4032</v>
      </c>
      <c r="L106" s="189" t="str">
        <f>VLOOKUP(A106,'Trips&amp;Operators'!$C$1:$G$99911,5,FALSE)</f>
        <v>MOSES BRADLEY</v>
      </c>
      <c r="M106" s="6">
        <f t="shared" si="30"/>
        <v>2.4872685185982846E-2</v>
      </c>
      <c r="N106" s="7">
        <f t="shared" si="45"/>
        <v>35.816666667815298</v>
      </c>
      <c r="O106" s="7"/>
      <c r="P106" s="7"/>
      <c r="Q106" s="22"/>
      <c r="R106" s="167"/>
      <c r="S106" s="217">
        <f t="shared" si="46"/>
        <v>1</v>
      </c>
      <c r="T106" s="175" t="str">
        <f t="shared" si="31"/>
        <v>NorthBound</v>
      </c>
      <c r="U106" s="20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26" t="str">
        <f t="shared" si="32"/>
        <v>https://d0f6bd738d7f1b3e5a7ca70fe4ff75f0.us-east-1.aws.found.io/app/kibana#/discover/Steve-Slow-Train-Analysis-(2080s-and-2083s)?_g=(refreshInterval:(display:Off,pause:!f,section:0,value:0),time:(from:'2017-09-14T13:56:22-0600',mode:absolute,to:'2017-09-14T16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210" t="str">
        <f>IF(AA106&lt;VLOOKUP(AG106,Variables!$AC$3:$AD$8,2,FALSE),"Y","N")</f>
        <v>N</v>
      </c>
      <c r="X106" s="210">
        <f t="shared" si="33"/>
        <v>1</v>
      </c>
      <c r="Y106" s="210">
        <f t="shared" si="34"/>
        <v>6.4199999999999993E-2</v>
      </c>
      <c r="Z106" s="210">
        <f t="shared" si="35"/>
        <v>23.331600000000002</v>
      </c>
      <c r="AA106" s="210">
        <f t="shared" si="36"/>
        <v>23.267400000000002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83">
        <f t="shared" si="37"/>
        <v>191</v>
      </c>
      <c r="AE106" s="77" t="str">
        <f t="shared" si="38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106" s="74" t="str">
        <f t="shared" si="39"/>
        <v>"C:\Program Files (x86)\AstroGrep\AstroGrep.exe" /e /r /s /spath="%USERPROFILE%\AppData\Local\Temp\OnboardLogs" /stypes="app*4032*20170914*" /stext=" 21:.+((SYSTEM_STATE.+slice.+state.+changed )|(ment ac)|(multiple cpu faults)|(system.+state.+changed )|(\[timeout)|(PRM\|1\|D)|(kpr)|(kdp)|(train st.+moving)|(\|lc)|(penalty))"</v>
      </c>
      <c r="AG106" s="186" t="str">
        <f t="shared" si="40"/>
        <v>EC</v>
      </c>
      <c r="AH106" s="78" t="str">
        <f t="shared" si="41"/>
        <v>"%USERPROFILE%\Documents\GitHub\eaglep3\Utilities\RefineRTDCRunTimes.py" --tripid 191-14 --locoid 4032 --swversion DE.1.0.9.0 --startMP 204:642 --initTime 2017-09-14T14:56:22 --startdatetime 2017-09-14T15:00:21 --delay 73 --endMP 204:233316 --enddatetime 2017-09-14T15:36:10 --enforcementcount 1 &gt;&gt;C:\Users\stu\Documents\GitHub\eaglep3-reporting\EC\2017-09-14-refined-times.txt</v>
      </c>
      <c r="AI10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{"issue":{"subject":"","project_id":79,"tracker_id":40,"status_id":1,"priority_id":2,"assigned_to_id":338,"start_date":"2017-09-14","description":"","custom_fields":[{"id":1,"name":"Subdivision","value":"EC"},{"id":4,"name":"Milepost","value":"23.3316"},{"id":17,"name":"Train ID","value":"191-14"},{"id":16,"name":"Locomotive ID","value":"4032"},{"id":130,"name":"Impact","value":""},{"id":150,"name":"Time of Event (Mountain Time)","value":"15:36:10"},{"id":151,"name":"Denver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4032 --day 2017-09-14</v>
      </c>
      <c r="AN10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739</v>
      </c>
      <c r="B107" s="7">
        <v>4031</v>
      </c>
      <c r="C107" s="21" t="s">
        <v>197</v>
      </c>
      <c r="D107" s="21" t="s">
        <v>834</v>
      </c>
      <c r="E107" s="13">
        <v>42992.66128472222</v>
      </c>
      <c r="F107" s="13">
        <v>42992.664837962962</v>
      </c>
      <c r="G107" s="7">
        <v>66</v>
      </c>
      <c r="H107" s="21" t="s">
        <v>401</v>
      </c>
      <c r="I107" s="13">
        <v>42992.690462962964</v>
      </c>
      <c r="J107" s="7">
        <v>1</v>
      </c>
      <c r="K107" s="89" t="str">
        <f t="shared" si="29"/>
        <v>4031/4032</v>
      </c>
      <c r="L107" s="189" t="str">
        <f>VLOOKUP(A107,'Trips&amp;Operators'!$C$1:$G$99911,5,FALSE)</f>
        <v>MOSES BRADLEY</v>
      </c>
      <c r="M107" s="6">
        <f t="shared" si="30"/>
        <v>2.5625000002037268E-2</v>
      </c>
      <c r="N107" s="7">
        <f t="shared" si="45"/>
        <v>36.900000002933666</v>
      </c>
      <c r="O107" s="7"/>
      <c r="P107" s="7"/>
      <c r="Q107" s="22"/>
      <c r="R107" s="167"/>
      <c r="S107" s="217">
        <f t="shared" si="46"/>
        <v>1</v>
      </c>
      <c r="T107" s="175" t="str">
        <f t="shared" si="31"/>
        <v>Southbound</v>
      </c>
      <c r="U107" s="20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26" t="str">
        <f t="shared" si="32"/>
        <v>https://d0f6bd738d7f1b3e5a7ca70fe4ff75f0.us-east-1.aws.found.io/app/kibana#/discover/Steve-Slow-Train-Analysis-(2080s-and-2083s)?_g=(refreshInterval:(display:Off,pause:!f,section:0,value:0),time:(from:'2017-09-14T14:52:15-0600',mode:absolute,to:'2017-09-14T17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210" t="str">
        <f>IF(AA107&lt;VLOOKUP(AG107,Variables!$AC$3:$AD$8,2,FALSE),"Y","N")</f>
        <v>N</v>
      </c>
      <c r="X107" s="210">
        <f t="shared" si="33"/>
        <v>1</v>
      </c>
      <c r="Y107" s="210">
        <f t="shared" si="34"/>
        <v>23.3005</v>
      </c>
      <c r="Z107" s="210">
        <f t="shared" si="35"/>
        <v>1.3899999999999999E-2</v>
      </c>
      <c r="AA107" s="210">
        <f t="shared" si="36"/>
        <v>23.2866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83">
        <f t="shared" si="37"/>
        <v>192</v>
      </c>
      <c r="AE107" s="77" t="str">
        <f t="shared" si="38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107" s="74" t="str">
        <f t="shared" si="39"/>
        <v>"C:\Program Files (x86)\AstroGrep\AstroGrep.exe" /e /r /s /spath="%USERPROFILE%\AppData\Local\Temp\OnboardLogs" /stypes="app*4031*20170914*" /stext=" 22:.+((SYSTEM_STATE.+slice.+state.+changed )|(ment ac)|(multiple cpu faults)|(system.+state.+changed )|(\[timeout)|(PRM\|1\|D)|(kpr)|(kdp)|(train st.+moving)|(\|lc)|(penalty))"</v>
      </c>
      <c r="AG107" s="186" t="str">
        <f t="shared" si="40"/>
        <v>EC</v>
      </c>
      <c r="AH107" s="78" t="str">
        <f t="shared" si="41"/>
        <v>"%USERPROFILE%\Documents\GitHub\eaglep3\Utilities\RefineRTDCRunTimes.py" --tripid 192-14 --locoid 4031 --swversion DE.1.0.9.0 --startMP 204:233005 --initTime 2017-09-14T15:52:15 --startdatetime 2017-09-14T15:57:22 --delay 66 --endMP 204:139 --enddatetime 2017-09-14T16:34:16 --enforcementcount 1 &gt;&gt;C:\Users\stu\Documents\GitHub\eaglep3-reporting\EC\2017-09-14-refined-times.txt</v>
      </c>
      <c r="AI107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ID","value":"192-14"},{"id":16,"name":"Locomotive ID","value":"4031"},{"id":130,"name":"Impact","value":""},{"id":150,"name":"Time of Event (Mountain Time)","value":"16:34:16"},{"id":151,"name":"Denver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4031 --day 2017-09-14</v>
      </c>
      <c r="AN10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735</v>
      </c>
      <c r="B108" s="7">
        <v>4062</v>
      </c>
      <c r="C108" s="21" t="s">
        <v>197</v>
      </c>
      <c r="D108" s="21" t="s">
        <v>341</v>
      </c>
      <c r="E108" s="13">
        <v>42992.63108796296</v>
      </c>
      <c r="F108" s="13">
        <v>42992.635578703703</v>
      </c>
      <c r="G108" s="7">
        <v>84</v>
      </c>
      <c r="H108" s="21" t="s">
        <v>456</v>
      </c>
      <c r="I108" s="13">
        <v>42992.660127314812</v>
      </c>
      <c r="J108" s="7">
        <v>1</v>
      </c>
      <c r="K108" s="89" t="str">
        <f t="shared" si="29"/>
        <v>4061/4062</v>
      </c>
      <c r="L108" s="189" t="str">
        <f>VLOOKUP(A108,'Trips&amp;Operators'!$C$1:$G$99911,5,FALSE)</f>
        <v>LEVIN SCOTT</v>
      </c>
      <c r="M108" s="6">
        <f t="shared" si="30"/>
        <v>2.4548611108912155E-2</v>
      </c>
      <c r="N108" s="7">
        <f t="shared" si="45"/>
        <v>35.349999996833503</v>
      </c>
      <c r="O108" s="7"/>
      <c r="P108" s="7"/>
      <c r="Q108" s="22"/>
      <c r="R108" s="167"/>
      <c r="S108" s="217">
        <f t="shared" si="46"/>
        <v>1</v>
      </c>
      <c r="T108" s="175" t="str">
        <f t="shared" si="31"/>
        <v>NorthBound</v>
      </c>
      <c r="U108" s="20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26" t="str">
        <f t="shared" si="32"/>
        <v>https://d0f6bd738d7f1b3e5a7ca70fe4ff75f0.us-east-1.aws.found.io/app/kibana#/discover/Steve-Slow-Train-Analysis-(2080s-and-2083s)?_g=(refreshInterval:(display:Off,pause:!f,section:0,value:0),time:(from:'2017-09-14T14:08:46-0600',mode:absolute,to:'2017-09-14T16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8" s="210" t="str">
        <f>IF(AA108&lt;VLOOKUP(AG108,Variables!$AC$3:$AD$8,2,FALSE),"Y","N")</f>
        <v>N</v>
      </c>
      <c r="X108" s="210">
        <f t="shared" si="33"/>
        <v>1</v>
      </c>
      <c r="Y108" s="210">
        <f t="shared" si="34"/>
        <v>4.53E-2</v>
      </c>
      <c r="Z108" s="210">
        <f t="shared" si="35"/>
        <v>23.333400000000001</v>
      </c>
      <c r="AA108" s="210">
        <f t="shared" si="36"/>
        <v>23.2881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83">
        <f t="shared" si="37"/>
        <v>193</v>
      </c>
      <c r="AE108" s="77" t="str">
        <f t="shared" si="38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108" s="74" t="str">
        <f t="shared" si="39"/>
        <v>"C:\Program Files (x86)\AstroGrep\AstroGrep.exe" /e /r /s /spath="%USERPROFILE%\AppData\Local\Temp\OnboardLogs" /stypes="app*4062*20170914*" /stext=" 21:.+((SYSTEM_STATE.+slice.+state.+changed )|(ment ac)|(multiple cpu faults)|(system.+state.+changed )|(\[timeout)|(PRM\|1\|D)|(kpr)|(kdp)|(train st.+moving)|(\|lc)|(penalty))"</v>
      </c>
      <c r="AG108" s="186" t="str">
        <f t="shared" si="40"/>
        <v>EC</v>
      </c>
      <c r="AH108" s="78" t="str">
        <f t="shared" si="41"/>
        <v>"%USERPROFILE%\Documents\GitHub\eaglep3\Utilities\RefineRTDCRunTimes.py" --tripid 193-14 --locoid 4062 --swversion DE.1.0.9.0 --startMP 204:453 --initTime 2017-09-14T15:08:46 --startdatetime 2017-09-14T15:15:14 --delay 84 --endMP 204:233334 --enddatetime 2017-09-14T15:50:35 --enforcementcount 1 &gt;&gt;C:\Users\stu\Documents\GitHub\eaglep3-reporting\EC\2017-09-14-refined-times.txt</v>
      </c>
      <c r="AI10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{"issue":{"subject":"","project_id":79,"tracker_id":40,"status_id":1,"priority_id":2,"assigned_to_id":338,"start_date":"2017-09-14","description":"","custom_fields":[{"id":1,"name":"Subdivision","value":"EC"},{"id":4,"name":"Milepost","value":"23.3334"},{"id":17,"name":"Train ID","value":"193-14"},{"id":16,"name":"Locomotive ID","value":"4062"},{"id":130,"name":"Impact","value":""},{"id":150,"name":"Time of Event (Mountain Time)","value":"15:50:35"},{"id":151,"name":"Denver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4062 --day 2017-09-14</v>
      </c>
      <c r="AN10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741</v>
      </c>
      <c r="B109" s="7">
        <v>4061</v>
      </c>
      <c r="C109" s="21" t="s">
        <v>197</v>
      </c>
      <c r="D109" s="21" t="s">
        <v>541</v>
      </c>
      <c r="E109" s="13">
        <v>42992.664513888885</v>
      </c>
      <c r="F109" s="13">
        <v>42992.675173611111</v>
      </c>
      <c r="G109" s="7">
        <v>60</v>
      </c>
      <c r="H109" s="21" t="s">
        <v>339</v>
      </c>
      <c r="I109" s="13">
        <v>42992.700833333336</v>
      </c>
      <c r="J109" s="7">
        <v>1</v>
      </c>
      <c r="K109" s="89" t="str">
        <f t="shared" si="29"/>
        <v>4061/4062</v>
      </c>
      <c r="L109" s="189" t="str">
        <f>VLOOKUP(A109,'Trips&amp;Operators'!$C$1:$G$99911,5,FALSE)</f>
        <v>LEVIN SCOTT</v>
      </c>
      <c r="M109" s="6">
        <f t="shared" si="30"/>
        <v>2.5659722225100268E-2</v>
      </c>
      <c r="N109" s="7">
        <f t="shared" si="45"/>
        <v>36.950000004144385</v>
      </c>
      <c r="O109" s="7"/>
      <c r="P109" s="7"/>
      <c r="Q109" s="22"/>
      <c r="R109" s="167"/>
      <c r="S109" s="217">
        <f t="shared" si="46"/>
        <v>1</v>
      </c>
      <c r="T109" s="175" t="str">
        <f t="shared" si="31"/>
        <v>Southbound</v>
      </c>
      <c r="U109" s="20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26" t="str">
        <f t="shared" si="32"/>
        <v>https://d0f6bd738d7f1b3e5a7ca70fe4ff75f0.us-east-1.aws.found.io/app/kibana#/discover/Steve-Slow-Train-Analysis-(2080s-and-2083s)?_g=(refreshInterval:(display:Off,pause:!f,section:0,value:0),time:(from:'2017-09-14T14:56:54-0600',mode:absolute,to:'2017-09-14T17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9" s="210" t="str">
        <f>IF(AA109&lt;VLOOKUP(AG109,Variables!$AC$3:$AD$8,2,FALSE),"Y","N")</f>
        <v>N</v>
      </c>
      <c r="X109" s="210">
        <f t="shared" ref="X109:X140" si="47">VALUE(LEFT(AD109,4))-VALUE(LEFT(AD108,4))</f>
        <v>1</v>
      </c>
      <c r="Y109" s="210">
        <f t="shared" ref="Y109:Y124" si="48">RIGHT(D109,LEN(D109)-4)/10000</f>
        <v>23.303999999999998</v>
      </c>
      <c r="Z109" s="210">
        <f t="shared" ref="Z109:Z124" si="49">RIGHT(H109,LEN(H109)-4)/10000</f>
        <v>1.49E-2</v>
      </c>
      <c r="AA109" s="210">
        <f t="shared" si="36"/>
        <v>23.289099999999998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83">
        <f t="shared" si="37"/>
        <v>194</v>
      </c>
      <c r="AE109" s="77" t="str">
        <f t="shared" si="38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109" s="74" t="str">
        <f t="shared" si="39"/>
        <v>"C:\Program Files (x86)\AstroGrep\AstroGrep.exe" /e /r /s /spath="%USERPROFILE%\AppData\Local\Temp\OnboardLogs" /stypes="app*4061*20170914*" /stext=" 22:.+((SYSTEM_STATE.+slice.+state.+changed )|(ment ac)|(multiple cpu faults)|(system.+state.+changed )|(\[timeout)|(PRM\|1\|D)|(kpr)|(kdp)|(train st.+moving)|(\|lc)|(penalty))"</v>
      </c>
      <c r="AG109" s="186" t="str">
        <f t="shared" si="40"/>
        <v>EC</v>
      </c>
      <c r="AH109" s="78" t="str">
        <f t="shared" si="41"/>
        <v>"%USERPROFILE%\Documents\GitHub\eaglep3\Utilities\RefineRTDCRunTimes.py" --tripid 194-14 --locoid 4061 --swversion DE.1.0.9.0 --startMP 204:233040 --initTime 2017-09-14T15:56:54 --startdatetime 2017-09-14T16:12:15 --delay 60 --endMP 204:149 --enddatetime 2017-09-14T16:49:12 --enforcementcount 1 &gt;&gt;C:\Users\stu\Documents\GitHub\eaglep3-reporting\EC\2017-09-14-refined-times.txt</v>
      </c>
      <c r="AI10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{"issue":{"subject":"","project_id":79,"tracker_id":40,"status_id":1,"priority_id":2,"assigned_to_id":338,"start_date":"2017-09-14","description":"","custom_fields":[{"id":1,"name":"Subdivision","value":"EC"},{"id":4,"name":"Milepost","value":"0.0149"},{"id":17,"name":"Train ID","value":"194-14"},{"id":16,"name":"Locomotive ID","value":"4061"},{"id":130,"name":"Impact","value":""},{"id":150,"name":"Time of Event (Mountain Time)","value":"16:49:12"},{"id":151,"name":"Denver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4061 --day 2017-09-14</v>
      </c>
      <c r="AN10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602</v>
      </c>
      <c r="B110" s="7">
        <v>4004</v>
      </c>
      <c r="C110" s="21" t="s">
        <v>197</v>
      </c>
      <c r="D110" s="21" t="s">
        <v>871</v>
      </c>
      <c r="E110" s="13">
        <v>42992.639525462961</v>
      </c>
      <c r="F110" s="13">
        <v>42992.646226851852</v>
      </c>
      <c r="G110" s="7">
        <v>73</v>
      </c>
      <c r="H110" s="21" t="s">
        <v>540</v>
      </c>
      <c r="I110" s="13">
        <v>42992.671319444446</v>
      </c>
      <c r="J110" s="7">
        <v>1</v>
      </c>
      <c r="K110" s="89" t="str">
        <f t="shared" si="29"/>
        <v>4003/4004</v>
      </c>
      <c r="L110" s="189" t="str">
        <f>VLOOKUP(A110,'Trips&amp;Operators'!$C$1:$G$99911,5,FALSE)</f>
        <v>DELGADO DIANAH</v>
      </c>
      <c r="M110" s="6">
        <f t="shared" si="30"/>
        <v>2.5092592593864538E-2</v>
      </c>
      <c r="N110" s="7">
        <f t="shared" si="45"/>
        <v>36.133333335164934</v>
      </c>
      <c r="O110" s="7"/>
      <c r="P110" s="7"/>
      <c r="Q110" s="22"/>
      <c r="R110" s="167"/>
      <c r="S110" s="217">
        <f t="shared" si="46"/>
        <v>1</v>
      </c>
      <c r="T110" s="175" t="str">
        <f t="shared" si="31"/>
        <v>NorthBound</v>
      </c>
      <c r="U110" s="20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26" t="str">
        <f t="shared" si="32"/>
        <v>https://d0f6bd738d7f1b3e5a7ca70fe4ff75f0.us-east-1.aws.found.io/app/kibana#/discover/Steve-Slow-Train-Analysis-(2080s-and-2083s)?_g=(refreshInterval:(display:Off,pause:!f,section:0,value:0),time:(from:'2017-09-14T14:20:55-0600',mode:absolute,to:'2017-09-14T17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0" s="210" t="str">
        <f>IF(AA110&lt;VLOOKUP(AG110,Variables!$AC$3:$AD$8,2,FALSE),"Y","N")</f>
        <v>N</v>
      </c>
      <c r="X110" s="210">
        <f t="shared" si="47"/>
        <v>1</v>
      </c>
      <c r="Y110" s="210">
        <f t="shared" si="48"/>
        <v>6.59E-2</v>
      </c>
      <c r="Z110" s="210">
        <f t="shared" si="49"/>
        <v>23.336200000000002</v>
      </c>
      <c r="AA110" s="210">
        <f t="shared" si="36"/>
        <v>23.270300000000002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83">
        <f t="shared" si="37"/>
        <v>195</v>
      </c>
      <c r="AE110" s="77" t="str">
        <f t="shared" si="38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110" s="74" t="str">
        <f t="shared" si="39"/>
        <v>"C:\Program Files (x86)\AstroGrep\AstroGrep.exe" /e /r /s /spath="%USERPROFILE%\AppData\Local\Temp\OnboardLogs" /stypes="app*4004*20170914*" /stext=" 22:.+((SYSTEM_STATE.+slice.+state.+changed )|(ment ac)|(multiple cpu faults)|(system.+state.+changed )|(\[timeout)|(PRM\|1\|D)|(kpr)|(kdp)|(train st.+moving)|(\|lc)|(penalty))"</v>
      </c>
      <c r="AG110" s="186" t="str">
        <f t="shared" si="40"/>
        <v>EC</v>
      </c>
      <c r="AH110" s="78" t="str">
        <f t="shared" si="41"/>
        <v>"%USERPROFILE%\Documents\GitHub\eaglep3\Utilities\RefineRTDCRunTimes.py" --tripid 195-14 --locoid 4004 --swversion DE.1.0.9.0 --startMP 204:659 --initTime 2017-09-14T15:20:55 --startdatetime 2017-09-14T15:30:34 --delay 73 --endMP 204:233362 --enddatetime 2017-09-14T16:06:42 --enforcementcount 1 &gt;&gt;C:\Users\stu\Documents\GitHub\eaglep3-reporting\EC\2017-09-14-refined-times.txt</v>
      </c>
      <c r="AI11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{"issue":{"subject":"","project_id":79,"tracker_id":40,"status_id":1,"priority_id":2,"assigned_to_id":338,"start_date":"2017-09-14","description":"","custom_fields":[{"id":1,"name":"Subdivision","value":"EC"},{"id":4,"name":"Milepost","value":"23.3362"},{"id":17,"name":"Train ID","value":"195-14"},{"id":16,"name":"Locomotive ID","value":"4004"},{"id":130,"name":"Impact","value":""},{"id":150,"name":"Time of Event (Mountain Time)","value":"16:06:42"},{"id":151,"name":"Denver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4004 --day 2017-09-14</v>
      </c>
      <c r="AN11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744</v>
      </c>
      <c r="B111" s="7">
        <v>4003</v>
      </c>
      <c r="C111" s="21" t="s">
        <v>197</v>
      </c>
      <c r="D111" s="21" t="s">
        <v>542</v>
      </c>
      <c r="E111" s="13">
        <v>42992.673483796294</v>
      </c>
      <c r="F111" s="13">
        <v>42992.685590277775</v>
      </c>
      <c r="G111" s="7">
        <v>831</v>
      </c>
      <c r="H111" s="21" t="s">
        <v>339</v>
      </c>
      <c r="I111" s="13">
        <v>42992.710636574076</v>
      </c>
      <c r="J111" s="7">
        <v>1</v>
      </c>
      <c r="K111" s="89" t="str">
        <f t="shared" si="29"/>
        <v>4003/4004</v>
      </c>
      <c r="L111" s="189" t="str">
        <f>VLOOKUP(A111,'Trips&amp;Operators'!$C$1:$G$99911,5,FALSE)</f>
        <v>DELGADO DIANAH</v>
      </c>
      <c r="M111" s="6">
        <f t="shared" si="30"/>
        <v>2.5046296301297843E-2</v>
      </c>
      <c r="N111" s="7">
        <f t="shared" si="45"/>
        <v>36.066666673868895</v>
      </c>
      <c r="O111" s="7"/>
      <c r="P111" s="7"/>
      <c r="Q111" s="22"/>
      <c r="R111" s="167"/>
      <c r="S111" s="217">
        <f t="shared" si="46"/>
        <v>1</v>
      </c>
      <c r="T111" s="175" t="str">
        <f t="shared" si="31"/>
        <v>Southbound</v>
      </c>
      <c r="U111" s="20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26" t="str">
        <f t="shared" si="32"/>
        <v>https://d0f6bd738d7f1b3e5a7ca70fe4ff75f0.us-east-1.aws.found.io/app/kibana#/discover/Steve-Slow-Train-Analysis-(2080s-and-2083s)?_g=(refreshInterval:(display:Off,pause:!f,section:0,value:0),time:(from:'2017-09-14T15:09:49-0600',mode:absolute,to:'2017-09-14T18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1" s="210" t="str">
        <f>IF(AA111&lt;VLOOKUP(AG111,Variables!$AC$3:$AD$8,2,FALSE),"Y","N")</f>
        <v>N</v>
      </c>
      <c r="X111" s="210">
        <f t="shared" si="47"/>
        <v>1</v>
      </c>
      <c r="Y111" s="210">
        <f t="shared" si="48"/>
        <v>23.303000000000001</v>
      </c>
      <c r="Z111" s="210">
        <f t="shared" si="49"/>
        <v>1.49E-2</v>
      </c>
      <c r="AA111" s="210">
        <f t="shared" si="36"/>
        <v>23.2881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83">
        <f t="shared" si="37"/>
        <v>196</v>
      </c>
      <c r="AE111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11" s="74" t="str">
        <f t="shared" si="39"/>
        <v>"C:\Program Files (x86)\AstroGrep\AstroGrep.exe" /e /r /s /spath="%USERPROFILE%\AppData\Local\Temp\OnboardLogs" /stypes="app*4003*20170914*" /stext=" 23:.+((SYSTEM_STATE.+slice.+state.+changed )|(ment ac)|(multiple cpu faults)|(system.+state.+changed )|(\[timeout)|(PRM\|1\|D)|(kpr)|(kdp)|(train st.+moving)|(\|lc)|(penalty))"</v>
      </c>
      <c r="AG111" s="186" t="str">
        <f t="shared" si="40"/>
        <v>EC</v>
      </c>
      <c r="AH111" s="78" t="str">
        <f t="shared" si="41"/>
        <v>"%USERPROFILE%\Documents\GitHub\eaglep3\Utilities\RefineRTDCRunTimes.py" --tripid 196-14 --locoid 4003 --swversion DE.1.0.9.0 --startMP 204:233030 --initTime 2017-09-14T16:09:49 --startdatetime 2017-09-14T16:27:15 --delay 831 --endMP 204:149 --enddatetime 2017-09-14T17:03:19 --enforcementcount 1 &gt;&gt;C:\Users\stu\Documents\GitHub\eaglep3-reporting\EC\2017-09-14-refined-times.txt</v>
      </c>
      <c r="AI11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{"issue":{"subject":"","project_id":79,"tracker_id":40,"status_id":1,"priority_id":2,"assigned_to_id":338,"start_date":"2017-09-14","description":"","custom_fields":[{"id":1,"name":"Subdivision","value":"EC"},{"id":4,"name":"Milepost","value":"0.0149"},{"id":17,"name":"Train ID","value":"196-14"},{"id":16,"name":"Locomotive ID","value":"4003"},{"id":130,"name":"Impact","value":""},{"id":150,"name":"Time of Event (Mountain Time)","value":"17:03:19"},{"id":151,"name":"Denver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4003 --day 2017-09-14</v>
      </c>
      <c r="AN11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738</v>
      </c>
      <c r="B112" s="7">
        <v>4002</v>
      </c>
      <c r="C112" s="21" t="s">
        <v>197</v>
      </c>
      <c r="D112" s="21" t="s">
        <v>482</v>
      </c>
      <c r="E112" s="13">
        <v>42992.651631944442</v>
      </c>
      <c r="F112" s="13">
        <v>42992.656493055554</v>
      </c>
      <c r="G112" s="7">
        <v>93</v>
      </c>
      <c r="H112" s="21" t="s">
        <v>545</v>
      </c>
      <c r="I112" s="13">
        <v>42992.681898148148</v>
      </c>
      <c r="J112" s="7">
        <v>1</v>
      </c>
      <c r="K112" s="89" t="str">
        <f t="shared" si="29"/>
        <v>4001/4002</v>
      </c>
      <c r="L112" s="189" t="str">
        <f>VLOOKUP(A112,'Trips&amp;Operators'!$C$1:$G$99911,5,FALSE)</f>
        <v>LEVERE CRAIG</v>
      </c>
      <c r="M112" s="6">
        <f t="shared" si="30"/>
        <v>2.5405092594155576E-2</v>
      </c>
      <c r="N112" s="7">
        <f t="shared" si="45"/>
        <v>36.58333333558403</v>
      </c>
      <c r="O112" s="7"/>
      <c r="P112" s="7"/>
      <c r="Q112" s="22"/>
      <c r="R112" s="167"/>
      <c r="S112" s="217">
        <f t="shared" si="46"/>
        <v>1</v>
      </c>
      <c r="T112" s="175" t="str">
        <f t="shared" si="31"/>
        <v>NorthBound</v>
      </c>
      <c r="U112" s="20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26" t="str">
        <f t="shared" si="32"/>
        <v>https://d0f6bd738d7f1b3e5a7ca70fe4ff75f0.us-east-1.aws.found.io/app/kibana#/discover/Steve-Slow-Train-Analysis-(2080s-and-2083s)?_g=(refreshInterval:(display:Off,pause:!f,section:0,value:0),time:(from:'2017-09-14T14:38:21-0600',mode:absolute,to:'2017-09-14T17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210" t="str">
        <f>IF(AA112&lt;VLOOKUP(AG112,Variables!$AC$3:$AD$8,2,FALSE),"Y","N")</f>
        <v>N</v>
      </c>
      <c r="X112" s="210">
        <f t="shared" si="47"/>
        <v>1</v>
      </c>
      <c r="Y112" s="210">
        <f t="shared" si="48"/>
        <v>4.3499999999999997E-2</v>
      </c>
      <c r="Z112" s="210">
        <f t="shared" si="49"/>
        <v>23.3323</v>
      </c>
      <c r="AA112" s="210">
        <f t="shared" si="36"/>
        <v>23.288799999999998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83">
        <f t="shared" si="37"/>
        <v>197</v>
      </c>
      <c r="AE112" s="77" t="str">
        <f t="shared" si="38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112" s="74" t="str">
        <f t="shared" si="39"/>
        <v>"C:\Program Files (x86)\AstroGrep\AstroGrep.exe" /e /r /s /spath="%USERPROFILE%\AppData\Local\Temp\OnboardLogs" /stypes="app*4002*20170914*" /stext=" 22:.+((SYSTEM_STATE.+slice.+state.+changed )|(ment ac)|(multiple cpu faults)|(system.+state.+changed )|(\[timeout)|(PRM\|1\|D)|(kpr)|(kdp)|(train st.+moving)|(\|lc)|(penalty))"</v>
      </c>
      <c r="AG112" s="186" t="str">
        <f t="shared" si="40"/>
        <v>EC</v>
      </c>
      <c r="AH112" s="78" t="str">
        <f t="shared" si="41"/>
        <v>"%USERPROFILE%\Documents\GitHub\eaglep3\Utilities\RefineRTDCRunTimes.py" --tripid 197-14 --locoid 4002 --swversion DE.1.0.9.0 --startMP 204:435 --initTime 2017-09-14T15:38:21 --startdatetime 2017-09-14T15:45:21 --delay 93 --endMP 204:233323 --enddatetime 2017-09-14T16:21:56 --enforcementcount 1 &gt;&gt;C:\Users\stu\Documents\GitHub\eaglep3-reporting\EC\2017-09-14-refined-times.txt</v>
      </c>
      <c r="AI11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{"issue":{"subject":"","project_id":79,"tracker_id":40,"status_id":1,"priority_id":2,"assigned_to_id":338,"start_date":"2017-09-14","description":"","custom_fields":[{"id":1,"name":"Subdivision","value":"EC"},{"id":4,"name":"Milepost","value":"23.3323"},{"id":17,"name":"Train ID","value":"197-14"},{"id":16,"name":"Locomotive ID","value":"4002"},{"id":130,"name":"Impact","value":""},{"id":150,"name":"Time of Event (Mountain Time)","value":"16:21:56"},{"id":151,"name":"Denver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4002 --day 2017-09-14</v>
      </c>
      <c r="AN11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609</v>
      </c>
      <c r="B113" s="7">
        <v>4001</v>
      </c>
      <c r="C113" s="21" t="s">
        <v>197</v>
      </c>
      <c r="D113" s="21" t="s">
        <v>434</v>
      </c>
      <c r="E113" s="13">
        <v>42992.692673611113</v>
      </c>
      <c r="F113" s="13">
        <v>42992.696030092593</v>
      </c>
      <c r="G113" s="7">
        <v>59</v>
      </c>
      <c r="H113" s="21" t="s">
        <v>872</v>
      </c>
      <c r="I113" s="13">
        <v>42992.719027777777</v>
      </c>
      <c r="J113" s="7">
        <v>1</v>
      </c>
      <c r="K113" s="89" t="str">
        <f t="shared" si="29"/>
        <v>4001/4002</v>
      </c>
      <c r="L113" s="189" t="str">
        <f>VLOOKUP(A113,'Trips&amp;Operators'!$C$1:$G$99911,5,FALSE)</f>
        <v>LEVERE CRAIG</v>
      </c>
      <c r="M113" s="6">
        <f t="shared" si="30"/>
        <v>2.2997685184236616E-2</v>
      </c>
      <c r="N113" s="7"/>
      <c r="O113" s="7"/>
      <c r="P113" s="7">
        <f>24*60*SUM($M113:$M113)</f>
        <v>33.116666665300727</v>
      </c>
      <c r="Q113" s="22"/>
      <c r="R113" s="167" t="s">
        <v>1018</v>
      </c>
      <c r="S113" s="217">
        <f t="shared" si="46"/>
        <v>1</v>
      </c>
      <c r="T113" s="175" t="str">
        <f t="shared" si="31"/>
        <v>Southbound</v>
      </c>
      <c r="U113" s="20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26" t="str">
        <f t="shared" si="32"/>
        <v>https://d0f6bd738d7f1b3e5a7ca70fe4ff75f0.us-east-1.aws.found.io/app/kibana#/discover/Steve-Slow-Train-Analysis-(2080s-and-2083s)?_g=(refreshInterval:(display:Off,pause:!f,section:0,value:0),time:(from:'2017-09-14T15:37:27-0600',mode:absolute,to:'2017-09-14T18:15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210" t="str">
        <f>IF(AA113&lt;VLOOKUP(AG113,Variables!$AC$3:$AD$8,2,FALSE),"Y","N")</f>
        <v>Y</v>
      </c>
      <c r="X113" s="210">
        <f t="shared" si="47"/>
        <v>1</v>
      </c>
      <c r="Y113" s="210">
        <f t="shared" si="48"/>
        <v>23.299800000000001</v>
      </c>
      <c r="Z113" s="210">
        <f t="shared" si="49"/>
        <v>1.6819</v>
      </c>
      <c r="AA113" s="210">
        <f t="shared" si="36"/>
        <v>21.617900000000002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83">
        <f t="shared" si="37"/>
        <v>198</v>
      </c>
      <c r="AE113" s="77" t="str">
        <f t="shared" si="38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113" s="74" t="str">
        <f t="shared" si="39"/>
        <v>"C:\Program Files (x86)\AstroGrep\AstroGrep.exe" /e /r /s /spath="%USERPROFILE%\AppData\Local\Temp\OnboardLogs" /stypes="app*4001*20170914*" /stext=" 23:.+((SYSTEM_STATE.+slice.+state.+changed )|(ment ac)|(multiple cpu faults)|(system.+state.+changed )|(\[timeout)|(PRM\|1\|D)|(kpr)|(kdp)|(train st.+moving)|(\|lc)|(penalty))"</v>
      </c>
      <c r="AG113" s="186" t="str">
        <f t="shared" si="40"/>
        <v>EC</v>
      </c>
      <c r="AH113" s="78" t="str">
        <f t="shared" si="41"/>
        <v>"%USERPROFILE%\Documents\GitHub\eaglep3\Utilities\RefineRTDCRunTimes.py" --tripid 198-14 --locoid 4001 --swversion DE.1.0.9.0 --startMP 204:232998 --initTime 2017-09-14T16:37:27 --startdatetime 2017-09-14T16:42:17 --delay 59 --endMP 204:16819 --enddatetime 2017-09-14T17:15:24 --enforcementcount 1 &gt;&gt;C:\Users\stu\Documents\GitHub\eaglep3-reporting\EC\2017-09-14-refined-times.txt</v>
      </c>
      <c r="AI113" s="96" t="str">
        <f t="shared" si="42"/>
        <v>echo {"issue":{"subject":"Premature downgrade at Bright 4S","project_id":79,"tracker_id":40,"status_id":1,"priority_id":2,"assigned_to_id":338,"start_date":"2017-09-14","description":"","custom_fields":[{"id":1,"name":"Subdivision","value":"EC"},{"id":4,"name":"Milepost","value":"1.6819"},{"id":17,"name":"Train ID","value":"198-14"},{"id":16,"name":"Locomotive ID","value":"4001"},{"id":130,"name":"Impact","value":""},{"id":150,"name":"Time of Event (Mountain Time)","value":"17:15:24"},{"id":151,"name":"Denver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4001 --day 2017-09-14</v>
      </c>
      <c r="AN113" s="151" t="str">
        <f t="shared" si="44"/>
        <v>echo {"issue":{"subject":"Premature downgrade at Bright 4S","project_id":30,"tracker_id":4,"status_id":1,"priority_id":1,"assigned_to_id":10,"start_date":"2017-09-14","description":"","custom_fields":[{"id":30,"name":"Category","value":"Issue"},{"id":3,"name":"Functional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23:15:24"},{"id":29,"name":"Sharepoint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740</v>
      </c>
      <c r="B114" s="7">
        <v>4058</v>
      </c>
      <c r="C114" s="21" t="s">
        <v>197</v>
      </c>
      <c r="D114" s="21" t="s">
        <v>543</v>
      </c>
      <c r="E114" s="13">
        <v>42992.663310185184</v>
      </c>
      <c r="F114" s="13">
        <v>42992.667025462964</v>
      </c>
      <c r="G114" s="7">
        <v>120</v>
      </c>
      <c r="H114" s="21" t="s">
        <v>1010</v>
      </c>
      <c r="I114" s="13">
        <v>42992.692453703705</v>
      </c>
      <c r="J114" s="7">
        <v>1</v>
      </c>
      <c r="K114" s="89" t="str">
        <f t="shared" si="29"/>
        <v>4057/4058</v>
      </c>
      <c r="L114" s="189" t="str">
        <f>VLOOKUP(A114,'Trips&amp;Operators'!$C$1:$G$99911,5,FALSE)</f>
        <v>BADERTSCHER DIANE</v>
      </c>
      <c r="M114" s="6">
        <f t="shared" si="30"/>
        <v>2.5428240740438923E-2</v>
      </c>
      <c r="N114" s="7">
        <f t="shared" ref="N114:N136" si="50">24*60*SUM($M114:$M114)</f>
        <v>36.616666666232049</v>
      </c>
      <c r="O114" s="7"/>
      <c r="P114" s="7"/>
      <c r="Q114" s="22"/>
      <c r="R114" s="167"/>
      <c r="S114" s="217">
        <f t="shared" si="46"/>
        <v>1</v>
      </c>
      <c r="T114" s="175" t="str">
        <f t="shared" si="31"/>
        <v>NorthBound</v>
      </c>
      <c r="U114" s="20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26" t="str">
        <f t="shared" si="32"/>
        <v>https://d0f6bd738d7f1b3e5a7ca70fe4ff75f0.us-east-1.aws.found.io/app/kibana#/discover/Steve-Slow-Train-Analysis-(2080s-and-2083s)?_g=(refreshInterval:(display:Off,pause:!f,section:0,value:0),time:(from:'2017-09-14T14:55:10-0600',mode:absolute,to:'2017-09-14T17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4" s="210" t="str">
        <f>IF(AA114&lt;VLOOKUP(AG114,Variables!$AC$3:$AD$8,2,FALSE),"Y","N")</f>
        <v>N</v>
      </c>
      <c r="X114" s="210">
        <f t="shared" si="47"/>
        <v>1</v>
      </c>
      <c r="Y114" s="210">
        <f t="shared" si="48"/>
        <v>4.7300000000000002E-2</v>
      </c>
      <c r="Z114" s="210">
        <f t="shared" si="49"/>
        <v>23.328800000000001</v>
      </c>
      <c r="AA114" s="210">
        <f t="shared" si="36"/>
        <v>23.281500000000001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83">
        <f t="shared" si="37"/>
        <v>199</v>
      </c>
      <c r="AE114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14" s="74" t="str">
        <f t="shared" si="39"/>
        <v>"C:\Program Files (x86)\AstroGrep\AstroGrep.exe" /e /r /s /spath="%USERPROFILE%\AppData\Local\Temp\OnboardLogs" /stypes="app*4058*20170914*" /stext=" 22:.+((SYSTEM_STATE.+slice.+state.+changed )|(ment ac)|(multiple cpu faults)|(system.+state.+changed )|(\[timeout)|(PRM\|1\|D)|(kpr)|(kdp)|(train st.+moving)|(\|lc)|(penalty))"</v>
      </c>
      <c r="AG114" s="186" t="str">
        <f t="shared" si="40"/>
        <v>EC</v>
      </c>
      <c r="AH114" s="78" t="str">
        <f t="shared" si="41"/>
        <v>"%USERPROFILE%\Documents\GitHub\eaglep3\Utilities\RefineRTDCRunTimes.py" --tripid 199-14 --locoid 4058 --swversion DE.1.0.9.0 --startMP 204:473 --initTime 2017-09-14T15:55:10 --startdatetime 2017-09-14T16:00:31 --delay 120 --endMP 204:233288 --enddatetime 2017-09-14T16:37:08 --enforcementcount 1 &gt;&gt;C:\Users\stu\Documents\GitHub\eaglep3-reporting\EC\2017-09-14-refined-times.txt</v>
      </c>
      <c r="AI11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{"issue":{"subject":"","project_id":79,"tracker_id":40,"status_id":1,"priority_id":2,"assigned_to_id":338,"start_date":"2017-09-14","description":"","custom_fields":[{"id":1,"name":"Subdivision","value":"EC"},{"id":4,"name":"Milepost","value":"23.3288"},{"id":17,"name":"Train ID","value":"199-14"},{"id":16,"name":"Locomotive ID","value":"4058"},{"id":130,"name":"Impact","value":""},{"id":150,"name":"Time of Event (Mountain Time)","value":"16:37:08"},{"id":151,"name":"Denver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4058 --day 2017-09-14</v>
      </c>
      <c r="AN11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610</v>
      </c>
      <c r="B115" s="7">
        <v>4057</v>
      </c>
      <c r="C115" s="21" t="s">
        <v>197</v>
      </c>
      <c r="D115" s="21" t="s">
        <v>834</v>
      </c>
      <c r="E115" s="13">
        <v>42992.699201388888</v>
      </c>
      <c r="F115" s="13">
        <v>42992.706412037034</v>
      </c>
      <c r="G115" s="7">
        <v>59</v>
      </c>
      <c r="H115" s="21" t="s">
        <v>401</v>
      </c>
      <c r="I115" s="13">
        <v>42992.733657407407</v>
      </c>
      <c r="J115" s="7">
        <v>1</v>
      </c>
      <c r="K115" s="89" t="str">
        <f t="shared" si="29"/>
        <v>4057/4058</v>
      </c>
      <c r="L115" s="189" t="str">
        <f>VLOOKUP(A115,'Trips&amp;Operators'!$C$1:$G$99911,5,FALSE)</f>
        <v>BADERTSCHER DIANE</v>
      </c>
      <c r="M115" s="6">
        <f t="shared" si="30"/>
        <v>2.7245370372838806E-2</v>
      </c>
      <c r="N115" s="7">
        <f t="shared" si="50"/>
        <v>39.233333336887881</v>
      </c>
      <c r="O115" s="7"/>
      <c r="P115" s="7"/>
      <c r="Q115" s="22"/>
      <c r="R115" s="167"/>
      <c r="S115" s="217">
        <f t="shared" si="46"/>
        <v>1</v>
      </c>
      <c r="T115" s="175" t="str">
        <f t="shared" si="31"/>
        <v>Southbound</v>
      </c>
      <c r="U115" s="20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26" t="str">
        <f t="shared" si="32"/>
        <v>https://d0f6bd738d7f1b3e5a7ca70fe4ff75f0.us-east-1.aws.found.io/app/kibana#/discover/Steve-Slow-Train-Analysis-(2080s-and-2083s)?_g=(refreshInterval:(display:Off,pause:!f,section:0,value:0),time:(from:'2017-09-14T15:46:51-0600',mode:absolute,to:'2017-09-14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5" s="210" t="str">
        <f>IF(AA115&lt;VLOOKUP(AG115,Variables!$AC$3:$AD$8,2,FALSE),"Y","N")</f>
        <v>N</v>
      </c>
      <c r="X115" s="210">
        <f t="shared" si="47"/>
        <v>1</v>
      </c>
      <c r="Y115" s="210">
        <f t="shared" si="48"/>
        <v>23.3005</v>
      </c>
      <c r="Z115" s="210">
        <f t="shared" si="49"/>
        <v>1.3899999999999999E-2</v>
      </c>
      <c r="AA115" s="210">
        <f t="shared" si="36"/>
        <v>23.2866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83">
        <f t="shared" si="37"/>
        <v>200</v>
      </c>
      <c r="AE115" s="77" t="str">
        <f t="shared" si="38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15" s="74" t="str">
        <f t="shared" si="39"/>
        <v>"C:\Program Files (x86)\AstroGrep\AstroGrep.exe" /e /r /s /spath="%USERPROFILE%\AppData\Local\Temp\OnboardLogs" /stypes="app*4057*20170914*" /stext=" 23:.+((SYSTEM_STATE.+slice.+state.+changed )|(ment ac)|(multiple cpu faults)|(system.+state.+changed )|(\[timeout)|(PRM\|1\|D)|(kpr)|(kdp)|(train st.+moving)|(\|lc)|(penalty))"</v>
      </c>
      <c r="AG115" s="186" t="str">
        <f t="shared" si="40"/>
        <v>EC</v>
      </c>
      <c r="AH115" s="78" t="str">
        <f t="shared" si="41"/>
        <v>"%USERPROFILE%\Documents\GitHub\eaglep3\Utilities\RefineRTDCRunTimes.py" --tripid 200-14 --locoid 4057 --swversion DE.1.0.9.0 --startMP 204:233005 --initTime 2017-09-14T16:46:51 --startdatetime 2017-09-14T16:57:14 --delay 59 --endMP 204:139 --enddatetime 2017-09-14T17:36:28 --enforcementcount 1 &gt;&gt;C:\Users\stu\Documents\GitHub\eaglep3-reporting\EC\2017-09-14-refined-times.txt</v>
      </c>
      <c r="AI115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ID","value":"200-14"},{"id":16,"name":"Locomotive ID","value":"4057"},{"id":130,"name":"Impact","value":""},{"id":150,"name":"Time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4057 --day 2017-09-14</v>
      </c>
      <c r="AN11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745</v>
      </c>
      <c r="B116" s="7">
        <v>4026</v>
      </c>
      <c r="C116" s="21" t="s">
        <v>197</v>
      </c>
      <c r="D116" s="21" t="s">
        <v>372</v>
      </c>
      <c r="E116" s="13">
        <v>42992.673761574071</v>
      </c>
      <c r="F116" s="13">
        <v>42992.677453703705</v>
      </c>
      <c r="G116" s="7">
        <v>49</v>
      </c>
      <c r="H116" s="21" t="s">
        <v>388</v>
      </c>
      <c r="I116" s="13">
        <v>42992.70212962963</v>
      </c>
      <c r="J116" s="7">
        <v>1</v>
      </c>
      <c r="K116" s="89" t="str">
        <f t="shared" si="29"/>
        <v>4025/4026</v>
      </c>
      <c r="L116" s="189" t="str">
        <f>VLOOKUP(A116,'Trips&amp;Operators'!$C$1:$G$99911,5,FALSE)</f>
        <v>HOLCOMB KAMDEN</v>
      </c>
      <c r="M116" s="6">
        <f t="shared" si="30"/>
        <v>2.4675925924384501E-2</v>
      </c>
      <c r="N116" s="7">
        <f t="shared" si="50"/>
        <v>35.533333331113681</v>
      </c>
      <c r="O116" s="7"/>
      <c r="P116" s="7"/>
      <c r="Q116" s="22"/>
      <c r="R116" s="167"/>
      <c r="S116" s="217">
        <f t="shared" si="46"/>
        <v>1</v>
      </c>
      <c r="T116" s="175" t="str">
        <f t="shared" si="31"/>
        <v>NorthBound</v>
      </c>
      <c r="U116" s="20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26" t="str">
        <f t="shared" si="32"/>
        <v>https://d0f6bd738d7f1b3e5a7ca70fe4ff75f0.us-east-1.aws.found.io/app/kibana#/discover/Steve-Slow-Train-Analysis-(2080s-and-2083s)?_g=(refreshInterval:(display:Off,pause:!f,section:0,value:0),time:(from:'2017-09-14T15:10:13-0600',mode:absolute,to:'2017-09-14T17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6" s="210" t="str">
        <f>IF(AA116&lt;VLOOKUP(AG116,Variables!$AC$3:$AD$8,2,FALSE),"Y","N")</f>
        <v>N</v>
      </c>
      <c r="X116" s="210">
        <f t="shared" si="47"/>
        <v>1</v>
      </c>
      <c r="Y116" s="210">
        <f t="shared" si="48"/>
        <v>4.6699999999999998E-2</v>
      </c>
      <c r="Z116" s="210">
        <f t="shared" si="49"/>
        <v>23.331399999999999</v>
      </c>
      <c r="AA116" s="210">
        <f t="shared" si="36"/>
        <v>23.284699999999997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83">
        <f t="shared" si="37"/>
        <v>201</v>
      </c>
      <c r="AE116" s="77" t="str">
        <f t="shared" si="38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116" s="74" t="str">
        <f t="shared" si="39"/>
        <v>"C:\Program Files (x86)\AstroGrep\AstroGrep.exe" /e /r /s /spath="%USERPROFILE%\AppData\Local\Temp\OnboardLogs" /stypes="app*4026*20170914*" /stext=" 22:.+((SYSTEM_STATE.+slice.+state.+changed )|(ment ac)|(multiple cpu faults)|(system.+state.+changed )|(\[timeout)|(PRM\|1\|D)|(kpr)|(kdp)|(train st.+moving)|(\|lc)|(penalty))"</v>
      </c>
      <c r="AG116" s="186" t="str">
        <f t="shared" si="40"/>
        <v>EC</v>
      </c>
      <c r="AH116" s="78" t="str">
        <f t="shared" si="41"/>
        <v>"%USERPROFILE%\Documents\GitHub\eaglep3\Utilities\RefineRTDCRunTimes.py" --tripid 201-14 --locoid 4026 --swversion DE.1.0.9.0 --startMP 204:467 --initTime 2017-09-14T16:10:13 --startdatetime 2017-09-14T16:15:32 --delay 49 --endMP 204:233314 --enddatetime 2017-09-14T16:51:04 --enforcementcount 1 &gt;&gt;C:\Users\stu\Documents\GitHub\eaglep3-reporting\EC\2017-09-14-refined-times.txt</v>
      </c>
      <c r="AI11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{"issue":{"subject":"","project_id":79,"tracker_id":40,"status_id":1,"priority_id":2,"assigned_to_id":338,"start_date":"2017-09-14","description":"","custom_fields":[{"id":1,"name":"Subdivision","value":"EC"},{"id":4,"name":"Milepost","value":"23.3314"},{"id":17,"name":"Train ID","value":"201-14"},{"id":16,"name":"Locomotive ID","value":"4026"},{"id":130,"name":"Impact","value":""},{"id":150,"name":"Time of Event (Mountain Time)","value":"16:51:04"},{"id":151,"name":"Denver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4026 --day 2017-09-14</v>
      </c>
      <c r="AN11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753</v>
      </c>
      <c r="B117" s="7">
        <v>4025</v>
      </c>
      <c r="C117" s="21" t="s">
        <v>197</v>
      </c>
      <c r="D117" s="21" t="s">
        <v>400</v>
      </c>
      <c r="E117" s="13">
        <v>42992.712581018517</v>
      </c>
      <c r="F117" s="13">
        <v>42992.716898148145</v>
      </c>
      <c r="G117" s="7">
        <v>64</v>
      </c>
      <c r="H117" s="21" t="s">
        <v>342</v>
      </c>
      <c r="I117" s="13">
        <v>42992.742407407408</v>
      </c>
      <c r="J117" s="7">
        <v>1</v>
      </c>
      <c r="K117" s="89" t="str">
        <f t="shared" si="29"/>
        <v>4025/4026</v>
      </c>
      <c r="L117" s="189" t="str">
        <f>VLOOKUP(A117,'Trips&amp;Operators'!$C$1:$G$99911,5,FALSE)</f>
        <v>HOLCOMB KAMDEN</v>
      </c>
      <c r="M117" s="6">
        <f t="shared" si="30"/>
        <v>2.5509259263344575E-2</v>
      </c>
      <c r="N117" s="7">
        <f t="shared" si="50"/>
        <v>36.733333339216188</v>
      </c>
      <c r="O117" s="7"/>
      <c r="P117" s="7"/>
      <c r="Q117" s="22"/>
      <c r="R117" s="167"/>
      <c r="S117" s="217">
        <f t="shared" si="46"/>
        <v>1</v>
      </c>
      <c r="T117" s="175" t="str">
        <f t="shared" si="31"/>
        <v>Southbound</v>
      </c>
      <c r="U117" s="20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26" t="str">
        <f t="shared" si="32"/>
        <v>https://d0f6bd738d7f1b3e5a7ca70fe4ff75f0.us-east-1.aws.found.io/app/kibana#/discover/Steve-Slow-Train-Analysis-(2080s-and-2083s)?_g=(refreshInterval:(display:Off,pause:!f,section:0,value:0),time:(from:'2017-09-14T16:06:07-0600',mode:absolute,to:'2017-09-14T18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7" s="210" t="str">
        <f>IF(AA117&lt;VLOOKUP(AG117,Variables!$AC$3:$AD$8,2,FALSE),"Y","N")</f>
        <v>N</v>
      </c>
      <c r="X117" s="210">
        <f t="shared" si="47"/>
        <v>1</v>
      </c>
      <c r="Y117" s="210">
        <f t="shared" si="48"/>
        <v>23.3</v>
      </c>
      <c r="Z117" s="210">
        <f t="shared" si="49"/>
        <v>1.41E-2</v>
      </c>
      <c r="AA117" s="210">
        <f t="shared" si="36"/>
        <v>23.285900000000002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83">
        <f t="shared" si="37"/>
        <v>202</v>
      </c>
      <c r="AE117" s="77" t="str">
        <f t="shared" si="38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117" s="74" t="str">
        <f t="shared" si="39"/>
        <v>"C:\Program Files (x86)\AstroGrep\AstroGrep.exe" /e /r /s /spath="%USERPROFILE%\AppData\Local\Temp\OnboardLogs" /stypes="app*4025*20170914*" /stext=" 23:.+((SYSTEM_STATE.+slice.+state.+changed )|(ment ac)|(multiple cpu faults)|(system.+state.+changed )|(\[timeout)|(PRM\|1\|D)|(kpr)|(kdp)|(train st.+moving)|(\|lc)|(penalty))"</v>
      </c>
      <c r="AG117" s="186" t="str">
        <f t="shared" si="40"/>
        <v>EC</v>
      </c>
      <c r="AH117" s="78" t="str">
        <f t="shared" si="41"/>
        <v>"%USERPROFILE%\Documents\GitHub\eaglep3\Utilities\RefineRTDCRunTimes.py" --tripid 202-14 --locoid 4025 --swversion DE.1.0.9.0 --startMP 204:233000 --initTime 2017-09-14T17:06:07 --startdatetime 2017-09-14T17:12:20 --delay 64 --endMP 204:141 --enddatetime 2017-09-14T17:49:04 --enforcementcount 1 &gt;&gt;C:\Users\stu\Documents\GitHub\eaglep3-reporting\EC\2017-09-14-refined-times.txt</v>
      </c>
      <c r="AI117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ID","value":"202-14"},{"id":16,"name":"Locomotive ID","value":"4025"},{"id":130,"name":"Impact","value":""},{"id":150,"name":"Time of Event (Mountain Time)","value":"17:49:04"},{"id":151,"name":"Denver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4025 --day 2017-09-14</v>
      </c>
      <c r="AN11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746</v>
      </c>
      <c r="B118" s="7">
        <v>4030</v>
      </c>
      <c r="C118" s="21" t="s">
        <v>197</v>
      </c>
      <c r="D118" s="21" t="s">
        <v>364</v>
      </c>
      <c r="E118" s="13">
        <v>42992.684305555558</v>
      </c>
      <c r="F118" s="13">
        <v>42992.687685185185</v>
      </c>
      <c r="G118" s="7">
        <v>76</v>
      </c>
      <c r="H118" s="21" t="s">
        <v>430</v>
      </c>
      <c r="I118" s="13">
        <v>42992.71261574074</v>
      </c>
      <c r="J118" s="7">
        <v>1</v>
      </c>
      <c r="K118" s="89" t="str">
        <f t="shared" si="29"/>
        <v>4029/4030</v>
      </c>
      <c r="L118" s="189" t="str">
        <f>VLOOKUP(A118,'Trips&amp;Operators'!$C$1:$G$99911,5,FALSE)</f>
        <v>BRUDER RICHARD</v>
      </c>
      <c r="M118" s="6">
        <f t="shared" si="30"/>
        <v>2.4930555555329192E-2</v>
      </c>
      <c r="N118" s="7">
        <f t="shared" si="50"/>
        <v>35.899999999674037</v>
      </c>
      <c r="O118" s="7"/>
      <c r="P118" s="7"/>
      <c r="Q118" s="22"/>
      <c r="R118" s="167"/>
      <c r="S118" s="217">
        <f t="shared" si="46"/>
        <v>1</v>
      </c>
      <c r="T118" s="175" t="str">
        <f t="shared" si="31"/>
        <v>NorthBound</v>
      </c>
      <c r="U118" s="20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26" t="str">
        <f t="shared" si="32"/>
        <v>https://d0f6bd738d7f1b3e5a7ca70fe4ff75f0.us-east-1.aws.found.io/app/kibana#/discover/Steve-Slow-Train-Analysis-(2080s-and-2083s)?_g=(refreshInterval:(display:Off,pause:!f,section:0,value:0),time:(from:'2017-09-14T15:25:24-0600',mode:absolute,to:'2017-09-14T18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210" t="str">
        <f>IF(AA118&lt;VLOOKUP(AG118,Variables!$AC$3:$AD$8,2,FALSE),"Y","N")</f>
        <v>N</v>
      </c>
      <c r="X118" s="210">
        <f t="shared" si="47"/>
        <v>1</v>
      </c>
      <c r="Y118" s="210">
        <f t="shared" si="48"/>
        <v>4.6399999999999997E-2</v>
      </c>
      <c r="Z118" s="210">
        <f t="shared" si="49"/>
        <v>23.3291</v>
      </c>
      <c r="AA118" s="210">
        <f t="shared" si="36"/>
        <v>23.282700000000002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83">
        <f t="shared" si="37"/>
        <v>203</v>
      </c>
      <c r="AE118" s="77" t="str">
        <f t="shared" si="38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18" s="74" t="str">
        <f t="shared" si="39"/>
        <v>"C:\Program Files (x86)\AstroGrep\AstroGrep.exe" /e /r /s /spath="%USERPROFILE%\AppData\Local\Temp\OnboardLogs" /stypes="app*4030*20170914*" /stext=" 23:.+((SYSTEM_STATE.+slice.+state.+changed )|(ment ac)|(multiple cpu faults)|(system.+state.+changed )|(\[timeout)|(PRM\|1\|D)|(kpr)|(kdp)|(train st.+moving)|(\|lc)|(penalty))"</v>
      </c>
      <c r="AG118" s="186" t="str">
        <f t="shared" si="40"/>
        <v>EC</v>
      </c>
      <c r="AH118" s="78" t="str">
        <f t="shared" si="41"/>
        <v>"%USERPROFILE%\Documents\GitHub\eaglep3\Utilities\RefineRTDCRunTimes.py" --tripid 203-14 --locoid 4030 --swversion DE.1.0.9.0 --startMP 204:464 --initTime 2017-09-14T16:25:24 --startdatetime 2017-09-14T16:30:16 --delay 76 --endMP 204:233291 --enddatetime 2017-09-14T17:06:10 --enforcementcount 1 &gt;&gt;C:\Users\stu\Documents\GitHub\eaglep3-reporting\EC\2017-09-14-refined-times.txt</v>
      </c>
      <c r="AI11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{"issue":{"subject":"","project_id":79,"tracker_id":40,"status_id":1,"priority_id":2,"assigned_to_id":338,"start_date":"2017-09-14","description":"","custom_fields":[{"id":1,"name":"Subdivision","value":"EC"},{"id":4,"name":"Milepost","value":"23.3291"},{"id":17,"name":"Train ID","value":"203-14"},{"id":16,"name":"Locomotive ID","value":"4030"},{"id":130,"name":"Impact","value":""},{"id":150,"name":"Time of Event (Mountain Time)","value":"17:06:10"},{"id":151,"name":"Denver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4030 --day 2017-09-14</v>
      </c>
      <c r="AN11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755</v>
      </c>
      <c r="B119" s="7">
        <v>4029</v>
      </c>
      <c r="C119" s="21" t="s">
        <v>197</v>
      </c>
      <c r="D119" s="21" t="s">
        <v>853</v>
      </c>
      <c r="E119" s="13">
        <v>42992.723576388889</v>
      </c>
      <c r="F119" s="13">
        <v>42992.727256944447</v>
      </c>
      <c r="G119" s="7">
        <v>66</v>
      </c>
      <c r="H119" s="21" t="s">
        <v>360</v>
      </c>
      <c r="I119" s="13">
        <v>42992.752812500003</v>
      </c>
      <c r="J119" s="7">
        <v>1</v>
      </c>
      <c r="K119" s="89" t="str">
        <f t="shared" si="29"/>
        <v>4029/4030</v>
      </c>
      <c r="L119" s="189" t="str">
        <f>VLOOKUP(A119,'Trips&amp;Operators'!$C$1:$G$99911,5,FALSE)</f>
        <v>BRUDER RICHARD</v>
      </c>
      <c r="M119" s="6">
        <f t="shared" si="30"/>
        <v>2.5555555555911269E-2</v>
      </c>
      <c r="N119" s="7">
        <f t="shared" si="50"/>
        <v>36.800000000512227</v>
      </c>
      <c r="O119" s="7"/>
      <c r="P119" s="7"/>
      <c r="Q119" s="22"/>
      <c r="R119" s="167"/>
      <c r="S119" s="217">
        <f t="shared" ref="S119:S136" si="51">1/IF(AG119="EC",12,1)*SUM(U119:U119)</f>
        <v>1</v>
      </c>
      <c r="T119" s="175" t="str">
        <f t="shared" si="31"/>
        <v>Southbound</v>
      </c>
      <c r="U119" s="20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26" t="str">
        <f t="shared" si="32"/>
        <v>https://d0f6bd738d7f1b3e5a7ca70fe4ff75f0.us-east-1.aws.found.io/app/kibana#/discover/Steve-Slow-Train-Analysis-(2080s-and-2083s)?_g=(refreshInterval:(display:Off,pause:!f,section:0,value:0),time:(from:'2017-09-14T16:21:57-0600',mode:absolute,to:'2017-09-14T19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210" t="str">
        <f>IF(AA119&lt;VLOOKUP(AG119,Variables!$AC$3:$AD$8,2,FALSE),"Y","N")</f>
        <v>N</v>
      </c>
      <c r="X119" s="210">
        <f t="shared" si="47"/>
        <v>1</v>
      </c>
      <c r="Y119" s="210">
        <f t="shared" si="48"/>
        <v>23.2973</v>
      </c>
      <c r="Z119" s="210">
        <f t="shared" si="49"/>
        <v>1.52E-2</v>
      </c>
      <c r="AA119" s="210">
        <f t="shared" si="36"/>
        <v>23.2821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83">
        <f t="shared" si="37"/>
        <v>204</v>
      </c>
      <c r="AE119" s="77" t="str">
        <f t="shared" si="38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19" s="74" t="str">
        <f t="shared" si="39"/>
        <v>"C:\Program Files (x86)\AstroGrep\AstroGrep.exe" /e /r /s /spath="%USERPROFILE%\AppData\Local\Temp\OnboardLogs" /stypes="app*4029*20170915*" /stext=" 00:.+((SYSTEM_STATE.+slice.+state.+changed )|(ment ac)|(multiple cpu faults)|(system.+state.+changed )|(\[timeout)|(PRM\|1\|D)|(kpr)|(kdp)|(train st.+moving)|(\|lc)|(penalty))"</v>
      </c>
      <c r="AG119" s="186" t="str">
        <f t="shared" si="40"/>
        <v>EC</v>
      </c>
      <c r="AH119" s="78" t="str">
        <f t="shared" si="41"/>
        <v>"%USERPROFILE%\Documents\GitHub\eaglep3\Utilities\RefineRTDCRunTimes.py" --tripid 204-14 --locoid 4029 --swversion DE.1.0.9.0 --startMP 204:232973 --initTime 2017-09-14T17:21:57 --startdatetime 2017-09-14T17:27:15 --delay 66 --endMP 204:152 --enddatetime 2017-09-14T18:04:03 --enforcementcount 1 &gt;&gt;C:\Users\stu\Documents\GitHub\eaglep3-reporting\EC\2017-09-14-refined-times.txt</v>
      </c>
      <c r="AI11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{"issue":{"subject":"","project_id":79,"tracker_id":40,"status_id":1,"priority_id":2,"assigned_to_id":338,"start_date":"2017-09-14","description":"","custom_fields":[{"id":1,"name":"Subdivision","value":"EC"},{"id":4,"name":"Milepost","value":"0.0152"},{"id":17,"name":"Train ID","value":"204-14"},{"id":16,"name":"Locomotive ID","value":"4029"},{"id":130,"name":"Impact","value":""},{"id":150,"name":"Time of Event (Mountain Time)","value":"18:04:03"},{"id":151,"name":"Denver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4029 --day 2017-09-14</v>
      </c>
      <c r="AN119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747</v>
      </c>
      <c r="B120" s="7">
        <v>4032</v>
      </c>
      <c r="C120" s="21" t="s">
        <v>197</v>
      </c>
      <c r="D120" s="21" t="s">
        <v>553</v>
      </c>
      <c r="E120" s="13">
        <v>42992.693229166667</v>
      </c>
      <c r="F120" s="13">
        <v>42992.698171296295</v>
      </c>
      <c r="G120" s="7">
        <v>50</v>
      </c>
      <c r="H120" s="21" t="s">
        <v>873</v>
      </c>
      <c r="I120" s="13">
        <v>42992.72283564815</v>
      </c>
      <c r="J120" s="7">
        <v>1</v>
      </c>
      <c r="K120" s="89" t="str">
        <f t="shared" si="29"/>
        <v>4031/4032</v>
      </c>
      <c r="L120" s="189" t="str">
        <f>VLOOKUP(A120,'Trips&amp;Operators'!$C$1:$G$99911,5,FALSE)</f>
        <v>MOSES BRADLEY</v>
      </c>
      <c r="M120" s="6">
        <f t="shared" si="30"/>
        <v>2.4664351854880806E-2</v>
      </c>
      <c r="N120" s="7">
        <f t="shared" si="50"/>
        <v>35.516666671028361</v>
      </c>
      <c r="O120" s="7"/>
      <c r="P120" s="7"/>
      <c r="Q120" s="22"/>
      <c r="R120" s="167"/>
      <c r="S120" s="217">
        <f t="shared" si="51"/>
        <v>1</v>
      </c>
      <c r="T120" s="175" t="str">
        <f t="shared" si="31"/>
        <v>NorthBound</v>
      </c>
      <c r="U120" s="20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26" t="str">
        <f t="shared" si="32"/>
        <v>https://d0f6bd738d7f1b3e5a7ca70fe4ff75f0.us-east-1.aws.found.io/app/kibana#/discover/Steve-Slow-Train-Analysis-(2080s-and-2083s)?_g=(refreshInterval:(display:Off,pause:!f,section:0,value:0),time:(from:'2017-09-14T15:38:15-0600',mode:absolute,to:'2017-09-14T18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210" t="str">
        <f>IF(AA120&lt;VLOOKUP(AG120,Variables!$AC$3:$AD$8,2,FALSE),"Y","N")</f>
        <v>N</v>
      </c>
      <c r="X120" s="210">
        <f t="shared" si="47"/>
        <v>1</v>
      </c>
      <c r="Y120" s="210">
        <f t="shared" si="48"/>
        <v>4.2900000000000001E-2</v>
      </c>
      <c r="Z120" s="210">
        <f t="shared" si="49"/>
        <v>23.329799999999999</v>
      </c>
      <c r="AA120" s="210">
        <f t="shared" si="36"/>
        <v>23.286899999999999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83">
        <f t="shared" si="37"/>
        <v>205</v>
      </c>
      <c r="AE120" s="77" t="str">
        <f t="shared" si="38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120" s="74" t="str">
        <f t="shared" si="39"/>
        <v>"C:\Program Files (x86)\AstroGrep\AstroGrep.exe" /e /r /s /spath="%USERPROFILE%\AppData\Local\Temp\OnboardLogs" /stypes="app*4032*20170914*" /stext=" 23:.+((SYSTEM_STATE.+slice.+state.+changed )|(ment ac)|(multiple cpu faults)|(system.+state.+changed )|(\[timeout)|(PRM\|1\|D)|(kpr)|(kdp)|(train st.+moving)|(\|lc)|(penalty))"</v>
      </c>
      <c r="AG120" s="186" t="str">
        <f t="shared" si="40"/>
        <v>EC</v>
      </c>
      <c r="AH120" s="78" t="str">
        <f t="shared" si="41"/>
        <v>"%USERPROFILE%\Documents\GitHub\eaglep3\Utilities\RefineRTDCRunTimes.py" --tripid 205-14 --locoid 4032 --swversion DE.1.0.9.0 --startMP 204:429 --initTime 2017-09-14T16:38:15 --startdatetime 2017-09-14T16:45:22 --delay 50 --endMP 204:233298 --enddatetime 2017-09-14T17:20:53 --enforcementcount 1 &gt;&gt;C:\Users\stu\Documents\GitHub\eaglep3-reporting\EC\2017-09-14-refined-times.txt</v>
      </c>
      <c r="AI12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{"issue":{"subject":"","project_id":79,"tracker_id":40,"status_id":1,"priority_id":2,"assigned_to_id":338,"start_date":"2017-09-14","description":"","custom_fields":[{"id":1,"name":"Subdivision","value":"EC"},{"id":4,"name":"Milepost","value":"23.3298"},{"id":17,"name":"Train ID","value":"205-14"},{"id":16,"name":"Locomotive ID","value":"4032"},{"id":130,"name":"Impact","value":""},{"id":150,"name":"Time of Event (Mountain Time)","value":"17:20:53"},{"id":151,"name":"Denver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4032 --day 2017-09-14</v>
      </c>
      <c r="AN12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758</v>
      </c>
      <c r="B121" s="7">
        <v>4031</v>
      </c>
      <c r="C121" s="21" t="s">
        <v>197</v>
      </c>
      <c r="D121" s="21" t="s">
        <v>400</v>
      </c>
      <c r="E121" s="13">
        <v>42992.733136574076</v>
      </c>
      <c r="F121" s="13">
        <v>42992.737719907411</v>
      </c>
      <c r="G121" s="7">
        <v>61</v>
      </c>
      <c r="H121" s="21" t="s">
        <v>874</v>
      </c>
      <c r="I121" s="13">
        <v>42992.764479166668</v>
      </c>
      <c r="J121" s="7">
        <v>1</v>
      </c>
      <c r="K121" s="89" t="str">
        <f t="shared" si="29"/>
        <v>4031/4032</v>
      </c>
      <c r="L121" s="189" t="str">
        <f>VLOOKUP(A121,'Trips&amp;Operators'!$C$1:$G$99911,5,FALSE)</f>
        <v>MOSES BRADLEY</v>
      </c>
      <c r="M121" s="6">
        <f t="shared" si="30"/>
        <v>2.675925925723277E-2</v>
      </c>
      <c r="N121" s="7">
        <f t="shared" si="50"/>
        <v>38.533333330415189</v>
      </c>
      <c r="O121" s="7"/>
      <c r="P121" s="7"/>
      <c r="Q121" s="22"/>
      <c r="R121" s="167"/>
      <c r="S121" s="217">
        <f t="shared" si="51"/>
        <v>1</v>
      </c>
      <c r="T121" s="175" t="str">
        <f t="shared" si="31"/>
        <v>Southbound</v>
      </c>
      <c r="U121" s="20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26" t="str">
        <f t="shared" si="32"/>
        <v>https://d0f6bd738d7f1b3e5a7ca70fe4ff75f0.us-east-1.aws.found.io/app/kibana#/discover/Steve-Slow-Train-Analysis-(2080s-and-2083s)?_g=(refreshInterval:(display:Off,pause:!f,section:0,value:0),time:(from:'2017-09-14T16:35:43-0600',mode:absolute,to:'2017-09-14T19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210" t="str">
        <f>IF(AA121&lt;VLOOKUP(AG121,Variables!$AC$3:$AD$8,2,FALSE),"Y","N")</f>
        <v>N</v>
      </c>
      <c r="X121" s="210">
        <f t="shared" si="47"/>
        <v>1</v>
      </c>
      <c r="Y121" s="210">
        <f t="shared" si="48"/>
        <v>23.3</v>
      </c>
      <c r="Z121" s="210">
        <f t="shared" si="49"/>
        <v>1.1599999999999999E-2</v>
      </c>
      <c r="AA121" s="210">
        <f t="shared" si="36"/>
        <v>23.288399999999999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83">
        <f t="shared" si="37"/>
        <v>206</v>
      </c>
      <c r="AE121" s="77" t="str">
        <f t="shared" si="38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121" s="74" t="str">
        <f t="shared" si="39"/>
        <v>"C:\Program Files (x86)\AstroGrep\AstroGrep.exe" /e /r /s /spath="%USERPROFILE%\AppData\Local\Temp\OnboardLogs" /stypes="app*4031*20170915*" /stext=" 00:.+((SYSTEM_STATE.+slice.+state.+changed )|(ment ac)|(multiple cpu faults)|(system.+state.+changed )|(\[timeout)|(PRM\|1\|D)|(kpr)|(kdp)|(train st.+moving)|(\|lc)|(penalty))"</v>
      </c>
      <c r="AG121" s="186" t="str">
        <f t="shared" si="40"/>
        <v>EC</v>
      </c>
      <c r="AH121" s="78" t="str">
        <f t="shared" si="41"/>
        <v>"%USERPROFILE%\Documents\GitHub\eaglep3\Utilities\RefineRTDCRunTimes.py" --tripid 206-14 --locoid 4031 --swversion DE.1.0.9.0 --startMP 204:233000 --initTime 2017-09-14T17:35:43 --startdatetime 2017-09-14T17:42:19 --delay 61 --endMP 204:116 --enddatetime 2017-09-14T18:20:51 --enforcementcount 1 &gt;&gt;C:\Users\stu\Documents\GitHub\eaglep3-reporting\EC\2017-09-14-refined-times.txt</v>
      </c>
      <c r="AI12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{"issue":{"subject":"","project_id":79,"tracker_id":40,"status_id":1,"priority_id":2,"assigned_to_id":338,"start_date":"2017-09-14","description":"","custom_fields":[{"id":1,"name":"Subdivision","value":"EC"},{"id":4,"name":"Milepost","value":"0.0116"},{"id":17,"name":"Train ID","value":"206-14"},{"id":16,"name":"Locomotive ID","value":"4031"},{"id":130,"name":"Impact","value":""},{"id":150,"name":"Time of Event (Mountain Time)","value":"18:20:51"},{"id":151,"name":"Denver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4031 --day 2017-09-14</v>
      </c>
      <c r="AN121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750</v>
      </c>
      <c r="B122" s="7">
        <v>4062</v>
      </c>
      <c r="C122" s="21" t="s">
        <v>197</v>
      </c>
      <c r="D122" s="21" t="s">
        <v>382</v>
      </c>
      <c r="E122" s="13">
        <v>42992.70380787037</v>
      </c>
      <c r="F122" s="13">
        <v>42992.708495370367</v>
      </c>
      <c r="G122" s="7">
        <v>62</v>
      </c>
      <c r="H122" s="21" t="s">
        <v>841</v>
      </c>
      <c r="I122" s="13">
        <v>42992.733668981484</v>
      </c>
      <c r="J122" s="7">
        <v>1</v>
      </c>
      <c r="K122" s="89" t="str">
        <f t="shared" si="29"/>
        <v>4061/4062</v>
      </c>
      <c r="L122" s="189" t="str">
        <f>VLOOKUP(A122,'Trips&amp;Operators'!$C$1:$G$99911,5,FALSE)</f>
        <v>LEVIN SCOTT</v>
      </c>
      <c r="M122" s="6">
        <f t="shared" si="30"/>
        <v>2.5173611116770189E-2</v>
      </c>
      <c r="N122" s="7">
        <f t="shared" si="50"/>
        <v>36.250000008149073</v>
      </c>
      <c r="O122" s="7"/>
      <c r="P122" s="7"/>
      <c r="Q122" s="22"/>
      <c r="R122" s="167"/>
      <c r="S122" s="217">
        <f t="shared" si="51"/>
        <v>1</v>
      </c>
      <c r="T122" s="175" t="str">
        <f t="shared" si="31"/>
        <v>NorthBound</v>
      </c>
      <c r="U122" s="20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26" t="str">
        <f t="shared" si="32"/>
        <v>https://d0f6bd738d7f1b3e5a7ca70fe4ff75f0.us-east-1.aws.found.io/app/kibana#/discover/Steve-Slow-Train-Analysis-(2080s-and-2083s)?_g=(refreshInterval:(display:Off,pause:!f,section:0,value:0),time:(from:'2017-09-14T15:53:29-0600',mode:absolute,to:'2017-09-14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2" s="210" t="str">
        <f>IF(AA122&lt;VLOOKUP(AG122,Variables!$AC$3:$AD$8,2,FALSE),"Y","N")</f>
        <v>N</v>
      </c>
      <c r="X122" s="210">
        <f t="shared" si="47"/>
        <v>1</v>
      </c>
      <c r="Y122" s="210">
        <f t="shared" si="48"/>
        <v>4.5999999999999999E-2</v>
      </c>
      <c r="Z122" s="210">
        <f t="shared" si="49"/>
        <v>23.334099999999999</v>
      </c>
      <c r="AA122" s="210">
        <f t="shared" si="36"/>
        <v>23.2881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83">
        <f t="shared" si="37"/>
        <v>207</v>
      </c>
      <c r="AE122" s="77" t="str">
        <f t="shared" si="38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122" s="74" t="str">
        <f t="shared" si="39"/>
        <v>"C:\Program Files (x86)\AstroGrep\AstroGrep.exe" /e /r /s /spath="%USERPROFILE%\AppData\Local\Temp\OnboardLogs" /stypes="app*4062*20170914*" /stext=" 23:.+((SYSTEM_STATE.+slice.+state.+changed )|(ment ac)|(multiple cpu faults)|(system.+state.+changed )|(\[timeout)|(PRM\|1\|D)|(kpr)|(kdp)|(train st.+moving)|(\|lc)|(penalty))"</v>
      </c>
      <c r="AG122" s="186" t="str">
        <f t="shared" si="40"/>
        <v>EC</v>
      </c>
      <c r="AH122" s="78" t="str">
        <f t="shared" si="41"/>
        <v>"%USERPROFILE%\Documents\GitHub\eaglep3\Utilities\RefineRTDCRunTimes.py" --tripid 207-14 --locoid 4062 --swversion DE.1.0.9.0 --startMP 204:460 --initTime 2017-09-14T16:53:29 --startdatetime 2017-09-14T17:00:14 --delay 62 --endMP 204:233341 --enddatetime 2017-09-14T17:36:29 --enforcementcount 1 &gt;&gt;C:\Users\stu\Documents\GitHub\eaglep3-reporting\EC\2017-09-14-refined-times.txt</v>
      </c>
      <c r="AI12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{"issue":{"subject":"","project_id":79,"tracker_id":40,"status_id":1,"priority_id":2,"assigned_to_id":338,"start_date":"2017-09-14","description":"","custom_fields":[{"id":1,"name":"Subdivision","value":"EC"},{"id":4,"name":"Milepost","value":"23.3341"},{"id":17,"name":"Train ID","value":"207-14"},{"id":16,"name":"Locomotive ID","value":"4062"},{"id":130,"name":"Impact","value":""},{"id":150,"name":"Time of Event (Mountain Time)","value":"17:36:29"},{"id":151,"name":"Denver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4062 --day 2017-09-14</v>
      </c>
      <c r="AN12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760</v>
      </c>
      <c r="B123" s="7">
        <v>4061</v>
      </c>
      <c r="C123" s="21" t="s">
        <v>197</v>
      </c>
      <c r="D123" s="21" t="s">
        <v>875</v>
      </c>
      <c r="E123" s="13">
        <v>42992.738067129627</v>
      </c>
      <c r="F123" s="13">
        <v>42992.748078703706</v>
      </c>
      <c r="G123" s="7">
        <v>54</v>
      </c>
      <c r="H123" s="21" t="s">
        <v>342</v>
      </c>
      <c r="I123" s="13">
        <v>42992.774456018517</v>
      </c>
      <c r="J123" s="7">
        <v>1</v>
      </c>
      <c r="K123" s="89" t="str">
        <f t="shared" si="29"/>
        <v>4061/4062</v>
      </c>
      <c r="L123" s="189" t="str">
        <f>VLOOKUP(A123,'Trips&amp;Operators'!$C$1:$G$99911,5,FALSE)</f>
        <v>LEVIN SCOTT</v>
      </c>
      <c r="M123" s="6">
        <f t="shared" si="30"/>
        <v>2.6377314810815733E-2</v>
      </c>
      <c r="N123" s="7">
        <f t="shared" si="50"/>
        <v>37.983333327574655</v>
      </c>
      <c r="O123" s="7"/>
      <c r="P123" s="7"/>
      <c r="Q123" s="22"/>
      <c r="R123" s="167"/>
      <c r="S123" s="217">
        <f t="shared" si="51"/>
        <v>1</v>
      </c>
      <c r="T123" s="175" t="str">
        <f t="shared" si="31"/>
        <v>Southbound</v>
      </c>
      <c r="U123" s="20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26" t="str">
        <f t="shared" si="32"/>
        <v>https://d0f6bd738d7f1b3e5a7ca70fe4ff75f0.us-east-1.aws.found.io/app/kibana#/discover/Steve-Slow-Train-Analysis-(2080s-and-2083s)?_g=(refreshInterval:(display:Off,pause:!f,section:0,value:0),time:(from:'2017-09-14T16:42:49-0600',mode:absolute,to:'2017-09-14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3" s="210" t="str">
        <f>IF(AA123&lt;VLOOKUP(AG123,Variables!$AC$3:$AD$8,2,FALSE),"Y","N")</f>
        <v>N</v>
      </c>
      <c r="X123" s="210">
        <f t="shared" si="47"/>
        <v>1</v>
      </c>
      <c r="Y123" s="210">
        <f t="shared" si="48"/>
        <v>23.3003</v>
      </c>
      <c r="Z123" s="210">
        <f t="shared" si="49"/>
        <v>1.41E-2</v>
      </c>
      <c r="AA123" s="210">
        <f t="shared" si="36"/>
        <v>23.286200000000001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83">
        <f t="shared" si="37"/>
        <v>208</v>
      </c>
      <c r="AE123" s="77" t="str">
        <f t="shared" si="38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123" s="74" t="str">
        <f t="shared" si="39"/>
        <v>"C:\Program Files (x86)\AstroGrep\AstroGrep.exe" /e /r /s /spath="%USERPROFILE%\AppData\Local\Temp\OnboardLogs" /stypes="app*4061*20170915*" /stext=" 00:.+((SYSTEM_STATE.+slice.+state.+changed )|(ment ac)|(multiple cpu faults)|(system.+state.+changed )|(\[timeout)|(PRM\|1\|D)|(kpr)|(kdp)|(train st.+moving)|(\|lc)|(penalty))"</v>
      </c>
      <c r="AG123" s="186" t="str">
        <f t="shared" si="40"/>
        <v>EC</v>
      </c>
      <c r="AH123" s="78" t="str">
        <f t="shared" si="41"/>
        <v>"%USERPROFILE%\Documents\GitHub\eaglep3\Utilities\RefineRTDCRunTimes.py" --tripid 208-14 --locoid 4061 --swversion DE.1.0.9.0 --startMP 204:233003 --initTime 2017-09-14T17:42:49 --startdatetime 2017-09-14T17:57:14 --delay 54 --endMP 204:141 --enddatetime 2017-09-14T18:35:13 --enforcementcount 1 &gt;&gt;C:\Users\stu\Documents\GitHub\eaglep3-reporting\EC\2017-09-14-refined-times.txt</v>
      </c>
      <c r="AI123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ID","value":"208-14"},{"id":16,"name":"Locomotive ID","value":"4061"},{"id":130,"name":"Impact","value":""},{"id":150,"name":"Time of Event (Mountain Time)","value":"18:35:13"},{"id":151,"name":"Denver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4061 --day 2017-09-14</v>
      </c>
      <c r="AN123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754</v>
      </c>
      <c r="B124" s="7">
        <v>4004</v>
      </c>
      <c r="C124" s="21" t="s">
        <v>197</v>
      </c>
      <c r="D124" s="21" t="s">
        <v>364</v>
      </c>
      <c r="E124" s="13">
        <v>42992.714907407404</v>
      </c>
      <c r="F124" s="13">
        <v>42992.718946759262</v>
      </c>
      <c r="G124" s="7">
        <v>79</v>
      </c>
      <c r="H124" s="21" t="s">
        <v>876</v>
      </c>
      <c r="I124" s="13">
        <v>42992.745347222219</v>
      </c>
      <c r="J124" s="7">
        <v>1</v>
      </c>
      <c r="K124" s="89" t="str">
        <f t="shared" si="29"/>
        <v>4003/4004</v>
      </c>
      <c r="L124" s="189" t="str">
        <f>VLOOKUP(A124,'Trips&amp;Operators'!$C$1:$G$99911,5,FALSE)</f>
        <v>DELGADO DIANAH</v>
      </c>
      <c r="M124" s="6">
        <f t="shared" si="30"/>
        <v>2.640046295709908E-2</v>
      </c>
      <c r="N124" s="7">
        <f t="shared" si="50"/>
        <v>38.016666658222675</v>
      </c>
      <c r="O124" s="7"/>
      <c r="P124" s="7"/>
      <c r="Q124" s="22"/>
      <c r="R124" s="167"/>
      <c r="S124" s="217">
        <f t="shared" si="51"/>
        <v>1</v>
      </c>
      <c r="T124" s="175" t="str">
        <f t="shared" si="31"/>
        <v>NorthBound</v>
      </c>
      <c r="U124" s="20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26" t="str">
        <f t="shared" si="32"/>
        <v>https://d0f6bd738d7f1b3e5a7ca70fe4ff75f0.us-east-1.aws.found.io/app/kibana#/discover/Steve-Slow-Train-Analysis-(2080s-and-2083s)?_g=(refreshInterval:(display:Off,pause:!f,section:0,value:0),time:(from:'2017-09-14T16:09:28-0600',mode:absolute,to:'2017-09-14T18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4" s="210" t="str">
        <f>IF(AA124&lt;VLOOKUP(AG124,Variables!$AC$3:$AD$8,2,FALSE),"Y","N")</f>
        <v>N</v>
      </c>
      <c r="X124" s="210">
        <f t="shared" si="47"/>
        <v>1</v>
      </c>
      <c r="Y124" s="210">
        <f t="shared" si="48"/>
        <v>4.6399999999999997E-2</v>
      </c>
      <c r="Z124" s="210">
        <f t="shared" si="49"/>
        <v>23.336300000000001</v>
      </c>
      <c r="AA124" s="210">
        <f t="shared" si="36"/>
        <v>23.289900000000003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83">
        <f t="shared" si="37"/>
        <v>209</v>
      </c>
      <c r="AE124" s="77" t="str">
        <f t="shared" si="38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124" s="74" t="str">
        <f t="shared" si="39"/>
        <v>"C:\Program Files (x86)\AstroGrep\AstroGrep.exe" /e /r /s /spath="%USERPROFILE%\AppData\Local\Temp\OnboardLogs" /stypes="app*4004*20170914*" /stext=" 23:.+((SYSTEM_STATE.+slice.+state.+changed )|(ment ac)|(multiple cpu faults)|(system.+state.+changed )|(\[timeout)|(PRM\|1\|D)|(kpr)|(kdp)|(train st.+moving)|(\|lc)|(penalty))"</v>
      </c>
      <c r="AG124" s="186" t="str">
        <f t="shared" si="40"/>
        <v>EC</v>
      </c>
      <c r="AH124" s="78" t="str">
        <f t="shared" si="41"/>
        <v>"%USERPROFILE%\Documents\GitHub\eaglep3\Utilities\RefineRTDCRunTimes.py" --tripid 209-14 --locoid 4004 --swversion DE.1.0.9.0 --startMP 204:464 --initTime 2017-09-14T17:09:28 --startdatetime 2017-09-14T17:15:17 --delay 79 --endMP 204:233363 --enddatetime 2017-09-14T17:53:18 --enforcementcount 1 &gt;&gt;C:\Users\stu\Documents\GitHub\eaglep3-reporting\EC\2017-09-14-refined-times.txt</v>
      </c>
      <c r="AI12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{"issue":{"subject":"","project_id":79,"tracker_id":40,"status_id":1,"priority_id":2,"assigned_to_id":338,"start_date":"2017-09-14","description":"","custom_fields":[{"id":1,"name":"Subdivision","value":"EC"},{"id":4,"name":"Milepost","value":"23.3363"},{"id":17,"name":"Train ID","value":"209-14"},{"id":16,"name":"Locomotive ID","value":"4004"},{"id":130,"name":"Impact","value":""},{"id":150,"name":"Time of Event (Mountain Time)","value":"17:53:18"},{"id":151,"name":"Denver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4004 --day 2017-09-14</v>
      </c>
      <c r="AN12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763</v>
      </c>
      <c r="B125" s="7">
        <v>4003</v>
      </c>
      <c r="C125" s="21" t="s">
        <v>197</v>
      </c>
      <c r="D125" s="21" t="s">
        <v>364</v>
      </c>
      <c r="E125" s="13">
        <v>42992.714907407404</v>
      </c>
      <c r="F125" s="13">
        <v>42992.758506944447</v>
      </c>
      <c r="G125" s="7">
        <v>79</v>
      </c>
      <c r="H125" s="21" t="s">
        <v>876</v>
      </c>
      <c r="I125" s="13">
        <v>42992.784212962964</v>
      </c>
      <c r="J125" s="7">
        <v>1</v>
      </c>
      <c r="K125" s="89" t="str">
        <f t="shared" si="29"/>
        <v>4003/4004</v>
      </c>
      <c r="L125" s="189" t="str">
        <f>VLOOKUP(A125,'Trips&amp;Operators'!$C$1:$G$99911,5,FALSE)</f>
        <v>DELGADO DIANAH</v>
      </c>
      <c r="M125" s="6">
        <f t="shared" si="30"/>
        <v>2.5706018517666962E-2</v>
      </c>
      <c r="N125" s="7">
        <f t="shared" si="50"/>
        <v>37.016666665440425</v>
      </c>
      <c r="O125" s="7"/>
      <c r="P125" s="7"/>
      <c r="Q125" s="22"/>
      <c r="R125" s="167"/>
      <c r="S125" s="217">
        <f t="shared" si="51"/>
        <v>1</v>
      </c>
      <c r="T125" s="175" t="str">
        <f t="shared" si="31"/>
        <v>Southbound</v>
      </c>
      <c r="U125" s="20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26" t="str">
        <f t="shared" si="32"/>
        <v>https://d0f6bd738d7f1b3e5a7ca70fe4ff75f0.us-east-1.aws.found.io/app/kibana#/discover/Steve-Slow-Train-Analysis-(2080s-and-2083s)?_g=(refreshInterval:(display:Off,pause:!f,section:0,value:0),time:(from:'2017-09-14T16:09:28-0600',mode:absolute,to:'2017-09-14T19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5" s="210" t="str">
        <f>IF(AA125&lt;VLOOKUP(AG125,Variables!$AC$3:$AD$8,2,FALSE),"Y","N")</f>
        <v>N</v>
      </c>
      <c r="X125" s="210">
        <f t="shared" si="47"/>
        <v>1</v>
      </c>
      <c r="Y125" s="210">
        <v>23.3003</v>
      </c>
      <c r="Z125" s="210">
        <v>1.41E-2</v>
      </c>
      <c r="AA125" s="210">
        <f t="shared" si="36"/>
        <v>23.286200000000001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83">
        <f t="shared" si="37"/>
        <v>210</v>
      </c>
      <c r="AE125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25" s="74" t="str">
        <f t="shared" si="39"/>
        <v>"C:\Program Files (x86)\AstroGrep\AstroGrep.exe" /e /r /s /spath="%USERPROFILE%\AppData\Local\Temp\OnboardLogs" /stypes="app*4003*20170915*" /stext=" 00:.+((SYSTEM_STATE.+slice.+state.+changed )|(ment ac)|(multiple cpu faults)|(system.+state.+changed )|(\[timeout)|(PRM\|1\|D)|(kpr)|(kdp)|(train st.+moving)|(\|lc)|(penalty))"</v>
      </c>
      <c r="AG125" s="186" t="str">
        <f t="shared" si="40"/>
        <v>EC</v>
      </c>
      <c r="AH125" s="78" t="str">
        <f t="shared" ref="AH125" si="52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210-14 --locoid 4003 --swversion DE.1.0.9.0 --startMP 204:464 --initTime 2017-09-14T17:09:28 --startdatetime 2017-09-14T18:12:15 --delay 79 --endMP 204:233363 --enddatetime 2017-09-14T18:49:16 --enforcementcount 1 &gt;&gt;C:\Users\stu\Documents\GitHub\eaglep3-reporting\EC\2017-09-14-refined-times.txt</v>
      </c>
      <c r="AI125" s="96" t="str">
        <f t="shared" ref="AI125" si="53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ID","value":"210-14"},{"id":16,"name":"Locomotive ID","value":"4003"},{"id":130,"name":"Impact","value":""},{"id":150,"name":"Time of Event (Mountain Time)","value":"18:49:16"},{"id":151,"name":"Denver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ref="AM125" si="54">"start /low /b "&amp;dls3logs&amp;" --loco "&amp;B125&amp;" --day "&amp;TEXT(F125,"YYYY-MM-DD")</f>
        <v>start /low /b %USERPROFILE%\Documents\GitHub\eaglep3\Utilities\DownloadLogsFromS3.py --loco 4003 --day 2017-09-14</v>
      </c>
      <c r="AN125" s="151" t="str">
        <f t="shared" ref="AN125" si="55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6" spans="1:91" s="20" customFormat="1" x14ac:dyDescent="0.25">
      <c r="A126" s="32" t="s">
        <v>756</v>
      </c>
      <c r="B126" s="7">
        <v>4002</v>
      </c>
      <c r="C126" s="21" t="s">
        <v>197</v>
      </c>
      <c r="D126" s="21" t="s">
        <v>382</v>
      </c>
      <c r="E126" s="13">
        <v>42992.726851851854</v>
      </c>
      <c r="F126" s="13">
        <v>42992.729537037034</v>
      </c>
      <c r="G126" s="7">
        <v>66</v>
      </c>
      <c r="H126" s="21" t="s">
        <v>868</v>
      </c>
      <c r="I126" s="13">
        <v>42992.756249999999</v>
      </c>
      <c r="J126" s="7">
        <v>1</v>
      </c>
      <c r="K126" s="89" t="str">
        <f t="shared" si="29"/>
        <v>4001/4002</v>
      </c>
      <c r="L126" s="189" t="str">
        <f>VLOOKUP(A126,'Trips&amp;Operators'!$C$1:$G$99911,5,FALSE)</f>
        <v>LEVERE CRAIG</v>
      </c>
      <c r="M126" s="6">
        <f t="shared" si="30"/>
        <v>2.6712962964666076E-2</v>
      </c>
      <c r="N126" s="7">
        <f t="shared" si="50"/>
        <v>38.466666669119149</v>
      </c>
      <c r="O126" s="7"/>
      <c r="P126" s="7"/>
      <c r="Q126" s="22"/>
      <c r="R126" s="167"/>
      <c r="S126" s="217">
        <f t="shared" si="51"/>
        <v>1</v>
      </c>
      <c r="T126" s="175" t="str">
        <f t="shared" si="31"/>
        <v>NorthBound</v>
      </c>
      <c r="U126" s="20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26" t="str">
        <f t="shared" si="32"/>
        <v>https://d0f6bd738d7f1b3e5a7ca70fe4ff75f0.us-east-1.aws.found.io/app/kibana#/discover/Steve-Slow-Train-Analysis-(2080s-and-2083s)?_g=(refreshInterval:(display:Off,pause:!f,section:0,value:0),time:(from:'2017-09-14T16:26:40-0600',mode:absolute,to:'2017-09-14T19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210" t="str">
        <f>IF(AA126&lt;VLOOKUP(AG126,Variables!$AC$3:$AD$8,2,FALSE),"Y","N")</f>
        <v>N</v>
      </c>
      <c r="X126" s="210">
        <f t="shared" si="47"/>
        <v>1</v>
      </c>
      <c r="Y126" s="210">
        <f t="shared" ref="Y126:Y145" si="56">RIGHT(D126,LEN(D126)-4)/10000</f>
        <v>4.5999999999999999E-2</v>
      </c>
      <c r="Z126" s="210">
        <f t="shared" ref="Z126:Z145" si="57">RIGHT(H126,LEN(H126)-4)/10000</f>
        <v>23.331600000000002</v>
      </c>
      <c r="AA126" s="210">
        <f t="shared" si="36"/>
        <v>23.285600000000002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83">
        <f t="shared" si="37"/>
        <v>211</v>
      </c>
      <c r="AE126" s="77" t="str">
        <f t="shared" si="38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126" s="74" t="str">
        <f t="shared" si="39"/>
        <v>"C:\Program Files (x86)\AstroGrep\AstroGrep.exe" /e /r /s /spath="%USERPROFILE%\AppData\Local\Temp\OnboardLogs" /stypes="app*4002*20170915*" /stext=" 00:.+((SYSTEM_STATE.+slice.+state.+changed )|(ment ac)|(multiple cpu faults)|(system.+state.+changed )|(\[timeout)|(PRM\|1\|D)|(kpr)|(kdp)|(train st.+moving)|(\|lc)|(penalty))"</v>
      </c>
      <c r="AG126" s="186" t="str">
        <f t="shared" si="40"/>
        <v>EC</v>
      </c>
      <c r="AH126" s="78" t="str">
        <f t="shared" si="41"/>
        <v>"%USERPROFILE%\Documents\GitHub\eaglep3\Utilities\RefineRTDCRunTimes.py" --tripid 211-14 --locoid 4002 --swversion DE.1.0.9.0 --startMP 204:460 --initTime 2017-09-14T17:26:40 --startdatetime 2017-09-14T17:30:32 --delay 66 --endMP 204:233316 --enddatetime 2017-09-14T18:09:00 --enforcementcount 1 &gt;&gt;C:\Users\stu\Documents\GitHub\eaglep3-reporting\EC\2017-09-14-refined-times.txt</v>
      </c>
      <c r="AI12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{"issue":{"subject":"","project_id":79,"tracker_id":40,"status_id":1,"priority_id":2,"assigned_to_id":338,"start_date":"2017-09-14","description":"","custom_fields":[{"id":1,"name":"Subdivision","value":"EC"},{"id":4,"name":"Milepost","value":"23.3316"},{"id":17,"name":"Train ID","value":"211-14"},{"id":16,"name":"Locomotive ID","value":"4002"},{"id":130,"name":"Impact","value":""},{"id":150,"name":"Time of Event (Mountain Time)","value":"18:09:00"},{"id":151,"name":"Denver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4002 --day 2017-09-14</v>
      </c>
      <c r="AN126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768</v>
      </c>
      <c r="B127" s="7">
        <v>4001</v>
      </c>
      <c r="C127" s="21" t="s">
        <v>197</v>
      </c>
      <c r="D127" s="21" t="s">
        <v>480</v>
      </c>
      <c r="E127" s="13">
        <v>42992.765208333331</v>
      </c>
      <c r="F127" s="13">
        <v>42992.769131944442</v>
      </c>
      <c r="G127" s="7">
        <v>72</v>
      </c>
      <c r="H127" s="21" t="s">
        <v>365</v>
      </c>
      <c r="I127" s="13">
        <v>42992.795937499999</v>
      </c>
      <c r="J127" s="7">
        <v>1</v>
      </c>
      <c r="K127" s="89" t="str">
        <f t="shared" si="29"/>
        <v>4001/4002</v>
      </c>
      <c r="L127" s="189" t="str">
        <f>VLOOKUP(A127,'Trips&amp;Operators'!$C$1:$G$99911,5,FALSE)</f>
        <v>LEVERE CRAIG</v>
      </c>
      <c r="M127" s="6">
        <f t="shared" si="30"/>
        <v>2.6805555557075422E-2</v>
      </c>
      <c r="N127" s="7">
        <f t="shared" si="50"/>
        <v>38.600000002188608</v>
      </c>
      <c r="O127" s="7"/>
      <c r="P127" s="7"/>
      <c r="Q127" s="22"/>
      <c r="R127" s="167"/>
      <c r="S127" s="217">
        <f t="shared" si="51"/>
        <v>1</v>
      </c>
      <c r="T127" s="175" t="str">
        <f t="shared" si="31"/>
        <v>Southbound</v>
      </c>
      <c r="U127" s="20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26" t="str">
        <f t="shared" si="32"/>
        <v>https://d0f6bd738d7f1b3e5a7ca70fe4ff75f0.us-east-1.aws.found.io/app/kibana#/discover/Steve-Slow-Train-Analysis-(2080s-and-2083s)?_g=(refreshInterval:(display:Off,pause:!f,section:0,value:0),time:(from:'2017-09-14T17:21:54-0600',mode:absolute,to:'2017-09-14T20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210" t="str">
        <f>IF(AA127&lt;VLOOKUP(AG127,Variables!$AC$3:$AD$8,2,FALSE),"Y","N")</f>
        <v>N</v>
      </c>
      <c r="X127" s="210">
        <f t="shared" si="47"/>
        <v>1</v>
      </c>
      <c r="Y127" s="210">
        <f t="shared" si="56"/>
        <v>23.297799999999999</v>
      </c>
      <c r="Z127" s="210">
        <f t="shared" si="57"/>
        <v>1.4500000000000001E-2</v>
      </c>
      <c r="AA127" s="210">
        <f t="shared" si="36"/>
        <v>23.283299999999997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83">
        <f t="shared" si="37"/>
        <v>212</v>
      </c>
      <c r="AE127" s="77" t="str">
        <f t="shared" si="38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127" s="74" t="str">
        <f t="shared" si="39"/>
        <v>"C:\Program Files (x86)\AstroGrep\AstroGrep.exe" /e /r /s /spath="%USERPROFILE%\AppData\Local\Temp\OnboardLogs" /stypes="app*4001*20170915*" /stext=" 01:.+((SYSTEM_STATE.+slice.+state.+changed )|(ment ac)|(multiple cpu faults)|(system.+state.+changed )|(\[timeout)|(PRM\|1\|D)|(kpr)|(kdp)|(train st.+moving)|(\|lc)|(penalty))"</v>
      </c>
      <c r="AG127" s="186" t="str">
        <f t="shared" si="40"/>
        <v>EC</v>
      </c>
      <c r="AH127" s="78" t="str">
        <f t="shared" si="41"/>
        <v>"%USERPROFILE%\Documents\GitHub\eaglep3\Utilities\RefineRTDCRunTimes.py" --tripid 212-14 --locoid 4001 --swversion DE.1.0.9.0 --startMP 204:232978 --initTime 2017-09-14T18:21:54 --startdatetime 2017-09-14T18:27:33 --delay 72 --endMP 204:145 --enddatetime 2017-09-14T19:06:09 --enforcementcount 1 &gt;&gt;C:\Users\stu\Documents\GitHub\eaglep3-reporting\EC\2017-09-14-refined-times.txt</v>
      </c>
      <c r="AI127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{"issue":{"subject":"","project_id":79,"tracker_id":40,"status_id":1,"priority_id":2,"assigned_to_id":338,"start_date":"2017-09-14","description":"","custom_fields":[{"id":1,"name":"Subdivision","value":"EC"},{"id":4,"name":"Milepost","value":"0.0145"},{"id":17,"name":"Train ID","value":"212-14"},{"id":16,"name":"Locomotive ID","value":"4001"},{"id":130,"name":"Impact","value":""},{"id":150,"name":"Time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4001 --day 2017-09-14</v>
      </c>
      <c r="AN127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759</v>
      </c>
      <c r="B128" s="7">
        <v>4058</v>
      </c>
      <c r="C128" s="21" t="s">
        <v>197</v>
      </c>
      <c r="D128" s="21" t="s">
        <v>877</v>
      </c>
      <c r="E128" s="13">
        <v>42992.736168981479</v>
      </c>
      <c r="F128" s="13">
        <v>42992.739907407406</v>
      </c>
      <c r="G128" s="7">
        <v>85</v>
      </c>
      <c r="H128" s="21" t="s">
        <v>483</v>
      </c>
      <c r="I128" s="13">
        <v>42992.764097222222</v>
      </c>
      <c r="J128" s="7">
        <v>1</v>
      </c>
      <c r="K128" s="89" t="str">
        <f t="shared" si="29"/>
        <v>4057/4058</v>
      </c>
      <c r="L128" s="189" t="str">
        <f>VLOOKUP(A128,'Trips&amp;Operators'!$C$1:$G$99911,5,FALSE)</f>
        <v>LOZA FIDEL</v>
      </c>
      <c r="M128" s="6">
        <f t="shared" si="30"/>
        <v>2.4189814816054422E-2</v>
      </c>
      <c r="N128" s="7">
        <f t="shared" si="50"/>
        <v>34.833333335118368</v>
      </c>
      <c r="O128" s="7"/>
      <c r="P128" s="7"/>
      <c r="Q128" s="22"/>
      <c r="R128" s="167"/>
      <c r="S128" s="217">
        <f t="shared" si="51"/>
        <v>1</v>
      </c>
      <c r="T128" s="175" t="str">
        <f t="shared" si="31"/>
        <v>NorthBound</v>
      </c>
      <c r="U128" s="20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26" t="str">
        <f t="shared" si="32"/>
        <v>https://d0f6bd738d7f1b3e5a7ca70fe4ff75f0.us-east-1.aws.found.io/app/kibana#/discover/Steve-Slow-Train-Analysis-(2080s-and-2083s)?_g=(refreshInterval:(display:Off,pause:!f,section:0,value:0),time:(from:'2017-09-14T16:40:05-0600',mode:absolute,to:'2017-09-14T19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8" s="210" t="str">
        <f>IF(AA128&lt;VLOOKUP(AG128,Variables!$AC$3:$AD$8,2,FALSE),"Y","N")</f>
        <v>N</v>
      </c>
      <c r="X128" s="210">
        <f t="shared" si="47"/>
        <v>1</v>
      </c>
      <c r="Y128" s="210">
        <f t="shared" si="56"/>
        <v>4.3099999999999999E-2</v>
      </c>
      <c r="Z128" s="210">
        <f t="shared" si="57"/>
        <v>23.331900000000001</v>
      </c>
      <c r="AA128" s="210">
        <f t="shared" si="36"/>
        <v>23.288800000000002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83">
        <f t="shared" si="37"/>
        <v>213</v>
      </c>
      <c r="AE128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28" s="74" t="str">
        <f t="shared" si="39"/>
        <v>"C:\Program Files (x86)\AstroGrep\AstroGrep.exe" /e /r /s /spath="%USERPROFILE%\AppData\Local\Temp\OnboardLogs" /stypes="app*4058*20170915*" /stext=" 00:.+((SYSTEM_STATE.+slice.+state.+changed )|(ment ac)|(multiple cpu faults)|(system.+state.+changed )|(\[timeout)|(PRM\|1\|D)|(kpr)|(kdp)|(train st.+moving)|(\|lc)|(penalty))"</v>
      </c>
      <c r="AG128" s="186" t="str">
        <f t="shared" si="40"/>
        <v>EC</v>
      </c>
      <c r="AH128" s="78" t="str">
        <f t="shared" si="41"/>
        <v>"%USERPROFILE%\Documents\GitHub\eaglep3\Utilities\RefineRTDCRunTimes.py" --tripid 213-14 --locoid 4058 --swversion DE.1.0.9.0 --startMP 204:431 --initTime 2017-09-14T17:40:05 --startdatetime 2017-09-14T17:45:28 --delay 85 --endMP 204:233319 --enddatetime 2017-09-14T18:20:18 --enforcementcount 1 &gt;&gt;C:\Users\stu\Documents\GitHub\eaglep3-reporting\EC\2017-09-14-refined-times.txt</v>
      </c>
      <c r="AI12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{"issue":{"subject":"","project_id":79,"tracker_id":40,"status_id":1,"priority_id":2,"assigned_to_id":338,"start_date":"2017-09-14","description":"","custom_fields":[{"id":1,"name":"Subdivision","value":"EC"},{"id":4,"name":"Milepost","value":"23.3319"},{"id":17,"name":"Train ID","value":"213-14"},{"id":16,"name":"Locomotive ID","value":"4058"},{"id":130,"name":"Impact","value":""},{"id":150,"name":"Time of Event (Mountain Time)","value":"18:20:18"},{"id":151,"name":"Denver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4058 --day 2017-09-14</v>
      </c>
      <c r="AN128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774</v>
      </c>
      <c r="B129" s="7">
        <v>4057</v>
      </c>
      <c r="C129" s="21" t="s">
        <v>197</v>
      </c>
      <c r="D129" s="21" t="s">
        <v>400</v>
      </c>
      <c r="E129" s="13">
        <v>42992.773275462961</v>
      </c>
      <c r="F129" s="13">
        <v>42992.779351851852</v>
      </c>
      <c r="G129" s="7">
        <v>140</v>
      </c>
      <c r="H129" s="21" t="s">
        <v>448</v>
      </c>
      <c r="I129" s="13">
        <v>42992.8047337963</v>
      </c>
      <c r="J129" s="7">
        <v>1</v>
      </c>
      <c r="K129" s="89" t="str">
        <f t="shared" si="29"/>
        <v>4057/4058</v>
      </c>
      <c r="L129" s="189" t="str">
        <f>VLOOKUP(A129,'Trips&amp;Operators'!$C$1:$G$99911,5,FALSE)</f>
        <v>LOZA FIDEL</v>
      </c>
      <c r="M129" s="6">
        <f t="shared" si="30"/>
        <v>2.5381944447872229E-2</v>
      </c>
      <c r="N129" s="7">
        <f t="shared" si="50"/>
        <v>36.55000000493601</v>
      </c>
      <c r="O129" s="7"/>
      <c r="P129" s="7"/>
      <c r="Q129" s="22"/>
      <c r="R129" s="167"/>
      <c r="S129" s="217">
        <f t="shared" si="51"/>
        <v>1</v>
      </c>
      <c r="T129" s="175" t="str">
        <f t="shared" si="31"/>
        <v>Southbound</v>
      </c>
      <c r="U129" s="20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26" t="str">
        <f t="shared" si="32"/>
        <v>https://d0f6bd738d7f1b3e5a7ca70fe4ff75f0.us-east-1.aws.found.io/app/kibana#/discover/Steve-Slow-Train-Analysis-(2080s-and-2083s)?_g=(refreshInterval:(display:Off,pause:!f,section:0,value:0),time:(from:'2017-09-14T17:33:31-0600',mode:absolute,to:'2017-09-14T20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9" s="210" t="str">
        <f>IF(AA129&lt;VLOOKUP(AG129,Variables!$AC$3:$AD$8,2,FALSE),"Y","N")</f>
        <v>N</v>
      </c>
      <c r="X129" s="210">
        <f t="shared" si="47"/>
        <v>1</v>
      </c>
      <c r="Y129" s="210">
        <f t="shared" si="56"/>
        <v>23.3</v>
      </c>
      <c r="Z129" s="210">
        <f t="shared" si="57"/>
        <v>1.54E-2</v>
      </c>
      <c r="AA129" s="210">
        <f t="shared" si="36"/>
        <v>23.284600000000001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83">
        <f t="shared" si="37"/>
        <v>214</v>
      </c>
      <c r="AE129" s="77" t="str">
        <f t="shared" si="38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29" s="74" t="str">
        <f t="shared" si="39"/>
        <v>"C:\Program Files (x86)\AstroGrep\AstroGrep.exe" /e /r /s /spath="%USERPROFILE%\AppData\Local\Temp\OnboardLogs" /stypes="app*4057*20170915*" /stext=" 01:.+((SYSTEM_STATE.+slice.+state.+changed )|(ment ac)|(multiple cpu faults)|(system.+state.+changed )|(\[timeout)|(PRM\|1\|D)|(kpr)|(kdp)|(train st.+moving)|(\|lc)|(penalty))"</v>
      </c>
      <c r="AG129" s="186" t="str">
        <f t="shared" si="40"/>
        <v>EC</v>
      </c>
      <c r="AH129" s="78" t="str">
        <f t="shared" si="41"/>
        <v>"%USERPROFILE%\Documents\GitHub\eaglep3\Utilities\RefineRTDCRunTimes.py" --tripid 214-14 --locoid 4057 --swversion DE.1.0.9.0 --startMP 204:233000 --initTime 2017-09-14T18:33:31 --startdatetime 2017-09-14T18:42:16 --delay 140 --endMP 204:154 --enddatetime 2017-09-14T19:18:49 --enforcementcount 1 &gt;&gt;C:\Users\stu\Documents\GitHub\eaglep3-reporting\EC\2017-09-14-refined-times.txt</v>
      </c>
      <c r="AI12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{"issue":{"subject":"","project_id":79,"tracker_id":40,"status_id":1,"priority_id":2,"assigned_to_id":338,"start_date":"2017-09-14","description":"","custom_fields":[{"id":1,"name":"Subdivision","value":"EC"},{"id":4,"name":"Milepost","value":"0.0154"},{"id":17,"name":"Train ID","value":"214-14"},{"id":16,"name":"Locomotive ID","value":"4057"},{"id":130,"name":"Impact","value":""},{"id":150,"name":"Time of Event (Mountain Time)","value":"19:18:49"},{"id":151,"name":"Denver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4057 --day 2017-09-14</v>
      </c>
      <c r="AN129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761</v>
      </c>
      <c r="B130" s="7">
        <v>4026</v>
      </c>
      <c r="C130" s="21" t="s">
        <v>197</v>
      </c>
      <c r="D130" s="21" t="s">
        <v>350</v>
      </c>
      <c r="E130" s="13">
        <v>42992.744722222225</v>
      </c>
      <c r="F130" s="13">
        <v>42992.750219907408</v>
      </c>
      <c r="G130" s="7">
        <v>102</v>
      </c>
      <c r="H130" s="21" t="s">
        <v>839</v>
      </c>
      <c r="I130" s="13">
        <v>42992.77548611111</v>
      </c>
      <c r="J130" s="7">
        <v>1</v>
      </c>
      <c r="K130" s="89" t="str">
        <f t="shared" si="29"/>
        <v>4025/4026</v>
      </c>
      <c r="L130" s="189" t="str">
        <f>VLOOKUP(A130,'Trips&amp;Operators'!$C$1:$G$99911,5,FALSE)</f>
        <v>ZEWDU DEREJE</v>
      </c>
      <c r="M130" s="6">
        <f t="shared" si="30"/>
        <v>2.5266203701903578E-2</v>
      </c>
      <c r="N130" s="7">
        <f t="shared" si="50"/>
        <v>36.383333330741152</v>
      </c>
      <c r="O130" s="7"/>
      <c r="P130" s="7"/>
      <c r="Q130" s="22"/>
      <c r="R130" s="167"/>
      <c r="S130" s="217">
        <f t="shared" si="51"/>
        <v>1</v>
      </c>
      <c r="T130" s="175" t="str">
        <f t="shared" si="31"/>
        <v>NorthBound</v>
      </c>
      <c r="U130" s="20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26" t="str">
        <f t="shared" si="32"/>
        <v>https://d0f6bd738d7f1b3e5a7ca70fe4ff75f0.us-east-1.aws.found.io/app/kibana#/discover/Steve-Slow-Train-Analysis-(2080s-and-2083s)?_g=(refreshInterval:(display:Off,pause:!f,section:0,value:0),time:(from:'2017-09-14T16:52:24-0600',mode:absolute,to:'2017-09-14T19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0" s="210" t="str">
        <f>IF(AA130&lt;VLOOKUP(AG130,Variables!$AC$3:$AD$8,2,FALSE),"Y","N")</f>
        <v>N</v>
      </c>
      <c r="X130" s="210">
        <f t="shared" si="47"/>
        <v>1</v>
      </c>
      <c r="Y130" s="210">
        <f t="shared" si="56"/>
        <v>4.5499999999999999E-2</v>
      </c>
      <c r="Z130" s="210">
        <f t="shared" si="57"/>
        <v>23.337800000000001</v>
      </c>
      <c r="AA130" s="210">
        <f t="shared" si="36"/>
        <v>23.292300000000001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83">
        <f t="shared" si="37"/>
        <v>215</v>
      </c>
      <c r="AE130" s="77" t="str">
        <f t="shared" si="38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130" s="74" t="str">
        <f t="shared" si="39"/>
        <v>"C:\Program Files (x86)\AstroGrep\AstroGrep.exe" /e /r /s /spath="%USERPROFILE%\AppData\Local\Temp\OnboardLogs" /stypes="app*4026*20170915*" /stext=" 00:.+((SYSTEM_STATE.+slice.+state.+changed )|(ment ac)|(multiple cpu faults)|(system.+state.+changed )|(\[timeout)|(PRM\|1\|D)|(kpr)|(kdp)|(train st.+moving)|(\|lc)|(penalty))"</v>
      </c>
      <c r="AG130" s="186" t="str">
        <f t="shared" si="40"/>
        <v>EC</v>
      </c>
      <c r="AH130" s="78" t="str">
        <f t="shared" si="41"/>
        <v>"%USERPROFILE%\Documents\GitHub\eaglep3\Utilities\RefineRTDCRunTimes.py" --tripid 215-14 --locoid 4026 --swversion DE.1.0.9.0 --startMP 204:455 --initTime 2017-09-14T17:52:24 --startdatetime 2017-09-14T18:00:19 --delay 102 --endMP 204:233378 --enddatetime 2017-09-14T18:36:42 --enforcementcount 1 &gt;&gt;C:\Users\stu\Documents\GitHub\eaglep3-reporting\EC\2017-09-14-refined-times.txt</v>
      </c>
      <c r="AI13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{"issue":{"subject":"","project_id":79,"tracker_id":40,"status_id":1,"priority_id":2,"assigned_to_id":338,"start_date":"2017-09-14","description":"","custom_fields":[{"id":1,"name":"Subdivision","value":"EC"},{"id":4,"name":"Milepost","value":"23.3378"},{"id":17,"name":"Train ID","value":"215-14"},{"id":16,"name":"Locomotive ID","value":"4026"},{"id":130,"name":"Impact","value":""},{"id":150,"name":"Time of Event (Mountain Time)","value":"18:36:42"},{"id":151,"name":"Denver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4026 --day 2017-09-14</v>
      </c>
      <c r="AN130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776</v>
      </c>
      <c r="B131" s="7">
        <v>4025</v>
      </c>
      <c r="C131" s="21" t="s">
        <v>197</v>
      </c>
      <c r="D131" s="21" t="s">
        <v>1011</v>
      </c>
      <c r="E131" s="13">
        <v>42992.785914351851</v>
      </c>
      <c r="F131" s="13">
        <v>42992.789756944447</v>
      </c>
      <c r="G131" s="7">
        <v>123</v>
      </c>
      <c r="H131" s="21" t="s">
        <v>1012</v>
      </c>
      <c r="I131" s="13">
        <v>42992.816284722219</v>
      </c>
      <c r="J131" s="7">
        <v>1</v>
      </c>
      <c r="K131" s="89" t="str">
        <f t="shared" si="29"/>
        <v>4025/4026</v>
      </c>
      <c r="L131" s="189" t="str">
        <f>VLOOKUP(A131,'Trips&amp;Operators'!$C$1:$G$99911,5,FALSE)</f>
        <v>ZEWDU DEREJE</v>
      </c>
      <c r="M131" s="6">
        <f t="shared" si="30"/>
        <v>2.6527777772571426E-2</v>
      </c>
      <c r="N131" s="7">
        <f t="shared" si="50"/>
        <v>38.199999992502853</v>
      </c>
      <c r="O131" s="7"/>
      <c r="P131" s="7"/>
      <c r="Q131" s="22"/>
      <c r="R131" s="167"/>
      <c r="S131" s="217">
        <f t="shared" si="51"/>
        <v>1</v>
      </c>
      <c r="T131" s="175" t="str">
        <f t="shared" si="31"/>
        <v>Southbound</v>
      </c>
      <c r="U131" s="20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26" t="str">
        <f t="shared" si="32"/>
        <v>https://d0f6bd738d7f1b3e5a7ca70fe4ff75f0.us-east-1.aws.found.io/app/kibana#/discover/Steve-Slow-Train-Analysis-(2080s-and-2083s)?_g=(refreshInterval:(display:Off,pause:!f,section:0,value:0),time:(from:'2017-09-14T17:51:43-0600',mode:absolute,to:'2017-09-14T20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10" t="str">
        <f>IF(AA131&lt;VLOOKUP(AG131,Variables!$AC$3:$AD$8,2,FALSE),"Y","N")</f>
        <v>N</v>
      </c>
      <c r="X131" s="210">
        <f t="shared" si="47"/>
        <v>1</v>
      </c>
      <c r="Y131" s="210">
        <f t="shared" si="56"/>
        <v>23.305099999999999</v>
      </c>
      <c r="Z131" s="210">
        <f t="shared" si="57"/>
        <v>2.0500000000000001E-2</v>
      </c>
      <c r="AA131" s="210">
        <f t="shared" si="36"/>
        <v>23.284600000000001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83">
        <f t="shared" si="37"/>
        <v>216</v>
      </c>
      <c r="AE131" s="77" t="str">
        <f t="shared" si="38"/>
        <v>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 &amp; aws s3 cp s3://rtdc.mdm.uploadarchive.raw/RTDC4025/ "%USERPROFILE%\AppData\Local\Temp\OnboardLogs"\RTDC4025\2017-09-15 --exclude "*" --recursive --include "*20170915*" &amp; "%USERPROFILE%\Documents\GitHub\mrs-test-scripts\Headless Mode &amp; Sideloading\WalkAndUnGZ.bat" "%USERPROFILE%\AppData\Local\Temp\OnboardLogs"\RTDC4025\2017-09-15</v>
      </c>
      <c r="AF131" s="74" t="str">
        <f t="shared" si="39"/>
        <v>"C:\Program Files (x86)\AstroGrep\AstroGrep.exe" /e /r /s /spath="%USERPROFILE%\AppData\Local\Temp\OnboardLogs" /stypes="app*4025*20170915*" /stext=" 01:.+((SYSTEM_STATE.+slice.+state.+changed )|(ment ac)|(multiple cpu faults)|(system.+state.+changed )|(\[timeout)|(PRM\|1\|D)|(kpr)|(kdp)|(train st.+moving)|(\|lc)|(penalty))"</v>
      </c>
      <c r="AG131" s="186" t="str">
        <f t="shared" si="40"/>
        <v>EC</v>
      </c>
      <c r="AH131" s="78" t="str">
        <f t="shared" si="41"/>
        <v>"%USERPROFILE%\Documents\GitHub\eaglep3\Utilities\RefineRTDCRunTimes.py" --tripid 216-14 --locoid 4025 --swversion DE.1.0.9.0 --startMP 204:233051 --initTime 2017-09-14T18:51:43 --startdatetime 2017-09-14T18:57:15 --delay 123 --endMP 204:205 --enddatetime 2017-09-14T19:35:27 --enforcementcount 1 &gt;&gt;C:\Users\stu\Documents\GitHub\eaglep3-reporting\EC\2017-09-14-refined-times.txt</v>
      </c>
      <c r="AI13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{"issue":{"subject":"","project_id":79,"tracker_id":40,"status_id":1,"priority_id":2,"assigned_to_id":338,"start_date":"2017-09-14","description":"","custom_fields":[{"id":1,"name":"Subdivision","value":"EC"},{"id":4,"name":"Milepost","value":"0.0205"},{"id":17,"name":"Train ID","value":"216-14"},{"id":16,"name":"Locomotive ID","value":"4025"},{"id":130,"name":"Impact","value":""},{"id":150,"name":"Time of Event (Mountain Time)","value":"19:35:27"},{"id":151,"name":"Denver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4025 --day 2017-09-14</v>
      </c>
      <c r="AN131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764</v>
      </c>
      <c r="B132" s="7">
        <v>4030</v>
      </c>
      <c r="C132" s="21" t="s">
        <v>197</v>
      </c>
      <c r="D132" s="21" t="s">
        <v>543</v>
      </c>
      <c r="E132" s="13">
        <v>42992.754317129627</v>
      </c>
      <c r="F132" s="13">
        <v>42992.760682870372</v>
      </c>
      <c r="G132" s="7">
        <v>74</v>
      </c>
      <c r="H132" s="21" t="s">
        <v>878</v>
      </c>
      <c r="I132" s="13">
        <v>42992.784942129627</v>
      </c>
      <c r="J132" s="7">
        <v>1</v>
      </c>
      <c r="K132" s="89" t="str">
        <f t="shared" si="29"/>
        <v>4029/4030</v>
      </c>
      <c r="L132" s="189" t="str">
        <f>VLOOKUP(A132,'Trips&amp;Operators'!$C$1:$G$99911,5,FALSE)</f>
        <v>ELBAUM MIKE</v>
      </c>
      <c r="M132" s="6">
        <f t="shared" si="30"/>
        <v>2.4259259254904464E-2</v>
      </c>
      <c r="N132" s="7">
        <f t="shared" si="50"/>
        <v>34.933333327062428</v>
      </c>
      <c r="O132" s="7"/>
      <c r="P132" s="7"/>
      <c r="Q132" s="22"/>
      <c r="R132" s="167"/>
      <c r="S132" s="217">
        <f t="shared" si="51"/>
        <v>1</v>
      </c>
      <c r="T132" s="175" t="str">
        <f t="shared" si="31"/>
        <v>NorthBound</v>
      </c>
      <c r="U132" s="20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26" t="str">
        <f t="shared" si="32"/>
        <v>https://d0f6bd738d7f1b3e5a7ca70fe4ff75f0.us-east-1.aws.found.io/app/kibana#/discover/Steve-Slow-Train-Analysis-(2080s-and-2083s)?_g=(refreshInterval:(display:Off,pause:!f,section:0,value:0),time:(from:'2017-09-14T17:06:13-0600',mode:absolute,to:'2017-09-14T19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210" t="str">
        <f>IF(AA132&lt;VLOOKUP(AG132,Variables!$AC$3:$AD$8,2,FALSE),"Y","N")</f>
        <v>N</v>
      </c>
      <c r="X132" s="210">
        <f t="shared" si="47"/>
        <v>1</v>
      </c>
      <c r="Y132" s="210">
        <f t="shared" si="56"/>
        <v>4.7300000000000002E-2</v>
      </c>
      <c r="Z132" s="210">
        <f t="shared" si="57"/>
        <v>23.332699999999999</v>
      </c>
      <c r="AA132" s="210">
        <f t="shared" si="36"/>
        <v>23.285399999999999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83">
        <f t="shared" si="37"/>
        <v>217</v>
      </c>
      <c r="AE132" s="77" t="str">
        <f t="shared" si="38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32" s="74" t="str">
        <f t="shared" si="39"/>
        <v>"C:\Program Files (x86)\AstroGrep\AstroGrep.exe" /e /r /s /spath="%USERPROFILE%\AppData\Local\Temp\OnboardLogs" /stypes="app*4030*20170915*" /stext=" 00:.+((SYSTEM_STATE.+slice.+state.+changed )|(ment ac)|(multiple cpu faults)|(system.+state.+changed )|(\[timeout)|(PRM\|1\|D)|(kpr)|(kdp)|(train st.+moving)|(\|lc)|(penalty))"</v>
      </c>
      <c r="AG132" s="186" t="str">
        <f t="shared" si="40"/>
        <v>EC</v>
      </c>
      <c r="AH132" s="78" t="str">
        <f t="shared" si="41"/>
        <v>"%USERPROFILE%\Documents\GitHub\eaglep3\Utilities\RefineRTDCRunTimes.py" --tripid 217-14 --locoid 4030 --swversion DE.1.0.9.0 --startMP 204:473 --initTime 2017-09-14T18:06:13 --startdatetime 2017-09-14T18:15:23 --delay 74 --endMP 204:233327 --enddatetime 2017-09-14T18:50:19 --enforcementcount 1 &gt;&gt;C:\Users\stu\Documents\GitHub\eaglep3-reporting\EC\2017-09-14-refined-times.txt</v>
      </c>
      <c r="AI13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{"issue":{"subject":"","project_id":79,"tracker_id":40,"status_id":1,"priority_id":2,"assigned_to_id":338,"start_date":"2017-09-14","description":"","custom_fields":[{"id":1,"name":"Subdivision","value":"EC"},{"id":4,"name":"Milepost","value":"23.3327"},{"id":17,"name":"Train ID","value":"217-14"},{"id":16,"name":"Locomotive ID","value":"4030"},{"id":130,"name":"Impact","value":""},{"id":150,"name":"Time of Event (Mountain Time)","value":"18:50:19"},{"id":151,"name":"Denver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4030 --day 2017-09-14</v>
      </c>
      <c r="AN132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613</v>
      </c>
      <c r="B133" s="7">
        <v>4029</v>
      </c>
      <c r="C133" s="21" t="s">
        <v>197</v>
      </c>
      <c r="D133" s="21" t="s">
        <v>434</v>
      </c>
      <c r="E133" s="13">
        <v>42992.786030092589</v>
      </c>
      <c r="F133" s="13">
        <v>42992.800243055557</v>
      </c>
      <c r="G133" s="7">
        <v>65</v>
      </c>
      <c r="H133" s="21" t="s">
        <v>401</v>
      </c>
      <c r="I133" s="13">
        <v>42992.825833333336</v>
      </c>
      <c r="J133" s="7">
        <v>1</v>
      </c>
      <c r="K133" s="89" t="str">
        <f t="shared" si="29"/>
        <v>4029/4030</v>
      </c>
      <c r="L133" s="189" t="str">
        <f>VLOOKUP(A133,'Trips&amp;Operators'!$C$1:$G$99911,5,FALSE)</f>
        <v>ELBAUM MIKE</v>
      </c>
      <c r="M133" s="6">
        <f t="shared" si="30"/>
        <v>2.5590277778974269E-2</v>
      </c>
      <c r="N133" s="7">
        <f t="shared" si="50"/>
        <v>36.850000001722947</v>
      </c>
      <c r="O133" s="7"/>
      <c r="P133" s="7"/>
      <c r="Q133" s="22"/>
      <c r="R133" s="167"/>
      <c r="S133" s="217">
        <f t="shared" si="51"/>
        <v>1</v>
      </c>
      <c r="T133" s="175" t="str">
        <f t="shared" si="31"/>
        <v>Southbound</v>
      </c>
      <c r="U133" s="20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26" t="str">
        <f t="shared" si="32"/>
        <v>https://d0f6bd738d7f1b3e5a7ca70fe4ff75f0.us-east-1.aws.found.io/app/kibana#/discover/Steve-Slow-Train-Analysis-(2080s-and-2083s)?_g=(refreshInterval:(display:Off,pause:!f,section:0,value:0),time:(from:'2017-09-14T17:51:53-0600',mode:absolute,to:'2017-09-14T20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210" t="str">
        <f>IF(AA133&lt;VLOOKUP(AG133,Variables!$AC$3:$AD$8,2,FALSE),"Y","N")</f>
        <v>N</v>
      </c>
      <c r="X133" s="210">
        <f t="shared" si="47"/>
        <v>1</v>
      </c>
      <c r="Y133" s="210">
        <f t="shared" si="56"/>
        <v>23.299800000000001</v>
      </c>
      <c r="Z133" s="210">
        <f t="shared" si="57"/>
        <v>1.3899999999999999E-2</v>
      </c>
      <c r="AA133" s="210">
        <f t="shared" si="36"/>
        <v>23.285900000000002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83">
        <f t="shared" si="37"/>
        <v>218</v>
      </c>
      <c r="AE133" s="77" t="str">
        <f t="shared" si="38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33" s="74" t="str">
        <f t="shared" si="39"/>
        <v>"C:\Program Files (x86)\AstroGrep\AstroGrep.exe" /e /r /s /spath="%USERPROFILE%\AppData\Local\Temp\OnboardLogs" /stypes="app*4029*20170915*" /stext=" 01:.+((SYSTEM_STATE.+slice.+state.+changed )|(ment ac)|(multiple cpu faults)|(system.+state.+changed )|(\[timeout)|(PRM\|1\|D)|(kpr)|(kdp)|(train st.+moving)|(\|lc)|(penalty))"</v>
      </c>
      <c r="AG133" s="186" t="str">
        <f t="shared" si="40"/>
        <v>EC</v>
      </c>
      <c r="AH133" s="78" t="str">
        <f t="shared" si="41"/>
        <v>"%USERPROFILE%\Documents\GitHub\eaglep3\Utilities\RefineRTDCRunTimes.py" --tripid 218-14 --locoid 4029 --swversion DE.1.0.9.0 --startMP 204:232998 --initTime 2017-09-14T18:51:53 --startdatetime 2017-09-14T19:12:21 --delay 65 --endMP 204:139 --enddatetime 2017-09-14T19:49:12 --enforcementcount 1 &gt;&gt;C:\Users\stu\Documents\GitHub\eaglep3-reporting\EC\2017-09-14-refined-times.txt</v>
      </c>
      <c r="AI133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{"issue":{"subject":"","project_id":79,"tracker_id":40,"status_id":1,"priority_id":2,"assigned_to_id":338,"start_date":"2017-09-14","description":"","custom_fields":[{"id":1,"name":"Subdivision","value":"EC"},{"id":4,"name":"Milepost","value":"0.0139"},{"id":17,"name":"Train ID","value":"218-14"},{"id":16,"name":"Locomotive ID","value":"4029"},{"id":130,"name":"Impact","value":""},{"id":150,"name":"Time of Event (Mountain Time)","value":"19:49:12"},{"id":151,"name":"Denver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4029 --day 2017-09-14</v>
      </c>
      <c r="AN133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769</v>
      </c>
      <c r="B134" s="7">
        <v>4032</v>
      </c>
      <c r="C134" s="21" t="s">
        <v>197</v>
      </c>
      <c r="D134" s="21" t="s">
        <v>879</v>
      </c>
      <c r="E134" s="13">
        <v>42992.767523148148</v>
      </c>
      <c r="F134" s="13">
        <v>42992.77107638889</v>
      </c>
      <c r="G134" s="7">
        <v>93</v>
      </c>
      <c r="H134" s="21" t="s">
        <v>475</v>
      </c>
      <c r="I134" s="13">
        <v>42992.797037037039</v>
      </c>
      <c r="J134" s="7">
        <v>1</v>
      </c>
      <c r="K134" s="89" t="str">
        <f t="shared" si="29"/>
        <v>4031/4032</v>
      </c>
      <c r="L134" s="189" t="str">
        <f>VLOOKUP(A134,'Trips&amp;Operators'!$C$1:$G$99911,5,FALSE)</f>
        <v>SANTIZO D. EDY</v>
      </c>
      <c r="M134" s="6">
        <f t="shared" si="30"/>
        <v>2.5960648148611654E-2</v>
      </c>
      <c r="N134" s="7">
        <f t="shared" si="50"/>
        <v>37.383333334000781</v>
      </c>
      <c r="O134" s="7"/>
      <c r="P134" s="7"/>
      <c r="Q134" s="22"/>
      <c r="R134" s="167"/>
      <c r="S134" s="217">
        <f t="shared" si="51"/>
        <v>1</v>
      </c>
      <c r="T134" s="175" t="str">
        <f t="shared" si="31"/>
        <v>NorthBound</v>
      </c>
      <c r="U134" s="20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26" t="str">
        <f t="shared" si="32"/>
        <v>https://d0f6bd738d7f1b3e5a7ca70fe4ff75f0.us-east-1.aws.found.io/app/kibana#/discover/Steve-Slow-Train-Analysis-(2080s-and-2083s)?_g=(refreshInterval:(display:Off,pause:!f,section:0,value:0),time:(from:'2017-09-14T17:25:14-0600',mode:absolute,to:'2017-09-14T20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10" t="str">
        <f>IF(AA134&lt;VLOOKUP(AG134,Variables!$AC$3:$AD$8,2,FALSE),"Y","N")</f>
        <v>N</v>
      </c>
      <c r="X134" s="210">
        <f t="shared" si="47"/>
        <v>1</v>
      </c>
      <c r="Y134" s="210">
        <f t="shared" si="56"/>
        <v>4.2000000000000003E-2</v>
      </c>
      <c r="Z134" s="210">
        <f t="shared" si="57"/>
        <v>23.329499999999999</v>
      </c>
      <c r="AA134" s="210">
        <f t="shared" si="36"/>
        <v>23.287499999999998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83">
        <f t="shared" si="37"/>
        <v>219</v>
      </c>
      <c r="AE134" s="77" t="str">
        <f t="shared" si="38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134" s="74" t="str">
        <f t="shared" si="39"/>
        <v>"C:\Program Files (x86)\AstroGrep\AstroGrep.exe" /e /r /s /spath="%USERPROFILE%\AppData\Local\Temp\OnboardLogs" /stypes="app*4032*20170915*" /stext=" 01:.+((SYSTEM_STATE.+slice.+state.+changed )|(ment ac)|(multiple cpu faults)|(system.+state.+changed )|(\[timeout)|(PRM\|1\|D)|(kpr)|(kdp)|(train st.+moving)|(\|lc)|(penalty))"</v>
      </c>
      <c r="AG134" s="186" t="str">
        <f t="shared" si="40"/>
        <v>EC</v>
      </c>
      <c r="AH134" s="78" t="str">
        <f t="shared" si="41"/>
        <v>"%USERPROFILE%\Documents\GitHub\eaglep3\Utilities\RefineRTDCRunTimes.py" --tripid 219-14 --locoid 4032 --swversion DE.1.0.9.0 --startMP 204:420 --initTime 2017-09-14T18:25:14 --startdatetime 2017-09-14T18:30:21 --delay 93 --endMP 204:233295 --enddatetime 2017-09-14T19:07:44 --enforcementcount 1 &gt;&gt;C:\Users\stu\Documents\GitHub\eaglep3-reporting\EC\2017-09-14-refined-times.txt</v>
      </c>
      <c r="AI134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{"issue":{"subject":"","project_id":79,"tracker_id":40,"status_id":1,"priority_id":2,"assigned_to_id":338,"start_date":"2017-09-14","description":"","custom_fields":[{"id":1,"name":"Subdivision","value":"EC"},{"id":4,"name":"Milepost","value":"23.3295"},{"id":17,"name":"Train ID","value":"219-14"},{"id":16,"name":"Locomotive ID","value":"4032"},{"id":130,"name":"Impact","value":""},{"id":150,"name":"Time of Event (Mountain Time)","value":"19:07:44"},{"id":151,"name":"Denver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4032 --day 2017-09-14</v>
      </c>
      <c r="AN134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781</v>
      </c>
      <c r="B135" s="7">
        <v>4031</v>
      </c>
      <c r="C135" s="21" t="s">
        <v>197</v>
      </c>
      <c r="D135" s="21" t="s">
        <v>439</v>
      </c>
      <c r="E135" s="13">
        <v>42992.798229166663</v>
      </c>
      <c r="F135" s="13">
        <v>42992.810659722221</v>
      </c>
      <c r="G135" s="7">
        <v>64</v>
      </c>
      <c r="H135" s="21" t="s">
        <v>381</v>
      </c>
      <c r="I135" s="13">
        <v>42992.836412037039</v>
      </c>
      <c r="J135" s="7">
        <v>1</v>
      </c>
      <c r="K135" s="89" t="str">
        <f t="shared" si="29"/>
        <v>4031/4032</v>
      </c>
      <c r="L135" s="189" t="str">
        <f>VLOOKUP(A135,'Trips&amp;Operators'!$C$1:$G$99911,5,FALSE)</f>
        <v>SANTIZO D. EDY</v>
      </c>
      <c r="M135" s="6">
        <f t="shared" si="30"/>
        <v>2.5752314817509614E-2</v>
      </c>
      <c r="N135" s="7">
        <f t="shared" si="50"/>
        <v>37.083333337213844</v>
      </c>
      <c r="O135" s="7"/>
      <c r="P135" s="7"/>
      <c r="Q135" s="22"/>
      <c r="R135" s="167"/>
      <c r="S135" s="217">
        <f t="shared" si="51"/>
        <v>1</v>
      </c>
      <c r="T135" s="175" t="str">
        <f t="shared" si="31"/>
        <v>Southbound</v>
      </c>
      <c r="U135" s="20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26" t="str">
        <f t="shared" si="32"/>
        <v>https://d0f6bd738d7f1b3e5a7ca70fe4ff75f0.us-east-1.aws.found.io/app/kibana#/discover/Steve-Slow-Train-Analysis-(2080s-and-2083s)?_g=(refreshInterval:(display:Off,pause:!f,section:0,value:0),time:(from:'2017-09-14T18:09:27-0600',mode:absolute,to:'2017-09-14T21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10" t="str">
        <f>IF(AA135&lt;VLOOKUP(AG135,Variables!$AC$3:$AD$8,2,FALSE),"Y","N")</f>
        <v>N</v>
      </c>
      <c r="X135" s="210">
        <f t="shared" si="47"/>
        <v>1</v>
      </c>
      <c r="Y135" s="210">
        <f t="shared" si="56"/>
        <v>23.297999999999998</v>
      </c>
      <c r="Z135" s="210">
        <f t="shared" si="57"/>
        <v>1.6E-2</v>
      </c>
      <c r="AA135" s="210">
        <f t="shared" si="36"/>
        <v>23.282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83">
        <f t="shared" si="37"/>
        <v>220</v>
      </c>
      <c r="AE135" s="77" t="str">
        <f t="shared" si="38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135" s="74" t="str">
        <f t="shared" si="39"/>
        <v>"C:\Program Files (x86)\AstroGrep\AstroGrep.exe" /e /r /s /spath="%USERPROFILE%\AppData\Local\Temp\OnboardLogs" /stypes="app*4031*20170915*" /stext=" 02:.+((SYSTEM_STATE.+slice.+state.+changed )|(ment ac)|(multiple cpu faults)|(system.+state.+changed )|(\[timeout)|(PRM\|1\|D)|(kpr)|(kdp)|(train st.+moving)|(\|lc)|(penalty))"</v>
      </c>
      <c r="AG135" s="186" t="str">
        <f t="shared" si="40"/>
        <v>EC</v>
      </c>
      <c r="AH135" s="78" t="str">
        <f t="shared" si="41"/>
        <v>"%USERPROFILE%\Documents\GitHub\eaglep3\Utilities\RefineRTDCRunTimes.py" --tripid 220-14 --locoid 4031 --swversion DE.1.0.9.0 --startMP 204:232980 --initTime 2017-09-14T19:09:27 --startdatetime 2017-09-14T19:27:21 --delay 64 --endMP 204:160 --enddatetime 2017-09-14T20:04:26 --enforcementcount 1 &gt;&gt;C:\Users\stu\Documents\GitHub\eaglep3-reporting\EC\2017-09-14-refined-times.txt</v>
      </c>
      <c r="AI135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{"issue":{"subject":"","project_id":79,"tracker_id":40,"status_id":1,"priority_id":2,"assigned_to_id":338,"start_date":"2017-09-14","description":"","custom_fields":[{"id":1,"name":"Subdivision","value":"EC"},{"id":4,"name":"Milepost","value":"0.016"},{"id":17,"name":"Train ID","value":"220-14"},{"id":16,"name":"Locomotive ID","value":"4031"},{"id":130,"name":"Impact","value":""},{"id":150,"name":"Time of Event (Mountain Time)","value":"20:04:26"},{"id":151,"name":"Denver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4031 --day 2017-09-14</v>
      </c>
      <c r="AN135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777</v>
      </c>
      <c r="B136" s="7">
        <v>4004</v>
      </c>
      <c r="C136" s="21" t="s">
        <v>197</v>
      </c>
      <c r="D136" s="21" t="s">
        <v>477</v>
      </c>
      <c r="E136" s="13">
        <v>42992.787222222221</v>
      </c>
      <c r="F136" s="13">
        <v>42992.791863425926</v>
      </c>
      <c r="G136" s="7">
        <v>78</v>
      </c>
      <c r="H136" s="21" t="s">
        <v>880</v>
      </c>
      <c r="I136" s="13">
        <v>42992.816030092596</v>
      </c>
      <c r="J136" s="7">
        <v>1</v>
      </c>
      <c r="K136" s="89" t="str">
        <f t="shared" si="29"/>
        <v>4003/4004</v>
      </c>
      <c r="L136" s="189" t="str">
        <f>VLOOKUP(A136,'Trips&amp;Operators'!$C$1:$G$99911,5,FALSE)</f>
        <v>HART KEVIN</v>
      </c>
      <c r="M136" s="6">
        <f t="shared" si="30"/>
        <v>2.4166666669771075E-2</v>
      </c>
      <c r="N136" s="7">
        <f t="shared" si="50"/>
        <v>34.800000004470348</v>
      </c>
      <c r="O136" s="7"/>
      <c r="P136" s="7"/>
      <c r="Q136" s="22"/>
      <c r="R136" s="167"/>
      <c r="S136" s="217">
        <f t="shared" si="51"/>
        <v>1</v>
      </c>
      <c r="T136" s="175" t="str">
        <f t="shared" si="31"/>
        <v>NorthBound</v>
      </c>
      <c r="U136" s="20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26" t="str">
        <f t="shared" si="32"/>
        <v>https://d0f6bd738d7f1b3e5a7ca70fe4ff75f0.us-east-1.aws.found.io/app/kibana#/discover/Steve-Slow-Train-Analysis-(2080s-and-2083s)?_g=(refreshInterval:(display:Off,pause:!f,section:0,value:0),time:(from:'2017-09-14T17:53:36-0600',mode:absolute,to:'2017-09-14T20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210" t="str">
        <f>IF(AA136&lt;VLOOKUP(AG136,Variables!$AC$3:$AD$8,2,FALSE),"Y","N")</f>
        <v>N</v>
      </c>
      <c r="X136" s="210">
        <f t="shared" si="47"/>
        <v>1</v>
      </c>
      <c r="Y136" s="210">
        <f t="shared" si="56"/>
        <v>4.4699999999999997E-2</v>
      </c>
      <c r="Z136" s="210">
        <f t="shared" si="57"/>
        <v>23.327999999999999</v>
      </c>
      <c r="AA136" s="210">
        <f t="shared" si="36"/>
        <v>23.283300000000001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83">
        <f t="shared" si="37"/>
        <v>221</v>
      </c>
      <c r="AE136" s="77" t="str">
        <f t="shared" si="38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136" s="74" t="str">
        <f t="shared" si="39"/>
        <v>"C:\Program Files (x86)\AstroGrep\AstroGrep.exe" /e /r /s /spath="%USERPROFILE%\AppData\Local\Temp\OnboardLogs" /stypes="app*4004*20170915*" /stext=" 01:.+((SYSTEM_STATE.+slice.+state.+changed )|(ment ac)|(multiple cpu faults)|(system.+state.+changed )|(\[timeout)|(PRM\|1\|D)|(kpr)|(kdp)|(train st.+moving)|(\|lc)|(penalty))"</v>
      </c>
      <c r="AG136" s="186" t="str">
        <f t="shared" si="40"/>
        <v>EC</v>
      </c>
      <c r="AH136" s="78" t="str">
        <f t="shared" si="41"/>
        <v>"%USERPROFILE%\Documents\GitHub\eaglep3\Utilities\RefineRTDCRunTimes.py" --tripid 221-14 --locoid 4004 --swversion DE.1.0.9.0 --startMP 204:447 --initTime 2017-09-14T18:53:36 --startdatetime 2017-09-14T19:00:17 --delay 78 --endMP 204:233280 --enddatetime 2017-09-14T19:35:05 --enforcementcount 1 &gt;&gt;C:\Users\stu\Documents\GitHub\eaglep3-reporting\EC\2017-09-14-refined-times.txt</v>
      </c>
      <c r="AI136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{"issue":{"subject":"","project_id":79,"tracker_id":40,"status_id":1,"priority_id":2,"assigned_to_id":338,"start_date":"2017-09-14","description":"","custom_fields":[{"id":1,"name":"Subdivision","value":"EC"},{"id":4,"name":"Milepost","value":"23.328"},{"id":17,"name":"Train ID","value":"221-14"},{"id":16,"name":"Locomotive ID","value":"4004"},{"id":130,"name":"Impact","value":""},{"id":150,"name":"Time of Event (Mountain Time)","value":"19:35:05"},{"id":151,"name":"Denver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4004 --day 2017-09-14</v>
      </c>
      <c r="AN136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4003</v>
      </c>
      <c r="C137" s="21" t="s">
        <v>197</v>
      </c>
      <c r="D137" s="21" t="s">
        <v>400</v>
      </c>
      <c r="E137" s="13">
        <v>42992.827962962961</v>
      </c>
      <c r="F137" s="13">
        <v>42992.851354166669</v>
      </c>
      <c r="G137" s="7">
        <v>155</v>
      </c>
      <c r="H137" s="21" t="s">
        <v>387</v>
      </c>
      <c r="I137" s="13">
        <v>42992.867743055554</v>
      </c>
      <c r="J137" s="7">
        <v>1</v>
      </c>
      <c r="K137" s="89" t="str">
        <f t="shared" si="29"/>
        <v>4003/4004</v>
      </c>
      <c r="L137" s="189" t="str">
        <f>VLOOKUP(A137,'Trips&amp;Operators'!$C$1:$G$99911,5,FALSE)</f>
        <v>HART KEVIN</v>
      </c>
      <c r="M137" s="6">
        <f t="shared" si="30"/>
        <v>1.6388888885558117E-2</v>
      </c>
      <c r="N137" s="7"/>
      <c r="O137" s="7"/>
      <c r="P137" s="7">
        <f>24*60*SUM($M137:$M137)</f>
        <v>23.599999995203689</v>
      </c>
      <c r="Q137" s="22"/>
      <c r="R137" s="167" t="s">
        <v>569</v>
      </c>
      <c r="S137" s="217">
        <f>1/IF(AG137="EC",12,1)*SUM(U137:U138)</f>
        <v>1</v>
      </c>
      <c r="T137" s="175" t="str">
        <f t="shared" si="31"/>
        <v>Southbound</v>
      </c>
      <c r="U137" s="20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226" t="str">
        <f t="shared" si="32"/>
        <v>https://d0f6bd738d7f1b3e5a7ca70fe4ff75f0.us-east-1.aws.found.io/app/kibana#/discover/Steve-Slow-Train-Analysis-(2080s-and-2083s)?_g=(refreshInterval:(display:Off,pause:!f,section:0,value:0),time:(from:'2017-09-14T18:52:16-0600',mode:absolute,to:'2017-09-14T21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210" t="str">
        <f>IF(AA137&lt;VLOOKUP(AG137,Variables!$AC$3:$AD$8,2,FALSE),"Y","N")</f>
        <v>Y</v>
      </c>
      <c r="X137" s="210">
        <f t="shared" si="47"/>
        <v>1</v>
      </c>
      <c r="Y137" s="210">
        <f t="shared" si="56"/>
        <v>23.3</v>
      </c>
      <c r="Z137" s="210">
        <f t="shared" si="57"/>
        <v>23.299399999999999</v>
      </c>
      <c r="AA137" s="210">
        <f t="shared" si="36"/>
        <v>6.0000000000215437E-4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83">
        <f t="shared" si="37"/>
        <v>222</v>
      </c>
      <c r="AE137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37" s="74" t="str">
        <f t="shared" si="39"/>
        <v>"C:\Program Files (x86)\AstroGrep\AstroGrep.exe" /e /r /s /spath="%USERPROFILE%\AppData\Local\Temp\OnboardLogs" /stypes="app*4003*20170915*" /stext=" 02:.+((SYSTEM_STATE.+slice.+state.+changed )|(ment ac)|(multiple cpu faults)|(system.+state.+changed )|(\[timeout)|(PRM\|1\|D)|(kpr)|(kdp)|(train st.+moving)|(\|lc)|(penalty))"</v>
      </c>
      <c r="AG137" s="186" t="str">
        <f t="shared" si="40"/>
        <v>EC</v>
      </c>
      <c r="AH137" s="78" t="str">
        <f t="shared" si="41"/>
        <v>"%USERPROFILE%\Documents\GitHub\eaglep3\Utilities\RefineRTDCRunTimes.py" --tripid 222-14 --locoid 4003 --swversion DE.1.0.9.0 --startMP 204:233000 --initTime 2017-09-14T19:52:16 --startdatetime 2017-09-14T20:25:57 --delay 155 --endMP 204:232994 --enddatetime 2017-09-14T20:49:33 --enforcementcount 1 &gt;&gt;C:\Users\stu\Documents\GitHub\eaglep3-reporting\EC\2017-09-14-refined-times.txt</v>
      </c>
      <c r="AI137" s="96" t="str">
        <f t="shared" si="42"/>
        <v>echo {"issue":{"subject":"Onboard in-route failure","project_id":79,"tracker_id":40,"status_id":1,"priority_id":2,"assigned_to_id":338,"start_date":"2017-09-14","description":"","custom_fields":[{"id":1,"name":"Subdivision","value":"EC"},{"id":4,"name":"Milepost","value":"23.2994"},{"id":17,"name":"Train ID","value":"222-14"},{"id":16,"name":"Locomotive ID","value":"4003"},{"id":130,"name":"Impact","value":""},{"id":150,"name":"Time of Event (Mountain Time)","value":"20:49:33"},{"id":151,"name":"Denver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4003 --day 2017-09-14</v>
      </c>
      <c r="AN137" s="151" t="str">
        <f t="shared" si="44"/>
        <v>echo {"issue":{"subject":"Onboard in-route failure","project_id":30,"tracker_id":4,"status_id":1,"priority_id":1,"assigned_to_id":10,"start_date":"2017-09-15","description":"","custom_fields":[{"id":30,"name":"Category","value":"Issue"},{"id":3,"name":"Functional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790</v>
      </c>
      <c r="B138" s="7">
        <v>4003</v>
      </c>
      <c r="C138" s="21" t="s">
        <v>197</v>
      </c>
      <c r="D138" s="21" t="s">
        <v>881</v>
      </c>
      <c r="E138" s="13">
        <v>42992.850289351853</v>
      </c>
      <c r="F138" s="13">
        <v>42992.851354166669</v>
      </c>
      <c r="G138" s="7">
        <v>45</v>
      </c>
      <c r="H138" s="21" t="s">
        <v>378</v>
      </c>
      <c r="I138" s="13">
        <v>42992.867743055554</v>
      </c>
      <c r="J138" s="7">
        <v>1</v>
      </c>
      <c r="K138" s="89" t="str">
        <f t="shared" si="29"/>
        <v>4003/4004</v>
      </c>
      <c r="L138" s="189" t="str">
        <f>VLOOKUP(A138,'Trips&amp;Operators'!$C$1:$G$99911,5,FALSE)</f>
        <v>HART KEVIN</v>
      </c>
      <c r="M138" s="6">
        <f t="shared" si="30"/>
        <v>1.6388888885558117E-2</v>
      </c>
      <c r="N138" s="7"/>
      <c r="O138" s="7"/>
      <c r="P138" s="7"/>
      <c r="Q138" s="22"/>
      <c r="R138" s="167"/>
      <c r="S138" s="217"/>
      <c r="T138" s="175" t="str">
        <f t="shared" si="31"/>
        <v>Southbound</v>
      </c>
      <c r="U138" s="20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26" t="str">
        <f t="shared" si="32"/>
        <v>https://d0f6bd738d7f1b3e5a7ca70fe4ff75f0.us-east-1.aws.found.io/app/kibana#/discover/Steve-Slow-Train-Analysis-(2080s-and-2083s)?_g=(refreshInterval:(display:Off,pause:!f,section:0,value:0),time:(from:'2017-09-14T19:24:25-0600',mode:absolute,to:'2017-09-14T21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8" s="210" t="str">
        <f>IF(AA138&lt;VLOOKUP(AG138,Variables!$AC$3:$AD$8,2,FALSE),"Y","N")</f>
        <v>Y</v>
      </c>
      <c r="X138" s="210">
        <f t="shared" si="47"/>
        <v>0</v>
      </c>
      <c r="Y138" s="210">
        <f t="shared" si="56"/>
        <v>12.7867</v>
      </c>
      <c r="Z138" s="210">
        <f t="shared" si="57"/>
        <v>1.61E-2</v>
      </c>
      <c r="AA138" s="210">
        <f t="shared" si="36"/>
        <v>12.7706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83">
        <f t="shared" si="37"/>
        <v>222</v>
      </c>
      <c r="AE138" s="77" t="str">
        <f t="shared" si="38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38" s="74" t="str">
        <f t="shared" si="39"/>
        <v>"C:\Program Files (x86)\AstroGrep\AstroGrep.exe" /e /r /s /spath="%USERPROFILE%\AppData\Local\Temp\OnboardLogs" /stypes="app*4003*20170915*" /stext=" 02:.+((SYSTEM_STATE.+slice.+state.+changed )|(ment ac)|(multiple cpu faults)|(system.+state.+changed )|(\[timeout)|(PRM\|1\|D)|(kpr)|(kdp)|(train st.+moving)|(\|lc)|(penalty))"</v>
      </c>
      <c r="AG138" s="186" t="str">
        <f t="shared" si="40"/>
        <v>EC</v>
      </c>
      <c r="AH138" s="78" t="str">
        <f t="shared" si="41"/>
        <v>"%USERPROFILE%\Documents\GitHub\eaglep3\Utilities\RefineRTDCRunTimes.py" --tripid 222-14 --locoid 4003 --swversion DE.1.0.9.0 --startMP 204:127867 --initTime 2017-09-14T20:24:25 --startdatetime 2017-09-14T20:25:57 --delay 45 --endMP 204:161 --enddatetime 2017-09-14T20:49:33 --enforcementcount 1 &gt;&gt;C:\Users\stu\Documents\GitHub\eaglep3-reporting\EC\2017-09-14-refined-times.txt</v>
      </c>
      <c r="AI138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{"issue":{"subject":"","project_id":79,"tracker_id":40,"status_id":1,"priority_id":2,"assigned_to_id":338,"start_date":"2017-09-14","description":"","custom_fields":[{"id":1,"name":"Subdivision","value":"EC"},{"id":4,"name":"Milepost","value":"0.0161"},{"id":17,"name":"Train ID","value":"222-14"},{"id":16,"name":"Locomotive ID","value":"4003"},{"id":130,"name":"Impact","value":""},{"id":150,"name":"Time of Event (Mountain Time)","value":"20:49:33"},{"id":151,"name":"Denver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4003 --day 2017-09-14</v>
      </c>
      <c r="AN138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785</v>
      </c>
      <c r="B139" s="7">
        <v>4058</v>
      </c>
      <c r="C139" s="21" t="s">
        <v>197</v>
      </c>
      <c r="D139" s="21" t="s">
        <v>377</v>
      </c>
      <c r="E139" s="13">
        <v>42992.810983796298</v>
      </c>
      <c r="F139" s="13">
        <v>42992.812743055554</v>
      </c>
      <c r="G139" s="7">
        <v>60</v>
      </c>
      <c r="H139" s="21" t="s">
        <v>429</v>
      </c>
      <c r="I139" s="13">
        <v>42992.837847222225</v>
      </c>
      <c r="J139" s="7">
        <v>1</v>
      </c>
      <c r="K139" s="89" t="str">
        <f t="shared" si="29"/>
        <v>4057/4058</v>
      </c>
      <c r="L139" s="189" t="str">
        <f>VLOOKUP(A139,'Trips&amp;Operators'!$C$1:$G$99911,5,FALSE)</f>
        <v>LOZA FIDEL</v>
      </c>
      <c r="M139" s="6">
        <f t="shared" si="30"/>
        <v>2.510416667064419E-2</v>
      </c>
      <c r="N139" s="7">
        <f t="shared" ref="N139:N170" si="58">24*60*SUM($M139:$M139)</f>
        <v>36.150000005727634</v>
      </c>
      <c r="O139" s="7"/>
      <c r="P139" s="7"/>
      <c r="Q139" s="22"/>
      <c r="R139" s="167"/>
      <c r="S139" s="217">
        <f t="shared" ref="S139:S170" si="59">1/IF(AG139="EC",12,1)*SUM(U139:U139)</f>
        <v>1</v>
      </c>
      <c r="T139" s="175" t="str">
        <f t="shared" si="31"/>
        <v>NorthBound</v>
      </c>
      <c r="U139" s="20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26" t="str">
        <f t="shared" si="32"/>
        <v>https://d0f6bd738d7f1b3e5a7ca70fe4ff75f0.us-east-1.aws.found.io/app/kibana#/discover/Steve-Slow-Train-Analysis-(2080s-and-2083s)?_g=(refreshInterval:(display:Off,pause:!f,section:0,value:0),time:(from:'2017-09-14T18:27:49-0600',mode:absolute,to:'2017-09-14T21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9" s="210" t="str">
        <f>IF(AA139&lt;VLOOKUP(AG139,Variables!$AC$3:$AD$8,2,FALSE),"Y","N")</f>
        <v>N</v>
      </c>
      <c r="X139" s="210">
        <f t="shared" si="47"/>
        <v>1</v>
      </c>
      <c r="Y139" s="210">
        <f t="shared" si="56"/>
        <v>4.6899999999999997E-2</v>
      </c>
      <c r="Z139" s="210">
        <f t="shared" si="57"/>
        <v>23.328900000000001</v>
      </c>
      <c r="AA139" s="210">
        <f t="shared" si="36"/>
        <v>23.282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83">
        <f t="shared" si="37"/>
        <v>223</v>
      </c>
      <c r="AE139" s="77" t="str">
        <f t="shared" si="38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39" s="74" t="str">
        <f t="shared" si="39"/>
        <v>"C:\Program Files (x86)\AstroGrep\AstroGrep.exe" /e /r /s /spath="%USERPROFILE%\AppData\Local\Temp\OnboardLogs" /stypes="app*4058*20170915*" /stext=" 02:.+((SYSTEM_STATE.+slice.+state.+changed )|(ment ac)|(multiple cpu faults)|(system.+state.+changed )|(\[timeout)|(PRM\|1\|D)|(kpr)|(kdp)|(train st.+moving)|(\|lc)|(penalty))"</v>
      </c>
      <c r="AG139" s="186" t="str">
        <f t="shared" si="40"/>
        <v>EC</v>
      </c>
      <c r="AH139" s="78" t="str">
        <f t="shared" si="41"/>
        <v>"%USERPROFILE%\Documents\GitHub\eaglep3\Utilities\RefineRTDCRunTimes.py" --tripid 223-14 --locoid 4058 --swversion DE.1.0.9.0 --startMP 204:469 --initTime 2017-09-14T19:27:49 --startdatetime 2017-09-14T19:30:21 --delay 60 --endMP 204:233289 --enddatetime 2017-09-14T20:06:30 --enforcementcount 1 &gt;&gt;C:\Users\stu\Documents\GitHub\eaglep3-reporting\EC\2017-09-14-refined-times.txt</v>
      </c>
      <c r="AI139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{"issue":{"subject":"","project_id":79,"tracker_id":40,"status_id":1,"priority_id":2,"assigned_to_id":338,"start_date":"2017-09-14","description":"","custom_fields":[{"id":1,"name":"Subdivision","value":"EC"},{"id":4,"name":"Milepost","value":"23.3289"},{"id":17,"name":"Train ID","value":"223-14"},{"id":16,"name":"Locomotive ID","value":"4058"},{"id":130,"name":"Impact","value":""},{"id":150,"name":"Time of Event (Mountain Time)","value":"20:06:30"},{"id":151,"name":"Denver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4058 --day 2017-09-14</v>
      </c>
      <c r="AN139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793</v>
      </c>
      <c r="B140" s="7">
        <v>4057</v>
      </c>
      <c r="C140" s="21" t="s">
        <v>197</v>
      </c>
      <c r="D140" s="21" t="s">
        <v>535</v>
      </c>
      <c r="E140" s="13">
        <v>42992.85015046296</v>
      </c>
      <c r="F140" s="13">
        <v>42992.852523148147</v>
      </c>
      <c r="G140" s="7">
        <v>56</v>
      </c>
      <c r="H140" s="21" t="s">
        <v>882</v>
      </c>
      <c r="I140" s="13">
        <v>42992.877384259256</v>
      </c>
      <c r="J140" s="7">
        <v>1</v>
      </c>
      <c r="K140" s="89" t="str">
        <f t="shared" si="29"/>
        <v>4057/4058</v>
      </c>
      <c r="L140" s="189" t="str">
        <f>VLOOKUP(A140,'Trips&amp;Operators'!$C$1:$G$99911,5,FALSE)</f>
        <v>LOZA FIDEL</v>
      </c>
      <c r="M140" s="6">
        <f t="shared" si="30"/>
        <v>2.4861111109203193E-2</v>
      </c>
      <c r="N140" s="7">
        <f t="shared" si="58"/>
        <v>35.799999997252598</v>
      </c>
      <c r="O140" s="7"/>
      <c r="P140" s="7"/>
      <c r="Q140" s="22"/>
      <c r="R140" s="167"/>
      <c r="S140" s="217">
        <f t="shared" si="59"/>
        <v>1</v>
      </c>
      <c r="T140" s="175" t="str">
        <f t="shared" si="31"/>
        <v>Southbound</v>
      </c>
      <c r="U140" s="20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26" t="str">
        <f t="shared" si="32"/>
        <v>https://d0f6bd738d7f1b3e5a7ca70fe4ff75f0.us-east-1.aws.found.io/app/kibana#/discover/Steve-Slow-Train-Analysis-(2080s-and-2083s)?_g=(refreshInterval:(display:Off,pause:!f,section:0,value:0),time:(from:'2017-09-14T19:24:13-0600',mode:absolute,to:'2017-09-14T22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0" s="210" t="str">
        <f>IF(AA140&lt;VLOOKUP(AG140,Variables!$AC$3:$AD$8,2,FALSE),"Y","N")</f>
        <v>N</v>
      </c>
      <c r="X140" s="210">
        <f t="shared" si="47"/>
        <v>1</v>
      </c>
      <c r="Y140" s="210">
        <f t="shared" si="56"/>
        <v>23.298999999999999</v>
      </c>
      <c r="Z140" s="210">
        <f t="shared" si="57"/>
        <v>1.72E-2</v>
      </c>
      <c r="AA140" s="210">
        <f t="shared" si="36"/>
        <v>23.2818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83">
        <f t="shared" si="37"/>
        <v>224</v>
      </c>
      <c r="AE140" s="77" t="str">
        <f t="shared" si="38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40" s="74" t="str">
        <f t="shared" si="39"/>
        <v>"C:\Program Files (x86)\AstroGrep\AstroGrep.exe" /e /r /s /spath="%USERPROFILE%\AppData\Local\Temp\OnboardLogs" /stypes="app*4057*20170915*" /stext=" 03:.+((SYSTEM_STATE.+slice.+state.+changed )|(ment ac)|(multiple cpu faults)|(system.+state.+changed )|(\[timeout)|(PRM\|1\|D)|(kpr)|(kdp)|(train st.+moving)|(\|lc)|(penalty))"</v>
      </c>
      <c r="AG140" s="186" t="str">
        <f t="shared" si="40"/>
        <v>EC</v>
      </c>
      <c r="AH140" s="78" t="str">
        <f t="shared" si="41"/>
        <v>"%USERPROFILE%\Documents\GitHub\eaglep3\Utilities\RefineRTDCRunTimes.py" --tripid 224-14 --locoid 4057 --swversion DE.1.0.9.0 --startMP 204:232990 --initTime 2017-09-14T20:24:13 --startdatetime 2017-09-14T20:27:38 --delay 56 --endMP 204:172 --enddatetime 2017-09-14T21:03:26 --enforcementcount 1 &gt;&gt;C:\Users\stu\Documents\GitHub\eaglep3-reporting\EC\2017-09-14-refined-times.txt</v>
      </c>
      <c r="AI140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{"issue":{"subject":"","project_id":79,"tracker_id":40,"status_id":1,"priority_id":2,"assigned_to_id":338,"start_date":"2017-09-14","description":"","custom_fields":[{"id":1,"name":"Subdivision","value":"EC"},{"id":4,"name":"Milepost","value":"0.0172"},{"id":17,"name":"Train ID","value":"224-14"},{"id":16,"name":"Locomotive ID","value":"4057"},{"id":130,"name":"Impact","value":""},{"id":150,"name":"Time of Event (Mountain Time)","value":"21:03:26"},{"id":151,"name":"Denver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4057 --day 2017-09-14</v>
      </c>
      <c r="AN140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789</v>
      </c>
      <c r="B141" s="7">
        <v>4030</v>
      </c>
      <c r="C141" s="21" t="s">
        <v>197</v>
      </c>
      <c r="D141" s="21" t="s">
        <v>883</v>
      </c>
      <c r="E141" s="13">
        <v>42992.826944444445</v>
      </c>
      <c r="F141" s="13">
        <v>42992.833657407406</v>
      </c>
      <c r="G141" s="7">
        <v>51</v>
      </c>
      <c r="H141" s="21" t="s">
        <v>536</v>
      </c>
      <c r="I141" s="13">
        <v>42992.858622685184</v>
      </c>
      <c r="J141" s="7">
        <v>1</v>
      </c>
      <c r="K141" s="89" t="str">
        <f t="shared" ref="K141:K204" si="60">IF(ISEVEN(B141),(B141-1)&amp;"/"&amp;B141,B141&amp;"/"&amp;(B141+1))</f>
        <v>4029/4030</v>
      </c>
      <c r="L141" s="189" t="str">
        <f>VLOOKUP(A141,'Trips&amp;Operators'!$C$1:$G$99911,5,FALSE)</f>
        <v>ELBAUM MIKE</v>
      </c>
      <c r="M141" s="6">
        <f t="shared" ref="M141:M204" si="61">I141-F141</f>
        <v>2.4965277778392192E-2</v>
      </c>
      <c r="N141" s="7">
        <f t="shared" si="58"/>
        <v>35.950000000884756</v>
      </c>
      <c r="O141" s="7"/>
      <c r="P141" s="7"/>
      <c r="Q141" s="22"/>
      <c r="R141" s="167"/>
      <c r="S141" s="217">
        <f t="shared" si="59"/>
        <v>1</v>
      </c>
      <c r="T141" s="175" t="str">
        <f t="shared" ref="T141:T204" si="62">IF(ISEVEN(LEFT(AD141,4)),"Southbound","NorthBound")</f>
        <v>NorthBound</v>
      </c>
      <c r="U141" s="20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26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-14T18:50:48-0600',mode:absolute,to:'2017-09-14T21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210" t="str">
        <f>IF(AA141&lt;VLOOKUP(AG141,Variables!$AC$3:$AD$8,2,FALSE),"Y","N")</f>
        <v>N</v>
      </c>
      <c r="X141" s="210">
        <f t="shared" ref="X141:X166" si="64">VALUE(LEFT(AD141,4))-VALUE(LEFT(AD140,4))</f>
        <v>1</v>
      </c>
      <c r="Y141" s="210">
        <f t="shared" si="56"/>
        <v>4.2599999999999999E-2</v>
      </c>
      <c r="Z141" s="210">
        <f t="shared" si="57"/>
        <v>23.329899999999999</v>
      </c>
      <c r="AA141" s="210">
        <f t="shared" ref="AA141:AA204" si="65">ABS(Z141-Y141)</f>
        <v>23.287299999999998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83">
        <f t="shared" ref="AD141:AD204" si="66">VALUE(LEFT(A141,LEN(A141)-3))</f>
        <v>225</v>
      </c>
      <c r="AE141" s="77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41" s="74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/stypes="app*4030*20170915*" /stext=" 02:.+((SYSTEM_STATE.+slice.+state.+changed )|(ment ac)|(multiple cpu faults)|(system.+state.+changed )|(\[timeout)|(PRM\|1\|D)|(kpr)|(kdp)|(train st.+moving)|(\|lc)|(penalty))"</v>
      </c>
      <c r="AG141" s="186" t="str">
        <f t="shared" ref="AG141:AG204" si="69">DetSubdiv(A141)</f>
        <v>EC</v>
      </c>
      <c r="AH141" s="78" t="str">
        <f t="shared" si="41"/>
        <v>"%USERPROFILE%\Documents\GitHub\eaglep3\Utilities\RefineRTDCRunTimes.py" --tripid 225-14 --locoid 4030 --swversion DE.1.0.9.0 --startMP 204:426 --initTime 2017-09-14T19:50:48 --startdatetime 2017-09-14T20:00:28 --delay 51 --endMP 204:233299 --enddatetime 2017-09-14T20:36:25 --enforcementcount 1 &gt;&gt;C:\Users\stu\Documents\GitHub\eaglep3-reporting\EC\2017-09-14-refined-times.txt</v>
      </c>
      <c r="AI141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{"issue":{"subject":"","project_id":79,"tracker_id":40,"status_id":1,"priority_id":2,"assigned_to_id":338,"start_date":"2017-09-14","description":"","custom_fields":[{"id":1,"name":"Subdivision","value":"EC"},{"id":4,"name":"Milepost","value":"23.3299"},{"id":17,"name":"Train ID","value":"225-14"},{"id":16,"name":"Locomotive ID","value":"4030"},{"id":130,"name":"Impact","value":""},{"id":150,"name":"Time of Event (Mountain Time)","value":"20:36:25"},{"id":151,"name":"Denver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4030 --day 2017-09-14</v>
      </c>
      <c r="AN141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795</v>
      </c>
      <c r="B142" s="7">
        <v>4029</v>
      </c>
      <c r="C142" s="21" t="s">
        <v>197</v>
      </c>
      <c r="D142" s="21" t="s">
        <v>853</v>
      </c>
      <c r="E142" s="13">
        <v>42992.859467592592</v>
      </c>
      <c r="F142" s="13">
        <v>42992.87332175926</v>
      </c>
      <c r="G142" s="7">
        <v>65</v>
      </c>
      <c r="H142" s="21" t="s">
        <v>342</v>
      </c>
      <c r="I142" s="13">
        <v>42992.899293981478</v>
      </c>
      <c r="J142" s="7">
        <v>1</v>
      </c>
      <c r="K142" s="89" t="str">
        <f t="shared" si="60"/>
        <v>4029/4030</v>
      </c>
      <c r="L142" s="189" t="str">
        <f>VLOOKUP(A142,'Trips&amp;Operators'!$C$1:$G$99911,5,FALSE)</f>
        <v>ELBAUM MIKE</v>
      </c>
      <c r="M142" s="6">
        <f t="shared" si="61"/>
        <v>2.5972222218115348E-2</v>
      </c>
      <c r="N142" s="7">
        <f t="shared" si="58"/>
        <v>37.399999994086102</v>
      </c>
      <c r="O142" s="7"/>
      <c r="P142" s="7"/>
      <c r="Q142" s="22"/>
      <c r="R142" s="167"/>
      <c r="S142" s="217">
        <f t="shared" si="59"/>
        <v>1</v>
      </c>
      <c r="T142" s="175" t="str">
        <f t="shared" si="62"/>
        <v>Southbound</v>
      </c>
      <c r="U142" s="20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26" t="str">
        <f t="shared" si="63"/>
        <v>https://d0f6bd738d7f1b3e5a7ca70fe4ff75f0.us-east-1.aws.found.io/app/kibana#/discover/Steve-Slow-Train-Analysis-(2080s-and-2083s)?_g=(refreshInterval:(display:Off,pause:!f,section:0,value:0),time:(from:'2017-09-14T19:37:38-0600',mode:absolute,to:'2017-09-14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210" t="str">
        <f>IF(AA142&lt;VLOOKUP(AG142,Variables!$AC$3:$AD$8,2,FALSE),"Y","N")</f>
        <v>N</v>
      </c>
      <c r="X142" s="210">
        <f t="shared" si="64"/>
        <v>1</v>
      </c>
      <c r="Y142" s="210">
        <f t="shared" si="56"/>
        <v>23.2973</v>
      </c>
      <c r="Z142" s="210">
        <f t="shared" si="57"/>
        <v>1.41E-2</v>
      </c>
      <c r="AA142" s="210">
        <f t="shared" si="65"/>
        <v>23.283200000000001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83">
        <f t="shared" si="66"/>
        <v>226</v>
      </c>
      <c r="AE142" s="77" t="str">
        <f t="shared" si="67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42" s="74" t="str">
        <f t="shared" si="68"/>
        <v>"C:\Program Files (x86)\AstroGrep\AstroGrep.exe" /e /r /s /spath="%USERPROFILE%\AppData\Local\Temp\OnboardLogs" /stypes="app*4029*20170915*" /stext=" 03:.+((SYSTEM_STATE.+slice.+state.+changed )|(ment ac)|(multiple cpu faults)|(system.+state.+changed )|(\[timeout)|(PRM\|1\|D)|(kpr)|(kdp)|(train st.+moving)|(\|lc)|(penalty))"</v>
      </c>
      <c r="AG142" s="186" t="str">
        <f t="shared" si="69"/>
        <v>EC</v>
      </c>
      <c r="AH142" s="78" t="str">
        <f t="shared" si="41"/>
        <v>"%USERPROFILE%\Documents\GitHub\eaglep3\Utilities\RefineRTDCRunTimes.py" --tripid 226-14 --locoid 4029 --swversion DE.1.0.9.0 --startMP 204:232973 --initTime 2017-09-14T20:37:38 --startdatetime 2017-09-14T20:57:35 --delay 65 --endMP 204:141 --enddatetime 2017-09-14T21:34:59 --enforcementcount 1 &gt;&gt;C:\Users\stu\Documents\GitHub\eaglep3-reporting\EC\2017-09-14-refined-times.txt</v>
      </c>
      <c r="AI142" s="96" t="str">
        <f t="shared" si="42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ID","value":"226-14"},{"id":16,"name":"Locomotive ID","value":"4029"},{"id":130,"name":"Impact","value":""},{"id":150,"name":"Time of Event (Mountain Time)","value":"21:34:59"},{"id":151,"name":"Denver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4029 --day 2017-09-14</v>
      </c>
      <c r="AN142" s="151" t="str">
        <f t="shared" si="44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792</v>
      </c>
      <c r="B143" s="7">
        <v>4032</v>
      </c>
      <c r="C143" s="21" t="s">
        <v>197</v>
      </c>
      <c r="D143" s="21" t="s">
        <v>553</v>
      </c>
      <c r="E143" s="13">
        <v>42992.838321759256</v>
      </c>
      <c r="F143" s="13">
        <v>42992.854375000003</v>
      </c>
      <c r="G143" s="7">
        <v>82</v>
      </c>
      <c r="H143" s="21" t="s">
        <v>884</v>
      </c>
      <c r="I143" s="13">
        <v>42992.879189814812</v>
      </c>
      <c r="J143" s="7">
        <v>1</v>
      </c>
      <c r="K143" s="89" t="str">
        <f t="shared" si="60"/>
        <v>4031/4032</v>
      </c>
      <c r="L143" s="189" t="str">
        <f>VLOOKUP(A143,'Trips&amp;Operators'!$C$1:$G$99911,5,FALSE)</f>
        <v>PERKINS DARREN</v>
      </c>
      <c r="M143" s="6">
        <f t="shared" si="61"/>
        <v>2.4814814809360541E-2</v>
      </c>
      <c r="N143" s="7">
        <f t="shared" si="58"/>
        <v>35.73333332547918</v>
      </c>
      <c r="O143" s="7"/>
      <c r="P143" s="7"/>
      <c r="Q143" s="22"/>
      <c r="R143" s="167"/>
      <c r="S143" s="217">
        <f t="shared" si="59"/>
        <v>1</v>
      </c>
      <c r="T143" s="175" t="str">
        <f t="shared" si="62"/>
        <v>NorthBound</v>
      </c>
      <c r="U143" s="20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26" t="str">
        <f t="shared" si="63"/>
        <v>https://d0f6bd738d7f1b3e5a7ca70fe4ff75f0.us-east-1.aws.found.io/app/kibana#/discover/Steve-Slow-Train-Analysis-(2080s-and-2083s)?_g=(refreshInterval:(display:Off,pause:!f,section:0,value:0),time:(from:'2017-09-14T19:07:11-0600',mode:absolute,to:'2017-09-14T22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210" t="str">
        <f>IF(AA143&lt;VLOOKUP(AG143,Variables!$AC$3:$AD$8,2,FALSE),"Y","N")</f>
        <v>N</v>
      </c>
      <c r="X143" s="210">
        <f t="shared" si="64"/>
        <v>1</v>
      </c>
      <c r="Y143" s="210">
        <f t="shared" si="56"/>
        <v>4.2900000000000001E-2</v>
      </c>
      <c r="Z143" s="210">
        <f t="shared" si="57"/>
        <v>23.335100000000001</v>
      </c>
      <c r="AA143" s="210">
        <f t="shared" si="65"/>
        <v>23.292200000000001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83">
        <f t="shared" si="66"/>
        <v>227</v>
      </c>
      <c r="AE143" s="77" t="str">
        <f t="shared" si="67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143" s="74" t="str">
        <f t="shared" si="68"/>
        <v>"C:\Program Files (x86)\AstroGrep\AstroGrep.exe" /e /r /s /spath="%USERPROFILE%\AppData\Local\Temp\OnboardLogs" /stypes="app*4032*20170915*" /stext=" 03:.+((SYSTEM_STATE.+slice.+state.+changed )|(ment ac)|(multiple cpu faults)|(system.+state.+changed )|(\[timeout)|(PRM\|1\|D)|(kpr)|(kdp)|(train st.+moving)|(\|lc)|(penalty))"</v>
      </c>
      <c r="AG143" s="186" t="str">
        <f t="shared" si="69"/>
        <v>EC</v>
      </c>
      <c r="AH143" s="78" t="str">
        <f t="shared" ref="AH143:AH210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227-14 --locoid 4032 --swversion DE.1.0.9.0 --startMP 204:429 --initTime 2017-09-14T20:07:11 --startdatetime 2017-09-14T20:30:18 --delay 82 --endMP 204:233351 --enddatetime 2017-09-14T21:06:02 --enforcementcount 1 &gt;&gt;C:\Users\stu\Documents\GitHub\eaglep3-reporting\EC\2017-09-14-refined-times.txt</v>
      </c>
      <c r="AI143" s="96" t="str">
        <f t="shared" ref="AI143:AI210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{"issue":{"subject":"","project_id":79,"tracker_id":40,"status_id":1,"priority_id":2,"assigned_to_id":338,"start_date":"2017-09-14","description":"","custom_fields":[{"id":1,"name":"Subdivision","value":"EC"},{"id":4,"name":"Milepost","value":"23.3351"},{"id":17,"name":"Train ID","value":"227-14"},{"id":16,"name":"Locomotive ID","value":"4032"},{"id":130,"name":"Impact","value":""},{"id":150,"name":"Time of Event (Mountain Time)","value":"21:06:02"},{"id":151,"name":"Denver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10" si="72">"start /low /b "&amp;dls3logs&amp;" --loco "&amp;B143&amp;" --day "&amp;TEXT(F143,"YYYY-MM-DD")</f>
        <v>start /low /b %USERPROFILE%\Documents\GitHub\eaglep3\Utilities\DownloadLogsFromS3.py --loco 4032 --day 2017-09-14</v>
      </c>
      <c r="AN143" s="151" t="str">
        <f t="shared" ref="AN143:AN210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799</v>
      </c>
      <c r="B144" s="7">
        <v>4031</v>
      </c>
      <c r="C144" s="21" t="s">
        <v>197</v>
      </c>
      <c r="D144" s="21" t="s">
        <v>539</v>
      </c>
      <c r="E144" s="13">
        <v>42992.884502314817</v>
      </c>
      <c r="F144" s="13">
        <v>42992.894050925926</v>
      </c>
      <c r="G144" s="7">
        <v>86</v>
      </c>
      <c r="H144" s="21" t="s">
        <v>885</v>
      </c>
      <c r="I144" s="13">
        <v>42992.920081018521</v>
      </c>
      <c r="J144" s="7">
        <v>1</v>
      </c>
      <c r="K144" s="89" t="str">
        <f t="shared" si="60"/>
        <v>4031/4032</v>
      </c>
      <c r="L144" s="189" t="str">
        <f>VLOOKUP(A144,'Trips&amp;Operators'!$C$1:$G$99911,5,FALSE)</f>
        <v>PERKINS DARREN</v>
      </c>
      <c r="M144" s="6">
        <f t="shared" si="61"/>
        <v>2.6030092594737653E-2</v>
      </c>
      <c r="N144" s="7">
        <f t="shared" si="58"/>
        <v>37.48333333642222</v>
      </c>
      <c r="O144" s="7"/>
      <c r="P144" s="7"/>
      <c r="Q144" s="22"/>
      <c r="R144" s="167"/>
      <c r="S144" s="217">
        <f t="shared" si="59"/>
        <v>1</v>
      </c>
      <c r="T144" s="175" t="str">
        <f t="shared" si="62"/>
        <v>Southbound</v>
      </c>
      <c r="U144" s="20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26" t="str">
        <f t="shared" si="63"/>
        <v>https://d0f6bd738d7f1b3e5a7ca70fe4ff75f0.us-east-1.aws.found.io/app/kibana#/discover/Steve-Slow-Train-Analysis-(2080s-and-2083s)?_g=(refreshInterval:(display:Off,pause:!f,section:0,value:0),time:(from:'2017-09-14T20:13:41-0600',mode:absolute,to:'2017-09-14T23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210" t="str">
        <f>IF(AA144&lt;VLOOKUP(AG144,Variables!$AC$3:$AD$8,2,FALSE),"Y","N")</f>
        <v>N</v>
      </c>
      <c r="X144" s="210">
        <f t="shared" si="64"/>
        <v>1</v>
      </c>
      <c r="Y144" s="210">
        <f t="shared" si="56"/>
        <v>23.304200000000002</v>
      </c>
      <c r="Z144" s="210">
        <f t="shared" si="57"/>
        <v>1.21E-2</v>
      </c>
      <c r="AA144" s="210">
        <f t="shared" si="65"/>
        <v>23.292100000000001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83">
        <f t="shared" si="66"/>
        <v>228</v>
      </c>
      <c r="AE144" s="77" t="str">
        <f t="shared" si="67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144" s="74" t="str">
        <f t="shared" si="68"/>
        <v>"C:\Program Files (x86)\AstroGrep\AstroGrep.exe" /e /r /s /spath="%USERPROFILE%\AppData\Local\Temp\OnboardLogs" /stypes="app*4031*20170915*" /stext=" 04:.+((SYSTEM_STATE.+slice.+state.+changed )|(ment ac)|(multiple cpu faults)|(system.+state.+changed )|(\[timeout)|(PRM\|1\|D)|(kpr)|(kdp)|(train st.+moving)|(\|lc)|(penalty))"</v>
      </c>
      <c r="AG144" s="186" t="str">
        <f t="shared" si="69"/>
        <v>EC</v>
      </c>
      <c r="AH144" s="78" t="str">
        <f t="shared" si="70"/>
        <v>"%USERPROFILE%\Documents\GitHub\eaglep3\Utilities\RefineRTDCRunTimes.py" --tripid 228-14 --locoid 4031 --swversion DE.1.0.9.0 --startMP 204:233042 --initTime 2017-09-14T21:13:41 --startdatetime 2017-09-14T21:27:26 --delay 86 --endMP 204:121 --enddatetime 2017-09-14T22:04:55 --enforcementcount 1 &gt;&gt;C:\Users\stu\Documents\GitHub\eaglep3-reporting\EC\2017-09-14-refined-times.txt</v>
      </c>
      <c r="AI144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{"issue":{"subject":"","project_id":79,"tracker_id":40,"status_id":1,"priority_id":2,"assigned_to_id":338,"start_date":"2017-09-14","description":"","custom_fields":[{"id":1,"name":"Subdivision","value":"EC"},{"id":4,"name":"Milepost","value":"0.0121"},{"id":17,"name":"Train ID","value":"228-14"},{"id":16,"name":"Locomotive ID","value":"4031"},{"id":130,"name":"Impact","value":""},{"id":150,"name":"Time of Event (Mountain Time)","value":"22:04:55"},{"id":151,"name":"Denver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4031 --day 2017-09-14</v>
      </c>
      <c r="AN144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796</v>
      </c>
      <c r="B145" s="7">
        <v>4004</v>
      </c>
      <c r="C145" s="21" t="s">
        <v>197</v>
      </c>
      <c r="D145" s="21" t="s">
        <v>341</v>
      </c>
      <c r="E145" s="13">
        <v>42992.872418981482</v>
      </c>
      <c r="F145" s="13">
        <v>42992.875173611108</v>
      </c>
      <c r="G145" s="7">
        <v>65</v>
      </c>
      <c r="H145" s="21" t="s">
        <v>449</v>
      </c>
      <c r="I145" s="13">
        <v>42992.899976851855</v>
      </c>
      <c r="J145" s="7">
        <v>1</v>
      </c>
      <c r="K145" s="89" t="str">
        <f t="shared" si="60"/>
        <v>4003/4004</v>
      </c>
      <c r="L145" s="189" t="str">
        <f>VLOOKUP(A145,'Trips&amp;Operators'!$C$1:$G$99911,5,FALSE)</f>
        <v>HART KEVIN</v>
      </c>
      <c r="M145" s="6">
        <f t="shared" si="61"/>
        <v>2.4803240747132804E-2</v>
      </c>
      <c r="N145" s="7">
        <f t="shared" si="58"/>
        <v>35.716666675871238</v>
      </c>
      <c r="O145" s="7"/>
      <c r="P145" s="7"/>
      <c r="Q145" s="22"/>
      <c r="R145" s="167"/>
      <c r="S145" s="217">
        <f t="shared" si="59"/>
        <v>1</v>
      </c>
      <c r="T145" s="175" t="str">
        <f t="shared" si="62"/>
        <v>NorthBound</v>
      </c>
      <c r="U145" s="20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26" t="str">
        <f t="shared" si="63"/>
        <v>https://d0f6bd738d7f1b3e5a7ca70fe4ff75f0.us-east-1.aws.found.io/app/kibana#/discover/Steve-Slow-Train-Analysis-(2080s-and-2083s)?_g=(refreshInterval:(display:Off,pause:!f,section:0,value:0),time:(from:'2017-09-14T19:56:17-0600',mode:absolute,to:'2017-09-14T22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5" s="210" t="str">
        <f>IF(AA145&lt;VLOOKUP(AG145,Variables!$AC$3:$AD$8,2,FALSE),"Y","N")</f>
        <v>N</v>
      </c>
      <c r="X145" s="210">
        <f t="shared" si="64"/>
        <v>1</v>
      </c>
      <c r="Y145" s="210">
        <f t="shared" si="56"/>
        <v>4.53E-2</v>
      </c>
      <c r="Z145" s="210">
        <f t="shared" si="57"/>
        <v>23.3307</v>
      </c>
      <c r="AA145" s="210">
        <f t="shared" si="65"/>
        <v>23.285399999999999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83">
        <f t="shared" si="66"/>
        <v>229</v>
      </c>
      <c r="AE145" s="77" t="str">
        <f t="shared" si="67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145" s="74" t="str">
        <f t="shared" si="68"/>
        <v>"C:\Program Files (x86)\AstroGrep\AstroGrep.exe" /e /r /s /spath="%USERPROFILE%\AppData\Local\Temp\OnboardLogs" /stypes="app*4004*20170915*" /stext=" 03:.+((SYSTEM_STATE.+slice.+state.+changed )|(ment ac)|(multiple cpu faults)|(system.+state.+changed )|(\[timeout)|(PRM\|1\|D)|(kpr)|(kdp)|(train st.+moving)|(\|lc)|(penalty))"</v>
      </c>
      <c r="AG145" s="186" t="str">
        <f t="shared" si="69"/>
        <v>EC</v>
      </c>
      <c r="AH145" s="78" t="str">
        <f t="shared" si="70"/>
        <v>"%USERPROFILE%\Documents\GitHub\eaglep3\Utilities\RefineRTDCRunTimes.py" --tripid 229-14 --locoid 4004 --swversion DE.1.0.9.0 --startMP 204:453 --initTime 2017-09-14T20:56:17 --startdatetime 2017-09-14T21:00:15 --delay 65 --endMP 204:233307 --enddatetime 2017-09-14T21:35:58 --enforcementcount 1 &gt;&gt;C:\Users\stu\Documents\GitHub\eaglep3-reporting\EC\2017-09-14-refined-times.txt</v>
      </c>
      <c r="AI145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{"issue":{"subject":"","project_id":79,"tracker_id":40,"status_id":1,"priority_id":2,"assigned_to_id":338,"start_date":"2017-09-14","description":"","custom_fields":[{"id":1,"name":"Subdivision","value":"EC"},{"id":4,"name":"Milepost","value":"23.3307"},{"id":17,"name":"Train ID","value":"229-14"},{"id":16,"name":"Locomotive ID","value":"4004"},{"id":130,"name":"Impact","value":""},{"id":150,"name":"Time of Event (Mountain Time)","value":"21:35:58"},{"id":151,"name":"Denver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4004 --day 2017-09-14</v>
      </c>
      <c r="AN145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802</v>
      </c>
      <c r="B146" s="7">
        <v>4003</v>
      </c>
      <c r="C146" s="21" t="s">
        <v>197</v>
      </c>
      <c r="D146" s="21" t="s">
        <v>341</v>
      </c>
      <c r="E146" s="13">
        <v>42992.872418981482</v>
      </c>
      <c r="F146" s="13">
        <v>42992.914803240739</v>
      </c>
      <c r="G146" s="7">
        <v>65</v>
      </c>
      <c r="H146" s="21" t="s">
        <v>449</v>
      </c>
      <c r="I146" s="13">
        <v>42992.939884259256</v>
      </c>
      <c r="J146" s="7">
        <v>1</v>
      </c>
      <c r="K146" s="89" t="str">
        <f t="shared" si="60"/>
        <v>4003/4004</v>
      </c>
      <c r="L146" s="189" t="str">
        <f>VLOOKUP(A146,'Trips&amp;Operators'!$C$1:$G$99911,5,FALSE)</f>
        <v>HART KEVIN</v>
      </c>
      <c r="M146" s="6">
        <f t="shared" si="61"/>
        <v>2.5081018517084885E-2</v>
      </c>
      <c r="N146" s="7">
        <f t="shared" si="58"/>
        <v>36.116666664602235</v>
      </c>
      <c r="O146" s="7"/>
      <c r="P146" s="7"/>
      <c r="Q146" s="22"/>
      <c r="R146" s="167"/>
      <c r="S146" s="217">
        <f t="shared" si="59"/>
        <v>1</v>
      </c>
      <c r="T146" s="175" t="str">
        <f t="shared" si="62"/>
        <v>Southbound</v>
      </c>
      <c r="U146" s="20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26" t="str">
        <f t="shared" si="63"/>
        <v>https://d0f6bd738d7f1b3e5a7ca70fe4ff75f0.us-east-1.aws.found.io/app/kibana#/discover/Steve-Slow-Train-Analysis-(2080s-and-2083s)?_g=(refreshInterval:(display:Off,pause:!f,section:0,value:0),time:(from:'2017-09-14T19:56:17-0600',mode:absolute,to:'2017-09-14T23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210" t="str">
        <f>IF(AA146&lt;VLOOKUP(AG146,Variables!$AC$3:$AD$8,2,FALSE),"Y","N")</f>
        <v>N</v>
      </c>
      <c r="X146" s="210">
        <f t="shared" si="64"/>
        <v>1</v>
      </c>
      <c r="Y146" s="210">
        <v>23.304200000000002</v>
      </c>
      <c r="Z146" s="210">
        <v>1.21E-2</v>
      </c>
      <c r="AA146" s="210">
        <f t="shared" si="65"/>
        <v>23.292100000000001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83">
        <f t="shared" si="66"/>
        <v>230</v>
      </c>
      <c r="AE146" s="77" t="str">
        <f t="shared" si="67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46" s="74" t="str">
        <f t="shared" si="68"/>
        <v>"C:\Program Files (x86)\AstroGrep\AstroGrep.exe" /e /r /s /spath="%USERPROFILE%\AppData\Local\Temp\OnboardLogs" /stypes="app*4003*20170915*" /stext=" 04:.+((SYSTEM_STATE.+slice.+state.+changed )|(ment ac)|(multiple cpu faults)|(system.+state.+changed )|(\[timeout)|(PRM\|1\|D)|(kpr)|(kdp)|(train st.+moving)|(\|lc)|(penalty))"</v>
      </c>
      <c r="AG146" s="186" t="str">
        <f t="shared" si="69"/>
        <v>EC</v>
      </c>
      <c r="AH146" s="78" t="str">
        <f t="shared" ref="AH146" si="74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230-14 --locoid 4003 --swversion DE.1.0.9.0 --startMP 204:453 --initTime 2017-09-14T20:56:17 --startdatetime 2017-09-14T21:57:19 --delay 65 --endMP 204:233307 --enddatetime 2017-09-14T22:33:26 --enforcementcount 1 &gt;&gt;C:\Users\stu\Documents\GitHub\eaglep3-reporting\EC\2017-09-14-refined-times.txt</v>
      </c>
      <c r="AI146" s="96" t="str">
        <f t="shared" ref="AI146" si="75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{"issue":{"subject":"","project_id":79,"tracker_id":40,"status_id":1,"priority_id":2,"assigned_to_id":338,"start_date":"2017-09-14","description":"","custom_fields":[{"id":1,"name":"Subdivision","value":"EC"},{"id":4,"name":"Milepost","value":"0.0121"},{"id":17,"name":"Train ID","value":"230-14"},{"id":16,"name":"Locomotive ID","value":"4003"},{"id":130,"name":"Impact","value":""},{"id":150,"name":"Time of Event (Mountain Time)","value":"22:33:26"},{"id":151,"name":"Denver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ref="AM146" si="76">"start /low /b "&amp;dls3logs&amp;" --loco "&amp;B146&amp;" --day "&amp;TEXT(F146,"YYYY-MM-DD")</f>
        <v>start /low /b %USERPROFILE%\Documents\GitHub\eaglep3\Utilities\DownloadLogsFromS3.py --loco 4003 --day 2017-09-14</v>
      </c>
      <c r="AN146" s="151" t="str">
        <f t="shared" ref="AN146" si="77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798</v>
      </c>
      <c r="B147" s="7">
        <v>4058</v>
      </c>
      <c r="C147" s="21" t="s">
        <v>197</v>
      </c>
      <c r="D147" s="21" t="s">
        <v>421</v>
      </c>
      <c r="E147" s="13">
        <v>42992.884201388886</v>
      </c>
      <c r="F147" s="13">
        <v>42992.896053240744</v>
      </c>
      <c r="G147" s="7">
        <v>67</v>
      </c>
      <c r="H147" s="21" t="s">
        <v>886</v>
      </c>
      <c r="I147" s="13">
        <v>42992.920648148145</v>
      </c>
      <c r="J147" s="7">
        <v>1</v>
      </c>
      <c r="K147" s="89" t="str">
        <f t="shared" si="60"/>
        <v>4057/4058</v>
      </c>
      <c r="L147" s="189" t="str">
        <f>VLOOKUP(A147,'Trips&amp;Operators'!$C$1:$G$99911,5,FALSE)</f>
        <v>LOZA FIDEL</v>
      </c>
      <c r="M147" s="6">
        <f t="shared" si="61"/>
        <v>2.4594907401478849E-2</v>
      </c>
      <c r="N147" s="7">
        <f t="shared" si="58"/>
        <v>35.416666658129543</v>
      </c>
      <c r="O147" s="7"/>
      <c r="P147" s="7"/>
      <c r="Q147" s="22"/>
      <c r="R147" s="167"/>
      <c r="S147" s="217">
        <f t="shared" si="59"/>
        <v>1</v>
      </c>
      <c r="T147" s="175" t="str">
        <f t="shared" si="62"/>
        <v>NorthBound</v>
      </c>
      <c r="U147" s="20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26" t="str">
        <f t="shared" si="63"/>
        <v>https://d0f6bd738d7f1b3e5a7ca70fe4ff75f0.us-east-1.aws.found.io/app/kibana#/discover/Steve-Slow-Train-Analysis-(2080s-and-2083s)?_g=(refreshInterval:(display:Off,pause:!f,section:0,value:0),time:(from:'2017-09-14T20:13:15-0600',mode:absolute,to:'2017-09-14T23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7" s="210" t="str">
        <f>IF(AA147&lt;VLOOKUP(AG147,Variables!$AC$3:$AD$8,2,FALSE),"Y","N")</f>
        <v>N</v>
      </c>
      <c r="X147" s="210">
        <f t="shared" si="64"/>
        <v>1</v>
      </c>
      <c r="Y147" s="210">
        <f t="shared" ref="Y147:Y165" si="78">RIGHT(D147,LEN(D147)-4)/10000</f>
        <v>4.6199999999999998E-2</v>
      </c>
      <c r="Z147" s="210">
        <f t="shared" ref="Z147:Z165" si="79">RIGHT(H147,LEN(H147)-4)/10000</f>
        <v>23.334499999999998</v>
      </c>
      <c r="AA147" s="210">
        <f t="shared" si="65"/>
        <v>23.2883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83">
        <f t="shared" si="66"/>
        <v>231</v>
      </c>
      <c r="AE147" s="77" t="str">
        <f t="shared" si="67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47" s="74" t="str">
        <f t="shared" si="68"/>
        <v>"C:\Program Files (x86)\AstroGrep\AstroGrep.exe" /e /r /s /spath="%USERPROFILE%\AppData\Local\Temp\OnboardLogs" /stypes="app*4058*20170915*" /stext=" 04:.+((SYSTEM_STATE.+slice.+state.+changed )|(ment ac)|(multiple cpu faults)|(system.+state.+changed )|(\[timeout)|(PRM\|1\|D)|(kpr)|(kdp)|(train st.+moving)|(\|lc)|(penalty))"</v>
      </c>
      <c r="AG147" s="186" t="str">
        <f t="shared" si="69"/>
        <v>EC</v>
      </c>
      <c r="AH147" s="78" t="str">
        <f t="shared" si="70"/>
        <v>"%USERPROFILE%\Documents\GitHub\eaglep3\Utilities\RefineRTDCRunTimes.py" --tripid 231-14 --locoid 4058 --swversion DE.1.0.9.0 --startMP 204:462 --initTime 2017-09-14T21:13:15 --startdatetime 2017-09-14T21:30:19 --delay 67 --endMP 204:233345 --enddatetime 2017-09-14T22:05:44 --enforcementcount 1 &gt;&gt;C:\Users\stu\Documents\GitHub\eaglep3-reporting\EC\2017-09-14-refined-times.txt</v>
      </c>
      <c r="AI147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{"issue":{"subject":"","project_id":79,"tracker_id":40,"status_id":1,"priority_id":2,"assigned_to_id":338,"start_date":"2017-09-14","description":"","custom_fields":[{"id":1,"name":"Subdivision","value":"EC"},{"id":4,"name":"Milepost","value":"23.3345"},{"id":17,"name":"Train ID","value":"231-14"},{"id":16,"name":"Locomotive ID","value":"4058"},{"id":130,"name":"Impact","value":""},{"id":150,"name":"Time of Event (Mountain Time)","value":"22:05:44"},{"id":151,"name":"Denver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4058 --day 2017-09-14</v>
      </c>
      <c r="AN147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805</v>
      </c>
      <c r="B148" s="7">
        <v>4057</v>
      </c>
      <c r="C148" s="21" t="s">
        <v>197</v>
      </c>
      <c r="D148" s="21" t="s">
        <v>850</v>
      </c>
      <c r="E148" s="13">
        <v>42992.933553240742</v>
      </c>
      <c r="F148" s="13">
        <v>42992.935717592591</v>
      </c>
      <c r="G148" s="7">
        <v>57</v>
      </c>
      <c r="H148" s="21" t="s">
        <v>383</v>
      </c>
      <c r="I148" s="13">
        <v>42992.960636574076</v>
      </c>
      <c r="J148" s="7">
        <v>1</v>
      </c>
      <c r="K148" s="89" t="str">
        <f t="shared" si="60"/>
        <v>4057/4058</v>
      </c>
      <c r="L148" s="189" t="str">
        <f>VLOOKUP(A148,'Trips&amp;Operators'!$C$1:$G$99911,5,FALSE)</f>
        <v>LOZA FIDEL</v>
      </c>
      <c r="M148" s="6">
        <f t="shared" si="61"/>
        <v>2.4918981485825498E-2</v>
      </c>
      <c r="N148" s="7">
        <f t="shared" si="58"/>
        <v>35.883333339588717</v>
      </c>
      <c r="O148" s="7"/>
      <c r="P148" s="7"/>
      <c r="Q148" s="22"/>
      <c r="R148" s="167"/>
      <c r="S148" s="217">
        <f t="shared" si="59"/>
        <v>1</v>
      </c>
      <c r="T148" s="175" t="str">
        <f t="shared" si="62"/>
        <v>Southbound</v>
      </c>
      <c r="U148" s="20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26" t="str">
        <f t="shared" si="63"/>
        <v>https://d0f6bd738d7f1b3e5a7ca70fe4ff75f0.us-east-1.aws.found.io/app/kibana#/discover/Steve-Slow-Train-Analysis-(2080s-and-2083s)?_g=(refreshInterval:(display:Off,pause:!f,section:0,value:0),time:(from:'2017-09-14T21:24:19-0600',mode:absolute,to:'2017-09-15T00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8" s="210" t="str">
        <f>IF(AA148&lt;VLOOKUP(AG148,Variables!$AC$3:$AD$8,2,FALSE),"Y","N")</f>
        <v>N</v>
      </c>
      <c r="X148" s="210">
        <f t="shared" si="64"/>
        <v>1</v>
      </c>
      <c r="Y148" s="210">
        <f t="shared" si="78"/>
        <v>23.299199999999999</v>
      </c>
      <c r="Z148" s="210">
        <f t="shared" si="79"/>
        <v>1.5800000000000002E-2</v>
      </c>
      <c r="AA148" s="210">
        <f t="shared" si="65"/>
        <v>23.2834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83">
        <f t="shared" si="66"/>
        <v>232</v>
      </c>
      <c r="AE148" s="77" t="str">
        <f t="shared" si="67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148" s="74" t="str">
        <f t="shared" si="68"/>
        <v>"C:\Program Files (x86)\AstroGrep\AstroGrep.exe" /e /r /s /spath="%USERPROFILE%\AppData\Local\Temp\OnboardLogs" /stypes="app*4057*20170915*" /stext=" 05:.+((SYSTEM_STATE.+slice.+state.+changed )|(ment ac)|(multiple cpu faults)|(system.+state.+changed )|(\[timeout)|(PRM\|1\|D)|(kpr)|(kdp)|(train st.+moving)|(\|lc)|(penalty))"</v>
      </c>
      <c r="AG148" s="186" t="str">
        <f t="shared" si="69"/>
        <v>EC</v>
      </c>
      <c r="AH148" s="78" t="str">
        <f t="shared" si="70"/>
        <v>"%USERPROFILE%\Documents\GitHub\eaglep3\Utilities\RefineRTDCRunTimes.py" --tripid 232-14 --locoid 4057 --swversion DE.1.0.9.0 --startMP 204:232992 --initTime 2017-09-14T22:24:19 --startdatetime 2017-09-14T22:27:26 --delay 57 --endMP 204:158 --enddatetime 2017-09-14T23:03:19 --enforcementcount 1 &gt;&gt;C:\Users\stu\Documents\GitHub\eaglep3-reporting\EC\2017-09-14-refined-times.txt</v>
      </c>
      <c r="AI148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{"issue":{"subject":"","project_id":79,"tracker_id":40,"status_id":1,"priority_id":2,"assigned_to_id":338,"start_date":"2017-09-14","description":"","custom_fields":[{"id":1,"name":"Subdivision","value":"EC"},{"id":4,"name":"Milepost","value":"0.0158"},{"id":17,"name":"Train ID","value":"232-14"},{"id":16,"name":"Locomotive ID","value":"4057"},{"id":130,"name":"Impact","value":""},{"id":150,"name":"Time of Event (Mountain Time)","value":"23:03:19"},{"id":151,"name":"Denver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4057 --day 2017-09-14</v>
      </c>
      <c r="AN148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801</v>
      </c>
      <c r="B149" s="7">
        <v>4030</v>
      </c>
      <c r="C149" s="21" t="s">
        <v>197</v>
      </c>
      <c r="D149" s="21" t="s">
        <v>350</v>
      </c>
      <c r="E149" s="13">
        <v>42992.90042824074</v>
      </c>
      <c r="F149" s="13">
        <v>42992.916828703703</v>
      </c>
      <c r="G149" s="7">
        <v>51</v>
      </c>
      <c r="H149" s="21" t="s">
        <v>873</v>
      </c>
      <c r="I149" s="13">
        <v>42992.941261574073</v>
      </c>
      <c r="J149" s="7">
        <v>1</v>
      </c>
      <c r="K149" s="89" t="str">
        <f t="shared" si="60"/>
        <v>4029/4030</v>
      </c>
      <c r="L149" s="189" t="str">
        <f>VLOOKUP(A149,'Trips&amp;Operators'!$C$1:$G$99911,5,FALSE)</f>
        <v>ELBAUM MIKE</v>
      </c>
      <c r="M149" s="6">
        <f t="shared" si="61"/>
        <v>2.4432870370219462E-2</v>
      </c>
      <c r="N149" s="7">
        <f t="shared" si="58"/>
        <v>35.183333333116025</v>
      </c>
      <c r="O149" s="7"/>
      <c r="P149" s="7"/>
      <c r="Q149" s="22"/>
      <c r="R149" s="167"/>
      <c r="S149" s="217">
        <f t="shared" si="59"/>
        <v>1</v>
      </c>
      <c r="T149" s="175" t="str">
        <f t="shared" si="62"/>
        <v>NorthBound</v>
      </c>
      <c r="U149" s="20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26" t="str">
        <f t="shared" si="63"/>
        <v>https://d0f6bd738d7f1b3e5a7ca70fe4ff75f0.us-east-1.aws.found.io/app/kibana#/discover/Steve-Slow-Train-Analysis-(2080s-and-2083s)?_g=(refreshInterval:(display:Off,pause:!f,section:0,value:0),time:(from:'2017-09-14T20:36:37-0600',mode:absolute,to:'2017-09-14T23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210" t="str">
        <f>IF(AA149&lt;VLOOKUP(AG149,Variables!$AC$3:$AD$8,2,FALSE),"Y","N")</f>
        <v>N</v>
      </c>
      <c r="X149" s="210">
        <f t="shared" si="64"/>
        <v>1</v>
      </c>
      <c r="Y149" s="210">
        <f t="shared" si="78"/>
        <v>4.5499999999999999E-2</v>
      </c>
      <c r="Z149" s="210">
        <f t="shared" si="79"/>
        <v>23.329799999999999</v>
      </c>
      <c r="AA149" s="210">
        <f t="shared" si="65"/>
        <v>23.284299999999998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83">
        <f t="shared" si="66"/>
        <v>233</v>
      </c>
      <c r="AE149" s="77" t="str">
        <f t="shared" si="67"/>
        <v>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 &amp; 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</v>
      </c>
      <c r="AF149" s="74" t="str">
        <f t="shared" si="68"/>
        <v>"C:\Program Files (x86)\AstroGrep\AstroGrep.exe" /e /r /s /spath="%USERPROFILE%\AppData\Local\Temp\OnboardLogs" /stypes="app*4030*20170915*" /stext=" 04:.+((SYSTEM_STATE.+slice.+state.+changed )|(ment ac)|(multiple cpu faults)|(system.+state.+changed )|(\[timeout)|(PRM\|1\|D)|(kpr)|(kdp)|(train st.+moving)|(\|lc)|(penalty))"</v>
      </c>
      <c r="AG149" s="186" t="str">
        <f t="shared" si="69"/>
        <v>EC</v>
      </c>
      <c r="AH149" s="78" t="str">
        <f t="shared" si="70"/>
        <v>"%USERPROFILE%\Documents\GitHub\eaglep3\Utilities\RefineRTDCRunTimes.py" --tripid 233-14 --locoid 4030 --swversion DE.1.0.9.0 --startMP 204:455 --initTime 2017-09-14T21:36:37 --startdatetime 2017-09-14T22:00:14 --delay 51 --endMP 204:233298 --enddatetime 2017-09-14T22:35:25 --enforcementcount 1 &gt;&gt;C:\Users\stu\Documents\GitHub\eaglep3-reporting\EC\2017-09-14-refined-times.txt</v>
      </c>
      <c r="AI149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{"issue":{"subject":"","project_id":79,"tracker_id":40,"status_id":1,"priority_id":2,"assigned_to_id":338,"start_date":"2017-09-14","description":"","custom_fields":[{"id":1,"name":"Subdivision","value":"EC"},{"id":4,"name":"Milepost","value":"23.3298"},{"id":17,"name":"Train ID","value":"233-14"},{"id":16,"name":"Locomotive ID","value":"4030"},{"id":130,"name":"Impact","value":""},{"id":150,"name":"Time of Event (Mountain Time)","value":"22:35:25"},{"id":151,"name":"Denver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4030 --day 2017-09-14</v>
      </c>
      <c r="AN149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807</v>
      </c>
      <c r="B150" s="7">
        <v>4029</v>
      </c>
      <c r="C150" s="21" t="s">
        <v>197</v>
      </c>
      <c r="D150" s="21" t="s">
        <v>849</v>
      </c>
      <c r="E150" s="13">
        <v>42992.942326388889</v>
      </c>
      <c r="F150" s="13">
        <v>42992.956423611111</v>
      </c>
      <c r="G150" s="7">
        <v>63</v>
      </c>
      <c r="H150" s="21" t="s">
        <v>365</v>
      </c>
      <c r="I150" s="13">
        <v>42992.982592592591</v>
      </c>
      <c r="J150" s="7">
        <v>1</v>
      </c>
      <c r="K150" s="89" t="str">
        <f t="shared" si="60"/>
        <v>4029/4030</v>
      </c>
      <c r="L150" s="189" t="str">
        <f>VLOOKUP(A150,'Trips&amp;Operators'!$C$1:$G$99911,5,FALSE)</f>
        <v>ELBAUM MIKE</v>
      </c>
      <c r="M150" s="6">
        <f t="shared" si="61"/>
        <v>2.6168981479713693E-2</v>
      </c>
      <c r="N150" s="7">
        <f t="shared" si="58"/>
        <v>37.683333330787718</v>
      </c>
      <c r="O150" s="7"/>
      <c r="P150" s="7"/>
      <c r="Q150" s="22"/>
      <c r="R150" s="167"/>
      <c r="S150" s="217">
        <f t="shared" si="59"/>
        <v>1</v>
      </c>
      <c r="T150" s="175" t="str">
        <f t="shared" si="62"/>
        <v>Southbound</v>
      </c>
      <c r="U150" s="20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26" t="str">
        <f t="shared" si="63"/>
        <v>https://d0f6bd738d7f1b3e5a7ca70fe4ff75f0.us-east-1.aws.found.io/app/kibana#/discover/Steve-Slow-Train-Analysis-(2080s-and-2083s)?_g=(refreshInterval:(display:Off,pause:!f,section:0,value:0),time:(from:'2017-09-14T21:36:57-0600',mode:absolute,to:'2017-09-15T00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210" t="str">
        <f>IF(AA150&lt;VLOOKUP(AG150,Variables!$AC$3:$AD$8,2,FALSE),"Y","N")</f>
        <v>N</v>
      </c>
      <c r="X150" s="210">
        <f t="shared" si="64"/>
        <v>1</v>
      </c>
      <c r="Y150" s="210">
        <f t="shared" si="78"/>
        <v>23.297899999999998</v>
      </c>
      <c r="Z150" s="210">
        <f t="shared" si="79"/>
        <v>1.4500000000000001E-2</v>
      </c>
      <c r="AA150" s="210">
        <f t="shared" si="65"/>
        <v>23.283399999999997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83">
        <f t="shared" si="66"/>
        <v>234</v>
      </c>
      <c r="AE150" s="77" t="str">
        <f t="shared" si="67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150" s="74" t="str">
        <f t="shared" si="68"/>
        <v>"C:\Program Files (x86)\AstroGrep\AstroGrep.exe" /e /r /s /spath="%USERPROFILE%\AppData\Local\Temp\OnboardLogs" /stypes="app*4029*20170915*" /stext=" 05:.+((SYSTEM_STATE.+slice.+state.+changed )|(ment ac)|(multiple cpu faults)|(system.+state.+changed )|(\[timeout)|(PRM\|1\|D)|(kpr)|(kdp)|(train st.+moving)|(\|lc)|(penalty))"</v>
      </c>
      <c r="AG150" s="186" t="str">
        <f t="shared" si="69"/>
        <v>EC</v>
      </c>
      <c r="AH150" s="78" t="str">
        <f t="shared" si="70"/>
        <v>"%USERPROFILE%\Documents\GitHub\eaglep3\Utilities\RefineRTDCRunTimes.py" --tripid 234-14 --locoid 4029 --swversion DE.1.0.9.0 --startMP 204:232979 --initTime 2017-09-14T22:36:57 --startdatetime 2017-09-14T22:57:15 --delay 63 --endMP 204:145 --enddatetime 2017-09-14T23:34:56 --enforcementcount 1 &gt;&gt;C:\Users\stu\Documents\GitHub\eaglep3-reporting\EC\2017-09-14-refined-times.txt</v>
      </c>
      <c r="AI150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{"issue":{"subject":"","project_id":79,"tracker_id":40,"status_id":1,"priority_id":2,"assigned_to_id":338,"start_date":"2017-09-14","description":"","custom_fields":[{"id":1,"name":"Subdivision","value":"EC"},{"id":4,"name":"Milepost","value":"0.0145"},{"id":17,"name":"Train ID","value":"234-14"},{"id":16,"name":"Locomotive ID","value":"4029"},{"id":130,"name":"Impact","value":""},{"id":150,"name":"Time of Event (Mountain Time)","value":"23:34:56"},{"id":151,"name":"Denver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4029 --day 2017-09-14</v>
      </c>
      <c r="AN150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804</v>
      </c>
      <c r="B151" s="7">
        <v>4032</v>
      </c>
      <c r="C151" s="21" t="s">
        <v>197</v>
      </c>
      <c r="D151" s="21" t="s">
        <v>481</v>
      </c>
      <c r="E151" s="13">
        <v>42992.926238425927</v>
      </c>
      <c r="F151" s="13">
        <v>42992.937731481485</v>
      </c>
      <c r="G151" s="7">
        <v>59</v>
      </c>
      <c r="H151" s="21" t="s">
        <v>887</v>
      </c>
      <c r="I151" s="13">
        <v>42992.962025462963</v>
      </c>
      <c r="J151" s="7">
        <v>1</v>
      </c>
      <c r="K151" s="89" t="str">
        <f t="shared" si="60"/>
        <v>4031/4032</v>
      </c>
      <c r="L151" s="189" t="str">
        <f>VLOOKUP(A151,'Trips&amp;Operators'!$C$1:$G$99911,5,FALSE)</f>
        <v>PERKINS DARREN</v>
      </c>
      <c r="M151" s="6">
        <f t="shared" si="61"/>
        <v>2.4293981477967463E-2</v>
      </c>
      <c r="N151" s="7">
        <f t="shared" si="58"/>
        <v>34.983333328273147</v>
      </c>
      <c r="O151" s="7"/>
      <c r="P151" s="7"/>
      <c r="Q151" s="22"/>
      <c r="R151" s="167"/>
      <c r="S151" s="217">
        <f t="shared" si="59"/>
        <v>1</v>
      </c>
      <c r="T151" s="175" t="str">
        <f t="shared" si="62"/>
        <v>NorthBound</v>
      </c>
      <c r="U151" s="20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26" t="str">
        <f t="shared" si="63"/>
        <v>https://d0f6bd738d7f1b3e5a7ca70fe4ff75f0.us-east-1.aws.found.io/app/kibana#/discover/Steve-Slow-Train-Analysis-(2080s-and-2083s)?_g=(refreshInterval:(display:Off,pause:!f,section:0,value:0),time:(from:'2017-09-14T21:13:47-0600',mode:absolute,to:'2017-09-15T00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210" t="str">
        <f>IF(AA151&lt;VLOOKUP(AG151,Variables!$AC$3:$AD$8,2,FALSE),"Y","N")</f>
        <v>N</v>
      </c>
      <c r="X151" s="210">
        <f t="shared" si="64"/>
        <v>1</v>
      </c>
      <c r="Y151" s="210">
        <f t="shared" si="78"/>
        <v>4.3799999999999999E-2</v>
      </c>
      <c r="Z151" s="210">
        <f t="shared" si="79"/>
        <v>23.3355</v>
      </c>
      <c r="AA151" s="210">
        <f t="shared" si="65"/>
        <v>23.291699999999999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83">
        <f t="shared" si="66"/>
        <v>235</v>
      </c>
      <c r="AE151" s="77" t="str">
        <f t="shared" si="67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151" s="74" t="str">
        <f t="shared" si="68"/>
        <v>"C:\Program Files (x86)\AstroGrep\AstroGrep.exe" /e /r /s /spath="%USERPROFILE%\AppData\Local\Temp\OnboardLogs" /stypes="app*4032*20170915*" /stext=" 05:.+((SYSTEM_STATE.+slice.+state.+changed )|(ment ac)|(multiple cpu faults)|(system.+state.+changed )|(\[timeout)|(PRM\|1\|D)|(kpr)|(kdp)|(train st.+moving)|(\|lc)|(penalty))"</v>
      </c>
      <c r="AG151" s="186" t="str">
        <f t="shared" si="69"/>
        <v>EC</v>
      </c>
      <c r="AH151" s="78" t="str">
        <f t="shared" si="70"/>
        <v>"%USERPROFILE%\Documents\GitHub\eaglep3\Utilities\RefineRTDCRunTimes.py" --tripid 235-14 --locoid 4032 --swversion DE.1.0.9.0 --startMP 204:438 --initTime 2017-09-14T22:13:47 --startdatetime 2017-09-14T22:30:20 --delay 59 --endMP 204:233355 --enddatetime 2017-09-14T23:05:19 --enforcementcount 1 &gt;&gt;C:\Users\stu\Documents\GitHub\eaglep3-reporting\EC\2017-09-14-refined-times.txt</v>
      </c>
      <c r="AI151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{"issue":{"subject":"","project_id":79,"tracker_id":40,"status_id":1,"priority_id":2,"assigned_to_id":338,"start_date":"2017-09-14","description":"","custom_fields":[{"id":1,"name":"Subdivision","value":"EC"},{"id":4,"name":"Milepost","value":"23.3355"},{"id":17,"name":"Train ID","value":"235-14"},{"id":16,"name":"Locomotive ID","value":"4032"},{"id":130,"name":"Impact","value":""},{"id":150,"name":"Time of Event (Mountain Time)","value":"23:05:19"},{"id":151,"name":"Denver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4032 --day 2017-09-14</v>
      </c>
      <c r="AN151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810</v>
      </c>
      <c r="B152" s="7">
        <v>4031</v>
      </c>
      <c r="C152" s="21" t="s">
        <v>197</v>
      </c>
      <c r="D152" s="21" t="s">
        <v>862</v>
      </c>
      <c r="E152" s="13">
        <v>42992.963854166665</v>
      </c>
      <c r="F152" s="13">
        <v>42992.977280092593</v>
      </c>
      <c r="G152" s="7">
        <v>57</v>
      </c>
      <c r="H152" s="21" t="s">
        <v>1013</v>
      </c>
      <c r="I152" s="13">
        <v>42993.003182870372</v>
      </c>
      <c r="J152" s="7">
        <v>1</v>
      </c>
      <c r="K152" s="89" t="str">
        <f t="shared" si="60"/>
        <v>4031/4032</v>
      </c>
      <c r="L152" s="189" t="str">
        <f>VLOOKUP(A152,'Trips&amp;Operators'!$C$1:$G$99911,5,FALSE)</f>
        <v>PERKINS DARREN</v>
      </c>
      <c r="M152" s="6">
        <f t="shared" si="61"/>
        <v>2.5902777779265307E-2</v>
      </c>
      <c r="N152" s="7">
        <f t="shared" si="58"/>
        <v>37.300000002142042</v>
      </c>
      <c r="O152" s="7"/>
      <c r="P152" s="7"/>
      <c r="Q152" s="22"/>
      <c r="R152" s="167"/>
      <c r="S152" s="217">
        <f t="shared" si="59"/>
        <v>1</v>
      </c>
      <c r="T152" s="175" t="str">
        <f t="shared" si="62"/>
        <v>Southbound</v>
      </c>
      <c r="U152" s="20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26" t="str">
        <f t="shared" si="63"/>
        <v>https://d0f6bd738d7f1b3e5a7ca70fe4ff75f0.us-east-1.aws.found.io/app/kibana#/discover/Steve-Slow-Train-Analysis-(2080s-and-2083s)?_g=(refreshInterval:(display:Off,pause:!f,section:0,value:0),time:(from:'2017-09-14T22:07:57-0600',mode:absolute,to:'2017-09-15T01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210" t="str">
        <f>IF(AA152&lt;VLOOKUP(AG152,Variables!$AC$3:$AD$8,2,FALSE),"Y","N")</f>
        <v>N</v>
      </c>
      <c r="X152" s="210">
        <f t="shared" si="64"/>
        <v>1</v>
      </c>
      <c r="Y152" s="210">
        <f t="shared" si="78"/>
        <v>23.302499999999998</v>
      </c>
      <c r="Z152" s="210">
        <f t="shared" si="79"/>
        <v>1.29E-2</v>
      </c>
      <c r="AA152" s="210">
        <f t="shared" si="65"/>
        <v>23.2896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83">
        <f t="shared" si="66"/>
        <v>236</v>
      </c>
      <c r="AE152" s="77" t="str">
        <f t="shared" si="67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152" s="74" t="str">
        <f t="shared" si="68"/>
        <v>"C:\Program Files (x86)\AstroGrep\AstroGrep.exe" /e /r /s /spath="%USERPROFILE%\AppData\Local\Temp\OnboardLogs" /stypes="app*4031*20170915*" /stext=" 06:.+((SYSTEM_STATE.+slice.+state.+changed )|(ment ac)|(multiple cpu faults)|(system.+state.+changed )|(\[timeout)|(PRM\|1\|D)|(kpr)|(kdp)|(train st.+moving)|(\|lc)|(penalty))"</v>
      </c>
      <c r="AG152" s="186" t="str">
        <f t="shared" si="69"/>
        <v>EC</v>
      </c>
      <c r="AH152" s="78" t="str">
        <f t="shared" si="70"/>
        <v>"%USERPROFILE%\Documents\GitHub\eaglep3\Utilities\RefineRTDCRunTimes.py" --tripid 236-14 --locoid 4031 --swversion DE.1.0.9.0 --startMP 204:233025 --initTime 2017-09-14T23:07:57 --startdatetime 2017-09-14T23:27:17 --delay 57 --endMP 204:129 --enddatetime 2017-09-15T00:04:35 --enforcementcount 1 &gt;&gt;C:\Users\stu\Documents\GitHub\eaglep3-reporting\EC\2017-09-14-refined-times.txt</v>
      </c>
      <c r="AI152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{"issue":{"subject":"","project_id":79,"tracker_id":40,"status_id":1,"priority_id":2,"assigned_to_id":338,"start_date":"2017-09-15","description":"","custom_fields":[{"id":1,"name":"Subdivision","value":"EC"},{"id":4,"name":"Milepost","value":"0.0129"},{"id":17,"name":"Train ID","value":"236-14"},{"id":16,"name":"Locomotive ID","value":"4031"},{"id":130,"name":"Impact","value":""},{"id":150,"name":"Time of Event (Mountain Time)","value":"00:04:35"},{"id":151,"name":"Denver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4031 --day 2017-09-14</v>
      </c>
      <c r="AN152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06:04:35"},{"id":29,"name":"Sharepoint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808</v>
      </c>
      <c r="B153" s="7">
        <v>4004</v>
      </c>
      <c r="C153" s="21" t="s">
        <v>197</v>
      </c>
      <c r="D153" s="21" t="s">
        <v>399</v>
      </c>
      <c r="E153" s="13">
        <v>42992.955000000002</v>
      </c>
      <c r="F153" s="13">
        <v>42992.958553240744</v>
      </c>
      <c r="G153" s="7">
        <v>61</v>
      </c>
      <c r="H153" s="21" t="s">
        <v>454</v>
      </c>
      <c r="I153" s="13">
        <v>42992.982905092591</v>
      </c>
      <c r="J153" s="7">
        <v>1</v>
      </c>
      <c r="K153" s="89" t="str">
        <f t="shared" si="60"/>
        <v>4003/4004</v>
      </c>
      <c r="L153" s="189" t="str">
        <f>VLOOKUP(A153,'Trips&amp;Operators'!$C$1:$G$99911,5,FALSE)</f>
        <v>HART KEVIN</v>
      </c>
      <c r="M153" s="6">
        <f t="shared" si="61"/>
        <v>2.435185184731381E-2</v>
      </c>
      <c r="N153" s="7">
        <f t="shared" si="58"/>
        <v>35.066666660131887</v>
      </c>
      <c r="O153" s="7"/>
      <c r="P153" s="7"/>
      <c r="Q153" s="22"/>
      <c r="R153" s="167"/>
      <c r="S153" s="217">
        <f t="shared" si="59"/>
        <v>1</v>
      </c>
      <c r="T153" s="175" t="str">
        <f t="shared" si="62"/>
        <v>NorthBound</v>
      </c>
      <c r="U153" s="20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26" t="str">
        <f t="shared" si="63"/>
        <v>https://d0f6bd738d7f1b3e5a7ca70fe4ff75f0.us-east-1.aws.found.io/app/kibana#/discover/Steve-Slow-Train-Analysis-(2080s-and-2083s)?_g=(refreshInterval:(display:Off,pause:!f,section:0,value:0),time:(from:'2017-09-14T21:55:12-0600',mode:absolute,to:'2017-09-15T00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3" s="210" t="str">
        <f>IF(AA153&lt;VLOOKUP(AG153,Variables!$AC$3:$AD$8,2,FALSE),"Y","N")</f>
        <v>N</v>
      </c>
      <c r="X153" s="210">
        <f t="shared" si="64"/>
        <v>1</v>
      </c>
      <c r="Y153" s="210">
        <f t="shared" si="78"/>
        <v>4.3999999999999997E-2</v>
      </c>
      <c r="Z153" s="210">
        <f t="shared" si="79"/>
        <v>23.329699999999999</v>
      </c>
      <c r="AA153" s="210">
        <f t="shared" si="65"/>
        <v>23.285699999999999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83">
        <f t="shared" si="66"/>
        <v>237</v>
      </c>
      <c r="AE153" s="77" t="str">
        <f t="shared" si="67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153" s="74" t="str">
        <f t="shared" si="68"/>
        <v>"C:\Program Files (x86)\AstroGrep\AstroGrep.exe" /e /r /s /spath="%USERPROFILE%\AppData\Local\Temp\OnboardLogs" /stypes="app*4004*20170915*" /stext=" 05:.+((SYSTEM_STATE.+slice.+state.+changed )|(ment ac)|(multiple cpu faults)|(system.+state.+changed )|(\[timeout)|(PRM\|1\|D)|(kpr)|(kdp)|(train st.+moving)|(\|lc)|(penalty))"</v>
      </c>
      <c r="AG153" s="186" t="str">
        <f t="shared" si="69"/>
        <v>EC</v>
      </c>
      <c r="AH153" s="78" t="str">
        <f t="shared" si="70"/>
        <v>"%USERPROFILE%\Documents\GitHub\eaglep3\Utilities\RefineRTDCRunTimes.py" --tripid 237-14 --locoid 4004 --swversion DE.1.0.9.0 --startMP 204:440 --initTime 2017-09-14T22:55:12 --startdatetime 2017-09-14T23:00:19 --delay 61 --endMP 204:233297 --enddatetime 2017-09-14T23:35:23 --enforcementcount 1 &gt;&gt;C:\Users\stu\Documents\GitHub\eaglep3-reporting\EC\2017-09-14-refined-times.txt</v>
      </c>
      <c r="AI153" s="96" t="str">
        <f t="shared" si="71"/>
        <v>echo {"issue":{"subject":"","project_id":79,"tracker_id":40,"status_id":1,"priority_id":2,"assigned_to_id":338,"start_date":"2017-09-14","description":"","custom_fields":[{"id":1,"name":"Subdivision","value":"EC"},{"id":4,"name":"Milepost","value":"23.3297"},{"id":17,"name":"Train ID","value":"237-14"},{"id":16,"name":"Locomotive ID","value":"4004"},{"id":130,"name":"Impact","value":""},{"id":150,"name":"Time of Event (Mountain Time)","value":"23:35:23"},{"id":151,"name":"Denver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4004 --day 2017-09-14</v>
      </c>
      <c r="AN153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812</v>
      </c>
      <c r="B154" s="7">
        <v>4003</v>
      </c>
      <c r="C154" s="21" t="s">
        <v>197</v>
      </c>
      <c r="D154" s="21" t="s">
        <v>484</v>
      </c>
      <c r="E154" s="13">
        <v>42992.995972222219</v>
      </c>
      <c r="F154" s="13">
        <v>42992.998136574075</v>
      </c>
      <c r="G154" s="7">
        <v>46</v>
      </c>
      <c r="H154" s="21" t="s">
        <v>888</v>
      </c>
      <c r="I154" s="13">
        <v>42993.023206018515</v>
      </c>
      <c r="J154" s="7">
        <v>1</v>
      </c>
      <c r="K154" s="89" t="str">
        <f t="shared" si="60"/>
        <v>4003/4004</v>
      </c>
      <c r="L154" s="189" t="str">
        <f>VLOOKUP(A154,'Trips&amp;Operators'!$C$1:$G$99911,5,FALSE)</f>
        <v>HART KEVIN</v>
      </c>
      <c r="M154" s="6">
        <f t="shared" si="61"/>
        <v>2.5069444440305233E-2</v>
      </c>
      <c r="N154" s="7">
        <f t="shared" si="58"/>
        <v>36.099999994039536</v>
      </c>
      <c r="O154" s="7"/>
      <c r="P154" s="7"/>
      <c r="Q154" s="22"/>
      <c r="R154" s="167"/>
      <c r="S154" s="217">
        <f t="shared" si="59"/>
        <v>1</v>
      </c>
      <c r="T154" s="175" t="str">
        <f t="shared" si="62"/>
        <v>Southbound</v>
      </c>
      <c r="U154" s="20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26" t="str">
        <f t="shared" si="63"/>
        <v>https://d0f6bd738d7f1b3e5a7ca70fe4ff75f0.us-east-1.aws.found.io/app/kibana#/discover/Steve-Slow-Train-Analysis-(2080s-and-2083s)?_g=(refreshInterval:(display:Off,pause:!f,section:0,value:0),time:(from:'2017-09-14T22:54:12-0600',mode:absolute,to:'2017-09-15T01:33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210" t="str">
        <f>IF(AA154&lt;VLOOKUP(AG154,Variables!$AC$3:$AD$8,2,FALSE),"Y","N")</f>
        <v>N</v>
      </c>
      <c r="X154" s="210">
        <f t="shared" si="64"/>
        <v>1</v>
      </c>
      <c r="Y154" s="210">
        <f t="shared" si="78"/>
        <v>23.299099999999999</v>
      </c>
      <c r="Z154" s="210">
        <f t="shared" si="79"/>
        <v>1.0800000000000001E-2</v>
      </c>
      <c r="AA154" s="210">
        <f t="shared" si="65"/>
        <v>23.2883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83">
        <f t="shared" si="66"/>
        <v>238</v>
      </c>
      <c r="AE154" s="77" t="str">
        <f t="shared" si="67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154" s="74" t="str">
        <f t="shared" si="68"/>
        <v>"C:\Program Files (x86)\AstroGrep\AstroGrep.exe" /e /r /s /spath="%USERPROFILE%\AppData\Local\Temp\OnboardLogs" /stypes="app*4003*20170915*" /stext=" 06:.+((SYSTEM_STATE.+slice.+state.+changed )|(ment ac)|(multiple cpu faults)|(system.+state.+changed )|(\[timeout)|(PRM\|1\|D)|(kpr)|(kdp)|(train st.+moving)|(\|lc)|(penalty))"</v>
      </c>
      <c r="AG154" s="186" t="str">
        <f t="shared" si="69"/>
        <v>EC</v>
      </c>
      <c r="AH154" s="78" t="str">
        <f t="shared" si="70"/>
        <v>"%USERPROFILE%\Documents\GitHub\eaglep3\Utilities\RefineRTDCRunTimes.py" --tripid 238-14 --locoid 4003 --swversion DE.1.0.9.0 --startMP 204:232991 --initTime 2017-09-14T23:54:12 --startdatetime 2017-09-14T23:57:19 --delay 46 --endMP 204:108 --enddatetime 2017-09-15T00:33:25 --enforcementcount 1 &gt;&gt;C:\Users\stu\Documents\GitHub\eaglep3-reporting\EC\2017-09-14-refined-times.txt</v>
      </c>
      <c r="AI154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{"issue":{"subject":"","project_id":79,"tracker_id":40,"status_id":1,"priority_id":2,"assigned_to_id":338,"start_date":"2017-09-15","description":"","custom_fields":[{"id":1,"name":"Subdivision","value":"EC"},{"id":4,"name":"Milepost","value":"0.0108"},{"id":17,"name":"Train ID","value":"238-14"},{"id":16,"name":"Locomotive ID","value":"4003"},{"id":130,"name":"Impact","value":""},{"id":150,"name":"Time of Event (Mountain Time)","value":"00:33:25"},{"id":151,"name":"Denver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4003 --day 2017-09-14</v>
      </c>
      <c r="AN154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06:33:25"},{"id":29,"name":"Sharepoint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809</v>
      </c>
      <c r="B155" s="7">
        <v>4058</v>
      </c>
      <c r="C155" s="21" t="s">
        <v>197</v>
      </c>
      <c r="D155" s="21" t="s">
        <v>421</v>
      </c>
      <c r="E155" s="13">
        <v>42992.963900462964</v>
      </c>
      <c r="F155" s="13">
        <v>42992.979375000003</v>
      </c>
      <c r="G155" s="7">
        <v>51</v>
      </c>
      <c r="H155" s="21" t="s">
        <v>889</v>
      </c>
      <c r="I155" s="13">
        <v>42993.003703703704</v>
      </c>
      <c r="J155" s="7">
        <v>1</v>
      </c>
      <c r="K155" s="89" t="str">
        <f t="shared" si="60"/>
        <v>4057/4058</v>
      </c>
      <c r="L155" s="189" t="str">
        <f>VLOOKUP(A155,'Trips&amp;Operators'!$C$1:$G$99911,5,FALSE)</f>
        <v>LOZA FIDEL</v>
      </c>
      <c r="M155" s="6">
        <f t="shared" si="61"/>
        <v>2.4328703701030463E-2</v>
      </c>
      <c r="N155" s="7">
        <f t="shared" si="58"/>
        <v>35.033333329483867</v>
      </c>
      <c r="O155" s="7"/>
      <c r="P155" s="7"/>
      <c r="Q155" s="22"/>
      <c r="R155" s="167"/>
      <c r="S155" s="217">
        <f t="shared" si="59"/>
        <v>1</v>
      </c>
      <c r="T155" s="175" t="str">
        <f t="shared" si="62"/>
        <v>NorthBound</v>
      </c>
      <c r="U155" s="20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26" t="str">
        <f t="shared" si="63"/>
        <v>https://d0f6bd738d7f1b3e5a7ca70fe4ff75f0.us-east-1.aws.found.io/app/kibana#/discover/Steve-Slow-Train-Analysis-(2080s-and-2083s)?_g=(refreshInterval:(display:Off,pause:!f,section:0,value:0),time:(from:'2017-09-14T22:08:01-0600',mode:absolute,to:'2017-09-15T01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5" s="210" t="str">
        <f>IF(AA155&lt;VLOOKUP(AG155,Variables!$AC$3:$AD$8,2,FALSE),"Y","N")</f>
        <v>N</v>
      </c>
      <c r="X155" s="210">
        <f t="shared" si="64"/>
        <v>1</v>
      </c>
      <c r="Y155" s="210">
        <f t="shared" si="78"/>
        <v>4.6199999999999998E-2</v>
      </c>
      <c r="Z155" s="210">
        <f t="shared" si="79"/>
        <v>23.3325</v>
      </c>
      <c r="AA155" s="210">
        <f t="shared" si="65"/>
        <v>23.286300000000001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83">
        <f t="shared" si="66"/>
        <v>239</v>
      </c>
      <c r="AE155" s="77" t="str">
        <f t="shared" si="67"/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AF155" s="74" t="str">
        <f t="shared" si="68"/>
        <v>"C:\Program Files (x86)\AstroGrep\AstroGrep.exe" /e /r /s /spath="%USERPROFILE%\AppData\Local\Temp\OnboardLogs" /stypes="app*4058*20170915*" /stext=" 06:.+((SYSTEM_STATE.+slice.+state.+changed )|(ment ac)|(multiple cpu faults)|(system.+state.+changed )|(\[timeout)|(PRM\|1\|D)|(kpr)|(kdp)|(train st.+moving)|(\|lc)|(penalty))"</v>
      </c>
      <c r="AG155" s="186" t="str">
        <f t="shared" si="69"/>
        <v>EC</v>
      </c>
      <c r="AH155" s="78" t="str">
        <f t="shared" si="70"/>
        <v>"%USERPROFILE%\Documents\GitHub\eaglep3\Utilities\RefineRTDCRunTimes.py" --tripid 239-14 --locoid 4058 --swversion DE.1.0.9.0 --startMP 204:462 --initTime 2017-09-14T23:08:01 --startdatetime 2017-09-14T23:30:18 --delay 51 --endMP 204:233325 --enddatetime 2017-09-15T00:05:20 --enforcementcount 1 &gt;&gt;C:\Users\stu\Documents\GitHub\eaglep3-reporting\EC\2017-09-14-refined-times.txt</v>
      </c>
      <c r="AI155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{"issue":{"subject":"","project_id":79,"tracker_id":40,"status_id":1,"priority_id":2,"assigned_to_id":338,"start_date":"2017-09-15","description":"","custom_fields":[{"id":1,"name":"Subdivision","value":"EC"},{"id":4,"name":"Milepost","value":"23.3325"},{"id":17,"name":"Train ID","value":"239-14"},{"id":16,"name":"Locomotive ID","value":"4058"},{"id":130,"name":"Impact","value":""},{"id":150,"name":"Time of Event (Mountain Time)","value":"00:05:20"},{"id":151,"name":"Denver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4058 --day 2017-09-14</v>
      </c>
      <c r="AN155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06:05:20"},{"id":29,"name":"Sharepoint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814</v>
      </c>
      <c r="B156" s="7">
        <v>4057</v>
      </c>
      <c r="C156" s="21" t="s">
        <v>197</v>
      </c>
      <c r="D156" s="21" t="s">
        <v>422</v>
      </c>
      <c r="E156" s="13">
        <v>42993.016759259262</v>
      </c>
      <c r="F156" s="13">
        <v>42993.018969907411</v>
      </c>
      <c r="G156" s="7">
        <v>60</v>
      </c>
      <c r="H156" s="21" t="s">
        <v>448</v>
      </c>
      <c r="I156" s="13">
        <v>42993.044328703705</v>
      </c>
      <c r="J156" s="7">
        <v>1</v>
      </c>
      <c r="K156" s="89" t="str">
        <f t="shared" si="60"/>
        <v>4057/4058</v>
      </c>
      <c r="L156" s="189" t="str">
        <f>VLOOKUP(A156,'Trips&amp;Operators'!$C$1:$G$99911,5,FALSE)</f>
        <v>LOZA FIDEL</v>
      </c>
      <c r="M156" s="6">
        <f t="shared" si="61"/>
        <v>2.5358796294312924E-2</v>
      </c>
      <c r="N156" s="7">
        <f t="shared" si="58"/>
        <v>36.516666663810611</v>
      </c>
      <c r="O156" s="7"/>
      <c r="P156" s="7"/>
      <c r="Q156" s="22"/>
      <c r="R156" s="167"/>
      <c r="S156" s="217">
        <f t="shared" si="59"/>
        <v>1</v>
      </c>
      <c r="T156" s="175" t="str">
        <f t="shared" si="62"/>
        <v>Southbound</v>
      </c>
      <c r="U156" s="20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26" t="str">
        <f t="shared" si="63"/>
        <v>https://d0f6bd738d7f1b3e5a7ca70fe4ff75f0.us-east-1.aws.found.io/app/kibana#/discover/Steve-Slow-Train-Analysis-(2080s-and-2083s)?_g=(refreshInterval:(display:Off,pause:!f,section:0,value:0),time:(from:'2017-09-14T23:24:08-0600',mode:absolute,to:'2017-09-15T02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6" s="210" t="str">
        <f>IF(AA156&lt;VLOOKUP(AG156,Variables!$AC$3:$AD$8,2,FALSE),"Y","N")</f>
        <v>N</v>
      </c>
      <c r="X156" s="210">
        <f t="shared" si="64"/>
        <v>1</v>
      </c>
      <c r="Y156" s="210">
        <f t="shared" si="78"/>
        <v>23.299600000000002</v>
      </c>
      <c r="Z156" s="210">
        <f t="shared" si="79"/>
        <v>1.54E-2</v>
      </c>
      <c r="AA156" s="210">
        <f t="shared" si="65"/>
        <v>23.284200000000002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83">
        <f t="shared" si="66"/>
        <v>240</v>
      </c>
      <c r="AE156" s="77" t="str">
        <f t="shared" si="67"/>
        <v>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 &amp; 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</v>
      </c>
      <c r="AF156" s="74" t="str">
        <f t="shared" si="68"/>
        <v>"C:\Program Files (x86)\AstroGrep\AstroGrep.exe" /e /r /s /spath="%USERPROFILE%\AppData\Local\Temp\OnboardLogs" /stypes="app*4057*20170915*" /stext=" 07:.+((SYSTEM_STATE.+slice.+state.+changed )|(ment ac)|(multiple cpu faults)|(system.+state.+changed )|(\[timeout)|(PRM\|1\|D)|(kpr)|(kdp)|(train st.+moving)|(\|lc)|(penalty))"</v>
      </c>
      <c r="AG156" s="186" t="str">
        <f t="shared" si="69"/>
        <v>EC</v>
      </c>
      <c r="AH156" s="78" t="str">
        <f t="shared" si="70"/>
        <v>"%USERPROFILE%\Documents\GitHub\eaglep3\Utilities\RefineRTDCRunTimes.py" --tripid 240-14 --locoid 4057 --swversion DE.1.0.9.0 --startMP 204:232996 --initTime 2017-09-15T00:24:08 --startdatetime 2017-09-15T00:27:19 --delay 60 --endMP 204:154 --enddatetime 2017-09-15T01:03:50 --enforcementcount 1 &gt;&gt;C:\Users\stu\Documents\GitHub\eaglep3-reporting\EC\2017-09-14-refined-times.txt</v>
      </c>
      <c r="AI156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{"issue":{"subject":"","project_id":79,"tracker_id":40,"status_id":1,"priority_id":2,"assigned_to_id":338,"start_date":"2017-09-15","description":"","custom_fields":[{"id":1,"name":"Subdivision","value":"EC"},{"id":4,"name":"Milepost","value":"0.0154"},{"id":17,"name":"Train ID","value":"240-14"},{"id":16,"name":"Locomotive ID","value":"4057"},{"id":130,"name":"Impact","value":""},{"id":150,"name":"Time of Event (Mountain Time)","value":"01:03:50"},{"id":151,"name":"Denver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4057 --day 2017-09-15</v>
      </c>
      <c r="AN156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813</v>
      </c>
      <c r="B157" s="7">
        <v>4030</v>
      </c>
      <c r="C157" s="21" t="s">
        <v>197</v>
      </c>
      <c r="D157" s="21" t="s">
        <v>382</v>
      </c>
      <c r="E157" s="13">
        <v>42992.99695601852</v>
      </c>
      <c r="F157" s="13">
        <v>42993.000173611108</v>
      </c>
      <c r="G157" s="7">
        <v>53</v>
      </c>
      <c r="H157" s="21" t="s">
        <v>483</v>
      </c>
      <c r="I157" s="13">
        <v>42993.024571759262</v>
      </c>
      <c r="J157" s="7">
        <v>1</v>
      </c>
      <c r="K157" s="89" t="str">
        <f t="shared" si="60"/>
        <v>4029/4030</v>
      </c>
      <c r="L157" s="189" t="str">
        <f>VLOOKUP(A157,'Trips&amp;Operators'!$C$1:$G$99911,5,FALSE)</f>
        <v>ELBAUM MIKE</v>
      </c>
      <c r="M157" s="6">
        <f t="shared" si="61"/>
        <v>2.439814815443242E-2</v>
      </c>
      <c r="N157" s="7">
        <f t="shared" si="58"/>
        <v>35.133333342382684</v>
      </c>
      <c r="O157" s="7"/>
      <c r="P157" s="7"/>
      <c r="Q157" s="22"/>
      <c r="R157" s="167"/>
      <c r="S157" s="217">
        <f t="shared" si="59"/>
        <v>1</v>
      </c>
      <c r="T157" s="175" t="str">
        <f t="shared" si="62"/>
        <v>NorthBound</v>
      </c>
      <c r="U157" s="20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26" t="str">
        <f t="shared" si="63"/>
        <v>https://d0f6bd738d7f1b3e5a7ca70fe4ff75f0.us-east-1.aws.found.io/app/kibana#/discover/Steve-Slow-Train-Analysis-(2080s-and-2083s)?_g=(refreshInterval:(display:Off,pause:!f,section:0,value:0),time:(from:'2017-09-14T22:55:37-0600',mode:absolute,to:'2017-09-15T01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210" t="str">
        <f>IF(AA157&lt;VLOOKUP(AG157,Variables!$AC$3:$AD$8,2,FALSE),"Y","N")</f>
        <v>N</v>
      </c>
      <c r="X157" s="210">
        <f t="shared" si="64"/>
        <v>1</v>
      </c>
      <c r="Y157" s="210">
        <f t="shared" si="78"/>
        <v>4.5999999999999999E-2</v>
      </c>
      <c r="Z157" s="210">
        <f t="shared" si="79"/>
        <v>23.331900000000001</v>
      </c>
      <c r="AA157" s="210">
        <f t="shared" si="65"/>
        <v>23.285900000000002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83">
        <f t="shared" si="66"/>
        <v>241</v>
      </c>
      <c r="AE157" s="77" t="str">
        <f t="shared" si="67"/>
        <v>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 &amp; 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</v>
      </c>
      <c r="AF157" s="74" t="str">
        <f t="shared" si="68"/>
        <v>"C:\Program Files (x86)\AstroGrep\AstroGrep.exe" /e /r /s /spath="%USERPROFILE%\AppData\Local\Temp\OnboardLogs" /stypes="app*4030*20170915*" /stext=" 06:.+((SYSTEM_STATE.+slice.+state.+changed )|(ment ac)|(multiple cpu faults)|(system.+state.+changed )|(\[timeout)|(PRM\|1\|D)|(kpr)|(kdp)|(train st.+moving)|(\|lc)|(penalty))"</v>
      </c>
      <c r="AG157" s="186" t="str">
        <f t="shared" si="69"/>
        <v>EC</v>
      </c>
      <c r="AH157" s="78" t="str">
        <f t="shared" si="70"/>
        <v>"%USERPROFILE%\Documents\GitHub\eaglep3\Utilities\RefineRTDCRunTimes.py" --tripid 241-14 --locoid 4030 --swversion DE.1.0.9.0 --startMP 204:460 --initTime 2017-09-14T23:55:37 --startdatetime 2017-09-15T00:00:15 --delay 53 --endMP 204:233319 --enddatetime 2017-09-15T00:35:23 --enforcementcount 1 &gt;&gt;C:\Users\stu\Documents\GitHub\eaglep3-reporting\EC\2017-09-14-refined-times.txt</v>
      </c>
      <c r="AI157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{"issue":{"subject":"","project_id":79,"tracker_id":40,"status_id":1,"priority_id":2,"assigned_to_id":338,"start_date":"2017-09-15","description":"","custom_fields":[{"id":1,"name":"Subdivision","value":"EC"},{"id":4,"name":"Milepost","value":"23.3319"},{"id":17,"name":"Train ID","value":"241-14"},{"id":16,"name":"Locomotive ID","value":"4030"},{"id":130,"name":"Impact","value":""},{"id":150,"name":"Time of Event (Mountain Time)","value":"00:35:23"},{"id":151,"name":"Denver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4030 --day 2017-09-15</v>
      </c>
      <c r="AN157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06:35:23"},{"id":29,"name":"Sharepoint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816</v>
      </c>
      <c r="B158" s="7">
        <v>4029</v>
      </c>
      <c r="C158" s="21" t="s">
        <v>197</v>
      </c>
      <c r="D158" s="21" t="s">
        <v>432</v>
      </c>
      <c r="E158" s="13">
        <v>42993.025821759256</v>
      </c>
      <c r="F158" s="13">
        <v>42993.03974537037</v>
      </c>
      <c r="G158" s="7">
        <v>60</v>
      </c>
      <c r="H158" s="21" t="s">
        <v>419</v>
      </c>
      <c r="I158" s="13">
        <v>42993.066087962965</v>
      </c>
      <c r="J158" s="7">
        <v>1</v>
      </c>
      <c r="K158" s="89" t="str">
        <f t="shared" si="60"/>
        <v>4029/4030</v>
      </c>
      <c r="L158" s="189" t="str">
        <f>VLOOKUP(A158,'Trips&amp;Operators'!$C$1:$G$99911,5,FALSE)</f>
        <v>ELBAUM MIKE</v>
      </c>
      <c r="M158" s="6">
        <f t="shared" si="61"/>
        <v>2.6342592595028691E-2</v>
      </c>
      <c r="N158" s="7">
        <f t="shared" si="58"/>
        <v>37.933333336841315</v>
      </c>
      <c r="O158" s="7"/>
      <c r="P158" s="7"/>
      <c r="Q158" s="22"/>
      <c r="R158" s="167"/>
      <c r="S158" s="217">
        <f t="shared" si="59"/>
        <v>1</v>
      </c>
      <c r="T158" s="175" t="str">
        <f t="shared" si="62"/>
        <v>Southbound</v>
      </c>
      <c r="U158" s="20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26" t="str">
        <f t="shared" si="63"/>
        <v>https://d0f6bd738d7f1b3e5a7ca70fe4ff75f0.us-east-1.aws.found.io/app/kibana#/discover/Steve-Slow-Train-Analysis-(2080s-and-2083s)?_g=(refreshInterval:(display:Off,pause:!f,section:0,value:0),time:(from:'2017-09-14T23:37:11-0600',mode:absolute,to:'2017-09-15T02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210" t="str">
        <f>IF(AA158&lt;VLOOKUP(AG158,Variables!$AC$3:$AD$8,2,FALSE),"Y","N")</f>
        <v>N</v>
      </c>
      <c r="X158" s="210">
        <f t="shared" si="64"/>
        <v>1</v>
      </c>
      <c r="Y158" s="210">
        <f t="shared" si="78"/>
        <v>23.2989</v>
      </c>
      <c r="Z158" s="210">
        <f t="shared" si="79"/>
        <v>1.3599999999999999E-2</v>
      </c>
      <c r="AA158" s="210">
        <f t="shared" si="65"/>
        <v>23.285299999999999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83">
        <f t="shared" si="66"/>
        <v>242</v>
      </c>
      <c r="AE158" s="77" t="str">
        <f t="shared" si="67"/>
        <v>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 &amp; 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</v>
      </c>
      <c r="AF158" s="74" t="str">
        <f t="shared" si="68"/>
        <v>"C:\Program Files (x86)\AstroGrep\AstroGrep.exe" /e /r /s /spath="%USERPROFILE%\AppData\Local\Temp\OnboardLogs" /stypes="app*4029*20170915*" /stext=" 07:.+((SYSTEM_STATE.+slice.+state.+changed )|(ment ac)|(multiple cpu faults)|(system.+state.+changed )|(\[timeout)|(PRM\|1\|D)|(kpr)|(kdp)|(train st.+moving)|(\|lc)|(penalty))"</v>
      </c>
      <c r="AG158" s="186" t="str">
        <f t="shared" si="69"/>
        <v>EC</v>
      </c>
      <c r="AH158" s="78" t="str">
        <f t="shared" si="70"/>
        <v>"%USERPROFILE%\Documents\GitHub\eaglep3\Utilities\RefineRTDCRunTimes.py" --tripid 242-14 --locoid 4029 --swversion DE.1.0.9.0 --startMP 204:232989 --initTime 2017-09-15T00:37:11 --startdatetime 2017-09-15T00:57:14 --delay 60 --endMP 204:136 --enddatetime 2017-09-15T01:35:10 --enforcementcount 1 &gt;&gt;C:\Users\stu\Documents\GitHub\eaglep3-reporting\EC\2017-09-14-refined-times.txt</v>
      </c>
      <c r="AI158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{"issue":{"subject":"","project_id":79,"tracker_id":40,"status_id":1,"priority_id":2,"assigned_to_id":338,"start_date":"2017-09-15","description":"","custom_fields":[{"id":1,"name":"Subdivision","value":"EC"},{"id":4,"name":"Milepost","value":"0.0136"},{"id":17,"name":"Train ID","value":"242-14"},{"id":16,"name":"Locomotive ID","value":"4029"},{"id":130,"name":"Impact","value":""},{"id":150,"name":"Time of Event (Mountain Time)","value":"01:35:10"},{"id":151,"name":"Denver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2"/>
        <v>start /low /b %USERPROFILE%\Documents\GitHub\eaglep3\Utilities\DownloadLogsFromS3.py --loco 4029 --day 2017-09-15</v>
      </c>
      <c r="AN158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07:35:10"},{"id":29,"name":"Sharepoint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615</v>
      </c>
      <c r="B159" s="7">
        <v>4032</v>
      </c>
      <c r="C159" s="21" t="s">
        <v>197</v>
      </c>
      <c r="D159" s="21" t="s">
        <v>341</v>
      </c>
      <c r="E159" s="13">
        <v>42993.005069444444</v>
      </c>
      <c r="F159" s="13">
        <v>42993.021053240744</v>
      </c>
      <c r="G159" s="7">
        <v>981</v>
      </c>
      <c r="H159" s="21" t="s">
        <v>890</v>
      </c>
      <c r="I159" s="13">
        <v>42993.049131944441</v>
      </c>
      <c r="J159" s="7">
        <v>1</v>
      </c>
      <c r="K159" s="89" t="str">
        <f t="shared" si="60"/>
        <v>4031/4032</v>
      </c>
      <c r="L159" s="189" t="str">
        <f>VLOOKUP(A159,'Trips&amp;Operators'!$C$1:$G$99911,5,FALSE)</f>
        <v>PERKINS DARREN</v>
      </c>
      <c r="M159" s="6">
        <f t="shared" si="61"/>
        <v>2.8078703697246965E-2</v>
      </c>
      <c r="N159" s="7">
        <f t="shared" si="58"/>
        <v>40.43333332403563</v>
      </c>
      <c r="O159" s="7"/>
      <c r="P159" s="7"/>
      <c r="Q159" s="22"/>
      <c r="R159" s="167"/>
      <c r="S159" s="217">
        <f t="shared" si="59"/>
        <v>1</v>
      </c>
      <c r="T159" s="175" t="str">
        <f t="shared" si="62"/>
        <v>NorthBound</v>
      </c>
      <c r="U159" s="20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26" t="str">
        <f t="shared" si="63"/>
        <v>https://d0f6bd738d7f1b3e5a7ca70fe4ff75f0.us-east-1.aws.found.io/app/kibana#/discover/Steve-Slow-Train-Analysis-(2080s-and-2083s)?_g=(refreshInterval:(display:Off,pause:!f,section:0,value:0),time:(from:'2017-09-14T23:07:18-0600',mode:absolute,to:'2017-09-15T02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210" t="str">
        <f>IF(AA159&lt;VLOOKUP(AG159,Variables!$AC$3:$AD$8,2,FALSE),"Y","N")</f>
        <v>N</v>
      </c>
      <c r="X159" s="210">
        <f t="shared" si="64"/>
        <v>1</v>
      </c>
      <c r="Y159" s="210">
        <f t="shared" si="78"/>
        <v>4.53E-2</v>
      </c>
      <c r="Z159" s="210">
        <f t="shared" si="79"/>
        <v>23.334900000000001</v>
      </c>
      <c r="AA159" s="210">
        <f t="shared" si="65"/>
        <v>23.2896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83">
        <f t="shared" si="66"/>
        <v>243</v>
      </c>
      <c r="AE159" s="77" t="str">
        <f t="shared" si="67"/>
        <v>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 &amp; 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</v>
      </c>
      <c r="AF159" s="74" t="str">
        <f t="shared" si="68"/>
        <v>"C:\Program Files (x86)\AstroGrep\AstroGrep.exe" /e /r /s /spath="%USERPROFILE%\AppData\Local\Temp\OnboardLogs" /stypes="app*4032*20170915*" /stext=" 07:.+((SYSTEM_STATE.+slice.+state.+changed )|(ment ac)|(multiple cpu faults)|(system.+state.+changed )|(\[timeout)|(PRM\|1\|D)|(kpr)|(kdp)|(train st.+moving)|(\|lc)|(penalty))"</v>
      </c>
      <c r="AG159" s="186" t="str">
        <f t="shared" si="69"/>
        <v>EC</v>
      </c>
      <c r="AH159" s="78" t="str">
        <f t="shared" si="70"/>
        <v>"%USERPROFILE%\Documents\GitHub\eaglep3\Utilities\RefineRTDCRunTimes.py" --tripid 243-14 --locoid 4032 --swversion DE.1.0.9.0 --startMP 204:453 --initTime 2017-09-15T00:07:18 --startdatetime 2017-09-15T00:30:19 --delay 981 --endMP 204:233349 --enddatetime 2017-09-15T01:10:45 --enforcementcount 1 &gt;&gt;C:\Users\stu\Documents\GitHub\eaglep3-reporting\EC\2017-09-14-refined-times.txt</v>
      </c>
      <c r="AI159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{"issue":{"subject":"","project_id":79,"tracker_id":40,"status_id":1,"priority_id":2,"assigned_to_id":338,"start_date":"2017-09-15","description":"","custom_fields":[{"id":1,"name":"Subdivision","value":"EC"},{"id":4,"name":"Milepost","value":"23.3349"},{"id":17,"name":"Train ID","value":"243-14"},{"id":16,"name":"Locomotive ID","value":"4032"},{"id":130,"name":"Impact","value":""},{"id":150,"name":"Time of Event (Mountain Time)","value":"01:10:45"},{"id":151,"name":"Denver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4032 --day 2017-09-15</v>
      </c>
      <c r="AN159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07:10:45"},{"id":29,"name":"Sharepoint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616</v>
      </c>
      <c r="B160" s="7">
        <v>4031</v>
      </c>
      <c r="C160" s="21" t="s">
        <v>197</v>
      </c>
      <c r="D160" s="21" t="s">
        <v>539</v>
      </c>
      <c r="E160" s="13">
        <v>42993.051122685189</v>
      </c>
      <c r="F160" s="13">
        <v>42993.060624999998</v>
      </c>
      <c r="G160" s="7">
        <v>52</v>
      </c>
      <c r="H160" s="21" t="s">
        <v>891</v>
      </c>
      <c r="I160" s="13">
        <v>42993.087129629632</v>
      </c>
      <c r="J160" s="7">
        <v>1</v>
      </c>
      <c r="K160" s="89" t="str">
        <f t="shared" si="60"/>
        <v>4031/4032</v>
      </c>
      <c r="L160" s="189" t="str">
        <f>VLOOKUP(A160,'Trips&amp;Operators'!$C$1:$G$99911,5,FALSE)</f>
        <v>PERKINS DARREN</v>
      </c>
      <c r="M160" s="6">
        <f t="shared" si="61"/>
        <v>2.6504629633564036E-2</v>
      </c>
      <c r="N160" s="7">
        <f t="shared" si="58"/>
        <v>38.166666672332212</v>
      </c>
      <c r="O160" s="7"/>
      <c r="P160" s="7"/>
      <c r="Q160" s="22"/>
      <c r="R160" s="167"/>
      <c r="S160" s="217">
        <f t="shared" si="59"/>
        <v>1</v>
      </c>
      <c r="T160" s="175" t="str">
        <f t="shared" si="62"/>
        <v>Southbound</v>
      </c>
      <c r="U160" s="20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26" t="str">
        <f t="shared" si="63"/>
        <v>https://d0f6bd738d7f1b3e5a7ca70fe4ff75f0.us-east-1.aws.found.io/app/kibana#/discover/Steve-Slow-Train-Analysis-(2080s-and-2083s)?_g=(refreshInterval:(display:Off,pause:!f,section:0,value:0),time:(from:'2017-09-15T00:13:37-0600',mode:absolute,to:'2017-09-15T03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210" t="str">
        <f>IF(AA160&lt;VLOOKUP(AG160,Variables!$AC$3:$AD$8,2,FALSE),"Y","N")</f>
        <v>N</v>
      </c>
      <c r="X160" s="210">
        <f t="shared" si="64"/>
        <v>1</v>
      </c>
      <c r="Y160" s="210">
        <f t="shared" si="78"/>
        <v>23.304200000000002</v>
      </c>
      <c r="Z160" s="210">
        <f t="shared" si="79"/>
        <v>1.0699999999999999E-2</v>
      </c>
      <c r="AA160" s="210">
        <f t="shared" si="65"/>
        <v>23.293500000000002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83">
        <f t="shared" si="66"/>
        <v>244</v>
      </c>
      <c r="AE160" s="77" t="str">
        <f t="shared" si="67"/>
        <v>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 &amp; 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</v>
      </c>
      <c r="AF160" s="74" t="str">
        <f t="shared" si="68"/>
        <v>"C:\Program Files (x86)\AstroGrep\AstroGrep.exe" /e /r /s /spath="%USERPROFILE%\AppData\Local\Temp\OnboardLogs" /stypes="app*4031*20170915*" /stext=" 08:.+((SYSTEM_STATE.+slice.+state.+changed )|(ment ac)|(multiple cpu faults)|(system.+state.+changed )|(\[timeout)|(PRM\|1\|D)|(kpr)|(kdp)|(train st.+moving)|(\|lc)|(penalty))"</v>
      </c>
      <c r="AG160" s="186" t="str">
        <f t="shared" si="69"/>
        <v>EC</v>
      </c>
      <c r="AH160" s="78" t="str">
        <f t="shared" si="70"/>
        <v>"%USERPROFILE%\Documents\GitHub\eaglep3\Utilities\RefineRTDCRunTimes.py" --tripid 244-14 --locoid 4031 --swversion DE.1.0.9.0 --startMP 204:233042 --initTime 2017-09-15T01:13:37 --startdatetime 2017-09-15T01:27:18 --delay 52 --endMP 204:107 --enddatetime 2017-09-15T02:05:28 --enforcementcount 1 &gt;&gt;C:\Users\stu\Documents\GitHub\eaglep3-reporting\EC\2017-09-14-refined-times.txt</v>
      </c>
      <c r="AI160" s="96" t="str">
        <f t="shared" si="71"/>
        <v>echo {"issue":{"subject":"","project_id":79,"tracker_id":40,"status_id":1,"priority_id":2,"assigned_to_id":338,"start_date":"2017-09-15","description":"","custom_fields":[{"id":1,"name":"Subdivision","value":"EC"},{"id":4,"name":"Milepost","value":"0.0107"},{"id":17,"name":"Train ID","value":"244-14"},{"id":16,"name":"Locomotive ID","value":"4031"},{"id":130,"name":"Impact","value":""},{"id":150,"name":"Time of Event (Mountain Time)","value":"02:05:28"},{"id":151,"name":"Denver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2"/>
        <v>start /low /b %USERPROFILE%\Documents\GitHub\eaglep3\Utilities\DownloadLogsFromS3.py --loco 4031 --day 2017-09-15</v>
      </c>
      <c r="AN160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08:05:28"},{"id":29,"name":"Sharepoint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576</v>
      </c>
      <c r="B161" s="7">
        <v>4013</v>
      </c>
      <c r="C161" s="21" t="s">
        <v>197</v>
      </c>
      <c r="D161" s="21" t="s">
        <v>921</v>
      </c>
      <c r="E161" s="13">
        <v>42992.211157407408</v>
      </c>
      <c r="F161" s="13">
        <v>42992.212951388887</v>
      </c>
      <c r="G161" s="7">
        <v>71</v>
      </c>
      <c r="H161" s="21" t="s">
        <v>922</v>
      </c>
      <c r="I161" s="13">
        <v>42992.226041666669</v>
      </c>
      <c r="J161" s="7">
        <v>1</v>
      </c>
      <c r="K161" s="89" t="str">
        <f t="shared" si="60"/>
        <v>4013/4014</v>
      </c>
      <c r="L161" s="189" t="str">
        <f>VLOOKUP(A161,'Trips&amp;Operators'!$C$1:$G$99911,5,FALSE)</f>
        <v>DAVIS WENDY</v>
      </c>
      <c r="M161" s="6">
        <f t="shared" si="61"/>
        <v>1.3090277781884652E-2</v>
      </c>
      <c r="N161" s="7">
        <f t="shared" si="58"/>
        <v>18.850000005913898</v>
      </c>
      <c r="O161" s="7"/>
      <c r="P161" s="7"/>
      <c r="Q161" s="22"/>
      <c r="R161" s="167"/>
      <c r="S161" s="217">
        <f t="shared" si="59"/>
        <v>1</v>
      </c>
      <c r="T161" s="175" t="str">
        <f t="shared" si="62"/>
        <v>Southbound</v>
      </c>
      <c r="U161" s="20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26" t="str">
        <f t="shared" si="63"/>
        <v>https://d0f6bd738d7f1b3e5a7ca70fe4ff75f0.us-east-1.aws.found.io/app/kibana#/discover/Steve-Slow-Train-Analysis-(2080s-and-2083s)?_g=(refreshInterval:(display:Off,pause:!f,section:0,value:0),time:(from:'2017-09-14T04:04:04-0600',mode:absolute,to:'2017-09-14T06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210" t="str">
        <f>IF(AA161&lt;VLOOKUP(AG161,Variables!$AC$3:$AD$8,2,FALSE),"Y","N")</f>
        <v>N</v>
      </c>
      <c r="X161" s="210">
        <f t="shared" si="64"/>
        <v>556</v>
      </c>
      <c r="Y161" s="210">
        <f t="shared" si="78"/>
        <v>5.87</v>
      </c>
      <c r="Z161" s="210">
        <f t="shared" si="79"/>
        <v>6.2600000000000003E-2</v>
      </c>
      <c r="AA161" s="210">
        <f t="shared" si="65"/>
        <v>5.8074000000000003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83">
        <f t="shared" si="66"/>
        <v>800</v>
      </c>
      <c r="AE161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61" s="74" t="str">
        <f t="shared" si="68"/>
        <v>"C:\Program Files (x86)\AstroGrep\AstroGrep.exe" /e /r /s /spath="%USERPROFILE%\AppData\Local\Temp\OnboardLogs" /stypes="app*4013*20170914*" /stext=" 11:.+((SYSTEM_STATE.+slice.+state.+changed )|(ment ac)|(multiple cpu faults)|(system.+state.+changed )|(\[timeout)|(PRM\|1\|D)|(kpr)|(kdp)|(train st.+moving)|(\|lc)|(penalty))"</v>
      </c>
      <c r="AG161" s="186" t="str">
        <f t="shared" si="69"/>
        <v>NW</v>
      </c>
      <c r="AH161" s="78" t="str">
        <f t="shared" si="70"/>
        <v>"%USERPROFILE%\Documents\GitHub\eaglep3\Utilities\RefineRTDCRunTimes.py" --tripid 800-14 --locoid 4013 --swversion DE.1.0.9.0 --startMP 300:58700 --initTime 2017-09-14T05:04:04 --startdatetime 2017-09-14T05:06:39 --delay 71 --endMP 204:626 --enddatetime 2017-09-14T05:25:30 --enforcementcount 1 &gt;&gt;C:\Users\stu\Documents\GitHub\eaglep3-reporting\EC\2017-09-14-refined-times.txt</v>
      </c>
      <c r="AI161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{"issue":{"subject":"","project_id":79,"tracker_id":40,"status_id":1,"priority_id":2,"assigned_to_id":338,"start_date":"2017-09-14","description":"","custom_fields":[{"id":1,"name":"Subdivision","value":"NW"},{"id":4,"name":"Milepost","value":"0.0626"},{"id":17,"name":"Train ID","value":"800-14"},{"id":16,"name":"Locomotive ID","value":"4013"},{"id":130,"name":"Impact","value":""},{"id":150,"name":"Time of Event (Mountain Time)","value":"05:25:30"},{"id":151,"name":"Denver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2"/>
        <v>start /low /b %USERPROFILE%\Documents\GitHub\eaglep3\Utilities\DownloadLogsFromS3.py --loco 4013 --day 2017-09-14</v>
      </c>
      <c r="AN161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639</v>
      </c>
      <c r="B162" s="7">
        <v>4014</v>
      </c>
      <c r="C162" s="21" t="s">
        <v>197</v>
      </c>
      <c r="D162" s="21" t="s">
        <v>923</v>
      </c>
      <c r="E162" s="13">
        <v>42992.227465277778</v>
      </c>
      <c r="F162" s="13">
        <v>42992.235648148147</v>
      </c>
      <c r="G162" s="7">
        <v>50</v>
      </c>
      <c r="H162" s="21" t="s">
        <v>924</v>
      </c>
      <c r="I162" s="13">
        <v>42992.24628472222</v>
      </c>
      <c r="J162" s="7">
        <v>1</v>
      </c>
      <c r="K162" s="89" t="str">
        <f t="shared" si="60"/>
        <v>4013/4014</v>
      </c>
      <c r="L162" s="189" t="str">
        <f>VLOOKUP(A162,'Trips&amp;Operators'!$C$1:$G$99911,5,FALSE)</f>
        <v>DAVIS WENDY</v>
      </c>
      <c r="M162" s="6">
        <f t="shared" si="61"/>
        <v>1.063657407212304E-2</v>
      </c>
      <c r="N162" s="7">
        <f t="shared" si="58"/>
        <v>15.316666663857177</v>
      </c>
      <c r="O162" s="7"/>
      <c r="P162" s="7"/>
      <c r="Q162" s="22"/>
      <c r="R162" s="167"/>
      <c r="S162" s="217">
        <f t="shared" si="59"/>
        <v>1</v>
      </c>
      <c r="T162" s="175" t="str">
        <f t="shared" si="62"/>
        <v>NorthBound</v>
      </c>
      <c r="U162" s="20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26" t="str">
        <f t="shared" si="63"/>
        <v>https://d0f6bd738d7f1b3e5a7ca70fe4ff75f0.us-east-1.aws.found.io/app/kibana#/discover/Steve-Slow-Train-Analysis-(2080s-and-2083s)?_g=(refreshInterval:(display:Off,pause:!f,section:0,value:0),time:(from:'2017-09-14T04:27:33-0600',mode:absolute,to:'2017-09-14T06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210" t="str">
        <f>IF(AA162&lt;VLOOKUP(AG162,Variables!$AC$3:$AD$8,2,FALSE),"Y","N")</f>
        <v>N</v>
      </c>
      <c r="X162" s="210">
        <f t="shared" si="64"/>
        <v>1</v>
      </c>
      <c r="Y162" s="210">
        <f t="shared" si="78"/>
        <v>9.2200000000000004E-2</v>
      </c>
      <c r="Z162" s="210">
        <f t="shared" si="79"/>
        <v>5.9012000000000002</v>
      </c>
      <c r="AA162" s="210">
        <f t="shared" si="65"/>
        <v>5.8090000000000002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83">
        <f t="shared" si="66"/>
        <v>801</v>
      </c>
      <c r="AE162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62" s="74" t="str">
        <f t="shared" si="68"/>
        <v>"C:\Program Files (x86)\AstroGrep\AstroGrep.exe" /e /r /s /spath="%USERPROFILE%\AppData\Local\Temp\OnboardLogs" /stypes="app*4014*20170914*" /stext=" 11:.+((SYSTEM_STATE.+slice.+state.+changed )|(ment ac)|(multiple cpu faults)|(system.+state.+changed )|(\[timeout)|(PRM\|1\|D)|(kpr)|(kdp)|(train st.+moving)|(\|lc)|(penalty))"</v>
      </c>
      <c r="AG162" s="186" t="str">
        <f t="shared" si="69"/>
        <v>NW</v>
      </c>
      <c r="AH162" s="78" t="str">
        <f t="shared" si="70"/>
        <v>"%USERPROFILE%\Documents\GitHub\eaglep3\Utilities\RefineRTDCRunTimes.py" --tripid 801-14 --locoid 4014 --swversion DE.1.0.9.0 --startMP 204:922 --initTime 2017-09-14T05:27:33 --startdatetime 2017-09-14T05:39:20 --delay 50 --endMP 300:59012 --enddatetime 2017-09-14T05:54:39 --enforcementcount 1 &gt;&gt;C:\Users\stu\Documents\GitHub\eaglep3-reporting\EC\2017-09-14-refined-times.txt</v>
      </c>
      <c r="AI162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{"issue":{"subject":"","project_id":79,"tracker_id":40,"status_id":1,"priority_id":2,"assigned_to_id":338,"start_date":"2017-09-14","description":"","custom_fields":[{"id":1,"name":"Subdivision","value":"NW"},{"id":4,"name":"Milepost","value":"5.9012"},{"id":17,"name":"Train ID","value":"801-14"},{"id":16,"name":"Locomotive ID","value":"4014"},{"id":130,"name":"Impact","value":""},{"id":150,"name":"Time of Event (Mountain Time)","value":"05:54:39"},{"id":151,"name":"Denver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4014 --day 2017-09-14</v>
      </c>
      <c r="AN162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578</v>
      </c>
      <c r="B163" s="7">
        <v>4013</v>
      </c>
      <c r="C163" s="21" t="s">
        <v>197</v>
      </c>
      <c r="D163" s="21" t="s">
        <v>925</v>
      </c>
      <c r="E163" s="13">
        <v>42992.24726851852</v>
      </c>
      <c r="F163" s="13">
        <v>42992.259074074071</v>
      </c>
      <c r="G163" s="7">
        <v>64</v>
      </c>
      <c r="H163" s="21" t="s">
        <v>495</v>
      </c>
      <c r="I163" s="13">
        <v>42992.267881944441</v>
      </c>
      <c r="J163" s="7">
        <v>1</v>
      </c>
      <c r="K163" s="89" t="str">
        <f t="shared" si="60"/>
        <v>4013/4014</v>
      </c>
      <c r="L163" s="189" t="str">
        <f>VLOOKUP(A163,'Trips&amp;Operators'!$C$1:$G$99911,5,FALSE)</f>
        <v>DAVIS WENDY</v>
      </c>
      <c r="M163" s="6">
        <f t="shared" si="61"/>
        <v>8.8078703702194616E-3</v>
      </c>
      <c r="N163" s="7">
        <f t="shared" si="58"/>
        <v>12.683333333116025</v>
      </c>
      <c r="O163" s="7"/>
      <c r="P163" s="7"/>
      <c r="Q163" s="22"/>
      <c r="R163" s="167"/>
      <c r="S163" s="217">
        <f t="shared" si="59"/>
        <v>1</v>
      </c>
      <c r="T163" s="175" t="str">
        <f t="shared" si="62"/>
        <v>Southbound</v>
      </c>
      <c r="U163" s="20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26" t="str">
        <f t="shared" si="63"/>
        <v>https://d0f6bd738d7f1b3e5a7ca70fe4ff75f0.us-east-1.aws.found.io/app/kibana#/discover/Steve-Slow-Train-Analysis-(2080s-and-2083s)?_g=(refreshInterval:(display:Off,pause:!f,section:0,value:0),time:(from:'2017-09-14T04:56:04-0600',mode:absolute,to:'2017-09-14T07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210" t="str">
        <f>IF(AA163&lt;VLOOKUP(AG163,Variables!$AC$3:$AD$8,2,FALSE),"Y","N")</f>
        <v>N</v>
      </c>
      <c r="X163" s="210">
        <f t="shared" si="64"/>
        <v>1</v>
      </c>
      <c r="Y163" s="210">
        <f t="shared" si="78"/>
        <v>5.8704999999999998</v>
      </c>
      <c r="Z163" s="210">
        <f t="shared" si="79"/>
        <v>6.8500000000000005E-2</v>
      </c>
      <c r="AA163" s="210">
        <f t="shared" si="65"/>
        <v>5.8019999999999996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83">
        <f t="shared" si="66"/>
        <v>802</v>
      </c>
      <c r="AE163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63" s="74" t="str">
        <f t="shared" si="68"/>
        <v>"C:\Program Files (x86)\AstroGrep\AstroGrep.exe" /e /r /s /spath="%USERPROFILE%\AppData\Local\Temp\OnboardLogs" /stypes="app*4013*20170914*" /stext=" 12:.+((SYSTEM_STATE.+slice.+state.+changed )|(ment ac)|(multiple cpu faults)|(system.+state.+changed )|(\[timeout)|(PRM\|1\|D)|(kpr)|(kdp)|(train st.+moving)|(\|lc)|(penalty))"</v>
      </c>
      <c r="AG163" s="186" t="str">
        <f t="shared" si="69"/>
        <v>NW</v>
      </c>
      <c r="AH163" s="78" t="str">
        <f t="shared" si="70"/>
        <v>"%USERPROFILE%\Documents\GitHub\eaglep3\Utilities\RefineRTDCRunTimes.py" --tripid 802-14 --locoid 4013 --swversion DE.1.0.9.0 --startMP 300:58705 --initTime 2017-09-14T05:56:04 --startdatetime 2017-09-14T06:13:04 --delay 64 --endMP 204:685 --enddatetime 2017-09-14T06:25:45 --enforcementcount 1 &gt;&gt;C:\Users\stu\Documents\GitHub\eaglep3-reporting\EC\2017-09-14-refined-times.txt</v>
      </c>
      <c r="AI163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{"issue":{"subject":"","project_id":79,"tracker_id":40,"status_id":1,"priority_id":2,"assigned_to_id":338,"start_date":"2017-09-14","description":"","custom_fields":[{"id":1,"name":"Subdivision","value":"NW"},{"id":4,"name":"Milepost","value":"0.0685"},{"id":17,"name":"Train ID","value":"802-14"},{"id":16,"name":"Locomotive ID","value":"4013"},{"id":130,"name":"Impact","value":""},{"id":150,"name":"Time of Event (Mountain Time)","value":"06:25:45"},{"id":151,"name":"Denver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2"/>
        <v>start /low /b %USERPROFILE%\Documents\GitHub\eaglep3\Utilities\DownloadLogsFromS3.py --loco 4013 --day 2017-09-14</v>
      </c>
      <c r="AN163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646</v>
      </c>
      <c r="B164" s="7">
        <v>4034</v>
      </c>
      <c r="C164" s="21" t="s">
        <v>197</v>
      </c>
      <c r="D164" s="21" t="s">
        <v>492</v>
      </c>
      <c r="E164" s="13">
        <v>42992.247731481482</v>
      </c>
      <c r="F164" s="13">
        <v>42992.256631944445</v>
      </c>
      <c r="G164" s="7">
        <v>68</v>
      </c>
      <c r="H164" s="21" t="s">
        <v>926</v>
      </c>
      <c r="I164" s="13">
        <v>42992.266932870371</v>
      </c>
      <c r="J164" s="7">
        <v>1</v>
      </c>
      <c r="K164" s="89" t="str">
        <f t="shared" si="60"/>
        <v>4033/4034</v>
      </c>
      <c r="L164" s="189" t="str">
        <f>VLOOKUP(A164,'Trips&amp;Operators'!$C$1:$G$99911,5,FALSE)</f>
        <v>FORTUNATO FRANK</v>
      </c>
      <c r="M164" s="6">
        <f t="shared" si="61"/>
        <v>1.0300925925548654E-2</v>
      </c>
      <c r="N164" s="7">
        <f t="shared" si="58"/>
        <v>14.833333332790062</v>
      </c>
      <c r="O164" s="7"/>
      <c r="P164" s="7"/>
      <c r="Q164" s="22"/>
      <c r="R164" s="167"/>
      <c r="S164" s="217">
        <f t="shared" si="59"/>
        <v>1</v>
      </c>
      <c r="T164" s="175" t="str">
        <f t="shared" si="62"/>
        <v>NorthBound</v>
      </c>
      <c r="U164" s="20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26" t="str">
        <f t="shared" si="63"/>
        <v>https://d0f6bd738d7f1b3e5a7ca70fe4ff75f0.us-east-1.aws.found.io/app/kibana#/discover/Steve-Slow-Train-Analysis-(2080s-and-2083s)?_g=(refreshInterval:(display:Off,pause:!f,section:0,value:0),time:(from:'2017-09-14T04:56:44-0600',mode:absolute,to:'2017-09-14T07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4" s="210" t="str">
        <f>IF(AA164&lt;VLOOKUP(AG164,Variables!$AC$3:$AD$8,2,FALSE),"Y","N")</f>
        <v>N</v>
      </c>
      <c r="X164" s="210">
        <f t="shared" si="64"/>
        <v>1</v>
      </c>
      <c r="Y164" s="210">
        <f t="shared" si="78"/>
        <v>9.8299999999999998E-2</v>
      </c>
      <c r="Z164" s="210">
        <f t="shared" si="79"/>
        <v>5.8960999999999997</v>
      </c>
      <c r="AA164" s="210">
        <f t="shared" si="65"/>
        <v>5.7977999999999996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83">
        <f t="shared" si="66"/>
        <v>803</v>
      </c>
      <c r="AE164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64" s="74" t="str">
        <f t="shared" si="68"/>
        <v>"C:\Program Files (x86)\AstroGrep\AstroGrep.exe" /e /r /s /spath="%USERPROFILE%\AppData\Local\Temp\OnboardLogs" /stypes="app*4034*20170914*" /stext=" 12:.+((SYSTEM_STATE.+slice.+state.+changed )|(ment ac)|(multiple cpu faults)|(system.+state.+changed )|(\[timeout)|(PRM\|1\|D)|(kpr)|(kdp)|(train st.+moving)|(\|lc)|(penalty))"</v>
      </c>
      <c r="AG164" s="186" t="str">
        <f t="shared" si="69"/>
        <v>NW</v>
      </c>
      <c r="AH164" s="78" t="str">
        <f t="shared" si="70"/>
        <v>"%USERPROFILE%\Documents\GitHub\eaglep3\Utilities\RefineRTDCRunTimes.py" --tripid 803-14 --locoid 4034 --swversion DE.1.0.9.0 --startMP 204:983 --initTime 2017-09-14T05:56:44 --startdatetime 2017-09-14T06:09:33 --delay 68 --endMP 300:58961 --enddatetime 2017-09-14T06:24:23 --enforcementcount 1 &gt;&gt;C:\Users\stu\Documents\GitHub\eaglep3-reporting\EC\2017-09-14-refined-times.txt</v>
      </c>
      <c r="AI164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{"issue":{"subject":"","project_id":79,"tracker_id":40,"status_id":1,"priority_id":2,"assigned_to_id":338,"start_date":"2017-09-14","description":"","custom_fields":[{"id":1,"name":"Subdivision","value":"NW"},{"id":4,"name":"Milepost","value":"5.8961"},{"id":17,"name":"Train ID","value":"803-14"},{"id":16,"name":"Locomotive ID","value":"4034"},{"id":130,"name":"Impact","value":""},{"id":150,"name":"Time of Event (Mountain Time)","value":"06:24:23"},{"id":151,"name":"Denver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4034 --day 2017-09-14</v>
      </c>
      <c r="AN164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650</v>
      </c>
      <c r="B165" s="7">
        <v>4033</v>
      </c>
      <c r="C165" s="21" t="s">
        <v>197</v>
      </c>
      <c r="D165" s="21" t="s">
        <v>564</v>
      </c>
      <c r="E165" s="13">
        <v>42992.268437500003</v>
      </c>
      <c r="F165" s="13">
        <v>42992.278449074074</v>
      </c>
      <c r="G165" s="7">
        <v>52</v>
      </c>
      <c r="H165" s="21" t="s">
        <v>927</v>
      </c>
      <c r="I165" s="13">
        <v>42992.288356481484</v>
      </c>
      <c r="J165" s="7">
        <v>1</v>
      </c>
      <c r="K165" s="89" t="str">
        <f t="shared" si="60"/>
        <v>4033/4034</v>
      </c>
      <c r="L165" s="189" t="str">
        <f>VLOOKUP(A165,'Trips&amp;Operators'!$C$1:$G$99911,5,FALSE)</f>
        <v>FORTUNATO FRANK</v>
      </c>
      <c r="M165" s="6">
        <f t="shared" si="61"/>
        <v>9.9074074096279219E-3</v>
      </c>
      <c r="N165" s="7">
        <f t="shared" si="58"/>
        <v>14.266666669864208</v>
      </c>
      <c r="O165" s="7"/>
      <c r="P165" s="7"/>
      <c r="Q165" s="22"/>
      <c r="R165" s="167"/>
      <c r="S165" s="217">
        <f t="shared" si="59"/>
        <v>1</v>
      </c>
      <c r="T165" s="175" t="str">
        <f t="shared" si="62"/>
        <v>Southbound</v>
      </c>
      <c r="U165" s="20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26" t="str">
        <f t="shared" si="63"/>
        <v>https://d0f6bd738d7f1b3e5a7ca70fe4ff75f0.us-east-1.aws.found.io/app/kibana#/discover/Steve-Slow-Train-Analysis-(2080s-and-2083s)?_g=(refreshInterval:(display:Off,pause:!f,section:0,value:0),time:(from:'2017-09-14T05:26:33-0600',mode:absolute,to:'2017-09-14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5" s="210" t="str">
        <f>IF(AA165&lt;VLOOKUP(AG165,Variables!$AC$3:$AD$8,2,FALSE),"Y","N")</f>
        <v>N</v>
      </c>
      <c r="X165" s="210">
        <f t="shared" si="64"/>
        <v>1</v>
      </c>
      <c r="Y165" s="210">
        <f t="shared" si="78"/>
        <v>5.8648999999999996</v>
      </c>
      <c r="Z165" s="210">
        <f t="shared" si="79"/>
        <v>6.8199999999999997E-2</v>
      </c>
      <c r="AA165" s="210">
        <f t="shared" si="65"/>
        <v>5.7966999999999995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83">
        <f t="shared" si="66"/>
        <v>804</v>
      </c>
      <c r="AE165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65" s="74" t="str">
        <f t="shared" si="68"/>
        <v>"C:\Program Files (x86)\AstroGrep\AstroGrep.exe" /e /r /s /spath="%USERPROFILE%\AppData\Local\Temp\OnboardLogs" /stypes="app*4033*20170914*" /stext=" 12:.+((SYSTEM_STATE.+slice.+state.+changed )|(ment ac)|(multiple cpu faults)|(system.+state.+changed )|(\[timeout)|(PRM\|1\|D)|(kpr)|(kdp)|(train st.+moving)|(\|lc)|(penalty))"</v>
      </c>
      <c r="AG165" s="186" t="str">
        <f t="shared" si="69"/>
        <v>NW</v>
      </c>
      <c r="AH165" s="78" t="str">
        <f t="shared" si="70"/>
        <v>"%USERPROFILE%\Documents\GitHub\eaglep3\Utilities\RefineRTDCRunTimes.py" --tripid 804-14 --locoid 4033 --swversion DE.1.0.9.0 --startMP 300:58649 --initTime 2017-09-14T06:26:33 --startdatetime 2017-09-14T06:40:58 --delay 52 --endMP 204:682 --enddatetime 2017-09-14T06:55:14 --enforcementcount 1 &gt;&gt;C:\Users\stu\Documents\GitHub\eaglep3-reporting\EC\2017-09-14-refined-times.txt</v>
      </c>
      <c r="AI165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{"issue":{"subject":"","project_id":79,"tracker_id":40,"status_id":1,"priority_id":2,"assigned_to_id":338,"start_date":"2017-09-14","description":"","custom_fields":[{"id":1,"name":"Subdivision","value":"NW"},{"id":4,"name":"Milepost","value":"0.0682"},{"id":17,"name":"Train ID","value":"804-14"},{"id":16,"name":"Locomotive ID","value":"4033"},{"id":130,"name":"Impact","value":""},{"id":150,"name":"Time of Event (Mountain Time)","value":"06:55:14"},{"id":151,"name":"Denver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2"/>
        <v>start /low /b %USERPROFILE%\Documents\GitHub\eaglep3\Utilities\DownloadLogsFromS3.py --loco 4033 --day 2017-09-14</v>
      </c>
      <c r="AN165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579</v>
      </c>
      <c r="B166" s="7">
        <v>4014</v>
      </c>
      <c r="C166" s="21" t="s">
        <v>197</v>
      </c>
      <c r="D166" s="21" t="s">
        <v>564</v>
      </c>
      <c r="E166" s="13">
        <v>42992.268437500003</v>
      </c>
      <c r="F166" s="13">
        <v>42992.277557870373</v>
      </c>
      <c r="G166" s="7">
        <v>52</v>
      </c>
      <c r="H166" s="21" t="s">
        <v>927</v>
      </c>
      <c r="I166" s="13">
        <v>42992.288240740738</v>
      </c>
      <c r="J166" s="7">
        <v>1</v>
      </c>
      <c r="K166" s="89" t="str">
        <f t="shared" si="60"/>
        <v>4013/4014</v>
      </c>
      <c r="L166" s="189" t="str">
        <f>VLOOKUP(A166,'Trips&amp;Operators'!$C$1:$G$99911,5,FALSE)</f>
        <v>DAVIS WENDY</v>
      </c>
      <c r="M166" s="6">
        <f t="shared" si="61"/>
        <v>1.0682870364689734E-2</v>
      </c>
      <c r="N166" s="7">
        <f t="shared" si="58"/>
        <v>15.383333325153217</v>
      </c>
      <c r="O166" s="7"/>
      <c r="P166" s="7"/>
      <c r="Q166" s="22"/>
      <c r="R166" s="167"/>
      <c r="S166" s="217">
        <f t="shared" si="59"/>
        <v>1</v>
      </c>
      <c r="T166" s="175" t="str">
        <f t="shared" si="62"/>
        <v>NorthBound</v>
      </c>
      <c r="U166" s="20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26" t="str">
        <f t="shared" si="63"/>
        <v>https://d0f6bd738d7f1b3e5a7ca70fe4ff75f0.us-east-1.aws.found.io/app/kibana#/discover/Steve-Slow-Train-Analysis-(2080s-and-2083s)?_g=(refreshInterval:(display:Off,pause:!f,section:0,value:0),time:(from:'2017-09-14T05:26:33-0600',mode:absolute,to:'2017-09-14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210" t="str">
        <f>IF(AA166&lt;VLOOKUP(AG166,Variables!$AC$3:$AD$8,2,FALSE),"Y","N")</f>
        <v>N</v>
      </c>
      <c r="X166" s="210">
        <f t="shared" si="64"/>
        <v>1</v>
      </c>
      <c r="Y166" s="210">
        <v>9.8299999999999998E-2</v>
      </c>
      <c r="Z166" s="210">
        <v>5.8960999999999997</v>
      </c>
      <c r="AA166" s="210">
        <f t="shared" si="65"/>
        <v>5.7977999999999996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83">
        <f t="shared" si="66"/>
        <v>805</v>
      </c>
      <c r="AE166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66" s="74" t="str">
        <f t="shared" si="68"/>
        <v>"C:\Program Files (x86)\AstroGrep\AstroGrep.exe" /e /r /s /spath="%USERPROFILE%\AppData\Local\Temp\OnboardLogs" /stypes="app*4014*20170914*" /stext=" 12:.+((SYSTEM_STATE.+slice.+state.+changed )|(ment ac)|(multiple cpu faults)|(system.+state.+changed )|(\[timeout)|(PRM\|1\|D)|(kpr)|(kdp)|(train st.+moving)|(\|lc)|(penalty))"</v>
      </c>
      <c r="AG166" s="186" t="str">
        <f t="shared" si="69"/>
        <v>NW</v>
      </c>
      <c r="AH166" s="78" t="str">
        <f t="shared" ref="AH166" si="80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805-14 --locoid 4014 --swversion DE.1.0.9.0 --startMP 300:58649 --initTime 2017-09-14T06:26:33 --startdatetime 2017-09-14T06:39:41 --delay 52 --endMP 204:682 --enddatetime 2017-09-14T06:55:04 --enforcementcount 1 &gt;&gt;C:\Users\stu\Documents\GitHub\eaglep3-reporting\EC\2017-09-14-refined-times.txt</v>
      </c>
      <c r="AI166" s="96" t="str">
        <f t="shared" ref="AI166" si="81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{"issue":{"subject":"","project_id":79,"tracker_id":40,"status_id":1,"priority_id":2,"assigned_to_id":338,"start_date":"2017-09-14","description":"","custom_fields":[{"id":1,"name":"Subdivision","value":"NW"},{"id":4,"name":"Milepost","value":"5.8961"},{"id":17,"name":"Train ID","value":"805-14"},{"id":16,"name":"Locomotive ID","value":"4014"},{"id":130,"name":"Impact","value":""},{"id":150,"name":"Time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ref="AM166" si="82">"start /low /b "&amp;dls3logs&amp;" --loco "&amp;B166&amp;" --day "&amp;TEXT(F166,"YYYY-MM-DD")</f>
        <v>start /low /b %USERPROFILE%\Documents\GitHub\eaglep3\Utilities\DownloadLogsFromS3.py --loco 4014 --day 2017-09-14</v>
      </c>
      <c r="AN166" s="151" t="str">
        <f t="shared" ref="AN166" si="83"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582</v>
      </c>
      <c r="B167" s="7">
        <v>4013</v>
      </c>
      <c r="C167" s="21" t="s">
        <v>197</v>
      </c>
      <c r="D167" s="21" t="s">
        <v>564</v>
      </c>
      <c r="E167" s="13">
        <v>42992.268437500003</v>
      </c>
      <c r="F167" s="13">
        <v>42992.300752314812</v>
      </c>
      <c r="G167" s="7">
        <v>52</v>
      </c>
      <c r="H167" s="21" t="s">
        <v>927</v>
      </c>
      <c r="I167" s="13">
        <v>42992.310335648152</v>
      </c>
      <c r="J167" s="7">
        <v>1</v>
      </c>
      <c r="K167" s="89" t="str">
        <f t="shared" si="60"/>
        <v>4013/4014</v>
      </c>
      <c r="L167" s="189" t="str">
        <f>VLOOKUP(A167,'Trips&amp;Operators'!$C$1:$G$99911,5,FALSE)</f>
        <v>DAVIS WENDY</v>
      </c>
      <c r="M167" s="6">
        <f t="shared" si="61"/>
        <v>9.5833333398331888E-3</v>
      </c>
      <c r="N167" s="7">
        <f t="shared" si="58"/>
        <v>13.800000009359792</v>
      </c>
      <c r="O167" s="7"/>
      <c r="P167" s="7"/>
      <c r="Q167" s="22"/>
      <c r="R167" s="167"/>
      <c r="S167" s="217">
        <f t="shared" si="59"/>
        <v>1</v>
      </c>
      <c r="T167" s="175" t="str">
        <f t="shared" si="62"/>
        <v>Southbound</v>
      </c>
      <c r="U167" s="20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26" t="str">
        <f t="shared" si="63"/>
        <v>https://d0f6bd738d7f1b3e5a7ca70fe4ff75f0.us-east-1.aws.found.io/app/kibana#/discover/Steve-Slow-Train-Analysis-(2080s-and-2083s)?_g=(refreshInterval:(display:Off,pause:!f,section:0,value:0),time:(from:'2017-09-14T05:26:33-0600',mode:absolute,to:'2017-09-14T08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210" t="str">
        <f>IF(AA167&lt;VLOOKUP(AG167,Variables!$AC$3:$AD$8,2,FALSE),"Y","N")</f>
        <v>N</v>
      </c>
      <c r="X167" s="210">
        <f t="shared" ref="X167:X168" si="84">VALUE(LEFT(AD167,4))-VALUE(LEFT(AD166,4))</f>
        <v>1</v>
      </c>
      <c r="Y167" s="210">
        <v>5.8648999999999996</v>
      </c>
      <c r="Z167" s="210">
        <v>6.8199999999999997E-2</v>
      </c>
      <c r="AA167" s="210">
        <f t="shared" si="65"/>
        <v>5.7966999999999995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83">
        <f t="shared" si="66"/>
        <v>806</v>
      </c>
      <c r="AE167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67" s="74" t="str">
        <f t="shared" si="68"/>
        <v>"C:\Program Files (x86)\AstroGrep\AstroGrep.exe" /e /r /s /spath="%USERPROFILE%\AppData\Local\Temp\OnboardLogs" /stypes="app*4013*20170914*" /stext=" 13:.+((SYSTEM_STATE.+slice.+state.+changed )|(ment ac)|(multiple cpu faults)|(system.+state.+changed )|(\[timeout)|(PRM\|1\|D)|(kpr)|(kdp)|(train st.+moving)|(\|lc)|(penalty))"</v>
      </c>
      <c r="AG167" s="186" t="str">
        <f t="shared" si="69"/>
        <v>NW</v>
      </c>
      <c r="AH167" s="78" t="str">
        <f t="shared" ref="AH167" si="85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806-14 --locoid 4013 --swversion DE.1.0.9.0 --startMP 300:58649 --initTime 2017-09-14T06:26:33 --startdatetime 2017-09-14T07:13:05 --delay 52 --endMP 204:682 --enddatetime 2017-09-14T07:26:53 --enforcementcount 1 &gt;&gt;C:\Users\stu\Documents\GitHub\eaglep3-reporting\EC\2017-09-14-refined-times.txt</v>
      </c>
      <c r="AI167" s="96" t="str">
        <f t="shared" ref="AI167" si="86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{"issue":{"subject":"","project_id":79,"tracker_id":40,"status_id":1,"priority_id":2,"assigned_to_id":338,"start_date":"2017-09-14","description":"","custom_fields":[{"id":1,"name":"Subdivision","value":"NW"},{"id":4,"name":"Milepost","value":"0.0682"},{"id":17,"name":"Train ID","value":"806-14"},{"id":16,"name":"Locomotive ID","value":"4013"},{"id":130,"name":"Impact","value":""},{"id":150,"name":"Time of Event (Mountain Time)","value":"07:26:53"},{"id":151,"name":"Denver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ref="AM167" si="87">"start /low /b "&amp;dls3logs&amp;" --loco "&amp;B167&amp;" --day "&amp;TEXT(F167,"YYYY-MM-DD")</f>
        <v>start /low /b %USERPROFILE%\Documents\GitHub\eaglep3\Utilities\DownloadLogsFromS3.py --loco 4013 --day 2017-09-14</v>
      </c>
      <c r="AN167" s="151" t="str">
        <f t="shared" ref="AN167" si="88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581</v>
      </c>
      <c r="B168" s="7">
        <v>4034</v>
      </c>
      <c r="C168" s="21" t="s">
        <v>197</v>
      </c>
      <c r="D168" s="21" t="s">
        <v>928</v>
      </c>
      <c r="E168" s="13">
        <v>42992.291689814818</v>
      </c>
      <c r="F168" s="13">
        <v>42992.298113425924</v>
      </c>
      <c r="G168" s="7">
        <v>97</v>
      </c>
      <c r="H168" s="21" t="s">
        <v>929</v>
      </c>
      <c r="I168" s="13">
        <v>42992.308368055557</v>
      </c>
      <c r="J168" s="7">
        <v>1</v>
      </c>
      <c r="K168" s="89" t="str">
        <f t="shared" si="60"/>
        <v>4033/4034</v>
      </c>
      <c r="L168" s="189" t="str">
        <f>VLOOKUP(A168,'Trips&amp;Operators'!$C$1:$G$99911,5,FALSE)</f>
        <v>FORTUNATO FRANK</v>
      </c>
      <c r="M168" s="6">
        <f t="shared" si="61"/>
        <v>1.025462963298196E-2</v>
      </c>
      <c r="N168" s="7">
        <f t="shared" si="58"/>
        <v>14.766666671494022</v>
      </c>
      <c r="O168" s="7"/>
      <c r="P168" s="7"/>
      <c r="Q168" s="22"/>
      <c r="R168" s="167"/>
      <c r="S168" s="217">
        <f t="shared" si="59"/>
        <v>1</v>
      </c>
      <c r="T168" s="175" t="str">
        <f t="shared" si="62"/>
        <v>NorthBound</v>
      </c>
      <c r="U168" s="20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26" t="str">
        <f t="shared" si="63"/>
        <v>https://d0f6bd738d7f1b3e5a7ca70fe4ff75f0.us-east-1.aws.found.io/app/kibana#/discover/Steve-Slow-Train-Analysis-(2080s-and-2083s)?_g=(refreshInterval:(display:Off,pause:!f,section:0,value:0),time:(from:'2017-09-14T06:00:02-0600',mode:absolute,to:'2017-09-14T08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68" s="210" t="str">
        <f>IF(AA168&lt;VLOOKUP(AG168,Variables!$AC$3:$AD$8,2,FALSE),"Y","N")</f>
        <v>N</v>
      </c>
      <c r="X168" s="210">
        <f t="shared" si="84"/>
        <v>1</v>
      </c>
      <c r="Y168" s="210">
        <f t="shared" ref="Y168:Y185" si="89">RIGHT(D168,LEN(D168)-4)/10000</f>
        <v>9.5799999999999996E-2</v>
      </c>
      <c r="Z168" s="210">
        <f t="shared" ref="Z168:Z185" si="90">RIGHT(H168,LEN(H168)-4)/10000</f>
        <v>5.9020000000000001</v>
      </c>
      <c r="AA168" s="210">
        <f t="shared" si="65"/>
        <v>5.8062000000000005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83">
        <f t="shared" si="66"/>
        <v>807</v>
      </c>
      <c r="AE168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68" s="74" t="str">
        <f t="shared" si="68"/>
        <v>"C:\Program Files (x86)\AstroGrep\AstroGrep.exe" /e /r /s /spath="%USERPROFILE%\AppData\Local\Temp\OnboardLogs" /stypes="app*4034*20170914*" /stext=" 13:.+((SYSTEM_STATE.+slice.+state.+changed )|(ment ac)|(multiple cpu faults)|(system.+state.+changed )|(\[timeout)|(PRM\|1\|D)|(kpr)|(kdp)|(train st.+moving)|(\|lc)|(penalty))"</v>
      </c>
      <c r="AG168" s="186" t="str">
        <f t="shared" si="69"/>
        <v>NW</v>
      </c>
      <c r="AH168" s="78" t="str">
        <f t="shared" si="70"/>
        <v>"%USERPROFILE%\Documents\GitHub\eaglep3\Utilities\RefineRTDCRunTimes.py" --tripid 807-14 --locoid 4034 --swversion DE.1.0.9.0 --startMP 204:958 --initTime 2017-09-14T07:00:02 --startdatetime 2017-09-14T07:09:17 --delay 97 --endMP 300:59020 --enddatetime 2017-09-14T07:24:03 --enforcementcount 1 &gt;&gt;C:\Users\stu\Documents\GitHub\eaglep3-reporting\EC\2017-09-14-refined-times.txt</v>
      </c>
      <c r="AI168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{"issue":{"subject":"","project_id":79,"tracker_id":40,"status_id":1,"priority_id":2,"assigned_to_id":338,"start_date":"2017-09-14","description":"","custom_fields":[{"id":1,"name":"Subdivision","value":"NW"},{"id":4,"name":"Milepost","value":"5.902"},{"id":17,"name":"Train ID","value":"807-14"},{"id":16,"name":"Locomotive ID","value":"4034"},{"id":130,"name":"Impact","value":""},{"id":150,"name":"Time of Event (Mountain Time)","value":"07:24:03"},{"id":151,"name":"Denver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4034 --day 2017-09-14</v>
      </c>
      <c r="AN168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660</v>
      </c>
      <c r="B169" s="7">
        <v>4033</v>
      </c>
      <c r="C169" s="21" t="s">
        <v>197</v>
      </c>
      <c r="D169" s="21" t="s">
        <v>930</v>
      </c>
      <c r="E169" s="13">
        <v>42992.310289351852</v>
      </c>
      <c r="F169" s="13">
        <v>42992.315266203703</v>
      </c>
      <c r="G169" s="7">
        <v>73</v>
      </c>
      <c r="H169" s="21" t="s">
        <v>567</v>
      </c>
      <c r="I169" s="13">
        <v>42992.331828703704</v>
      </c>
      <c r="J169" s="7">
        <v>1</v>
      </c>
      <c r="K169" s="89" t="str">
        <f t="shared" si="60"/>
        <v>4033/4034</v>
      </c>
      <c r="L169" s="189" t="str">
        <f>VLOOKUP(A169,'Trips&amp;Operators'!$C$1:$G$99911,5,FALSE)</f>
        <v>FORTUNATO FRANK</v>
      </c>
      <c r="M169" s="6">
        <f t="shared" si="61"/>
        <v>1.6562500000873115E-2</v>
      </c>
      <c r="N169" s="7">
        <f t="shared" si="58"/>
        <v>23.850000001257285</v>
      </c>
      <c r="O169" s="7"/>
      <c r="P169" s="7"/>
      <c r="Q169" s="22"/>
      <c r="R169" s="167"/>
      <c r="S169" s="217">
        <f t="shared" si="59"/>
        <v>1</v>
      </c>
      <c r="T169" s="175" t="str">
        <f t="shared" si="62"/>
        <v>Southbound</v>
      </c>
      <c r="U169" s="20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26" t="str">
        <f t="shared" si="63"/>
        <v>https://d0f6bd738d7f1b3e5a7ca70fe4ff75f0.us-east-1.aws.found.io/app/kibana#/discover/Steve-Slow-Train-Analysis-(2080s-and-2083s)?_g=(refreshInterval:(display:Off,pause:!f,section:0,value:0),time:(from:'2017-09-14T06:26:49-0600',mode:absolute,to:'2017-09-14T08:57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9" s="210" t="str">
        <f>IF(AA169&lt;VLOOKUP(AG169,Variables!$AC$3:$AD$8,2,FALSE),"Y","N")</f>
        <v>N</v>
      </c>
      <c r="X169" s="210">
        <f t="shared" ref="X169:X185" si="91">VALUE(LEFT(AD169,4))-VALUE(LEFT(AD168,4))</f>
        <v>1</v>
      </c>
      <c r="Y169" s="210">
        <f t="shared" si="89"/>
        <v>5.8693999999999997</v>
      </c>
      <c r="Z169" s="210">
        <f t="shared" si="90"/>
        <v>6.8900000000000003E-2</v>
      </c>
      <c r="AA169" s="210">
        <f t="shared" si="65"/>
        <v>5.8004999999999995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83">
        <f t="shared" si="66"/>
        <v>808</v>
      </c>
      <c r="AE169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69" s="74" t="str">
        <f t="shared" si="68"/>
        <v>"C:\Program Files (x86)\AstroGrep\AstroGrep.exe" /e /r /s /spath="%USERPROFILE%\AppData\Local\Temp\OnboardLogs" /stypes="app*4033*20170914*" /stext=" 13:.+((SYSTEM_STATE.+slice.+state.+changed )|(ment ac)|(multiple cpu faults)|(system.+state.+changed )|(\[timeout)|(PRM\|1\|D)|(kpr)|(kdp)|(train st.+moving)|(\|lc)|(penalty))"</v>
      </c>
      <c r="AG169" s="186" t="str">
        <f t="shared" si="69"/>
        <v>NW</v>
      </c>
      <c r="AH169" s="78" t="str">
        <f t="shared" si="70"/>
        <v>"%USERPROFILE%\Documents\GitHub\eaglep3\Utilities\RefineRTDCRunTimes.py" --tripid 808-14 --locoid 4033 --swversion DE.1.0.9.0 --startMP 300:58694 --initTime 2017-09-14T07:26:49 --startdatetime 2017-09-14T07:33:59 --delay 73 --endMP 204:689 --enddatetime 2017-09-14T07:57:50 --enforcementcount 1 &gt;&gt;C:\Users\stu\Documents\GitHub\eaglep3-reporting\EC\2017-09-14-refined-times.txt</v>
      </c>
      <c r="AI169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{"issue":{"subject":"","project_id":79,"tracker_id":40,"status_id":1,"priority_id":2,"assigned_to_id":338,"start_date":"2017-09-14","description":"","custom_fields":[{"id":1,"name":"Subdivision","value":"NW"},{"id":4,"name":"Milepost","value":"0.0689"},{"id":17,"name":"Train ID","value":"808-14"},{"id":16,"name":"Locomotive ID","value":"4033"},{"id":130,"name":"Impact","value":""},{"id":150,"name":"Time of Event (Mountain Time)","value":"07:57:50"},{"id":151,"name":"Denver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4033 --day 2017-09-14</v>
      </c>
      <c r="AN169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13:57:50"},{"id":29,"name":"Sharepoint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583</v>
      </c>
      <c r="B170" s="7">
        <v>4014</v>
      </c>
      <c r="C170" s="21" t="s">
        <v>197</v>
      </c>
      <c r="D170" s="21" t="s">
        <v>931</v>
      </c>
      <c r="E170" s="13">
        <v>42992.316423611112</v>
      </c>
      <c r="F170" s="13">
        <v>42992.318923611114</v>
      </c>
      <c r="G170" s="7">
        <v>65</v>
      </c>
      <c r="H170" s="21" t="s">
        <v>932</v>
      </c>
      <c r="I170" s="13">
        <v>42992.33085648148</v>
      </c>
      <c r="J170" s="7">
        <v>1</v>
      </c>
      <c r="K170" s="89" t="str">
        <f t="shared" si="60"/>
        <v>4013/4014</v>
      </c>
      <c r="L170" s="189" t="str">
        <f>VLOOKUP(A170,'Trips&amp;Operators'!$C$1:$G$99911,5,FALSE)</f>
        <v>DAVIS WENDY</v>
      </c>
      <c r="M170" s="6">
        <f t="shared" si="61"/>
        <v>1.1932870365853887E-2</v>
      </c>
      <c r="N170" s="7">
        <f t="shared" si="58"/>
        <v>17.183333326829597</v>
      </c>
      <c r="O170" s="7"/>
      <c r="P170" s="7"/>
      <c r="Q170" s="22"/>
      <c r="R170" s="167"/>
      <c r="S170" s="217">
        <f t="shared" si="59"/>
        <v>1</v>
      </c>
      <c r="T170" s="175" t="str">
        <f t="shared" si="62"/>
        <v>NorthBound</v>
      </c>
      <c r="U170" s="20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26" t="str">
        <f t="shared" si="63"/>
        <v>https://d0f6bd738d7f1b3e5a7ca70fe4ff75f0.us-east-1.aws.found.io/app/kibana#/discover/Steve-Slow-Train-Analysis-(2080s-and-2083s)?_g=(refreshInterval:(display:Off,pause:!f,section:0,value:0),time:(from:'2017-09-14T06:35:39-0600',mode:absolute,to:'2017-09-14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210" t="str">
        <f>IF(AA170&lt;VLOOKUP(AG170,Variables!$AC$3:$AD$8,2,FALSE),"Y","N")</f>
        <v>N</v>
      </c>
      <c r="X170" s="210">
        <f t="shared" si="91"/>
        <v>1</v>
      </c>
      <c r="Y170" s="210">
        <f t="shared" si="89"/>
        <v>0.1002</v>
      </c>
      <c r="Z170" s="210">
        <f t="shared" si="90"/>
        <v>5.9008000000000003</v>
      </c>
      <c r="AA170" s="210">
        <f t="shared" si="65"/>
        <v>5.8006000000000002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83">
        <f t="shared" si="66"/>
        <v>809</v>
      </c>
      <c r="AE170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70" s="74" t="str">
        <f t="shared" si="68"/>
        <v>"C:\Program Files (x86)\AstroGrep\AstroGrep.exe" /e /r /s /spath="%USERPROFILE%\AppData\Local\Temp\OnboardLogs" /stypes="app*4014*20170914*" /stext=" 13:.+((SYSTEM_STATE.+slice.+state.+changed )|(ment ac)|(multiple cpu faults)|(system.+state.+changed )|(\[timeout)|(PRM\|1\|D)|(kpr)|(kdp)|(train st.+moving)|(\|lc)|(penalty))"</v>
      </c>
      <c r="AG170" s="186" t="str">
        <f t="shared" si="69"/>
        <v>NW</v>
      </c>
      <c r="AH170" s="78" t="str">
        <f t="shared" si="70"/>
        <v>"%USERPROFILE%\Documents\GitHub\eaglep3\Utilities\RefineRTDCRunTimes.py" --tripid 809-14 --locoid 4014 --swversion DE.1.0.9.0 --startMP 204:1002 --initTime 2017-09-14T07:35:39 --startdatetime 2017-09-14T07:39:15 --delay 65 --endMP 300:59008 --enddatetime 2017-09-14T07:56:26 --enforcementcount 1 &gt;&gt;C:\Users\stu\Documents\GitHub\eaglep3-reporting\EC\2017-09-14-refined-times.txt</v>
      </c>
      <c r="AI170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{"issue":{"subject":"","project_id":79,"tracker_id":40,"status_id":1,"priority_id":2,"assigned_to_id":338,"start_date":"2017-09-14","description":"","custom_fields":[{"id":1,"name":"Subdivision","value":"NW"},{"id":4,"name":"Milepost","value":"5.9008"},{"id":17,"name":"Train ID","value":"809-14"},{"id":16,"name":"Locomotive ID","value":"4014"},{"id":130,"name":"Impact","value":""},{"id":150,"name":"Time of Event (Mountain Time)","value":"07:56:26"},{"id":151,"name":"Denver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2"/>
        <v>start /low /b %USERPROFILE%\Documents\GitHub\eaglep3\Utilities\DownloadLogsFromS3.py --loco 4014 --day 2017-09-14</v>
      </c>
      <c r="AN170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667</v>
      </c>
      <c r="B171" s="7">
        <v>4013</v>
      </c>
      <c r="C171" s="21" t="s">
        <v>197</v>
      </c>
      <c r="D171" s="21" t="s">
        <v>937</v>
      </c>
      <c r="E171" s="13">
        <v>42992.332662037035</v>
      </c>
      <c r="F171" s="13">
        <v>42992.334178240744</v>
      </c>
      <c r="G171" s="7">
        <v>65</v>
      </c>
      <c r="H171" s="21" t="s">
        <v>339</v>
      </c>
      <c r="I171" s="13">
        <v>42992.351099537038</v>
      </c>
      <c r="J171" s="7">
        <v>1</v>
      </c>
      <c r="K171" s="89" t="str">
        <f t="shared" si="60"/>
        <v>4013/4014</v>
      </c>
      <c r="L171" s="189" t="str">
        <f>VLOOKUP(A171,'Trips&amp;Operators'!$C$1:$G$99911,5,FALSE)</f>
        <v>DAVIS WENDY</v>
      </c>
      <c r="M171" s="6">
        <f t="shared" si="61"/>
        <v>1.6921296293730848E-2</v>
      </c>
      <c r="N171" s="7">
        <f t="shared" ref="N171:N202" si="92">24*60*SUM($M171:$M171)</f>
        <v>24.36666666297242</v>
      </c>
      <c r="O171" s="7"/>
      <c r="P171" s="7"/>
      <c r="Q171" s="22"/>
      <c r="R171" s="167"/>
      <c r="S171" s="217">
        <f t="shared" ref="S171:S202" si="93">1/IF(AG171="EC",12,1)*SUM(U171:U171)</f>
        <v>1</v>
      </c>
      <c r="T171" s="175" t="str">
        <f t="shared" si="62"/>
        <v>Southbound</v>
      </c>
      <c r="U171" s="20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26" t="str">
        <f t="shared" si="63"/>
        <v>https://d0f6bd738d7f1b3e5a7ca70fe4ff75f0.us-east-1.aws.found.io/app/kibana#/discover/Steve-Slow-Train-Analysis-(2080s-and-2083s)?_g=(refreshInterval:(display:Off,pause:!f,section:0,value:0),time:(from:'2017-09-14T06:59:02-0600',mode:absolute,to:'2017-09-14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210" t="str">
        <f>IF(AA171&lt;VLOOKUP(AG171,Variables!$AC$3:$AD$8,2,FALSE),"Y","N")</f>
        <v>N</v>
      </c>
      <c r="X171" s="210">
        <f t="shared" si="91"/>
        <v>1</v>
      </c>
      <c r="Y171" s="210">
        <f t="shared" si="89"/>
        <v>5.8688000000000002</v>
      </c>
      <c r="Z171" s="210">
        <f t="shared" si="90"/>
        <v>1.49E-2</v>
      </c>
      <c r="AA171" s="210">
        <f t="shared" si="65"/>
        <v>5.8539000000000003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83">
        <f t="shared" si="66"/>
        <v>810</v>
      </c>
      <c r="AE171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71" s="74" t="str">
        <f t="shared" si="68"/>
        <v>"C:\Program Files (x86)\AstroGrep\AstroGrep.exe" /e /r /s /spath="%USERPROFILE%\AppData\Local\Temp\OnboardLogs" /stypes="app*4013*20170914*" /stext=" 14:.+((SYSTEM_STATE.+slice.+state.+changed )|(ment ac)|(multiple cpu faults)|(system.+state.+changed )|(\[timeout)|(PRM\|1\|D)|(kpr)|(kdp)|(train st.+moving)|(\|lc)|(penalty))"</v>
      </c>
      <c r="AG171" s="186" t="str">
        <f t="shared" si="69"/>
        <v>NW</v>
      </c>
      <c r="AH171" s="78" t="str">
        <f t="shared" si="70"/>
        <v>"%USERPROFILE%\Documents\GitHub\eaglep3\Utilities\RefineRTDCRunTimes.py" --tripid 810-14 --locoid 4013 --swversion DE.1.0.9.0 --startMP 300:58688 --initTime 2017-09-14T07:59:02 --startdatetime 2017-09-14T08:01:13 --delay 65 --endMP 204:149 --enddatetime 2017-09-14T08:25:35 --enforcementcount 1 &gt;&gt;C:\Users\stu\Documents\GitHub\eaglep3-reporting\EC\2017-09-14-refined-times.txt</v>
      </c>
      <c r="AI171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{"issue":{"subject":"","project_id":79,"tracker_id":40,"status_id":1,"priority_id":2,"assigned_to_id":338,"start_date":"2017-09-14","description":"","custom_fields":[{"id":1,"name":"Subdivision","value":"NW"},{"id":4,"name":"Milepost","value":"0.0149"},{"id":17,"name":"Train ID","value":"810-14"},{"id":16,"name":"Locomotive ID","value":"4013"},{"id":130,"name":"Impact","value":""},{"id":150,"name":"Time of Event (Mountain Time)","value":"08:25:35"},{"id":151,"name":"Denver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2"/>
        <v>start /low /b %USERPROFILE%\Documents\GitHub\eaglep3\Utilities\DownloadLogsFromS3.py --loco 4013 --day 2017-09-14</v>
      </c>
      <c r="AN171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668</v>
      </c>
      <c r="B172" s="7">
        <v>4034</v>
      </c>
      <c r="C172" s="21" t="s">
        <v>197</v>
      </c>
      <c r="D172" s="21" t="s">
        <v>938</v>
      </c>
      <c r="E172" s="13">
        <v>42992.333194444444</v>
      </c>
      <c r="F172" s="13">
        <v>42992.339756944442</v>
      </c>
      <c r="G172" s="7">
        <v>54</v>
      </c>
      <c r="H172" s="21" t="s">
        <v>939</v>
      </c>
      <c r="I172" s="13">
        <v>42992.350289351853</v>
      </c>
      <c r="J172" s="7">
        <v>1</v>
      </c>
      <c r="K172" s="89" t="str">
        <f t="shared" si="60"/>
        <v>4033/4034</v>
      </c>
      <c r="L172" s="189" t="str">
        <f>VLOOKUP(A172,'Trips&amp;Operators'!$C$1:$G$99911,5,FALSE)</f>
        <v>FORTUNATO FRANK</v>
      </c>
      <c r="M172" s="6">
        <f t="shared" si="61"/>
        <v>1.0532407410209998E-2</v>
      </c>
      <c r="N172" s="7">
        <f t="shared" si="92"/>
        <v>15.166666670702398</v>
      </c>
      <c r="O172" s="7"/>
      <c r="P172" s="7"/>
      <c r="Q172" s="22"/>
      <c r="R172" s="167"/>
      <c r="S172" s="217">
        <f t="shared" si="93"/>
        <v>1</v>
      </c>
      <c r="T172" s="175" t="str">
        <f t="shared" si="62"/>
        <v>NorthBound</v>
      </c>
      <c r="U172" s="20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26" t="str">
        <f t="shared" si="63"/>
        <v>https://d0f6bd738d7f1b3e5a7ca70fe4ff75f0.us-east-1.aws.found.io/app/kibana#/discover/Steve-Slow-Train-Analysis-(2080s-and-2083s)?_g=(refreshInterval:(display:Off,pause:!f,section:0,value:0),time:(from:'2017-09-14T06:59:48-0600',mode:absolute,to:'2017-09-14T09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2" s="210" t="str">
        <f>IF(AA172&lt;VLOOKUP(AG172,Variables!$AC$3:$AD$8,2,FALSE),"Y","N")</f>
        <v>N</v>
      </c>
      <c r="X172" s="210">
        <f t="shared" si="91"/>
        <v>1</v>
      </c>
      <c r="Y172" s="210">
        <f t="shared" si="89"/>
        <v>9.8799999999999999E-2</v>
      </c>
      <c r="Z172" s="210">
        <f t="shared" si="90"/>
        <v>5.8943000000000003</v>
      </c>
      <c r="AA172" s="210">
        <f t="shared" si="65"/>
        <v>5.7955000000000005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83">
        <f t="shared" si="66"/>
        <v>811</v>
      </c>
      <c r="AE172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72" s="74" t="str">
        <f t="shared" si="68"/>
        <v>"C:\Program Files (x86)\AstroGrep\AstroGrep.exe" /e /r /s /spath="%USERPROFILE%\AppData\Local\Temp\OnboardLogs" /stypes="app*4034*20170914*" /stext=" 14:.+((SYSTEM_STATE.+slice.+state.+changed )|(ment ac)|(multiple cpu faults)|(system.+state.+changed )|(\[timeout)|(PRM\|1\|D)|(kpr)|(kdp)|(train st.+moving)|(\|lc)|(penalty))"</v>
      </c>
      <c r="AG172" s="186" t="str">
        <f t="shared" si="69"/>
        <v>NW</v>
      </c>
      <c r="AH172" s="78" t="str">
        <f t="shared" si="70"/>
        <v>"%USERPROFILE%\Documents\GitHub\eaglep3\Utilities\RefineRTDCRunTimes.py" --tripid 811-14 --locoid 4034 --swversion DE.1.0.9.0 --startMP 204:988 --initTime 2017-09-14T07:59:48 --startdatetime 2017-09-14T08:09:15 --delay 54 --endMP 300:58943 --enddatetime 2017-09-14T08:24:25 --enforcementcount 1 &gt;&gt;C:\Users\stu\Documents\GitHub\eaglep3-reporting\EC\2017-09-14-refined-times.txt</v>
      </c>
      <c r="AI172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{"issue":{"subject":"","project_id":79,"tracker_id":40,"status_id":1,"priority_id":2,"assigned_to_id":338,"start_date":"2017-09-14","description":"","custom_fields":[{"id":1,"name":"Subdivision","value":"NW"},{"id":4,"name":"Milepost","value":"5.8943"},{"id":17,"name":"Train ID","value":"811-14"},{"id":16,"name":"Locomotive ID","value":"4034"},{"id":130,"name":"Impact","value":""},{"id":150,"name":"Time of Event (Mountain Time)","value":"08:24:25"},{"id":151,"name":"Denver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2"/>
        <v>start /low /b %USERPROFILE%\Documents\GitHub\eaglep3\Utilities\DownloadLogsFromS3.py --loco 4034 --day 2017-09-14</v>
      </c>
      <c r="AN172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674</v>
      </c>
      <c r="B173" s="7">
        <v>4033</v>
      </c>
      <c r="C173" s="21" t="s">
        <v>197</v>
      </c>
      <c r="D173" s="21" t="s">
        <v>494</v>
      </c>
      <c r="E173" s="13">
        <v>42992.351990740739</v>
      </c>
      <c r="F173" s="13">
        <v>42992.357025462959</v>
      </c>
      <c r="G173" s="7">
        <v>73</v>
      </c>
      <c r="H173" s="21" t="s">
        <v>495</v>
      </c>
      <c r="I173" s="13">
        <v>42992.371967592589</v>
      </c>
      <c r="J173" s="7">
        <v>1</v>
      </c>
      <c r="K173" s="89" t="str">
        <f t="shared" si="60"/>
        <v>4033/4034</v>
      </c>
      <c r="L173" s="189" t="str">
        <f>VLOOKUP(A173,'Trips&amp;Operators'!$C$1:$G$99911,5,FALSE)</f>
        <v>FORTUNATO FRANK</v>
      </c>
      <c r="M173" s="6">
        <f t="shared" si="61"/>
        <v>1.4942129630071577E-2</v>
      </c>
      <c r="N173" s="7">
        <f t="shared" si="92"/>
        <v>21.51666666730307</v>
      </c>
      <c r="O173" s="7"/>
      <c r="P173" s="7"/>
      <c r="Q173" s="22"/>
      <c r="R173" s="167"/>
      <c r="S173" s="217">
        <f t="shared" si="93"/>
        <v>1</v>
      </c>
      <c r="T173" s="175" t="str">
        <f t="shared" si="62"/>
        <v>Southbound</v>
      </c>
      <c r="U173" s="20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26" t="str">
        <f t="shared" si="63"/>
        <v>https://d0f6bd738d7f1b3e5a7ca70fe4ff75f0.us-east-1.aws.found.io/app/kibana#/discover/Steve-Slow-Train-Analysis-(2080s-and-2083s)?_g=(refreshInterval:(display:Off,pause:!f,section:0,value:0),time:(from:'2017-09-14T07:26:52-0600',mode:absolute,to:'2017-09-14T09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3" s="210" t="str">
        <f>IF(AA173&lt;VLOOKUP(AG173,Variables!$AC$3:$AD$8,2,FALSE),"Y","N")</f>
        <v>N</v>
      </c>
      <c r="X173" s="210">
        <f t="shared" si="91"/>
        <v>1</v>
      </c>
      <c r="Y173" s="210">
        <f t="shared" si="89"/>
        <v>5.8634000000000004</v>
      </c>
      <c r="Z173" s="210">
        <f t="shared" si="90"/>
        <v>6.8500000000000005E-2</v>
      </c>
      <c r="AA173" s="210">
        <f t="shared" si="65"/>
        <v>5.7949000000000002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83">
        <f t="shared" si="66"/>
        <v>812</v>
      </c>
      <c r="AE173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73" s="74" t="str">
        <f t="shared" si="68"/>
        <v>"C:\Program Files (x86)\AstroGrep\AstroGrep.exe" /e /r /s /spath="%USERPROFILE%\AppData\Local\Temp\OnboardLogs" /stypes="app*4033*20170914*" /stext=" 14:.+((SYSTEM_STATE.+slice.+state.+changed )|(ment ac)|(multiple cpu faults)|(system.+state.+changed )|(\[timeout)|(PRM\|1\|D)|(kpr)|(kdp)|(train st.+moving)|(\|lc)|(penalty))"</v>
      </c>
      <c r="AG173" s="186" t="str">
        <f t="shared" si="69"/>
        <v>NW</v>
      </c>
      <c r="AH173" s="78" t="str">
        <f t="shared" si="70"/>
        <v>"%USERPROFILE%\Documents\GitHub\eaglep3\Utilities\RefineRTDCRunTimes.py" --tripid 812-14 --locoid 4033 --swversion DE.1.0.9.0 --startMP 300:58634 --initTime 2017-09-14T08:26:52 --startdatetime 2017-09-14T08:34:07 --delay 73 --endMP 204:685 --enddatetime 2017-09-14T08:55:38 --enforcementcount 1 &gt;&gt;C:\Users\stu\Documents\GitHub\eaglep3-reporting\EC\2017-09-14-refined-times.txt</v>
      </c>
      <c r="AI173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{"issue":{"subject":"","project_id":79,"tracker_id":40,"status_id":1,"priority_id":2,"assigned_to_id":338,"start_date":"2017-09-14","description":"","custom_fields":[{"id":1,"name":"Subdivision","value":"NW"},{"id":4,"name":"Milepost","value":"0.0685"},{"id":17,"name":"Train ID","value":"812-14"},{"id":16,"name":"Locomotive ID","value":"4033"},{"id":130,"name":"Impact","value":""},{"id":150,"name":"Time of Event (Mountain Time)","value":"08:55:38"},{"id":151,"name":"Denver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2"/>
        <v>start /low /b %USERPROFILE%\Documents\GitHub\eaglep3\Utilities\DownloadLogsFromS3.py --loco 4033 --day 2017-09-14</v>
      </c>
      <c r="AN173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678</v>
      </c>
      <c r="B174" s="7">
        <v>4034</v>
      </c>
      <c r="C174" s="21" t="s">
        <v>197</v>
      </c>
      <c r="D174" s="21" t="s">
        <v>940</v>
      </c>
      <c r="E174" s="13">
        <v>42992.377812500003</v>
      </c>
      <c r="F174" s="13">
        <v>42992.381423611114</v>
      </c>
      <c r="G174" s="7">
        <v>58</v>
      </c>
      <c r="H174" s="21" t="s">
        <v>941</v>
      </c>
      <c r="I174" s="13">
        <v>42992.391215277778</v>
      </c>
      <c r="J174" s="7">
        <v>1</v>
      </c>
      <c r="K174" s="89" t="str">
        <f t="shared" si="60"/>
        <v>4033/4034</v>
      </c>
      <c r="L174" s="189" t="str">
        <f>VLOOKUP(A174,'Trips&amp;Operators'!$C$1:$G$99911,5,FALSE)</f>
        <v>FORTUNATO FRANK</v>
      </c>
      <c r="M174" s="6">
        <f t="shared" si="61"/>
        <v>9.7916666636592709E-3</v>
      </c>
      <c r="N174" s="7">
        <f t="shared" si="92"/>
        <v>14.09999999566935</v>
      </c>
      <c r="O174" s="7"/>
      <c r="P174" s="7"/>
      <c r="Q174" s="22"/>
      <c r="R174" s="167"/>
      <c r="S174" s="217">
        <f t="shared" si="93"/>
        <v>1</v>
      </c>
      <c r="T174" s="175" t="str">
        <f t="shared" si="62"/>
        <v>NorthBound</v>
      </c>
      <c r="U174" s="20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26" t="str">
        <f t="shared" si="63"/>
        <v>https://d0f6bd738d7f1b3e5a7ca70fe4ff75f0.us-east-1.aws.found.io/app/kibana#/discover/Steve-Slow-Train-Analysis-(2080s-and-2083s)?_g=(refreshInterval:(display:Off,pause:!f,section:0,value:0),time:(from:'2017-09-14T08:04:03-0600',mode:absolute,to:'2017-09-14T10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4" s="210" t="str">
        <f>IF(AA174&lt;VLOOKUP(AG174,Variables!$AC$3:$AD$8,2,FALSE),"Y","N")</f>
        <v>N</v>
      </c>
      <c r="X174" s="210">
        <f t="shared" si="91"/>
        <v>1</v>
      </c>
      <c r="Y174" s="210">
        <f t="shared" si="89"/>
        <v>9.8500000000000004E-2</v>
      </c>
      <c r="Z174" s="210">
        <f t="shared" si="90"/>
        <v>5.8964999999999996</v>
      </c>
      <c r="AA174" s="210">
        <f t="shared" si="65"/>
        <v>5.798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83">
        <f t="shared" si="66"/>
        <v>813</v>
      </c>
      <c r="AE174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74" s="74" t="str">
        <f t="shared" si="68"/>
        <v>"C:\Program Files (x86)\AstroGrep\AstroGrep.exe" /e /r /s /spath="%USERPROFILE%\AppData\Local\Temp\OnboardLogs" /stypes="app*4034*20170914*" /stext=" 15:.+((SYSTEM_STATE.+slice.+state.+changed )|(ment ac)|(multiple cpu faults)|(system.+state.+changed )|(\[timeout)|(PRM\|1\|D)|(kpr)|(kdp)|(train st.+moving)|(\|lc)|(penalty))"</v>
      </c>
      <c r="AG174" s="186" t="str">
        <f t="shared" si="69"/>
        <v>NW</v>
      </c>
      <c r="AH174" s="78" t="str">
        <f t="shared" si="70"/>
        <v>"%USERPROFILE%\Documents\GitHub\eaglep3\Utilities\RefineRTDCRunTimes.py" --tripid 813-14 --locoid 4034 --swversion DE.1.0.9.0 --startMP 204:985 --initTime 2017-09-14T09:04:03 --startdatetime 2017-09-14T09:09:15 --delay 58 --endMP 300:58965 --enddatetime 2017-09-14T09:23:21 --enforcementcount 1 &gt;&gt;C:\Users\stu\Documents\GitHub\eaglep3-reporting\EC\2017-09-14-refined-times.txt</v>
      </c>
      <c r="AI174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{"issue":{"subject":"","project_id":79,"tracker_id":40,"status_id":1,"priority_id":2,"assigned_to_id":338,"start_date":"2017-09-14","description":"","custom_fields":[{"id":1,"name":"Subdivision","value":"NW"},{"id":4,"name":"Milepost","value":"5.8965"},{"id":17,"name":"Train ID","value":"813-14"},{"id":16,"name":"Locomotive ID","value":"4034"},{"id":130,"name":"Impact","value":""},{"id":150,"name":"Time of Event (Mountain Time)","value":"09:23:21"},{"id":151,"name":"Denver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2"/>
        <v>start /low /b %USERPROFILE%\Documents\GitHub\eaglep3\Utilities\DownloadLogsFromS3.py --loco 4034 --day 2017-09-14</v>
      </c>
      <c r="AN174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683</v>
      </c>
      <c r="B175" s="7">
        <v>4033</v>
      </c>
      <c r="C175" s="21" t="s">
        <v>197</v>
      </c>
      <c r="D175" s="21" t="s">
        <v>560</v>
      </c>
      <c r="E175" s="13">
        <v>42992.392766203702</v>
      </c>
      <c r="F175" s="13">
        <v>42992.404907407406</v>
      </c>
      <c r="G175" s="7">
        <v>52</v>
      </c>
      <c r="H175" s="21" t="s">
        <v>942</v>
      </c>
      <c r="I175" s="13">
        <v>42992.413402777776</v>
      </c>
      <c r="J175" s="7">
        <v>1</v>
      </c>
      <c r="K175" s="89" t="str">
        <f t="shared" si="60"/>
        <v>4033/4034</v>
      </c>
      <c r="L175" s="189" t="str">
        <f>VLOOKUP(A175,'Trips&amp;Operators'!$C$1:$G$99911,5,FALSE)</f>
        <v>FORTUNATO FRANK</v>
      </c>
      <c r="M175" s="6">
        <f t="shared" si="61"/>
        <v>8.4953703699284233E-3</v>
      </c>
      <c r="N175" s="7">
        <f t="shared" si="92"/>
        <v>12.23333333269693</v>
      </c>
      <c r="O175" s="7"/>
      <c r="P175" s="7"/>
      <c r="Q175" s="22"/>
      <c r="R175" s="167"/>
      <c r="S175" s="217">
        <f t="shared" si="93"/>
        <v>1</v>
      </c>
      <c r="T175" s="175" t="str">
        <f t="shared" si="62"/>
        <v>Southbound</v>
      </c>
      <c r="U175" s="20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26" t="str">
        <f t="shared" si="63"/>
        <v>https://d0f6bd738d7f1b3e5a7ca70fe4ff75f0.us-east-1.aws.found.io/app/kibana#/discover/Steve-Slow-Train-Analysis-(2080s-and-2083s)?_g=(refreshInterval:(display:Off,pause:!f,section:0,value:0),time:(from:'2017-09-14T08:25:35-0600',mode:absolute,to:'2017-09-14T10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5" s="210" t="str">
        <f>IF(AA175&lt;VLOOKUP(AG175,Variables!$AC$3:$AD$8,2,FALSE),"Y","N")</f>
        <v>N</v>
      </c>
      <c r="X175" s="210">
        <f t="shared" si="91"/>
        <v>1</v>
      </c>
      <c r="Y175" s="210">
        <f t="shared" si="89"/>
        <v>5.8647</v>
      </c>
      <c r="Z175" s="210">
        <f t="shared" si="90"/>
        <v>7.1499999999999994E-2</v>
      </c>
      <c r="AA175" s="210">
        <f t="shared" si="65"/>
        <v>5.7931999999999997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83">
        <f t="shared" si="66"/>
        <v>814</v>
      </c>
      <c r="AE175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75" s="74" t="str">
        <f t="shared" si="68"/>
        <v>"C:\Program Files (x86)\AstroGrep\AstroGrep.exe" /e /r /s /spath="%USERPROFILE%\AppData\Local\Temp\OnboardLogs" /stypes="app*4033*20170914*" /stext=" 15:.+((SYSTEM_STATE.+slice.+state.+changed )|(ment ac)|(multiple cpu faults)|(system.+state.+changed )|(\[timeout)|(PRM\|1\|D)|(kpr)|(kdp)|(train st.+moving)|(\|lc)|(penalty))"</v>
      </c>
      <c r="AG175" s="186" t="str">
        <f t="shared" si="69"/>
        <v>NW</v>
      </c>
      <c r="AH175" s="78" t="str">
        <f t="shared" si="70"/>
        <v>"%USERPROFILE%\Documents\GitHub\eaglep3\Utilities\RefineRTDCRunTimes.py" --tripid 814-14 --locoid 4033 --swversion DE.1.0.9.0 --startMP 300:58647 --initTime 2017-09-14T09:25:35 --startdatetime 2017-09-14T09:43:04 --delay 52 --endMP 204:715 --enddatetime 2017-09-14T09:55:18 --enforcementcount 1 &gt;&gt;C:\Users\stu\Documents\GitHub\eaglep3-reporting\EC\2017-09-14-refined-times.txt</v>
      </c>
      <c r="AI175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{"issue":{"subject":"","project_id":79,"tracker_id":40,"status_id":1,"priority_id":2,"assigned_to_id":338,"start_date":"2017-09-14","description":"","custom_fields":[{"id":1,"name":"Subdivision","value":"NW"},{"id":4,"name":"Milepost","value":"0.0715"},{"id":17,"name":"Train ID","value":"814-14"},{"id":16,"name":"Locomotive ID","value":"4033"},{"id":130,"name":"Impact","value":""},{"id":150,"name":"Time of Event (Mountain Time)","value":"09:55:18"},{"id":151,"name":"Denver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2"/>
        <v>start /low /b %USERPROFILE%\Documents\GitHub\eaglep3\Utilities\DownloadLogsFromS3.py --loco 4033 --day 2017-09-14</v>
      </c>
      <c r="AN175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15:55:18"},{"id":29,"name":"Sharepoint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688</v>
      </c>
      <c r="B176" s="7">
        <v>4034</v>
      </c>
      <c r="C176" s="21" t="s">
        <v>197</v>
      </c>
      <c r="D176" s="21" t="s">
        <v>943</v>
      </c>
      <c r="E176" s="13">
        <v>42992.414826388886</v>
      </c>
      <c r="F176" s="13">
        <v>42992.423692129632</v>
      </c>
      <c r="G176" s="7">
        <v>47</v>
      </c>
      <c r="H176" s="21" t="s">
        <v>944</v>
      </c>
      <c r="I176" s="13">
        <v>42992.432858796295</v>
      </c>
      <c r="J176" s="7">
        <v>1</v>
      </c>
      <c r="K176" s="89" t="str">
        <f t="shared" si="60"/>
        <v>4033/4034</v>
      </c>
      <c r="L176" s="189" t="str">
        <f>VLOOKUP(A176,'Trips&amp;Operators'!$C$1:$G$99911,5,FALSE)</f>
        <v>FORTUNATO FRANK</v>
      </c>
      <c r="M176" s="6">
        <f t="shared" si="61"/>
        <v>9.1666666630771942E-3</v>
      </c>
      <c r="N176" s="7">
        <f t="shared" si="92"/>
        <v>13.19999999483116</v>
      </c>
      <c r="O176" s="7"/>
      <c r="P176" s="7"/>
      <c r="Q176" s="22"/>
      <c r="R176" s="167"/>
      <c r="S176" s="217">
        <f t="shared" si="93"/>
        <v>1</v>
      </c>
      <c r="T176" s="175" t="str">
        <f t="shared" si="62"/>
        <v>NorthBound</v>
      </c>
      <c r="U176" s="20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26" t="str">
        <f t="shared" si="63"/>
        <v>https://d0f6bd738d7f1b3e5a7ca70fe4ff75f0.us-east-1.aws.found.io/app/kibana#/discover/Steve-Slow-Train-Analysis-(2080s-and-2083s)?_g=(refreshInterval:(display:Off,pause:!f,section:0,value:0),time:(from:'2017-09-14T08:57:21-0600',mode:absolute,to:'2017-09-14T11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6" s="210" t="str">
        <f>IF(AA176&lt;VLOOKUP(AG176,Variables!$AC$3:$AD$8,2,FALSE),"Y","N")</f>
        <v>N</v>
      </c>
      <c r="X176" s="210">
        <f t="shared" si="91"/>
        <v>1</v>
      </c>
      <c r="Y176" s="210">
        <f t="shared" si="89"/>
        <v>0.1028</v>
      </c>
      <c r="Z176" s="210">
        <f t="shared" si="90"/>
        <v>5.8959999999999999</v>
      </c>
      <c r="AA176" s="210">
        <f t="shared" si="65"/>
        <v>5.7931999999999997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83">
        <f t="shared" si="66"/>
        <v>815</v>
      </c>
      <c r="AE176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76" s="74" t="str">
        <f t="shared" si="68"/>
        <v>"C:\Program Files (x86)\AstroGrep\AstroGrep.exe" /e /r /s /spath="%USERPROFILE%\AppData\Local\Temp\OnboardLogs" /stypes="app*4034*20170914*" /stext=" 16:.+((SYSTEM_STATE.+slice.+state.+changed )|(ment ac)|(multiple cpu faults)|(system.+state.+changed )|(\[timeout)|(PRM\|1\|D)|(kpr)|(kdp)|(train st.+moving)|(\|lc)|(penalty))"</v>
      </c>
      <c r="AG176" s="186" t="str">
        <f t="shared" si="69"/>
        <v>NW</v>
      </c>
      <c r="AH176" s="78" t="str">
        <f t="shared" si="70"/>
        <v>"%USERPROFILE%\Documents\GitHub\eaglep3\Utilities\RefineRTDCRunTimes.py" --tripid 815-14 --locoid 4034 --swversion DE.1.0.9.0 --startMP 204:1028 --initTime 2017-09-14T09:57:21 --startdatetime 2017-09-14T10:10:07 --delay 47 --endMP 300:58960 --enddatetime 2017-09-14T10:23:19 --enforcementcount 1 &gt;&gt;C:\Users\stu\Documents\GitHub\eaglep3-reporting\EC\2017-09-14-refined-times.txt</v>
      </c>
      <c r="AI176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{"issue":{"subject":"","project_id":79,"tracker_id":40,"status_id":1,"priority_id":2,"assigned_to_id":338,"start_date":"2017-09-14","description":"","custom_fields":[{"id":1,"name":"Subdivision","value":"NW"},{"id":4,"name":"Milepost","value":"5.896"},{"id":17,"name":"Train ID","value":"815-14"},{"id":16,"name":"Locomotive ID","value":"4034"},{"id":130,"name":"Impact","value":""},{"id":150,"name":"Time of Event (Mountain Time)","value":"10:23:19"},{"id":151,"name":"Denver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2"/>
        <v>start /low /b %USERPROFILE%\Documents\GitHub\eaglep3\Utilities\DownloadLogsFromS3.py --loco 4034 --day 2017-09-14</v>
      </c>
      <c r="AN176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692</v>
      </c>
      <c r="B177" s="7">
        <v>4033</v>
      </c>
      <c r="C177" s="21" t="s">
        <v>197</v>
      </c>
      <c r="D177" s="21" t="s">
        <v>558</v>
      </c>
      <c r="E177" s="13">
        <v>42992.443437499998</v>
      </c>
      <c r="F177" s="13">
        <v>42992.444594907407</v>
      </c>
      <c r="G177" s="7">
        <v>59</v>
      </c>
      <c r="H177" s="21" t="s">
        <v>945</v>
      </c>
      <c r="I177" s="13">
        <v>42992.455231481479</v>
      </c>
      <c r="J177" s="7">
        <v>1</v>
      </c>
      <c r="K177" s="89" t="str">
        <f t="shared" si="60"/>
        <v>4033/4034</v>
      </c>
      <c r="L177" s="189" t="str">
        <f>VLOOKUP(A177,'Trips&amp;Operators'!$C$1:$G$99911,5,FALSE)</f>
        <v>FORTUNATO FRANK</v>
      </c>
      <c r="M177" s="6">
        <f t="shared" si="61"/>
        <v>1.063657407212304E-2</v>
      </c>
      <c r="N177" s="7">
        <f t="shared" si="92"/>
        <v>15.316666663857177</v>
      </c>
      <c r="O177" s="7"/>
      <c r="P177" s="7"/>
      <c r="Q177" s="22"/>
      <c r="R177" s="167"/>
      <c r="S177" s="217">
        <f t="shared" si="93"/>
        <v>1</v>
      </c>
      <c r="T177" s="175" t="str">
        <f t="shared" si="62"/>
        <v>Southbound</v>
      </c>
      <c r="U177" s="20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26" t="str">
        <f t="shared" si="63"/>
        <v>https://d0f6bd738d7f1b3e5a7ca70fe4ff75f0.us-east-1.aws.found.io/app/kibana#/discover/Steve-Slow-Train-Analysis-(2080s-and-2083s)?_g=(refreshInterval:(display:Off,pause:!f,section:0,value:0),time:(from:'2017-09-14T09:38:33-0600',mode:absolute,to:'2017-09-14T11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7" s="210" t="str">
        <f>IF(AA177&lt;VLOOKUP(AG177,Variables!$AC$3:$AD$8,2,FALSE),"Y","N")</f>
        <v>N</v>
      </c>
      <c r="X177" s="210">
        <f t="shared" si="91"/>
        <v>1</v>
      </c>
      <c r="Y177" s="210">
        <f t="shared" si="89"/>
        <v>5.8638000000000003</v>
      </c>
      <c r="Z177" s="210">
        <f t="shared" si="90"/>
        <v>7.0499999999999993E-2</v>
      </c>
      <c r="AA177" s="210">
        <f t="shared" si="65"/>
        <v>5.7933000000000003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83">
        <f t="shared" si="66"/>
        <v>816</v>
      </c>
      <c r="AE177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77" s="74" t="str">
        <f t="shared" si="68"/>
        <v>"C:\Program Files (x86)\AstroGrep\AstroGrep.exe" /e /r /s /spath="%USERPROFILE%\AppData\Local\Temp\OnboardLogs" /stypes="app*4033*20170914*" /stext=" 16:.+((SYSTEM_STATE.+slice.+state.+changed )|(ment ac)|(multiple cpu faults)|(system.+state.+changed )|(\[timeout)|(PRM\|1\|D)|(kpr)|(kdp)|(train st.+moving)|(\|lc)|(penalty))"</v>
      </c>
      <c r="AG177" s="186" t="str">
        <f t="shared" si="69"/>
        <v>NW</v>
      </c>
      <c r="AH177" s="78" t="str">
        <f t="shared" si="70"/>
        <v>"%USERPROFILE%\Documents\GitHub\eaglep3\Utilities\RefineRTDCRunTimes.py" --tripid 816-14 --locoid 4033 --swversion DE.1.0.9.0 --startMP 300:58638 --initTime 2017-09-14T10:38:33 --startdatetime 2017-09-14T10:40:13 --delay 59 --endMP 204:705 --enddatetime 2017-09-14T10:55:32 --enforcementcount 1 &gt;&gt;C:\Users\stu\Documents\GitHub\eaglep3-reporting\EC\2017-09-14-refined-times.txt</v>
      </c>
      <c r="AI177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{"issue":{"subject":"","project_id":79,"tracker_id":40,"status_id":1,"priority_id":2,"assigned_to_id":338,"start_date":"2017-09-14","description":"","custom_fields":[{"id":1,"name":"Subdivision","value":"NW"},{"id":4,"name":"Milepost","value":"0.0705"},{"id":17,"name":"Train ID","value":"816-14"},{"id":16,"name":"Locomotive ID","value":"4033"},{"id":130,"name":"Impact","value":""},{"id":150,"name":"Time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2"/>
        <v>start /low /b %USERPROFILE%\Documents\GitHub\eaglep3\Utilities\DownloadLogsFromS3.py --loco 4033 --day 2017-09-14</v>
      </c>
      <c r="AN177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16:55:32"},{"id":29,"name":"Sharepoint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694</v>
      </c>
      <c r="B178" s="7">
        <v>4034</v>
      </c>
      <c r="C178" s="21" t="s">
        <v>197</v>
      </c>
      <c r="D178" s="21" t="s">
        <v>555</v>
      </c>
      <c r="E178" s="13">
        <v>42992.456678240742</v>
      </c>
      <c r="F178" s="13">
        <v>42992.464953703704</v>
      </c>
      <c r="G178" s="7">
        <v>51</v>
      </c>
      <c r="H178" s="21" t="s">
        <v>557</v>
      </c>
      <c r="I178" s="13">
        <v>42992.474768518521</v>
      </c>
      <c r="J178" s="7">
        <v>1</v>
      </c>
      <c r="K178" s="89" t="str">
        <f t="shared" si="60"/>
        <v>4033/4034</v>
      </c>
      <c r="L178" s="189" t="str">
        <f>VLOOKUP(A178,'Trips&amp;Operators'!$C$1:$G$99911,5,FALSE)</f>
        <v>FORTUNATO FRANK</v>
      </c>
      <c r="M178" s="6">
        <f t="shared" si="61"/>
        <v>9.8148148172185756E-3</v>
      </c>
      <c r="N178" s="7">
        <f t="shared" si="92"/>
        <v>14.133333336794749</v>
      </c>
      <c r="O178" s="7"/>
      <c r="P178" s="7"/>
      <c r="Q178" s="22"/>
      <c r="R178" s="167"/>
      <c r="S178" s="217">
        <f t="shared" si="93"/>
        <v>1</v>
      </c>
      <c r="T178" s="175" t="str">
        <f t="shared" si="62"/>
        <v>NorthBound</v>
      </c>
      <c r="U178" s="20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26" t="str">
        <f t="shared" si="63"/>
        <v>https://d0f6bd738d7f1b3e5a7ca70fe4ff75f0.us-east-1.aws.found.io/app/kibana#/discover/Steve-Slow-Train-Analysis-(2080s-and-2083s)?_g=(refreshInterval:(display:Off,pause:!f,section:0,value:0),time:(from:'2017-09-14T09:57:37-0600',mode:absolute,to:'2017-09-14T12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78" s="210" t="str">
        <f>IF(AA178&lt;VLOOKUP(AG178,Variables!$AC$3:$AD$8,2,FALSE),"Y","N")</f>
        <v>N</v>
      </c>
      <c r="X178" s="210">
        <f t="shared" si="91"/>
        <v>1</v>
      </c>
      <c r="Y178" s="210">
        <f t="shared" si="89"/>
        <v>0.1004</v>
      </c>
      <c r="Z178" s="210">
        <f t="shared" si="90"/>
        <v>5.8954000000000004</v>
      </c>
      <c r="AA178" s="210">
        <f t="shared" si="65"/>
        <v>5.7950000000000008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83">
        <f t="shared" si="66"/>
        <v>817</v>
      </c>
      <c r="AE178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78" s="74" t="str">
        <f t="shared" si="68"/>
        <v>"C:\Program Files (x86)\AstroGrep\AstroGrep.exe" /e /r /s /spath="%USERPROFILE%\AppData\Local\Temp\OnboardLogs" /stypes="app*4034*20170914*" /stext=" 17:.+((SYSTEM_STATE.+slice.+state.+changed )|(ment ac)|(multiple cpu faults)|(system.+state.+changed )|(\[timeout)|(PRM\|1\|D)|(kpr)|(kdp)|(train st.+moving)|(\|lc)|(penalty))"</v>
      </c>
      <c r="AG178" s="186" t="str">
        <f t="shared" si="69"/>
        <v>NW</v>
      </c>
      <c r="AH178" s="78" t="str">
        <f t="shared" si="70"/>
        <v>"%USERPROFILE%\Documents\GitHub\eaglep3\Utilities\RefineRTDCRunTimes.py" --tripid 817-14 --locoid 4034 --swversion DE.1.0.9.0 --startMP 204:1004 --initTime 2017-09-14T10:57:37 --startdatetime 2017-09-14T11:09:32 --delay 51 --endMP 300:58954 --enddatetime 2017-09-14T11:23:40 --enforcementcount 1 &gt;&gt;C:\Users\stu\Documents\GitHub\eaglep3-reporting\EC\2017-09-14-refined-times.txt</v>
      </c>
      <c r="AI178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{"issue":{"subject":"","project_id":79,"tracker_id":40,"status_id":1,"priority_id":2,"assigned_to_id":338,"start_date":"2017-09-14","description":"","custom_fields":[{"id":1,"name":"Subdivision","value":"NW"},{"id":4,"name":"Milepost","value":"5.8954"},{"id":17,"name":"Train ID","value":"817-14"},{"id":16,"name":"Locomotive ID","value":"4034"},{"id":130,"name":"Impact","value":""},{"id":150,"name":"Time of Event (Mountain Time)","value":"11:23:40"},{"id":151,"name":"Denver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2"/>
        <v>start /low /b %USERPROFILE%\Documents\GitHub\eaglep3\Utilities\DownloadLogsFromS3.py --loco 4034 --day 2017-09-14</v>
      </c>
      <c r="AN178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698</v>
      </c>
      <c r="B179" s="7">
        <v>4033</v>
      </c>
      <c r="C179" s="21" t="s">
        <v>197</v>
      </c>
      <c r="D179" s="21" t="s">
        <v>946</v>
      </c>
      <c r="E179" s="13">
        <v>42992.4841087963</v>
      </c>
      <c r="F179" s="13">
        <v>42992.485185185185</v>
      </c>
      <c r="G179" s="7">
        <v>47</v>
      </c>
      <c r="H179" s="21" t="s">
        <v>531</v>
      </c>
      <c r="I179" s="13">
        <v>42992.500949074078</v>
      </c>
      <c r="J179" s="7">
        <v>1</v>
      </c>
      <c r="K179" s="89" t="str">
        <f t="shared" si="60"/>
        <v>4033/4034</v>
      </c>
      <c r="L179" s="189" t="str">
        <f>VLOOKUP(A179,'Trips&amp;Operators'!$C$1:$G$99911,5,FALSE)</f>
        <v>FORTUNATO FRANK</v>
      </c>
      <c r="M179" s="6">
        <f t="shared" si="61"/>
        <v>1.5763888892251998E-2</v>
      </c>
      <c r="N179" s="7">
        <f t="shared" si="92"/>
        <v>22.700000004842877</v>
      </c>
      <c r="O179" s="7"/>
      <c r="P179" s="7"/>
      <c r="Q179" s="22"/>
      <c r="R179" s="167"/>
      <c r="S179" s="217">
        <f t="shared" si="93"/>
        <v>1</v>
      </c>
      <c r="T179" s="175" t="str">
        <f t="shared" si="62"/>
        <v>Southbound</v>
      </c>
      <c r="U179" s="20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26" t="str">
        <f t="shared" si="63"/>
        <v>https://d0f6bd738d7f1b3e5a7ca70fe4ff75f0.us-east-1.aws.found.io/app/kibana#/discover/Steve-Slow-Train-Analysis-(2080s-and-2083s)?_g=(refreshInterval:(display:Off,pause:!f,section:0,value:0),time:(from:'2017-09-14T10:37:07-0600',mode:absolute,to:'2017-09-14T13:01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79" s="210" t="str">
        <f>IF(AA179&lt;VLOOKUP(AG179,Variables!$AC$3:$AD$8,2,FALSE),"Y","N")</f>
        <v>N</v>
      </c>
      <c r="X179" s="210">
        <f t="shared" si="91"/>
        <v>1</v>
      </c>
      <c r="Y179" s="210">
        <f t="shared" si="89"/>
        <v>5.8628</v>
      </c>
      <c r="Z179" s="210">
        <f t="shared" si="90"/>
        <v>7.2599999999999998E-2</v>
      </c>
      <c r="AA179" s="210">
        <f t="shared" si="65"/>
        <v>5.7902000000000005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83">
        <f t="shared" si="66"/>
        <v>818</v>
      </c>
      <c r="AE179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79" s="74" t="str">
        <f t="shared" si="68"/>
        <v>"C:\Program Files (x86)\AstroGrep\AstroGrep.exe" /e /r /s /spath="%USERPROFILE%\AppData\Local\Temp\OnboardLogs" /stypes="app*4033*20170914*" /stext=" 18:.+((SYSTEM_STATE.+slice.+state.+changed )|(ment ac)|(multiple cpu faults)|(system.+state.+changed )|(\[timeout)|(PRM\|1\|D)|(kpr)|(kdp)|(train st.+moving)|(\|lc)|(penalty))"</v>
      </c>
      <c r="AG179" s="186" t="str">
        <f t="shared" si="69"/>
        <v>NW</v>
      </c>
      <c r="AH179" s="78" t="str">
        <f t="shared" si="70"/>
        <v>"%USERPROFILE%\Documents\GitHub\eaglep3\Utilities\RefineRTDCRunTimes.py" --tripid 818-14 --locoid 4033 --swversion DE.1.0.9.0 --startMP 300:58628 --initTime 2017-09-14T11:37:07 --startdatetime 2017-09-14T11:38:40 --delay 47 --endMP 204:726 --enddatetime 2017-09-14T12:01:22 --enforcementcount 1 &gt;&gt;C:\Users\stu\Documents\GitHub\eaglep3-reporting\EC\2017-09-14-refined-times.txt</v>
      </c>
      <c r="AI179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{"issue":{"subject":"","project_id":79,"tracker_id":40,"status_id":1,"priority_id":2,"assigned_to_id":338,"start_date":"2017-09-14","description":"","custom_fields":[{"id":1,"name":"Subdivision","value":"NW"},{"id":4,"name":"Milepost","value":"0.0726"},{"id":17,"name":"Train ID","value":"818-14"},{"id":16,"name":"Locomotive ID","value":"4033"},{"id":130,"name":"Impact","value":""},{"id":150,"name":"Time of Event (Mountain Time)","value":"12:01:22"},{"id":151,"name":"Denver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4033 --day 2017-09-14</v>
      </c>
      <c r="AN179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18:01:22"},{"id":29,"name":"Sharepoint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703</v>
      </c>
      <c r="B180" s="7">
        <v>4034</v>
      </c>
      <c r="C180" s="21" t="s">
        <v>197</v>
      </c>
      <c r="D180" s="21" t="s">
        <v>566</v>
      </c>
      <c r="E180" s="13">
        <v>42992.503587962965</v>
      </c>
      <c r="F180" s="13">
        <v>42992.507037037038</v>
      </c>
      <c r="G180" s="7">
        <v>51</v>
      </c>
      <c r="H180" s="21" t="s">
        <v>947</v>
      </c>
      <c r="I180" s="13">
        <v>42992.514664351853</v>
      </c>
      <c r="J180" s="7">
        <v>1</v>
      </c>
      <c r="K180" s="89" t="str">
        <f t="shared" si="60"/>
        <v>4033/4034</v>
      </c>
      <c r="L180" s="189" t="str">
        <f>VLOOKUP(A180,'Trips&amp;Operators'!$C$1:$G$99911,5,FALSE)</f>
        <v>FORTUNATO FRANK</v>
      </c>
      <c r="M180" s="6">
        <f t="shared" si="61"/>
        <v>7.6273148151813075E-3</v>
      </c>
      <c r="N180" s="7">
        <f t="shared" si="92"/>
        <v>10.983333333861083</v>
      </c>
      <c r="O180" s="7"/>
      <c r="P180" s="7"/>
      <c r="Q180" s="22"/>
      <c r="R180" s="167"/>
      <c r="S180" s="217">
        <f t="shared" si="93"/>
        <v>1</v>
      </c>
      <c r="T180" s="175" t="str">
        <f t="shared" si="62"/>
        <v>NorthBound</v>
      </c>
      <c r="U180" s="20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26" t="str">
        <f t="shared" si="63"/>
        <v>https://d0f6bd738d7f1b3e5a7ca70fe4ff75f0.us-east-1.aws.found.io/app/kibana#/discover/Steve-Slow-Train-Analysis-(2080s-and-2083s)?_g=(refreshInterval:(display:Off,pause:!f,section:0,value:0),time:(from:'2017-09-14T11:05:10-0600',mode:absolute,to:'2017-09-14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0" s="210" t="str">
        <f>IF(AA180&lt;VLOOKUP(AG180,Variables!$AC$3:$AD$8,2,FALSE),"Y","N")</f>
        <v>N</v>
      </c>
      <c r="X180" s="210">
        <f t="shared" si="91"/>
        <v>1</v>
      </c>
      <c r="Y180" s="210">
        <f t="shared" si="89"/>
        <v>0.1007</v>
      </c>
      <c r="Z180" s="210">
        <f t="shared" si="90"/>
        <v>5.7614000000000001</v>
      </c>
      <c r="AA180" s="210">
        <f t="shared" si="65"/>
        <v>5.6607000000000003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83">
        <f t="shared" si="66"/>
        <v>819</v>
      </c>
      <c r="AE180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80" s="74" t="str">
        <f t="shared" si="68"/>
        <v>"C:\Program Files (x86)\AstroGrep\AstroGrep.exe" /e /r /s /spath="%USERPROFILE%\AppData\Local\Temp\OnboardLogs" /stypes="app*4034*20170914*" /stext=" 18:.+((SYSTEM_STATE.+slice.+state.+changed )|(ment ac)|(multiple cpu faults)|(system.+state.+changed )|(\[timeout)|(PRM\|1\|D)|(kpr)|(kdp)|(train st.+moving)|(\|lc)|(penalty))"</v>
      </c>
      <c r="AG180" s="186" t="str">
        <f t="shared" si="69"/>
        <v>NW</v>
      </c>
      <c r="AH180" s="78" t="str">
        <f t="shared" si="70"/>
        <v>"%USERPROFILE%\Documents\GitHub\eaglep3\Utilities\RefineRTDCRunTimes.py" --tripid 819-14 --locoid 4034 --swversion DE.1.0.9.0 --startMP 204:1007 --initTime 2017-09-14T12:05:10 --startdatetime 2017-09-14T12:10:08 --delay 51 --endMP 300:57614 --enddatetime 2017-09-14T12:21:07 --enforcementcount 1 &gt;&gt;C:\Users\stu\Documents\GitHub\eaglep3-reporting\EC\2017-09-14-refined-times.txt</v>
      </c>
      <c r="AI180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{"issue":{"subject":"","project_id":79,"tracker_id":40,"status_id":1,"priority_id":2,"assigned_to_id":338,"start_date":"2017-09-14","description":"","custom_fields":[{"id":1,"name":"Subdivision","value":"NW"},{"id":4,"name":"Milepost","value":"5.7614"},{"id":17,"name":"Train ID","value":"819-14"},{"id":16,"name":"Locomotive ID","value":"4034"},{"id":130,"name":"Impact","value":""},{"id":150,"name":"Time of Event (Mountain Time)","value":"12:21:07"},{"id":151,"name":"Denver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4034 --day 2017-09-14</v>
      </c>
      <c r="AN180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707</v>
      </c>
      <c r="B181" s="7">
        <v>4033</v>
      </c>
      <c r="C181" s="21" t="s">
        <v>197</v>
      </c>
      <c r="D181" s="21" t="s">
        <v>561</v>
      </c>
      <c r="E181" s="13">
        <v>42992.517962962964</v>
      </c>
      <c r="F181" s="13">
        <v>42992.523101851853</v>
      </c>
      <c r="G181" s="7">
        <v>47</v>
      </c>
      <c r="H181" s="21" t="s">
        <v>942</v>
      </c>
      <c r="I181" s="13">
        <v>42992.538657407407</v>
      </c>
      <c r="J181" s="7">
        <v>1</v>
      </c>
      <c r="K181" s="89" t="str">
        <f t="shared" si="60"/>
        <v>4033/4034</v>
      </c>
      <c r="L181" s="189" t="str">
        <f>VLOOKUP(A181,'Trips&amp;Operators'!$C$1:$G$99911,5,FALSE)</f>
        <v>FORTUNATO FRANK</v>
      </c>
      <c r="M181" s="6">
        <f t="shared" si="61"/>
        <v>1.5555555553874001E-2</v>
      </c>
      <c r="N181" s="7">
        <f t="shared" si="92"/>
        <v>22.399999997578561</v>
      </c>
      <c r="O181" s="7"/>
      <c r="P181" s="7"/>
      <c r="Q181" s="22"/>
      <c r="R181" s="167"/>
      <c r="S181" s="217">
        <f t="shared" si="93"/>
        <v>1</v>
      </c>
      <c r="T181" s="175" t="str">
        <f t="shared" si="62"/>
        <v>Southbound</v>
      </c>
      <c r="U181" s="20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26" t="str">
        <f t="shared" si="63"/>
        <v>https://d0f6bd738d7f1b3e5a7ca70fe4ff75f0.us-east-1.aws.found.io/app/kibana#/discover/Steve-Slow-Train-Analysis-(2080s-and-2083s)?_g=(refreshInterval:(display:Off,pause:!f,section:0,value:0),time:(from:'2017-09-14T11:25:52-0600',mode:absolute,to:'2017-09-14T13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1" s="210" t="str">
        <f>IF(AA181&lt;VLOOKUP(AG181,Variables!$AC$3:$AD$8,2,FALSE),"Y","N")</f>
        <v>N</v>
      </c>
      <c r="X181" s="210">
        <f t="shared" si="91"/>
        <v>1</v>
      </c>
      <c r="Y181" s="210">
        <f t="shared" si="89"/>
        <v>5.8620999999999999</v>
      </c>
      <c r="Z181" s="210">
        <f t="shared" si="90"/>
        <v>7.1499999999999994E-2</v>
      </c>
      <c r="AA181" s="210">
        <f t="shared" si="65"/>
        <v>5.7905999999999995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83">
        <f t="shared" si="66"/>
        <v>820</v>
      </c>
      <c r="AE181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81" s="74" t="str">
        <f t="shared" si="68"/>
        <v>"C:\Program Files (x86)\AstroGrep\AstroGrep.exe" /e /r /s /spath="%USERPROFILE%\AppData\Local\Temp\OnboardLogs" /stypes="app*4033*20170914*" /stext=" 18:.+((SYSTEM_STATE.+slice.+state.+changed )|(ment ac)|(multiple cpu faults)|(system.+state.+changed )|(\[timeout)|(PRM\|1\|D)|(kpr)|(kdp)|(train st.+moving)|(\|lc)|(penalty))"</v>
      </c>
      <c r="AG181" s="186" t="str">
        <f t="shared" si="69"/>
        <v>NW</v>
      </c>
      <c r="AH181" s="78" t="str">
        <f t="shared" si="70"/>
        <v>"%USERPROFILE%\Documents\GitHub\eaglep3\Utilities\RefineRTDCRunTimes.py" --tripid 820-14 --locoid 4033 --swversion DE.1.0.9.0 --startMP 300:58621 --initTime 2017-09-14T12:25:52 --startdatetime 2017-09-14T12:33:16 --delay 47 --endMP 204:715 --enddatetime 2017-09-14T12:55:40 --enforcementcount 1 &gt;&gt;C:\Users\stu\Documents\GitHub\eaglep3-reporting\EC\2017-09-14-refined-times.txt</v>
      </c>
      <c r="AI181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{"issue":{"subject":"","project_id":79,"tracker_id":40,"status_id":1,"priority_id":2,"assigned_to_id":338,"start_date":"2017-09-14","description":"","custom_fields":[{"id":1,"name":"Subdivision","value":"NW"},{"id":4,"name":"Milepost","value":"0.0715"},{"id":17,"name":"Train ID","value":"820-14"},{"id":16,"name":"Locomotive ID","value":"4033"},{"id":130,"name":"Impact","value":""},{"id":150,"name":"Time of Event (Mountain Time)","value":"12:55:40"},{"id":151,"name":"Denver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2"/>
        <v>start /low /b %USERPROFILE%\Documents\GitHub\eaglep3\Utilities\DownloadLogsFromS3.py --loco 4033 --day 2017-09-14</v>
      </c>
      <c r="AN181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18:55:40"},{"id":29,"name":"Sharepoint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597</v>
      </c>
      <c r="B182" s="7">
        <v>4034</v>
      </c>
      <c r="C182" s="21" t="s">
        <v>197</v>
      </c>
      <c r="D182" s="21" t="s">
        <v>950</v>
      </c>
      <c r="E182" s="13">
        <v>42992.543773148151</v>
      </c>
      <c r="F182" s="13">
        <v>42992.548321759263</v>
      </c>
      <c r="G182" s="7">
        <v>66</v>
      </c>
      <c r="H182" s="21" t="s">
        <v>951</v>
      </c>
      <c r="I182" s="13">
        <v>42992.557476851849</v>
      </c>
      <c r="J182" s="7">
        <v>1</v>
      </c>
      <c r="K182" s="89" t="str">
        <f t="shared" si="60"/>
        <v>4033/4034</v>
      </c>
      <c r="L182" s="189" t="str">
        <f>VLOOKUP(A182,'Trips&amp;Operators'!$C$1:$G$99911,5,FALSE)</f>
        <v>STAMBAUGH JAMES</v>
      </c>
      <c r="M182" s="6">
        <f t="shared" si="61"/>
        <v>9.1550925862975419E-3</v>
      </c>
      <c r="N182" s="7">
        <f t="shared" si="92"/>
        <v>13.18333332426846</v>
      </c>
      <c r="O182" s="7"/>
      <c r="P182" s="7"/>
      <c r="Q182" s="22"/>
      <c r="R182" s="167"/>
      <c r="S182" s="217">
        <f t="shared" si="93"/>
        <v>1</v>
      </c>
      <c r="T182" s="175" t="str">
        <f t="shared" si="62"/>
        <v>NorthBound</v>
      </c>
      <c r="U182" s="20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26" t="str">
        <f t="shared" si="63"/>
        <v>https://d0f6bd738d7f1b3e5a7ca70fe4ff75f0.us-east-1.aws.found.io/app/kibana#/discover/Steve-Slow-Train-Analysis-(2080s-and-2083s)?_g=(refreshInterval:(display:Off,pause:!f,section:0,value:0),time:(from:'2017-09-14T12:03:02-0600',mode:absolute,to:'2017-09-14T14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2" s="210" t="str">
        <f>IF(AA182&lt;VLOOKUP(AG182,Variables!$AC$3:$AD$8,2,FALSE),"Y","N")</f>
        <v>N</v>
      </c>
      <c r="X182" s="210">
        <f t="shared" si="91"/>
        <v>1</v>
      </c>
      <c r="Y182" s="210">
        <f t="shared" si="89"/>
        <v>0.10059999999999999</v>
      </c>
      <c r="Z182" s="210">
        <f t="shared" si="90"/>
        <v>5.8952</v>
      </c>
      <c r="AA182" s="210">
        <f t="shared" si="65"/>
        <v>5.7946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83">
        <f t="shared" si="66"/>
        <v>821</v>
      </c>
      <c r="AE182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82" s="74" t="str">
        <f t="shared" si="68"/>
        <v>"C:\Program Files (x86)\AstroGrep\AstroGrep.exe" /e /r /s /spath="%USERPROFILE%\AppData\Local\Temp\OnboardLogs" /stypes="app*4034*20170914*" /stext=" 19:.+((SYSTEM_STATE.+slice.+state.+changed )|(ment ac)|(multiple cpu faults)|(system.+state.+changed )|(\[timeout)|(PRM\|1\|D)|(kpr)|(kdp)|(train st.+moving)|(\|lc)|(penalty))"</v>
      </c>
      <c r="AG182" s="186" t="str">
        <f t="shared" si="69"/>
        <v>NW</v>
      </c>
      <c r="AH182" s="78" t="str">
        <f t="shared" si="70"/>
        <v>"%USERPROFILE%\Documents\GitHub\eaglep3\Utilities\RefineRTDCRunTimes.py" --tripid 821-14 --locoid 4034 --swversion DE.1.0.9.0 --startMP 204:1006 --initTime 2017-09-14T13:03:02 --startdatetime 2017-09-14T13:09:35 --delay 66 --endMP 300:58952 --enddatetime 2017-09-14T13:22:46 --enforcementcount 1 &gt;&gt;C:\Users\stu\Documents\GitHub\eaglep3-reporting\EC\2017-09-14-refined-times.txt</v>
      </c>
      <c r="AI182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{"issue":{"subject":"","project_id":79,"tracker_id":40,"status_id":1,"priority_id":2,"assigned_to_id":338,"start_date":"2017-09-14","description":"","custom_fields":[{"id":1,"name":"Subdivision","value":"NW"},{"id":4,"name":"Milepost","value":"5.8952"},{"id":17,"name":"Train ID","value":"821-14"},{"id":16,"name":"Locomotive ID","value":"4034"},{"id":130,"name":"Impact","value":""},{"id":150,"name":"Time of Event (Mountain Time)","value":"13:22:46"},{"id":151,"name":"Denver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2"/>
        <v>start /low /b %USERPROFILE%\Documents\GitHub\eaglep3\Utilities\DownloadLogsFromS3.py --loco 4034 --day 2017-09-14</v>
      </c>
      <c r="AN182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719</v>
      </c>
      <c r="B183" s="7">
        <v>4033</v>
      </c>
      <c r="C183" s="21" t="s">
        <v>197</v>
      </c>
      <c r="D183" s="21" t="s">
        <v>946</v>
      </c>
      <c r="E183" s="13">
        <v>42992.559340277781</v>
      </c>
      <c r="F183" s="13">
        <v>42992.569745370369</v>
      </c>
      <c r="G183" s="7">
        <v>97</v>
      </c>
      <c r="H183" s="21" t="s">
        <v>497</v>
      </c>
      <c r="I183" s="13">
        <v>42992.579756944448</v>
      </c>
      <c r="J183" s="7">
        <v>1</v>
      </c>
      <c r="K183" s="89" t="str">
        <f t="shared" si="60"/>
        <v>4033/4034</v>
      </c>
      <c r="L183" s="189" t="str">
        <f>VLOOKUP(A183,'Trips&amp;Operators'!$C$1:$G$99911,5,FALSE)</f>
        <v>STAMBAUGH JAMES</v>
      </c>
      <c r="M183" s="6">
        <f t="shared" si="61"/>
        <v>1.0011574078816921E-2</v>
      </c>
      <c r="N183" s="7">
        <f t="shared" si="92"/>
        <v>14.416666673496366</v>
      </c>
      <c r="O183" s="7"/>
      <c r="P183" s="7"/>
      <c r="Q183" s="22"/>
      <c r="R183" s="167"/>
      <c r="S183" s="217">
        <f t="shared" si="93"/>
        <v>1</v>
      </c>
      <c r="T183" s="175" t="str">
        <f t="shared" si="62"/>
        <v>Southbound</v>
      </c>
      <c r="U183" s="20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26" t="str">
        <f t="shared" si="63"/>
        <v>https://d0f6bd738d7f1b3e5a7ca70fe4ff75f0.us-east-1.aws.found.io/app/kibana#/discover/Steve-Slow-Train-Analysis-(2080s-and-2083s)?_g=(refreshInterval:(display:Off,pause:!f,section:0,value:0),time:(from:'2017-09-14T12:25:27-0600',mode:absolute,to:'2017-09-14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3" s="210" t="str">
        <f>IF(AA183&lt;VLOOKUP(AG183,Variables!$AC$3:$AD$8,2,FALSE),"Y","N")</f>
        <v>N</v>
      </c>
      <c r="X183" s="210">
        <f t="shared" si="91"/>
        <v>1</v>
      </c>
      <c r="Y183" s="210">
        <f t="shared" si="89"/>
        <v>5.8628</v>
      </c>
      <c r="Z183" s="210">
        <f t="shared" si="90"/>
        <v>6.8699999999999997E-2</v>
      </c>
      <c r="AA183" s="210">
        <f t="shared" si="65"/>
        <v>5.7941000000000003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83">
        <f t="shared" si="66"/>
        <v>822</v>
      </c>
      <c r="AE183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83" s="74" t="str">
        <f t="shared" si="68"/>
        <v>"C:\Program Files (x86)\AstroGrep\AstroGrep.exe" /e /r /s /spath="%USERPROFILE%\AppData\Local\Temp\OnboardLogs" /stypes="app*4033*20170914*" /stext=" 19:.+((SYSTEM_STATE.+slice.+state.+changed )|(ment ac)|(multiple cpu faults)|(system.+state.+changed )|(\[timeout)|(PRM\|1\|D)|(kpr)|(kdp)|(train st.+moving)|(\|lc)|(penalty))"</v>
      </c>
      <c r="AG183" s="186" t="str">
        <f t="shared" si="69"/>
        <v>NW</v>
      </c>
      <c r="AH183" s="78" t="str">
        <f t="shared" si="70"/>
        <v>"%USERPROFILE%\Documents\GitHub\eaglep3\Utilities\RefineRTDCRunTimes.py" --tripid 822-14 --locoid 4033 --swversion DE.1.0.9.0 --startMP 300:58628 --initTime 2017-09-14T13:25:27 --startdatetime 2017-09-14T13:40:26 --delay 97 --endMP 204:687 --enddatetime 2017-09-14T13:54:51 --enforcementcount 1 &gt;&gt;C:\Users\stu\Documents\GitHub\eaglep3-reporting\EC\2017-09-14-refined-times.txt</v>
      </c>
      <c r="AI183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{"issue":{"subject":"","project_id":79,"tracker_id":40,"status_id":1,"priority_id":2,"assigned_to_id":338,"start_date":"2017-09-14","description":"","custom_fields":[{"id":1,"name":"Subdivision","value":"NW"},{"id":4,"name":"Milepost","value":"0.0687"},{"id":17,"name":"Train ID","value":"822-14"},{"id":16,"name":"Locomotive ID","value":"4033"},{"id":130,"name":"Impact","value":""},{"id":150,"name":"Time of Event (Mountain Time)","value":"13:54:51"},{"id":151,"name":"Denver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4033 --day 2017-09-14</v>
      </c>
      <c r="AN183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724</v>
      </c>
      <c r="B184" s="7">
        <v>4034</v>
      </c>
      <c r="C184" s="21" t="s">
        <v>197</v>
      </c>
      <c r="D184" s="21" t="s">
        <v>425</v>
      </c>
      <c r="E184" s="13">
        <v>42992.586504629631</v>
      </c>
      <c r="F184" s="13">
        <v>42992.589918981481</v>
      </c>
      <c r="G184" s="7">
        <v>69</v>
      </c>
      <c r="H184" s="21" t="s">
        <v>496</v>
      </c>
      <c r="I184" s="13">
        <v>42992.599583333336</v>
      </c>
      <c r="J184" s="7">
        <v>1</v>
      </c>
      <c r="K184" s="89" t="str">
        <f t="shared" si="60"/>
        <v>4033/4034</v>
      </c>
      <c r="L184" s="189" t="str">
        <f>VLOOKUP(A184,'Trips&amp;Operators'!$C$1:$G$99911,5,FALSE)</f>
        <v>STAMBAUGH JAMES</v>
      </c>
      <c r="M184" s="6">
        <f t="shared" si="61"/>
        <v>9.6643518554628827E-3</v>
      </c>
      <c r="N184" s="7">
        <f t="shared" si="92"/>
        <v>13.916666671866551</v>
      </c>
      <c r="O184" s="7"/>
      <c r="P184" s="7"/>
      <c r="Q184" s="22"/>
      <c r="R184" s="167"/>
      <c r="S184" s="217">
        <f t="shared" si="93"/>
        <v>1</v>
      </c>
      <c r="T184" s="175" t="str">
        <f t="shared" si="62"/>
        <v>NorthBound</v>
      </c>
      <c r="U184" s="20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26" t="str">
        <f t="shared" si="63"/>
        <v>https://d0f6bd738d7f1b3e5a7ca70fe4ff75f0.us-east-1.aws.found.io/app/kibana#/discover/Steve-Slow-Train-Analysis-(2080s-and-2083s)?_g=(refreshInterval:(display:Off,pause:!f,section:0,value:0),time:(from:'2017-09-14T13:04:34-0600',mode:absolute,to:'2017-09-14T15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4" s="210" t="str">
        <f>IF(AA184&lt;VLOOKUP(AG184,Variables!$AC$3:$AD$8,2,FALSE),"Y","N")</f>
        <v>N</v>
      </c>
      <c r="X184" s="210">
        <f t="shared" si="91"/>
        <v>1</v>
      </c>
      <c r="Y184" s="210">
        <f t="shared" si="89"/>
        <v>9.6199999999999994E-2</v>
      </c>
      <c r="Z184" s="210">
        <f t="shared" si="90"/>
        <v>5.8949999999999996</v>
      </c>
      <c r="AA184" s="210">
        <f t="shared" si="65"/>
        <v>5.7988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83">
        <f t="shared" si="66"/>
        <v>823</v>
      </c>
      <c r="AE184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84" s="74" t="str">
        <f t="shared" si="68"/>
        <v>"C:\Program Files (x86)\AstroGrep\AstroGrep.exe" /e /r /s /spath="%USERPROFILE%\AppData\Local\Temp\OnboardLogs" /stypes="app*4034*20170914*" /stext=" 20:.+((SYSTEM_STATE.+slice.+state.+changed )|(ment ac)|(multiple cpu faults)|(system.+state.+changed )|(\[timeout)|(PRM\|1\|D)|(kpr)|(kdp)|(train st.+moving)|(\|lc)|(penalty))"</v>
      </c>
      <c r="AG184" s="186" t="str">
        <f t="shared" si="69"/>
        <v>NW</v>
      </c>
      <c r="AH184" s="78" t="str">
        <f t="shared" si="70"/>
        <v>"%USERPROFILE%\Documents\GitHub\eaglep3\Utilities\RefineRTDCRunTimes.py" --tripid 823-14 --locoid 4034 --swversion DE.1.0.9.0 --startMP 204:962 --initTime 2017-09-14T14:04:34 --startdatetime 2017-09-14T14:09:29 --delay 69 --endMP 300:58950 --enddatetime 2017-09-14T14:23:24 --enforcementcount 1 &gt;&gt;C:\Users\stu\Documents\GitHub\eaglep3-reporting\EC\2017-09-14-refined-times.txt</v>
      </c>
      <c r="AI184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{"issue":{"subject":"","project_id":79,"tracker_id":40,"status_id":1,"priority_id":2,"assigned_to_id":338,"start_date":"2017-09-14","description":"","custom_fields":[{"id":1,"name":"Subdivision","value":"NW"},{"id":4,"name":"Milepost","value":"5.895"},{"id":17,"name":"Train ID","value":"823-14"},{"id":16,"name":"Locomotive ID","value":"4034"},{"id":130,"name":"Impact","value":""},{"id":150,"name":"Time of Event (Mountain Time)","value":"14:23:24"},{"id":151,"name":"Denver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2"/>
        <v>start /low /b %USERPROFILE%\Documents\GitHub\eaglep3\Utilities\DownloadLogsFromS3.py --loco 4034 --day 2017-09-14</v>
      </c>
      <c r="AN184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729</v>
      </c>
      <c r="B185" s="7">
        <v>4033</v>
      </c>
      <c r="C185" s="21" t="s">
        <v>197</v>
      </c>
      <c r="D185" s="21" t="s">
        <v>565</v>
      </c>
      <c r="E185" s="13">
        <v>42992.600752314815</v>
      </c>
      <c r="F185" s="13">
        <v>42992.611817129633</v>
      </c>
      <c r="G185" s="7">
        <v>57</v>
      </c>
      <c r="H185" s="21" t="s">
        <v>495</v>
      </c>
      <c r="I185" s="13">
        <v>42992.621354166666</v>
      </c>
      <c r="J185" s="7">
        <v>1</v>
      </c>
      <c r="K185" s="89" t="str">
        <f t="shared" si="60"/>
        <v>4033/4034</v>
      </c>
      <c r="L185" s="189" t="str">
        <f>VLOOKUP(A185,'Trips&amp;Operators'!$C$1:$G$99911,5,FALSE)</f>
        <v>STAMBAUGH JAMES</v>
      </c>
      <c r="M185" s="6">
        <f t="shared" si="61"/>
        <v>9.5370370327145793E-3</v>
      </c>
      <c r="N185" s="7">
        <f t="shared" si="92"/>
        <v>13.733333327108994</v>
      </c>
      <c r="O185" s="7"/>
      <c r="P185" s="7"/>
      <c r="Q185" s="22"/>
      <c r="R185" s="167"/>
      <c r="S185" s="217">
        <f t="shared" si="93"/>
        <v>1</v>
      </c>
      <c r="T185" s="175" t="str">
        <f t="shared" si="62"/>
        <v>Southbound</v>
      </c>
      <c r="U185" s="20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26" t="str">
        <f t="shared" si="63"/>
        <v>https://d0f6bd738d7f1b3e5a7ca70fe4ff75f0.us-east-1.aws.found.io/app/kibana#/discover/Steve-Slow-Train-Analysis-(2080s-and-2083s)?_g=(refreshInterval:(display:Off,pause:!f,section:0,value:0),time:(from:'2017-09-14T13:25:05-0600',mode:absolute,to:'2017-09-14T15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5" s="210" t="str">
        <f>IF(AA185&lt;VLOOKUP(AG185,Variables!$AC$3:$AD$8,2,FALSE),"Y","N")</f>
        <v>N</v>
      </c>
      <c r="X185" s="210">
        <f t="shared" si="91"/>
        <v>1</v>
      </c>
      <c r="Y185" s="210">
        <f t="shared" si="89"/>
        <v>5.8630000000000004</v>
      </c>
      <c r="Z185" s="210">
        <f t="shared" si="90"/>
        <v>6.8500000000000005E-2</v>
      </c>
      <c r="AA185" s="210">
        <f t="shared" si="65"/>
        <v>5.7945000000000002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83">
        <f t="shared" si="66"/>
        <v>824</v>
      </c>
      <c r="AE185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85" s="74" t="str">
        <f t="shared" si="68"/>
        <v>"C:\Program Files (x86)\AstroGrep\AstroGrep.exe" /e /r /s /spath="%USERPROFILE%\AppData\Local\Temp\OnboardLogs" /stypes="app*4033*20170914*" /stext=" 20:.+((SYSTEM_STATE.+slice.+state.+changed )|(ment ac)|(multiple cpu faults)|(system.+state.+changed )|(\[timeout)|(PRM\|1\|D)|(kpr)|(kdp)|(train st.+moving)|(\|lc)|(penalty))"</v>
      </c>
      <c r="AG185" s="186" t="str">
        <f t="shared" si="69"/>
        <v>NW</v>
      </c>
      <c r="AH185" s="78" t="str">
        <f t="shared" si="70"/>
        <v>"%USERPROFILE%\Documents\GitHub\eaglep3\Utilities\RefineRTDCRunTimes.py" --tripid 824-14 --locoid 4033 --swversion DE.1.0.9.0 --startMP 300:58630 --initTime 2017-09-14T14:25:05 --startdatetime 2017-09-14T14:41:01 --delay 57 --endMP 204:685 --enddatetime 2017-09-14T14:54:45 --enforcementcount 1 &gt;&gt;C:\Users\stu\Documents\GitHub\eaglep3-reporting\EC\2017-09-14-refined-times.txt</v>
      </c>
      <c r="AI185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{"issue":{"subject":"","project_id":79,"tracker_id":40,"status_id":1,"priority_id":2,"assigned_to_id":338,"start_date":"2017-09-14","description":"","custom_fields":[{"id":1,"name":"Subdivision","value":"NW"},{"id":4,"name":"Milepost","value":"0.0685"},{"id":17,"name":"Train ID","value":"824-14"},{"id":16,"name":"Locomotive ID","value":"4033"},{"id":130,"name":"Impact","value":""},{"id":150,"name":"Time of Event (Mountain Time)","value":"14:54:45"},{"id":151,"name":"Denver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2"/>
        <v>start /low /b %USERPROFILE%\Documents\GitHub\eaglep3\Utilities\DownloadLogsFromS3.py --loco 4033 --day 2017-09-14</v>
      </c>
      <c r="AN185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601</v>
      </c>
      <c r="B186" s="7">
        <v>4034</v>
      </c>
      <c r="C186" s="21" t="s">
        <v>197</v>
      </c>
      <c r="D186" s="21" t="s">
        <v>565</v>
      </c>
      <c r="E186" s="13">
        <v>42992.600752314815</v>
      </c>
      <c r="F186" s="13">
        <v>42992.631643518522</v>
      </c>
      <c r="G186" s="7">
        <v>57</v>
      </c>
      <c r="H186" s="21" t="s">
        <v>495</v>
      </c>
      <c r="I186" s="13">
        <v>42992.640659722223</v>
      </c>
      <c r="J186" s="7">
        <v>1</v>
      </c>
      <c r="K186" s="89" t="str">
        <f t="shared" si="60"/>
        <v>4033/4034</v>
      </c>
      <c r="L186" s="189" t="str">
        <f>VLOOKUP(A186,'Trips&amp;Operators'!$C$1:$G$99911,5,FALSE)</f>
        <v>STAMBAUGH JAMES</v>
      </c>
      <c r="M186" s="6">
        <f t="shared" si="61"/>
        <v>9.0162037013215013E-3</v>
      </c>
      <c r="N186" s="7">
        <f t="shared" si="92"/>
        <v>12.983333329902962</v>
      </c>
      <c r="O186" s="7"/>
      <c r="P186" s="7"/>
      <c r="Q186" s="22"/>
      <c r="R186" s="167"/>
      <c r="S186" s="217">
        <f t="shared" si="93"/>
        <v>1</v>
      </c>
      <c r="T186" s="175" t="str">
        <f t="shared" si="62"/>
        <v>NorthBound</v>
      </c>
      <c r="U186" s="20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26" t="str">
        <f t="shared" si="63"/>
        <v>https://d0f6bd738d7f1b3e5a7ca70fe4ff75f0.us-east-1.aws.found.io/app/kibana#/discover/Steve-Slow-Train-Analysis-(2080s-and-2083s)?_g=(refreshInterval:(display:Off,pause:!f,section:0,value:0),time:(from:'2017-09-14T13:25:05-0600',mode:absolute,to:'2017-09-14T16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86" s="210" t="str">
        <f>IF(AA186&lt;VLOOKUP(AG186,Variables!$AC$3:$AD$8,2,FALSE),"Y","N")</f>
        <v>N</v>
      </c>
      <c r="X186" s="210">
        <f t="shared" ref="X186:X187" si="94">VALUE(LEFT(AD186,4))-VALUE(LEFT(AD185,4))</f>
        <v>1</v>
      </c>
      <c r="Y186" s="210">
        <v>9.6199999999999994E-2</v>
      </c>
      <c r="Z186" s="210">
        <v>5.8949999999999996</v>
      </c>
      <c r="AA186" s="210">
        <f t="shared" si="65"/>
        <v>5.7988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83">
        <f t="shared" si="66"/>
        <v>825</v>
      </c>
      <c r="AE186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86" s="74" t="str">
        <f t="shared" si="68"/>
        <v>"C:\Program Files (x86)\AstroGrep\AstroGrep.exe" /e /r /s /spath="%USERPROFILE%\AppData\Local\Temp\OnboardLogs" /stypes="app*4034*20170914*" /stext=" 21:.+((SYSTEM_STATE.+slice.+state.+changed )|(ment ac)|(multiple cpu faults)|(system.+state.+changed )|(\[timeout)|(PRM\|1\|D)|(kpr)|(kdp)|(train st.+moving)|(\|lc)|(penalty))"</v>
      </c>
      <c r="AG186" s="186" t="str">
        <f t="shared" si="69"/>
        <v>NW</v>
      </c>
      <c r="AH186" s="78" t="str">
        <f t="shared" ref="AH186" si="95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825-14 --locoid 4034 --swversion DE.1.0.9.0 --startMP 300:58630 --initTime 2017-09-14T14:25:05 --startdatetime 2017-09-14T15:09:34 --delay 57 --endMP 204:685 --enddatetime 2017-09-14T15:22:33 --enforcementcount 1 &gt;&gt;C:\Users\stu\Documents\GitHub\eaglep3-reporting\EC\2017-09-14-refined-times.txt</v>
      </c>
      <c r="AI186" s="96" t="str">
        <f t="shared" ref="AI186" si="96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{"issue":{"subject":"","project_id":79,"tracker_id":40,"status_id":1,"priority_id":2,"assigned_to_id":338,"start_date":"2017-09-14","description":"","custom_fields":[{"id":1,"name":"Subdivision","value":"NW"},{"id":4,"name":"Milepost","value":"5.895"},{"id":17,"name":"Train ID","value":"825-14"},{"id":16,"name":"Locomotive ID","value":"4034"},{"id":130,"name":"Impact","value":""},{"id":150,"name":"Time of Event (Mountain Time)","value":"15:22:33"},{"id":151,"name":"Denver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ref="AM186" si="97">"start /low /b "&amp;dls3logs&amp;" --loco "&amp;B186&amp;" --day "&amp;TEXT(F186,"YYYY-MM-DD")</f>
        <v>start /low /b %USERPROFILE%\Documents\GitHub\eaglep3\Utilities\DownloadLogsFromS3.py --loco 4034 --day 2017-09-14</v>
      </c>
      <c r="AN186" s="151" t="str">
        <f t="shared" ref="AN186" si="98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s="20" customFormat="1" x14ac:dyDescent="0.25">
      <c r="A187" s="32" t="s">
        <v>605</v>
      </c>
      <c r="B187" s="7">
        <v>4033</v>
      </c>
      <c r="C187" s="21" t="s">
        <v>197</v>
      </c>
      <c r="D187" s="21" t="s">
        <v>952</v>
      </c>
      <c r="E187" s="13">
        <v>42992.642048611109</v>
      </c>
      <c r="F187" s="13">
        <v>42992.653287037036</v>
      </c>
      <c r="G187" s="7">
        <v>54</v>
      </c>
      <c r="H187" s="21" t="s">
        <v>567</v>
      </c>
      <c r="I187" s="13">
        <v>42992.662627314814</v>
      </c>
      <c r="J187" s="7">
        <v>1</v>
      </c>
      <c r="K187" s="89" t="str">
        <f t="shared" si="60"/>
        <v>4033/4034</v>
      </c>
      <c r="L187" s="189" t="str">
        <f>VLOOKUP(A187,'Trips&amp;Operators'!$C$1:$G$99911,5,FALSE)</f>
        <v>STAMBAUGH JAMES</v>
      </c>
      <c r="M187" s="6">
        <f t="shared" si="61"/>
        <v>9.340277778392192E-3</v>
      </c>
      <c r="N187" s="7">
        <f t="shared" si="92"/>
        <v>13.450000000884756</v>
      </c>
      <c r="O187" s="7"/>
      <c r="P187" s="7"/>
      <c r="Q187" s="22"/>
      <c r="R187" s="167"/>
      <c r="S187" s="217">
        <f t="shared" si="93"/>
        <v>1</v>
      </c>
      <c r="T187" s="175" t="str">
        <f t="shared" si="62"/>
        <v>Southbound</v>
      </c>
      <c r="U187" s="20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26" t="str">
        <f t="shared" si="63"/>
        <v>https://d0f6bd738d7f1b3e5a7ca70fe4ff75f0.us-east-1.aws.found.io/app/kibana#/discover/Steve-Slow-Train-Analysis-(2080s-and-2083s)?_g=(refreshInterval:(display:Off,pause:!f,section:0,value:0),time:(from:'2017-09-14T14:24:33-0600',mode:absolute,to:'2017-09-14T16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87" s="210" t="str">
        <f>IF(AA187&lt;VLOOKUP(AG187,Variables!$AC$3:$AD$8,2,FALSE),"Y","N")</f>
        <v>N</v>
      </c>
      <c r="X187" s="210">
        <f t="shared" si="94"/>
        <v>1</v>
      </c>
      <c r="Y187" s="210">
        <f t="shared" ref="Y187:Y218" si="99">RIGHT(D187,LEN(D187)-4)/10000</f>
        <v>5.8640999999999996</v>
      </c>
      <c r="Z187" s="210">
        <f t="shared" ref="Z187:Z218" si="100">RIGHT(H187,LEN(H187)-4)/10000</f>
        <v>6.8900000000000003E-2</v>
      </c>
      <c r="AA187" s="210">
        <f t="shared" si="65"/>
        <v>5.7951999999999995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83">
        <f t="shared" si="66"/>
        <v>826</v>
      </c>
      <c r="AE187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87" s="74" t="str">
        <f t="shared" si="68"/>
        <v>"C:\Program Files (x86)\AstroGrep\AstroGrep.exe" /e /r /s /spath="%USERPROFILE%\AppData\Local\Temp\OnboardLogs" /stypes="app*4033*20170914*" /stext=" 21:.+((SYSTEM_STATE.+slice.+state.+changed )|(ment ac)|(multiple cpu faults)|(system.+state.+changed )|(\[timeout)|(PRM\|1\|D)|(kpr)|(kdp)|(train st.+moving)|(\|lc)|(penalty))"</v>
      </c>
      <c r="AG187" s="186" t="str">
        <f t="shared" si="69"/>
        <v>NW</v>
      </c>
      <c r="AH187" s="78" t="str">
        <f t="shared" si="70"/>
        <v>"%USERPROFILE%\Documents\GitHub\eaglep3\Utilities\RefineRTDCRunTimes.py" --tripid 826-14 --locoid 4033 --swversion DE.1.0.9.0 --startMP 300:58641 --initTime 2017-09-14T15:24:33 --startdatetime 2017-09-14T15:40:44 --delay 54 --endMP 204:689 --enddatetime 2017-09-14T15:54:11 --enforcementcount 1 &gt;&gt;C:\Users\stu\Documents\GitHub\eaglep3-reporting\EC\2017-09-14-refined-times.txt</v>
      </c>
      <c r="AI187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{"issue":{"subject":"","project_id":79,"tracker_id":40,"status_id":1,"priority_id":2,"assigned_to_id":338,"start_date":"2017-09-14","description":"","custom_fields":[{"id":1,"name":"Subdivision","value":"NW"},{"id":4,"name":"Milepost","value":"0.0689"},{"id":17,"name":"Train ID","value":"826-14"},{"id":16,"name":"Locomotive ID","value":"4033"},{"id":130,"name":"Impact","value":""},{"id":150,"name":"Time of Event (Mountain Time)","value":"15:54:11"},{"id":151,"name":"Denver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2"/>
        <v>start /low /b %USERPROFILE%\Documents\GitHub\eaglep3\Utilities\DownloadLogsFromS3.py --loco 4033 --day 2017-09-14</v>
      </c>
      <c r="AN187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603</v>
      </c>
      <c r="B188" s="7">
        <v>4014</v>
      </c>
      <c r="C188" s="21" t="s">
        <v>197</v>
      </c>
      <c r="D188" s="21" t="s">
        <v>953</v>
      </c>
      <c r="E188" s="13">
        <v>42992.649918981479</v>
      </c>
      <c r="F188" s="13">
        <v>42992.652280092596</v>
      </c>
      <c r="G188" s="7">
        <v>96</v>
      </c>
      <c r="H188" s="21" t="s">
        <v>954</v>
      </c>
      <c r="I188" s="13">
        <v>42992.663773148146</v>
      </c>
      <c r="J188" s="7">
        <v>1</v>
      </c>
      <c r="K188" s="89" t="str">
        <f t="shared" si="60"/>
        <v>4013/4014</v>
      </c>
      <c r="L188" s="189" t="str">
        <f>VLOOKUP(A188,'Trips&amp;Operators'!$C$1:$G$99911,5,FALSE)</f>
        <v>DUNCAN SHEILA</v>
      </c>
      <c r="M188" s="6">
        <f t="shared" si="61"/>
        <v>1.1493055550090503E-2</v>
      </c>
      <c r="N188" s="7">
        <f t="shared" si="92"/>
        <v>16.549999992130324</v>
      </c>
      <c r="O188" s="7"/>
      <c r="P188" s="7"/>
      <c r="Q188" s="22"/>
      <c r="R188" s="167"/>
      <c r="S188" s="217">
        <f t="shared" si="93"/>
        <v>1</v>
      </c>
      <c r="T188" s="175" t="str">
        <f t="shared" si="62"/>
        <v>NorthBound</v>
      </c>
      <c r="U188" s="20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26" t="str">
        <f t="shared" si="63"/>
        <v>https://d0f6bd738d7f1b3e5a7ca70fe4ff75f0.us-east-1.aws.found.io/app/kibana#/discover/Steve-Slow-Train-Analysis-(2080s-and-2083s)?_g=(refreshInterval:(display:Off,pause:!f,section:0,value:0),time:(from:'2017-09-14T14:35:53-0600',mode:absolute,to:'2017-09-14T16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10" t="str">
        <f>IF(AA188&lt;VLOOKUP(AG188,Variables!$AC$3:$AD$8,2,FALSE),"Y","N")</f>
        <v>N</v>
      </c>
      <c r="X188" s="210">
        <f t="shared" ref="X188:X219" si="101">VALUE(LEFT(AD188,4))-VALUE(LEFT(AD187,4))</f>
        <v>1</v>
      </c>
      <c r="Y188" s="210">
        <f t="shared" si="99"/>
        <v>9.4799999999999995E-2</v>
      </c>
      <c r="Z188" s="210">
        <f t="shared" si="100"/>
        <v>5.8930999999999996</v>
      </c>
      <c r="AA188" s="210">
        <f t="shared" si="65"/>
        <v>5.7982999999999993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83">
        <f t="shared" si="66"/>
        <v>827</v>
      </c>
      <c r="AE188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88" s="74" t="str">
        <f t="shared" si="68"/>
        <v>"C:\Program Files (x86)\AstroGrep\AstroGrep.exe" /e /r /s /spath="%USERPROFILE%\AppData\Local\Temp\OnboardLogs" /stypes="app*4014*20170914*" /stext=" 21:.+((SYSTEM_STATE.+slice.+state.+changed )|(ment ac)|(multiple cpu faults)|(system.+state.+changed )|(\[timeout)|(PRM\|1\|D)|(kpr)|(kdp)|(train st.+moving)|(\|lc)|(penalty))"</v>
      </c>
      <c r="AG188" s="186" t="str">
        <f t="shared" si="69"/>
        <v>NW</v>
      </c>
      <c r="AH188" s="78" t="str">
        <f t="shared" si="70"/>
        <v>"%USERPROFILE%\Documents\GitHub\eaglep3\Utilities\RefineRTDCRunTimes.py" --tripid 827-14 --locoid 4014 --swversion DE.1.0.9.0 --startMP 204:948 --initTime 2017-09-14T15:35:53 --startdatetime 2017-09-14T15:39:17 --delay 96 --endMP 300:58931 --enddatetime 2017-09-14T15:55:50 --enforcementcount 1 &gt;&gt;C:\Users\stu\Documents\GitHub\eaglep3-reporting\EC\2017-09-14-refined-times.txt</v>
      </c>
      <c r="AI188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{"issue":{"subject":"","project_id":79,"tracker_id":40,"status_id":1,"priority_id":2,"assigned_to_id":338,"start_date":"2017-09-14","description":"","custom_fields":[{"id":1,"name":"Subdivision","value":"NW"},{"id":4,"name":"Milepost","value":"5.8931"},{"id":17,"name":"Train ID","value":"827-14"},{"id":16,"name":"Locomotive ID","value":"4014"},{"id":130,"name":"Impact","value":""},{"id":150,"name":"Time of Event (Mountain Time)","value":"15:55:50"},{"id":151,"name":"Denver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2"/>
        <v>start /low /b %USERPROFILE%\Documents\GitHub\eaglep3\Utilities\DownloadLogsFromS3.py --loco 4014 --day 2017-09-14</v>
      </c>
      <c r="AN188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742</v>
      </c>
      <c r="B189" s="7">
        <v>4013</v>
      </c>
      <c r="C189" s="21" t="s">
        <v>197</v>
      </c>
      <c r="D189" s="21" t="s">
        <v>955</v>
      </c>
      <c r="E189" s="13">
        <v>42992.664675925924</v>
      </c>
      <c r="F189" s="13">
        <v>42992.674444444441</v>
      </c>
      <c r="G189" s="7">
        <v>69</v>
      </c>
      <c r="H189" s="21" t="s">
        <v>562</v>
      </c>
      <c r="I189" s="13">
        <v>42992.684062499997</v>
      </c>
      <c r="J189" s="7">
        <v>1</v>
      </c>
      <c r="K189" s="89" t="str">
        <f t="shared" si="60"/>
        <v>4013/4014</v>
      </c>
      <c r="L189" s="189" t="str">
        <f>VLOOKUP(A189,'Trips&amp;Operators'!$C$1:$G$99911,5,FALSE)</f>
        <v>DUNCAN SHEILA</v>
      </c>
      <c r="M189" s="6">
        <f t="shared" si="61"/>
        <v>9.6180555556202307E-3</v>
      </c>
      <c r="N189" s="7">
        <f t="shared" si="92"/>
        <v>13.850000000093132</v>
      </c>
      <c r="O189" s="7"/>
      <c r="P189" s="7"/>
      <c r="Q189" s="22"/>
      <c r="R189" s="167"/>
      <c r="S189" s="217">
        <f t="shared" si="93"/>
        <v>1</v>
      </c>
      <c r="T189" s="175" t="str">
        <f t="shared" si="62"/>
        <v>Southbound</v>
      </c>
      <c r="U189" s="20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26" t="str">
        <f t="shared" si="63"/>
        <v>https://d0f6bd738d7f1b3e5a7ca70fe4ff75f0.us-east-1.aws.found.io/app/kibana#/discover/Steve-Slow-Train-Analysis-(2080s-and-2083s)?_g=(refreshInterval:(display:Off,pause:!f,section:0,value:0),time:(from:'2017-09-14T14:57:08-0600',mode:absolute,to:'2017-09-14T17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10" t="str">
        <f>IF(AA189&lt;VLOOKUP(AG189,Variables!$AC$3:$AD$8,2,FALSE),"Y","N")</f>
        <v>N</v>
      </c>
      <c r="X189" s="210">
        <f t="shared" si="101"/>
        <v>1</v>
      </c>
      <c r="Y189" s="210">
        <f t="shared" si="99"/>
        <v>5.8613</v>
      </c>
      <c r="Z189" s="210">
        <f t="shared" si="100"/>
        <v>6.7299999999999999E-2</v>
      </c>
      <c r="AA189" s="210">
        <f t="shared" si="65"/>
        <v>5.7939999999999996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83">
        <f t="shared" si="66"/>
        <v>828</v>
      </c>
      <c r="AE189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89" s="74" t="str">
        <f t="shared" si="68"/>
        <v>"C:\Program Files (x86)\AstroGrep\AstroGrep.exe" /e /r /s /spath="%USERPROFILE%\AppData\Local\Temp\OnboardLogs" /stypes="app*4013*20170914*" /stext=" 22:.+((SYSTEM_STATE.+slice.+state.+changed )|(ment ac)|(multiple cpu faults)|(system.+state.+changed )|(\[timeout)|(PRM\|1\|D)|(kpr)|(kdp)|(train st.+moving)|(\|lc)|(penalty))"</v>
      </c>
      <c r="AG189" s="186" t="str">
        <f t="shared" si="69"/>
        <v>NW</v>
      </c>
      <c r="AH189" s="78" t="str">
        <f t="shared" si="70"/>
        <v>"%USERPROFILE%\Documents\GitHub\eaglep3\Utilities\RefineRTDCRunTimes.py" --tripid 828-14 --locoid 4013 --swversion DE.1.0.9.0 --startMP 300:58613 --initTime 2017-09-14T15:57:08 --startdatetime 2017-09-14T16:11:12 --delay 69 --endMP 204:673 --enddatetime 2017-09-14T16:25:03 --enforcementcount 1 &gt;&gt;C:\Users\stu\Documents\GitHub\eaglep3-reporting\EC\2017-09-14-refined-times.txt</v>
      </c>
      <c r="AI189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{"issue":{"subject":"","project_id":79,"tracker_id":40,"status_id":1,"priority_id":2,"assigned_to_id":338,"start_date":"2017-09-14","description":"","custom_fields":[{"id":1,"name":"Subdivision","value":"NW"},{"id":4,"name":"Milepost","value":"0.0673"},{"id":17,"name":"Train ID","value":"828-14"},{"id":16,"name":"Locomotive ID","value":"4013"},{"id":130,"name":"Impact","value":""},{"id":150,"name":"Time of Event (Mountain Time)","value":"16:25:03"},{"id":151,"name":"Denver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2"/>
        <v>start /low /b %USERPROFILE%\Documents\GitHub\eaglep3\Utilities\DownloadLogsFromS3.py --loco 4013 --day 2017-09-14</v>
      </c>
      <c r="AN189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743</v>
      </c>
      <c r="B190" s="7">
        <v>4034</v>
      </c>
      <c r="C190" s="21" t="s">
        <v>197</v>
      </c>
      <c r="D190" s="21" t="s">
        <v>928</v>
      </c>
      <c r="E190" s="13">
        <v>42992.668368055558</v>
      </c>
      <c r="F190" s="13">
        <v>42992.673356481479</v>
      </c>
      <c r="G190" s="7">
        <v>47</v>
      </c>
      <c r="H190" s="21" t="s">
        <v>559</v>
      </c>
      <c r="I190" s="13">
        <v>42992.683437500003</v>
      </c>
      <c r="J190" s="7">
        <v>1</v>
      </c>
      <c r="K190" s="89" t="str">
        <f t="shared" si="60"/>
        <v>4033/4034</v>
      </c>
      <c r="L190" s="189" t="str">
        <f>VLOOKUP(A190,'Trips&amp;Operators'!$C$1:$G$99911,5,FALSE)</f>
        <v>STAMBAUGH JAMES</v>
      </c>
      <c r="M190" s="6">
        <f t="shared" si="61"/>
        <v>1.008101852494292E-2</v>
      </c>
      <c r="N190" s="7">
        <f t="shared" si="92"/>
        <v>14.516666675917804</v>
      </c>
      <c r="O190" s="7"/>
      <c r="P190" s="7"/>
      <c r="Q190" s="22"/>
      <c r="R190" s="167"/>
      <c r="S190" s="217">
        <f t="shared" si="93"/>
        <v>1</v>
      </c>
      <c r="T190" s="175" t="str">
        <f t="shared" si="62"/>
        <v>NorthBound</v>
      </c>
      <c r="U190" s="20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26" t="str">
        <f t="shared" si="63"/>
        <v>https://d0f6bd738d7f1b3e5a7ca70fe4ff75f0.us-east-1.aws.found.io/app/kibana#/discover/Steve-Slow-Train-Analysis-(2080s-and-2083s)?_g=(refreshInterval:(display:Off,pause:!f,section:0,value:0),time:(from:'2017-09-14T15:02:27-0600',mode:absolute,to:'2017-09-14T17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0" s="210" t="str">
        <f>IF(AA190&lt;VLOOKUP(AG190,Variables!$AC$3:$AD$8,2,FALSE),"Y","N")</f>
        <v>N</v>
      </c>
      <c r="X190" s="210">
        <f t="shared" si="101"/>
        <v>1</v>
      </c>
      <c r="Y190" s="210">
        <f t="shared" si="99"/>
        <v>9.5799999999999996E-2</v>
      </c>
      <c r="Z190" s="210">
        <f t="shared" si="100"/>
        <v>5.8958000000000004</v>
      </c>
      <c r="AA190" s="210">
        <f t="shared" si="65"/>
        <v>5.8000000000000007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83">
        <f t="shared" si="66"/>
        <v>829</v>
      </c>
      <c r="AE190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90" s="74" t="str">
        <f t="shared" si="68"/>
        <v>"C:\Program Files (x86)\AstroGrep\AstroGrep.exe" /e /r /s /spath="%USERPROFILE%\AppData\Local\Temp\OnboardLogs" /stypes="app*4034*20170914*" /stext=" 22:.+((SYSTEM_STATE.+slice.+state.+changed )|(ment ac)|(multiple cpu faults)|(system.+state.+changed )|(\[timeout)|(PRM\|1\|D)|(kpr)|(kdp)|(train st.+moving)|(\|lc)|(penalty))"</v>
      </c>
      <c r="AG190" s="186" t="str">
        <f t="shared" si="69"/>
        <v>NW</v>
      </c>
      <c r="AH190" s="78" t="str">
        <f t="shared" si="70"/>
        <v>"%USERPROFILE%\Documents\GitHub\eaglep3\Utilities\RefineRTDCRunTimes.py" --tripid 829-14 --locoid 4034 --swversion DE.1.0.9.0 --startMP 204:958 --initTime 2017-09-14T16:02:27 --startdatetime 2017-09-14T16:09:38 --delay 47 --endMP 300:58958 --enddatetime 2017-09-14T16:24:09 --enforcementcount 1 &gt;&gt;C:\Users\stu\Documents\GitHub\eaglep3-reporting\EC\2017-09-14-refined-times.txt</v>
      </c>
      <c r="AI190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{"issue":{"subject":"","project_id":79,"tracker_id":40,"status_id":1,"priority_id":2,"assigned_to_id":338,"start_date":"2017-09-14","description":"","custom_fields":[{"id":1,"name":"Subdivision","value":"NW"},{"id":4,"name":"Milepost","value":"5.8958"},{"id":17,"name":"Train ID","value":"829-14"},{"id":16,"name":"Locomotive ID","value":"4034"},{"id":130,"name":"Impact","value":""},{"id":150,"name":"Time of Event (Mountain Time)","value":"16:24:09"},{"id":151,"name":"Denver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4034 --day 2017-09-14</v>
      </c>
      <c r="AN190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608</v>
      </c>
      <c r="B191" s="7">
        <v>4033</v>
      </c>
      <c r="C191" s="21" t="s">
        <v>197</v>
      </c>
      <c r="D191" s="21" t="s">
        <v>952</v>
      </c>
      <c r="E191" s="13">
        <v>42992.684398148151</v>
      </c>
      <c r="F191" s="13">
        <v>42992.695254629631</v>
      </c>
      <c r="G191" s="7">
        <v>114</v>
      </c>
      <c r="H191" s="21" t="s">
        <v>956</v>
      </c>
      <c r="I191" s="13">
        <v>42992.705081018517</v>
      </c>
      <c r="J191" s="7">
        <v>1</v>
      </c>
      <c r="K191" s="89" t="str">
        <f t="shared" si="60"/>
        <v>4033/4034</v>
      </c>
      <c r="L191" s="189" t="str">
        <f>VLOOKUP(A191,'Trips&amp;Operators'!$C$1:$G$99911,5,FALSE)</f>
        <v>STAMBAUGH JAMES</v>
      </c>
      <c r="M191" s="6">
        <f t="shared" si="61"/>
        <v>9.8263888867222704E-3</v>
      </c>
      <c r="N191" s="7">
        <f t="shared" si="92"/>
        <v>14.149999996880069</v>
      </c>
      <c r="O191" s="7"/>
      <c r="P191" s="7"/>
      <c r="Q191" s="22"/>
      <c r="R191" s="167"/>
      <c r="S191" s="217">
        <f t="shared" si="93"/>
        <v>1</v>
      </c>
      <c r="T191" s="175" t="str">
        <f t="shared" si="62"/>
        <v>Southbound</v>
      </c>
      <c r="U191" s="20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26" t="str">
        <f t="shared" si="63"/>
        <v>https://d0f6bd738d7f1b3e5a7ca70fe4ff75f0.us-east-1.aws.found.io/app/kibana#/discover/Steve-Slow-Train-Analysis-(2080s-and-2083s)?_g=(refreshInterval:(display:Off,pause:!f,section:0,value:0),time:(from:'2017-09-14T15:25:32-0600',mode:absolute,to:'2017-09-14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1" s="210" t="str">
        <f>IF(AA191&lt;VLOOKUP(AG191,Variables!$AC$3:$AD$8,2,FALSE),"Y","N")</f>
        <v>N</v>
      </c>
      <c r="X191" s="210">
        <f t="shared" si="101"/>
        <v>1</v>
      </c>
      <c r="Y191" s="210">
        <f t="shared" si="99"/>
        <v>5.8640999999999996</v>
      </c>
      <c r="Z191" s="210">
        <f t="shared" si="100"/>
        <v>6.5199999999999994E-2</v>
      </c>
      <c r="AA191" s="210">
        <f t="shared" si="65"/>
        <v>5.7988999999999997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83">
        <f t="shared" si="66"/>
        <v>830</v>
      </c>
      <c r="AE191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91" s="74" t="str">
        <f t="shared" si="68"/>
        <v>"C:\Program Files (x86)\AstroGrep\AstroGrep.exe" /e /r /s /spath="%USERPROFILE%\AppData\Local\Temp\OnboardLogs" /stypes="app*4033*20170914*" /stext=" 22:.+((SYSTEM_STATE.+slice.+state.+changed )|(ment ac)|(multiple cpu faults)|(system.+state.+changed )|(\[timeout)|(PRM\|1\|D)|(kpr)|(kdp)|(train st.+moving)|(\|lc)|(penalty))"</v>
      </c>
      <c r="AG191" s="186" t="str">
        <f t="shared" si="69"/>
        <v>NW</v>
      </c>
      <c r="AH191" s="78" t="str">
        <f t="shared" si="70"/>
        <v>"%USERPROFILE%\Documents\GitHub\eaglep3\Utilities\RefineRTDCRunTimes.py" --tripid 830-14 --locoid 4033 --swversion DE.1.0.9.0 --startMP 300:58641 --initTime 2017-09-14T16:25:32 --startdatetime 2017-09-14T16:41:10 --delay 114 --endMP 204:652 --enddatetime 2017-09-14T16:55:19 --enforcementcount 1 &gt;&gt;C:\Users\stu\Documents\GitHub\eaglep3-reporting\EC\2017-09-14-refined-times.txt</v>
      </c>
      <c r="AI191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{"issue":{"subject":"","project_id":79,"tracker_id":40,"status_id":1,"priority_id":2,"assigned_to_id":338,"start_date":"2017-09-14","description":"","custom_fields":[{"id":1,"name":"Subdivision","value":"NW"},{"id":4,"name":"Milepost","value":"0.0652"},{"id":17,"name":"Train ID","value":"830-14"},{"id":16,"name":"Locomotive ID","value":"4033"},{"id":130,"name":"Impact","value":""},{"id":150,"name":"Time of Event (Mountain Time)","value":"16:55:19"},{"id":151,"name":"Denver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2"/>
        <v>start /low /b %USERPROFILE%\Documents\GitHub\eaglep3\Utilities\DownloadLogsFromS3.py --loco 4033 --day 2017-09-14</v>
      </c>
      <c r="AN191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607</v>
      </c>
      <c r="B192" s="7">
        <v>4014</v>
      </c>
      <c r="C192" s="21" t="s">
        <v>197</v>
      </c>
      <c r="D192" s="21" t="s">
        <v>957</v>
      </c>
      <c r="E192" s="13">
        <v>42992.68818287037</v>
      </c>
      <c r="F192" s="13">
        <v>42992.694016203706</v>
      </c>
      <c r="G192" s="7">
        <v>88</v>
      </c>
      <c r="H192" s="21" t="s">
        <v>556</v>
      </c>
      <c r="I192" s="13">
        <v>42992.704710648148</v>
      </c>
      <c r="J192" s="7">
        <v>1</v>
      </c>
      <c r="K192" s="89" t="str">
        <f t="shared" si="60"/>
        <v>4013/4014</v>
      </c>
      <c r="L192" s="189" t="str">
        <f>VLOOKUP(A192,'Trips&amp;Operators'!$C$1:$G$99911,5,FALSE)</f>
        <v>ZEWDU DEREJE</v>
      </c>
      <c r="M192" s="6">
        <f t="shared" si="61"/>
        <v>1.0694444441469386E-2</v>
      </c>
      <c r="N192" s="7">
        <f t="shared" si="92"/>
        <v>15.399999995715916</v>
      </c>
      <c r="O192" s="7"/>
      <c r="P192" s="7"/>
      <c r="Q192" s="22"/>
      <c r="R192" s="167"/>
      <c r="S192" s="217">
        <f t="shared" si="93"/>
        <v>1</v>
      </c>
      <c r="T192" s="175" t="str">
        <f t="shared" si="62"/>
        <v>NorthBound</v>
      </c>
      <c r="U192" s="20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26" t="str">
        <f t="shared" si="63"/>
        <v>https://d0f6bd738d7f1b3e5a7ca70fe4ff75f0.us-east-1.aws.found.io/app/kibana#/discover/Steve-Slow-Train-Analysis-(2080s-and-2083s)?_g=(refreshInterval:(display:Off,pause:!f,section:0,value:0),time:(from:'2017-09-14T15:30:59-0600',mode:absolute,to:'2017-09-14T17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10" t="str">
        <f>IF(AA192&lt;VLOOKUP(AG192,Variables!$AC$3:$AD$8,2,FALSE),"Y","N")</f>
        <v>N</v>
      </c>
      <c r="X192" s="210">
        <f t="shared" si="101"/>
        <v>1</v>
      </c>
      <c r="Y192" s="210">
        <f t="shared" si="99"/>
        <v>9.7600000000000006E-2</v>
      </c>
      <c r="Z192" s="210">
        <f t="shared" si="100"/>
        <v>5.8973000000000004</v>
      </c>
      <c r="AA192" s="210">
        <f t="shared" si="65"/>
        <v>5.7997000000000005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83">
        <f t="shared" si="66"/>
        <v>831</v>
      </c>
      <c r="AE192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92" s="74" t="str">
        <f t="shared" si="68"/>
        <v>"C:\Program Files (x86)\AstroGrep\AstroGrep.exe" /e /r /s /spath="%USERPROFILE%\AppData\Local\Temp\OnboardLogs" /stypes="app*4014*20170914*" /stext=" 22:.+((SYSTEM_STATE.+slice.+state.+changed )|(ment ac)|(multiple cpu faults)|(system.+state.+changed )|(\[timeout)|(PRM\|1\|D)|(kpr)|(kdp)|(train st.+moving)|(\|lc)|(penalty))"</v>
      </c>
      <c r="AG192" s="186" t="str">
        <f t="shared" si="69"/>
        <v>NW</v>
      </c>
      <c r="AH192" s="78" t="str">
        <f t="shared" si="70"/>
        <v>"%USERPROFILE%\Documents\GitHub\eaglep3\Utilities\RefineRTDCRunTimes.py" --tripid 831-14 --locoid 4014 --swversion DE.1.0.9.0 --startMP 204:976 --initTime 2017-09-14T16:30:59 --startdatetime 2017-09-14T16:39:23 --delay 88 --endMP 300:58973 --enddatetime 2017-09-14T16:54:47 --enforcementcount 1 &gt;&gt;C:\Users\stu\Documents\GitHub\eaglep3-reporting\EC\2017-09-14-refined-times.txt</v>
      </c>
      <c r="AI192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{"issue":{"subject":"","project_id":79,"tracker_id":40,"status_id":1,"priority_id":2,"assigned_to_id":338,"start_date":"2017-09-14","description":"","custom_fields":[{"id":1,"name":"Subdivision","value":"NW"},{"id":4,"name":"Milepost","value":"5.8973"},{"id":17,"name":"Train ID","value":"831-14"},{"id":16,"name":"Locomotive ID","value":"4014"},{"id":130,"name":"Impact","value":""},{"id":150,"name":"Time of Event (Mountain Time)","value":"16:54:47"},{"id":151,"name":"Denver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2"/>
        <v>start /low /b %USERPROFILE%\Documents\GitHub\eaglep3\Utilities\DownloadLogsFromS3.py --loco 4014 --day 2017-09-14</v>
      </c>
      <c r="AN192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751</v>
      </c>
      <c r="B193" s="7">
        <v>4013</v>
      </c>
      <c r="C193" s="21" t="s">
        <v>197</v>
      </c>
      <c r="D193" s="21" t="s">
        <v>554</v>
      </c>
      <c r="E193" s="13">
        <v>42992.705891203703</v>
      </c>
      <c r="F193" s="13">
        <v>42992.713391203702</v>
      </c>
      <c r="G193" s="7">
        <v>95</v>
      </c>
      <c r="H193" s="21" t="s">
        <v>958</v>
      </c>
      <c r="I193" s="13">
        <v>42992.72552083333</v>
      </c>
      <c r="J193" s="7">
        <v>1</v>
      </c>
      <c r="K193" s="89" t="str">
        <f t="shared" si="60"/>
        <v>4013/4014</v>
      </c>
      <c r="L193" s="189" t="str">
        <f>VLOOKUP(A193,'Trips&amp;Operators'!$C$1:$G$99911,5,FALSE)</f>
        <v>ZEWDU DEREJE</v>
      </c>
      <c r="M193" s="6">
        <f t="shared" si="61"/>
        <v>1.2129629627452232E-2</v>
      </c>
      <c r="N193" s="7">
        <f t="shared" si="92"/>
        <v>17.466666663531214</v>
      </c>
      <c r="O193" s="7"/>
      <c r="P193" s="7"/>
      <c r="Q193" s="22"/>
      <c r="R193" s="167"/>
      <c r="S193" s="217">
        <f t="shared" si="93"/>
        <v>1</v>
      </c>
      <c r="T193" s="175" t="str">
        <f t="shared" si="62"/>
        <v>Southbound</v>
      </c>
      <c r="U193" s="20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26" t="str">
        <f t="shared" si="63"/>
        <v>https://d0f6bd738d7f1b3e5a7ca70fe4ff75f0.us-east-1.aws.found.io/app/kibana#/discover/Steve-Slow-Train-Analysis-(2080s-and-2083s)?_g=(refreshInterval:(display:Off,pause:!f,section:0,value:0),time:(from:'2017-09-14T15:56:29-0600',mode:absolute,to:'2017-09-14T18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10" t="str">
        <f>IF(AA193&lt;VLOOKUP(AG193,Variables!$AC$3:$AD$8,2,FALSE),"Y","N")</f>
        <v>N</v>
      </c>
      <c r="X193" s="210">
        <f t="shared" si="101"/>
        <v>1</v>
      </c>
      <c r="Y193" s="210">
        <f t="shared" si="99"/>
        <v>5.8659999999999997</v>
      </c>
      <c r="Z193" s="210">
        <f t="shared" si="100"/>
        <v>6.5699999999999995E-2</v>
      </c>
      <c r="AA193" s="210">
        <f t="shared" si="65"/>
        <v>5.8003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83">
        <f t="shared" si="66"/>
        <v>832</v>
      </c>
      <c r="AE193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93" s="74" t="str">
        <f t="shared" si="68"/>
        <v>"C:\Program Files (x86)\AstroGrep\AstroGrep.exe" /e /r /s /spath="%USERPROFILE%\AppData\Local\Temp\OnboardLogs" /stypes="app*4013*20170914*" /stext=" 23:.+((SYSTEM_STATE.+slice.+state.+changed )|(ment ac)|(multiple cpu faults)|(system.+state.+changed )|(\[timeout)|(PRM\|1\|D)|(kpr)|(kdp)|(train st.+moving)|(\|lc)|(penalty))"</v>
      </c>
      <c r="AG193" s="186" t="str">
        <f t="shared" si="69"/>
        <v>NW</v>
      </c>
      <c r="AH193" s="78" t="str">
        <f t="shared" si="70"/>
        <v>"%USERPROFILE%\Documents\GitHub\eaglep3\Utilities\RefineRTDCRunTimes.py" --tripid 832-14 --locoid 4013 --swversion DE.1.0.9.0 --startMP 300:58660 --initTime 2017-09-14T16:56:29 --startdatetime 2017-09-14T17:07:17 --delay 95 --endMP 204:657 --enddatetime 2017-09-14T17:24:45 --enforcementcount 1 &gt;&gt;C:\Users\stu\Documents\GitHub\eaglep3-reporting\EC\2017-09-14-refined-times.txt</v>
      </c>
      <c r="AI193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{"issue":{"subject":"","project_id":79,"tracker_id":40,"status_id":1,"priority_id":2,"assigned_to_id":338,"start_date":"2017-09-14","description":"","custom_fields":[{"id":1,"name":"Subdivision","value":"NW"},{"id":4,"name":"Milepost","value":"0.0657"},{"id":17,"name":"Train ID","value":"832-14"},{"id":16,"name":"Locomotive ID","value":"4013"},{"id":130,"name":"Impact","value":""},{"id":150,"name":"Time of Event (Mountain Time)","value":"17:24:45"},{"id":151,"name":"Denver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4013 --day 2017-09-14</v>
      </c>
      <c r="AN193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752</v>
      </c>
      <c r="B194" s="7">
        <v>4034</v>
      </c>
      <c r="C194" s="21" t="s">
        <v>197</v>
      </c>
      <c r="D194" s="21" t="s">
        <v>928</v>
      </c>
      <c r="E194" s="13">
        <v>42992.711701388886</v>
      </c>
      <c r="F194" s="13">
        <v>42992.715219907404</v>
      </c>
      <c r="G194" s="7">
        <v>76</v>
      </c>
      <c r="H194" s="21" t="s">
        <v>959</v>
      </c>
      <c r="I194" s="13">
        <v>42992.725416666668</v>
      </c>
      <c r="J194" s="7">
        <v>1</v>
      </c>
      <c r="K194" s="89" t="str">
        <f t="shared" si="60"/>
        <v>4033/4034</v>
      </c>
      <c r="L194" s="189" t="str">
        <f>VLOOKUP(A194,'Trips&amp;Operators'!$C$1:$G$99911,5,FALSE)</f>
        <v>STAMBAUGH JAMES</v>
      </c>
      <c r="M194" s="6">
        <f t="shared" si="61"/>
        <v>1.0196759263635613E-2</v>
      </c>
      <c r="N194" s="7">
        <f t="shared" si="92"/>
        <v>14.683333339635283</v>
      </c>
      <c r="O194" s="7"/>
      <c r="P194" s="7"/>
      <c r="Q194" s="22"/>
      <c r="R194" s="167"/>
      <c r="S194" s="217">
        <f t="shared" si="93"/>
        <v>1</v>
      </c>
      <c r="T194" s="175" t="str">
        <f t="shared" si="62"/>
        <v>NorthBound</v>
      </c>
      <c r="U194" s="20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26" t="str">
        <f t="shared" si="63"/>
        <v>https://d0f6bd738d7f1b3e5a7ca70fe4ff75f0.us-east-1.aws.found.io/app/kibana#/discover/Steve-Slow-Train-Analysis-(2080s-and-2083s)?_g=(refreshInterval:(display:Off,pause:!f,section:0,value:0),time:(from:'2017-09-14T16:04:51-0600',mode:absolute,to:'2017-09-14T18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4" s="210" t="str">
        <f>IF(AA194&lt;VLOOKUP(AG194,Variables!$AC$3:$AD$8,2,FALSE),"Y","N")</f>
        <v>N</v>
      </c>
      <c r="X194" s="210">
        <f t="shared" si="101"/>
        <v>1</v>
      </c>
      <c r="Y194" s="210">
        <f t="shared" si="99"/>
        <v>9.5799999999999996E-2</v>
      </c>
      <c r="Z194" s="210">
        <f t="shared" si="100"/>
        <v>5.8963000000000001</v>
      </c>
      <c r="AA194" s="210">
        <f t="shared" si="65"/>
        <v>5.8005000000000004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83">
        <f t="shared" si="66"/>
        <v>833</v>
      </c>
      <c r="AE194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94" s="74" t="str">
        <f t="shared" si="68"/>
        <v>"C:\Program Files (x86)\AstroGrep\AstroGrep.exe" /e /r /s /spath="%USERPROFILE%\AppData\Local\Temp\OnboardLogs" /stypes="app*4034*20170914*" /stext=" 23:.+((SYSTEM_STATE.+slice.+state.+changed )|(ment ac)|(multiple cpu faults)|(system.+state.+changed )|(\[timeout)|(PRM\|1\|D)|(kpr)|(kdp)|(train st.+moving)|(\|lc)|(penalty))"</v>
      </c>
      <c r="AG194" s="186" t="str">
        <f t="shared" si="69"/>
        <v>NW</v>
      </c>
      <c r="AH194" s="78" t="str">
        <f t="shared" si="70"/>
        <v>"%USERPROFILE%\Documents\GitHub\eaglep3\Utilities\RefineRTDCRunTimes.py" --tripid 833-14 --locoid 4034 --swversion DE.1.0.9.0 --startMP 204:958 --initTime 2017-09-14T17:04:51 --startdatetime 2017-09-14T17:09:55 --delay 76 --endMP 300:58963 --enddatetime 2017-09-14T17:24:36 --enforcementcount 1 &gt;&gt;C:\Users\stu\Documents\GitHub\eaglep3-reporting\EC\2017-09-14-refined-times.txt</v>
      </c>
      <c r="AI194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{"issue":{"subject":"","project_id":79,"tracker_id":40,"status_id":1,"priority_id":2,"assigned_to_id":338,"start_date":"2017-09-14","description":"","custom_fields":[{"id":1,"name":"Subdivision","value":"NW"},{"id":4,"name":"Milepost","value":"5.8963"},{"id":17,"name":"Train ID","value":"833-14"},{"id":16,"name":"Locomotive ID","value":"4034"},{"id":130,"name":"Impact","value":""},{"id":150,"name":"Time of Event (Mountain Time)","value":"17:24:36"},{"id":151,"name":"Denver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2"/>
        <v>start /low /b %USERPROFILE%\Documents\GitHub\eaglep3\Utilities\DownloadLogsFromS3.py --loco 4034 --day 2017-09-14</v>
      </c>
      <c r="AN194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757</v>
      </c>
      <c r="B195" s="7">
        <v>4033</v>
      </c>
      <c r="C195" s="21" t="s">
        <v>197</v>
      </c>
      <c r="D195" s="21" t="s">
        <v>960</v>
      </c>
      <c r="E195" s="13">
        <v>42992.726701388892</v>
      </c>
      <c r="F195" s="13">
        <v>42992.73709490741</v>
      </c>
      <c r="G195" s="7">
        <v>95</v>
      </c>
      <c r="H195" s="21" t="s">
        <v>927</v>
      </c>
      <c r="I195" s="13">
        <v>42992.745844907404</v>
      </c>
      <c r="J195" s="7">
        <v>1</v>
      </c>
      <c r="K195" s="89" t="str">
        <f t="shared" si="60"/>
        <v>4033/4034</v>
      </c>
      <c r="L195" s="189" t="str">
        <f>VLOOKUP(A195,'Trips&amp;Operators'!$C$1:$G$99911,5,FALSE)</f>
        <v>STAMBAUGH JAMES</v>
      </c>
      <c r="M195" s="6">
        <f t="shared" si="61"/>
        <v>8.7499999935971573E-3</v>
      </c>
      <c r="N195" s="7">
        <f t="shared" si="92"/>
        <v>12.599999990779907</v>
      </c>
      <c r="O195" s="7"/>
      <c r="P195" s="7"/>
      <c r="Q195" s="22"/>
      <c r="R195" s="167"/>
      <c r="S195" s="217">
        <f t="shared" si="93"/>
        <v>1</v>
      </c>
      <c r="T195" s="175" t="str">
        <f t="shared" si="62"/>
        <v>Southbound</v>
      </c>
      <c r="U195" s="20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26" t="str">
        <f t="shared" si="63"/>
        <v>https://d0f6bd738d7f1b3e5a7ca70fe4ff75f0.us-east-1.aws.found.io/app/kibana#/discover/Steve-Slow-Train-Analysis-(2080s-and-2083s)?_g=(refreshInterval:(display:Off,pause:!f,section:0,value:0),time:(from:'2017-09-14T16:26:27-0600',mode:absolute,to:'2017-09-14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5" s="210" t="str">
        <f>IF(AA195&lt;VLOOKUP(AG195,Variables!$AC$3:$AD$8,2,FALSE),"Y","N")</f>
        <v>N</v>
      </c>
      <c r="X195" s="210">
        <f t="shared" si="101"/>
        <v>1</v>
      </c>
      <c r="Y195" s="210">
        <f t="shared" si="99"/>
        <v>5.8643000000000001</v>
      </c>
      <c r="Z195" s="210">
        <f t="shared" si="100"/>
        <v>6.8199999999999997E-2</v>
      </c>
      <c r="AA195" s="210">
        <f t="shared" si="65"/>
        <v>5.7961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83">
        <f t="shared" si="66"/>
        <v>834</v>
      </c>
      <c r="AE195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95" s="74" t="str">
        <f t="shared" si="68"/>
        <v>"C:\Program Files (x86)\AstroGrep\AstroGrep.exe" /e /r /s /spath="%USERPROFILE%\AppData\Local\Temp\OnboardLogs" /stypes="app*4033*20170914*" /stext=" 23:.+((SYSTEM_STATE.+slice.+state.+changed )|(ment ac)|(multiple cpu faults)|(system.+state.+changed )|(\[timeout)|(PRM\|1\|D)|(kpr)|(kdp)|(train st.+moving)|(\|lc)|(penalty))"</v>
      </c>
      <c r="AG195" s="186" t="str">
        <f t="shared" si="69"/>
        <v>NW</v>
      </c>
      <c r="AH195" s="78" t="str">
        <f t="shared" si="70"/>
        <v>"%USERPROFILE%\Documents\GitHub\eaglep3\Utilities\RefineRTDCRunTimes.py" --tripid 834-14 --locoid 4033 --swversion DE.1.0.9.0 --startMP 300:58643 --initTime 2017-09-14T17:26:27 --startdatetime 2017-09-14T17:41:25 --delay 95 --endMP 204:682 --enddatetime 2017-09-14T17:54:01 --enforcementcount 1 &gt;&gt;C:\Users\stu\Documents\GitHub\eaglep3-reporting\EC\2017-09-14-refined-times.txt</v>
      </c>
      <c r="AI195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{"issue":{"subject":"","project_id":79,"tracker_id":40,"status_id":1,"priority_id":2,"assigned_to_id":338,"start_date":"2017-09-14","description":"","custom_fields":[{"id":1,"name":"Subdivision","value":"NW"},{"id":4,"name":"Milepost","value":"0.0682"},{"id":17,"name":"Train ID","value":"834-14"},{"id":16,"name":"Locomotive ID","value":"4033"},{"id":130,"name":"Impact","value":""},{"id":150,"name":"Time of Event (Mountain Time)","value":"17:54:01"},{"id":151,"name":"Denver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2"/>
        <v>start /low /b %USERPROFILE%\Documents\GitHub\eaglep3\Utilities\DownloadLogsFromS3.py --loco 4033 --day 2017-09-14</v>
      </c>
      <c r="AN195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611</v>
      </c>
      <c r="B196" s="7">
        <v>4014</v>
      </c>
      <c r="C196" s="21" t="s">
        <v>197</v>
      </c>
      <c r="D196" s="21" t="s">
        <v>961</v>
      </c>
      <c r="E196" s="13">
        <v>42992.73296296296</v>
      </c>
      <c r="F196" s="13">
        <v>42992.735601851855</v>
      </c>
      <c r="G196" s="7">
        <v>65</v>
      </c>
      <c r="H196" s="21" t="s">
        <v>962</v>
      </c>
      <c r="I196" s="13">
        <v>42992.745798611111</v>
      </c>
      <c r="J196" s="7">
        <v>1</v>
      </c>
      <c r="K196" s="89" t="str">
        <f t="shared" si="60"/>
        <v>4013/4014</v>
      </c>
      <c r="L196" s="189" t="str">
        <f>VLOOKUP(A196,'Trips&amp;Operators'!$C$1:$G$99911,5,FALSE)</f>
        <v>DUNCAN SHEILA</v>
      </c>
      <c r="M196" s="6">
        <f t="shared" si="61"/>
        <v>1.0196759256359655E-2</v>
      </c>
      <c r="N196" s="7">
        <f t="shared" si="92"/>
        <v>14.683333329157904</v>
      </c>
      <c r="O196" s="7"/>
      <c r="P196" s="7"/>
      <c r="Q196" s="22"/>
      <c r="R196" s="167"/>
      <c r="S196" s="217">
        <f t="shared" si="93"/>
        <v>1</v>
      </c>
      <c r="T196" s="175" t="str">
        <f t="shared" si="62"/>
        <v>NorthBound</v>
      </c>
      <c r="U196" s="20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26" t="str">
        <f t="shared" si="63"/>
        <v>https://d0f6bd738d7f1b3e5a7ca70fe4ff75f0.us-east-1.aws.found.io/app/kibana#/discover/Steve-Slow-Train-Analysis-(2080s-and-2083s)?_g=(refreshInterval:(display:Off,pause:!f,section:0,value:0),time:(from:'2017-09-14T16:35:28-0600',mode:absolute,to:'2017-09-14T18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10" t="str">
        <f>IF(AA196&lt;VLOOKUP(AG196,Variables!$AC$3:$AD$8,2,FALSE),"Y","N")</f>
        <v>N</v>
      </c>
      <c r="X196" s="210">
        <f t="shared" si="101"/>
        <v>1</v>
      </c>
      <c r="Y196" s="210">
        <f t="shared" si="99"/>
        <v>9.5000000000000001E-2</v>
      </c>
      <c r="Z196" s="210">
        <f t="shared" si="100"/>
        <v>5.8928000000000003</v>
      </c>
      <c r="AA196" s="210">
        <f t="shared" si="65"/>
        <v>5.7978000000000005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83">
        <f t="shared" si="66"/>
        <v>835</v>
      </c>
      <c r="AE196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196" s="74" t="str">
        <f t="shared" si="68"/>
        <v>"C:\Program Files (x86)\AstroGrep\AstroGrep.exe" /e /r /s /spath="%USERPROFILE%\AppData\Local\Temp\OnboardLogs" /stypes="app*4014*20170914*" /stext=" 23:.+((SYSTEM_STATE.+slice.+state.+changed )|(ment ac)|(multiple cpu faults)|(system.+state.+changed )|(\[timeout)|(PRM\|1\|D)|(kpr)|(kdp)|(train st.+moving)|(\|lc)|(penalty))"</v>
      </c>
      <c r="AG196" s="186" t="str">
        <f t="shared" si="69"/>
        <v>NW</v>
      </c>
      <c r="AH196" s="78" t="str">
        <f t="shared" si="70"/>
        <v>"%USERPROFILE%\Documents\GitHub\eaglep3\Utilities\RefineRTDCRunTimes.py" --tripid 835-14 --locoid 4014 --swversion DE.1.0.9.0 --startMP 204:950 --initTime 2017-09-14T17:35:28 --startdatetime 2017-09-14T17:39:16 --delay 65 --endMP 300:58928 --enddatetime 2017-09-14T17:53:57 --enforcementcount 1 &gt;&gt;C:\Users\stu\Documents\GitHub\eaglep3-reporting\EC\2017-09-14-refined-times.txt</v>
      </c>
      <c r="AI196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{"issue":{"subject":"","project_id":79,"tracker_id":40,"status_id":1,"priority_id":2,"assigned_to_id":338,"start_date":"2017-09-14","description":"","custom_fields":[{"id":1,"name":"Subdivision","value":"NW"},{"id":4,"name":"Milepost","value":"5.8928"},{"id":17,"name":"Train ID","value":"835-14"},{"id":16,"name":"Locomotive ID","value":"4014"},{"id":130,"name":"Impact","value":""},{"id":150,"name":"Time of Event (Mountain Time)","value":"17:53:57"},{"id":151,"name":"Denver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2"/>
        <v>start /low /b %USERPROFILE%\Documents\GitHub\eaglep3\Utilities\DownloadLogsFromS3.py --loco 4014 --day 2017-09-14</v>
      </c>
      <c r="AN196" s="151" t="str">
        <f t="shared" si="73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762</v>
      </c>
      <c r="B197" s="7">
        <v>4013</v>
      </c>
      <c r="C197" s="21" t="s">
        <v>197</v>
      </c>
      <c r="D197" s="21" t="s">
        <v>963</v>
      </c>
      <c r="E197" s="13">
        <v>42992.747754629629</v>
      </c>
      <c r="F197" s="13">
        <v>42992.757905092592</v>
      </c>
      <c r="G197" s="7">
        <v>69</v>
      </c>
      <c r="H197" s="21" t="s">
        <v>964</v>
      </c>
      <c r="I197" s="13">
        <v>42992.767337962963</v>
      </c>
      <c r="J197" s="7">
        <v>1</v>
      </c>
      <c r="K197" s="89" t="str">
        <f t="shared" si="60"/>
        <v>4013/4014</v>
      </c>
      <c r="L197" s="189" t="str">
        <f>VLOOKUP(A197,'Trips&amp;Operators'!$C$1:$G$99911,5,FALSE)</f>
        <v>DUNCAN SHEILA</v>
      </c>
      <c r="M197" s="6">
        <f t="shared" si="61"/>
        <v>9.4328703708015382E-3</v>
      </c>
      <c r="N197" s="7">
        <f t="shared" si="92"/>
        <v>13.583333333954215</v>
      </c>
      <c r="O197" s="7"/>
      <c r="P197" s="7"/>
      <c r="Q197" s="22"/>
      <c r="R197" s="167"/>
      <c r="S197" s="217">
        <f t="shared" si="93"/>
        <v>1</v>
      </c>
      <c r="T197" s="175" t="str">
        <f t="shared" si="62"/>
        <v>Southbound</v>
      </c>
      <c r="U197" s="20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26" t="str">
        <f t="shared" si="63"/>
        <v>https://d0f6bd738d7f1b3e5a7ca70fe4ff75f0.us-east-1.aws.found.io/app/kibana#/discover/Steve-Slow-Train-Analysis-(2080s-and-2083s)?_g=(refreshInterval:(display:Off,pause:!f,section:0,value:0),time:(from:'2017-09-14T16:56:46-0600',mode:absolute,to:'2017-09-14T19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10" t="str">
        <f>IF(AA197&lt;VLOOKUP(AG197,Variables!$AC$3:$AD$8,2,FALSE),"Y","N")</f>
        <v>N</v>
      </c>
      <c r="X197" s="210">
        <f t="shared" si="101"/>
        <v>1</v>
      </c>
      <c r="Y197" s="210">
        <f t="shared" si="99"/>
        <v>5.8605999999999998</v>
      </c>
      <c r="Z197" s="210">
        <f t="shared" si="100"/>
        <v>6.9599999999999995E-2</v>
      </c>
      <c r="AA197" s="210">
        <f t="shared" si="65"/>
        <v>5.7909999999999995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83">
        <f t="shared" si="66"/>
        <v>836</v>
      </c>
      <c r="AE197" s="77" t="str">
        <f t="shared" si="67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197" s="74" t="str">
        <f t="shared" si="68"/>
        <v>"C:\Program Files (x86)\AstroGrep\AstroGrep.exe" /e /r /s /spath="%USERPROFILE%\AppData\Local\Temp\OnboardLogs" /stypes="app*4013*20170915*" /stext=" 00:.+((SYSTEM_STATE.+slice.+state.+changed )|(ment ac)|(multiple cpu faults)|(system.+state.+changed )|(\[timeout)|(PRM\|1\|D)|(kpr)|(kdp)|(train st.+moving)|(\|lc)|(penalty))"</v>
      </c>
      <c r="AG197" s="186" t="str">
        <f t="shared" si="69"/>
        <v>NW</v>
      </c>
      <c r="AH197" s="78" t="str">
        <f t="shared" si="70"/>
        <v>"%USERPROFILE%\Documents\GitHub\eaglep3\Utilities\RefineRTDCRunTimes.py" --tripid 836-14 --locoid 4013 --swversion DE.1.0.9.0 --startMP 300:58606 --initTime 2017-09-14T17:56:46 --startdatetime 2017-09-14T18:11:23 --delay 69 --endMP 204:696 --enddatetime 2017-09-14T18:24:58 --enforcementcount 1 &gt;&gt;C:\Users\stu\Documents\GitHub\eaglep3-reporting\EC\2017-09-14-refined-times.txt</v>
      </c>
      <c r="AI197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{"issue":{"subject":"","project_id":79,"tracker_id":40,"status_id":1,"priority_id":2,"assigned_to_id":338,"start_date":"2017-09-14","description":"","custom_fields":[{"id":1,"name":"Subdivision","value":"NW"},{"id":4,"name":"Milepost","value":"0.0696"},{"id":17,"name":"Train ID","value":"836-14"},{"id":16,"name":"Locomotive ID","value":"4013"},{"id":130,"name":"Impact","value":""},{"id":150,"name":"Time of Event (Mountain Time)","value":"18:24:58"},{"id":151,"name":"Denver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2"/>
        <v>start /low /b %USERPROFILE%\Documents\GitHub\eaglep3\Utilities\DownloadLogsFromS3.py --loco 4013 --day 2017-09-14</v>
      </c>
      <c r="AN197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767</v>
      </c>
      <c r="B198" s="7">
        <v>4034</v>
      </c>
      <c r="C198" s="21" t="s">
        <v>197</v>
      </c>
      <c r="D198" s="21" t="s">
        <v>965</v>
      </c>
      <c r="E198" s="13">
        <v>42992.754872685182</v>
      </c>
      <c r="F198" s="13">
        <v>42992.756562499999</v>
      </c>
      <c r="G198" s="7">
        <v>61</v>
      </c>
      <c r="H198" s="21" t="s">
        <v>966</v>
      </c>
      <c r="I198" s="13">
        <v>42992.766863425924</v>
      </c>
      <c r="J198" s="7">
        <v>1</v>
      </c>
      <c r="K198" s="89" t="str">
        <f t="shared" si="60"/>
        <v>4033/4034</v>
      </c>
      <c r="L198" s="189" t="str">
        <f>VLOOKUP(A198,'Trips&amp;Operators'!$C$1:$G$99911,5,FALSE)</f>
        <v>STAMBAUGH JAMES</v>
      </c>
      <c r="M198" s="6">
        <f t="shared" si="61"/>
        <v>1.0300925925548654E-2</v>
      </c>
      <c r="N198" s="7">
        <f t="shared" si="92"/>
        <v>14.833333332790062</v>
      </c>
      <c r="O198" s="7"/>
      <c r="P198" s="7"/>
      <c r="Q198" s="22"/>
      <c r="R198" s="167"/>
      <c r="S198" s="217">
        <f t="shared" si="93"/>
        <v>1</v>
      </c>
      <c r="T198" s="175" t="str">
        <f t="shared" si="62"/>
        <v>NorthBound</v>
      </c>
      <c r="U198" s="20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26" t="str">
        <f t="shared" si="63"/>
        <v>https://d0f6bd738d7f1b3e5a7ca70fe4ff75f0.us-east-1.aws.found.io/app/kibana#/discover/Steve-Slow-Train-Analysis-(2080s-and-2083s)?_g=(refreshInterval:(display:Off,pause:!f,section:0,value:0),time:(from:'2017-09-14T17:07:01-0600',mode:absolute,to:'2017-09-14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8" s="210" t="str">
        <f>IF(AA198&lt;VLOOKUP(AG198,Variables!$AC$3:$AD$8,2,FALSE),"Y","N")</f>
        <v>N</v>
      </c>
      <c r="X198" s="210">
        <f t="shared" si="101"/>
        <v>1</v>
      </c>
      <c r="Y198" s="210">
        <f t="shared" si="99"/>
        <v>9.4299999999999995E-2</v>
      </c>
      <c r="Z198" s="210">
        <f t="shared" si="100"/>
        <v>5.8956</v>
      </c>
      <c r="AA198" s="210">
        <f t="shared" si="65"/>
        <v>5.8013000000000003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83">
        <f t="shared" si="66"/>
        <v>837</v>
      </c>
      <c r="AE198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198" s="74" t="str">
        <f t="shared" si="68"/>
        <v>"C:\Program Files (x86)\AstroGrep\AstroGrep.exe" /e /r /s /spath="%USERPROFILE%\AppData\Local\Temp\OnboardLogs" /stypes="app*4034*20170915*" /stext=" 00:.+((SYSTEM_STATE.+slice.+state.+changed )|(ment ac)|(multiple cpu faults)|(system.+state.+changed )|(\[timeout)|(PRM\|1\|D)|(kpr)|(kdp)|(train st.+moving)|(\|lc)|(penalty))"</v>
      </c>
      <c r="AG198" s="186" t="str">
        <f t="shared" si="69"/>
        <v>NW</v>
      </c>
      <c r="AH198" s="78" t="str">
        <f t="shared" si="70"/>
        <v>"%USERPROFILE%\Documents\GitHub\eaglep3\Utilities\RefineRTDCRunTimes.py" --tripid 837-14 --locoid 4034 --swversion DE.1.0.9.0 --startMP 204:943 --initTime 2017-09-14T18:07:01 --startdatetime 2017-09-14T18:09:27 --delay 61 --endMP 300:58956 --enddatetime 2017-09-14T18:24:17 --enforcementcount 1 &gt;&gt;C:\Users\stu\Documents\GitHub\eaglep3-reporting\EC\2017-09-14-refined-times.txt</v>
      </c>
      <c r="AI198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{"issue":{"subject":"","project_id":79,"tracker_id":40,"status_id":1,"priority_id":2,"assigned_to_id":338,"start_date":"2017-09-14","description":"","custom_fields":[{"id":1,"name":"Subdivision","value":"NW"},{"id":4,"name":"Milepost","value":"5.8956"},{"id":17,"name":"Train ID","value":"837-14"},{"id":16,"name":"Locomotive ID","value":"4034"},{"id":130,"name":"Impact","value":""},{"id":150,"name":"Time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2"/>
        <v>start /low /b %USERPROFILE%\Documents\GitHub\eaglep3\Utilities\DownloadLogsFromS3.py --loco 4034 --day 2017-09-14</v>
      </c>
      <c r="AN198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772</v>
      </c>
      <c r="B199" s="7">
        <v>4033</v>
      </c>
      <c r="C199" s="21" t="s">
        <v>197</v>
      </c>
      <c r="D199" s="21" t="s">
        <v>967</v>
      </c>
      <c r="E199" s="13">
        <v>42992.768090277779</v>
      </c>
      <c r="F199" s="13">
        <v>42992.77915509259</v>
      </c>
      <c r="G199" s="7">
        <v>63</v>
      </c>
      <c r="H199" s="21" t="s">
        <v>458</v>
      </c>
      <c r="I199" s="13">
        <v>42992.787581018521</v>
      </c>
      <c r="J199" s="7">
        <v>1</v>
      </c>
      <c r="K199" s="89" t="str">
        <f t="shared" si="60"/>
        <v>4033/4034</v>
      </c>
      <c r="L199" s="189" t="str">
        <f>VLOOKUP(A199,'Trips&amp;Operators'!$C$1:$G$99911,5,FALSE)</f>
        <v>STAMBAUGH JAMES</v>
      </c>
      <c r="M199" s="6">
        <f t="shared" si="61"/>
        <v>8.4259259310783818E-3</v>
      </c>
      <c r="N199" s="7">
        <f t="shared" si="92"/>
        <v>12.13333334075287</v>
      </c>
      <c r="O199" s="7"/>
      <c r="P199" s="7"/>
      <c r="Q199" s="22"/>
      <c r="R199" s="167"/>
      <c r="S199" s="217">
        <f t="shared" si="93"/>
        <v>1</v>
      </c>
      <c r="T199" s="175" t="str">
        <f t="shared" si="62"/>
        <v>Southbound</v>
      </c>
      <c r="U199" s="20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26" t="str">
        <f t="shared" si="63"/>
        <v>https://d0f6bd738d7f1b3e5a7ca70fe4ff75f0.us-east-1.aws.found.io/app/kibana#/discover/Steve-Slow-Train-Analysis-(2080s-and-2083s)?_g=(refreshInterval:(display:Off,pause:!f,section:0,value:0),time:(from:'2017-09-14T17:26:03-0600',mode:absolute,to:'2017-09-14T19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9" s="210" t="str">
        <f>IF(AA199&lt;VLOOKUP(AG199,Variables!$AC$3:$AD$8,2,FALSE),"Y","N")</f>
        <v>N</v>
      </c>
      <c r="X199" s="210">
        <f t="shared" si="101"/>
        <v>1</v>
      </c>
      <c r="Y199" s="210">
        <f t="shared" si="99"/>
        <v>5.8639999999999999</v>
      </c>
      <c r="Z199" s="210">
        <f t="shared" si="100"/>
        <v>6.8000000000000005E-2</v>
      </c>
      <c r="AA199" s="210">
        <f t="shared" si="65"/>
        <v>5.7960000000000003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83">
        <f t="shared" si="66"/>
        <v>838</v>
      </c>
      <c r="AE199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199" s="74" t="str">
        <f t="shared" si="68"/>
        <v>"C:\Program Files (x86)\AstroGrep\AstroGrep.exe" /e /r /s /spath="%USERPROFILE%\AppData\Local\Temp\OnboardLogs" /stypes="app*4033*20170915*" /stext=" 00:.+((SYSTEM_STATE.+slice.+state.+changed )|(ment ac)|(multiple cpu faults)|(system.+state.+changed )|(\[timeout)|(PRM\|1\|D)|(kpr)|(kdp)|(train st.+moving)|(\|lc)|(penalty))"</v>
      </c>
      <c r="AG199" s="186" t="str">
        <f t="shared" si="69"/>
        <v>NW</v>
      </c>
      <c r="AH199" s="78" t="str">
        <f t="shared" si="70"/>
        <v>"%USERPROFILE%\Documents\GitHub\eaglep3\Utilities\RefineRTDCRunTimes.py" --tripid 838-14 --locoid 4033 --swversion DE.1.0.9.0 --startMP 300:58640 --initTime 2017-09-14T18:26:03 --startdatetime 2017-09-14T18:41:59 --delay 63 --endMP 204:680 --enddatetime 2017-09-14T18:54:07 --enforcementcount 1 &gt;&gt;C:\Users\stu\Documents\GitHub\eaglep3-reporting\EC\2017-09-14-refined-times.txt</v>
      </c>
      <c r="AI199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{"issue":{"subject":"","project_id":79,"tracker_id":40,"status_id":1,"priority_id":2,"assigned_to_id":338,"start_date":"2017-09-14","description":"","custom_fields":[{"id":1,"name":"Subdivision","value":"NW"},{"id":4,"name":"Milepost","value":"0.068"},{"id":17,"name":"Train ID","value":"838-14"},{"id":16,"name":"Locomotive ID","value":"4033"},{"id":130,"name":"Impact","value":""},{"id":150,"name":"Time of Event (Mountain Time)","value":"18:54:07"},{"id":151,"name":"Denver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2"/>
        <v>start /low /b %USERPROFILE%\Documents\GitHub\eaglep3\Utilities\DownloadLogsFromS3.py --loco 4033 --day 2017-09-14</v>
      </c>
      <c r="AN199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773</v>
      </c>
      <c r="B200" s="7">
        <v>4014</v>
      </c>
      <c r="C200" s="21" t="s">
        <v>197</v>
      </c>
      <c r="D200" s="21" t="s">
        <v>491</v>
      </c>
      <c r="E200" s="13">
        <v>42992.768599537034</v>
      </c>
      <c r="F200" s="13">
        <v>42992.777268518519</v>
      </c>
      <c r="G200" s="7">
        <v>64</v>
      </c>
      <c r="H200" s="21" t="s">
        <v>954</v>
      </c>
      <c r="I200" s="13">
        <v>42992.787766203706</v>
      </c>
      <c r="J200" s="7">
        <v>1</v>
      </c>
      <c r="K200" s="89" t="str">
        <f t="shared" si="60"/>
        <v>4013/4014</v>
      </c>
      <c r="L200" s="189" t="str">
        <f>VLOOKUP(A200,'Trips&amp;Operators'!$C$1:$G$99911,5,FALSE)</f>
        <v>DUNCAN SHEILA</v>
      </c>
      <c r="M200" s="6">
        <f t="shared" si="61"/>
        <v>1.0497685187146999E-2</v>
      </c>
      <c r="N200" s="7">
        <f t="shared" si="92"/>
        <v>15.116666669491678</v>
      </c>
      <c r="O200" s="7"/>
      <c r="P200" s="7"/>
      <c r="Q200" s="22"/>
      <c r="R200" s="167"/>
      <c r="S200" s="217">
        <f t="shared" si="93"/>
        <v>1</v>
      </c>
      <c r="T200" s="175" t="str">
        <f t="shared" si="62"/>
        <v>NorthBound</v>
      </c>
      <c r="U200" s="20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26" t="str">
        <f t="shared" si="63"/>
        <v>https://d0f6bd738d7f1b3e5a7ca70fe4ff75f0.us-east-1.aws.found.io/app/kibana#/discover/Steve-Slow-Train-Analysis-(2080s-and-2083s)?_g=(refreshInterval:(display:Off,pause:!f,section:0,value:0),time:(from:'2017-09-14T17:26:47-0600',mode:absolute,to:'2017-09-14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210" t="str">
        <f>IF(AA200&lt;VLOOKUP(AG200,Variables!$AC$3:$AD$8,2,FALSE),"Y","N")</f>
        <v>N</v>
      </c>
      <c r="X200" s="210">
        <f t="shared" si="101"/>
        <v>1</v>
      </c>
      <c r="Y200" s="210">
        <f t="shared" si="99"/>
        <v>9.9000000000000005E-2</v>
      </c>
      <c r="Z200" s="210">
        <f t="shared" si="100"/>
        <v>5.8930999999999996</v>
      </c>
      <c r="AA200" s="210">
        <f t="shared" si="65"/>
        <v>5.7940999999999994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83">
        <f t="shared" si="66"/>
        <v>839</v>
      </c>
      <c r="AE200" s="77" t="str">
        <f t="shared" si="67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200" s="74" t="str">
        <f t="shared" si="68"/>
        <v>"C:\Program Files (x86)\AstroGrep\AstroGrep.exe" /e /r /s /spath="%USERPROFILE%\AppData\Local\Temp\OnboardLogs" /stypes="app*4014*20170915*" /stext=" 00:.+((SYSTEM_STATE.+slice.+state.+changed )|(ment ac)|(multiple cpu faults)|(system.+state.+changed )|(\[timeout)|(PRM\|1\|D)|(kpr)|(kdp)|(train st.+moving)|(\|lc)|(penalty))"</v>
      </c>
      <c r="AG200" s="186" t="str">
        <f t="shared" si="69"/>
        <v>NW</v>
      </c>
      <c r="AH200" s="78" t="str">
        <f t="shared" si="70"/>
        <v>"%USERPROFILE%\Documents\GitHub\eaglep3\Utilities\RefineRTDCRunTimes.py" --tripid 839-14 --locoid 4014 --swversion DE.1.0.9.0 --startMP 204:990 --initTime 2017-09-14T18:26:47 --startdatetime 2017-09-14T18:39:16 --delay 64 --endMP 300:58931 --enddatetime 2017-09-14T18:54:23 --enforcementcount 1 &gt;&gt;C:\Users\stu\Documents\GitHub\eaglep3-reporting\EC\2017-09-14-refined-times.txt</v>
      </c>
      <c r="AI200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{"issue":{"subject":"","project_id":79,"tracker_id":40,"status_id":1,"priority_id":2,"assigned_to_id":338,"start_date":"2017-09-14","description":"","custom_fields":[{"id":1,"name":"Subdivision","value":"NW"},{"id":4,"name":"Milepost","value":"5.8931"},{"id":17,"name":"Train ID","value":"839-14"},{"id":16,"name":"Locomotive ID","value":"4014"},{"id":130,"name":"Impact","value":""},{"id":150,"name":"Time of Event (Mountain Time)","value":"18:54:23"},{"id":151,"name":"Denver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2"/>
        <v>start /low /b %USERPROFILE%\Documents\GitHub\eaglep3\Utilities\DownloadLogsFromS3.py --loco 4014 --day 2017-09-14</v>
      </c>
      <c r="AN200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784</v>
      </c>
      <c r="B201" s="7">
        <v>4033</v>
      </c>
      <c r="C201" s="21" t="s">
        <v>197</v>
      </c>
      <c r="D201" s="21" t="s">
        <v>968</v>
      </c>
      <c r="E201" s="13">
        <v>42992.810995370368</v>
      </c>
      <c r="F201" s="13">
        <v>42992.819861111115</v>
      </c>
      <c r="G201" s="7">
        <v>59</v>
      </c>
      <c r="H201" s="21" t="s">
        <v>871</v>
      </c>
      <c r="I201" s="13">
        <v>42992.830879629626</v>
      </c>
      <c r="J201" s="7">
        <v>1</v>
      </c>
      <c r="K201" s="89" t="str">
        <f t="shared" si="60"/>
        <v>4033/4034</v>
      </c>
      <c r="L201" s="189" t="str">
        <f>VLOOKUP(A201,'Trips&amp;Operators'!$C$1:$G$99911,5,FALSE)</f>
        <v>BIRKHOLZ NADINE</v>
      </c>
      <c r="M201" s="6">
        <f t="shared" si="61"/>
        <v>1.1018518511264119E-2</v>
      </c>
      <c r="N201" s="7">
        <f t="shared" si="92"/>
        <v>15.866666656220332</v>
      </c>
      <c r="O201" s="7"/>
      <c r="P201" s="7"/>
      <c r="Q201" s="22"/>
      <c r="R201" s="167"/>
      <c r="S201" s="217">
        <f t="shared" si="93"/>
        <v>1</v>
      </c>
      <c r="T201" s="175" t="str">
        <f t="shared" si="62"/>
        <v>Southbound</v>
      </c>
      <c r="U201" s="20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26" t="str">
        <f t="shared" si="63"/>
        <v>https://d0f6bd738d7f1b3e5a7ca70fe4ff75f0.us-east-1.aws.found.io/app/kibana#/discover/Steve-Slow-Train-Analysis-(2080s-and-2083s)?_g=(refreshInterval:(display:Off,pause:!f,section:0,value:0),time:(from:'2017-09-14T18:27:50-0600',mode:absolute,to:'2017-09-14T20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1" s="210" t="str">
        <f>IF(AA201&lt;VLOOKUP(AG201,Variables!$AC$3:$AD$8,2,FALSE),"Y","N")</f>
        <v>N</v>
      </c>
      <c r="X201" s="210">
        <f t="shared" si="101"/>
        <v>1</v>
      </c>
      <c r="Y201" s="210">
        <f t="shared" si="99"/>
        <v>5.8615000000000004</v>
      </c>
      <c r="Z201" s="210">
        <f t="shared" si="100"/>
        <v>6.59E-2</v>
      </c>
      <c r="AA201" s="210">
        <f t="shared" si="65"/>
        <v>5.7956000000000003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83">
        <f t="shared" si="66"/>
        <v>840</v>
      </c>
      <c r="AE201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01" s="74" t="str">
        <f t="shared" si="68"/>
        <v>"C:\Program Files (x86)\AstroGrep\AstroGrep.exe" /e /r /s /spath="%USERPROFILE%\AppData\Local\Temp\OnboardLogs" /stypes="app*4033*20170915*" /stext=" 01:.+((SYSTEM_STATE.+slice.+state.+changed )|(ment ac)|(multiple cpu faults)|(system.+state.+changed )|(\[timeout)|(PRM\|1\|D)|(kpr)|(kdp)|(train st.+moving)|(\|lc)|(penalty))"</v>
      </c>
      <c r="AG201" s="186" t="str">
        <f t="shared" si="69"/>
        <v>NW</v>
      </c>
      <c r="AH201" s="78" t="str">
        <f t="shared" si="70"/>
        <v>"%USERPROFILE%\Documents\GitHub\eaglep3\Utilities\RefineRTDCRunTimes.py" --tripid 840-14 --locoid 4033 --swversion DE.1.0.9.0 --startMP 300:58615 --initTime 2017-09-14T19:27:50 --startdatetime 2017-09-14T19:40:36 --delay 59 --endMP 204:659 --enddatetime 2017-09-14T19:56:28 --enforcementcount 1 &gt;&gt;C:\Users\stu\Documents\GitHub\eaglep3-reporting\EC\2017-09-14-refined-times.txt</v>
      </c>
      <c r="AI201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{"issue":{"subject":"","project_id":79,"tracker_id":40,"status_id":1,"priority_id":2,"assigned_to_id":338,"start_date":"2017-09-14","description":"","custom_fields":[{"id":1,"name":"Subdivision","value":"NW"},{"id":4,"name":"Milepost","value":"0.0659"},{"id":17,"name":"Train ID","value":"840-14"},{"id":16,"name":"Locomotive ID","value":"4033"},{"id":130,"name":"Impact","value":""},{"id":150,"name":"Time of Event (Mountain Time)","value":"19:56:28"},{"id":151,"name":"Denver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2"/>
        <v>start /low /b %USERPROFILE%\Documents\GitHub\eaglep3\Utilities\DownloadLogsFromS3.py --loco 4033 --day 2017-09-14</v>
      </c>
      <c r="AN201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779</v>
      </c>
      <c r="B202" s="7">
        <v>4034</v>
      </c>
      <c r="C202" s="21" t="s">
        <v>197</v>
      </c>
      <c r="D202" s="21" t="s">
        <v>969</v>
      </c>
      <c r="E202" s="13">
        <v>42992.792060185187</v>
      </c>
      <c r="F202" s="13">
        <v>42992.79828703704</v>
      </c>
      <c r="G202" s="7">
        <v>76</v>
      </c>
      <c r="H202" s="21" t="s">
        <v>493</v>
      </c>
      <c r="I202" s="13">
        <v>42992.807766203703</v>
      </c>
      <c r="J202" s="7">
        <v>1</v>
      </c>
      <c r="K202" s="89" t="str">
        <f t="shared" si="60"/>
        <v>4033/4034</v>
      </c>
      <c r="L202" s="189" t="str">
        <f>VLOOKUP(A202,'Trips&amp;Operators'!$C$1:$G$99911,5,FALSE)</f>
        <v>BIRKHOLZ NADINE</v>
      </c>
      <c r="M202" s="6">
        <f t="shared" si="61"/>
        <v>9.4791666633682325E-3</v>
      </c>
      <c r="N202" s="7">
        <f t="shared" si="92"/>
        <v>13.649999995250255</v>
      </c>
      <c r="O202" s="7"/>
      <c r="P202" s="7"/>
      <c r="Q202" s="22"/>
      <c r="R202" s="167"/>
      <c r="S202" s="217">
        <f t="shared" si="93"/>
        <v>1</v>
      </c>
      <c r="T202" s="175" t="str">
        <f t="shared" si="62"/>
        <v>NorthBound</v>
      </c>
      <c r="U202" s="20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26" t="str">
        <f t="shared" si="63"/>
        <v>https://d0f6bd738d7f1b3e5a7ca70fe4ff75f0.us-east-1.aws.found.io/app/kibana#/discover/Steve-Slow-Train-Analysis-(2080s-and-2083s)?_g=(refreshInterval:(display:Off,pause:!f,section:0,value:0),time:(from:'2017-09-14T18:00:34-0600',mode:absolute,to:'2017-09-14T20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2" s="210" t="str">
        <f>IF(AA202&lt;VLOOKUP(AG202,Variables!$AC$3:$AD$8,2,FALSE),"Y","N")</f>
        <v>N</v>
      </c>
      <c r="X202" s="210">
        <f t="shared" si="101"/>
        <v>1</v>
      </c>
      <c r="Y202" s="210">
        <f t="shared" si="99"/>
        <v>9.6500000000000002E-2</v>
      </c>
      <c r="Z202" s="210">
        <f t="shared" si="100"/>
        <v>5.8933</v>
      </c>
      <c r="AA202" s="210">
        <f t="shared" si="65"/>
        <v>5.7968000000000002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83">
        <f t="shared" si="66"/>
        <v>841</v>
      </c>
      <c r="AE202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202" s="74" t="str">
        <f t="shared" si="68"/>
        <v>"C:\Program Files (x86)\AstroGrep\AstroGrep.exe" /e /r /s /spath="%USERPROFILE%\AppData\Local\Temp\OnboardLogs" /stypes="app*4034*20170915*" /stext=" 01:.+((SYSTEM_STATE.+slice.+state.+changed )|(ment ac)|(multiple cpu faults)|(system.+state.+changed )|(\[timeout)|(PRM\|1\|D)|(kpr)|(kdp)|(train st.+moving)|(\|lc)|(penalty))"</v>
      </c>
      <c r="AG202" s="186" t="str">
        <f t="shared" si="69"/>
        <v>NW</v>
      </c>
      <c r="AH202" s="78" t="str">
        <f t="shared" si="70"/>
        <v>"%USERPROFILE%\Documents\GitHub\eaglep3\Utilities\RefineRTDCRunTimes.py" --tripid 841-14 --locoid 4034 --swversion DE.1.0.9.0 --startMP 204:965 --initTime 2017-09-14T19:00:34 --startdatetime 2017-09-14T19:09:32 --delay 76 --endMP 300:58933 --enddatetime 2017-09-14T19:23:11 --enforcementcount 1 &gt;&gt;C:\Users\stu\Documents\GitHub\eaglep3-reporting\EC\2017-09-14-refined-times.txt</v>
      </c>
      <c r="AI202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{"issue":{"subject":"","project_id":79,"tracker_id":40,"status_id":1,"priority_id":2,"assigned_to_id":338,"start_date":"2017-09-14","description":"","custom_fields":[{"id":1,"name":"Subdivision","value":"NW"},{"id":4,"name":"Milepost","value":"5.8933"},{"id":17,"name":"Train ID","value":"841-14"},{"id":16,"name":"Locomotive ID","value":"4034"},{"id":130,"name":"Impact","value":""},{"id":150,"name":"Time of Event (Mountain Time)","value":"19:23:11"},{"id":151,"name":"Denver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4034 --day 2017-09-14</v>
      </c>
      <c r="AN202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794</v>
      </c>
      <c r="B203" s="7">
        <v>4033</v>
      </c>
      <c r="C203" s="21" t="s">
        <v>197</v>
      </c>
      <c r="D203" s="21" t="s">
        <v>955</v>
      </c>
      <c r="E203" s="13">
        <v>42992.856932870367</v>
      </c>
      <c r="F203" s="13">
        <v>42992.860868055555</v>
      </c>
      <c r="G203" s="7">
        <v>65</v>
      </c>
      <c r="H203" s="21" t="s">
        <v>964</v>
      </c>
      <c r="I203" s="13">
        <v>42992.871724537035</v>
      </c>
      <c r="J203" s="7">
        <v>1</v>
      </c>
      <c r="K203" s="89" t="str">
        <f t="shared" si="60"/>
        <v>4033/4034</v>
      </c>
      <c r="L203" s="189" t="str">
        <f>VLOOKUP(A203,'Trips&amp;Operators'!$C$1:$G$99911,5,FALSE)</f>
        <v>BIRKHOLZ NADINE</v>
      </c>
      <c r="M203" s="6">
        <f t="shared" si="61"/>
        <v>1.0856481480004732E-2</v>
      </c>
      <c r="N203" s="7">
        <f t="shared" ref="N203:N234" si="102">24*60*SUM($M203:$M203)</f>
        <v>15.633333331206813</v>
      </c>
      <c r="O203" s="7"/>
      <c r="P203" s="7"/>
      <c r="Q203" s="22"/>
      <c r="R203" s="167"/>
      <c r="S203" s="217">
        <f t="shared" ref="S203:S234" si="103">1/IF(AG203="EC",12,1)*SUM(U203:U203)</f>
        <v>1</v>
      </c>
      <c r="T203" s="175" t="str">
        <f t="shared" si="62"/>
        <v>Southbound</v>
      </c>
      <c r="U203" s="20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26" t="str">
        <f t="shared" si="63"/>
        <v>https://d0f6bd738d7f1b3e5a7ca70fe4ff75f0.us-east-1.aws.found.io/app/kibana#/discover/Steve-Slow-Train-Analysis-(2080s-and-2083s)?_g=(refreshInterval:(display:Off,pause:!f,section:0,value:0),time:(from:'2017-09-14T19:33:59-0600',mode:absolute,to:'2017-09-14T21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3" s="210" t="str">
        <f>IF(AA203&lt;VLOOKUP(AG203,Variables!$AC$3:$AD$8,2,FALSE),"Y","N")</f>
        <v>N</v>
      </c>
      <c r="X203" s="210">
        <f t="shared" si="101"/>
        <v>1</v>
      </c>
      <c r="Y203" s="210">
        <f t="shared" si="99"/>
        <v>5.8613</v>
      </c>
      <c r="Z203" s="210">
        <f t="shared" si="100"/>
        <v>6.9599999999999995E-2</v>
      </c>
      <c r="AA203" s="210">
        <f t="shared" si="65"/>
        <v>5.7916999999999996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83">
        <f t="shared" si="66"/>
        <v>842</v>
      </c>
      <c r="AE203" s="77" t="str">
        <f t="shared" si="67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03" s="74" t="str">
        <f t="shared" si="68"/>
        <v>"C:\Program Files (x86)\AstroGrep\AstroGrep.exe" /e /r /s /spath="%USERPROFILE%\AppData\Local\Temp\OnboardLogs" /stypes="app*4033*20170915*" /stext=" 02:.+((SYSTEM_STATE.+slice.+state.+changed )|(ment ac)|(multiple cpu faults)|(system.+state.+changed )|(\[timeout)|(PRM\|1\|D)|(kpr)|(kdp)|(train st.+moving)|(\|lc)|(penalty))"</v>
      </c>
      <c r="AG203" s="186" t="str">
        <f t="shared" si="69"/>
        <v>NW</v>
      </c>
      <c r="AH203" s="78" t="str">
        <f t="shared" si="70"/>
        <v>"%USERPROFILE%\Documents\GitHub\eaglep3\Utilities\RefineRTDCRunTimes.py" --tripid 842-14 --locoid 4033 --swversion DE.1.0.9.0 --startMP 300:58613 --initTime 2017-09-14T20:33:59 --startdatetime 2017-09-14T20:39:39 --delay 65 --endMP 204:696 --enddatetime 2017-09-14T20:55:17 --enforcementcount 1 &gt;&gt;C:\Users\stu\Documents\GitHub\eaglep3-reporting\EC\2017-09-14-refined-times.txt</v>
      </c>
      <c r="AI203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{"issue":{"subject":"","project_id":79,"tracker_id":40,"status_id":1,"priority_id":2,"assigned_to_id":338,"start_date":"2017-09-14","description":"","custom_fields":[{"id":1,"name":"Subdivision","value":"NW"},{"id":4,"name":"Milepost","value":"0.0696"},{"id":17,"name":"Train ID","value":"842-14"},{"id":16,"name":"Locomotive ID","value":"4033"},{"id":130,"name":"Impact","value":""},{"id":150,"name":"Time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2"/>
        <v>start /low /b %USERPROFILE%\Documents\GitHub\eaglep3\Utilities\DownloadLogsFromS3.py --loco 4033 --day 2017-09-14</v>
      </c>
      <c r="AN203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791</v>
      </c>
      <c r="B204" s="7">
        <v>4034</v>
      </c>
      <c r="C204" s="21" t="s">
        <v>197</v>
      </c>
      <c r="D204" s="21" t="s">
        <v>563</v>
      </c>
      <c r="E204" s="13">
        <v>42992.837500000001</v>
      </c>
      <c r="F204" s="13">
        <v>42992.839826388888</v>
      </c>
      <c r="G204" s="7">
        <v>61</v>
      </c>
      <c r="H204" s="21" t="s">
        <v>970</v>
      </c>
      <c r="I204" s="13">
        <v>42992.849374999998</v>
      </c>
      <c r="J204" s="7">
        <v>1</v>
      </c>
      <c r="K204" s="89" t="str">
        <f t="shared" si="60"/>
        <v>4033/4034</v>
      </c>
      <c r="L204" s="189" t="str">
        <f>VLOOKUP(A204,'Trips&amp;Operators'!$C$1:$G$99911,5,FALSE)</f>
        <v>BIRKHOLZ NADINE</v>
      </c>
      <c r="M204" s="6">
        <f t="shared" si="61"/>
        <v>9.5486111094942316E-3</v>
      </c>
      <c r="N204" s="7">
        <f t="shared" si="102"/>
        <v>13.749999997671694</v>
      </c>
      <c r="O204" s="7"/>
      <c r="P204" s="7"/>
      <c r="Q204" s="22"/>
      <c r="R204" s="167"/>
      <c r="S204" s="217">
        <f t="shared" si="103"/>
        <v>1</v>
      </c>
      <c r="T204" s="175" t="str">
        <f t="shared" si="62"/>
        <v>NorthBound</v>
      </c>
      <c r="U204" s="20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26" t="str">
        <f t="shared" si="63"/>
        <v>https://d0f6bd738d7f1b3e5a7ca70fe4ff75f0.us-east-1.aws.found.io/app/kibana#/discover/Steve-Slow-Train-Analysis-(2080s-and-2083s)?_g=(refreshInterval:(display:Off,pause:!f,section:0,value:0),time:(from:'2017-09-14T19:06:00-0600',mode:absolute,to:'2017-09-14T21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4" s="210" t="str">
        <f>IF(AA204&lt;VLOOKUP(AG204,Variables!$AC$3:$AD$8,2,FALSE),"Y","N")</f>
        <v>N</v>
      </c>
      <c r="X204" s="210">
        <f t="shared" si="101"/>
        <v>1</v>
      </c>
      <c r="Y204" s="210">
        <f t="shared" si="99"/>
        <v>9.8599999999999993E-2</v>
      </c>
      <c r="Z204" s="210">
        <f t="shared" si="100"/>
        <v>5.8929</v>
      </c>
      <c r="AA204" s="210">
        <f t="shared" si="65"/>
        <v>5.7942999999999998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83">
        <f t="shared" si="66"/>
        <v>843</v>
      </c>
      <c r="AE204" s="77" t="str">
        <f t="shared" si="67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204" s="74" t="str">
        <f t="shared" si="68"/>
        <v>"C:\Program Files (x86)\AstroGrep\AstroGrep.exe" /e /r /s /spath="%USERPROFILE%\AppData\Local\Temp\OnboardLogs" /stypes="app*4034*20170915*" /stext=" 02:.+((SYSTEM_STATE.+slice.+state.+changed )|(ment ac)|(multiple cpu faults)|(system.+state.+changed )|(\[timeout)|(PRM\|1\|D)|(kpr)|(kdp)|(train st.+moving)|(\|lc)|(penalty))"</v>
      </c>
      <c r="AG204" s="186" t="str">
        <f t="shared" si="69"/>
        <v>NW</v>
      </c>
      <c r="AH204" s="78" t="str">
        <f t="shared" si="70"/>
        <v>"%USERPROFILE%\Documents\GitHub\eaglep3\Utilities\RefineRTDCRunTimes.py" --tripid 843-14 --locoid 4034 --swversion DE.1.0.9.0 --startMP 204:986 --initTime 2017-09-14T20:06:00 --startdatetime 2017-09-14T20:09:21 --delay 61 --endMP 300:58929 --enddatetime 2017-09-14T20:23:06 --enforcementcount 1 &gt;&gt;C:\Users\stu\Documents\GitHub\eaglep3-reporting\EC\2017-09-14-refined-times.txt</v>
      </c>
      <c r="AI204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{"issue":{"subject":"","project_id":79,"tracker_id":40,"status_id":1,"priority_id":2,"assigned_to_id":338,"start_date":"2017-09-14","description":"","custom_fields":[{"id":1,"name":"Subdivision","value":"NW"},{"id":4,"name":"Milepost","value":"5.8929"},{"id":17,"name":"Train ID","value":"843-14"},{"id":16,"name":"Locomotive ID","value":"4034"},{"id":130,"name":"Impact","value":""},{"id":150,"name":"Time of Event (Mountain Time)","value":"20:23:06"},{"id":151,"name":"Denver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2"/>
        <v>start /low /b %USERPROFILE%\Documents\GitHub\eaglep3\Utilities\DownloadLogsFromS3.py --loco 4034 --day 2017-09-14</v>
      </c>
      <c r="AN204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800</v>
      </c>
      <c r="B205" s="7">
        <v>4033</v>
      </c>
      <c r="C205" s="21" t="s">
        <v>197</v>
      </c>
      <c r="D205" s="21" t="s">
        <v>971</v>
      </c>
      <c r="E205" s="13">
        <v>42992.900150462963</v>
      </c>
      <c r="F205" s="13">
        <v>42992.903101851851</v>
      </c>
      <c r="G205" s="7">
        <v>65</v>
      </c>
      <c r="H205" s="21" t="s">
        <v>458</v>
      </c>
      <c r="I205" s="13">
        <v>42992.913611111115</v>
      </c>
      <c r="J205" s="7">
        <v>1</v>
      </c>
      <c r="K205" s="89" t="str">
        <f t="shared" ref="K205:K244" si="104">IF(ISEVEN(B205),(B205-1)&amp;"/"&amp;B205,B205&amp;"/"&amp;(B205+1))</f>
        <v>4033/4034</v>
      </c>
      <c r="L205" s="189" t="str">
        <f>VLOOKUP(A205,'Trips&amp;Operators'!$C$1:$G$99911,5,FALSE)</f>
        <v>BIRKHOLZ NADINE</v>
      </c>
      <c r="M205" s="6">
        <f t="shared" ref="M205:M244" si="105">I205-F205</f>
        <v>1.0509259263926651E-2</v>
      </c>
      <c r="N205" s="7">
        <f t="shared" si="102"/>
        <v>15.133333340054378</v>
      </c>
      <c r="O205" s="7"/>
      <c r="P205" s="7"/>
      <c r="Q205" s="22"/>
      <c r="R205" s="167"/>
      <c r="S205" s="217">
        <f t="shared" si="103"/>
        <v>1</v>
      </c>
      <c r="T205" s="175" t="str">
        <f t="shared" ref="T205:T244" si="106">IF(ISEVEN(LEFT(AD205,4)),"Southbound","NorthBound")</f>
        <v>Southbound</v>
      </c>
      <c r="U205" s="20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26" t="str">
        <f t="shared" ref="V205:V244" si="10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-14T20:36:13-0600',mode:absolute,to:'2017-09-14T22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5" s="210" t="str">
        <f>IF(AA205&lt;VLOOKUP(AG205,Variables!$AC$3:$AD$8,2,FALSE),"Y","N")</f>
        <v>N</v>
      </c>
      <c r="X205" s="210">
        <f t="shared" si="101"/>
        <v>1</v>
      </c>
      <c r="Y205" s="210">
        <f t="shared" si="99"/>
        <v>5.8611000000000004</v>
      </c>
      <c r="Z205" s="210">
        <f t="shared" si="100"/>
        <v>6.8000000000000005E-2</v>
      </c>
      <c r="AA205" s="210">
        <f t="shared" ref="AA205:AA268" si="108">ABS(Z205-Y205)</f>
        <v>5.7931000000000008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83">
        <f t="shared" ref="AD205:AD244" si="109">VALUE(LEFT(A205,LEN(A205)-3))</f>
        <v>844</v>
      </c>
      <c r="AE205" s="77" t="str">
        <f t="shared" ref="AE205:AE244" si="11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05" s="74" t="str">
        <f t="shared" ref="AF205:AF244" si="11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/stypes="app*4033*20170915*" /stext=" 03:.+((SYSTEM_STATE.+slice.+state.+changed )|(ment ac)|(multiple cpu faults)|(system.+state.+changed )|(\[timeout)|(PRM\|1\|D)|(kpr)|(kdp)|(train st.+moving)|(\|lc)|(penalty))"</v>
      </c>
      <c r="AG205" s="186" t="str">
        <f t="shared" ref="AG205:AG244" si="112">DetSubdiv(A205)</f>
        <v>NW</v>
      </c>
      <c r="AH205" s="78" t="str">
        <f t="shared" si="70"/>
        <v>"%USERPROFILE%\Documents\GitHub\eaglep3\Utilities\RefineRTDCRunTimes.py" --tripid 844-14 --locoid 4033 --swversion DE.1.0.9.0 --startMP 300:58611 --initTime 2017-09-14T21:36:13 --startdatetime 2017-09-14T21:40:28 --delay 65 --endMP 204:680 --enddatetime 2017-09-14T21:55:36 --enforcementcount 1 &gt;&gt;C:\Users\stu\Documents\GitHub\eaglep3-reporting\EC\2017-09-14-refined-times.txt</v>
      </c>
      <c r="AI205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{"issue":{"subject":"","project_id":79,"tracker_id":40,"status_id":1,"priority_id":2,"assigned_to_id":338,"start_date":"2017-09-14","description":"","custom_fields":[{"id":1,"name":"Subdivision","value":"NW"},{"id":4,"name":"Milepost","value":"0.068"},{"id":17,"name":"Train ID","value":"844-14"},{"id":16,"name":"Locomotive ID","value":"4033"},{"id":130,"name":"Impact","value":""},{"id":150,"name":"Time of Event (Mountain Time)","value":"21:55:36"},{"id":151,"name":"Denver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2"/>
        <v>start /low /b %USERPROFILE%\Documents\GitHub\eaglep3\Utilities\DownloadLogsFromS3.py --loco 4033 --day 2017-09-14</v>
      </c>
      <c r="AN205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797</v>
      </c>
      <c r="B206" s="7">
        <v>4034</v>
      </c>
      <c r="C206" s="21" t="s">
        <v>197</v>
      </c>
      <c r="D206" s="21" t="s">
        <v>972</v>
      </c>
      <c r="E206" s="13">
        <v>42992.877488425926</v>
      </c>
      <c r="F206" s="13">
        <v>42992.881469907406</v>
      </c>
      <c r="G206" s="7">
        <v>55</v>
      </c>
      <c r="H206" s="21" t="s">
        <v>973</v>
      </c>
      <c r="I206" s="13">
        <v>42992.89130787037</v>
      </c>
      <c r="J206" s="7">
        <v>1</v>
      </c>
      <c r="K206" s="89" t="str">
        <f t="shared" si="104"/>
        <v>4033/4034</v>
      </c>
      <c r="L206" s="189" t="str">
        <f>VLOOKUP(A206,'Trips&amp;Operators'!$C$1:$G$99911,5,FALSE)</f>
        <v>BIRKHOLZ NADINE</v>
      </c>
      <c r="M206" s="6">
        <f t="shared" si="105"/>
        <v>9.8379629635019228E-3</v>
      </c>
      <c r="N206" s="7">
        <f t="shared" si="102"/>
        <v>14.166666667442769</v>
      </c>
      <c r="O206" s="7"/>
      <c r="P206" s="7"/>
      <c r="Q206" s="22"/>
      <c r="R206" s="167"/>
      <c r="S206" s="217">
        <f t="shared" si="103"/>
        <v>1</v>
      </c>
      <c r="T206" s="175" t="str">
        <f t="shared" si="106"/>
        <v>NorthBound</v>
      </c>
      <c r="U206" s="20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26" t="str">
        <f t="shared" si="107"/>
        <v>https://d0f6bd738d7f1b3e5a7ca70fe4ff75f0.us-east-1.aws.found.io/app/kibana#/discover/Steve-Slow-Train-Analysis-(2080s-and-2083s)?_g=(refreshInterval:(display:Off,pause:!f,section:0,value:0),time:(from:'2017-09-14T20:03:35-0600',mode:absolute,to:'2017-09-14T22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6" s="210" t="str">
        <f>IF(AA206&lt;VLOOKUP(AG206,Variables!$AC$3:$AD$8,2,FALSE),"Y","N")</f>
        <v>N</v>
      </c>
      <c r="X206" s="210">
        <f t="shared" si="101"/>
        <v>1</v>
      </c>
      <c r="Y206" s="210">
        <f t="shared" si="99"/>
        <v>9.7199999999999995E-2</v>
      </c>
      <c r="Z206" s="210">
        <f t="shared" si="100"/>
        <v>5.8936999999999999</v>
      </c>
      <c r="AA206" s="210">
        <f t="shared" si="108"/>
        <v>5.7965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83">
        <f t="shared" si="109"/>
        <v>845</v>
      </c>
      <c r="AE206" s="77" t="str">
        <f t="shared" si="110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206" s="74" t="str">
        <f t="shared" si="111"/>
        <v>"C:\Program Files (x86)\AstroGrep\AstroGrep.exe" /e /r /s /spath="%USERPROFILE%\AppData\Local\Temp\OnboardLogs" /stypes="app*4034*20170915*" /stext=" 03:.+((SYSTEM_STATE.+slice.+state.+changed )|(ment ac)|(multiple cpu faults)|(system.+state.+changed )|(\[timeout)|(PRM\|1\|D)|(kpr)|(kdp)|(train st.+moving)|(\|lc)|(penalty))"</v>
      </c>
      <c r="AG206" s="186" t="str">
        <f t="shared" si="112"/>
        <v>NW</v>
      </c>
      <c r="AH206" s="78" t="str">
        <f t="shared" si="70"/>
        <v>"%USERPROFILE%\Documents\GitHub\eaglep3\Utilities\RefineRTDCRunTimes.py" --tripid 845-14 --locoid 4034 --swversion DE.1.0.9.0 --startMP 204:972 --initTime 2017-09-14T21:03:35 --startdatetime 2017-09-14T21:09:19 --delay 55 --endMP 300:58937 --enddatetime 2017-09-14T21:23:29 --enforcementcount 1 &gt;&gt;C:\Users\stu\Documents\GitHub\eaglep3-reporting\EC\2017-09-14-refined-times.txt</v>
      </c>
      <c r="AI206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{"issue":{"subject":"","project_id":79,"tracker_id":40,"status_id":1,"priority_id":2,"assigned_to_id":338,"start_date":"2017-09-14","description":"","custom_fields":[{"id":1,"name":"Subdivision","value":"NW"},{"id":4,"name":"Milepost","value":"5.8937"},{"id":17,"name":"Train ID","value":"845-14"},{"id":16,"name":"Locomotive ID","value":"4034"},{"id":130,"name":"Impact","value":""},{"id":150,"name":"Time of Event (Mountain Time)","value":"21:23:29"},{"id":151,"name":"Denver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72"/>
        <v>start /low /b %USERPROFILE%\Documents\GitHub\eaglep3\Utilities\DownloadLogsFromS3.py --loco 4034 --day 2017-09-14</v>
      </c>
      <c r="AN206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806</v>
      </c>
      <c r="B207" s="7">
        <v>4033</v>
      </c>
      <c r="C207" s="21" t="s">
        <v>197</v>
      </c>
      <c r="D207" s="21" t="s">
        <v>974</v>
      </c>
      <c r="E207" s="13">
        <v>42992.933622685188</v>
      </c>
      <c r="F207" s="13">
        <v>42992.945219907408</v>
      </c>
      <c r="G207" s="7">
        <v>64</v>
      </c>
      <c r="H207" s="21" t="s">
        <v>459</v>
      </c>
      <c r="I207" s="13">
        <v>42992.954907407409</v>
      </c>
      <c r="J207" s="7">
        <v>1</v>
      </c>
      <c r="K207" s="89" t="str">
        <f t="shared" si="104"/>
        <v>4033/4034</v>
      </c>
      <c r="L207" s="189" t="str">
        <f>VLOOKUP(A207,'Trips&amp;Operators'!$C$1:$G$99911,5,FALSE)</f>
        <v>DUNCAN SHEILA</v>
      </c>
      <c r="M207" s="6">
        <f t="shared" si="105"/>
        <v>9.6875000017462298E-3</v>
      </c>
      <c r="N207" s="7">
        <f t="shared" si="102"/>
        <v>13.950000002514571</v>
      </c>
      <c r="O207" s="7"/>
      <c r="P207" s="7"/>
      <c r="Q207" s="22"/>
      <c r="R207" s="167"/>
      <c r="S207" s="217">
        <f t="shared" si="103"/>
        <v>1</v>
      </c>
      <c r="T207" s="175" t="str">
        <f t="shared" si="106"/>
        <v>Southbound</v>
      </c>
      <c r="U207" s="20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26" t="str">
        <f t="shared" si="107"/>
        <v>https://d0f6bd738d7f1b3e5a7ca70fe4ff75f0.us-east-1.aws.found.io/app/kibana#/discover/Steve-Slow-Train-Analysis-(2080s-and-2083s)?_g=(refreshInterval:(display:Off,pause:!f,section:0,value:0),time:(from:'2017-09-14T21:24:25-0600',mode:absolute,to:'2017-09-14T23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7" s="210" t="str">
        <f>IF(AA207&lt;VLOOKUP(AG207,Variables!$AC$3:$AD$8,2,FALSE),"Y","N")</f>
        <v>N</v>
      </c>
      <c r="X207" s="210">
        <f t="shared" si="101"/>
        <v>1</v>
      </c>
      <c r="Y207" s="210">
        <f t="shared" si="99"/>
        <v>5.8604000000000003</v>
      </c>
      <c r="Z207" s="210">
        <f t="shared" si="100"/>
        <v>6.9400000000000003E-2</v>
      </c>
      <c r="AA207" s="210">
        <f t="shared" si="108"/>
        <v>5.7910000000000004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83">
        <f t="shared" si="109"/>
        <v>846</v>
      </c>
      <c r="AE207" s="77" t="str">
        <f t="shared" si="110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07" s="74" t="str">
        <f t="shared" si="111"/>
        <v>"C:\Program Files (x86)\AstroGrep\AstroGrep.exe" /e /r /s /spath="%USERPROFILE%\AppData\Local\Temp\OnboardLogs" /stypes="app*4033*20170915*" /stext=" 04:.+((SYSTEM_STATE.+slice.+state.+changed )|(ment ac)|(multiple cpu faults)|(system.+state.+changed )|(\[timeout)|(PRM\|1\|D)|(kpr)|(kdp)|(train st.+moving)|(\|lc)|(penalty))"</v>
      </c>
      <c r="AG207" s="186" t="str">
        <f t="shared" si="112"/>
        <v>NW</v>
      </c>
      <c r="AH207" s="78" t="str">
        <f t="shared" si="70"/>
        <v>"%USERPROFILE%\Documents\GitHub\eaglep3\Utilities\RefineRTDCRunTimes.py" --tripid 846-14 --locoid 4033 --swversion DE.1.0.9.0 --startMP 300:58604 --initTime 2017-09-14T22:24:25 --startdatetime 2017-09-14T22:41:07 --delay 64 --endMP 204:694 --enddatetime 2017-09-14T22:55:04 --enforcementcount 1 &gt;&gt;C:\Users\stu\Documents\GitHub\eaglep3-reporting\EC\2017-09-14-refined-times.txt</v>
      </c>
      <c r="AI207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{"issue":{"subject":"","project_id":79,"tracker_id":40,"status_id":1,"priority_id":2,"assigned_to_id":338,"start_date":"2017-09-14","description":"","custom_fields":[{"id":1,"name":"Subdivision","value":"NW"},{"id":4,"name":"Milepost","value":"0.0694"},{"id":17,"name":"Train ID","value":"846-14"},{"id":16,"name":"Locomotive ID","value":"4033"},{"id":130,"name":"Impact","value":""},{"id":150,"name":"Time of Event (Mountain Time)","value":"22:55:04"},{"id":151,"name":"Denver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2"/>
        <v>start /low /b %USERPROFILE%\Documents\GitHub\eaglep3\Utilities\DownloadLogsFromS3.py --loco 4033 --day 2017-09-14</v>
      </c>
      <c r="AN207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803</v>
      </c>
      <c r="B208" s="7">
        <v>4034</v>
      </c>
      <c r="C208" s="21" t="s">
        <v>197</v>
      </c>
      <c r="D208" s="21" t="s">
        <v>957</v>
      </c>
      <c r="E208" s="13">
        <v>42992.914479166669</v>
      </c>
      <c r="F208" s="13">
        <v>42992.923182870371</v>
      </c>
      <c r="G208" s="7">
        <v>100</v>
      </c>
      <c r="H208" s="21" t="s">
        <v>493</v>
      </c>
      <c r="I208" s="13">
        <v>42992.932858796295</v>
      </c>
      <c r="J208" s="7">
        <v>1</v>
      </c>
      <c r="K208" s="89" t="str">
        <f t="shared" si="104"/>
        <v>4033/4034</v>
      </c>
      <c r="L208" s="189" t="str">
        <f>VLOOKUP(A208,'Trips&amp;Operators'!$C$1:$G$99911,5,FALSE)</f>
        <v>DUNCAN SHEILA</v>
      </c>
      <c r="M208" s="6">
        <f t="shared" si="105"/>
        <v>9.6759259249665774E-3</v>
      </c>
      <c r="N208" s="7">
        <f t="shared" si="102"/>
        <v>13.933333331951872</v>
      </c>
      <c r="O208" s="7"/>
      <c r="P208" s="7"/>
      <c r="Q208" s="22"/>
      <c r="R208" s="167"/>
      <c r="S208" s="217">
        <f t="shared" si="103"/>
        <v>1</v>
      </c>
      <c r="T208" s="175" t="str">
        <f t="shared" si="106"/>
        <v>NorthBound</v>
      </c>
      <c r="U208" s="20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26" t="str">
        <f t="shared" si="107"/>
        <v>https://d0f6bd738d7f1b3e5a7ca70fe4ff75f0.us-east-1.aws.found.io/app/kibana#/discover/Steve-Slow-Train-Analysis-(2080s-and-2083s)?_g=(refreshInterval:(display:Off,pause:!f,section:0,value:0),time:(from:'2017-09-14T20:56:51-0600',mode:absolute,to:'2017-09-14T23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8" s="210" t="str">
        <f>IF(AA208&lt;VLOOKUP(AG208,Variables!$AC$3:$AD$8,2,FALSE),"Y","N")</f>
        <v>N</v>
      </c>
      <c r="X208" s="210">
        <f t="shared" si="101"/>
        <v>1</v>
      </c>
      <c r="Y208" s="210">
        <f t="shared" si="99"/>
        <v>9.7600000000000006E-2</v>
      </c>
      <c r="Z208" s="210">
        <f t="shared" si="100"/>
        <v>5.8933</v>
      </c>
      <c r="AA208" s="210">
        <f t="shared" si="108"/>
        <v>5.7957000000000001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83">
        <f t="shared" si="109"/>
        <v>847</v>
      </c>
      <c r="AE208" s="77" t="str">
        <f t="shared" si="110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208" s="74" t="str">
        <f t="shared" si="111"/>
        <v>"C:\Program Files (x86)\AstroGrep\AstroGrep.exe" /e /r /s /spath="%USERPROFILE%\AppData\Local\Temp\OnboardLogs" /stypes="app*4034*20170915*" /stext=" 04:.+((SYSTEM_STATE.+slice.+state.+changed )|(ment ac)|(multiple cpu faults)|(system.+state.+changed )|(\[timeout)|(PRM\|1\|D)|(kpr)|(kdp)|(train st.+moving)|(\|lc)|(penalty))"</v>
      </c>
      <c r="AG208" s="186" t="str">
        <f t="shared" si="112"/>
        <v>NW</v>
      </c>
      <c r="AH208" s="78" t="str">
        <f t="shared" si="70"/>
        <v>"%USERPROFILE%\Documents\GitHub\eaglep3\Utilities\RefineRTDCRunTimes.py" --tripid 847-14 --locoid 4034 --swversion DE.1.0.9.0 --startMP 204:976 --initTime 2017-09-14T21:56:51 --startdatetime 2017-09-14T22:09:23 --delay 100 --endMP 300:58933 --enddatetime 2017-09-14T22:23:19 --enforcementcount 1 &gt;&gt;C:\Users\stu\Documents\GitHub\eaglep3-reporting\EC\2017-09-14-refined-times.txt</v>
      </c>
      <c r="AI208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{"issue":{"subject":"","project_id":79,"tracker_id":40,"status_id":1,"priority_id":2,"assigned_to_id":338,"start_date":"2017-09-14","description":"","custom_fields":[{"id":1,"name":"Subdivision","value":"NW"},{"id":4,"name":"Milepost","value":"5.8933"},{"id":17,"name":"Train ID","value":"847-14"},{"id":16,"name":"Locomotive ID","value":"4034"},{"id":130,"name":"Impact","value":""},{"id":150,"name":"Time of Event (Mountain Time)","value":"22:23:19"},{"id":151,"name":"Denver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72"/>
        <v>start /low /b %USERPROFILE%\Documents\GitHub\eaglep3\Utilities\DownloadLogsFromS3.py --loco 4034 --day 2017-09-14</v>
      </c>
      <c r="AN208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614</v>
      </c>
      <c r="B209" s="7">
        <v>4034</v>
      </c>
      <c r="C209" s="21" t="s">
        <v>197</v>
      </c>
      <c r="D209" s="21" t="s">
        <v>975</v>
      </c>
      <c r="E209" s="13">
        <v>42992.955682870372</v>
      </c>
      <c r="F209" s="13">
        <v>42992.964768518519</v>
      </c>
      <c r="G209" s="7">
        <v>68</v>
      </c>
      <c r="H209" s="21" t="s">
        <v>976</v>
      </c>
      <c r="I209" s="13">
        <v>42992.973981481482</v>
      </c>
      <c r="J209" s="7">
        <v>1</v>
      </c>
      <c r="K209" s="89" t="str">
        <f t="shared" si="104"/>
        <v>4033/4034</v>
      </c>
      <c r="L209" s="189" t="str">
        <f>VLOOKUP(A209,'Trips&amp;Operators'!$C$1:$G$99911,5,FALSE)</f>
        <v>DUNCAN SHEILA</v>
      </c>
      <c r="M209" s="6">
        <f t="shared" si="105"/>
        <v>9.2129629629198462E-3</v>
      </c>
      <c r="N209" s="7">
        <f t="shared" si="102"/>
        <v>13.266666666604578</v>
      </c>
      <c r="O209" s="7"/>
      <c r="P209" s="7"/>
      <c r="Q209" s="22"/>
      <c r="R209" s="167"/>
      <c r="S209" s="217">
        <f t="shared" si="103"/>
        <v>1</v>
      </c>
      <c r="T209" s="175" t="str">
        <f t="shared" si="106"/>
        <v>NorthBound</v>
      </c>
      <c r="U209" s="20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26" t="str">
        <f t="shared" si="107"/>
        <v>https://d0f6bd738d7f1b3e5a7ca70fe4ff75f0.us-east-1.aws.found.io/app/kibana#/discover/Steve-Slow-Train-Analysis-(2080s-and-2083s)?_g=(refreshInterval:(display:Off,pause:!f,section:0,value:0),time:(from:'2017-09-14T21:56:11-0600',mode:absolute,to:'2017-09-15T00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9" s="210" t="str">
        <f>IF(AA209&lt;VLOOKUP(AG209,Variables!$AC$3:$AD$8,2,FALSE),"Y","N")</f>
        <v>N</v>
      </c>
      <c r="X209" s="210">
        <f t="shared" si="101"/>
        <v>2</v>
      </c>
      <c r="Y209" s="210">
        <f t="shared" si="99"/>
        <v>9.7100000000000006E-2</v>
      </c>
      <c r="Z209" s="210">
        <f t="shared" si="100"/>
        <v>5.8921999999999999</v>
      </c>
      <c r="AA209" s="210">
        <f t="shared" si="108"/>
        <v>5.7950999999999997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83">
        <f t="shared" si="109"/>
        <v>849</v>
      </c>
      <c r="AE209" s="77" t="str">
        <f t="shared" si="110"/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AF209" s="74" t="str">
        <f t="shared" si="111"/>
        <v>"C:\Program Files (x86)\AstroGrep\AstroGrep.exe" /e /r /s /spath="%USERPROFILE%\AppData\Local\Temp\OnboardLogs" /stypes="app*4034*20170915*" /stext=" 05:.+((SYSTEM_STATE.+slice.+state.+changed )|(ment ac)|(multiple cpu faults)|(system.+state.+changed )|(\[timeout)|(PRM\|1\|D)|(kpr)|(kdp)|(train st.+moving)|(\|lc)|(penalty))"</v>
      </c>
      <c r="AG209" s="186" t="str">
        <f t="shared" si="112"/>
        <v>NW</v>
      </c>
      <c r="AH209" s="78" t="str">
        <f t="shared" si="70"/>
        <v>"%USERPROFILE%\Documents\GitHub\eaglep3\Utilities\RefineRTDCRunTimes.py" --tripid 849-14 --locoid 4034 --swversion DE.1.0.9.0 --startMP 204:971 --initTime 2017-09-14T22:56:11 --startdatetime 2017-09-14T23:09:16 --delay 68 --endMP 300:58922 --enddatetime 2017-09-14T23:22:32 --enforcementcount 1 &gt;&gt;C:\Users\stu\Documents\GitHub\eaglep3-reporting\EC\2017-09-14-refined-times.txt</v>
      </c>
      <c r="AI209" s="96" t="str">
        <f t="shared" si="71"/>
        <v>echo {"issue":{"subject":"","project_id":79,"tracker_id":40,"status_id":1,"priority_id":2,"assigned_to_id":338,"start_date":"2017-09-14","description":"","custom_fields":[{"id":1,"name":"Subdivision","value":"NW"},{"id":4,"name":"Milepost","value":"5.8922"},{"id":17,"name":"Train ID","value":"849-14"},{"id":16,"name":"Locomotive ID","value":"4034"},{"id":130,"name":"Impact","value":""},{"id":150,"name":"Time of Event (Mountain Time)","value":"23:22:32"},{"id":151,"name":"Denver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72"/>
        <v>start /low /b %USERPROFILE%\Documents\GitHub\eaglep3\Utilities\DownloadLogsFromS3.py --loco 4034 --day 2017-09-14</v>
      </c>
      <c r="AN209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775</v>
      </c>
      <c r="B210" s="7">
        <v>4062</v>
      </c>
      <c r="C210" s="21" t="s">
        <v>197</v>
      </c>
      <c r="D210" s="21" t="s">
        <v>382</v>
      </c>
      <c r="E210" s="13">
        <v>42992.776053240741</v>
      </c>
      <c r="F210" s="13">
        <v>42992.777256944442</v>
      </c>
      <c r="G210" s="7">
        <v>56</v>
      </c>
      <c r="H210" s="21" t="s">
        <v>892</v>
      </c>
      <c r="I210" s="13">
        <v>42992.783576388887</v>
      </c>
      <c r="J210" s="7">
        <v>1</v>
      </c>
      <c r="K210" s="89" t="str">
        <f t="shared" si="104"/>
        <v>4061/4062</v>
      </c>
      <c r="L210" s="189" t="str">
        <f>VLOOKUP(A210,'Trips&amp;Operators'!$C$1:$G$99911,5,FALSE)</f>
        <v>LEVIN SCOTT</v>
      </c>
      <c r="M210" s="6">
        <f t="shared" si="105"/>
        <v>6.3194444446708076E-3</v>
      </c>
      <c r="N210" s="7">
        <f t="shared" si="102"/>
        <v>9.1000000003259629</v>
      </c>
      <c r="O210" s="7"/>
      <c r="P210" s="7"/>
      <c r="Q210" s="22"/>
      <c r="R210" s="167"/>
      <c r="S210" s="217">
        <f t="shared" si="103"/>
        <v>1</v>
      </c>
      <c r="T210" s="175" t="str">
        <f t="shared" si="106"/>
        <v>NorthBound</v>
      </c>
      <c r="U210" s="20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26" t="str">
        <f t="shared" si="107"/>
        <v>https://d0f6bd738d7f1b3e5a7ca70fe4ff75f0.us-east-1.aws.found.io/app/kibana#/discover/Steve-Slow-Train-Analysis-(2080s-and-2083s)?_g=(refreshInterval:(display:Off,pause:!f,section:0,value:0),time:(from:'2017-09-14T17:37:31-0600',mode:absolute,to:'2017-09-14T19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10" t="str">
        <f>IF(AA210&lt;VLOOKUP(AG210,Variables!$AC$3:$AD$8,2,FALSE),"Y","N")</f>
        <v>Y</v>
      </c>
      <c r="X210" s="210">
        <f t="shared" si="101"/>
        <v>-548</v>
      </c>
      <c r="Y210" s="210">
        <f t="shared" si="99"/>
        <v>4.5999999999999999E-2</v>
      </c>
      <c r="Z210" s="210">
        <f t="shared" si="100"/>
        <v>2.3308</v>
      </c>
      <c r="AA210" s="210">
        <f t="shared" si="108"/>
        <v>2.2848000000000002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83">
        <f t="shared" si="109"/>
        <v>301</v>
      </c>
      <c r="AE210" s="77" t="str">
        <f t="shared" si="110"/>
        <v>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 &amp; aws s3 cp s3://rtdc.mdm.uploadarchive.raw/RTDC4062/ "%USERPROFILE%\AppData\Local\Temp\OnboardLogs"\RTDC4062\2017-09-15 --exclude "*" --recursive --include "*20170915*" &amp; "%USERPROFILE%\Documents\GitHub\mrs-test-scripts\Headless Mode &amp; Sideloading\WalkAndUnGZ.bat" "%USERPROFILE%\AppData\Local\Temp\OnboardLogs"\RTDC4062\2017-09-15</v>
      </c>
      <c r="AF210" s="74" t="str">
        <f t="shared" si="111"/>
        <v>"C:\Program Files (x86)\AstroGrep\AstroGrep.exe" /e /r /s /spath="%USERPROFILE%\AppData\Local\Temp\OnboardLogs" /stypes="app*4062*20170915*" /stext=" 00:.+((SYSTEM_STATE.+slice.+state.+changed )|(ment ac)|(multiple cpu faults)|(system.+state.+changed )|(\[timeout)|(PRM\|1\|D)|(kpr)|(kdp)|(train st.+moving)|(\|lc)|(penalty))"</v>
      </c>
      <c r="AG210" s="186" t="str">
        <f t="shared" si="112"/>
        <v>Other</v>
      </c>
      <c r="AH210" s="78" t="str">
        <f t="shared" si="70"/>
        <v>"%USERPROFILE%\Documents\GitHub\eaglep3\Utilities\RefineRTDCRunTimes.py" --tripid 301-14 --locoid 4062 --swversion DE.1.0.9.0 --startMP 204:460 --initTime 2017-09-14T18:37:31 --startdatetime 2017-09-14T18:39:15 --delay 56 --endMP 300:23308 --enddatetime 2017-09-14T18:48:21 --enforcementcount 1 &gt;&gt;C:\Users\stu\Documents\GitHub\eaglep3-reporting\EC\2017-09-14-refined-times.txt</v>
      </c>
      <c r="AI210" s="96" t="str">
        <f t="shared" si="71"/>
        <v>echo {"issue":{"subject":"","project_id":79,"tracker_id":40,"status_id":1,"priority_id":2,"assigned_to_id":338,"start_date":"2017-09-14","description":"","custom_fields":[{"id":1,"name":"Subdivision","value":"Other"},{"id":4,"name":"Milepost","value":"2.3308"},{"id":17,"name":"Train ID","value":"301-14"},{"id":16,"name":"Locomotive ID","value":"4062"},{"id":130,"name":"Impact","value":""},{"id":150,"name":"Time of Event (Mountain Time)","value":"18:48:21"},{"id":151,"name":"Denver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72"/>
        <v>start /low /b %USERPROFILE%\Documents\GitHub\eaglep3\Utilities\DownloadLogsFromS3.py --loco 4062 --day 2017-09-14</v>
      </c>
      <c r="AN210" s="151" t="str">
        <f t="shared" si="73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619</v>
      </c>
      <c r="B211" s="7">
        <v>4057</v>
      </c>
      <c r="C211" s="21" t="s">
        <v>197</v>
      </c>
      <c r="D211" s="21" t="s">
        <v>893</v>
      </c>
      <c r="E211" s="13">
        <v>42992.141168981485</v>
      </c>
      <c r="F211" s="13">
        <v>42992.144999999997</v>
      </c>
      <c r="G211" s="7">
        <v>64</v>
      </c>
      <c r="H211" s="21" t="s">
        <v>342</v>
      </c>
      <c r="I211" s="13">
        <v>42992.149606481478</v>
      </c>
      <c r="J211" s="7">
        <v>1</v>
      </c>
      <c r="K211" s="89" t="str">
        <f t="shared" si="104"/>
        <v>4057/4058</v>
      </c>
      <c r="L211" s="189" t="str">
        <f>VLOOKUP(A211,'Trips&amp;Operators'!$C$1:$G$99911,5,FALSE)</f>
        <v>MAELZER KURT</v>
      </c>
      <c r="M211" s="6">
        <f t="shared" si="105"/>
        <v>4.6064814814599231E-3</v>
      </c>
      <c r="N211" s="7">
        <f t="shared" si="102"/>
        <v>6.6333333333022892</v>
      </c>
      <c r="O211" s="7"/>
      <c r="P211" s="7"/>
      <c r="Q211" s="22"/>
      <c r="R211" s="167"/>
      <c r="S211" s="217">
        <f t="shared" si="103"/>
        <v>1</v>
      </c>
      <c r="T211" s="175" t="str">
        <f t="shared" si="106"/>
        <v>Southbound</v>
      </c>
      <c r="U211" s="20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26" t="str">
        <f t="shared" si="107"/>
        <v>https://d0f6bd738d7f1b3e5a7ca70fe4ff75f0.us-east-1.aws.found.io/app/kibana#/discover/Steve-Slow-Train-Analysis-(2080s-and-2083s)?_g=(refreshInterval:(display:Off,pause:!f,section:0,value:0),time:(from:'2017-09-14T02:23:17-0600',mode:absolute,to:'2017-09-14T04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1" s="210" t="str">
        <f>IF(AA211&lt;VLOOKUP(AG211,Variables!$AC$3:$AD$8,2,FALSE),"Y","N")</f>
        <v>Y</v>
      </c>
      <c r="X211" s="210">
        <f t="shared" si="101"/>
        <v>1</v>
      </c>
      <c r="Y211" s="210">
        <f t="shared" si="99"/>
        <v>1.9741</v>
      </c>
      <c r="Z211" s="210">
        <f t="shared" si="100"/>
        <v>1.41E-2</v>
      </c>
      <c r="AA211" s="210">
        <f t="shared" si="108"/>
        <v>1.96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83">
        <f t="shared" si="109"/>
        <v>302</v>
      </c>
      <c r="AE211" s="77" t="str">
        <f t="shared" si="110"/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AF211" s="74" t="str">
        <f t="shared" si="111"/>
        <v>"C:\Program Files (x86)\AstroGrep\AstroGrep.exe" /e /r /s /spath="%USERPROFILE%\AppData\Local\Temp\OnboardLogs" /stypes="app*4057*20170914*" /stext=" 09:.+((SYSTEM_STATE.+slice.+state.+changed )|(ment ac)|(multiple cpu faults)|(system.+state.+changed )|(\[timeout)|(PRM\|1\|D)|(kpr)|(kdp)|(train st.+moving)|(\|lc)|(penalty))"</v>
      </c>
      <c r="AG211" s="186" t="str">
        <f t="shared" si="112"/>
        <v>Other</v>
      </c>
      <c r="AH211" s="78" t="str">
        <f t="shared" ref="AH211:AH244" si="113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302-14 --locoid 4057 --swversion DE.1.0.9.0 --startMP 300:19741 --initTime 2017-09-14T03:23:17 --startdatetime 2017-09-14T03:28:48 --delay 64 --endMP 204:141 --enddatetime 2017-09-14T03:35:26 --enforcementcount 1 &gt;&gt;C:\Users\stu\Documents\GitHub\eaglep3-reporting\EC\2017-09-14-refined-times.txt</v>
      </c>
      <c r="AI211" s="96" t="str">
        <f t="shared" ref="AI211:AI244" si="114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{"issue":{"subject":"","project_id":79,"tracker_id":40,"status_id":1,"priority_id":2,"assigned_to_id":338,"start_date":"2017-09-14","description":"","custom_fields":[{"id":1,"name":"Subdivision","value":"Other"},{"id":4,"name":"Milepost","value":"0.0141"},{"id":17,"name":"Train ID","value":"302-14"},{"id":16,"name":"Locomotive ID","value":"4057"},{"id":130,"name":"Impact","value":""},{"id":150,"name":"Time of Event (Mountain Time)","value":"03:35:26"},{"id":151,"name":"Denver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ref="AM211:AM244" si="115">"start /low /b "&amp;dls3logs&amp;" --loco "&amp;B211&amp;" --day "&amp;TEXT(F211,"YYYY-MM-DD")</f>
        <v>start /low /b %USERPROFILE%\Documents\GitHub\eaglep3\Utilities\DownloadLogsFromS3.py --loco 4057 --day 2017-09-14</v>
      </c>
      <c r="AN211" s="151" t="str">
        <f t="shared" ref="AN211:AN244" si="116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09:35:26"},{"id":29,"name":"Sharepoint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780</v>
      </c>
      <c r="B212" s="7">
        <v>4002</v>
      </c>
      <c r="C212" s="21" t="s">
        <v>197</v>
      </c>
      <c r="D212" s="21" t="s">
        <v>341</v>
      </c>
      <c r="E212" s="13">
        <v>42992.798043981478</v>
      </c>
      <c r="F212" s="13">
        <v>42992.799641203703</v>
      </c>
      <c r="G212" s="7">
        <v>60</v>
      </c>
      <c r="H212" s="21" t="s">
        <v>552</v>
      </c>
      <c r="I212" s="13">
        <v>42992.805127314816</v>
      </c>
      <c r="J212" s="7">
        <v>1</v>
      </c>
      <c r="K212" s="89" t="str">
        <f t="shared" si="104"/>
        <v>4001/4002</v>
      </c>
      <c r="L212" s="189" t="str">
        <f>VLOOKUP(A212,'Trips&amp;Operators'!$C$1:$G$99911,5,FALSE)</f>
        <v>LEVERE CRAIG</v>
      </c>
      <c r="M212" s="6">
        <f t="shared" si="105"/>
        <v>5.4861111129866913E-3</v>
      </c>
      <c r="N212" s="7">
        <f t="shared" si="102"/>
        <v>7.9000000027008355</v>
      </c>
      <c r="O212" s="7"/>
      <c r="P212" s="7"/>
      <c r="Q212" s="22"/>
      <c r="R212" s="167"/>
      <c r="S212" s="217">
        <f t="shared" si="103"/>
        <v>1</v>
      </c>
      <c r="T212" s="175" t="str">
        <f t="shared" si="106"/>
        <v>NorthBound</v>
      </c>
      <c r="U212" s="20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26" t="str">
        <f t="shared" si="107"/>
        <v>https://d0f6bd738d7f1b3e5a7ca70fe4ff75f0.us-east-1.aws.found.io/app/kibana#/discover/Steve-Slow-Train-Analysis-(2080s-and-2083s)?_g=(refreshInterval:(display:Off,pause:!f,section:0,value:0),time:(from:'2017-09-14T18:09:11-0600',mode:absolute,to:'2017-09-14T20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210" t="str">
        <f>IF(AA212&lt;VLOOKUP(AG212,Variables!$AC$3:$AD$8,2,FALSE),"Y","N")</f>
        <v>Y</v>
      </c>
      <c r="X212" s="210">
        <f t="shared" si="101"/>
        <v>1</v>
      </c>
      <c r="Y212" s="210">
        <f t="shared" si="99"/>
        <v>4.53E-2</v>
      </c>
      <c r="Z212" s="210">
        <f t="shared" si="100"/>
        <v>2.3298999999999999</v>
      </c>
      <c r="AA212" s="210">
        <f t="shared" si="108"/>
        <v>2.2845999999999997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83">
        <f t="shared" si="109"/>
        <v>303</v>
      </c>
      <c r="AE212" s="77" t="str">
        <f t="shared" si="110"/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AF212" s="74" t="str">
        <f t="shared" si="111"/>
        <v>"C:\Program Files (x86)\AstroGrep\AstroGrep.exe" /e /r /s /spath="%USERPROFILE%\AppData\Local\Temp\OnboardLogs" /stypes="app*4002*20170915*" /stext=" 01:.+((SYSTEM_STATE.+slice.+state.+changed )|(ment ac)|(multiple cpu faults)|(system.+state.+changed )|(\[timeout)|(PRM\|1\|D)|(kpr)|(kdp)|(train st.+moving)|(\|lc)|(penalty))"</v>
      </c>
      <c r="AG212" s="186" t="str">
        <f t="shared" si="112"/>
        <v>Other</v>
      </c>
      <c r="AH212" s="78" t="str">
        <f t="shared" si="113"/>
        <v>"%USERPROFILE%\Documents\GitHub\eaglep3\Utilities\RefineRTDCRunTimes.py" --tripid 303-14 --locoid 4002 --swversion DE.1.0.9.0 --startMP 204:453 --initTime 2017-09-14T19:09:11 --startdatetime 2017-09-14T19:11:29 --delay 60 --endMP 300:23299 --enddatetime 2017-09-14T19:19:23 --enforcementcount 1 &gt;&gt;C:\Users\stu\Documents\GitHub\eaglep3-reporting\EC\2017-09-14-refined-times.txt</v>
      </c>
      <c r="AI212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{"issue":{"subject":"","project_id":79,"tracker_id":40,"status_id":1,"priority_id":2,"assigned_to_id":338,"start_date":"2017-09-14","description":"","custom_fields":[{"id":1,"name":"Subdivision","value":"Other"},{"id":4,"name":"Milepost","value":"2.3299"},{"id":17,"name":"Train ID","value":"303-14"},{"id":16,"name":"Locomotive ID","value":"4002"},{"id":130,"name":"Impact","value":""},{"id":150,"name":"Time of Event (Mountain Time)","value":"19:19:23"},{"id":151,"name":"Denver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5"/>
        <v>start /low /b %USERPROFILE%\Documents\GitHub\eaglep3\Utilities\DownloadLogsFromS3.py --loco 4002 --day 2017-09-14</v>
      </c>
      <c r="AN212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623</v>
      </c>
      <c r="B213" s="7">
        <v>4029</v>
      </c>
      <c r="C213" s="21" t="s">
        <v>197</v>
      </c>
      <c r="D213" s="21" t="s">
        <v>894</v>
      </c>
      <c r="E213" s="13">
        <v>42992.154224537036</v>
      </c>
      <c r="F213" s="13">
        <v>42992.160324074073</v>
      </c>
      <c r="G213" s="7">
        <v>96</v>
      </c>
      <c r="H213" s="21" t="s">
        <v>338</v>
      </c>
      <c r="I213" s="13">
        <v>42992.16574074074</v>
      </c>
      <c r="J213" s="7">
        <v>1</v>
      </c>
      <c r="K213" s="89" t="str">
        <f t="shared" si="104"/>
        <v>4029/4030</v>
      </c>
      <c r="L213" s="189" t="str">
        <f>VLOOKUP(A213,'Trips&amp;Operators'!$C$1:$G$99911,5,FALSE)</f>
        <v>PAGE MARCUS</v>
      </c>
      <c r="M213" s="6">
        <f t="shared" si="105"/>
        <v>5.4166666668606922E-3</v>
      </c>
      <c r="N213" s="7">
        <f t="shared" si="102"/>
        <v>7.8000000002793968</v>
      </c>
      <c r="O213" s="7"/>
      <c r="P213" s="7"/>
      <c r="Q213" s="22"/>
      <c r="R213" s="167"/>
      <c r="S213" s="217">
        <f t="shared" si="103"/>
        <v>1</v>
      </c>
      <c r="T213" s="175" t="str">
        <f t="shared" si="106"/>
        <v>Southbound</v>
      </c>
      <c r="U213" s="20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26" t="str">
        <f t="shared" si="107"/>
        <v>https://d0f6bd738d7f1b3e5a7ca70fe4ff75f0.us-east-1.aws.found.io/app/kibana#/discover/Steve-Slow-Train-Analysis-(2080s-and-2083s)?_g=(refreshInterval:(display:Off,pause:!f,section:0,value:0),time:(from:'2017-09-14T02:42:05-0600',mode:absolute,to:'2017-09-14T04:58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210" t="str">
        <f>IF(AA213&lt;VLOOKUP(AG213,Variables!$AC$3:$AD$8,2,FALSE),"Y","N")</f>
        <v>Y</v>
      </c>
      <c r="X213" s="210">
        <f t="shared" si="101"/>
        <v>1</v>
      </c>
      <c r="Y213" s="210">
        <f t="shared" si="99"/>
        <v>2.3506</v>
      </c>
      <c r="Z213" s="210">
        <f t="shared" si="100"/>
        <v>1.4999999999999999E-2</v>
      </c>
      <c r="AA213" s="210">
        <f t="shared" si="108"/>
        <v>2.3355999999999999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83">
        <f t="shared" si="109"/>
        <v>304</v>
      </c>
      <c r="AE213" s="77" t="str">
        <f t="shared" si="110"/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AF213" s="74" t="str">
        <f t="shared" si="111"/>
        <v>"C:\Program Files (x86)\AstroGrep\AstroGrep.exe" /e /r /s /spath="%USERPROFILE%\AppData\Local\Temp\OnboardLogs" /stypes="app*4029*20170914*" /stext=" 09:.+((SYSTEM_STATE.+slice.+state.+changed )|(ment ac)|(multiple cpu faults)|(system.+state.+changed )|(\[timeout)|(PRM\|1\|D)|(kpr)|(kdp)|(train st.+moving)|(\|lc)|(penalty))"</v>
      </c>
      <c r="AG213" s="186" t="str">
        <f t="shared" si="112"/>
        <v>Other</v>
      </c>
      <c r="AH213" s="78" t="str">
        <f t="shared" si="113"/>
        <v>"%USERPROFILE%\Documents\GitHub\eaglep3\Utilities\RefineRTDCRunTimes.py" --tripid 304-14 --locoid 4029 --swversion DE.1.0.9.0 --startMP 300:23506 --initTime 2017-09-14T03:42:05 --startdatetime 2017-09-14T03:50:52 --delay 96 --endMP 204:150 --enddatetime 2017-09-14T03:58:40 --enforcementcount 1 &gt;&gt;C:\Users\stu\Documents\GitHub\eaglep3-reporting\EC\2017-09-14-refined-times.txt</v>
      </c>
      <c r="AI213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{"issue":{"subject":"","project_id":79,"tracker_id":40,"status_id":1,"priority_id":2,"assigned_to_id":338,"start_date":"2017-09-14","description":"","custom_fields":[{"id":1,"name":"Subdivision","value":"Other"},{"id":4,"name":"Milepost","value":"0.015"},{"id":17,"name":"Train ID","value":"304-14"},{"id":16,"name":"Locomotive ID","value":"4029"},{"id":130,"name":"Impact","value":""},{"id":150,"name":"Time of Event (Mountain Time)","value":"03:58:40"},{"id":151,"name":"Denver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5"/>
        <v>start /low /b %USERPROFILE%\Documents\GitHub\eaglep3\Utilities\DownloadLogsFromS3.py --loco 4029 --day 2017-09-14</v>
      </c>
      <c r="AN213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09:58:40"},{"id":29,"name":"Sharepoint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788</v>
      </c>
      <c r="B214" s="7">
        <v>4026</v>
      </c>
      <c r="C214" s="21" t="s">
        <v>197</v>
      </c>
      <c r="D214" s="21" t="s">
        <v>533</v>
      </c>
      <c r="E214" s="13">
        <v>42992.818298611113</v>
      </c>
      <c r="F214" s="13">
        <v>42992.820219907408</v>
      </c>
      <c r="G214" s="7">
        <v>109</v>
      </c>
      <c r="H214" s="21" t="s">
        <v>550</v>
      </c>
      <c r="I214" s="13">
        <v>42992.829942129632</v>
      </c>
      <c r="J214" s="7">
        <v>1</v>
      </c>
      <c r="K214" s="89" t="str">
        <f t="shared" si="104"/>
        <v>4025/4026</v>
      </c>
      <c r="L214" s="189" t="str">
        <f>VLOOKUP(A214,'Trips&amp;Operators'!$C$1:$G$99911,5,FALSE)</f>
        <v>ZEWDU DEREJE</v>
      </c>
      <c r="M214" s="6">
        <f t="shared" si="105"/>
        <v>9.7222222248092294E-3</v>
      </c>
      <c r="N214" s="7">
        <f t="shared" si="102"/>
        <v>14.00000000372529</v>
      </c>
      <c r="O214" s="7"/>
      <c r="P214" s="7"/>
      <c r="Q214" s="22"/>
      <c r="R214" s="167"/>
      <c r="S214" s="217">
        <f t="shared" si="103"/>
        <v>1</v>
      </c>
      <c r="T214" s="175" t="str">
        <f t="shared" si="106"/>
        <v>NorthBound</v>
      </c>
      <c r="U214" s="20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26" t="str">
        <f t="shared" si="107"/>
        <v>https://d0f6bd738d7f1b3e5a7ca70fe4ff75f0.us-east-1.aws.found.io/app/kibana#/discover/Steve-Slow-Train-Analysis-(2080s-and-2083s)?_g=(refreshInterval:(display:Off,pause:!f,section:0,value:0),time:(from:'2017-09-14T18:38:21-0600',mode:absolute,to:'2017-09-14T20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10" t="str">
        <f>IF(AA214&lt;VLOOKUP(AG214,Variables!$AC$3:$AD$8,2,FALSE),"Y","N")</f>
        <v>Y</v>
      </c>
      <c r="X214" s="210">
        <f t="shared" si="101"/>
        <v>1</v>
      </c>
      <c r="Y214" s="210">
        <f t="shared" si="99"/>
        <v>4.82E-2</v>
      </c>
      <c r="Z214" s="210">
        <f t="shared" si="100"/>
        <v>2.3294999999999999</v>
      </c>
      <c r="AA214" s="210">
        <f t="shared" si="108"/>
        <v>2.2812999999999999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83">
        <f t="shared" si="109"/>
        <v>305</v>
      </c>
      <c r="AE214" s="77" t="str">
        <f t="shared" si="1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214" s="74" t="str">
        <f t="shared" si="111"/>
        <v>"C:\Program Files (x86)\AstroGrep\AstroGrep.exe" /e /r /s /spath="%USERPROFILE%\AppData\Local\Temp\OnboardLogs" /stypes="app*4026*20170915*" /stext=" 01:.+((SYSTEM_STATE.+slice.+state.+changed )|(ment ac)|(multiple cpu faults)|(system.+state.+changed )|(\[timeout)|(PRM\|1\|D)|(kpr)|(kdp)|(train st.+moving)|(\|lc)|(penalty))"</v>
      </c>
      <c r="AG214" s="186" t="str">
        <f t="shared" si="112"/>
        <v>Other</v>
      </c>
      <c r="AH214" s="78" t="str">
        <f t="shared" si="113"/>
        <v>"%USERPROFILE%\Documents\GitHub\eaglep3\Utilities\RefineRTDCRunTimes.py" --tripid 305-14 --locoid 4026 --swversion DE.1.0.9.0 --startMP 204:482 --initTime 2017-09-14T19:38:21 --startdatetime 2017-09-14T19:41:07 --delay 109 --endMP 300:23295 --enddatetime 2017-09-14T19:55:07 --enforcementcount 1 &gt;&gt;C:\Users\stu\Documents\GitHub\eaglep3-reporting\EC\2017-09-14-refined-times.txt</v>
      </c>
      <c r="AI214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{"issue":{"subject":"","project_id":79,"tracker_id":40,"status_id":1,"priority_id":2,"assigned_to_id":338,"start_date":"2017-09-14","description":"","custom_fields":[{"id":1,"name":"Subdivision","value":"Other"},{"id":4,"name":"Milepost","value":"2.3295"},{"id":17,"name":"Train ID","value":"305-14"},{"id":16,"name":"Locomotive ID","value":"4026"},{"id":130,"name":"Impact","value":""},{"id":150,"name":"Time of Event (Mountain Time)","value":"19:55:07"},{"id":151,"name":"Denver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5"/>
        <v>start /low /b %USERPROFILE%\Documents\GitHub\eaglep3\Utilities\DownloadLogsFromS3.py --loco 4026 --day 2017-09-14</v>
      </c>
      <c r="AN214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626</v>
      </c>
      <c r="B215" s="7">
        <v>4059</v>
      </c>
      <c r="C215" s="21" t="s">
        <v>197</v>
      </c>
      <c r="D215" s="21" t="s">
        <v>895</v>
      </c>
      <c r="E215" s="13">
        <v>42992.170659722222</v>
      </c>
      <c r="F215" s="13">
        <v>42992.175717592596</v>
      </c>
      <c r="G215" s="7">
        <v>82</v>
      </c>
      <c r="H215" s="21" t="s">
        <v>896</v>
      </c>
      <c r="I215" s="13">
        <v>42992.181331018517</v>
      </c>
      <c r="J215" s="7">
        <v>1</v>
      </c>
      <c r="K215" s="89" t="str">
        <f t="shared" si="104"/>
        <v>4059/4060</v>
      </c>
      <c r="L215" s="189" t="str">
        <f>VLOOKUP(A215,'Trips&amp;Operators'!$C$1:$G$99911,5,FALSE)</f>
        <v>GEBRETEKLE DAGNEW</v>
      </c>
      <c r="M215" s="6">
        <f t="shared" si="105"/>
        <v>5.6134259211830795E-3</v>
      </c>
      <c r="N215" s="7">
        <f t="shared" si="102"/>
        <v>8.0833333265036345</v>
      </c>
      <c r="O215" s="7"/>
      <c r="P215" s="7"/>
      <c r="Q215" s="22"/>
      <c r="R215" s="167"/>
      <c r="S215" s="217">
        <f t="shared" si="103"/>
        <v>1</v>
      </c>
      <c r="T215" s="175" t="str">
        <f t="shared" si="106"/>
        <v>Southbound</v>
      </c>
      <c r="U215" s="20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26" t="str">
        <f t="shared" si="107"/>
        <v>https://d0f6bd738d7f1b3e5a7ca70fe4ff75f0.us-east-1.aws.found.io/app/kibana#/discover/Steve-Slow-Train-Analysis-(2080s-and-2083s)?_g=(refreshInterval:(display:Off,pause:!f,section:0,value:0),time:(from:'2017-09-14T03:05:45-0600',mode:absolute,to:'2017-09-14T05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5" s="210" t="str">
        <f>IF(AA215&lt;VLOOKUP(AG215,Variables!$AC$3:$AD$8,2,FALSE),"Y","N")</f>
        <v>Y</v>
      </c>
      <c r="X215" s="210">
        <f t="shared" si="101"/>
        <v>1</v>
      </c>
      <c r="Y215" s="210">
        <f t="shared" si="99"/>
        <v>2.3555000000000001</v>
      </c>
      <c r="Z215" s="210">
        <f t="shared" si="100"/>
        <v>1.78E-2</v>
      </c>
      <c r="AA215" s="210">
        <f t="shared" si="108"/>
        <v>2.3377000000000003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83">
        <f t="shared" si="109"/>
        <v>306</v>
      </c>
      <c r="AE215" s="77" t="str">
        <f t="shared" si="110"/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AF215" s="74" t="str">
        <f t="shared" si="111"/>
        <v>"C:\Program Files (x86)\AstroGrep\AstroGrep.exe" /e /r /s /spath="%USERPROFILE%\AppData\Local\Temp\OnboardLogs" /stypes="app*4059*20170914*" /stext=" 10:.+((SYSTEM_STATE.+slice.+state.+changed )|(ment ac)|(multiple cpu faults)|(system.+state.+changed )|(\[timeout)|(PRM\|1\|D)|(kpr)|(kdp)|(train st.+moving)|(\|lc)|(penalty))"</v>
      </c>
      <c r="AG215" s="186" t="str">
        <f t="shared" si="112"/>
        <v>Other</v>
      </c>
      <c r="AH215" s="78" t="str">
        <f t="shared" si="113"/>
        <v>"%USERPROFILE%\Documents\GitHub\eaglep3\Utilities\RefineRTDCRunTimes.py" --tripid 306-14 --locoid 4059 --swversion DE.1.0.9.0 --startMP 300:23555 --initTime 2017-09-14T04:05:45 --startdatetime 2017-09-14T04:13:02 --delay 82 --endMP 204:178 --enddatetime 2017-09-14T04:21:07 --enforcementcount 1 &gt;&gt;C:\Users\stu\Documents\GitHub\eaglep3-reporting\EC\2017-09-14-refined-times.txt</v>
      </c>
      <c r="AI215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{"issue":{"subject":"","project_id":79,"tracker_id":40,"status_id":1,"priority_id":2,"assigned_to_id":338,"start_date":"2017-09-14","description":"","custom_fields":[{"id":1,"name":"Subdivision","value":"Other"},{"id":4,"name":"Milepost","value":"0.0178"},{"id":17,"name":"Train ID","value":"306-14"},{"id":16,"name":"Locomotive ID","value":"4059"},{"id":130,"name":"Impact","value":""},{"id":150,"name":"Time of Event (Mountain Time)","value":"04:21:07"},{"id":151,"name":"Denver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5"/>
        <v>start /low /b %USERPROFILE%\Documents\GitHub\eaglep3\Utilities\DownloadLogsFromS3.py --loco 4059 --day 2017-09-14</v>
      </c>
      <c r="AN215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815</v>
      </c>
      <c r="B216" s="7">
        <v>4004</v>
      </c>
      <c r="C216" s="21" t="s">
        <v>197</v>
      </c>
      <c r="D216" s="21" t="s">
        <v>897</v>
      </c>
      <c r="E216" s="13">
        <v>42993.024988425925</v>
      </c>
      <c r="F216" s="13">
        <v>42993.026099537034</v>
      </c>
      <c r="G216" s="7">
        <v>45</v>
      </c>
      <c r="H216" s="21" t="s">
        <v>892</v>
      </c>
      <c r="I216" s="13">
        <v>42993.033043981479</v>
      </c>
      <c r="J216" s="7">
        <v>1</v>
      </c>
      <c r="K216" s="89" t="str">
        <f t="shared" si="104"/>
        <v>4003/4004</v>
      </c>
      <c r="L216" s="189" t="str">
        <f>VLOOKUP(A216,'Trips&amp;Operators'!$C$1:$G$99911,5,FALSE)</f>
        <v>HART KEVIN</v>
      </c>
      <c r="M216" s="6">
        <f t="shared" si="105"/>
        <v>6.9444444452528842E-3</v>
      </c>
      <c r="N216" s="7">
        <f t="shared" si="102"/>
        <v>10.000000001164153</v>
      </c>
      <c r="O216" s="7"/>
      <c r="P216" s="7"/>
      <c r="Q216" s="22"/>
      <c r="R216" s="167"/>
      <c r="S216" s="217">
        <f t="shared" si="103"/>
        <v>1</v>
      </c>
      <c r="T216" s="175" t="str">
        <f t="shared" si="106"/>
        <v>NorthBound</v>
      </c>
      <c r="U216" s="20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26" t="str">
        <f t="shared" si="107"/>
        <v>https://d0f6bd738d7f1b3e5a7ca70fe4ff75f0.us-east-1.aws.found.io/app/kibana#/discover/Steve-Slow-Train-Analysis-(2080s-and-2083s)?_g=(refreshInterval:(display:Off,pause:!f,section:0,value:0),time:(from:'2017-09-14T23:35:59-0600',mode:absolute,to:'2017-09-15T01:47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210" t="str">
        <f>IF(AA216&lt;VLOOKUP(AG216,Variables!$AC$3:$AD$8,2,FALSE),"Y","N")</f>
        <v>Y</v>
      </c>
      <c r="X216" s="210">
        <f t="shared" si="101"/>
        <v>1</v>
      </c>
      <c r="Y216" s="210">
        <f t="shared" si="99"/>
        <v>4.2099999999999999E-2</v>
      </c>
      <c r="Z216" s="210">
        <f t="shared" si="100"/>
        <v>2.3308</v>
      </c>
      <c r="AA216" s="210">
        <f t="shared" si="108"/>
        <v>2.2887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83">
        <f t="shared" si="109"/>
        <v>307</v>
      </c>
      <c r="AE216" s="77" t="str">
        <f t="shared" si="110"/>
        <v>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 &amp; aws s3 cp s3://rtdc.mdm.uploadarchive.raw/RTDC4004/ "%USERPROFILE%\AppData\Local\Temp\OnboardLogs"\RTDC4004\2017-09-16 --exclude "*" --recursive --include "*20170916*" &amp; "%USERPROFILE%\Documents\GitHub\mrs-test-scripts\Headless Mode &amp; Sideloading\WalkAndUnGZ.bat" "%USERPROFILE%\AppData\Local\Temp\OnboardLogs"\RTDC4004\2017-09-16</v>
      </c>
      <c r="AF216" s="74" t="str">
        <f t="shared" si="111"/>
        <v>"C:\Program Files (x86)\AstroGrep\AstroGrep.exe" /e /r /s /spath="%USERPROFILE%\AppData\Local\Temp\OnboardLogs" /stypes="app*4004*20170915*" /stext=" 06:.+((SYSTEM_STATE.+slice.+state.+changed )|(ment ac)|(multiple cpu faults)|(system.+state.+changed )|(\[timeout)|(PRM\|1\|D)|(kpr)|(kdp)|(train st.+moving)|(\|lc)|(penalty))"</v>
      </c>
      <c r="AG216" s="186" t="str">
        <f t="shared" si="112"/>
        <v>Other</v>
      </c>
      <c r="AH216" s="78" t="str">
        <f t="shared" si="113"/>
        <v>"%USERPROFILE%\Documents\GitHub\eaglep3\Utilities\RefineRTDCRunTimes.py" --tripid 307-14 --locoid 4004 --swversion DE.1.0.9.0 --startMP 204:421 --initTime 2017-09-15T00:35:59 --startdatetime 2017-09-15T00:37:35 --delay 45 --endMP 300:23308 --enddatetime 2017-09-15T00:47:35 --enforcementcount 1 &gt;&gt;C:\Users\stu\Documents\GitHub\eaglep3-reporting\EC\2017-09-14-refined-times.txt</v>
      </c>
      <c r="AI216" s="96" t="str">
        <f t="shared" si="114"/>
        <v>echo {"issue":{"subject":"","project_id":79,"tracker_id":40,"status_id":1,"priority_id":2,"assigned_to_id":338,"start_date":"2017-09-15","description":"","custom_fields":[{"id":1,"name":"Subdivision","value":"Other"},{"id":4,"name":"Milepost","value":"2.3308"},{"id":17,"name":"Train ID","value":"307-14"},{"id":16,"name":"Locomotive ID","value":"4004"},{"id":130,"name":"Impact","value":""},{"id":150,"name":"Time of Event (Mountain Time)","value":"00:47:35"},{"id":151,"name":"Denver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15"/>
        <v>start /low /b %USERPROFILE%\Documents\GitHub\eaglep3\Utilities\DownloadLogsFromS3.py --loco 4004 --day 2017-09-15</v>
      </c>
      <c r="AN216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06:47:35"},{"id":29,"name":"Sharepoint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627</v>
      </c>
      <c r="B217" s="7">
        <v>4061</v>
      </c>
      <c r="C217" s="21" t="s">
        <v>197</v>
      </c>
      <c r="D217" s="21" t="s">
        <v>898</v>
      </c>
      <c r="E217" s="13">
        <v>42992.177974537037</v>
      </c>
      <c r="F217" s="13">
        <v>42992.182164351849</v>
      </c>
      <c r="G217" s="7">
        <v>99</v>
      </c>
      <c r="H217" s="21" t="s">
        <v>401</v>
      </c>
      <c r="I217" s="13">
        <v>42992.190462962964</v>
      </c>
      <c r="J217" s="7">
        <v>1</v>
      </c>
      <c r="K217" s="89" t="str">
        <f t="shared" si="104"/>
        <v>4061/4062</v>
      </c>
      <c r="L217" s="189" t="str">
        <f>VLOOKUP(A217,'Trips&amp;Operators'!$C$1:$G$99911,5,FALSE)</f>
        <v>WILLIAMS DONTE</v>
      </c>
      <c r="M217" s="6">
        <f t="shared" si="105"/>
        <v>8.298611115606036E-3</v>
      </c>
      <c r="N217" s="7">
        <f t="shared" si="102"/>
        <v>11.950000006472692</v>
      </c>
      <c r="O217" s="7"/>
      <c r="P217" s="7"/>
      <c r="Q217" s="22"/>
      <c r="R217" s="167"/>
      <c r="S217" s="217">
        <f t="shared" si="103"/>
        <v>1</v>
      </c>
      <c r="T217" s="175" t="str">
        <f t="shared" si="106"/>
        <v>Southbound</v>
      </c>
      <c r="U217" s="20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26" t="str">
        <f t="shared" si="107"/>
        <v>https://d0f6bd738d7f1b3e5a7ca70fe4ff75f0.us-east-1.aws.found.io/app/kibana#/discover/Steve-Slow-Train-Analysis-(2080s-and-2083s)?_g=(refreshInterval:(display:Off,pause:!f,section:0,value:0),time:(from:'2017-09-14T03:16:17-0600',mode:absolute,to:'2017-09-14T05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210" t="str">
        <f>IF(AA217&lt;VLOOKUP(AG217,Variables!$AC$3:$AD$8,2,FALSE),"Y","N")</f>
        <v>Y</v>
      </c>
      <c r="X217" s="210">
        <f t="shared" si="101"/>
        <v>1</v>
      </c>
      <c r="Y217" s="210">
        <f t="shared" si="99"/>
        <v>2.3673000000000002</v>
      </c>
      <c r="Z217" s="210">
        <f t="shared" si="100"/>
        <v>1.3899999999999999E-2</v>
      </c>
      <c r="AA217" s="210">
        <f t="shared" si="108"/>
        <v>2.3534000000000002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83">
        <f t="shared" si="109"/>
        <v>308</v>
      </c>
      <c r="AE217" s="77" t="str">
        <f t="shared" si="110"/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AF217" s="74" t="str">
        <f t="shared" si="111"/>
        <v>"C:\Program Files (x86)\AstroGrep\AstroGrep.exe" /e /r /s /spath="%USERPROFILE%\AppData\Local\Temp\OnboardLogs" /stypes="app*4061*20170914*" /stext=" 10:.+((SYSTEM_STATE.+slice.+state.+changed )|(ment ac)|(multiple cpu faults)|(system.+state.+changed )|(\[timeout)|(PRM\|1\|D)|(kpr)|(kdp)|(train st.+moving)|(\|lc)|(penalty))"</v>
      </c>
      <c r="AG217" s="186" t="str">
        <f t="shared" si="112"/>
        <v>Other</v>
      </c>
      <c r="AH217" s="78" t="str">
        <f t="shared" si="113"/>
        <v>"%USERPROFILE%\Documents\GitHub\eaglep3\Utilities\RefineRTDCRunTimes.py" --tripid 308-14 --locoid 4061 --swversion DE.1.0.9.0 --startMP 300:23673 --initTime 2017-09-14T04:16:17 --startdatetime 2017-09-14T04:22:19 --delay 99 --endMP 204:139 --enddatetime 2017-09-14T04:34:16 --enforcementcount 1 &gt;&gt;C:\Users\stu\Documents\GitHub\eaglep3-reporting\EC\2017-09-14-refined-times.txt</v>
      </c>
      <c r="AI217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{"issue":{"subject":"","project_id":79,"tracker_id":40,"status_id":1,"priority_id":2,"assigned_to_id":338,"start_date":"2017-09-14","description":"","custom_fields":[{"id":1,"name":"Subdivision","value":"Other"},{"id":4,"name":"Milepost","value":"0.0139"},{"id":17,"name":"Train ID","value":"308-14"},{"id":16,"name":"Locomotive ID","value":"4061"},{"id":130,"name":"Impact","value":""},{"id":150,"name":"Time of Event (Mountain Time)","value":"04:34:16"},{"id":151,"name":"Denver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15"/>
        <v>start /low /b %USERPROFILE%\Documents\GitHub\eaglep3\Utilities\DownloadLogsFromS3.py --loco 4061 --day 2017-09-14</v>
      </c>
      <c r="AN217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817</v>
      </c>
      <c r="B218" s="7">
        <v>4058</v>
      </c>
      <c r="C218" s="21" t="s">
        <v>197</v>
      </c>
      <c r="D218" s="21" t="s">
        <v>485</v>
      </c>
      <c r="E218" s="13">
        <v>42993.048738425925</v>
      </c>
      <c r="F218" s="13">
        <v>42993.049930555557</v>
      </c>
      <c r="G218" s="7">
        <v>58</v>
      </c>
      <c r="H218" s="21" t="s">
        <v>549</v>
      </c>
      <c r="I218" s="13">
        <v>42993.060567129629</v>
      </c>
      <c r="J218" s="7">
        <v>1</v>
      </c>
      <c r="K218" s="89" t="str">
        <f t="shared" si="104"/>
        <v>4057/4058</v>
      </c>
      <c r="L218" s="189" t="str">
        <f>VLOOKUP(A218,'Trips&amp;Operators'!$C$1:$G$99911,5,FALSE)</f>
        <v>LOZA FIDEL</v>
      </c>
      <c r="M218" s="6">
        <f t="shared" si="105"/>
        <v>1.063657407212304E-2</v>
      </c>
      <c r="N218" s="7">
        <f t="shared" si="102"/>
        <v>15.316666663857177</v>
      </c>
      <c r="O218" s="7"/>
      <c r="P218" s="7"/>
      <c r="Q218" s="22"/>
      <c r="R218" s="167"/>
      <c r="S218" s="217">
        <f t="shared" si="103"/>
        <v>1</v>
      </c>
      <c r="T218" s="175" t="str">
        <f t="shared" si="106"/>
        <v>NorthBound</v>
      </c>
      <c r="U218" s="20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26" t="str">
        <f t="shared" si="107"/>
        <v>https://d0f6bd738d7f1b3e5a7ca70fe4ff75f0.us-east-1.aws.found.io/app/kibana#/discover/Steve-Slow-Train-Analysis-(2080s-and-2083s)?_g=(refreshInterval:(display:Off,pause:!f,section:0,value:0),time:(from:'2017-09-15T00:10:11-0600',mode:absolute,to:'2017-09-15T02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8" s="210" t="str">
        <f>IF(AA218&lt;VLOOKUP(AG218,Variables!$AC$3:$AD$8,2,FALSE),"Y","N")</f>
        <v>Y</v>
      </c>
      <c r="X218" s="210">
        <f t="shared" si="101"/>
        <v>1</v>
      </c>
      <c r="Y218" s="210">
        <f t="shared" si="99"/>
        <v>4.7699999999999999E-2</v>
      </c>
      <c r="Z218" s="210">
        <f t="shared" si="100"/>
        <v>2.3306</v>
      </c>
      <c r="AA218" s="210">
        <f t="shared" si="108"/>
        <v>2.2829000000000002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83">
        <f t="shared" si="109"/>
        <v>309</v>
      </c>
      <c r="AE218" s="77" t="str">
        <f t="shared" si="110"/>
        <v>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 &amp; 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</v>
      </c>
      <c r="AF218" s="74" t="str">
        <f t="shared" si="111"/>
        <v>"C:\Program Files (x86)\AstroGrep\AstroGrep.exe" /e /r /s /spath="%USERPROFILE%\AppData\Local\Temp\OnboardLogs" /stypes="app*4058*20170915*" /stext=" 07:.+((SYSTEM_STATE.+slice.+state.+changed )|(ment ac)|(multiple cpu faults)|(system.+state.+changed )|(\[timeout)|(PRM\|1\|D)|(kpr)|(kdp)|(train st.+moving)|(\|lc)|(penalty))"</v>
      </c>
      <c r="AG218" s="186" t="str">
        <f t="shared" si="112"/>
        <v>Other</v>
      </c>
      <c r="AH218" s="78" t="str">
        <f t="shared" si="113"/>
        <v>"%USERPROFILE%\Documents\GitHub\eaglep3\Utilities\RefineRTDCRunTimes.py" --tripid 309-14 --locoid 4058 --swversion DE.1.0.9.0 --startMP 204:477 --initTime 2017-09-15T01:10:11 --startdatetime 2017-09-15T01:11:54 --delay 58 --endMP 300:23306 --enddatetime 2017-09-15T01:27:13 --enforcementcount 1 &gt;&gt;C:\Users\stu\Documents\GitHub\eaglep3-reporting\EC\2017-09-14-refined-times.txt</v>
      </c>
      <c r="AI218" s="96" t="str">
        <f t="shared" si="114"/>
        <v>echo {"issue":{"subject":"","project_id":79,"tracker_id":40,"status_id":1,"priority_id":2,"assigned_to_id":338,"start_date":"2017-09-15","description":"","custom_fields":[{"id":1,"name":"Subdivision","value":"Other"},{"id":4,"name":"Milepost","value":"2.3306"},{"id":17,"name":"Train ID","value":"309-14"},{"id":16,"name":"Locomotive ID","value":"4058"},{"id":130,"name":"Impact","value":""},{"id":150,"name":"Time of Event (Mountain Time)","value":"01:27:13"},{"id":151,"name":"Denver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15"/>
        <v>start /low /b %USERPROFILE%\Documents\GitHub\eaglep3\Utilities\DownloadLogsFromS3.py --loco 4058 --day 2017-09-15</v>
      </c>
      <c r="AN218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07:27:13"},{"id":29,"name":"Sharepoint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633</v>
      </c>
      <c r="B219" s="7">
        <v>4001</v>
      </c>
      <c r="C219" s="21" t="s">
        <v>197</v>
      </c>
      <c r="D219" s="21" t="s">
        <v>899</v>
      </c>
      <c r="E219" s="13">
        <v>42992.197835648149</v>
      </c>
      <c r="F219" s="13">
        <v>42992.200381944444</v>
      </c>
      <c r="G219" s="7">
        <v>86</v>
      </c>
      <c r="H219" s="21" t="s">
        <v>548</v>
      </c>
      <c r="I219" s="13">
        <v>42992.20590277778</v>
      </c>
      <c r="J219" s="7">
        <v>1</v>
      </c>
      <c r="K219" s="89" t="str">
        <f t="shared" si="104"/>
        <v>4001/4002</v>
      </c>
      <c r="L219" s="189" t="str">
        <f>VLOOKUP(A219,'Trips&amp;Operators'!$C$1:$G$99911,5,FALSE)</f>
        <v>YANAI IAN</v>
      </c>
      <c r="M219" s="6">
        <f t="shared" si="105"/>
        <v>5.5208333360496908E-3</v>
      </c>
      <c r="N219" s="7">
        <f t="shared" si="102"/>
        <v>7.9500000039115548</v>
      </c>
      <c r="O219" s="7"/>
      <c r="P219" s="7"/>
      <c r="Q219" s="22"/>
      <c r="R219" s="167"/>
      <c r="S219" s="217">
        <f t="shared" si="103"/>
        <v>1</v>
      </c>
      <c r="T219" s="175" t="str">
        <f t="shared" si="106"/>
        <v>Southbound</v>
      </c>
      <c r="U219" s="20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26" t="str">
        <f t="shared" si="107"/>
        <v>https://d0f6bd738d7f1b3e5a7ca70fe4ff75f0.us-east-1.aws.found.io/app/kibana#/discover/Steve-Slow-Train-Analysis-(2080s-and-2083s)?_g=(refreshInterval:(display:Off,pause:!f,section:0,value:0),time:(from:'2017-09-14T03:44:53-0600',mode:absolute,to:'2017-09-14T05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210" t="str">
        <f>IF(AA219&lt;VLOOKUP(AG219,Variables!$AC$3:$AD$8,2,FALSE),"Y","N")</f>
        <v>Y</v>
      </c>
      <c r="X219" s="210">
        <f t="shared" si="101"/>
        <v>1</v>
      </c>
      <c r="Y219" s="210">
        <f t="shared" ref="Y219:Y244" si="117">RIGHT(D219,LEN(D219)-4)/10000</f>
        <v>2.347</v>
      </c>
      <c r="Z219" s="210">
        <f t="shared" ref="Z219:Z244" si="118">RIGHT(H219,LEN(H219)-4)/10000</f>
        <v>1.67E-2</v>
      </c>
      <c r="AA219" s="210">
        <f t="shared" si="108"/>
        <v>2.3302999999999998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83">
        <f t="shared" si="109"/>
        <v>310</v>
      </c>
      <c r="AE219" s="77" t="str">
        <f t="shared" si="110"/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AF219" s="74" t="str">
        <f t="shared" si="111"/>
        <v>"C:\Program Files (x86)\AstroGrep\AstroGrep.exe" /e /r /s /spath="%USERPROFILE%\AppData\Local\Temp\OnboardLogs" /stypes="app*4001*20170914*" /stext=" 10:.+((SYSTEM_STATE.+slice.+state.+changed )|(ment ac)|(multiple cpu faults)|(system.+state.+changed )|(\[timeout)|(PRM\|1\|D)|(kpr)|(kdp)|(train st.+moving)|(\|lc)|(penalty))"</v>
      </c>
      <c r="AG219" s="186" t="str">
        <f t="shared" si="112"/>
        <v>Other</v>
      </c>
      <c r="AH219" s="78" t="str">
        <f t="shared" si="113"/>
        <v>"%USERPROFILE%\Documents\GitHub\eaglep3\Utilities\RefineRTDCRunTimes.py" --tripid 310-14 --locoid 4001 --swversion DE.1.0.9.0 --startMP 300:23470 --initTime 2017-09-14T04:44:53 --startdatetime 2017-09-14T04:48:33 --delay 86 --endMP 204:167 --enddatetime 2017-09-14T04:56:30 --enforcementcount 1 &gt;&gt;C:\Users\stu\Documents\GitHub\eaglep3-reporting\EC\2017-09-14-refined-times.txt</v>
      </c>
      <c r="AI219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{"issue":{"subject":"","project_id":79,"tracker_id":40,"status_id":1,"priority_id":2,"assigned_to_id":338,"start_date":"2017-09-14","description":"","custom_fields":[{"id":1,"name":"Subdivision","value":"Other"},{"id":4,"name":"Milepost","value":"0.0167"},{"id":17,"name":"Train ID","value":"310-14"},{"id":16,"name":"Locomotive ID","value":"4001"},{"id":130,"name":"Impact","value":""},{"id":150,"name":"Time of Event (Mountain Time)","value":"04:56:30"},{"id":151,"name":"Denver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5"/>
        <v>start /low /b %USERPROFILE%\Documents\GitHub\eaglep3\Utilities\DownloadLogsFromS3.py --loco 4001 --day 2017-09-14</v>
      </c>
      <c r="AN219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10:56:30"},{"id":29,"name":"Sharepoint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818</v>
      </c>
      <c r="B220" s="7">
        <v>4030</v>
      </c>
      <c r="C220" s="21" t="s">
        <v>197</v>
      </c>
      <c r="D220" s="21" t="s">
        <v>377</v>
      </c>
      <c r="E220" s="13">
        <v>42993.068090277775</v>
      </c>
      <c r="F220" s="13">
        <v>42993.069664351853</v>
      </c>
      <c r="G220" s="7">
        <v>50</v>
      </c>
      <c r="H220" s="21" t="s">
        <v>900</v>
      </c>
      <c r="I220" s="13">
        <v>25568.708333333332</v>
      </c>
      <c r="J220" s="7">
        <v>1</v>
      </c>
      <c r="K220" s="89" t="str">
        <f t="shared" si="104"/>
        <v>4029/4030</v>
      </c>
      <c r="L220" s="189" t="str">
        <f>VLOOKUP(A220,'Trips&amp;Operators'!$C$1:$G$99911,5,FALSE)</f>
        <v>ELBAUM MIKE</v>
      </c>
      <c r="M220" s="6">
        <f t="shared" si="105"/>
        <v>-17424.361331018521</v>
      </c>
      <c r="N220" s="7">
        <f t="shared" si="102"/>
        <v>-25091080.31666667</v>
      </c>
      <c r="O220" s="7"/>
      <c r="P220" s="7"/>
      <c r="Q220" s="22"/>
      <c r="R220" s="167"/>
      <c r="S220" s="217">
        <f t="shared" si="103"/>
        <v>1</v>
      </c>
      <c r="T220" s="175" t="str">
        <f t="shared" si="106"/>
        <v>NorthBound</v>
      </c>
      <c r="U220" s="20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26" t="str">
        <f t="shared" si="107"/>
        <v>https://d0f6bd738d7f1b3e5a7ca70fe4ff75f0.us-east-1.aws.found.io/app/kibana#/discover/Steve-Slow-Train-Analysis-(2080s-and-2083s)?_g=(refreshInterval:(display:Off,pause:!f,section:0,value:0),time:(from:'2017-09-15T00:38:03-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210" t="str">
        <f>IF(AA220&lt;VLOOKUP(AG220,Variables!$AC$3:$AD$8,2,FALSE),"Y","N")</f>
        <v>Y</v>
      </c>
      <c r="X220" s="210">
        <f t="shared" ref="X220:X244" si="119">VALUE(LEFT(AD220,4))-VALUE(LEFT(AD219,4))</f>
        <v>1</v>
      </c>
      <c r="Y220" s="210">
        <f t="shared" si="117"/>
        <v>4.6899999999999997E-2</v>
      </c>
      <c r="Z220" s="210">
        <f t="shared" si="118"/>
        <v>2.3092000000000001</v>
      </c>
      <c r="AA220" s="210">
        <f t="shared" si="108"/>
        <v>2.2623000000000002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83">
        <f t="shared" si="109"/>
        <v>311</v>
      </c>
      <c r="AE220" s="77" t="str">
        <f t="shared" si="110"/>
        <v>aws s3 cp s3://rtdc.mdm.uploadarchive.raw/RTDC4030/ "%USERPROFILE%\AppData\Local\Temp\OnboardLogs"\RTDC4030\2017-09-15 --exclude "*" --recursive --include "*20170915*" &amp; "%USERPROFILE%\Documents\GitHub\mrs-test-scripts\Headless Mode &amp; Sideloading\WalkAndUnGZ.bat" "%USERPROFILE%\AppData\Local\Temp\OnboardLogs"\RTDC4030\2017-09-15 &amp; 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</v>
      </c>
      <c r="AF220" s="74" t="str">
        <f t="shared" si="111"/>
        <v>"C:\Program Files (x86)\AstroGrep\AstroGrep.exe" /e /r /s /spath="%USERPROFILE%\AppData\Local\Temp\OnboardLogs" /stypes="app*4030*19691231*" /stext=" 23:.+((SYSTEM_STATE.+slice.+state.+changed )|(ment ac)|(multiple cpu faults)|(system.+state.+changed )|(\[timeout)|(PRM\|1\|D)|(kpr)|(kdp)|(train st.+moving)|(\|lc)|(penalty))"</v>
      </c>
      <c r="AG220" s="186" t="str">
        <f t="shared" si="112"/>
        <v>Other</v>
      </c>
      <c r="AH220" s="78" t="str">
        <f t="shared" si="113"/>
        <v>"%USERPROFILE%\Documents\GitHub\eaglep3\Utilities\RefineRTDCRunTimes.py" --tripid 311-14 --locoid 4030 --swversion DE.1.0.9.0 --startMP 204:469 --initTime 2017-09-15T01:38:03 --startdatetime 2017-09-15T01:40:19 --delay 50 --endMP 300:23092 --enddatetime 1969-12-31T17:00:00 --enforcementcount 1 &gt;&gt;C:\Users\stu\Documents\GitHub\eaglep3-reporting\EC\2017-09-14-refined-times.txt</v>
      </c>
      <c r="AI220" s="96" t="str">
        <f t="shared" si="114"/>
        <v>echo {"issue":{"subject":"","project_id":79,"tracker_id":40,"status_id":1,"priority_id":2,"assigned_to_id":338,"start_date":"1969-12-31","description":"","custom_fields":[{"id":1,"name":"Subdivision","value":"Other"},{"id":4,"name":"Milepost","value":"2.3092"},{"id":17,"name":"Train ID","value":"311-14"},{"id":16,"name":"Locomotive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15"/>
        <v>start /low /b %USERPROFILE%\Documents\GitHub\eaglep3\Utilities\DownloadLogsFromS3.py --loco 4030 --day 2017-09-15</v>
      </c>
      <c r="AN220" s="151" t="str">
        <f t="shared" si="11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637</v>
      </c>
      <c r="B221" s="7">
        <v>4031</v>
      </c>
      <c r="C221" s="21" t="s">
        <v>197</v>
      </c>
      <c r="D221" s="21" t="s">
        <v>901</v>
      </c>
      <c r="E221" s="13">
        <v>42992.219340277778</v>
      </c>
      <c r="F221" s="13">
        <v>42992.223414351851</v>
      </c>
      <c r="G221" s="7">
        <v>84</v>
      </c>
      <c r="H221" s="21" t="s">
        <v>339</v>
      </c>
      <c r="I221" s="13">
        <v>42992.229131944441</v>
      </c>
      <c r="J221" s="7">
        <v>1</v>
      </c>
      <c r="K221" s="89" t="str">
        <f t="shared" si="104"/>
        <v>4031/4032</v>
      </c>
      <c r="L221" s="189" t="str">
        <f>VLOOKUP(A221,'Trips&amp;Operators'!$C$1:$G$99911,5,FALSE)</f>
        <v>YANG JAN</v>
      </c>
      <c r="M221" s="6">
        <f t="shared" si="105"/>
        <v>5.7175925903720781E-3</v>
      </c>
      <c r="N221" s="7">
        <f t="shared" si="102"/>
        <v>8.2333333301357925</v>
      </c>
      <c r="O221" s="7"/>
      <c r="P221" s="7"/>
      <c r="Q221" s="22"/>
      <c r="R221" s="167"/>
      <c r="S221" s="217">
        <f t="shared" si="103"/>
        <v>1</v>
      </c>
      <c r="T221" s="175" t="str">
        <f t="shared" si="106"/>
        <v>Southbound</v>
      </c>
      <c r="U221" s="20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26" t="str">
        <f t="shared" si="107"/>
        <v>https://d0f6bd738d7f1b3e5a7ca70fe4ff75f0.us-east-1.aws.found.io/app/kibana#/discover/Steve-Slow-Train-Analysis-(2080s-and-2083s)?_g=(refreshInterval:(display:Off,pause:!f,section:0,value:0),time:(from:'2017-09-14T04:15:51-0600',mode:absolute,to:'2017-09-14T06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1" s="210" t="str">
        <f>IF(AA221&lt;VLOOKUP(AG221,Variables!$AC$3:$AD$8,2,FALSE),"Y","N")</f>
        <v>Y</v>
      </c>
      <c r="X221" s="210">
        <f t="shared" si="119"/>
        <v>1</v>
      </c>
      <c r="Y221" s="210">
        <f t="shared" si="117"/>
        <v>2.3834</v>
      </c>
      <c r="Z221" s="210">
        <f t="shared" si="118"/>
        <v>1.49E-2</v>
      </c>
      <c r="AA221" s="210">
        <f t="shared" si="108"/>
        <v>2.3685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83">
        <f t="shared" si="109"/>
        <v>312</v>
      </c>
      <c r="AE221" s="77" t="str">
        <f t="shared" si="1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221" s="74" t="str">
        <f t="shared" si="111"/>
        <v>"C:\Program Files (x86)\AstroGrep\AstroGrep.exe" /e /r /s /spath="%USERPROFILE%\AppData\Local\Temp\OnboardLogs" /stypes="app*4031*20170914*" /stext=" 11:.+((SYSTEM_STATE.+slice.+state.+changed )|(ment ac)|(multiple cpu faults)|(system.+state.+changed )|(\[timeout)|(PRM\|1\|D)|(kpr)|(kdp)|(train st.+moving)|(\|lc)|(penalty))"</v>
      </c>
      <c r="AG221" s="186" t="str">
        <f t="shared" si="112"/>
        <v>Other</v>
      </c>
      <c r="AH221" s="78" t="str">
        <f t="shared" si="113"/>
        <v>"%USERPROFILE%\Documents\GitHub\eaglep3\Utilities\RefineRTDCRunTimes.py" --tripid 312-14 --locoid 4031 --swversion DE.1.0.9.0 --startMP 300:23834 --initTime 2017-09-14T05:15:51 --startdatetime 2017-09-14T05:21:43 --delay 84 --endMP 204:149 --enddatetime 2017-09-14T05:29:57 --enforcementcount 1 &gt;&gt;C:\Users\stu\Documents\GitHub\eaglep3-reporting\EC\2017-09-14-refined-times.txt</v>
      </c>
      <c r="AI221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{"issue":{"subject":"","project_id":79,"tracker_id":40,"status_id":1,"priority_id":2,"assigned_to_id":338,"start_date":"2017-09-14","description":"","custom_fields":[{"id":1,"name":"Subdivision","value":"Other"},{"id":4,"name":"Milepost","value":"0.0149"},{"id":17,"name":"Train ID","value":"312-14"},{"id":16,"name":"Locomotive ID","value":"4031"},{"id":130,"name":"Impact","value":""},{"id":150,"name":"Time of Event (Mountain Time)","value":"05:29:57"},{"id":151,"name":"Denver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15"/>
        <v>start /low /b %USERPROFILE%\Documents\GitHub\eaglep3\Utilities\DownloadLogsFromS3.py --loco 4031 --day 2017-09-14</v>
      </c>
      <c r="AN221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11:29:57"},{"id":29,"name":"Sharepoint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574</v>
      </c>
      <c r="B222" s="7">
        <v>4014</v>
      </c>
      <c r="C222" s="21" t="s">
        <v>197</v>
      </c>
      <c r="D222" s="21" t="s">
        <v>977</v>
      </c>
      <c r="E222" s="13">
        <v>42992.196851851855</v>
      </c>
      <c r="F222" s="13">
        <v>42992.203773148147</v>
      </c>
      <c r="G222" s="7">
        <v>70</v>
      </c>
      <c r="H222" s="21" t="s">
        <v>978</v>
      </c>
      <c r="I222" s="13">
        <v>42992.209710648145</v>
      </c>
      <c r="J222" s="7">
        <v>1</v>
      </c>
      <c r="K222" s="89" t="str">
        <f t="shared" si="104"/>
        <v>4013/4014</v>
      </c>
      <c r="L222" s="189" t="str">
        <f>VLOOKUP(A222,'Trips&amp;Operators'!$C$1:$G$99911,5,FALSE)</f>
        <v>DAVIS WENDY</v>
      </c>
      <c r="M222" s="6">
        <f t="shared" si="105"/>
        <v>5.9374999982537702E-3</v>
      </c>
      <c r="N222" s="7">
        <f t="shared" si="102"/>
        <v>8.549999997485429</v>
      </c>
      <c r="O222" s="7"/>
      <c r="P222" s="7"/>
      <c r="Q222" s="22"/>
      <c r="R222" s="167"/>
      <c r="S222" s="217">
        <f t="shared" si="103"/>
        <v>0</v>
      </c>
      <c r="T222" s="175" t="str">
        <f t="shared" si="106"/>
        <v>NorthBound</v>
      </c>
      <c r="U222" s="20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26" t="str">
        <f t="shared" si="107"/>
        <v>https://d0f6bd738d7f1b3e5a7ca70fe4ff75f0.us-east-1.aws.found.io/app/kibana#/discover/Steve-Slow-Train-Analysis-(2080s-and-2083s)?_g=(refreshInterval:(display:Off,pause:!f,section:0,value:0),time:(from:'2017-09-14T03:43:28-0600',mode:absolute,to:'2017-09-14T06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210" t="str">
        <f>IF(AA222&lt;VLOOKUP(AG222,Variables!$AC$3:$AD$8,2,FALSE),"Y","N")</f>
        <v>Y</v>
      </c>
      <c r="X222" s="210">
        <f t="shared" si="119"/>
        <v>589</v>
      </c>
      <c r="Y222" s="210">
        <f t="shared" si="117"/>
        <v>3.0095000000000001</v>
      </c>
      <c r="Z222" s="210">
        <f t="shared" si="118"/>
        <v>5.9016000000000002</v>
      </c>
      <c r="AA222" s="210">
        <f t="shared" si="108"/>
        <v>2.8921000000000001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83">
        <f t="shared" si="109"/>
        <v>901</v>
      </c>
      <c r="AE222" s="77" t="str">
        <f t="shared" si="110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222" s="74" t="str">
        <f t="shared" si="111"/>
        <v>"C:\Program Files (x86)\AstroGrep\AstroGrep.exe" /e /r /s /spath="%USERPROFILE%\AppData\Local\Temp\OnboardLogs" /stypes="app*4014*20170914*" /stext=" 11:.+((SYSTEM_STATE.+slice.+state.+changed )|(ment ac)|(multiple cpu faults)|(system.+state.+changed )|(\[timeout)|(PRM\|1\|D)|(kpr)|(kdp)|(train st.+moving)|(\|lc)|(penalty))"</v>
      </c>
      <c r="AG222" s="186" t="str">
        <f t="shared" si="112"/>
        <v>Other</v>
      </c>
      <c r="AH222" s="78" t="str">
        <f t="shared" si="113"/>
        <v>"%USERPROFILE%\Documents\GitHub\eaglep3\Utilities\RefineRTDCRunTimes.py" --tripid 901-14 --locoid 4014 --swversion DE.1.0.9.0 --startMP 300:30095 --initTime 2017-09-14T04:43:28 --startdatetime 2017-09-14T04:53:26 --delay 70 --endMP 300:59016 --enddatetime 2017-09-14T05:01:59 --enforcementcount 1 &gt;&gt;C:\Users\stu\Documents\GitHub\eaglep3-reporting\EC\2017-09-14-refined-times.txt</v>
      </c>
      <c r="AI222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{"issue":{"subject":"","project_id":79,"tracker_id":40,"status_id":1,"priority_id":2,"assigned_to_id":338,"start_date":"2017-09-14","description":"","custom_fields":[{"id":1,"name":"Subdivision","value":"Other"},{"id":4,"name":"Milepost","value":"5.9016"},{"id":17,"name":"Train ID","value":"901-14"},{"id":16,"name":"Locomotive ID","value":"4014"},{"id":130,"name":"Impact","value":""},{"id":150,"name":"Time of Event (Mountain Time)","value":"05:01:59"},{"id":151,"name":"Denver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15"/>
        <v>start /low /b %USERPROFILE%\Documents\GitHub\eaglep3\Utilities\DownloadLogsFromS3.py --loco 4014 --day 2017-09-14</v>
      </c>
      <c r="AN222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11:01:59"},{"id":29,"name":"Sharepoint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641</v>
      </c>
      <c r="B223" s="7">
        <v>4033</v>
      </c>
      <c r="C223" s="21" t="s">
        <v>197</v>
      </c>
      <c r="D223" s="21" t="s">
        <v>979</v>
      </c>
      <c r="E223" s="13">
        <v>42992.234849537039</v>
      </c>
      <c r="F223" s="13">
        <v>42992.238125000003</v>
      </c>
      <c r="G223" s="7">
        <v>67</v>
      </c>
      <c r="H223" s="21" t="s">
        <v>980</v>
      </c>
      <c r="I223" s="13">
        <v>42992.244756944441</v>
      </c>
      <c r="J223" s="7">
        <v>1</v>
      </c>
      <c r="K223" s="89" t="str">
        <f t="shared" si="104"/>
        <v>4033/4034</v>
      </c>
      <c r="L223" s="189" t="str">
        <f>VLOOKUP(A223,'Trips&amp;Operators'!$C$1:$G$99911,5,FALSE)</f>
        <v>FORTUNATO FRANK</v>
      </c>
      <c r="M223" s="6">
        <f t="shared" si="105"/>
        <v>6.6319444376858883E-3</v>
      </c>
      <c r="N223" s="7">
        <f t="shared" si="102"/>
        <v>9.5499999902676791</v>
      </c>
      <c r="O223" s="7"/>
      <c r="P223" s="7"/>
      <c r="Q223" s="22"/>
      <c r="R223" s="167"/>
      <c r="S223" s="217">
        <f t="shared" si="103"/>
        <v>1</v>
      </c>
      <c r="T223" s="175" t="str">
        <f t="shared" si="106"/>
        <v>Southbound</v>
      </c>
      <c r="U223" s="20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26" t="str">
        <f t="shared" si="107"/>
        <v>https://d0f6bd738d7f1b3e5a7ca70fe4ff75f0.us-east-1.aws.found.io/app/kibana#/discover/Steve-Slow-Train-Analysis-(2080s-and-2083s)?_g=(refreshInterval:(display:Off,pause:!f,section:0,value:0),time:(from:'2017-09-14T04:38:11-0600',mode:absolute,to:'2017-09-14T06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3" s="210" t="str">
        <f>IF(AA223&lt;VLOOKUP(AG223,Variables!$AC$3:$AD$8,2,FALSE),"Y","N")</f>
        <v>Y</v>
      </c>
      <c r="X223" s="210">
        <f t="shared" si="119"/>
        <v>1</v>
      </c>
      <c r="Y223" s="210">
        <f t="shared" si="117"/>
        <v>2.3411</v>
      </c>
      <c r="Z223" s="210">
        <f t="shared" si="118"/>
        <v>7.0599999999999996E-2</v>
      </c>
      <c r="AA223" s="210">
        <f t="shared" si="108"/>
        <v>2.2705000000000002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83">
        <f t="shared" si="109"/>
        <v>902</v>
      </c>
      <c r="AE223" s="77" t="str">
        <f t="shared" si="110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23" s="74" t="str">
        <f t="shared" si="111"/>
        <v>"C:\Program Files (x86)\AstroGrep\AstroGrep.exe" /e /r /s /spath="%USERPROFILE%\AppData\Local\Temp\OnboardLogs" /stypes="app*4033*20170914*" /stext=" 11:.+((SYSTEM_STATE.+slice.+state.+changed )|(ment ac)|(multiple cpu faults)|(system.+state.+changed )|(\[timeout)|(PRM\|1\|D)|(kpr)|(kdp)|(train st.+moving)|(\|lc)|(penalty))"</v>
      </c>
      <c r="AG223" s="186" t="str">
        <f t="shared" si="112"/>
        <v>Other</v>
      </c>
      <c r="AH223" s="78" t="str">
        <f t="shared" si="113"/>
        <v>"%USERPROFILE%\Documents\GitHub\eaglep3\Utilities\RefineRTDCRunTimes.py" --tripid 902-14 --locoid 4033 --swversion DE.1.0.9.0 --startMP 300:23411 --initTime 2017-09-14T05:38:11 --startdatetime 2017-09-14T05:42:54 --delay 67 --endMP 204:706 --enddatetime 2017-09-14T05:52:27 --enforcementcount 1 &gt;&gt;C:\Users\stu\Documents\GitHub\eaglep3-reporting\EC\2017-09-14-refined-times.txt</v>
      </c>
      <c r="AI223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{"issue":{"subject":"","project_id":79,"tracker_id":40,"status_id":1,"priority_id":2,"assigned_to_id":338,"start_date":"2017-09-14","description":"","custom_fields":[{"id":1,"name":"Subdivision","value":"Other"},{"id":4,"name":"Milepost","value":"0.0706"},{"id":17,"name":"Train ID","value":"902-14"},{"id":16,"name":"Locomotive ID","value":"4033"},{"id":130,"name":"Impact","value":""},{"id":150,"name":"Time of Event (Mountain Time)","value":"05:52:27"},{"id":151,"name":"Denver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5"/>
        <v>start /low /b %USERPROFILE%\Documents\GitHub\eaglep3\Utilities\DownloadLogsFromS3.py --loco 4033 --day 2017-09-14</v>
      </c>
      <c r="AN223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675</v>
      </c>
      <c r="B224" s="7">
        <v>4014</v>
      </c>
      <c r="C224" s="21" t="s">
        <v>197</v>
      </c>
      <c r="D224" s="21" t="s">
        <v>981</v>
      </c>
      <c r="E224" s="13">
        <v>42992.352407407408</v>
      </c>
      <c r="F224" s="13">
        <v>42992.353668981479</v>
      </c>
      <c r="G224" s="7">
        <v>55</v>
      </c>
      <c r="H224" s="21" t="s">
        <v>982</v>
      </c>
      <c r="I224" s="13">
        <v>42992.36136574074</v>
      </c>
      <c r="J224" s="7">
        <v>1</v>
      </c>
      <c r="K224" s="89" t="str">
        <f t="shared" si="104"/>
        <v>4013/4014</v>
      </c>
      <c r="L224" s="189" t="str">
        <f>VLOOKUP(A224,'Trips&amp;Operators'!$C$1:$G$99911,5,FALSE)</f>
        <v>DAVIS WENDY</v>
      </c>
      <c r="M224" s="6">
        <f t="shared" si="105"/>
        <v>7.6967592613073066E-3</v>
      </c>
      <c r="N224" s="7">
        <f t="shared" si="102"/>
        <v>11.083333336282521</v>
      </c>
      <c r="O224" s="7"/>
      <c r="P224" s="7"/>
      <c r="Q224" s="22"/>
      <c r="R224" s="167"/>
      <c r="S224" s="217">
        <f t="shared" si="103"/>
        <v>1</v>
      </c>
      <c r="T224" s="175" t="str">
        <f t="shared" si="106"/>
        <v>NorthBound</v>
      </c>
      <c r="U224" s="20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26" t="str">
        <f t="shared" si="107"/>
        <v>https://d0f6bd738d7f1b3e5a7ca70fe4ff75f0.us-east-1.aws.found.io/app/kibana#/discover/Steve-Slow-Train-Analysis-(2080s-and-2083s)?_g=(refreshInterval:(display:Off,pause:!f,section:0,value:0),time:(from:'2017-09-14T07:27:28-0600',mode:absolute,to:'2017-09-14T09:40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10" t="str">
        <f>IF(AA224&lt;VLOOKUP(AG224,Variables!$AC$3:$AD$8,2,FALSE),"Y","N")</f>
        <v>Y</v>
      </c>
      <c r="X224" s="210">
        <f t="shared" si="119"/>
        <v>1</v>
      </c>
      <c r="Y224" s="210">
        <f t="shared" si="117"/>
        <v>4.5900000000000003E-2</v>
      </c>
      <c r="Z224" s="210">
        <f t="shared" si="118"/>
        <v>2.4243000000000001</v>
      </c>
      <c r="AA224" s="210">
        <f t="shared" si="108"/>
        <v>2.3784000000000001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83">
        <f t="shared" si="109"/>
        <v>903</v>
      </c>
      <c r="AE224" s="77" t="str">
        <f t="shared" si="110"/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AF224" s="74" t="str">
        <f t="shared" si="111"/>
        <v>"C:\Program Files (x86)\AstroGrep\AstroGrep.exe" /e /r /s /spath="%USERPROFILE%\AppData\Local\Temp\OnboardLogs" /stypes="app*4014*20170914*" /stext=" 14:.+((SYSTEM_STATE.+slice.+state.+changed )|(ment ac)|(multiple cpu faults)|(system.+state.+changed )|(\[timeout)|(PRM\|1\|D)|(kpr)|(kdp)|(train st.+moving)|(\|lc)|(penalty))"</v>
      </c>
      <c r="AG224" s="186" t="str">
        <f t="shared" si="112"/>
        <v>Other</v>
      </c>
      <c r="AH224" s="78" t="str">
        <f t="shared" si="113"/>
        <v>"%USERPROFILE%\Documents\GitHub\eaglep3\Utilities\RefineRTDCRunTimes.py" --tripid 903-14 --locoid 4014 --swversion DE.1.0.9.0 --startMP 204:459 --initTime 2017-09-14T08:27:28 --startdatetime 2017-09-14T08:29:17 --delay 55 --endMP 300:24243 --enddatetime 2017-09-14T08:40:22 --enforcementcount 1 &gt;&gt;C:\Users\stu\Documents\GitHub\eaglep3-reporting\EC\2017-09-14-refined-times.txt</v>
      </c>
      <c r="AI224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{"issue":{"subject":"","project_id":79,"tracker_id":40,"status_id":1,"priority_id":2,"assigned_to_id":338,"start_date":"2017-09-14","description":"","custom_fields":[{"id":1,"name":"Subdivision","value":"Other"},{"id":4,"name":"Milepost","value":"2.4243"},{"id":17,"name":"Train ID","value":"903-14"},{"id":16,"name":"Locomotive ID","value":"4014"},{"id":130,"name":"Impact","value":""},{"id":150,"name":"Time of Event (Mountain Time)","value":"08:40:22"},{"id":151,"name":"Denver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15"/>
        <v>start /low /b %USERPROFILE%\Documents\GitHub\eaglep3\Utilities\DownloadLogsFromS3.py --loco 4014 --day 2017-09-14</v>
      </c>
      <c r="AN224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14:40:22"},{"id":29,"name":"Sharepoint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737</v>
      </c>
      <c r="B225" s="7">
        <v>4013</v>
      </c>
      <c r="C225" s="21" t="s">
        <v>197</v>
      </c>
      <c r="D225" s="21" t="s">
        <v>983</v>
      </c>
      <c r="E225" s="13">
        <v>42992.640104166669</v>
      </c>
      <c r="F225" s="13">
        <v>42992.642974537041</v>
      </c>
      <c r="G225" s="7">
        <v>96</v>
      </c>
      <c r="H225" s="21" t="s">
        <v>490</v>
      </c>
      <c r="I225" s="13">
        <v>42992.648101851853</v>
      </c>
      <c r="J225" s="7">
        <v>1</v>
      </c>
      <c r="K225" s="89" t="str">
        <f t="shared" si="104"/>
        <v>4013/4014</v>
      </c>
      <c r="L225" s="189" t="str">
        <f>VLOOKUP(A225,'Trips&amp;Operators'!$C$1:$G$99911,5,FALSE)</f>
        <v>DUNCAN SHEILA</v>
      </c>
      <c r="M225" s="6">
        <f t="shared" si="105"/>
        <v>5.1273148128530011E-3</v>
      </c>
      <c r="N225" s="7">
        <f t="shared" si="102"/>
        <v>7.3833333305083215</v>
      </c>
      <c r="O225" s="7"/>
      <c r="P225" s="7"/>
      <c r="Q225" s="22"/>
      <c r="R225" s="167"/>
      <c r="S225" s="217">
        <f t="shared" si="103"/>
        <v>1</v>
      </c>
      <c r="T225" s="175" t="str">
        <f t="shared" si="106"/>
        <v>Southbound</v>
      </c>
      <c r="U225" s="20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26" t="str">
        <f t="shared" si="107"/>
        <v>https://d0f6bd738d7f1b3e5a7ca70fe4ff75f0.us-east-1.aws.found.io/app/kibana#/discover/Steve-Slow-Train-Analysis-(2080s-and-2083s)?_g=(refreshInterval:(display:Off,pause:!f,section:0,value:0),time:(from:'2017-09-14T14:21:45-0600',mode:absolute,to:'2017-09-14T16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210" t="str">
        <f>IF(AA225&lt;VLOOKUP(AG225,Variables!$AC$3:$AD$8,2,FALSE),"Y","N")</f>
        <v>Y</v>
      </c>
      <c r="X225" s="210">
        <f t="shared" si="119"/>
        <v>1</v>
      </c>
      <c r="Y225" s="210">
        <f t="shared" si="117"/>
        <v>2.3285</v>
      </c>
      <c r="Z225" s="210">
        <f t="shared" si="118"/>
        <v>7.0300000000000001E-2</v>
      </c>
      <c r="AA225" s="210">
        <f t="shared" si="108"/>
        <v>2.2582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83">
        <f t="shared" si="109"/>
        <v>904</v>
      </c>
      <c r="AE225" s="77" t="str">
        <f t="shared" si="110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225" s="74" t="str">
        <f t="shared" si="111"/>
        <v>"C:\Program Files (x86)\AstroGrep\AstroGrep.exe" /e /r /s /spath="%USERPROFILE%\AppData\Local\Temp\OnboardLogs" /stypes="app*4013*20170914*" /stext=" 21:.+((SYSTEM_STATE.+slice.+state.+changed )|(ment ac)|(multiple cpu faults)|(system.+state.+changed )|(\[timeout)|(PRM\|1\|D)|(kpr)|(kdp)|(train st.+moving)|(\|lc)|(penalty))"</v>
      </c>
      <c r="AG225" s="186" t="str">
        <f t="shared" si="112"/>
        <v>Other</v>
      </c>
      <c r="AH225" s="78" t="str">
        <f t="shared" si="113"/>
        <v>"%USERPROFILE%\Documents\GitHub\eaglep3\Utilities\RefineRTDCRunTimes.py" --tripid 904-14 --locoid 4013 --swversion DE.1.0.9.0 --startMP 300:23285 --initTime 2017-09-14T15:21:45 --startdatetime 2017-09-14T15:25:53 --delay 96 --endMP 204:703 --enddatetime 2017-09-14T15:33:16 --enforcementcount 1 &gt;&gt;C:\Users\stu\Documents\GitHub\eaglep3-reporting\EC\2017-09-14-refined-times.txt</v>
      </c>
      <c r="AI225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{"issue":{"subject":"","project_id":79,"tracker_id":40,"status_id":1,"priority_id":2,"assigned_to_id":338,"start_date":"2017-09-14","description":"","custom_fields":[{"id":1,"name":"Subdivision","value":"Other"},{"id":4,"name":"Milepost","value":"0.0703"},{"id":17,"name":"Train ID","value":"904-14"},{"id":16,"name":"Locomotive ID","value":"4013"},{"id":130,"name":"Impact","value":""},{"id":150,"name":"Time of Event (Mountain Time)","value":"15:33:16"},{"id":151,"name":"Denver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15"/>
        <v>start /low /b %USERPROFILE%\Documents\GitHub\eaglep3\Utilities\DownloadLogsFromS3.py --loco 4013 --day 2017-09-14</v>
      </c>
      <c r="AN225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21:33:16"},{"id":29,"name":"Sharepoint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s="20" customFormat="1" x14ac:dyDescent="0.25">
      <c r="A226" s="32" t="s">
        <v>778</v>
      </c>
      <c r="B226" s="7">
        <v>4013</v>
      </c>
      <c r="C226" s="21" t="s">
        <v>197</v>
      </c>
      <c r="D226" s="21" t="s">
        <v>984</v>
      </c>
      <c r="E226" s="13">
        <v>42992.788437499999</v>
      </c>
      <c r="F226" s="13">
        <v>42992.790127314816</v>
      </c>
      <c r="G226" s="7">
        <v>52</v>
      </c>
      <c r="H226" s="21" t="s">
        <v>985</v>
      </c>
      <c r="I226" s="13">
        <v>42992.797534722224</v>
      </c>
      <c r="J226" s="7">
        <v>1</v>
      </c>
      <c r="K226" s="89" t="str">
        <f t="shared" si="104"/>
        <v>4013/4014</v>
      </c>
      <c r="L226" s="189" t="str">
        <f>VLOOKUP(A226,'Trips&amp;Operators'!$C$1:$G$99911,5,FALSE)</f>
        <v>DUNCAN SHEILA</v>
      </c>
      <c r="M226" s="6">
        <f t="shared" si="105"/>
        <v>7.4074074072996154E-3</v>
      </c>
      <c r="N226" s="7">
        <f t="shared" si="102"/>
        <v>10.666666666511446</v>
      </c>
      <c r="O226" s="7"/>
      <c r="P226" s="7"/>
      <c r="Q226" s="22"/>
      <c r="R226" s="167"/>
      <c r="S226" s="217">
        <f t="shared" si="103"/>
        <v>0</v>
      </c>
      <c r="T226" s="175" t="str">
        <f t="shared" si="106"/>
        <v>Southbound</v>
      </c>
      <c r="U226" s="20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26" t="str">
        <f t="shared" si="107"/>
        <v>https://d0f6bd738d7f1b3e5a7ca70fe4ff75f0.us-east-1.aws.found.io/app/kibana#/discover/Steve-Slow-Train-Analysis-(2080s-and-2083s)?_g=(refreshInterval:(display:Off,pause:!f,section:0,value:0),time:(from:'2017-09-14T17:55:21-0600',mode:absolute,to:'2017-09-14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210" t="str">
        <f>IF(AA226&lt;VLOOKUP(AG226,Variables!$AC$3:$AD$8,2,FALSE),"Y","N")</f>
        <v>Y</v>
      </c>
      <c r="X226" s="210">
        <f t="shared" si="119"/>
        <v>2</v>
      </c>
      <c r="Y226" s="210">
        <f t="shared" si="117"/>
        <v>5.8616999999999999</v>
      </c>
      <c r="Z226" s="210">
        <f t="shared" si="118"/>
        <v>2.8769999999999998</v>
      </c>
      <c r="AA226" s="210">
        <f t="shared" si="108"/>
        <v>2.9847000000000001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83">
        <f t="shared" si="109"/>
        <v>906</v>
      </c>
      <c r="AE226" s="77" t="str">
        <f t="shared" si="110"/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AF226" s="74" t="str">
        <f t="shared" si="111"/>
        <v>"C:\Program Files (x86)\AstroGrep\AstroGrep.exe" /e /r /s /spath="%USERPROFILE%\AppData\Local\Temp\OnboardLogs" /stypes="app*4013*20170915*" /stext=" 01:.+((SYSTEM_STATE.+slice.+state.+changed )|(ment ac)|(multiple cpu faults)|(system.+state.+changed )|(\[timeout)|(PRM\|1\|D)|(kpr)|(kdp)|(train st.+moving)|(\|lc)|(penalty))"</v>
      </c>
      <c r="AG226" s="186" t="str">
        <f t="shared" si="112"/>
        <v>Other</v>
      </c>
      <c r="AH226" s="78" t="str">
        <f t="shared" si="113"/>
        <v>"%USERPROFILE%\Documents\GitHub\eaglep3\Utilities\RefineRTDCRunTimes.py" --tripid 906-14 --locoid 4013 --swversion DE.1.0.9.0 --startMP 300:58617 --initTime 2017-09-14T18:55:21 --startdatetime 2017-09-14T18:57:47 --delay 52 --endMP 300:28770 --enddatetime 2017-09-14T19:08:27 --enforcementcount 1 &gt;&gt;C:\Users\stu\Documents\GitHub\eaglep3-reporting\EC\2017-09-14-refined-times.txt</v>
      </c>
      <c r="AI226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{"issue":{"subject":"","project_id":79,"tracker_id":40,"status_id":1,"priority_id":2,"assigned_to_id":338,"start_date":"2017-09-14","description":"","custom_fields":[{"id":1,"name":"Subdivision","value":"Other"},{"id":4,"name":"Milepost","value":"2.877"},{"id":17,"name":"Train ID","value":"906-14"},{"id":16,"name":"Locomotive ID","value":"4013"},{"id":130,"name":"Impact","value":""},{"id":150,"name":"Time of Event (Mountain Time)","value":"19:08:27"},{"id":151,"name":"Denver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5"/>
        <v>start /low /b %USERPROFILE%\Documents\GitHub\eaglep3\Utilities\DownloadLogsFromS3.py --loco 4013 --day 2017-09-14</v>
      </c>
      <c r="AN226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811</v>
      </c>
      <c r="B227" s="7">
        <v>4033</v>
      </c>
      <c r="C227" s="21" t="s">
        <v>197</v>
      </c>
      <c r="D227" s="21" t="s">
        <v>974</v>
      </c>
      <c r="E227" s="13">
        <v>42992.975729166668</v>
      </c>
      <c r="F227" s="13">
        <v>42992.976909722223</v>
      </c>
      <c r="G227" s="7">
        <v>54</v>
      </c>
      <c r="H227" s="21" t="s">
        <v>986</v>
      </c>
      <c r="I227" s="13">
        <v>42992.985752314817</v>
      </c>
      <c r="J227" s="7">
        <v>1</v>
      </c>
      <c r="K227" s="89" t="str">
        <f t="shared" si="104"/>
        <v>4033/4034</v>
      </c>
      <c r="L227" s="189" t="str">
        <f>VLOOKUP(A227,'Trips&amp;Operators'!$C$1:$G$99911,5,FALSE)</f>
        <v>DUNCAN SHEILA</v>
      </c>
      <c r="M227" s="6">
        <f t="shared" si="105"/>
        <v>8.8425925932824612E-3</v>
      </c>
      <c r="N227" s="7">
        <f t="shared" si="102"/>
        <v>12.733333334326744</v>
      </c>
      <c r="O227" s="7"/>
      <c r="P227" s="7"/>
      <c r="Q227" s="22"/>
      <c r="R227" s="167"/>
      <c r="S227" s="217">
        <f t="shared" si="103"/>
        <v>0</v>
      </c>
      <c r="T227" s="175" t="str">
        <f t="shared" si="106"/>
        <v>Southbound</v>
      </c>
      <c r="U227" s="20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26" t="str">
        <f t="shared" si="107"/>
        <v>https://d0f6bd738d7f1b3e5a7ca70fe4ff75f0.us-east-1.aws.found.io/app/kibana#/discover/Steve-Slow-Train-Analysis-(2080s-and-2083s)?_g=(refreshInterval:(display:Off,pause:!f,section:0,value:0),time:(from:'2017-09-14T22:25:03-0600',mode:absolute,to:'2017-09-15T00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7" s="210" t="str">
        <f>IF(AA227&lt;VLOOKUP(AG227,Variables!$AC$3:$AD$8,2,FALSE),"Y","N")</f>
        <v>Y</v>
      </c>
      <c r="X227" s="210">
        <f t="shared" si="119"/>
        <v>2</v>
      </c>
      <c r="Y227" s="210">
        <f t="shared" si="117"/>
        <v>5.8604000000000003</v>
      </c>
      <c r="Z227" s="210">
        <f t="shared" si="118"/>
        <v>2.8793000000000002</v>
      </c>
      <c r="AA227" s="210">
        <f t="shared" si="108"/>
        <v>2.9811000000000001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83">
        <f t="shared" si="109"/>
        <v>908</v>
      </c>
      <c r="AE227" s="77" t="str">
        <f t="shared" si="110"/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AF227" s="74" t="str">
        <f t="shared" si="111"/>
        <v>"C:\Program Files (x86)\AstroGrep\AstroGrep.exe" /e /r /s /spath="%USERPROFILE%\AppData\Local\Temp\OnboardLogs" /stypes="app*4033*20170915*" /stext=" 05:.+((SYSTEM_STATE.+slice.+state.+changed )|(ment ac)|(multiple cpu faults)|(system.+state.+changed )|(\[timeout)|(PRM\|1\|D)|(kpr)|(kdp)|(train st.+moving)|(\|lc)|(penalty))"</v>
      </c>
      <c r="AG227" s="186" t="str">
        <f t="shared" si="112"/>
        <v>Other</v>
      </c>
      <c r="AH227" s="78" t="str">
        <f t="shared" si="113"/>
        <v>"%USERPROFILE%\Documents\GitHub\eaglep3\Utilities\RefineRTDCRunTimes.py" --tripid 908-14 --locoid 4033 --swversion DE.1.0.9.0 --startMP 300:58604 --initTime 2017-09-14T23:25:03 --startdatetime 2017-09-14T23:26:45 --delay 54 --endMP 300:28793 --enddatetime 2017-09-14T23:39:29 --enforcementcount 1 &gt;&gt;C:\Users\stu\Documents\GitHub\eaglep3-reporting\EC\2017-09-14-refined-times.txt</v>
      </c>
      <c r="AI227" s="96" t="str">
        <f t="shared" si="114"/>
        <v>echo {"issue":{"subject":"","project_id":79,"tracker_id":40,"status_id":1,"priority_id":2,"assigned_to_id":338,"start_date":"2017-09-14","description":"","custom_fields":[{"id":1,"name":"Subdivision","value":"Other"},{"id":4,"name":"Milepost","value":"2.8793"},{"id":17,"name":"Train ID","value":"908-14"},{"id":16,"name":"Locomotive ID","value":"4033"},{"id":130,"name":"Impact","value":""},{"id":150,"name":"Time of Event (Mountain Time)","value":"23:39:29"},{"id":151,"name":"Denver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15"/>
        <v>start /low /b %USERPROFILE%\Documents\GitHub\eaglep3\Utilities\DownloadLogsFromS3.py --loco 4033 --day 2017-09-14</v>
      </c>
      <c r="AN227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699</v>
      </c>
      <c r="B228" s="7">
        <v>4066</v>
      </c>
      <c r="C228" s="21" t="s">
        <v>197</v>
      </c>
      <c r="D228" s="21" t="s">
        <v>902</v>
      </c>
      <c r="E228" s="13">
        <v>42992.483564814815</v>
      </c>
      <c r="F228" s="13">
        <v>42992.486215277779</v>
      </c>
      <c r="G228" s="7">
        <v>152</v>
      </c>
      <c r="H228" s="21" t="s">
        <v>903</v>
      </c>
      <c r="I228" s="13">
        <v>42992.495127314818</v>
      </c>
      <c r="J228" s="7">
        <v>1</v>
      </c>
      <c r="K228" s="89" t="str">
        <f t="shared" si="104"/>
        <v>4065/4066</v>
      </c>
      <c r="L228" s="189" t="str">
        <f>VLOOKUP(A228,'Trips&amp;Operators'!$C$1:$G$99911,5,FALSE)</f>
        <v>PAGE MARCUS</v>
      </c>
      <c r="M228" s="6">
        <f t="shared" si="105"/>
        <v>8.9120370394084603E-3</v>
      </c>
      <c r="N228" s="7">
        <f t="shared" si="102"/>
        <v>12.833333336748183</v>
      </c>
      <c r="O228" s="7"/>
      <c r="P228" s="7"/>
      <c r="Q228" s="22"/>
      <c r="R228" s="167" t="s">
        <v>1021</v>
      </c>
      <c r="S228" s="217">
        <f t="shared" si="103"/>
        <v>1</v>
      </c>
      <c r="T228" s="175" t="str">
        <f t="shared" si="106"/>
        <v>NorthBound</v>
      </c>
      <c r="U228" s="20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26" t="str">
        <f t="shared" si="107"/>
        <v>https://d0f6bd738d7f1b3e5a7ca70fe4ff75f0.us-east-1.aws.found.io/app/kibana#/discover/Steve-Slow-Train-Analysis-(2080s-and-2083s)?_g=(refreshInterval:(display:Off,pause:!f,section:0,value:0),time:(from:'2017-09-14T10:36:20-0600',mode:absolute,to:'2017-09-14T12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8" s="210" t="str">
        <f>IF(AA228&lt;VLOOKUP(AG228,Variables!$AC$3:$AD$8,2,FALSE),"Y","N")</f>
        <v>Y</v>
      </c>
      <c r="X228" s="210">
        <f t="shared" si="119"/>
        <v>-857</v>
      </c>
      <c r="Y228" s="210">
        <f t="shared" si="117"/>
        <v>3.32E-2</v>
      </c>
      <c r="Z228" s="210">
        <f t="shared" si="118"/>
        <v>2.4239000000000002</v>
      </c>
      <c r="AA228" s="210">
        <f t="shared" si="108"/>
        <v>2.3907000000000003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83">
        <f t="shared" si="109"/>
        <v>51</v>
      </c>
      <c r="AE228" s="77" t="str">
        <f t="shared" si="110"/>
        <v>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 &amp; aws s3 cp s3://rtdc.mdm.uploadarchive.raw/RTDC4066/ "%USERPROFILE%\AppData\Local\Temp\OnboardLogs"\RTDC4066\2017-09-15 --exclude "*" --recursive --include "*20170915*" &amp; "%USERPROFILE%\Documents\GitHub\mrs-test-scripts\Headless Mode &amp; Sideloading\WalkAndUnGZ.bat" "%USERPROFILE%\AppData\Local\Temp\OnboardLogs"\RTDC4066\2017-09-15</v>
      </c>
      <c r="AF228" s="74" t="str">
        <f t="shared" si="111"/>
        <v>"C:\Program Files (x86)\AstroGrep\AstroGrep.exe" /e /r /s /spath="%USERPROFILE%\AppData\Local\Temp\OnboardLogs" /stypes="app*4066*20170914*" /stext=" 17:.+((SYSTEM_STATE.+slice.+state.+changed )|(ment ac)|(multiple cpu faults)|(system.+state.+changed )|(\[timeout)|(PRM\|1\|D)|(kpr)|(kdp)|(train st.+moving)|(\|lc)|(penalty))"</v>
      </c>
      <c r="AG228" s="186" t="str">
        <f t="shared" si="112"/>
        <v>Shuttle/Test</v>
      </c>
      <c r="AH228" s="78" t="str">
        <f t="shared" si="113"/>
        <v>"%USERPROFILE%\Documents\GitHub\eaglep3\Utilities\RefineRTDCRunTimes.py" --tripid 51-14 --locoid 4066 --swversion DE.1.0.9.0 --startMP 204:332 --initTime 2017-09-14T11:36:20 --startdatetime 2017-09-14T11:40:09 --delay 152 --endMP 300:24239 --enddatetime 2017-09-14T11:52:59 --enforcementcount 1 &gt;&gt;C:\Users\stu\Documents\GitHub\eaglep3-reporting\EC\2017-09-14-refined-times.txt</v>
      </c>
      <c r="AI228" s="96" t="str">
        <f t="shared" si="114"/>
        <v>echo {"issue":{"subject":"No southbound init attempts (no button presses) in 12:00 timeframe - 53857","project_id":79,"tracker_id":40,"status_id":1,"priority_id":2,"assigned_to_id":338,"start_date":"2017-09-14","description":"","custom_fields":[{"id":1,"name":"Subdivision","value":"Shuttle/Test"},{"id":4,"name":"Milepost","value":"2.4239"},{"id":17,"name":"Train ID","value":"51-14"},{"id":16,"name":"Locomotive ID","value":"4066"},{"id":130,"name":"Impact","value":""},{"id":150,"name":"Time of Event (Mountain Time)","value":"11:52:59"},{"id":151,"name":"Denver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5"/>
        <v>start /low /b %USERPROFILE%\Documents\GitHub\eaglep3\Utilities\DownloadLogsFromS3.py --loco 4066 --day 2017-09-14</v>
      </c>
      <c r="AN228" s="151" t="str">
        <f t="shared" si="116"/>
        <v>echo {"issue":{"subject":"No southbound init attempts (no button presses) in 12:00 timeframe - 53857","project_id":30,"tracker_id":4,"status_id":1,"priority_id":1,"assigned_to_id":10,"start_date":"2017-09-14","description":"","custom_fields":[{"id":30,"name":"Category","value":"Issue"},{"id":3,"name":"Functional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618</v>
      </c>
      <c r="B229" s="7">
        <v>4003</v>
      </c>
      <c r="C229" s="21" t="s">
        <v>197</v>
      </c>
      <c r="D229" s="21" t="s">
        <v>904</v>
      </c>
      <c r="E229" s="13">
        <v>42992.140127314815</v>
      </c>
      <c r="F229" s="13">
        <v>42992.141701388886</v>
      </c>
      <c r="G229" s="7">
        <v>80</v>
      </c>
      <c r="H229" s="21" t="s">
        <v>905</v>
      </c>
      <c r="I229" s="13">
        <v>42992.142777777779</v>
      </c>
      <c r="J229" s="7">
        <v>1</v>
      </c>
      <c r="K229" s="89" t="str">
        <f t="shared" si="104"/>
        <v>4003/4004</v>
      </c>
      <c r="L229" s="189" t="str">
        <f>VLOOKUP(A229,'Trips&amp;Operators'!$C$1:$G$99911,5,FALSE)</f>
        <v>SPECTOR MICHAEL</v>
      </c>
      <c r="M229" s="6">
        <f t="shared" si="105"/>
        <v>1.0763888931251131E-3</v>
      </c>
      <c r="N229" s="7">
        <f t="shared" si="102"/>
        <v>1.5500000061001629</v>
      </c>
      <c r="O229" s="7"/>
      <c r="P229" s="7"/>
      <c r="Q229" s="22"/>
      <c r="R229" s="167"/>
      <c r="S229" s="217">
        <f t="shared" si="103"/>
        <v>0</v>
      </c>
      <c r="T229" s="175" t="str">
        <f t="shared" si="106"/>
        <v>Southbound</v>
      </c>
      <c r="U229" s="20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26" t="str">
        <f t="shared" si="107"/>
        <v>https://d0f6bd738d7f1b3e5a7ca70fe4ff75f0.us-east-1.aws.found.io/app/kibana#/discover/Steve-Slow-Train-Analysis-(2080s-and-2083s)?_g=(refreshInterval:(display:Off,pause:!f,section:0,value:0),time:(from:'2017-09-14T02:21:47-0600',mode:absolute,to:'2017-09-14T04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9" s="210" t="str">
        <f>IF(AA229&lt;VLOOKUP(AG229,Variables!$AC$3:$AD$8,2,FALSE),"Y","N")</f>
        <v>Y</v>
      </c>
      <c r="X229" s="210">
        <f t="shared" si="119"/>
        <v>1</v>
      </c>
      <c r="Y229" s="210">
        <f t="shared" si="117"/>
        <v>0.32129999999999997</v>
      </c>
      <c r="Z229" s="210">
        <f t="shared" si="118"/>
        <v>0.1169</v>
      </c>
      <c r="AA229" s="210">
        <f t="shared" si="108"/>
        <v>0.20439999999999997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83">
        <f t="shared" si="109"/>
        <v>52</v>
      </c>
      <c r="AE229" s="77" t="str">
        <f t="shared" si="110"/>
        <v>aws s3 cp s3://rtdc.mdm.uploadarchive.raw/RTDC4003/ "%USERPROFILE%\AppData\Local\Temp\OnboardLogs"\RTDC4003\2017-09-14 --exclude "*" --recursive --include "*20170914*" &amp; "%USERPROFILE%\Documents\GitHub\mrs-test-scripts\Headless Mode &amp; Sideloading\WalkAndUnGZ.bat" "%USERPROFILE%\AppData\Local\Temp\OnboardLogs"\RTDC4003\2017-09-14 &amp; aws s3 cp s3://rtdc.mdm.uploadarchive.raw/RTDC4003/ "%USERPROFILE%\AppData\Local\Temp\OnboardLogs"\RTDC4003\2017-09-15 --exclude "*" --recursive --include "*20170915*" &amp; "%USERPROFILE%\Documents\GitHub\mrs-test-scripts\Headless Mode &amp; Sideloading\WalkAndUnGZ.bat" "%USERPROFILE%\AppData\Local\Temp\OnboardLogs"\RTDC4003\2017-09-15</v>
      </c>
      <c r="AF229" s="74" t="str">
        <f t="shared" si="111"/>
        <v>"C:\Program Files (x86)\AstroGrep\AstroGrep.exe" /e /r /s /spath="%USERPROFILE%\AppData\Local\Temp\OnboardLogs" /stypes="app*4003*20170914*" /stext=" 09:.+((SYSTEM_STATE.+slice.+state.+changed )|(ment ac)|(multiple cpu faults)|(system.+state.+changed )|(\[timeout)|(PRM\|1\|D)|(kpr)|(kdp)|(train st.+moving)|(\|lc)|(penalty))"</v>
      </c>
      <c r="AG229" s="186" t="str">
        <f t="shared" si="112"/>
        <v>Shuttle/Test</v>
      </c>
      <c r="AH229" s="78" t="str">
        <f t="shared" si="113"/>
        <v>"%USERPROFILE%\Documents\GitHub\eaglep3\Utilities\RefineRTDCRunTimes.py" --tripid 52-14 --locoid 4003 --swversion DE.1.0.9.0 --startMP 204:3213 --initTime 2017-09-14T03:21:47 --startdatetime 2017-09-14T03:24:03 --delay 80 --endMP 204:1169 --enddatetime 2017-09-14T03:25:36 --enforcementcount 1 &gt;&gt;C:\Users\stu\Documents\GitHub\eaglep3-reporting\EC\2017-09-14-refined-times.txt</v>
      </c>
      <c r="AI229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0.1169"},{"id":17,"name":"Train ID","value":"52-14"},{"id":16,"name":"Locomotive ID","value":"4003"},{"id":130,"name":"Impact","value":""},{"id":150,"name":"Time of Event (Mountain Time)","value":"03:25:36"},{"id":151,"name":"Denver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15"/>
        <v>start /low /b %USERPROFILE%\Documents\GitHub\eaglep3\Utilities\DownloadLogsFromS3.py --loco 4003 --day 2017-09-14</v>
      </c>
      <c r="AN229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09:25:36"},{"id":29,"name":"Sharepoint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588</v>
      </c>
      <c r="B230" s="7">
        <v>4004</v>
      </c>
      <c r="C230" s="21" t="s">
        <v>197</v>
      </c>
      <c r="D230" s="21" t="s">
        <v>906</v>
      </c>
      <c r="E230" s="13">
        <v>42992.129050925927</v>
      </c>
      <c r="F230" s="13">
        <v>42992.137870370374</v>
      </c>
      <c r="G230" s="7">
        <v>77</v>
      </c>
      <c r="H230" s="21" t="s">
        <v>907</v>
      </c>
      <c r="I230" s="13">
        <v>42992.138912037037</v>
      </c>
      <c r="J230" s="7">
        <v>1</v>
      </c>
      <c r="K230" s="89" t="str">
        <f t="shared" si="104"/>
        <v>4003/4004</v>
      </c>
      <c r="L230" s="189" t="str">
        <f>VLOOKUP(A230,'Trips&amp;Operators'!$C$1:$G$99911,5,FALSE)</f>
        <v>SPECTOR MICHAEL</v>
      </c>
      <c r="M230" s="6">
        <f t="shared" si="105"/>
        <v>1.0416666627861559E-3</v>
      </c>
      <c r="N230" s="7">
        <f t="shared" si="102"/>
        <v>1.4999999944120646</v>
      </c>
      <c r="O230" s="7"/>
      <c r="P230" s="7"/>
      <c r="Q230" s="22"/>
      <c r="R230" s="167"/>
      <c r="S230" s="217">
        <f t="shared" si="103"/>
        <v>0</v>
      </c>
      <c r="T230" s="175" t="str">
        <f t="shared" si="106"/>
        <v>NorthBound</v>
      </c>
      <c r="U230" s="20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26" t="str">
        <f t="shared" si="107"/>
        <v>https://d0f6bd738d7f1b3e5a7ca70fe4ff75f0.us-east-1.aws.found.io/app/kibana#/discover/Steve-Slow-Train-Analysis-(2080s-and-2083s)?_g=(refreshInterval:(display:Off,pause:!f,section:0,value:0),time:(from:'2017-09-14T02:05:50-0600',mode:absolute,to:'2017-09-14T04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0" s="210" t="str">
        <f>IF(AA230&lt;VLOOKUP(AG230,Variables!$AC$3:$AD$8,2,FALSE),"Y","N")</f>
        <v>Y</v>
      </c>
      <c r="X230" s="210">
        <f t="shared" si="119"/>
        <v>1</v>
      </c>
      <c r="Y230" s="210">
        <f t="shared" si="117"/>
        <v>4.1500000000000002E-2</v>
      </c>
      <c r="Z230" s="210">
        <f t="shared" si="118"/>
        <v>0.35620000000000002</v>
      </c>
      <c r="AA230" s="210">
        <f t="shared" si="108"/>
        <v>0.31470000000000004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83">
        <f t="shared" si="109"/>
        <v>53</v>
      </c>
      <c r="AE230" s="77" t="str">
        <f t="shared" si="110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230" s="74" t="str">
        <f t="shared" si="111"/>
        <v>"C:\Program Files (x86)\AstroGrep\AstroGrep.exe" /e /r /s /spath="%USERPROFILE%\AppData\Local\Temp\OnboardLogs" /stypes="app*4004*20170914*" /stext=" 09:.+((SYSTEM_STATE.+slice.+state.+changed )|(ment ac)|(multiple cpu faults)|(system.+state.+changed )|(\[timeout)|(PRM\|1\|D)|(kpr)|(kdp)|(train st.+moving)|(\|lc)|(penalty))"</v>
      </c>
      <c r="AG230" s="186" t="str">
        <f t="shared" si="112"/>
        <v>Shuttle/Test</v>
      </c>
      <c r="AH230" s="78" t="str">
        <f t="shared" si="113"/>
        <v>"%USERPROFILE%\Documents\GitHub\eaglep3\Utilities\RefineRTDCRunTimes.py" --tripid 53-14 --locoid 4004 --swversion DE.1.0.9.0 --startMP 204:415 --initTime 2017-09-14T03:05:50 --startdatetime 2017-09-14T03:18:32 --delay 77 --endMP 204:3562 --enddatetime 2017-09-14T03:20:02 --enforcementcount 1 &gt;&gt;C:\Users\stu\Documents\GitHub\eaglep3-reporting\EC\2017-09-14-refined-times.txt</v>
      </c>
      <c r="AI230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0.3562"},{"id":17,"name":"Train ID","value":"53-14"},{"id":16,"name":"Locomotive ID","value":"4004"},{"id":130,"name":"Impact","value":""},{"id":150,"name":"Time of Event (Mountain Time)","value":"03:20:02"},{"id":151,"name":"Denver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5"/>
        <v>start /low /b %USERPROFILE%\Documents\GitHub\eaglep3\Utilities\DownloadLogsFromS3.py --loco 4004 --day 2017-09-14</v>
      </c>
      <c r="AN230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588</v>
      </c>
      <c r="B231" s="7">
        <v>4065</v>
      </c>
      <c r="C231" s="21" t="s">
        <v>197</v>
      </c>
      <c r="D231" s="21" t="s">
        <v>908</v>
      </c>
      <c r="E231" s="13">
        <v>42992.447048611109</v>
      </c>
      <c r="F231" s="13">
        <v>42992.451840277776</v>
      </c>
      <c r="G231" s="7">
        <v>58</v>
      </c>
      <c r="H231" s="21">
        <v>8.5222222222222221</v>
      </c>
      <c r="I231" s="13">
        <v>42992.458912037036</v>
      </c>
      <c r="J231" s="7">
        <v>1</v>
      </c>
      <c r="K231" s="89" t="str">
        <f t="shared" si="104"/>
        <v>4065/4066</v>
      </c>
      <c r="L231" s="189" t="str">
        <f>VLOOKUP(A231,'Trips&amp;Operators'!$C$1:$G$99911,5,FALSE)</f>
        <v>SPECTOR MICHAEL</v>
      </c>
      <c r="M231" s="6">
        <f t="shared" si="105"/>
        <v>7.07175926072523E-3</v>
      </c>
      <c r="N231" s="7">
        <f t="shared" si="102"/>
        <v>10.183333335444331</v>
      </c>
      <c r="O231" s="7"/>
      <c r="P231" s="7"/>
      <c r="Q231" s="22"/>
      <c r="R231" s="167"/>
      <c r="S231" s="217">
        <f t="shared" si="103"/>
        <v>0</v>
      </c>
      <c r="T231" s="175" t="str">
        <f t="shared" si="106"/>
        <v>NorthBound</v>
      </c>
      <c r="U231" s="20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26" t="str">
        <f t="shared" si="107"/>
        <v>https://d0f6bd738d7f1b3e5a7ca70fe4ff75f0.us-east-1.aws.found.io/app/kibana#/discover/Steve-Slow-Train-Analysis-(2080s-and-2083s)?_g=(refreshInterval:(display:Off,pause:!f,section:0,value:0),time:(from:'2017-09-14T09:43:45-0600',mode:absolute,to:'2017-09-14T12:00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1" s="210" t="str">
        <f>IF(AA231&lt;VLOOKUP(AG231,Variables!$AC$3:$AD$8,2,FALSE),"Y","N")</f>
        <v>N</v>
      </c>
      <c r="X231" s="210">
        <f t="shared" si="119"/>
        <v>0</v>
      </c>
      <c r="Y231" s="210">
        <f t="shared" si="117"/>
        <v>2.3618000000000001</v>
      </c>
      <c r="Z231" s="210">
        <f t="shared" si="118"/>
        <v>22222222.222199999</v>
      </c>
      <c r="AA231" s="210">
        <f t="shared" si="108"/>
        <v>22222219.860399999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83">
        <f t="shared" si="109"/>
        <v>53</v>
      </c>
      <c r="AE231" s="77" t="str">
        <f t="shared" si="110"/>
        <v>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 &amp; aws s3 cp s3://rtdc.mdm.uploadarchive.raw/RTDC4065/ "%USERPROFILE%\AppData\Local\Temp\OnboardLogs"\RTDC4065\2017-09-15 --exclude "*" --recursive --include "*20170915*" &amp; "%USERPROFILE%\Documents\GitHub\mrs-test-scripts\Headless Mode &amp; Sideloading\WalkAndUnGZ.bat" "%USERPROFILE%\AppData\Local\Temp\OnboardLogs"\RTDC4065\2017-09-15</v>
      </c>
      <c r="AF231" s="74" t="str">
        <f t="shared" si="111"/>
        <v>"C:\Program Files (x86)\AstroGrep\AstroGrep.exe" /e /r /s /spath="%USERPROFILE%\AppData\Local\Temp\OnboardLogs" /stypes="app*4065*20170914*" /stext=" 17:.+((SYSTEM_STATE.+slice.+state.+changed )|(ment ac)|(multiple cpu faults)|(system.+state.+changed )|(\[timeout)|(PRM\|1\|D)|(kpr)|(kdp)|(train st.+moving)|(\|lc)|(penalty))"</v>
      </c>
      <c r="AG231" s="186" t="str">
        <f t="shared" si="112"/>
        <v>Shuttle/Test</v>
      </c>
      <c r="AH231" s="78" t="str">
        <f t="shared" si="113"/>
        <v>"%USERPROFILE%\Documents\GitHub\eaglep3\Utilities\RefineRTDCRunTimes.py" --tripid 53-14 --locoid 4065 --swversion DE.1.0.9.0 --startMP 300:23618 --initTime 2017-09-14T10:43:45 --startdatetime 2017-09-14T10:50:39 --delay 58 --endMP 8.52222222222222 --enddatetime 2017-09-14T11:00:50 --enforcementcount 1 &gt;&gt;C:\Users\stu\Documents\GitHub\eaglep3-reporting\EC\2017-09-14-refined-times.txt</v>
      </c>
      <c r="AI231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22222222.2222"},{"id":17,"name":"Train ID","value":"53-14"},{"id":16,"name":"Locomotive ID","value":"4065"},{"id":130,"name":"Impact","value":""},{"id":150,"name":"Time of Event (Mountain Time)","value":"11:00:50"},{"id":151,"name":"Denver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15"/>
        <v>start /low /b %USERPROFILE%\Documents\GitHub\eaglep3\Utilities\DownloadLogsFromS3.py --loco 4065 --day 2017-09-14</v>
      </c>
      <c r="AN231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17:00:50"},{"id":29,"name":"Sharepoint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819</v>
      </c>
      <c r="B232" s="7">
        <v>4036</v>
      </c>
      <c r="C232" s="21" t="s">
        <v>197</v>
      </c>
      <c r="D232" s="21" t="s">
        <v>909</v>
      </c>
      <c r="E232" s="13">
        <v>42993.081203703703</v>
      </c>
      <c r="F232" s="13">
        <v>42993.087523148148</v>
      </c>
      <c r="G232" s="7">
        <v>60</v>
      </c>
      <c r="H232" s="21" t="s">
        <v>892</v>
      </c>
      <c r="I232" s="13">
        <v>25568.708333333332</v>
      </c>
      <c r="J232" s="7">
        <v>1</v>
      </c>
      <c r="K232" s="89" t="str">
        <f t="shared" si="104"/>
        <v>4035/4036</v>
      </c>
      <c r="L232" s="189" t="str">
        <f>VLOOKUP(A232,'Trips&amp;Operators'!$C$1:$G$99911,5,FALSE)</f>
        <v>LOPES KIMBERLY</v>
      </c>
      <c r="M232" s="6">
        <f t="shared" si="105"/>
        <v>-17424.379189814816</v>
      </c>
      <c r="N232" s="7">
        <f t="shared" si="102"/>
        <v>-25091106.033333335</v>
      </c>
      <c r="O232" s="7"/>
      <c r="P232" s="7"/>
      <c r="Q232" s="22"/>
      <c r="R232" s="167"/>
      <c r="S232" s="217">
        <f t="shared" si="103"/>
        <v>1</v>
      </c>
      <c r="T232" s="175" t="str">
        <f t="shared" si="106"/>
        <v>NorthBound</v>
      </c>
      <c r="U232" s="20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26" t="str">
        <f t="shared" si="107"/>
        <v>https://d0f6bd738d7f1b3e5a7ca70fe4ff75f0.us-east-1.aws.found.io/app/kibana#/discover/Steve-Slow-Train-Analysis-(2080s-and-2083s)?_g=(refreshInterval:(display:Off,pause:!f,section:0,value:0),time:(from:'2017-09-15T00:56:56-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2" s="210" t="str">
        <f>IF(AA232&lt;VLOOKUP(AG232,Variables!$AC$3:$AD$8,2,FALSE),"Y","N")</f>
        <v>Y</v>
      </c>
      <c r="X232" s="210">
        <f t="shared" si="119"/>
        <v>2</v>
      </c>
      <c r="Y232" s="210">
        <f t="shared" si="117"/>
        <v>5.1700000000000003E-2</v>
      </c>
      <c r="Z232" s="210">
        <f t="shared" si="118"/>
        <v>2.3308</v>
      </c>
      <c r="AA232" s="210">
        <f t="shared" si="108"/>
        <v>2.2791000000000001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83">
        <f t="shared" si="109"/>
        <v>55</v>
      </c>
      <c r="AE232" s="77" t="str">
        <f t="shared" si="110"/>
        <v>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 &amp; 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</v>
      </c>
      <c r="AF232" s="74" t="str">
        <f t="shared" si="111"/>
        <v>"C:\Program Files (x86)\AstroGrep\AstroGrep.exe" /e /r /s /spath="%USERPROFILE%\AppData\Local\Temp\OnboardLogs" /stypes="app*4036*19691231*" /stext=" 23:.+((SYSTEM_STATE.+slice.+state.+changed )|(ment ac)|(multiple cpu faults)|(system.+state.+changed )|(\[timeout)|(PRM\|1\|D)|(kpr)|(kdp)|(train st.+moving)|(\|lc)|(penalty))"</v>
      </c>
      <c r="AG232" s="186" t="str">
        <f t="shared" si="112"/>
        <v>Shuttle/Test</v>
      </c>
      <c r="AH232" s="78" t="str">
        <f t="shared" si="113"/>
        <v>"%USERPROFILE%\Documents\GitHub\eaglep3\Utilities\RefineRTDCRunTimes.py" --tripid 55-15 --locoid 4036 --swversion DE.1.0.9.0 --startMP 204:517 --initTime 2017-09-15T01:56:56 --startdatetime 2017-09-15T02:06:02 --delay 60 --endMP 300:23308 --enddatetime 1969-12-31T17:00:00 --enforcementcount 1 &gt;&gt;C:\Users\stu\Documents\GitHub\eaglep3-reporting\EC\2017-09-14-refined-times.txt</v>
      </c>
      <c r="AI232" s="96" t="str">
        <f t="shared" si="114"/>
        <v>echo {"issue":{"subject":"","project_id":79,"tracker_id":40,"status_id":1,"priority_id":2,"assigned_to_id":338,"start_date":"1969-12-31","description":"","custom_fields":[{"id":1,"name":"Subdivision","value":"Shuttle/Test"},{"id":4,"name":"Milepost","value":"2.3308"},{"id":17,"name":"Train ID","value":"55-15"},{"id":16,"name":"Locomotive ID","value":"4036"},{"id":130,"name":"Impact","value":""},{"id":150,"name":"Time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5"/>
        <v>start /low /b %USERPROFILE%\Documents\GitHub\eaglep3\Utilities\DownloadLogsFromS3.py --loco 4036 --day 2017-09-15</v>
      </c>
      <c r="AN232" s="151" t="str">
        <f t="shared" si="11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701</v>
      </c>
      <c r="B233" s="7">
        <v>4004</v>
      </c>
      <c r="C233" s="21" t="s">
        <v>197</v>
      </c>
      <c r="D233" s="21" t="s">
        <v>910</v>
      </c>
      <c r="E233" s="13">
        <v>42992.489583333336</v>
      </c>
      <c r="F233" s="13">
        <v>42992.539768518516</v>
      </c>
      <c r="G233" s="7">
        <v>495</v>
      </c>
      <c r="H233" s="21" t="s">
        <v>911</v>
      </c>
      <c r="I233" s="13">
        <v>42992.567476851851</v>
      </c>
      <c r="J233" s="7">
        <v>1</v>
      </c>
      <c r="K233" s="89" t="str">
        <f t="shared" si="104"/>
        <v>4003/4004</v>
      </c>
      <c r="L233" s="189" t="str">
        <f>VLOOKUP(A233,'Trips&amp;Operators'!$C$1:$G$99911,5,FALSE)</f>
        <v>NEWELL JAMES</v>
      </c>
      <c r="M233" s="6">
        <f t="shared" si="105"/>
        <v>2.7708333334885538E-2</v>
      </c>
      <c r="N233" s="7">
        <f t="shared" si="102"/>
        <v>39.900000002235174</v>
      </c>
      <c r="O233" s="7"/>
      <c r="P233" s="7"/>
      <c r="Q233" s="22"/>
      <c r="R233" s="167"/>
      <c r="S233" s="217">
        <f t="shared" si="103"/>
        <v>0</v>
      </c>
      <c r="T233" s="175" t="str">
        <f t="shared" si="106"/>
        <v>NorthBound</v>
      </c>
      <c r="U233" s="20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26" t="str">
        <f t="shared" si="107"/>
        <v>https://d0f6bd738d7f1b3e5a7ca70fe4ff75f0.us-east-1.aws.found.io/app/kibana#/discover/Steve-Slow-Train-Analysis-(2080s-and-2083s)?_g=(refreshInterval:(display:Off,pause:!f,section:0,value:0),time:(from:'2017-09-14T10:45:00-0600',mode:absolute,to:'2017-09-14T14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3" s="210" t="str">
        <f>IF(AA233&lt;VLOOKUP(AG233,Variables!$AC$3:$AD$8,2,FALSE),"Y","N")</f>
        <v>Y</v>
      </c>
      <c r="X233" s="210">
        <f t="shared" si="119"/>
        <v>12</v>
      </c>
      <c r="Y233" s="210">
        <f t="shared" si="117"/>
        <v>0.14899999999999999</v>
      </c>
      <c r="Z233" s="210">
        <f t="shared" si="118"/>
        <v>0.34050000000000002</v>
      </c>
      <c r="AA233" s="210">
        <f t="shared" si="108"/>
        <v>0.19150000000000003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83">
        <f t="shared" si="109"/>
        <v>67</v>
      </c>
      <c r="AE233" s="77" t="str">
        <f t="shared" si="110"/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AF233" s="74" t="str">
        <f t="shared" si="111"/>
        <v>"C:\Program Files (x86)\AstroGrep\AstroGrep.exe" /e /r /s /spath="%USERPROFILE%\AppData\Local\Temp\OnboardLogs" /stypes="app*4004*20170914*" /stext=" 19:.+((SYSTEM_STATE.+slice.+state.+changed )|(ment ac)|(multiple cpu faults)|(system.+state.+changed )|(\[timeout)|(PRM\|1\|D)|(kpr)|(kdp)|(train st.+moving)|(\|lc)|(penalty))"</v>
      </c>
      <c r="AG233" s="186" t="str">
        <f t="shared" si="112"/>
        <v>Shuttle/Test</v>
      </c>
      <c r="AH233" s="78" t="str">
        <f t="shared" si="113"/>
        <v>"%USERPROFILE%\Documents\GitHub\eaglep3\Utilities\RefineRTDCRunTimes.py" --tripid 67-14 --locoid 4004 --swversion DE.1.0.9.0 --startMP 204:1490 --initTime 2017-09-14T11:45:00 --startdatetime 2017-09-14T12:57:16 --delay 495 --endMP 204:3405 --enddatetime 2017-09-14T13:37:10 --enforcementcount 1 &gt;&gt;C:\Users\stu\Documents\GitHub\eaglep3-reporting\EC\2017-09-14-refined-times.txt</v>
      </c>
      <c r="AI233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0.3405"},{"id":17,"name":"Train ID","value":"67-14"},{"id":16,"name":"Locomotive ID","value":"4004"},{"id":130,"name":"Impact","value":""},{"id":150,"name":"Time of Event (Mountain Time)","value":"13:37:10"},{"id":151,"name":"Denver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15"/>
        <v>start /low /b %USERPROFILE%\Documents\GitHub\eaglep3\Utilities\DownloadLogsFromS3.py --loco 4004 --day 2017-09-14</v>
      </c>
      <c r="AN233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716</v>
      </c>
      <c r="B234" s="7">
        <v>4031</v>
      </c>
      <c r="C234" s="21" t="s">
        <v>197</v>
      </c>
      <c r="D234" s="21" t="s">
        <v>912</v>
      </c>
      <c r="E234" s="13">
        <v>42992.545023148145</v>
      </c>
      <c r="F234" s="13">
        <v>42992.546342592592</v>
      </c>
      <c r="G234" s="7">
        <v>57</v>
      </c>
      <c r="H234" s="21" t="s">
        <v>448</v>
      </c>
      <c r="I234" s="13">
        <v>42992.547256944446</v>
      </c>
      <c r="J234" s="7">
        <v>1</v>
      </c>
      <c r="K234" s="89" t="str">
        <f t="shared" si="104"/>
        <v>4031/4032</v>
      </c>
      <c r="L234" s="189" t="str">
        <f>VLOOKUP(A234,'Trips&amp;Operators'!$C$1:$G$99911,5,FALSE)</f>
        <v>NEWELL JAMES</v>
      </c>
      <c r="M234" s="6">
        <f t="shared" si="105"/>
        <v>9.1435185458976775E-4</v>
      </c>
      <c r="N234" s="7">
        <f t="shared" si="102"/>
        <v>1.3166666706092656</v>
      </c>
      <c r="O234" s="7"/>
      <c r="P234" s="7"/>
      <c r="Q234" s="22"/>
      <c r="R234" s="167"/>
      <c r="S234" s="217">
        <f t="shared" si="103"/>
        <v>0</v>
      </c>
      <c r="T234" s="175" t="str">
        <f t="shared" si="106"/>
        <v>NorthBound</v>
      </c>
      <c r="U234" s="204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26" t="str">
        <f t="shared" si="107"/>
        <v>https://d0f6bd738d7f1b3e5a7ca70fe4ff75f0.us-east-1.aws.found.io/app/kibana#/discover/Steve-Slow-Train-Analysis-(2080s-and-2083s)?_g=(refreshInterval:(display:Off,pause:!f,section:0,value:0),time:(from:'2017-09-14T12:04:50-0600',mode:absolute,to:'2017-09-14T14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4" s="210" t="str">
        <f>IF(AA234&lt;VLOOKUP(AG234,Variables!$AC$3:$AD$8,2,FALSE),"Y","N")</f>
        <v>Y</v>
      </c>
      <c r="X234" s="210">
        <f t="shared" si="119"/>
        <v>6</v>
      </c>
      <c r="Y234" s="210">
        <f t="shared" si="117"/>
        <v>0.29330000000000001</v>
      </c>
      <c r="Z234" s="210">
        <f t="shared" si="118"/>
        <v>1.54E-2</v>
      </c>
      <c r="AA234" s="210">
        <f t="shared" si="108"/>
        <v>0.27789999999999998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83">
        <f t="shared" si="109"/>
        <v>73</v>
      </c>
      <c r="AE234" s="77" t="str">
        <f t="shared" si="110"/>
        <v>aws s3 cp s3://rtdc.mdm.uploadarchive.raw/RTDC4031/ "%USERPROFILE%\AppData\Local\Temp\OnboardLogs"\RTDC4031\2017-09-14 --exclude "*" --recursive --include "*20170914*" &amp; "%USERPROFILE%\Documents\GitHub\mrs-test-scripts\Headless Mode &amp; Sideloading\WalkAndUnGZ.bat" "%USERPROFILE%\AppData\Local\Temp\OnboardLogs"\RTDC4031\2017-09-14 &amp; 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</v>
      </c>
      <c r="AF234" s="74" t="str">
        <f t="shared" si="111"/>
        <v>"C:\Program Files (x86)\AstroGrep\AstroGrep.exe" /e /r /s /spath="%USERPROFILE%\AppData\Local\Temp\OnboardLogs" /stypes="app*4031*20170914*" /stext=" 19:.+((SYSTEM_STATE.+slice.+state.+changed )|(ment ac)|(multiple cpu faults)|(system.+state.+changed )|(\[timeout)|(PRM\|1\|D)|(kpr)|(kdp)|(train st.+moving)|(\|lc)|(penalty))"</v>
      </c>
      <c r="AG234" s="186" t="str">
        <f t="shared" si="112"/>
        <v>Shuttle/Test</v>
      </c>
      <c r="AH234" s="78" t="str">
        <f t="shared" si="113"/>
        <v>"%USERPROFILE%\Documents\GitHub\eaglep3\Utilities\RefineRTDCRunTimes.py" --tripid 73-14 --locoid 4031 --swversion DE.1.0.9.0 --startMP 204:2933 --initTime 2017-09-14T13:04:50 --startdatetime 2017-09-14T13:06:44 --delay 57 --endMP 204:154 --enddatetime 2017-09-14T13:08:03 --enforcementcount 1 &gt;&gt;C:\Users\stu\Documents\GitHub\eaglep3-reporting\EC\2017-09-14-refined-times.txt</v>
      </c>
      <c r="AI234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0.0154"},{"id":17,"name":"Train ID","value":"73-14"},{"id":16,"name":"Locomotive ID","value":"4031"},{"id":130,"name":"Impact","value":""},{"id":150,"name":"Time of Event (Mountain Time)","value":"13:08:03"},{"id":151,"name":"Denver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5"/>
        <v>start /low /b %USERPROFILE%\Documents\GitHub\eaglep3\Utilities\DownloadLogsFromS3.py --loco 4031 --day 2017-09-14</v>
      </c>
      <c r="AN234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716</v>
      </c>
      <c r="B235" s="7">
        <v>4032</v>
      </c>
      <c r="C235" s="21" t="s">
        <v>197</v>
      </c>
      <c r="D235" s="21" t="s">
        <v>913</v>
      </c>
      <c r="E235" s="13">
        <v>42992.542083333334</v>
      </c>
      <c r="F235" s="13">
        <v>42992.546342592592</v>
      </c>
      <c r="G235" s="7">
        <v>57</v>
      </c>
      <c r="H235" s="21" t="s">
        <v>914</v>
      </c>
      <c r="I235" s="13">
        <v>42992.547256944446</v>
      </c>
      <c r="J235" s="7">
        <v>1</v>
      </c>
      <c r="K235" s="89" t="str">
        <f t="shared" si="104"/>
        <v>4031/4032</v>
      </c>
      <c r="L235" s="189" t="str">
        <f>VLOOKUP(A235,'Trips&amp;Operators'!$C$1:$G$99911,5,FALSE)</f>
        <v>NEWELL JAMES</v>
      </c>
      <c r="M235" s="6">
        <f t="shared" si="105"/>
        <v>9.1435185458976775E-4</v>
      </c>
      <c r="N235" s="7">
        <f t="shared" ref="N235:N244" si="120">24*60*SUM($M235:$M235)</f>
        <v>1.3166666706092656</v>
      </c>
      <c r="O235" s="7"/>
      <c r="P235" s="7"/>
      <c r="Q235" s="22"/>
      <c r="R235" s="167"/>
      <c r="S235" s="217">
        <f t="shared" ref="S235:S244" si="121">1/IF(AG235="EC",12,1)*SUM(U235:U235)</f>
        <v>0</v>
      </c>
      <c r="T235" s="175" t="str">
        <f t="shared" si="106"/>
        <v>NorthBound</v>
      </c>
      <c r="U235" s="204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26" t="str">
        <f t="shared" si="107"/>
        <v>https://d0f6bd738d7f1b3e5a7ca70fe4ff75f0.us-east-1.aws.found.io/app/kibana#/discover/Steve-Slow-Train-Analysis-(2080s-and-2083s)?_g=(refreshInterval:(display:Off,pause:!f,section:0,value:0),time:(from:'2017-09-14T12:00:36-0600',mode:absolute,to:'2017-09-14T14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5" s="210" t="str">
        <f>IF(AA235&lt;VLOOKUP(AG235,Variables!$AC$3:$AD$8,2,FALSE),"Y","N")</f>
        <v>Y</v>
      </c>
      <c r="X235" s="210">
        <f t="shared" si="119"/>
        <v>0</v>
      </c>
      <c r="Y235" s="210">
        <f t="shared" si="117"/>
        <v>0.14829999999999999</v>
      </c>
      <c r="Z235" s="210">
        <f t="shared" si="118"/>
        <v>0.32840000000000003</v>
      </c>
      <c r="AA235" s="210">
        <f t="shared" si="108"/>
        <v>0.18010000000000004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83">
        <f t="shared" si="109"/>
        <v>73</v>
      </c>
      <c r="AE235" s="77" t="str">
        <f t="shared" si="110"/>
        <v>aws s3 cp s3://rtdc.mdm.uploadarchive.raw/RTDC4032/ "%USERPROFILE%\AppData\Local\Temp\OnboardLogs"\RTDC4032\2017-09-14 --exclude "*" --recursive --include "*20170914*" &amp; "%USERPROFILE%\Documents\GitHub\mrs-test-scripts\Headless Mode &amp; Sideloading\WalkAndUnGZ.bat" "%USERPROFILE%\AppData\Local\Temp\OnboardLogs"\RTDC4032\2017-09-14 &amp; 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</v>
      </c>
      <c r="AF235" s="74" t="str">
        <f t="shared" si="111"/>
        <v>"C:\Program Files (x86)\AstroGrep\AstroGrep.exe" /e /r /s /spath="%USERPROFILE%\AppData\Local\Temp\OnboardLogs" /stypes="app*4032*20170914*" /stext=" 19:.+((SYSTEM_STATE.+slice.+state.+changed )|(ment ac)|(multiple cpu faults)|(system.+state.+changed )|(\[timeout)|(PRM\|1\|D)|(kpr)|(kdp)|(train st.+moving)|(\|lc)|(penalty))"</v>
      </c>
      <c r="AG235" s="186" t="str">
        <f t="shared" si="112"/>
        <v>Shuttle/Test</v>
      </c>
      <c r="AH235" s="78" t="str">
        <f t="shared" si="113"/>
        <v>"%USERPROFILE%\Documents\GitHub\eaglep3\Utilities\RefineRTDCRunTimes.py" --tripid 73-14 --locoid 4032 --swversion DE.1.0.9.0 --startMP 204:1483 --initTime 2017-09-14T13:00:36 --startdatetime 2017-09-14T13:06:44 --delay 57 --endMP 204:3284 --enddatetime 2017-09-14T13:08:03 --enforcementcount 1 &gt;&gt;C:\Users\stu\Documents\GitHub\eaglep3-reporting\EC\2017-09-14-refined-times.txt</v>
      </c>
      <c r="AI235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0.3284"},{"id":17,"name":"Train ID","value":"73-14"},{"id":16,"name":"Locomotive ID","value":"4032"},{"id":130,"name":"Impact","value":""},{"id":150,"name":"Time of Event (Mountain Time)","value":"13:08:03"},{"id":151,"name":"Denver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15"/>
        <v>start /low /b %USERPROFILE%\Documents\GitHub\eaglep3\Utilities\DownloadLogsFromS3.py --loco 4032 --day 2017-09-14</v>
      </c>
      <c r="AN235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19:08:03"},{"id":29,"name":"Sharepoint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716</v>
      </c>
      <c r="B236" s="7">
        <v>4060</v>
      </c>
      <c r="C236" s="21" t="s">
        <v>197</v>
      </c>
      <c r="D236" s="21" t="s">
        <v>915</v>
      </c>
      <c r="E236" s="13">
        <v>42992.662951388891</v>
      </c>
      <c r="F236" s="13">
        <v>42992.664652777778</v>
      </c>
      <c r="G236" s="7">
        <v>89</v>
      </c>
      <c r="H236" s="21" t="s">
        <v>549</v>
      </c>
      <c r="I236" s="13">
        <v>42992.674537037034</v>
      </c>
      <c r="J236" s="7">
        <v>1</v>
      </c>
      <c r="K236" s="89" t="str">
        <f t="shared" si="104"/>
        <v>4059/4060</v>
      </c>
      <c r="L236" s="189" t="str">
        <f>VLOOKUP(A236,'Trips&amp;Operators'!$C$1:$G$99911,5,FALSE)</f>
        <v>NEWELL JAMES</v>
      </c>
      <c r="M236" s="6">
        <f t="shared" si="105"/>
        <v>9.8842592560686171E-3</v>
      </c>
      <c r="N236" s="7">
        <f t="shared" si="120"/>
        <v>14.233333328738809</v>
      </c>
      <c r="O236" s="7"/>
      <c r="P236" s="7"/>
      <c r="Q236" s="22"/>
      <c r="R236" s="167"/>
      <c r="S236" s="217">
        <f t="shared" si="121"/>
        <v>1</v>
      </c>
      <c r="T236" s="175" t="str">
        <f t="shared" si="106"/>
        <v>NorthBound</v>
      </c>
      <c r="U236" s="204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26" t="str">
        <f t="shared" si="107"/>
        <v>https://d0f6bd738d7f1b3e5a7ca70fe4ff75f0.us-east-1.aws.found.io/app/kibana#/discover/Steve-Slow-Train-Analysis-(2080s-and-2083s)?_g=(refreshInterval:(display:Off,pause:!f,section:0,value:0),time:(from:'2017-09-14T14:54:39-0600',mode:absolute,to:'2017-09-14T17:11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10" t="str">
        <f>IF(AA236&lt;VLOOKUP(AG236,Variables!$AC$3:$AD$8,2,FALSE),"Y","N")</f>
        <v>Y</v>
      </c>
      <c r="X236" s="210">
        <f t="shared" si="119"/>
        <v>0</v>
      </c>
      <c r="Y236" s="210">
        <f t="shared" si="117"/>
        <v>3.2899999999999999E-2</v>
      </c>
      <c r="Z236" s="210">
        <f t="shared" si="118"/>
        <v>2.3306</v>
      </c>
      <c r="AA236" s="210">
        <f t="shared" si="108"/>
        <v>2.2976999999999999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83">
        <f t="shared" si="109"/>
        <v>73</v>
      </c>
      <c r="AE236" s="77" t="str">
        <f t="shared" si="110"/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AF236" s="74" t="str">
        <f t="shared" si="111"/>
        <v>"C:\Program Files (x86)\AstroGrep\AstroGrep.exe" /e /r /s /spath="%USERPROFILE%\AppData\Local\Temp\OnboardLogs" /stypes="app*4060*20170914*" /stext=" 22:.+((SYSTEM_STATE.+slice.+state.+changed )|(ment ac)|(multiple cpu faults)|(system.+state.+changed )|(\[timeout)|(PRM\|1\|D)|(kpr)|(kdp)|(train st.+moving)|(\|lc)|(penalty))"</v>
      </c>
      <c r="AG236" s="186" t="str">
        <f t="shared" si="112"/>
        <v>Shuttle/Test</v>
      </c>
      <c r="AH236" s="78" t="str">
        <f t="shared" si="113"/>
        <v>"%USERPROFILE%\Documents\GitHub\eaglep3\Utilities\RefineRTDCRunTimes.py" --tripid 73-14 --locoid 4060 --swversion DE.1.0.9.0 --startMP 204:329 --initTime 2017-09-14T15:54:39 --startdatetime 2017-09-14T15:57:06 --delay 89 --endMP 300:23306 --enddatetime 2017-09-14T16:11:20 --enforcementcount 1 &gt;&gt;C:\Users\stu\Documents\GitHub\eaglep3-reporting\EC\2017-09-14-refined-times.txt</v>
      </c>
      <c r="AI236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2.3306"},{"id":17,"name":"Train ID","value":"73-14"},{"id":16,"name":"Locomotive ID","value":"4060"},{"id":130,"name":"Impact","value":""},{"id":150,"name":"Time of Event (Mountain Time)","value":"16:11:20"},{"id":151,"name":"Denver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15"/>
        <v>start /low /b %USERPROFILE%\Documents\GitHub\eaglep3\Utilities\DownloadLogsFromS3.py --loco 4060 --day 2017-09-14</v>
      </c>
      <c r="AN236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22:11:20"},{"id":29,"name":"Sharepoint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612</v>
      </c>
      <c r="B237" s="7">
        <v>4026</v>
      </c>
      <c r="C237" s="21" t="s">
        <v>197</v>
      </c>
      <c r="D237" s="21" t="s">
        <v>918</v>
      </c>
      <c r="E237" s="13">
        <v>42992.527465277781</v>
      </c>
      <c r="F237" s="13">
        <v>42992.57099537037</v>
      </c>
      <c r="G237" s="7">
        <v>82</v>
      </c>
      <c r="H237" s="21" t="s">
        <v>919</v>
      </c>
      <c r="I237" s="13">
        <v>42992.595590277779</v>
      </c>
      <c r="J237" s="7">
        <v>1</v>
      </c>
      <c r="K237" s="89" t="str">
        <f t="shared" si="104"/>
        <v>4025/4026</v>
      </c>
      <c r="L237" s="189" t="str">
        <f>VLOOKUP(A237,'Trips&amp;Operators'!$C$1:$G$99911,5,FALSE)</f>
        <v>DE LA ROSA ALEX</v>
      </c>
      <c r="M237" s="6">
        <f t="shared" si="105"/>
        <v>2.4594907408754807E-2</v>
      </c>
      <c r="N237" s="7">
        <f t="shared" si="120"/>
        <v>35.416666668606922</v>
      </c>
      <c r="O237" s="7"/>
      <c r="P237" s="7"/>
      <c r="Q237" s="22"/>
      <c r="R237" s="167"/>
      <c r="S237" s="217">
        <f t="shared" si="121"/>
        <v>0</v>
      </c>
      <c r="T237" s="175" t="str">
        <f t="shared" si="106"/>
        <v>NorthBound</v>
      </c>
      <c r="U237" s="204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26" t="str">
        <f t="shared" si="107"/>
        <v>https://d0f6bd738d7f1b3e5a7ca70fe4ff75f0.us-east-1.aws.found.io/app/kibana#/discover/Steve-Slow-Train-Analysis-(2080s-and-2083s)?_g=(refreshInterval:(display:Off,pause:!f,section:0,value:0),time:(from:'2017-09-14T11:39:33-0600',mode:absolute,to:'2017-09-14T15:17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7" s="210" t="str">
        <f>IF(AA237&lt;VLOOKUP(AG237,Variables!$AC$3:$AD$8,2,FALSE),"Y","N")</f>
        <v>Y</v>
      </c>
      <c r="X237" s="210">
        <f t="shared" si="119"/>
        <v>2</v>
      </c>
      <c r="Y237" s="210">
        <f t="shared" si="117"/>
        <v>0.1479</v>
      </c>
      <c r="Z237" s="210">
        <f t="shared" si="118"/>
        <v>0.3493</v>
      </c>
      <c r="AA237" s="210">
        <f t="shared" si="108"/>
        <v>0.2014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83">
        <f t="shared" si="109"/>
        <v>75</v>
      </c>
      <c r="AE237" s="77" t="str">
        <f t="shared" si="110"/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AF237" s="74" t="str">
        <f t="shared" si="111"/>
        <v>"C:\Program Files (x86)\AstroGrep\AstroGrep.exe" /e /r /s /spath="%USERPROFILE%\AppData\Local\Temp\OnboardLogs" /stypes="app*4026*20170914*" /stext=" 20:.+((SYSTEM_STATE.+slice.+state.+changed )|(ment ac)|(multiple cpu faults)|(system.+state.+changed )|(\[timeout)|(PRM\|1\|D)|(kpr)|(kdp)|(train st.+moving)|(\|lc)|(penalty))"</v>
      </c>
      <c r="AG237" s="186" t="str">
        <f t="shared" si="112"/>
        <v>Shuttle/Test</v>
      </c>
      <c r="AH237" s="78" t="str">
        <f t="shared" si="113"/>
        <v>"%USERPROFILE%\Documents\GitHub\eaglep3\Utilities\RefineRTDCRunTimes.py" --tripid 75-14 --locoid 4026 --swversion DE.1.0.9.0 --startMP 204:1479 --initTime 2017-09-14T12:39:33 --startdatetime 2017-09-14T13:42:14 --delay 82 --endMP 204:3493 --enddatetime 2017-09-14T14:17:39 --enforcementcount 1 &gt;&gt;C:\Users\stu\Documents\GitHub\eaglep3-reporting\EC\2017-09-14-refined-times.txt</v>
      </c>
      <c r="AI237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0.3493"},{"id":17,"name":"Train ID","value":"75-14"},{"id":16,"name":"Locomotive ID","value":"4026"},{"id":130,"name":"Impact","value":""},{"id":150,"name":"Time of Event (Mountain Time)","value":"14:17:39"},{"id":151,"name":"Denver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15"/>
        <v>start /low /b %USERPROFILE%\Documents\GitHub\eaglep3\Utilities\DownloadLogsFromS3.py --loco 4026 --day 2017-09-14</v>
      </c>
      <c r="AN237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20:17:39"},{"id":29,"name":"Sharepoint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612</v>
      </c>
      <c r="B238" s="7">
        <v>4009</v>
      </c>
      <c r="C238" s="21" t="s">
        <v>197</v>
      </c>
      <c r="D238" s="21" t="s">
        <v>916</v>
      </c>
      <c r="E238" s="13">
        <v>42992.743206018517</v>
      </c>
      <c r="F238" s="13">
        <v>42992.746724537035</v>
      </c>
      <c r="G238" s="7">
        <v>88</v>
      </c>
      <c r="H238" s="21" t="s">
        <v>917</v>
      </c>
      <c r="I238" s="13">
        <v>42992.754942129628</v>
      </c>
      <c r="J238" s="7">
        <v>1</v>
      </c>
      <c r="K238" s="89" t="str">
        <f t="shared" si="104"/>
        <v>4009/4010</v>
      </c>
      <c r="L238" s="189" t="str">
        <f>VLOOKUP(A238,'Trips&amp;Operators'!$C$1:$G$99911,5,FALSE)</f>
        <v>DE LA ROSA ALEX</v>
      </c>
      <c r="M238" s="6">
        <f t="shared" si="105"/>
        <v>8.2175925927003846E-3</v>
      </c>
      <c r="N238" s="7">
        <f t="shared" si="120"/>
        <v>11.833333333488554</v>
      </c>
      <c r="O238" s="7"/>
      <c r="P238" s="7"/>
      <c r="Q238" s="22"/>
      <c r="R238" s="167"/>
      <c r="S238" s="217">
        <f t="shared" si="121"/>
        <v>0</v>
      </c>
      <c r="T238" s="175" t="str">
        <f t="shared" si="106"/>
        <v>NorthBound</v>
      </c>
      <c r="U238" s="204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26" t="str">
        <f t="shared" si="107"/>
        <v>https://d0f6bd738d7f1b3e5a7ca70fe4ff75f0.us-east-1.aws.found.io/app/kibana#/discover/Steve-Slow-Train-Analysis-(2080s-and-2083s)?_g=(refreshInterval:(display:Off,pause:!f,section:0,value:0),time:(from:'2017-09-14T16:50:13-0600',mode:absolute,to:'2017-09-14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8" s="210" t="str">
        <f>IF(AA238&lt;VLOOKUP(AG238,Variables!$AC$3:$AD$8,2,FALSE),"Y","N")</f>
        <v>Y</v>
      </c>
      <c r="X238" s="210">
        <f t="shared" si="119"/>
        <v>0</v>
      </c>
      <c r="Y238" s="210">
        <f t="shared" si="117"/>
        <v>2.3136999999999999</v>
      </c>
      <c r="Z238" s="210">
        <f t="shared" si="118"/>
        <v>9.7500000000000003E-2</v>
      </c>
      <c r="AA238" s="210">
        <f t="shared" si="108"/>
        <v>2.2161999999999997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83">
        <f t="shared" si="109"/>
        <v>75</v>
      </c>
      <c r="AE238" s="77" t="str">
        <f t="shared" si="110"/>
        <v>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 &amp; aws s3 cp s3://rtdc.mdm.uploadarchive.raw/RTDC4009/ "%USERPROFILE%\AppData\Local\Temp\OnboardLogs"\RTDC4009\2017-09-15 --exclude "*" --recursive --include "*20170915*" &amp; "%USERPROFILE%\Documents\GitHub\mrs-test-scripts\Headless Mode &amp; Sideloading\WalkAndUnGZ.bat" "%USERPROFILE%\AppData\Local\Temp\OnboardLogs"\RTDC4009\2017-09-15</v>
      </c>
      <c r="AF238" s="74" t="str">
        <f t="shared" si="111"/>
        <v>"C:\Program Files (x86)\AstroGrep\AstroGrep.exe" /e /r /s /spath="%USERPROFILE%\AppData\Local\Temp\OnboardLogs" /stypes="app*4009*20170915*" /stext=" 00:.+((SYSTEM_STATE.+slice.+state.+changed )|(ment ac)|(multiple cpu faults)|(system.+state.+changed )|(\[timeout)|(PRM\|1\|D)|(kpr)|(kdp)|(train st.+moving)|(\|lc)|(penalty))"</v>
      </c>
      <c r="AG238" s="186" t="str">
        <f t="shared" si="112"/>
        <v>Shuttle/Test</v>
      </c>
      <c r="AH238" s="78" t="str">
        <f t="shared" si="113"/>
        <v>"%USERPROFILE%\Documents\GitHub\eaglep3\Utilities\RefineRTDCRunTimes.py" --tripid 75-14 --locoid 4009 --swversion DE.1.0.9.0 --startMP 300:23137 --initTime 2017-09-14T17:50:13 --startdatetime 2017-09-14T17:55:17 --delay 88 --endMP 204:975 --enddatetime 2017-09-14T18:07:07 --enforcementcount 1 &gt;&gt;C:\Users\stu\Documents\GitHub\eaglep3-reporting\EC\2017-09-14-refined-times.txt</v>
      </c>
      <c r="AI238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0.0975"},{"id":17,"name":"Train ID","value":"75-14"},{"id":16,"name":"Locomotive ID","value":"4009"},{"id":130,"name":"Impact","value":""},{"id":150,"name":"Time of Event (Mountain Time)","value":"18:07:07"},{"id":151,"name":"Denver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15"/>
        <v>start /low /b %USERPROFILE%\Documents\GitHub\eaglep3\Utilities\DownloadLogsFromS3.py --loco 4009 --day 2017-09-14</v>
      </c>
      <c r="AN238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749</v>
      </c>
      <c r="B239" s="7">
        <v>4012</v>
      </c>
      <c r="C239" s="21" t="s">
        <v>197</v>
      </c>
      <c r="D239" s="21" t="s">
        <v>920</v>
      </c>
      <c r="E239" s="13">
        <v>42992.695787037039</v>
      </c>
      <c r="F239" s="13">
        <v>42992.726238425923</v>
      </c>
      <c r="G239" s="7">
        <v>93</v>
      </c>
      <c r="H239" s="21" t="s">
        <v>489</v>
      </c>
      <c r="I239" s="13">
        <v>42992.734710648147</v>
      </c>
      <c r="J239" s="7">
        <v>1</v>
      </c>
      <c r="K239" s="89" t="str">
        <f t="shared" si="104"/>
        <v>4011/4012</v>
      </c>
      <c r="L239" s="189" t="str">
        <f>VLOOKUP(A239,'Trips&amp;Operators'!$C$1:$G$99911,5,FALSE)</f>
        <v>ROBINSON KADDIBA</v>
      </c>
      <c r="M239" s="6">
        <f t="shared" si="105"/>
        <v>8.4722222236450762E-3</v>
      </c>
      <c r="N239" s="7">
        <f t="shared" si="120"/>
        <v>12.20000000204891</v>
      </c>
      <c r="O239" s="7"/>
      <c r="P239" s="7"/>
      <c r="Q239" s="22"/>
      <c r="R239" s="167"/>
      <c r="S239" s="217">
        <f t="shared" si="121"/>
        <v>1</v>
      </c>
      <c r="T239" s="175" t="str">
        <f t="shared" si="106"/>
        <v>NorthBound</v>
      </c>
      <c r="U239" s="204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26" t="str">
        <f t="shared" si="107"/>
        <v>https://d0f6bd738d7f1b3e5a7ca70fe4ff75f0.us-east-1.aws.found.io/app/kibana#/discover/Steve-Slow-Train-Analysis-(2080s-and-2083s)?_g=(refreshInterval:(display:Off,pause:!f,section:0,value:0),time:(from:'2017-09-14T15:41:56-0600',mode:absolute,to:'2017-09-14T18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9" s="210" t="str">
        <f>IF(AA239&lt;VLOOKUP(AG239,Variables!$AC$3:$AD$8,2,FALSE),"Y","N")</f>
        <v>Y</v>
      </c>
      <c r="X239" s="210">
        <f t="shared" si="119"/>
        <v>2</v>
      </c>
      <c r="Y239" s="210">
        <f t="shared" si="117"/>
        <v>0.1139</v>
      </c>
      <c r="Z239" s="210">
        <f t="shared" si="118"/>
        <v>2.331</v>
      </c>
      <c r="AA239" s="210">
        <f t="shared" si="108"/>
        <v>2.2170999999999998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83">
        <f t="shared" si="109"/>
        <v>77</v>
      </c>
      <c r="AE239" s="77" t="str">
        <f t="shared" si="110"/>
        <v>aws s3 cp s3://rtdc.mdm.uploadarchive.raw/RTDC4012/ "%USERPROFILE%\AppData\Local\Temp\OnboardLogs"\RTDC4012\2017-09-14 --exclude "*" --recursive --include "*20170914*" &amp; "%USERPROFILE%\Documents\GitHub\mrs-test-scripts\Headless Mode &amp; Sideloading\WalkAndUnGZ.bat" "%USERPROFILE%\AppData\Local\Temp\OnboardLogs"\RTDC4012\2017-09-14 &amp; aws s3 cp s3://rtdc.mdm.uploadarchive.raw/RTDC4012/ "%USERPROFILE%\AppData\Local\Temp\OnboardLogs"\RTDC4012\2017-09-15 --exclude "*" --recursive --include "*20170915*" &amp; "%USERPROFILE%\Documents\GitHub\mrs-test-scripts\Headless Mode &amp; Sideloading\WalkAndUnGZ.bat" "%USERPROFILE%\AppData\Local\Temp\OnboardLogs"\RTDC4012\2017-09-15</v>
      </c>
      <c r="AF239" s="74" t="str">
        <f t="shared" si="111"/>
        <v>"C:\Program Files (x86)\AstroGrep\AstroGrep.exe" /e /r /s /spath="%USERPROFILE%\AppData\Local\Temp\OnboardLogs" /stypes="app*4012*20170914*" /stext=" 23:.+((SYSTEM_STATE.+slice.+state.+changed )|(ment ac)|(multiple cpu faults)|(system.+state.+changed )|(\[timeout)|(PRM\|1\|D)|(kpr)|(kdp)|(train st.+moving)|(\|lc)|(penalty))"</v>
      </c>
      <c r="AG239" s="186" t="str">
        <f t="shared" si="112"/>
        <v>Shuttle/Test</v>
      </c>
      <c r="AH239" s="78" t="str">
        <f t="shared" si="113"/>
        <v>"%USERPROFILE%\Documents\GitHub\eaglep3\Utilities\RefineRTDCRunTimes.py" --tripid 77-14 --locoid 4012 --swversion DE.1.0.9.0 --startMP 204:1139 --initTime 2017-09-14T16:41:56 --startdatetime 2017-09-14T17:25:47 --delay 93 --endMP 300:23310 --enddatetime 2017-09-14T17:37:59 --enforcementcount 1 &gt;&gt;C:\Users\stu\Documents\GitHub\eaglep3-reporting\EC\2017-09-14-refined-times.txt</v>
      </c>
      <c r="AI239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2.331"},{"id":17,"name":"Train ID","value":"77-14"},{"id":16,"name":"Locomotive ID","value":"4012"},{"id":130,"name":"Impact","value":""},{"id":150,"name":"Time of Event (Mountain Time)","value":"17:37:59"},{"id":151,"name":"Denver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15"/>
        <v>start /low /b %USERPROFILE%\Documents\GitHub\eaglep3\Utilities\DownloadLogsFromS3.py --loco 4012 --day 2017-09-14</v>
      </c>
      <c r="AN239" s="151" t="str">
        <f t="shared" si="116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23:37:59"},{"id":29,"name":"Sharepoint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783</v>
      </c>
      <c r="B240" s="7">
        <v>4035</v>
      </c>
      <c r="C240" s="21" t="s">
        <v>197</v>
      </c>
      <c r="D240" s="21" t="s">
        <v>933</v>
      </c>
      <c r="E240" s="13">
        <v>42992.806215277778</v>
      </c>
      <c r="F240" s="13">
        <v>42992.808854166666</v>
      </c>
      <c r="G240" s="7">
        <v>60</v>
      </c>
      <c r="H240" s="21" t="s">
        <v>934</v>
      </c>
      <c r="I240" s="13">
        <v>42992.814351851855</v>
      </c>
      <c r="J240" s="7">
        <v>1</v>
      </c>
      <c r="K240" s="89" t="str">
        <f t="shared" si="104"/>
        <v>4035/4036</v>
      </c>
      <c r="L240" s="189" t="str">
        <f>VLOOKUP(A240,'Trips&amp;Operators'!$C$1:$G$99911,5,FALSE)</f>
        <v>LOPES KIMBERLY</v>
      </c>
      <c r="M240" s="6">
        <f t="shared" si="105"/>
        <v>5.4976851897663437E-3</v>
      </c>
      <c r="N240" s="7">
        <f t="shared" si="120"/>
        <v>7.9166666732635349</v>
      </c>
      <c r="O240" s="7"/>
      <c r="P240" s="7"/>
      <c r="Q240" s="22"/>
      <c r="R240" s="167"/>
      <c r="S240" s="217">
        <f t="shared" si="121"/>
        <v>0</v>
      </c>
      <c r="T240" s="175" t="str">
        <f t="shared" si="106"/>
        <v>NorthBound</v>
      </c>
      <c r="U240" s="204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26" t="str">
        <f t="shared" si="107"/>
        <v>https://d0f6bd738d7f1b3e5a7ca70fe4ff75f0.us-east-1.aws.found.io/app/kibana#/discover/Steve-Slow-Train-Analysis-(2080s-and-2083s)?_g=(refreshInterval:(display:Off,pause:!f,section:0,value:0),time:(from:'2017-09-14T18:20:57-0600',mode:absolute,to:'2017-09-14T20:32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0" s="210" t="str">
        <f>IF(AA240&lt;VLOOKUP(AG240,Variables!$AC$3:$AD$8,2,FALSE),"Y","N")</f>
        <v>Y</v>
      </c>
      <c r="X240" s="210">
        <f t="shared" si="119"/>
        <v>4</v>
      </c>
      <c r="Y240" s="210">
        <f t="shared" si="117"/>
        <v>2.3288000000000002</v>
      </c>
      <c r="Z240" s="210">
        <f t="shared" si="118"/>
        <v>1.4800000000000001E-2</v>
      </c>
      <c r="AA240" s="210">
        <f t="shared" si="108"/>
        <v>2.3140000000000001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83">
        <f t="shared" si="109"/>
        <v>81</v>
      </c>
      <c r="AE240" s="77" t="str">
        <f t="shared" si="110"/>
        <v>aws s3 cp s3://rtdc.mdm.uploadarchive.raw/RTDC4035/ "%USERPROFILE%\AppData\Local\Temp\OnboardLogs"\RTDC4035\2017-09-14 --exclude "*" --recursive --include "*20170914*" &amp; "%USERPROFILE%\Documents\GitHub\mrs-test-scripts\Headless Mode &amp; Sideloading\WalkAndUnGZ.bat" "%USERPROFILE%\AppData\Local\Temp\OnboardLogs"\RTDC4035\2017-09-14 &amp; 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</v>
      </c>
      <c r="AF240" s="74" t="str">
        <f t="shared" si="111"/>
        <v>"C:\Program Files (x86)\AstroGrep\AstroGrep.exe" /e /r /s /spath="%USERPROFILE%\AppData\Local\Temp\OnboardLogs" /stypes="app*4035*20170915*" /stext=" 01:.+((SYSTEM_STATE.+slice.+state.+changed )|(ment ac)|(multiple cpu faults)|(system.+state.+changed )|(\[timeout)|(PRM\|1\|D)|(kpr)|(kdp)|(train st.+moving)|(\|lc)|(penalty))"</v>
      </c>
      <c r="AG240" s="186" t="str">
        <f t="shared" si="112"/>
        <v>Shuttle/Test</v>
      </c>
      <c r="AH240" s="78" t="str">
        <f t="shared" si="113"/>
        <v>"%USERPROFILE%\Documents\GitHub\eaglep3\Utilities\RefineRTDCRunTimes.py" --tripid 81-14 --locoid 4035 --swversion DE.1.0.9.0 --startMP 300:23288 --initTime 2017-09-14T19:20:57 --startdatetime 2017-09-14T19:24:45 --delay 60 --endMP 204:148 --enddatetime 2017-09-14T19:32:40 --enforcementcount 1 &gt;&gt;C:\Users\stu\Documents\GitHub\eaglep3-reporting\EC\2017-09-14-refined-times.txt</v>
      </c>
      <c r="AI240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0.0148"},{"id":17,"name":"Train ID","value":"81-14"},{"id":16,"name":"Locomotive ID","value":"4035"},{"id":130,"name":"Impact","value":""},{"id":150,"name":"Time of Event (Mountain Time)","value":"19:32:40"},{"id":151,"name":"Denver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15"/>
        <v>start /low /b %USERPROFILE%\Documents\GitHub\eaglep3\Utilities\DownloadLogsFromS3.py --loco 4035 --day 2017-09-14</v>
      </c>
      <c r="AN240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01:32:40"},{"id":29,"name":"Sharepoint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783</v>
      </c>
      <c r="B241" s="7">
        <v>4035</v>
      </c>
      <c r="C241" s="21" t="s">
        <v>197</v>
      </c>
      <c r="D241" s="21" t="s">
        <v>434</v>
      </c>
      <c r="E241" s="13">
        <v>42992.916400462964</v>
      </c>
      <c r="F241" s="13">
        <v>42992.925173611111</v>
      </c>
      <c r="G241" s="7">
        <v>48</v>
      </c>
      <c r="H241" s="21" t="s">
        <v>935</v>
      </c>
      <c r="I241" s="13">
        <v>42992.948935185188</v>
      </c>
      <c r="J241" s="7">
        <v>1</v>
      </c>
      <c r="K241" s="89" t="str">
        <f t="shared" si="104"/>
        <v>4035/4036</v>
      </c>
      <c r="L241" s="189" t="str">
        <f>VLOOKUP(A241,'Trips&amp;Operators'!$C$1:$G$99911,5,FALSE)</f>
        <v>LOPES KIMBERLY</v>
      </c>
      <c r="M241" s="6">
        <f t="shared" si="105"/>
        <v>2.3761574077070691E-2</v>
      </c>
      <c r="N241" s="7">
        <f t="shared" si="120"/>
        <v>34.216666670981795</v>
      </c>
      <c r="O241" s="7"/>
      <c r="P241" s="7"/>
      <c r="Q241" s="22"/>
      <c r="R241" s="167"/>
      <c r="S241" s="217">
        <f t="shared" si="121"/>
        <v>0</v>
      </c>
      <c r="T241" s="175" t="str">
        <f t="shared" si="106"/>
        <v>NorthBound</v>
      </c>
      <c r="U241" s="204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26" t="str">
        <f t="shared" si="107"/>
        <v>https://d0f6bd738d7f1b3e5a7ca70fe4ff75f0.us-east-1.aws.found.io/app/kibana#/discover/Steve-Slow-Train-Analysis-(2080s-and-2083s)?_g=(refreshInterval:(display:Off,pause:!f,section:0,value:0),time:(from:'2017-09-14T20:59:37-0600',mode:absolute,to:'2017-09-14T23:46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1" s="210" t="str">
        <f>IF(AA241&lt;VLOOKUP(AG241,Variables!$AC$3:$AD$8,2,FALSE),"Y","N")</f>
        <v>Y</v>
      </c>
      <c r="X241" s="210">
        <f t="shared" si="119"/>
        <v>0</v>
      </c>
      <c r="Y241" s="210">
        <f t="shared" si="117"/>
        <v>23.299800000000001</v>
      </c>
      <c r="Z241" s="210">
        <f t="shared" si="118"/>
        <v>1.0268999999999999</v>
      </c>
      <c r="AA241" s="210">
        <f t="shared" si="108"/>
        <v>22.2729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83">
        <f t="shared" si="109"/>
        <v>81</v>
      </c>
      <c r="AE241" s="77" t="str">
        <f t="shared" si="110"/>
        <v>aws s3 cp s3://rtdc.mdm.uploadarchive.raw/RTDC4035/ "%USERPROFILE%\AppData\Local\Temp\OnboardLogs"\RTDC4035\2017-09-14 --exclude "*" --recursive --include "*20170914*" &amp; "%USERPROFILE%\Documents\GitHub\mrs-test-scripts\Headless Mode &amp; Sideloading\WalkAndUnGZ.bat" "%USERPROFILE%\AppData\Local\Temp\OnboardLogs"\RTDC4035\2017-09-14 &amp; 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</v>
      </c>
      <c r="AF241" s="74" t="str">
        <f t="shared" si="111"/>
        <v>"C:\Program Files (x86)\AstroGrep\AstroGrep.exe" /e /r /s /spath="%USERPROFILE%\AppData\Local\Temp\OnboardLogs" /stypes="app*4035*20170915*" /stext=" 04:.+((SYSTEM_STATE.+slice.+state.+changed )|(ment ac)|(multiple cpu faults)|(system.+state.+changed )|(\[timeout)|(PRM\|1\|D)|(kpr)|(kdp)|(train st.+moving)|(\|lc)|(penalty))"</v>
      </c>
      <c r="AG241" s="186" t="str">
        <f t="shared" si="112"/>
        <v>Shuttle/Test</v>
      </c>
      <c r="AH241" s="78" t="str">
        <f t="shared" si="113"/>
        <v>"%USERPROFILE%\Documents\GitHub\eaglep3\Utilities\RefineRTDCRunTimes.py" --tripid 81-14 --locoid 4035 --swversion DE.1.0.9.0 --startMP 204:232998 --initTime 2017-09-14T21:59:37 --startdatetime 2017-09-14T22:12:15 --delay 48 --endMP 204:10269 --enddatetime 2017-09-14T22:46:28 --enforcementcount 1 &gt;&gt;C:\Users\stu\Documents\GitHub\eaglep3-reporting\EC\2017-09-14-refined-times.txt</v>
      </c>
      <c r="AI241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1.0269"},{"id":17,"name":"Train ID","value":"81-14"},{"id":16,"name":"Locomotive ID","value":"4035"},{"id":130,"name":"Impact","value":""},{"id":150,"name":"Time of Event (Mountain Time)","value":"22:46:28"},{"id":151,"name":"Denver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15"/>
        <v>start /low /b %USERPROFILE%\Documents\GitHub\eaglep3\Utilities\DownloadLogsFromS3.py --loco 4035 --day 2017-09-14</v>
      </c>
      <c r="AN241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04:46:28"},{"id":29,"name":"Sharepoint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783</v>
      </c>
      <c r="B242" s="7">
        <v>4035</v>
      </c>
      <c r="C242" s="21" t="s">
        <v>197</v>
      </c>
      <c r="D242" s="21" t="s">
        <v>936</v>
      </c>
      <c r="E242" s="13">
        <v>42993.051319444443</v>
      </c>
      <c r="F242" s="13">
        <v>42993.087523148148</v>
      </c>
      <c r="G242" s="7">
        <v>55</v>
      </c>
      <c r="H242" s="21" t="s">
        <v>365</v>
      </c>
      <c r="I242" s="13">
        <v>25568.708333333332</v>
      </c>
      <c r="J242" s="7">
        <v>1</v>
      </c>
      <c r="K242" s="89" t="str">
        <f t="shared" si="104"/>
        <v>4035/4036</v>
      </c>
      <c r="L242" s="189" t="str">
        <f>VLOOKUP(A242,'Trips&amp;Operators'!$C$1:$G$99911,5,FALSE)</f>
        <v>LOPES KIMBERLY</v>
      </c>
      <c r="M242" s="6">
        <f t="shared" si="105"/>
        <v>-17424.379189814816</v>
      </c>
      <c r="N242" s="7">
        <f t="shared" si="120"/>
        <v>-25091106.033333335</v>
      </c>
      <c r="O242" s="7"/>
      <c r="P242" s="7"/>
      <c r="Q242" s="22"/>
      <c r="R242" s="167"/>
      <c r="S242" s="217">
        <f t="shared" si="121"/>
        <v>0</v>
      </c>
      <c r="T242" s="175" t="str">
        <f t="shared" si="106"/>
        <v>NorthBound</v>
      </c>
      <c r="U242" s="204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26" t="str">
        <f t="shared" si="107"/>
        <v>https://d0f6bd738d7f1b3e5a7ca70fe4ff75f0.us-east-1.aws.found.io/app/kibana#/discover/Steve-Slow-Train-Analysis-(2080s-and-2083s)?_g=(refreshInterval:(display:Off,pause:!f,section:0,value:0),time:(from:'2017-09-15T00:13:54-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2" s="210" t="str">
        <f>IF(AA242&lt;VLOOKUP(AG242,Variables!$AC$3:$AD$8,2,FALSE),"Y","N")</f>
        <v>Y</v>
      </c>
      <c r="X242" s="210">
        <f t="shared" si="119"/>
        <v>0</v>
      </c>
      <c r="Y242" s="210">
        <f t="shared" si="117"/>
        <v>19.27</v>
      </c>
      <c r="Z242" s="210">
        <f t="shared" si="118"/>
        <v>1.4500000000000001E-2</v>
      </c>
      <c r="AA242" s="210">
        <f t="shared" si="108"/>
        <v>19.255499999999998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83">
        <f t="shared" si="109"/>
        <v>81</v>
      </c>
      <c r="AE242" s="77" t="str">
        <f t="shared" si="110"/>
        <v>aws s3 cp s3://rtdc.mdm.uploadarchive.raw/RTDC4035/ "%USERPROFILE%\AppData\Local\Temp\OnboardLogs"\RTDC4035\2017-09-15 --exclude "*" --recursive --include "*20170915*" &amp; "%USERPROFILE%\Documents\GitHub\mrs-test-scripts\Headless Mode &amp; Sideloading\WalkAndUnGZ.bat" "%USERPROFILE%\AppData\Local\Temp\OnboardLogs"\RTDC4035\2017-09-15 &amp; aws s3 cp s3://rtdc.mdm.uploadarchive.raw/RTDC4035/ "%USERPROFILE%\AppData\Local\Temp\OnboardLogs"\RTDC4035\2017-09-16 --exclude "*" --recursive --include "*20170916*" &amp; "%USERPROFILE%\Documents\GitHub\mrs-test-scripts\Headless Mode &amp; Sideloading\WalkAndUnGZ.bat" "%USERPROFILE%\AppData\Local\Temp\OnboardLogs"\RTDC4035\2017-09-16</v>
      </c>
      <c r="AF242" s="74" t="str">
        <f t="shared" si="111"/>
        <v>"C:\Program Files (x86)\AstroGrep\AstroGrep.exe" /e /r /s /spath="%USERPROFILE%\AppData\Local\Temp\OnboardLogs" /stypes="app*4035*19691231*" /stext=" 23:.+((SYSTEM_STATE.+slice.+state.+changed )|(ment ac)|(multiple cpu faults)|(system.+state.+changed )|(\[timeout)|(PRM\|1\|D)|(kpr)|(kdp)|(train st.+moving)|(\|lc)|(penalty))"</v>
      </c>
      <c r="AG242" s="186" t="str">
        <f t="shared" si="112"/>
        <v>Shuttle/Test</v>
      </c>
      <c r="AH242" s="78" t="str">
        <f t="shared" si="113"/>
        <v>"%USERPROFILE%\Documents\GitHub\eaglep3\Utilities\RefineRTDCRunTimes.py" --tripid 81-14 --locoid 4035 --swversion DE.1.0.9.0 --startMP 204:192700 --initTime 2017-09-15T01:13:54 --startdatetime 2017-09-15T02:06:02 --delay 55 --endMP 204:145 --enddatetime 1969-12-31T17:00:00 --enforcementcount 1 &gt;&gt;C:\Users\stu\Documents\GitHub\eaglep3-reporting\EC\2017-09-14-refined-times.txt</v>
      </c>
      <c r="AI242" s="96" t="str">
        <f t="shared" si="114"/>
        <v>echo {"issue":{"subject":"","project_id":79,"tracker_id":40,"status_id":1,"priority_id":2,"assigned_to_id":338,"start_date":"1969-12-31","description":"","custom_fields":[{"id":1,"name":"Subdivision","value":"Shuttle/Test"},{"id":4,"name":"Milepost","value":"0.0145"},{"id":17,"name":"Train ID","value":"81-14"},{"id":16,"name":"Locomotive ID","value":"4035"},{"id":130,"name":"Impact","value":""},{"id":150,"name":"Time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15"/>
        <v>start /low /b %USERPROFILE%\Documents\GitHub\eaglep3\Utilities\DownloadLogsFromS3.py --loco 4035 --day 2017-09-15</v>
      </c>
      <c r="AN242" s="151" t="str">
        <f t="shared" si="11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787</v>
      </c>
      <c r="B243" s="7">
        <v>4036</v>
      </c>
      <c r="C243" s="21" t="s">
        <v>197</v>
      </c>
      <c r="D243" s="21" t="s">
        <v>948</v>
      </c>
      <c r="E243" s="13">
        <v>42992.817233796297</v>
      </c>
      <c r="F243" s="13">
        <v>42992.822500000002</v>
      </c>
      <c r="G243" s="7">
        <v>46</v>
      </c>
      <c r="H243" s="21" t="s">
        <v>545</v>
      </c>
      <c r="I243" s="13">
        <v>42992.847939814812</v>
      </c>
      <c r="J243" s="7">
        <v>1</v>
      </c>
      <c r="K243" s="89" t="str">
        <f t="shared" si="104"/>
        <v>4035/4036</v>
      </c>
      <c r="L243" s="189" t="str">
        <f>VLOOKUP(A243,'Trips&amp;Operators'!$C$1:$G$99911,5,FALSE)</f>
        <v>LOPES KIMBERLY</v>
      </c>
      <c r="M243" s="6">
        <f t="shared" si="105"/>
        <v>2.5439814809942618E-2</v>
      </c>
      <c r="N243" s="7">
        <f t="shared" si="120"/>
        <v>36.63333332631737</v>
      </c>
      <c r="O243" s="7"/>
      <c r="P243" s="7"/>
      <c r="Q243" s="22"/>
      <c r="R243" s="167"/>
      <c r="S243" s="217">
        <f t="shared" si="121"/>
        <v>0</v>
      </c>
      <c r="T243" s="175" t="str">
        <f t="shared" si="106"/>
        <v>Southbound</v>
      </c>
      <c r="U243" s="204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26" t="str">
        <f t="shared" si="107"/>
        <v>https://d0f6bd738d7f1b3e5a7ca70fe4ff75f0.us-east-1.aws.found.io/app/kibana#/discover/Steve-Slow-Train-Analysis-(2080s-and-2083s)?_g=(refreshInterval:(display:Off,pause:!f,section:0,value:0),time:(from:'2017-09-14T18:36:49-0600',mode:absolute,to:'2017-09-14T21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3" s="210" t="str">
        <f>IF(AA243&lt;VLOOKUP(AG243,Variables!$AC$3:$AD$8,2,FALSE),"Y","N")</f>
        <v>Y</v>
      </c>
      <c r="X243" s="210">
        <f t="shared" si="119"/>
        <v>1</v>
      </c>
      <c r="Y243" s="210">
        <f t="shared" si="117"/>
        <v>4.48E-2</v>
      </c>
      <c r="Z243" s="210">
        <f t="shared" si="118"/>
        <v>23.3323</v>
      </c>
      <c r="AA243" s="210">
        <f t="shared" si="108"/>
        <v>23.287500000000001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83">
        <f t="shared" si="109"/>
        <v>82</v>
      </c>
      <c r="AE243" s="77" t="str">
        <f t="shared" si="110"/>
        <v>aws s3 cp s3://rtdc.mdm.uploadarchive.raw/RTDC4036/ "%USERPROFILE%\AppData\Local\Temp\OnboardLogs"\RTDC4036\2017-09-14 --exclude "*" --recursive --include "*20170914*" &amp; "%USERPROFILE%\Documents\GitHub\mrs-test-scripts\Headless Mode &amp; Sideloading\WalkAndUnGZ.bat" "%USERPROFILE%\AppData\Local\Temp\OnboardLogs"\RTDC4036\2017-09-14 &amp; 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</v>
      </c>
      <c r="AF243" s="74" t="str">
        <f t="shared" si="111"/>
        <v>"C:\Program Files (x86)\AstroGrep\AstroGrep.exe" /e /r /s /spath="%USERPROFILE%\AppData\Local\Temp\OnboardLogs" /stypes="app*4036*20170915*" /stext=" 02:.+((SYSTEM_STATE.+slice.+state.+changed )|(ment ac)|(multiple cpu faults)|(system.+state.+changed )|(\[timeout)|(PRM\|1\|D)|(kpr)|(kdp)|(train st.+moving)|(\|lc)|(penalty))"</v>
      </c>
      <c r="AG243" s="186" t="str">
        <f t="shared" si="112"/>
        <v>Shuttle/Test</v>
      </c>
      <c r="AH243" s="78" t="str">
        <f t="shared" si="113"/>
        <v>"%USERPROFILE%\Documents\GitHub\eaglep3\Utilities\RefineRTDCRunTimes.py" --tripid 82-14 --locoid 4036 --swversion DE.1.0.9.0 --startMP 204:448 --initTime 2017-09-14T19:36:49 --startdatetime 2017-09-14T19:44:24 --delay 46 --endMP 204:233323 --enddatetime 2017-09-14T20:21:02 --enforcementcount 1 &gt;&gt;C:\Users\stu\Documents\GitHub\eaglep3-reporting\EC\2017-09-14-refined-times.txt</v>
      </c>
      <c r="AI243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23.3323"},{"id":17,"name":"Train ID","value":"82-14"},{"id":16,"name":"Locomotive ID","value":"4036"},{"id":130,"name":"Impact","value":""},{"id":150,"name":"Time of Event (Mountain Time)","value":"20:21:02"},{"id":151,"name":"Denver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15"/>
        <v>start /low /b %USERPROFILE%\Documents\GitHub\eaglep3\Utilities\DownloadLogsFromS3.py --loco 4036 --day 2017-09-14</v>
      </c>
      <c r="AN243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02:21:02"},{"id":29,"name":"Sharepoint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787</v>
      </c>
      <c r="B244" s="7">
        <v>4036</v>
      </c>
      <c r="C244" s="21" t="s">
        <v>197</v>
      </c>
      <c r="D244" s="21" t="s">
        <v>949</v>
      </c>
      <c r="E244" s="13">
        <v>42992.949733796297</v>
      </c>
      <c r="F244" s="13">
        <v>42992.951157407406</v>
      </c>
      <c r="G244" s="7">
        <v>48</v>
      </c>
      <c r="H244" s="21" t="s">
        <v>431</v>
      </c>
      <c r="I244" s="13">
        <v>42992.974143518521</v>
      </c>
      <c r="J244" s="7">
        <v>1</v>
      </c>
      <c r="K244" s="89" t="str">
        <f t="shared" si="104"/>
        <v>4035/4036</v>
      </c>
      <c r="L244" s="189" t="str">
        <f>VLOOKUP(A244,'Trips&amp;Operators'!$C$1:$G$99911,5,FALSE)</f>
        <v>LOPES KIMBERLY</v>
      </c>
      <c r="M244" s="6">
        <f t="shared" si="105"/>
        <v>2.2986111114732921E-2</v>
      </c>
      <c r="N244" s="7">
        <f t="shared" si="120"/>
        <v>33.100000005215406</v>
      </c>
      <c r="O244" s="7"/>
      <c r="P244" s="7"/>
      <c r="Q244" s="22"/>
      <c r="R244" s="167"/>
      <c r="S244" s="217">
        <f t="shared" si="121"/>
        <v>0</v>
      </c>
      <c r="T244" s="175" t="str">
        <f t="shared" si="106"/>
        <v>Southbound</v>
      </c>
      <c r="U244" s="204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26" t="str">
        <f t="shared" si="107"/>
        <v>https://d0f6bd738d7f1b3e5a7ca70fe4ff75f0.us-east-1.aws.found.io/app/kibana#/discover/Steve-Slow-Train-Analysis-(2080s-and-2083s)?_g=(refreshInterval:(display:Off,pause:!f,section:0,value:0),time:(from:'2017-09-14T21:47:37-0600',mode:absolute,to:'2017-09-15T00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44" s="210" t="str">
        <f>IF(AA244&lt;VLOOKUP(AG244,Variables!$AC$3:$AD$8,2,FALSE),"Y","N")</f>
        <v>Y</v>
      </c>
      <c r="X244" s="210">
        <f t="shared" si="119"/>
        <v>0</v>
      </c>
      <c r="Y244" s="210">
        <f t="shared" si="117"/>
        <v>1.0507</v>
      </c>
      <c r="Z244" s="210">
        <f t="shared" si="118"/>
        <v>23.331199999999999</v>
      </c>
      <c r="AA244" s="210">
        <f t="shared" si="108"/>
        <v>22.2805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83">
        <f t="shared" si="109"/>
        <v>82</v>
      </c>
      <c r="AE244" s="77" t="str">
        <f t="shared" si="110"/>
        <v>aws s3 cp s3://rtdc.mdm.uploadarchive.raw/RTDC4036/ "%USERPROFILE%\AppData\Local\Temp\OnboardLogs"\RTDC4036\2017-09-14 --exclude "*" --recursive --include "*20170914*" &amp; "%USERPROFILE%\Documents\GitHub\mrs-test-scripts\Headless Mode &amp; Sideloading\WalkAndUnGZ.bat" "%USERPROFILE%\AppData\Local\Temp\OnboardLogs"\RTDC4036\2017-09-14 &amp; aws s3 cp s3://rtdc.mdm.uploadarchive.raw/RTDC4036/ "%USERPROFILE%\AppData\Local\Temp\OnboardLogs"\RTDC4036\2017-09-15 --exclude "*" --recursive --include "*20170915*" &amp; "%USERPROFILE%\Documents\GitHub\mrs-test-scripts\Headless Mode &amp; Sideloading\WalkAndUnGZ.bat" "%USERPROFILE%\AppData\Local\Temp\OnboardLogs"\RTDC4036\2017-09-15</v>
      </c>
      <c r="AF244" s="74" t="str">
        <f t="shared" si="111"/>
        <v>"C:\Program Files (x86)\AstroGrep\AstroGrep.exe" /e /r /s /spath="%USERPROFILE%\AppData\Local\Temp\OnboardLogs" /stypes="app*4036*20170915*" /stext=" 05:.+((SYSTEM_STATE.+slice.+state.+changed )|(ment ac)|(multiple cpu faults)|(system.+state.+changed )|(\[timeout)|(PRM\|1\|D)|(kpr)|(kdp)|(train st.+moving)|(\|lc)|(penalty))"</v>
      </c>
      <c r="AG244" s="186" t="str">
        <f t="shared" si="112"/>
        <v>Shuttle/Test</v>
      </c>
      <c r="AH244" s="78" t="str">
        <f t="shared" si="113"/>
        <v>"%USERPROFILE%\Documents\GitHub\eaglep3\Utilities\RefineRTDCRunTimes.py" --tripid 82-14 --locoid 4036 --swversion DE.1.0.9.0 --startMP 204:10507 --initTime 2017-09-14T22:47:37 --startdatetime 2017-09-14T22:49:40 --delay 48 --endMP 204:233312 --enddatetime 2017-09-14T23:22:46 --enforcementcount 1 &gt;&gt;C:\Users\stu\Documents\GitHub\eaglep3-reporting\EC\2017-09-14-refined-times.txt</v>
      </c>
      <c r="AI244" s="96" t="str">
        <f t="shared" si="114"/>
        <v>echo {"issue":{"subject":"","project_id":79,"tracker_id":40,"status_id":1,"priority_id":2,"assigned_to_id":338,"start_date":"2017-09-14","description":"","custom_fields":[{"id":1,"name":"Subdivision","value":"Shuttle/Test"},{"id":4,"name":"Milepost","value":"23.3312"},{"id":17,"name":"Train ID","value":"82-14"},{"id":16,"name":"Locomotive ID","value":"4036"},{"id":130,"name":"Impact","value":""},{"id":150,"name":"Time of Event (Mountain Time)","value":"23:22:46"},{"id":151,"name":"Denver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15"/>
        <v>start /low /b %USERPROFILE%\Documents\GitHub\eaglep3\Utilities\DownloadLogsFromS3.py --loco 4036 --day 2017-09-14</v>
      </c>
      <c r="AN244" s="151" t="str">
        <f t="shared" si="116"/>
        <v>echo {"issue":{"subject":"","project_id":30,"tracker_id":4,"status_id":1,"priority_id":1,"assigned_to_id":10,"start_date":"2017-09-15","description":"","custom_fields":[{"id":30,"name":"Category","value":"Issue"},{"id":3,"name":"Functional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UTC","value":"2017-09-15 05:22:46"},{"id":29,"name":"Sharepoint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202"/>
      <c r="T245"/>
      <c r="V245" s="202"/>
      <c r="W245" s="202"/>
      <c r="X245" s="202"/>
      <c r="Y245" s="202"/>
      <c r="Z245" s="202"/>
      <c r="AA245" s="202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202"/>
      <c r="T246"/>
      <c r="V246" s="202"/>
      <c r="W246" s="202"/>
      <c r="X246" s="202"/>
      <c r="Y246" s="202"/>
      <c r="Z246" s="202"/>
      <c r="AA246" s="202"/>
      <c r="AB246"/>
      <c r="AC246"/>
      <c r="AD246"/>
      <c r="AE246"/>
      <c r="AF246"/>
      <c r="AG246"/>
      <c r="AH246"/>
      <c r="AI246"/>
      <c r="AM246"/>
      <c r="AO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202"/>
      <c r="T247"/>
      <c r="U247" s="202"/>
      <c r="V247" s="202"/>
      <c r="W247" s="202"/>
      <c r="X247" s="202"/>
      <c r="Y247" s="202"/>
      <c r="Z247" s="202"/>
      <c r="AA247" s="202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202"/>
      <c r="T248"/>
      <c r="V248" s="202"/>
      <c r="W248" s="202"/>
      <c r="X248" s="202"/>
      <c r="Y248" s="202"/>
      <c r="Z248" s="202"/>
      <c r="AA248" s="202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202"/>
      <c r="T249"/>
      <c r="V249" s="202"/>
      <c r="W249" s="202"/>
      <c r="X249" s="202"/>
      <c r="Y249" s="202"/>
      <c r="Z249" s="202"/>
      <c r="AA249" s="202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202"/>
      <c r="T250"/>
      <c r="V250" s="202"/>
      <c r="W250" s="202"/>
      <c r="X250" s="202"/>
      <c r="Y250" s="202"/>
      <c r="Z250" s="202"/>
      <c r="AA250" s="202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 s="202"/>
      <c r="T251"/>
      <c r="V251" s="202"/>
      <c r="W251" s="202"/>
      <c r="X251" s="202"/>
      <c r="Y251" s="202"/>
      <c r="Z251" s="202"/>
      <c r="AA251" s="202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202"/>
      <c r="T252"/>
      <c r="V252" s="202"/>
      <c r="W252" s="202"/>
      <c r="X252" s="202"/>
      <c r="Y252" s="202"/>
      <c r="Z252" s="202"/>
      <c r="AA252" s="202"/>
      <c r="AB252"/>
      <c r="AC252"/>
      <c r="AD252"/>
      <c r="AE252"/>
      <c r="AF252"/>
      <c r="AG252"/>
      <c r="AH252"/>
      <c r="AI252"/>
      <c r="AM252"/>
      <c r="AO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202"/>
      <c r="T253"/>
      <c r="U253" s="202"/>
      <c r="V253" s="202"/>
      <c r="W253" s="202"/>
      <c r="X253" s="202"/>
      <c r="Y253" s="202"/>
      <c r="Z253" s="202"/>
      <c r="AA253" s="202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202"/>
      <c r="T254"/>
      <c r="V254" s="202"/>
      <c r="W254" s="202"/>
      <c r="X254" s="202"/>
      <c r="Y254" s="202"/>
      <c r="Z254" s="202"/>
      <c r="AA254" s="202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202"/>
      <c r="T255"/>
      <c r="V255" s="202"/>
      <c r="W255" s="202"/>
      <c r="X255" s="202"/>
      <c r="Y255" s="202"/>
      <c r="Z255" s="202"/>
      <c r="AA255" s="202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202"/>
      <c r="T256"/>
      <c r="V256" s="202"/>
      <c r="W256" s="202"/>
      <c r="X256" s="202"/>
      <c r="Y256" s="202"/>
      <c r="Z256" s="202"/>
      <c r="AA256" s="202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 s="202"/>
      <c r="T257"/>
      <c r="V257" s="202"/>
      <c r="W257" s="202"/>
      <c r="X257" s="202"/>
      <c r="Y257" s="202"/>
      <c r="Z257" s="202"/>
      <c r="AA257" s="202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202"/>
      <c r="T258"/>
      <c r="V258" s="202"/>
      <c r="W258" s="202"/>
      <c r="X258" s="202"/>
      <c r="Y258" s="202"/>
      <c r="Z258" s="202"/>
      <c r="AA258" s="202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202"/>
      <c r="T259"/>
      <c r="V259" s="202"/>
      <c r="W259" s="202"/>
      <c r="X259" s="202"/>
      <c r="Y259" s="202"/>
      <c r="Z259" s="202"/>
      <c r="AA259" s="202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202"/>
      <c r="T260"/>
      <c r="V260" s="202"/>
      <c r="W260" s="202"/>
      <c r="X260" s="202"/>
      <c r="Y260" s="202"/>
      <c r="Z260" s="202"/>
      <c r="AA260" s="202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202"/>
      <c r="T261"/>
      <c r="V261" s="202"/>
      <c r="W261" s="202"/>
      <c r="X261" s="202"/>
      <c r="Y261" s="202"/>
      <c r="Z261" s="202"/>
      <c r="AA261" s="202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202"/>
      <c r="T262"/>
      <c r="V262" s="202"/>
      <c r="W262" s="202"/>
      <c r="X262" s="202"/>
      <c r="Y262" s="202"/>
      <c r="Z262" s="202"/>
      <c r="AA262" s="20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202"/>
      <c r="T263"/>
      <c r="V263" s="202"/>
      <c r="W263" s="202"/>
      <c r="X263" s="202"/>
      <c r="Y263" s="202"/>
      <c r="Z263" s="202"/>
      <c r="AA263" s="202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202"/>
      <c r="T264"/>
      <c r="V264" s="202"/>
      <c r="W264" s="202"/>
      <c r="X264" s="202"/>
      <c r="Y264" s="202"/>
      <c r="Z264" s="202"/>
      <c r="AA264" s="202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202"/>
      <c r="T265"/>
      <c r="V265" s="202"/>
      <c r="W265" s="202"/>
      <c r="X265" s="202"/>
      <c r="Y265" s="202"/>
      <c r="Z265" s="202"/>
      <c r="AA265" s="202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202"/>
      <c r="T266"/>
      <c r="V266" s="202"/>
      <c r="W266" s="202"/>
      <c r="X266" s="202"/>
      <c r="Y266" s="202"/>
      <c r="Z266" s="202"/>
      <c r="AA266" s="202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202"/>
      <c r="T267"/>
      <c r="V267" s="202"/>
      <c r="W267" s="202"/>
      <c r="X267" s="202"/>
      <c r="Y267" s="202"/>
      <c r="Z267" s="202"/>
      <c r="AA267" s="202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202"/>
      <c r="T268"/>
      <c r="V268" s="202"/>
      <c r="W268" s="202"/>
      <c r="X268" s="202"/>
      <c r="Y268" s="202"/>
      <c r="Z268" s="202"/>
      <c r="AA268" s="202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202"/>
      <c r="T269"/>
      <c r="V269" s="202"/>
      <c r="W269" s="202"/>
      <c r="X269" s="202"/>
      <c r="Y269" s="202"/>
      <c r="Z269" s="202"/>
      <c r="AA269" s="202"/>
      <c r="AB269"/>
      <c r="AC269"/>
      <c r="AD269"/>
      <c r="AE269"/>
      <c r="AF269"/>
      <c r="AG269"/>
      <c r="AH269"/>
      <c r="AI269"/>
      <c r="AM269"/>
      <c r="AO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202"/>
      <c r="T270"/>
      <c r="U270" s="202"/>
      <c r="V270" s="202"/>
      <c r="W270" s="202"/>
      <c r="X270" s="202"/>
      <c r="Y270" s="202"/>
      <c r="Z270" s="202"/>
      <c r="AA270" s="202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202"/>
      <c r="T271"/>
      <c r="V271" s="202"/>
      <c r="W271" s="202"/>
      <c r="X271" s="202"/>
      <c r="Y271" s="202"/>
      <c r="Z271" s="202"/>
      <c r="AA271" s="202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202"/>
      <c r="T272"/>
      <c r="V272" s="202"/>
      <c r="W272" s="202"/>
      <c r="X272" s="202"/>
      <c r="Y272" s="202"/>
      <c r="Z272" s="202"/>
      <c r="AA272" s="20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202"/>
      <c r="T273"/>
      <c r="V273" s="202"/>
      <c r="W273" s="202"/>
      <c r="X273" s="202"/>
      <c r="Y273" s="202"/>
      <c r="Z273" s="202"/>
      <c r="AA273" s="202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202"/>
      <c r="T274"/>
      <c r="U274" s="202"/>
      <c r="V274" s="202"/>
      <c r="W274" s="202"/>
      <c r="X274" s="202"/>
      <c r="Y274" s="202"/>
      <c r="Z274" s="202"/>
      <c r="AA274" s="202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202"/>
      <c r="T275"/>
      <c r="V275" s="202"/>
      <c r="W275" s="202"/>
      <c r="X275" s="202"/>
      <c r="Y275" s="202"/>
      <c r="Z275" s="202"/>
      <c r="AA275" s="202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202"/>
      <c r="T276"/>
      <c r="V276" s="202"/>
      <c r="W276" s="202"/>
      <c r="X276" s="202"/>
      <c r="Y276" s="202"/>
      <c r="Z276" s="202"/>
      <c r="AA276" s="202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202"/>
      <c r="T277"/>
      <c r="V277" s="202"/>
      <c r="W277" s="202"/>
      <c r="X277" s="202"/>
      <c r="Y277" s="202"/>
      <c r="Z277" s="202"/>
      <c r="AA277" s="202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 s="202"/>
      <c r="T278"/>
      <c r="V278" s="202"/>
      <c r="W278" s="202"/>
      <c r="X278" s="202"/>
      <c r="Y278" s="202"/>
      <c r="Z278" s="202"/>
      <c r="AA278" s="202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 s="202"/>
      <c r="T279"/>
      <c r="V279" s="202"/>
      <c r="W279" s="202"/>
      <c r="X279" s="202"/>
      <c r="Y279" s="202"/>
      <c r="Z279" s="202"/>
      <c r="AA279" s="202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 s="202"/>
      <c r="T280"/>
      <c r="V280" s="202"/>
      <c r="W280" s="202"/>
      <c r="X280" s="202"/>
      <c r="Y280" s="202"/>
      <c r="Z280" s="202"/>
      <c r="AA280" s="202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 s="202"/>
      <c r="T281"/>
      <c r="V281" s="202"/>
      <c r="W281" s="202"/>
      <c r="X281" s="202"/>
      <c r="Y281" s="202"/>
      <c r="Z281" s="202"/>
      <c r="AA281" s="202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 s="202"/>
      <c r="T282"/>
      <c r="V282" s="202"/>
      <c r="W282" s="202"/>
      <c r="X282" s="202"/>
      <c r="Y282" s="202"/>
      <c r="Z282" s="202"/>
      <c r="AA282" s="20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 s="202"/>
      <c r="T283"/>
      <c r="V283" s="202"/>
      <c r="W283" s="202"/>
      <c r="X283" s="202"/>
      <c r="Y283" s="202"/>
      <c r="Z283" s="202"/>
      <c r="AA283" s="202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 s="202"/>
      <c r="T284"/>
      <c r="V284" s="202"/>
      <c r="W284" s="202"/>
      <c r="X284" s="202"/>
      <c r="Y284" s="202"/>
      <c r="Z284" s="202"/>
      <c r="AA284" s="202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 s="202"/>
      <c r="T285"/>
      <c r="V285" s="202"/>
      <c r="W285" s="202"/>
      <c r="X285" s="202"/>
      <c r="Y285" s="202"/>
      <c r="Z285" s="202"/>
      <c r="AA285" s="202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 s="202"/>
      <c r="T286"/>
      <c r="V286" s="202"/>
      <c r="W286" s="202"/>
      <c r="X286" s="202"/>
      <c r="Y286" s="202"/>
      <c r="Z286" s="202"/>
      <c r="AA286" s="202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 s="202"/>
      <c r="T287"/>
      <c r="V287" s="202"/>
      <c r="W287" s="202"/>
      <c r="X287" s="202"/>
      <c r="Y287" s="202"/>
      <c r="Z287" s="202"/>
      <c r="AA287" s="202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 s="202"/>
      <c r="T288"/>
      <c r="V288" s="202"/>
      <c r="W288" s="202"/>
      <c r="X288" s="202"/>
      <c r="Y288" s="202"/>
      <c r="Z288" s="202"/>
      <c r="AA288" s="202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 s="202"/>
      <c r="T289"/>
      <c r="V289" s="202"/>
      <c r="W289" s="202"/>
      <c r="X289" s="202"/>
      <c r="Y289" s="202"/>
      <c r="Z289" s="202"/>
      <c r="AA289" s="202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 s="202"/>
      <c r="T290"/>
      <c r="V290" s="202"/>
      <c r="W290" s="202"/>
      <c r="X290" s="202"/>
      <c r="Y290" s="202"/>
      <c r="Z290" s="202"/>
      <c r="AA290" s="202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 s="202"/>
      <c r="T291"/>
      <c r="V291" s="202"/>
      <c r="W291" s="202"/>
      <c r="X291" s="202"/>
      <c r="Y291" s="202"/>
      <c r="Z291" s="202"/>
      <c r="AA291" s="202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 s="202"/>
      <c r="T292"/>
      <c r="V292" s="202"/>
      <c r="W292" s="202"/>
      <c r="X292" s="202"/>
      <c r="Y292" s="202"/>
      <c r="Z292" s="202"/>
      <c r="AA292" s="20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 s="202"/>
      <c r="T293"/>
      <c r="V293" s="202"/>
      <c r="W293" s="202"/>
      <c r="X293" s="202"/>
      <c r="Y293" s="202"/>
      <c r="Z293" s="202"/>
      <c r="AA293" s="202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 s="202"/>
      <c r="T294"/>
      <c r="V294" s="202"/>
      <c r="W294" s="202"/>
      <c r="X294" s="202"/>
      <c r="Y294" s="202"/>
      <c r="Z294" s="202"/>
      <c r="AA294" s="202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 s="202"/>
      <c r="T295"/>
      <c r="V295" s="202"/>
      <c r="W295" s="202"/>
      <c r="X295" s="202"/>
      <c r="Y295" s="202"/>
      <c r="Z295" s="202"/>
      <c r="AA295" s="202"/>
      <c r="AB295"/>
      <c r="AC295"/>
      <c r="AD295"/>
      <c r="AE295"/>
      <c r="AF295"/>
      <c r="AG295"/>
      <c r="AH295"/>
      <c r="AI295"/>
      <c r="AM295"/>
      <c r="AO295"/>
    </row>
  </sheetData>
  <autoFilter ref="A12:AG290">
    <sortState ref="A13:AG290">
      <sortCondition ref="AG13:AG244"/>
      <sortCondition ref="AD13:AD244"/>
    </sortState>
  </autoFilter>
  <sortState ref="A13:AN245">
    <sortCondition ref="AG13:AG245"/>
    <sortCondition ref="AD13:AD245"/>
  </sortState>
  <mergeCells count="1">
    <mergeCell ref="A11:P11"/>
  </mergeCells>
  <conditionalFormatting sqref="W11:W12 W296:X1048576 W13:X244">
    <cfRule type="cellIs" dxfId="10" priority="422" operator="equal">
      <formula>"Y"</formula>
    </cfRule>
  </conditionalFormatting>
  <conditionalFormatting sqref="X296:X1048576 X13:X244">
    <cfRule type="cellIs" dxfId="9" priority="405" operator="greaterThan">
      <formula>1</formula>
    </cfRule>
  </conditionalFormatting>
  <conditionalFormatting sqref="X296:X1048576 X12:X244">
    <cfRule type="cellIs" dxfId="8" priority="402" operator="equal">
      <formula>0</formula>
    </cfRule>
  </conditionalFormatting>
  <conditionalFormatting sqref="A13:S244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77">
        <f>COUNTIF($O$7:$O$249,"=Y")</f>
        <v>11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78">
        <f>COUNTA($O$7:$O$249)-O2</f>
        <v>39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196" t="str">
        <f>"Eagle P3 Braking Events - "&amp;TEXT(Variables!$A$2,"YYYY-mm-dd")</f>
        <v>Eagle P3 Braking Events - 2017-09-14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28"/>
      <c r="R5" s="80"/>
      <c r="S5" s="83"/>
      <c r="T5" s="85"/>
      <c r="V5" s="44"/>
      <c r="X5" s="18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7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185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42992.470104166663</v>
      </c>
      <c r="B7" s="30" t="s">
        <v>403</v>
      </c>
      <c r="C7" s="30" t="s">
        <v>587</v>
      </c>
      <c r="D7" s="30" t="s">
        <v>49</v>
      </c>
      <c r="E7" s="30" t="s">
        <v>187</v>
      </c>
      <c r="F7" s="42">
        <v>0</v>
      </c>
      <c r="G7" s="42">
        <v>55</v>
      </c>
      <c r="H7" s="42">
        <v>27421</v>
      </c>
      <c r="I7" s="42">
        <v>27350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0</v>
      </c>
      <c r="N7" s="133" t="str">
        <f>VLOOKUP(C7,'Trips&amp;Operators'!$C$1:$G$99911,5,FALSE)</f>
        <v>GEBRETEKLE DAGNEW</v>
      </c>
      <c r="O7" s="180" t="s">
        <v>180</v>
      </c>
      <c r="P7" s="134" t="s">
        <v>370</v>
      </c>
      <c r="Q7" s="30"/>
      <c r="R7" s="81" t="str">
        <f>VLOOKUP(C7,'Train Runs'!$A$13:$AE$9949,31,0)</f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S7" s="84" t="str">
        <f>VLOOKUP(C7,'Train Runs'!$A$13:$AE$9949,22,0)</f>
        <v>https://d0f6bd738d7f1b3e5a7ca70fe4ff75f0.us-east-1.aws.found.io/app/kibana#/discover/Steve-Slow-Train-Analysis-(2080s-and-2083s)?_g=(refreshInterval:(display:Off,pause:!f,section:0,value:0),time:(from:'2017-09-14T09:22:29-0600',mode:absolute,to:'2017-09-14T12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/stypes="*4059*201709141*" /stext=" 17:.+((SYSTEM_STATE.+slice.+state.+changed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4059</v>
      </c>
      <c r="V7" s="31">
        <f t="shared" ref="V7:V38" si="3">A7-utc_offset/24</f>
        <v>42992.720104166663</v>
      </c>
      <c r="W7" s="45" t="str">
        <f t="shared" ref="W7:W38" si="4">DetSubdiv(C7)</f>
        <v>EC</v>
      </c>
      <c r="X7" s="22">
        <f t="shared" ref="X7:X38" si="5">VALUE(LEFT(C7,LEN(C7)-3))</f>
        <v>150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Arrival","project_id":79,"tracker_id":40,"status_id":1,"priority_id":2,"assigned_to_id":338,"start_date":"2017-09-14","description":"","custom_fields":[{"id":1,"name":"Subdivision","value":"EC"},{"id":4,"name":"Milepost","value":"2.735"},{"id":17,"name":"Train ID","value":"150-14"},{"id":16,"name":"Locomotive ID","value":"4059"},{"id":130,"name":"Impact","value":""},{"id":150,"name":"Time of Event (Mountain Time)","value":"11:16:57"},{"id":151,"name":"Denver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/c/Users/stu/AppData/Local/Temp/OnboardLogs/RTDC4059 --include="*4059*201709141*"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"%USERPROFILE%\AppData\Local\Temp\OnboardLogs"\RTDC4059\*4059*201709141* &gt;&gt; 2017-09-14-SliceDisagreementCheck.txt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4059 --day 2017-09-14</v>
      </c>
    </row>
    <row r="8" spans="1:32" s="1" customFormat="1" x14ac:dyDescent="0.25">
      <c r="A8" s="31">
        <v>42992.470520833333</v>
      </c>
      <c r="B8" s="30" t="s">
        <v>403</v>
      </c>
      <c r="C8" s="30" t="s">
        <v>587</v>
      </c>
      <c r="D8" s="30" t="s">
        <v>96</v>
      </c>
      <c r="E8" s="30" t="s">
        <v>187</v>
      </c>
      <c r="F8" s="42">
        <v>0</v>
      </c>
      <c r="G8" s="42">
        <v>81</v>
      </c>
      <c r="H8" s="42">
        <v>27295</v>
      </c>
      <c r="I8" s="42">
        <v>27207</v>
      </c>
      <c r="J8" s="30" t="s">
        <v>188</v>
      </c>
      <c r="K8" s="42">
        <v>27350</v>
      </c>
      <c r="L8" s="131" t="s">
        <v>51</v>
      </c>
      <c r="M8" s="132">
        <f t="shared" si="0"/>
        <v>-75.504000000000005</v>
      </c>
      <c r="N8" s="133" t="str">
        <f>VLOOKUP(C8,'Trips&amp;Operators'!$C$1:$G$99911,5,FALSE)</f>
        <v>GEBRETEKLE DAGNEW</v>
      </c>
      <c r="O8" s="180" t="s">
        <v>180</v>
      </c>
      <c r="P8" s="134" t="s">
        <v>370</v>
      </c>
      <c r="Q8" s="30"/>
      <c r="R8" s="81" t="str">
        <f>VLOOKUP(C8,'Train Runs'!$A$13:$AE$9949,31,0)</f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S8" s="84" t="str">
        <f>VLOOKUP(C8,'Train Runs'!$A$13:$AE$9949,22,0)</f>
        <v>https://d0f6bd738d7f1b3e5a7ca70fe4ff75f0.us-east-1.aws.found.io/app/kibana#/discover/Steve-Slow-Train-Analysis-(2080s-and-2083s)?_g=(refreshInterval:(display:Off,pause:!f,section:0,value:0),time:(from:'2017-09-14T09:22:29-0600',mode:absolute,to:'2017-09-14T12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8" s="86" t="str">
        <f t="shared" si="1"/>
        <v>"C:\Program Files (x86)\AstroGrep\AstroGrep.exe" /e /r /s /spath="%USERPROFILE%\AppData\Local\Temp\OnboardLogs" /stypes="*4059*201709141*"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4059</v>
      </c>
      <c r="V8" s="31">
        <f t="shared" si="3"/>
        <v>42992.720520833333</v>
      </c>
      <c r="W8" s="45" t="str">
        <f t="shared" si="4"/>
        <v>EC</v>
      </c>
      <c r="X8" s="22">
        <f t="shared" si="5"/>
        <v>150</v>
      </c>
      <c r="Y8" s="96" t="str">
        <f t="shared" si="6"/>
        <v>echo {"issue":{"subject":"Early Arrival","project_id":79,"tracker_id":40,"status_id":1,"priority_id":2,"assigned_to_id":338,"start_date":"2017-09-14","description":"","custom_fields":[{"id":1,"name":"Subdivision","value":"EC"},{"id":4,"name":"Milepost","value":"2.735"},{"id":17,"name":"Train ID","value":"150-14"},{"id":16,"name":"Locomotive ID","value":"4059"},{"id":130,"name":"Impact","value":""},{"id":150,"name":"Time of Event (Mountain Time)","value":"11:17:33"},{"id":151,"name":"Denver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/c/Users/stu/AppData/Local/Temp/OnboardLogs/RTDC4059 --include="*4059*201709141*"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"%USERPROFILE%\AppData\Local\Temp\OnboardLogs"\RTDC4059\*4059*201709141* &gt;&gt; 2017-09-14-SliceDisagreementCheck.txt</v>
      </c>
      <c r="AE8" s="145" t="str">
        <f t="shared" ref="AE8:AE56" si="9">"start /low /b "&amp;dls3logs&amp;" --loco "&amp;U8&amp;" --day "&amp;TEXT(V8,"YYYY-MM-DD")</f>
        <v>start /low /b %USERPROFILE%\Documents\GitHub\eaglep3\Utilities\DownloadLogsFromS3.py --loco 4059 --day 2017-09-14</v>
      </c>
    </row>
    <row r="9" spans="1:32" s="1" customFormat="1" x14ac:dyDescent="0.25">
      <c r="A9" s="31">
        <v>42992.469699074078</v>
      </c>
      <c r="B9" s="30" t="s">
        <v>403</v>
      </c>
      <c r="C9" s="30" t="s">
        <v>587</v>
      </c>
      <c r="D9" s="30" t="s">
        <v>49</v>
      </c>
      <c r="E9" s="30" t="s">
        <v>187</v>
      </c>
      <c r="F9" s="42">
        <v>110</v>
      </c>
      <c r="G9" s="42">
        <v>170</v>
      </c>
      <c r="H9" s="42">
        <v>27566</v>
      </c>
      <c r="I9" s="42">
        <v>27432</v>
      </c>
      <c r="J9" s="30" t="s">
        <v>188</v>
      </c>
      <c r="K9" s="42">
        <v>27350</v>
      </c>
      <c r="L9" s="131" t="s">
        <v>51</v>
      </c>
      <c r="M9" s="132">
        <f t="shared" si="0"/>
        <v>43.296000000000006</v>
      </c>
      <c r="N9" s="133" t="str">
        <f>VLOOKUP(C9,'Trips&amp;Operators'!$C$1:$G$99911,5,FALSE)</f>
        <v>GEBRETEKLE DAGNEW</v>
      </c>
      <c r="O9" s="180" t="s">
        <v>180</v>
      </c>
      <c r="P9" s="134" t="s">
        <v>370</v>
      </c>
      <c r="Q9" s="30"/>
      <c r="R9" s="81" t="str">
        <f>VLOOKUP(C9,'Train Runs'!$A$13:$AE$9949,31,0)</f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S9" s="84" t="str">
        <f>VLOOKUP(C9,'Train Runs'!$A$13:$AE$9949,22,0)</f>
        <v>https://d0f6bd738d7f1b3e5a7ca70fe4ff75f0.us-east-1.aws.found.io/app/kibana#/discover/Steve-Slow-Train-Analysis-(2080s-and-2083s)?_g=(refreshInterval:(display:Off,pause:!f,section:0,value:0),time:(from:'2017-09-14T09:22:29-0600',mode:absolute,to:'2017-09-14T12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/stypes="*4059*201709141*"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42992.719699074078</v>
      </c>
      <c r="W9" s="45" t="str">
        <f t="shared" si="4"/>
        <v>EC</v>
      </c>
      <c r="X9" s="22">
        <f t="shared" si="5"/>
        <v>150</v>
      </c>
      <c r="Y9" s="96" t="str">
        <f t="shared" si="6"/>
        <v>echo {"issue":{"subject":"Early Arrival","project_id":79,"tracker_id":40,"status_id":1,"priority_id":2,"assigned_to_id":338,"start_date":"2017-09-14","description":"","custom_fields":[{"id":1,"name":"Subdivision","value":"EC"},{"id":4,"name":"Milepost","value":"2.735"},{"id":17,"name":"Train ID","value":"150-14"},{"id":16,"name":"Locomotive ID","value":"4059"},{"id":130,"name":"Impact","value":""},{"id":150,"name":"Time of Event (Mountain Time)","value":"11:16:22"},{"id":151,"name":"Denver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/c/Users/stu/AppData/Local/Temp/OnboardLogs/RTDC4059 --include="*4059*201709141*"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"%USERPROFILE%\AppData\Local\Temp\OnboardLogs"\RTDC4059\*4059*201709141* &gt;&gt; 2017-09-14-SliceDisagreementCheck.txt</v>
      </c>
      <c r="AE9" s="145" t="str">
        <f t="shared" si="9"/>
        <v>start /low /b %USERPROFILE%\Documents\GitHub\eaglep3\Utilities\DownloadLogsFromS3.py --loco 4059 --day 2017-09-14</v>
      </c>
    </row>
    <row r="10" spans="1:32" s="1" customFormat="1" x14ac:dyDescent="0.25">
      <c r="A10" s="31">
        <v>42992.507824074077</v>
      </c>
      <c r="B10" s="30" t="s">
        <v>594</v>
      </c>
      <c r="C10" s="30" t="s">
        <v>595</v>
      </c>
      <c r="D10" s="30" t="s">
        <v>96</v>
      </c>
      <c r="E10" s="30" t="s">
        <v>187</v>
      </c>
      <c r="F10" s="42">
        <v>420</v>
      </c>
      <c r="G10" s="42">
        <v>472</v>
      </c>
      <c r="H10" s="42">
        <v>33147</v>
      </c>
      <c r="I10" s="42">
        <v>34327</v>
      </c>
      <c r="J10" s="30" t="s">
        <v>188</v>
      </c>
      <c r="K10" s="42">
        <v>33137</v>
      </c>
      <c r="L10" s="131" t="s">
        <v>50</v>
      </c>
      <c r="M10" s="132">
        <f t="shared" si="0"/>
        <v>-628.32000000000005</v>
      </c>
      <c r="N10" s="133" t="str">
        <f>VLOOKUP(C10,'Trips&amp;Operators'!$C$1:$G$99911,5,FALSE)</f>
        <v>DELGADO DIANAH</v>
      </c>
      <c r="O10" s="180" t="s">
        <v>180</v>
      </c>
      <c r="P10" s="134" t="s">
        <v>370</v>
      </c>
      <c r="Q10" s="30"/>
      <c r="R10" s="81" t="str">
        <f>VLOOKUP(C10,'Train Runs'!$A$13:$AE$9949,31,0)</f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S10" s="84" t="str">
        <f>VLOOKUP(C10,'Train Runs'!$A$13:$AE$9949,22,0)</f>
        <v>https://d0f6bd738d7f1b3e5a7ca70fe4ff75f0.us-east-1.aws.found.io/app/kibana#/discover/Steve-Slow-Train-Analysis-(2080s-and-2083s)?_g=(refreshInterval:(display:Off,pause:!f,section:0,value:0),time:(from:'2017-09-14T11:00:58-0600',mode:absolute,to:'2017-09-14T13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 t="shared" si="1"/>
        <v>"C:\Program Files (x86)\AstroGrep\AstroGrep.exe" /e /r /s /spath="%USERPROFILE%\AppData\Local\Temp\OnboardLogs" /stypes="*4004*201709141*"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42992.757824074077</v>
      </c>
      <c r="W10" s="45" t="str">
        <f t="shared" si="4"/>
        <v>EC</v>
      </c>
      <c r="X10" s="22">
        <f t="shared" si="5"/>
        <v>167</v>
      </c>
      <c r="Y10" s="96" t="str">
        <f t="shared" si="6"/>
        <v>echo {"issue":{"subject":"Early Arrival","project_id":79,"tracker_id":40,"status_id":1,"priority_id":2,"assigned_to_id":338,"start_date":"2017-09-14","description":"","custom_fields":[{"id":1,"name":"Subdivision","value":"EC"},{"id":4,"name":"Milepost","value":"3.3137"},{"id":17,"name":"Train ID","value":"167-14"},{"id":16,"name":"Locomotive ID","value":"4004"},{"id":130,"name":"Impact","value":""},{"id":150,"name":"Time of Event (Mountain Time)","value":"12:11:16"},{"id":151,"name":"Denver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/c/Users/stu/AppData/Local/Temp/OnboardLogs/RTDC4004 --include="*4004*201709141*"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"%USERPROFILE%\AppData\Local\Temp\OnboardLogs"\RTDC4004\*4004*201709141* &gt;&gt; 2017-09-14-SliceDisagreementCheck.txt</v>
      </c>
      <c r="AE10" s="145" t="str">
        <f t="shared" si="9"/>
        <v>start /low /b %USERPROFILE%\Documents\GitHub\eaglep3\Utilities\DownloadLogsFromS3.py --loco 4004 --day 2017-09-14</v>
      </c>
    </row>
    <row r="11" spans="1:32" s="1" customFormat="1" x14ac:dyDescent="0.25">
      <c r="A11" s="31">
        <v>42992.436296296299</v>
      </c>
      <c r="B11" s="30" t="s">
        <v>428</v>
      </c>
      <c r="C11" s="30" t="s">
        <v>586</v>
      </c>
      <c r="D11" s="30" t="s">
        <v>49</v>
      </c>
      <c r="E11" s="30" t="s">
        <v>187</v>
      </c>
      <c r="F11" s="42">
        <v>0</v>
      </c>
      <c r="G11" s="42">
        <v>480</v>
      </c>
      <c r="H11" s="42">
        <v>61870</v>
      </c>
      <c r="I11" s="42">
        <v>63029</v>
      </c>
      <c r="J11" s="30" t="s">
        <v>188</v>
      </c>
      <c r="K11" s="42">
        <v>63069</v>
      </c>
      <c r="L11" s="131" t="s">
        <v>50</v>
      </c>
      <c r="M11" s="132">
        <f t="shared" si="0"/>
        <v>21.12</v>
      </c>
      <c r="N11" s="133" t="str">
        <f>VLOOKUP(C11,'Trips&amp;Operators'!$C$1:$G$99911,5,FALSE)</f>
        <v>DAVIS WENDY</v>
      </c>
      <c r="O11" s="180" t="s">
        <v>180</v>
      </c>
      <c r="P11" s="134" t="s">
        <v>370</v>
      </c>
      <c r="Q11" s="30"/>
      <c r="R11" s="81" t="str">
        <f>VLOOKUP(C11,'Train Runs'!$A$13:$AE$9949,31,0)</f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S11" s="84" t="str">
        <f>VLOOKUP(C11,'Train Runs'!$A$13:$AE$9949,22,0)</f>
        <v>https://d0f6bd738d7f1b3e5a7ca70fe4ff75f0.us-east-1.aws.found.io/app/kibana#/discover/Steve-Slow-Train-Analysis-(2080s-and-2083s)?_g=(refreshInterval:(display:Off,pause:!f,section:0,value:0),time:(from:'2017-09-14T09:08:44-0600',mode:absolute,to:'2017-09-14T11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1" s="86" t="str">
        <f t="shared" si="1"/>
        <v>"C:\Program Files (x86)\AstroGrep\AstroGrep.exe" /e /r /s /spath="%USERPROFILE%\AppData\Local\Temp\OnboardLogs" /stypes="*4026*201709141*"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4026</v>
      </c>
      <c r="V11" s="31">
        <f t="shared" si="3"/>
        <v>42992.686296296299</v>
      </c>
      <c r="W11" s="45" t="str">
        <f t="shared" si="4"/>
        <v>EC</v>
      </c>
      <c r="X11" s="22">
        <f t="shared" si="5"/>
        <v>153</v>
      </c>
      <c r="Y11" s="96" t="str">
        <f t="shared" si="6"/>
        <v>echo {"issue":{"subject":"Early Arrival","project_id":79,"tracker_id":40,"status_id":1,"priority_id":2,"assigned_to_id":338,"start_date":"2017-09-14","description":"","custom_fields":[{"id":1,"name":"Subdivision","value":"EC"},{"id":4,"name":"Milepost","value":"6.3069"},{"id":17,"name":"Train ID","value":"153-14"},{"id":16,"name":"Locomotive ID","value":"4026"},{"id":130,"name":"Impact","value":""},{"id":150,"name":"Time of Event (Mountain Time)","value":"10:28:16"},{"id":151,"name":"Denver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/c/Users/stu/AppData/Local/Temp/OnboardLogs/RTDC4026 --include="*4026*201709141*"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"%USERPROFILE%\AppData\Local\Temp\OnboardLogs"\RTDC4026\*4026*201709141* &gt;&gt; 2017-09-14-SliceDisagreementCheck.txt</v>
      </c>
      <c r="AE11" s="145" t="str">
        <f t="shared" si="9"/>
        <v>start /low /b %USERPROFILE%\Documents\GitHub\eaglep3\Utilities\DownloadLogsFromS3.py --loco 4026 --day 2017-09-14</v>
      </c>
    </row>
    <row r="12" spans="1:32" x14ac:dyDescent="0.25">
      <c r="A12" s="31">
        <v>42992.573148148149</v>
      </c>
      <c r="B12" s="30" t="s">
        <v>598</v>
      </c>
      <c r="C12" s="30" t="s">
        <v>599</v>
      </c>
      <c r="D12" s="30" t="s">
        <v>49</v>
      </c>
      <c r="E12" s="30" t="s">
        <v>187</v>
      </c>
      <c r="F12" s="42">
        <v>340</v>
      </c>
      <c r="G12" s="42">
        <v>412</v>
      </c>
      <c r="H12" s="42">
        <v>110445</v>
      </c>
      <c r="I12" s="42">
        <v>109080</v>
      </c>
      <c r="J12" s="30" t="s">
        <v>188</v>
      </c>
      <c r="K12" s="42">
        <v>109135</v>
      </c>
      <c r="L12" s="131" t="s">
        <v>51</v>
      </c>
      <c r="M12" s="132">
        <f t="shared" si="0"/>
        <v>-29.04</v>
      </c>
      <c r="N12" s="133" t="str">
        <f>VLOOKUP(C12,'Trips&amp;Operators'!$C$1:$G$99911,5,FALSE)</f>
        <v>BADERTSCHER DIANE</v>
      </c>
      <c r="O12" s="180" t="s">
        <v>180</v>
      </c>
      <c r="P12" s="134" t="s">
        <v>370</v>
      </c>
      <c r="Q12" s="30"/>
      <c r="R12" s="81" t="str">
        <f>VLOOKUP(C12,'Train Runs'!$A$13:$AE$9949,31,0)</f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S12" s="84" t="str">
        <f>VLOOKUP(C12,'Train Runs'!$A$13:$AE$9949,22,0)</f>
        <v>https://d0f6bd738d7f1b3e5a7ca70fe4ff75f0.us-east-1.aws.found.io/app/kibana#/discover/Steve-Slow-Train-Analysis-(2080s-and-2083s)?_g=(refreshInterval:(display:Off,pause:!f,section:0,value:0),time:(from:'2017-09-14T12:19:48-0600',mode:absolute,to:'2017-09-14T15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2" s="86" t="str">
        <f t="shared" si="1"/>
        <v>"C:\Program Files (x86)\AstroGrep\AstroGrep.exe" /e /r /s /spath="%USERPROFILE%\AppData\Local\Temp\OnboardLogs" /stypes="*4057*201709141*"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4057</v>
      </c>
      <c r="V12" s="31">
        <f t="shared" si="3"/>
        <v>42992.823148148149</v>
      </c>
      <c r="W12" s="45" t="str">
        <f t="shared" si="4"/>
        <v>EC</v>
      </c>
      <c r="X12" s="22">
        <f t="shared" si="5"/>
        <v>172</v>
      </c>
      <c r="Y12" s="96" t="str">
        <f t="shared" si="6"/>
        <v>echo {"issue":{"subject":"Early Arrival","project_id":79,"tracker_id":40,"status_id":1,"priority_id":2,"assigned_to_id":338,"start_date":"2017-09-14","description":"","custom_fields":[{"id":1,"name":"Subdivision","value":"EC"},{"id":4,"name":"Milepost","value":"10.9135"},{"id":17,"name":"Train ID","value":"172-14"},{"id":16,"name":"Locomotive ID","value":"4057"},{"id":130,"name":"Impact","value":""},{"id":150,"name":"Time of Event (Mountain Time)","value":"13:45:20"},{"id":151,"name":"Denver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/c/Users/stu/AppData/Local/Temp/OnboardLogs/RTDC4057 --include="*4057*201709141*"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"%USERPROFILE%\AppData\Local\Temp\OnboardLogs"\RTDC4057\*4057*201709141* &gt;&gt; 2017-09-14-SliceDisagreementCheck.txt</v>
      </c>
      <c r="AE12" s="145" t="str">
        <f t="shared" si="9"/>
        <v>start /low /b %USERPROFILE%\Documents\GitHub\eaglep3\Utilities\DownloadLogsFromS3.py --loco 4057 --day 2017-09-14</v>
      </c>
      <c r="AF12" s="1"/>
    </row>
    <row r="13" spans="1:32" x14ac:dyDescent="0.25">
      <c r="A13" s="31">
        <v>42992.482210648152</v>
      </c>
      <c r="B13" s="30" t="s">
        <v>407</v>
      </c>
      <c r="C13" s="30" t="s">
        <v>590</v>
      </c>
      <c r="D13" s="30" t="s">
        <v>96</v>
      </c>
      <c r="E13" s="30" t="s">
        <v>195</v>
      </c>
      <c r="F13" s="42">
        <v>150</v>
      </c>
      <c r="G13" s="42">
        <v>200</v>
      </c>
      <c r="H13" s="42">
        <v>3554</v>
      </c>
      <c r="I13" s="42">
        <v>3820</v>
      </c>
      <c r="J13" s="30" t="s">
        <v>196</v>
      </c>
      <c r="K13" s="42">
        <v>0</v>
      </c>
      <c r="L13" s="131" t="s">
        <v>50</v>
      </c>
      <c r="M13" s="132">
        <f t="shared" si="0"/>
        <v>-2016.96</v>
      </c>
      <c r="N13" s="133" t="str">
        <f>VLOOKUP(C13,'Trips&amp;Operators'!$C$1:$G$99911,5,FALSE)</f>
        <v>MOSES BRADLEY</v>
      </c>
      <c r="O13" s="180" t="s">
        <v>180</v>
      </c>
      <c r="P13" s="134"/>
      <c r="Q13" s="30"/>
      <c r="R13" s="81" t="str">
        <f>VLOOKUP(C13,'Train Runs'!$A$13:$AE$9949,31,0)</f>
        <v>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 &amp; aws s3 cp s3://rtdc.mdm.uploadarchive.raw/RTDC4060/ "%USERPROFILE%\AppData\Local\Temp\OnboardLogs"\RTDC4060\2017-09-15 --exclude "*" --recursive --include "*20170915*" &amp; "%USERPROFILE%\Documents\GitHub\mrs-test-scripts\Headless Mode &amp; Sideloading\WalkAndUnGZ.bat" "%USERPROFILE%\AppData\Local\Temp\OnboardLogs"\RTDC4060\2017-09-15</v>
      </c>
      <c r="S13" s="84" t="str">
        <f>VLOOKUP(C13,'Train Runs'!$A$13:$AE$9949,22,0)</f>
        <v>https://d0f6bd738d7f1b3e5a7ca70fe4ff75f0.us-east-1.aws.found.io/app/kibana#/discover/Steve-Slow-Train-Analysis-(2080s-and-2083s)?_g=(refreshInterval:(display:Off,pause:!f,section:0,value:0),time:(from:'2017-09-14T10:28:07-0600',mode:absolute,to:'2017-09-14T13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3" s="86" t="str">
        <f t="shared" si="1"/>
        <v>"C:\Program Files (x86)\AstroGrep\AstroGrep.exe" /e /r /s /spath="%USERPROFILE%\AppData\Local\Temp\OnboardLogs" /stypes="*4060*201709141*"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4060</v>
      </c>
      <c r="V13" s="31">
        <f t="shared" si="3"/>
        <v>42992.732210648152</v>
      </c>
      <c r="W13" s="45" t="str">
        <f t="shared" si="4"/>
        <v>EC</v>
      </c>
      <c r="X13" s="22">
        <f t="shared" si="5"/>
        <v>163</v>
      </c>
      <c r="Y13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{"issue":{"subject":"","project_id":79,"tracker_id":40,"status_id":1,"priority_id":2,"assigned_to_id":338,"start_date":"2017-09-14","description":"","custom_fields":[{"id":1,"name":"Subdivision","value":"EC"},{"id":4,"name":"Milepost","value":"0"},{"id":17,"name":"Train ID","value":"163-14"},{"id":16,"name":"Locomotive ID","value":"4060"},{"id":130,"name":"Impact","value":""},{"id":150,"name":"Time of Event (Mountain Time)","value":"11:34:23"},{"id":151,"name":"Denver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/c/Users/stu/AppData/Local/Temp/OnboardLogs/RTDC4060 --include="*4060*201709141*"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"%USERPROFILE%\AppData\Local\Temp\OnboardLogs"\RTDC4060\*4060*201709141* &gt;&gt; 2017-09-14-SliceDisagreementCheck.txt</v>
      </c>
      <c r="AE13" s="145" t="str">
        <f t="shared" si="9"/>
        <v>start /low /b %USERPROFILE%\Documents\GitHub\eaglep3\Utilities\DownloadLogsFromS3.py --loco 4060 --day 2017-09-14</v>
      </c>
      <c r="AF13" s="1"/>
    </row>
    <row r="14" spans="1:32" x14ac:dyDescent="0.25">
      <c r="A14" s="31">
        <v>42992.64880787037</v>
      </c>
      <c r="B14" s="30" t="s">
        <v>594</v>
      </c>
      <c r="C14" s="30" t="s">
        <v>602</v>
      </c>
      <c r="D14" s="30" t="s">
        <v>49</v>
      </c>
      <c r="E14" s="30" t="s">
        <v>195</v>
      </c>
      <c r="F14" s="42">
        <v>400</v>
      </c>
      <c r="G14" s="42">
        <v>454</v>
      </c>
      <c r="H14" s="42">
        <v>17490</v>
      </c>
      <c r="I14" s="42">
        <v>18232</v>
      </c>
      <c r="J14" s="30" t="s">
        <v>196</v>
      </c>
      <c r="K14" s="42">
        <v>17867</v>
      </c>
      <c r="L14" s="131" t="s">
        <v>50</v>
      </c>
      <c r="M14" s="132">
        <f t="shared" si="0"/>
        <v>-192.72</v>
      </c>
      <c r="N14" s="133" t="str">
        <f>VLOOKUP(C14,'Trips&amp;Operators'!$C$1:$G$99911,5,FALSE)</f>
        <v>DELGADO DIANAH</v>
      </c>
      <c r="O14" s="180" t="s">
        <v>180</v>
      </c>
      <c r="P14" s="134"/>
      <c r="Q14" s="30"/>
      <c r="R14" s="81" t="str">
        <f>VLOOKUP(C14,'Train Runs'!$A$13:$AE$9949,31,0)</f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S14" s="84" t="str">
        <f>VLOOKUP(C14,'Train Runs'!$A$13:$AE$9949,22,0)</f>
        <v>https://d0f6bd738d7f1b3e5a7ca70fe4ff75f0.us-east-1.aws.found.io/app/kibana#/discover/Steve-Slow-Train-Analysis-(2080s-and-2083s)?_g=(refreshInterval:(display:Off,pause:!f,section:0,value:0),time:(from:'2017-09-14T14:20:55-0600',mode:absolute,to:'2017-09-14T17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86" t="str">
        <f t="shared" si="1"/>
        <v>"C:\Program Files (x86)\AstroGrep\AstroGrep.exe" /e /r /s /spath="%USERPROFILE%\AppData\Local\Temp\OnboardLogs" /stypes="*4004*201709142*" /stext=" 21:.+((SYSTEM_STATE.+slice.+state.+changed )|(ment ac)|(multiple cpu faults)|(system.+state.+changed )|(\[timeout)|(PRM\|1\|D)|(kpr)|(kdp)|(train st.+moving)|(\|lc)|(penalty))"</v>
      </c>
      <c r="U14" s="9" t="str">
        <f t="shared" si="2"/>
        <v>4004</v>
      </c>
      <c r="V14" s="31">
        <f t="shared" si="3"/>
        <v>42992.89880787037</v>
      </c>
      <c r="W14" s="45" t="str">
        <f t="shared" si="4"/>
        <v>EC</v>
      </c>
      <c r="X14" s="22">
        <f t="shared" si="5"/>
        <v>195</v>
      </c>
      <c r="Y14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{"issue":{"subject":"","project_id":79,"tracker_id":40,"status_id":1,"priority_id":2,"assigned_to_id":338,"start_date":"2017-09-14","description":"","custom_fields":[{"id":1,"name":"Subdivision","value":"EC"},{"id":4,"name":"Milepost","value":"1.7867"},{"id":17,"name":"Train ID","value":"195-14"},{"id":16,"name":"Locomotive ID","value":"4004"},{"id":130,"name":"Impact","value":""},{"id":150,"name":"Time of Event (Mountain Time)","value":"15:34:17"},{"id":151,"name":"Denver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/c/Users/stu/AppData/Local/Temp/OnboardLogs/RTDC4004 --include="*4004*201709142*"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"%USERPROFILE%\AppData\Local\Temp\OnboardLogs"\RTDC4004\*4004*201709142* &gt;&gt; 2017-09-14-SliceDisagreementCheck.txt</v>
      </c>
      <c r="AE14" s="145" t="str">
        <f t="shared" si="9"/>
        <v>start /low /b %USERPROFILE%\Documents\GitHub\eaglep3\Utilities\DownloadLogsFromS3.py --loco 4004 --day 2017-09-14</v>
      </c>
      <c r="AF14" s="1"/>
    </row>
    <row r="15" spans="1:32" x14ac:dyDescent="0.25">
      <c r="A15" s="31">
        <v>42992.676435185182</v>
      </c>
      <c r="B15" s="30" t="s">
        <v>427</v>
      </c>
      <c r="C15" s="30" t="s">
        <v>606</v>
      </c>
      <c r="D15" s="30" t="s">
        <v>49</v>
      </c>
      <c r="E15" s="30" t="s">
        <v>195</v>
      </c>
      <c r="F15" s="42">
        <v>300</v>
      </c>
      <c r="G15" s="42">
        <v>397</v>
      </c>
      <c r="H15" s="42">
        <v>23227</v>
      </c>
      <c r="I15" s="42">
        <v>22113</v>
      </c>
      <c r="J15" s="30" t="s">
        <v>196</v>
      </c>
      <c r="K15" s="42">
        <v>21848</v>
      </c>
      <c r="L15" s="131" t="s">
        <v>51</v>
      </c>
      <c r="M15" s="132">
        <f t="shared" si="0"/>
        <v>139.91999999999999</v>
      </c>
      <c r="N15" s="133" t="str">
        <f>VLOOKUP(C15,'Trips&amp;Operators'!$C$1:$G$99911,5,FALSE)</f>
        <v>KILLION DAVID</v>
      </c>
      <c r="O15" s="180" t="s">
        <v>180</v>
      </c>
      <c r="P15" s="134"/>
      <c r="Q15" s="30"/>
      <c r="R15" s="81" t="str">
        <f>VLOOKUP(C15,'Train Runs'!$A$13:$AE$9949,31,0)</f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S15" s="84" t="str">
        <f>VLOOKUP(C15,'Train Runs'!$A$13:$AE$9949,22,0)</f>
        <v>https://d0f6bd738d7f1b3e5a7ca70fe4ff75f0.us-east-1.aws.found.io/app/kibana#/discover/Steve-Slow-Train-Analysis-(2080s-and-2083s)?_g=(refreshInterval:(display:Off,pause:!f,section:0,value:0),time:(from:'2017-09-14T14:33:16-0600',mode:absolute,to:'2017-09-14T17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 t="shared" si="1"/>
        <v>"C:\Program Files (x86)\AstroGrep\AstroGrep.exe" /e /r /s /spath="%USERPROFILE%\AppData\Local\Temp\OnboardLogs" /stypes="*4029*201709142*" /stext=" 22:.+((SYSTEM_STATE.+slice.+state.+changed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42992.926435185182</v>
      </c>
      <c r="W15" s="45" t="str">
        <f t="shared" si="4"/>
        <v>EC</v>
      </c>
      <c r="X15" s="22">
        <f t="shared" si="5"/>
        <v>190</v>
      </c>
      <c r="Y15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{"issue":{"subject":"","project_id":79,"tracker_id":40,"status_id":1,"priority_id":2,"assigned_to_id":338,"start_date":"2017-09-14","description":"","custom_fields":[{"id":1,"name":"Subdivision","value":"EC"},{"id":4,"name":"Milepost","value":"2.1848"},{"id":17,"name":"Train ID","value":"190-14"},{"id":16,"name":"Locomotive ID","value":"4029"},{"id":130,"name":"Impact","value":""},{"id":150,"name":"Time of Event (Mountain Time)","value":"16:14:04"},{"id":151,"name":"Denver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/c/Users/stu/AppData/Local/Temp/OnboardLogs/RTDC4029 --include="*4029*201709142*"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"%USERPROFILE%\AppData\Local\Temp\OnboardLogs"\RTDC4029\*4029*201709142* &gt;&gt; 2017-09-14-SliceDisagreementCheck.txt</v>
      </c>
      <c r="AE15" s="145" t="str">
        <f t="shared" si="9"/>
        <v>start /low /b %USERPROFILE%\Documents\GitHub\eaglep3\Utilities\DownloadLogsFromS3.py --loco 4029 --day 2017-09-14</v>
      </c>
      <c r="AF15" s="1"/>
    </row>
    <row r="16" spans="1:32" x14ac:dyDescent="0.25">
      <c r="A16" s="31">
        <v>42993.065150462964</v>
      </c>
      <c r="B16" s="30" t="s">
        <v>402</v>
      </c>
      <c r="C16" s="30" t="s">
        <v>616</v>
      </c>
      <c r="D16" s="30" t="s">
        <v>96</v>
      </c>
      <c r="E16" s="30" t="s">
        <v>195</v>
      </c>
      <c r="F16" s="42">
        <v>600</v>
      </c>
      <c r="G16" s="42">
        <v>651</v>
      </c>
      <c r="H16" s="42">
        <v>184363</v>
      </c>
      <c r="I16" s="42">
        <v>181122</v>
      </c>
      <c r="J16" s="30" t="s">
        <v>196</v>
      </c>
      <c r="K16" s="42">
        <v>190834</v>
      </c>
      <c r="L16" s="131" t="s">
        <v>51</v>
      </c>
      <c r="M16" s="132">
        <f t="shared" si="0"/>
        <v>-5127.9359999999997</v>
      </c>
      <c r="N16" s="133" t="str">
        <f>VLOOKUP(C16,'Trips&amp;Operators'!$C$1:$G$99911,5,FALSE)</f>
        <v>PERKINS DARREN</v>
      </c>
      <c r="O16" s="180" t="s">
        <v>180</v>
      </c>
      <c r="P16" s="134"/>
      <c r="Q16" s="30"/>
      <c r="R16" s="81" t="str">
        <f>VLOOKUP(C16,'Train Runs'!$A$13:$AE$9949,31,0)</f>
        <v>aws s3 cp s3://rtdc.mdm.uploadarchive.raw/RTDC4031/ "%USERPROFILE%\AppData\Local\Temp\OnboardLogs"\RTDC4031\2017-09-15 --exclude "*" --recursive --include "*20170915*" &amp; "%USERPROFILE%\Documents\GitHub\mrs-test-scripts\Headless Mode &amp; Sideloading\WalkAndUnGZ.bat" "%USERPROFILE%\AppData\Local\Temp\OnboardLogs"\RTDC4031\2017-09-15 &amp; 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</v>
      </c>
      <c r="S16" s="84" t="str">
        <f>VLOOKUP(C16,'Train Runs'!$A$13:$AE$9949,22,0)</f>
        <v>https://d0f6bd738d7f1b3e5a7ca70fe4ff75f0.us-east-1.aws.found.io/app/kibana#/discover/Steve-Slow-Train-Analysis-(2080s-and-2083s)?_g=(refreshInterval:(display:Off,pause:!f,section:0,value:0),time:(from:'2017-09-15T00:13:37-0600',mode:absolute,to:'2017-09-15T03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6" t="str">
        <f t="shared" si="1"/>
        <v>"C:\Program Files (x86)\AstroGrep\AstroGrep.exe" /e /r /s /spath="%USERPROFILE%\AppData\Local\Temp\OnboardLogs" /stypes="*4031*201709150*"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42993.315150462964</v>
      </c>
      <c r="W16" s="45" t="str">
        <f t="shared" si="4"/>
        <v>EC</v>
      </c>
      <c r="X16" s="22">
        <f t="shared" si="5"/>
        <v>244</v>
      </c>
      <c r="Y16" s="96" t="str">
        <f t="shared" si="6"/>
        <v>echo {"issue":{"subject":"","project_id":79,"tracker_id":40,"status_id":1,"priority_id":2,"assigned_to_id":338,"start_date":"2017-09-15","description":"","custom_fields":[{"id":1,"name":"Subdivision","value":"EC"},{"id":4,"name":"Milepost","value":"19.0834"},{"id":17,"name":"Train ID","value":"244-14"},{"id":16,"name":"Locomotive ID","value":"4031"},{"id":130,"name":"Impact","value":""},{"id":150,"name":"Time of Event (Mountain Time)","value":"01:33:49"},{"id":151,"name":"Denver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/c/Users/stu/AppData/Local/Temp/OnboardLogs/RTDC4031 --include="*4031*201709150*"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"%USERPROFILE%\AppData\Local\Temp\OnboardLogs"\RTDC4031\*4031*201709150* &gt;&gt; 2017-09-14-SliceDisagreementCheck.txt</v>
      </c>
      <c r="AE16" s="145" t="str">
        <f t="shared" si="9"/>
        <v>start /low /b %USERPROFILE%\Documents\GitHub\eaglep3\Utilities\DownloadLogsFromS3.py --loco 4031 --day 2017-09-15</v>
      </c>
      <c r="AF16" s="1"/>
    </row>
    <row r="17" spans="1:32" x14ac:dyDescent="0.25">
      <c r="A17" s="31">
        <v>42992.719895833332</v>
      </c>
      <c r="B17" s="30" t="s">
        <v>592</v>
      </c>
      <c r="C17" s="30" t="s">
        <v>609</v>
      </c>
      <c r="D17" s="30" t="s">
        <v>49</v>
      </c>
      <c r="E17" s="30" t="s">
        <v>362</v>
      </c>
      <c r="F17" s="42">
        <v>0</v>
      </c>
      <c r="G17" s="42">
        <v>395</v>
      </c>
      <c r="H17" s="42">
        <v>17737</v>
      </c>
      <c r="I17" s="42">
        <v>16116</v>
      </c>
      <c r="J17" s="30" t="s">
        <v>363</v>
      </c>
      <c r="K17" s="42">
        <v>17100</v>
      </c>
      <c r="L17" s="131" t="s">
        <v>51</v>
      </c>
      <c r="M17" s="132">
        <f t="shared" si="0"/>
        <v>-519.55200000000002</v>
      </c>
      <c r="N17" s="133" t="str">
        <f>VLOOKUP(C17,'Trips&amp;Operators'!$C$1:$G$99911,5,FALSE)</f>
        <v>LEVERE CRAIG</v>
      </c>
      <c r="O17" s="180" t="s">
        <v>617</v>
      </c>
      <c r="P17" s="134" t="s">
        <v>1018</v>
      </c>
      <c r="Q17" s="30"/>
      <c r="R17" s="81" t="str">
        <f>VLOOKUP(C17,'Train Runs'!$A$13:$AE$9949,31,0)</f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S17" s="84" t="str">
        <f>VLOOKUP(C17,'Train Runs'!$A$13:$AE$9949,22,0)</f>
        <v>https://d0f6bd738d7f1b3e5a7ca70fe4ff75f0.us-east-1.aws.found.io/app/kibana#/discover/Steve-Slow-Train-Analysis-(2080s-and-2083s)?_g=(refreshInterval:(display:Off,pause:!f,section:0,value:0),time:(from:'2017-09-14T15:37:27-0600',mode:absolute,to:'2017-09-14T18:15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/stypes="*4001*201709142*"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42992.969895833332</v>
      </c>
      <c r="W17" s="45" t="str">
        <f t="shared" si="4"/>
        <v>EC</v>
      </c>
      <c r="X17" s="22">
        <f t="shared" si="5"/>
        <v>198</v>
      </c>
      <c r="Y17" s="96" t="str">
        <f t="shared" si="6"/>
        <v>echo {"issue":{"subject":"Premature downgrade at Bright 4S","project_id":79,"tracker_id":40,"status_id":1,"priority_id":2,"assigned_to_id":338,"start_date":"2017-09-14","description":"9/14/2017  17:16:16 Bright 4S dropped from Proceed Cab to Stop while train was approx 0.6 miles away, do logs tell of anything unusual?","custom_fields":[{"id":1,"name":"Subdivision","value":"EC"},{"id":4,"name":"Milepost","value":"1.71"},{"id":17,"name":"Train ID","value":"198-14"},{"id":16,"name":"Locomotive ID","value":"4001"},{"id":130,"name":"Impact","value":"Enforcement"},{"id":150,"name":"Time of Event (Mountain Time)","value":"17:16:39"},{"id":151,"name":"Denver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17" s="159" t="s">
        <v>1019</v>
      </c>
      <c r="AA17" s="47" t="s">
        <v>120</v>
      </c>
      <c r="AB17" s="47" t="s">
        <v>125</v>
      </c>
      <c r="AC17" s="115" t="str">
        <f t="shared" si="7"/>
        <v>grep -hrE -A400 "Enforcement Action" /c/Users/stu/AppData/Local/Temp/OnboardLogs/RTDC4001 --include="*4001*201709142*"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"%USERPROFILE%\AppData\Local\Temp\OnboardLogs"\RTDC4001\*4001*201709142* &gt;&gt; 2017-09-14-SliceDisagreementCheck.txt</v>
      </c>
      <c r="AE17" s="145" t="str">
        <f t="shared" si="9"/>
        <v>start /low /b %USERPROFILE%\Documents\GitHub\eaglep3\Utilities\DownloadLogsFromS3.py --loco 4001 --day 2017-09-14</v>
      </c>
      <c r="AF17" s="1"/>
    </row>
    <row r="18" spans="1:32" x14ac:dyDescent="0.25">
      <c r="A18" s="31">
        <v>42992.334479166668</v>
      </c>
      <c r="B18" s="30" t="s">
        <v>392</v>
      </c>
      <c r="C18" s="30" t="s">
        <v>584</v>
      </c>
      <c r="D18" s="30" t="s">
        <v>49</v>
      </c>
      <c r="E18" s="30" t="s">
        <v>362</v>
      </c>
      <c r="F18" s="42">
        <v>0</v>
      </c>
      <c r="G18" s="42">
        <v>308</v>
      </c>
      <c r="H18" s="42">
        <v>22347</v>
      </c>
      <c r="I18" s="42">
        <v>21490</v>
      </c>
      <c r="J18" s="30" t="s">
        <v>363</v>
      </c>
      <c r="K18" s="42">
        <v>20632</v>
      </c>
      <c r="L18" s="131" t="s">
        <v>51</v>
      </c>
      <c r="M18" s="132">
        <f t="shared" si="0"/>
        <v>453.024</v>
      </c>
      <c r="N18" s="133" t="str">
        <f>VLOOKUP(C18,'Trips&amp;Operators'!$C$1:$G$99911,5,FALSE)</f>
        <v>WILLIAMS DONTE</v>
      </c>
      <c r="O18" s="180" t="s">
        <v>617</v>
      </c>
      <c r="P18" s="134" t="s">
        <v>1014</v>
      </c>
      <c r="Q18" s="30"/>
      <c r="R18" s="81" t="str">
        <f>VLOOKUP(C18,'Train Runs'!$A$13:$AE$9949,31,0)</f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S18" s="84" t="str">
        <f>VLOOKUP(C18,'Train Runs'!$A$13:$AE$9949,22,0)</f>
        <v>https://d0f6bd738d7f1b3e5a7ca70fe4ff75f0.us-east-1.aws.found.io/app/kibana#/discover/Steve-Slow-Train-Analysis-(2080s-and-2083s)?_g=(refreshInterval:(display:Off,pause:!f,section:0,value:0),time:(from:'2017-09-14T06:08:09-0600',mode:absolute,to:'2017-09-14T09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8" s="86" t="str">
        <f t="shared" si="1"/>
        <v>"C:\Program Files (x86)\AstroGrep\AstroGrep.exe" /e /r /s /spath="%USERPROFILE%\AppData\Local\Temp\OnboardLogs" /stypes="*4061*201709141*"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4061</v>
      </c>
      <c r="V18" s="31">
        <f t="shared" si="3"/>
        <v>42992.584479166668</v>
      </c>
      <c r="W18" s="45" t="str">
        <f t="shared" si="4"/>
        <v>EC</v>
      </c>
      <c r="X18" s="22">
        <f t="shared" si="5"/>
        <v>124</v>
      </c>
      <c r="Y18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drop","project_id":79,"tracker_id":40,"status_id":1,"priority_id":2,"assigned_to_id":338,"start_date":"2017-09-14","description":"","custom_fields":[{"id":1,"name":"Subdivision","value":"EC"},{"id":4,"name":"Milepost","value":"2.0632"},{"id":17,"name":"Train ID","value":"124-14"},{"id":16,"name":"Locomotive ID","value":"4061"},{"id":130,"name":"Impact","value":""},{"id":150,"name":"Time of Event (Mountain Time)","value":"08:01:39"},{"id":151,"name":"Denver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/c/Users/stu/AppData/Local/Temp/OnboardLogs/RTDC4061 --include="*4061*201709141*"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"%USERPROFILE%\AppData\Local\Temp\OnboardLogs"\RTDC4061\*4061*201709141* &gt;&gt; 2017-09-14-SliceDisagreementCheck.txt</v>
      </c>
      <c r="AE18" s="145" t="str">
        <f t="shared" si="9"/>
        <v>start /low /b %USERPROFILE%\Documents\GitHub\eaglep3\Utilities\DownloadLogsFromS3.py --loco 4061 --day 2017-09-14</v>
      </c>
      <c r="AF18" s="1"/>
    </row>
    <row r="19" spans="1:32" x14ac:dyDescent="0.25">
      <c r="A19" s="31">
        <v>42992.459236111114</v>
      </c>
      <c r="B19" s="30" t="s">
        <v>447</v>
      </c>
      <c r="C19" s="30" t="s">
        <v>589</v>
      </c>
      <c r="D19" s="30" t="s">
        <v>49</v>
      </c>
      <c r="E19" s="30" t="s">
        <v>362</v>
      </c>
      <c r="F19" s="42">
        <v>0</v>
      </c>
      <c r="G19" s="42">
        <v>785</v>
      </c>
      <c r="H19" s="42">
        <v>78785</v>
      </c>
      <c r="I19" s="42">
        <v>82954</v>
      </c>
      <c r="J19" s="30" t="s">
        <v>363</v>
      </c>
      <c r="K19" s="42">
        <v>81738</v>
      </c>
      <c r="L19" s="131" t="s">
        <v>50</v>
      </c>
      <c r="M19" s="132">
        <f t="shared" si="0"/>
        <v>-642.048</v>
      </c>
      <c r="N19" s="133" t="str">
        <f>VLOOKUP(C19,'Trips&amp;Operators'!$C$1:$G$99911,5,FALSE)</f>
        <v>CASSIDY BRANDON</v>
      </c>
      <c r="O19" s="180" t="s">
        <v>617</v>
      </c>
      <c r="P19" s="134" t="s">
        <v>1014</v>
      </c>
      <c r="Q19" s="30"/>
      <c r="R19" s="81" t="str">
        <f>VLOOKUP(C19,'Train Runs'!$A$13:$AE$9949,31,0)</f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S19" s="84" t="str">
        <f>VLOOKUP(C19,'Train Runs'!$A$13:$AE$9949,22,0)</f>
        <v>https://d0f6bd738d7f1b3e5a7ca70fe4ff75f0.us-east-1.aws.found.io/app/kibana#/discover/Steve-Slow-Train-Analysis-(2080s-and-2083s)?_g=(refreshInterval:(display:Off,pause:!f,section:0,value:0),time:(from:'2017-09-14T09:38:47-0600',mode:absolute,to:'2017-09-14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 t="shared" si="1"/>
        <v>"C:\Program Files (x86)\AstroGrep\AstroGrep.exe" /e /r /s /spath="%USERPROFILE%\AppData\Local\Temp\OnboardLogs" /stypes="*4058*201709141*"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4058</v>
      </c>
      <c r="V19" s="31">
        <f t="shared" si="3"/>
        <v>42992.709236111114</v>
      </c>
      <c r="W19" s="45" t="str">
        <f t="shared" si="4"/>
        <v>EC</v>
      </c>
      <c r="X19" s="22">
        <f t="shared" si="5"/>
        <v>157</v>
      </c>
      <c r="Y19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drop","project_id":79,"tracker_id":40,"status_id":1,"priority_id":2,"assigned_to_id":338,"start_date":"2017-09-14","description":"","custom_fields":[{"id":1,"name":"Subdivision","value":"EC"},{"id":4,"name":"Milepost","value":"8.1738"},{"id":17,"name":"Train ID","value":"157-14"},{"id":16,"name":"Locomotive ID","value":"4058"},{"id":130,"name":"Impact","value":""},{"id":150,"name":"Time of Event (Mountain Time)","value":"11:01:18"},{"id":151,"name":"Denver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/c/Users/stu/AppData/Local/Temp/OnboardLogs/RTDC4058 --include="*4058*201709141*"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"%USERPROFILE%\AppData\Local\Temp\OnboardLogs"\RTDC4058\*4058*201709141* &gt;&gt; 2017-09-14-SliceDisagreementCheck.txt</v>
      </c>
      <c r="AE19" s="145" t="str">
        <f t="shared" si="9"/>
        <v>start /low /b %USERPROFILE%\Documents\GitHub\eaglep3\Utilities\DownloadLogsFromS3.py --loco 4058 --day 2017-09-14</v>
      </c>
      <c r="AF19" s="1"/>
    </row>
    <row r="20" spans="1:32" x14ac:dyDescent="0.25">
      <c r="A20" s="31">
        <v>42992.489108796297</v>
      </c>
      <c r="B20" s="30" t="s">
        <v>592</v>
      </c>
      <c r="C20" s="30" t="s">
        <v>593</v>
      </c>
      <c r="D20" s="30" t="s">
        <v>49</v>
      </c>
      <c r="E20" s="30" t="s">
        <v>362</v>
      </c>
      <c r="F20" s="42">
        <v>0</v>
      </c>
      <c r="G20" s="42">
        <v>149</v>
      </c>
      <c r="H20" s="42">
        <v>128072</v>
      </c>
      <c r="I20" s="42">
        <v>127915</v>
      </c>
      <c r="J20" s="30" t="s">
        <v>363</v>
      </c>
      <c r="K20" s="42">
        <v>127587</v>
      </c>
      <c r="L20" s="131" t="s">
        <v>51</v>
      </c>
      <c r="M20" s="132">
        <f t="shared" si="0"/>
        <v>173.18400000000003</v>
      </c>
      <c r="N20" s="133" t="str">
        <f>VLOOKUP(C20,'Trips&amp;Operators'!$C$1:$G$99911,5,FALSE)</f>
        <v>YANAI IAN</v>
      </c>
      <c r="O20" s="180" t="s">
        <v>180</v>
      </c>
      <c r="P20" s="134" t="s">
        <v>1017</v>
      </c>
      <c r="Q20" s="30"/>
      <c r="R20" s="81" t="str">
        <f>VLOOKUP(C20,'Train Runs'!$A$13:$AE$9949,31,0)</f>
        <v>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 &amp; aws s3 cp s3://rtdc.mdm.uploadarchive.raw/RTDC4001/ "%USERPROFILE%\AppData\Local\Temp\OnboardLogs"\RTDC4001\2017-09-15 --exclude "*" --recursive --include "*20170915*" &amp; "%USERPROFILE%\Documents\GitHub\mrs-test-scripts\Headless Mode &amp; Sideloading\WalkAndUnGZ.bat" "%USERPROFILE%\AppData\Local\Temp\OnboardLogs"\RTDC4001\2017-09-15</v>
      </c>
      <c r="S20" s="84" t="str">
        <f>VLOOKUP(C20,'Train Runs'!$A$13:$AE$9949,22,0)</f>
        <v>https://d0f6bd738d7f1b3e5a7ca70fe4ff75f0.us-east-1.aws.found.io/app/kibana#/discover/Steve-Slow-Train-Analysis-(2080s-and-2083s)?_g=(refreshInterval:(display:Off,pause:!f,section:0,value:0),time:(from:'2017-09-14T10:05:48-0600',mode:absolute,to:'2017-09-14T13:17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 t="shared" si="1"/>
        <v>"C:\Program Files (x86)\AstroGrep\AstroGrep.exe" /e /r /s /spath="%USERPROFILE%\AppData\Local\Temp\OnboardLogs" /stypes="*4001*201709141*"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4001</v>
      </c>
      <c r="V20" s="31">
        <f t="shared" si="3"/>
        <v>42992.739108796297</v>
      </c>
      <c r="W20" s="45" t="str">
        <f t="shared" si="4"/>
        <v>EC</v>
      </c>
      <c r="X20" s="22">
        <f t="shared" si="5"/>
        <v>156</v>
      </c>
      <c r="Y20" s="96" t="str">
        <f t="shared" si="6"/>
        <v>echo {"issue":{"subject":"XING repairs at Chambers (semi accident with crossing arm) - see 53854","project_id":79,"tracker_id":40,"status_id":1,"priority_id":2,"assigned_to_id":338,"start_date":"2017-09-14","description":"","custom_fields":[{"id":1,"name":"Subdivision","value":"EC"},{"id":4,"name":"Milepost","value":"12.7587"},{"id":17,"name":"Train ID","value":"156-14"},{"id":16,"name":"Locomotive ID","value":"4001"},{"id":130,"name":"Impact","value":""},{"id":150,"name":"Time of Event (Mountain Time)","value":"11:44:19"},{"id":151,"name":"Denver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/c/Users/stu/AppData/Local/Temp/OnboardLogs/RTDC4001 --include="*4001*201709141*"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"%USERPROFILE%\AppData\Local\Temp\OnboardLogs"\RTDC4001\*4001*201709141* &gt;&gt; 2017-09-14-SliceDisagreementCheck.txt</v>
      </c>
      <c r="AE20" s="145" t="str">
        <f t="shared" si="9"/>
        <v>start /low /b %USERPROFILE%\Documents\GitHub\eaglep3\Utilities\DownloadLogsFromS3.py --loco 4001 --day 2017-09-14</v>
      </c>
      <c r="AF20" s="1"/>
    </row>
    <row r="21" spans="1:32" x14ac:dyDescent="0.25">
      <c r="A21" s="31">
        <v>42992.455208333333</v>
      </c>
      <c r="B21" s="30" t="s">
        <v>403</v>
      </c>
      <c r="C21" s="30" t="s">
        <v>587</v>
      </c>
      <c r="D21" s="30" t="s">
        <v>49</v>
      </c>
      <c r="E21" s="30" t="s">
        <v>362</v>
      </c>
      <c r="F21" s="42">
        <v>0</v>
      </c>
      <c r="G21" s="42">
        <v>600</v>
      </c>
      <c r="H21" s="42">
        <v>134732</v>
      </c>
      <c r="I21" s="42">
        <v>132284</v>
      </c>
      <c r="J21" s="30" t="s">
        <v>363</v>
      </c>
      <c r="K21" s="42">
        <v>133166</v>
      </c>
      <c r="L21" s="131" t="s">
        <v>51</v>
      </c>
      <c r="M21" s="132">
        <f t="shared" si="0"/>
        <v>-465.69600000000003</v>
      </c>
      <c r="N21" s="133" t="str">
        <f>VLOOKUP(C21,'Trips&amp;Operators'!$C$1:$G$99911,5,FALSE)</f>
        <v>GEBRETEKLE DAGNEW</v>
      </c>
      <c r="O21" s="180" t="s">
        <v>617</v>
      </c>
      <c r="P21" s="134" t="s">
        <v>1014</v>
      </c>
      <c r="Q21" s="30"/>
      <c r="R21" s="81" t="str">
        <f>VLOOKUP(C21,'Train Runs'!$A$13:$AE$9949,31,0)</f>
        <v>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 &amp; aws s3 cp s3://rtdc.mdm.uploadarchive.raw/RTDC4059/ "%USERPROFILE%\AppData\Local\Temp\OnboardLogs"\RTDC4059\2017-09-15 --exclude "*" --recursive --include "*20170915*" &amp; "%USERPROFILE%\Documents\GitHub\mrs-test-scripts\Headless Mode &amp; Sideloading\WalkAndUnGZ.bat" "%USERPROFILE%\AppData\Local\Temp\OnboardLogs"\RTDC4059\2017-09-15</v>
      </c>
      <c r="S21" s="84" t="str">
        <f>VLOOKUP(C21,'Train Runs'!$A$13:$AE$9949,22,0)</f>
        <v>https://d0f6bd738d7f1b3e5a7ca70fe4ff75f0.us-east-1.aws.found.io/app/kibana#/discover/Steve-Slow-Train-Analysis-(2080s-and-2083s)?_g=(refreshInterval:(display:Off,pause:!f,section:0,value:0),time:(from:'2017-09-14T09:22:29-0600',mode:absolute,to:'2017-09-14T12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1" s="86" t="str">
        <f t="shared" si="1"/>
        <v>"C:\Program Files (x86)\AstroGrep\AstroGrep.exe" /e /r /s /spath="%USERPROFILE%\AppData\Local\Temp\OnboardLogs" /stypes="*4059*201709141*"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4059</v>
      </c>
      <c r="V21" s="31">
        <f t="shared" si="3"/>
        <v>42992.705208333333</v>
      </c>
      <c r="W21" s="45" t="str">
        <f t="shared" si="4"/>
        <v>EC</v>
      </c>
      <c r="X21" s="22">
        <f t="shared" si="5"/>
        <v>150</v>
      </c>
      <c r="Y21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drop","project_id":79,"tracker_id":40,"status_id":1,"priority_id":2,"assigned_to_id":338,"start_date":"2017-09-14","description":"","custom_fields":[{"id":1,"name":"Subdivision","value":"EC"},{"id":4,"name":"Milepost","value":"13.3166"},{"id":17,"name":"Train ID","value":"150-14"},{"id":16,"name":"Locomotive ID","value":"4059"},{"id":130,"name":"Impact","value":""},{"id":150,"name":"Time of Event (Mountain Time)","value":"10:55:30"},{"id":151,"name":"Denver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/c/Users/stu/AppData/Local/Temp/OnboardLogs/RTDC4059 --include="*4059*201709141*"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"%USERPROFILE%\AppData\Local\Temp\OnboardLogs"\RTDC4059\*4059*201709141* &gt;&gt; 2017-09-14-SliceDisagreementCheck.txt</v>
      </c>
      <c r="AE21" s="145" t="str">
        <f t="shared" si="9"/>
        <v>start /low /b %USERPROFILE%\Documents\GitHub\eaglep3\Utilities\DownloadLogsFromS3.py --loco 4059 --day 2017-09-14</v>
      </c>
      <c r="AF21" s="1"/>
    </row>
    <row r="22" spans="1:32" x14ac:dyDescent="0.25">
      <c r="A22" s="31">
        <v>42992.152974537035</v>
      </c>
      <c r="B22" s="30" t="s">
        <v>428</v>
      </c>
      <c r="C22" s="30" t="s">
        <v>570</v>
      </c>
      <c r="D22" s="30" t="s">
        <v>49</v>
      </c>
      <c r="E22" s="30" t="s">
        <v>362</v>
      </c>
      <c r="F22" s="42">
        <v>0</v>
      </c>
      <c r="G22" s="42">
        <v>800</v>
      </c>
      <c r="H22" s="42">
        <v>143959</v>
      </c>
      <c r="I22" s="42">
        <v>148021</v>
      </c>
      <c r="J22" s="30" t="s">
        <v>363</v>
      </c>
      <c r="K22" s="42">
        <v>149694</v>
      </c>
      <c r="L22" s="131" t="s">
        <v>50</v>
      </c>
      <c r="M22" s="132">
        <f t="shared" si="0"/>
        <v>883.34400000000005</v>
      </c>
      <c r="N22" s="133" t="str">
        <f>VLOOKUP(C22,'Trips&amp;Operators'!$C$1:$G$99911,5,FALSE)</f>
        <v>ROCHA YAOTL</v>
      </c>
      <c r="O22" s="180" t="s">
        <v>617</v>
      </c>
      <c r="P22" s="134" t="s">
        <v>1014</v>
      </c>
      <c r="Q22" s="30"/>
      <c r="R22" s="81" t="str">
        <f>VLOOKUP(C22,'Train Runs'!$A$13:$AE$9949,31,0)</f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S22" s="84" t="str">
        <f>VLOOKUP(C22,'Train Runs'!$A$13:$AE$9949,22,0)</f>
        <v>https://d0f6bd738d7f1b3e5a7ca70fe4ff75f0.us-east-1.aws.found.io/app/kibana#/discover/Steve-Slow-Train-Analysis-(2080s-and-2083s)?_g=(refreshInterval:(display:Off,pause:!f,section:0,value:0),time:(from:'2017-09-14T02:11:31-0600',mode:absolute,to:'2017-09-14T04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 t="shared" si="1"/>
        <v>"C:\Program Files (x86)\AstroGrep\AstroGrep.exe" /e /r /s /spath="%USERPROFILE%\AppData\Local\Temp\OnboardLogs" /stypes="*4026*201709140*" /stext=" 09:.+((SYSTEM_STATE.+slice.+state.+changed )|(ment ac)|(multiple cpu faults)|(system.+state.+changed )|(\[timeout)|(PRM\|1\|D)|(kpr)|(kdp)|(train st.+moving)|(\|lc)|(penalty))"</v>
      </c>
      <c r="U22" s="9" t="str">
        <f t="shared" si="2"/>
        <v>4026</v>
      </c>
      <c r="V22" s="31">
        <f t="shared" si="3"/>
        <v>42992.402974537035</v>
      </c>
      <c r="W22" s="45" t="str">
        <f t="shared" si="4"/>
        <v>EC</v>
      </c>
      <c r="X22" s="22">
        <f t="shared" si="5"/>
        <v>101</v>
      </c>
      <c r="Y22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drop","project_id":79,"tracker_id":40,"status_id":1,"priority_id":2,"assigned_to_id":338,"start_date":"2017-09-14","description":"","custom_fields":[{"id":1,"name":"Subdivision","value":"EC"},{"id":4,"name":"Milepost","value":"14.9694"},{"id":17,"name":"Train ID","value":"101-14"},{"id":16,"name":"Locomotive ID","value":"4026"},{"id":130,"name":"Impact","value":""},{"id":150,"name":"Time of Event (Mountain Time)","value":"03:40:17"},{"id":151,"name":"Denver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/c/Users/stu/AppData/Local/Temp/OnboardLogs/RTDC4026 --include="*4026*201709140*"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"%USERPROFILE%\AppData\Local\Temp\OnboardLogs"\RTDC4026\*4026*201709140* &gt;&gt; 2017-09-14-SliceDisagreementCheck.txt</v>
      </c>
      <c r="AE22" s="145" t="str">
        <f t="shared" si="9"/>
        <v>start /low /b %USERPROFILE%\Documents\GitHub\eaglep3\Utilities\DownloadLogsFromS3.py --loco 4026 --day 2017-09-14</v>
      </c>
      <c r="AF22" s="1"/>
    </row>
    <row r="23" spans="1:32" x14ac:dyDescent="0.25">
      <c r="A23" s="31">
        <v>42992.601018518515</v>
      </c>
      <c r="B23" s="30" t="s">
        <v>426</v>
      </c>
      <c r="C23" s="30" t="s">
        <v>600</v>
      </c>
      <c r="D23" s="30" t="s">
        <v>49</v>
      </c>
      <c r="E23" s="30" t="s">
        <v>362</v>
      </c>
      <c r="F23" s="42">
        <v>0</v>
      </c>
      <c r="G23" s="42">
        <v>791</v>
      </c>
      <c r="H23" s="42">
        <v>145413</v>
      </c>
      <c r="I23" s="42">
        <v>149035</v>
      </c>
      <c r="J23" s="30" t="s">
        <v>363</v>
      </c>
      <c r="K23" s="42">
        <v>149694</v>
      </c>
      <c r="L23" s="131" t="s">
        <v>50</v>
      </c>
      <c r="M23" s="132">
        <f t="shared" si="0"/>
        <v>347.952</v>
      </c>
      <c r="N23" s="133" t="str">
        <f>VLOOKUP(C23,'Trips&amp;Operators'!$C$1:$G$99911,5,FALSE)</f>
        <v>LEVERE CRAIG</v>
      </c>
      <c r="O23" s="180" t="s">
        <v>617</v>
      </c>
      <c r="P23" s="134" t="s">
        <v>1014</v>
      </c>
      <c r="Q23" s="30"/>
      <c r="R23" s="81" t="str">
        <f>VLOOKUP(C23,'Train Runs'!$A$13:$AE$9949,31,0)</f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S23" s="84" t="str">
        <f>VLOOKUP(C23,'Train Runs'!$A$13:$AE$9949,22,0)</f>
        <v>https://d0f6bd738d7f1b3e5a7ca70fe4ff75f0.us-east-1.aws.found.io/app/kibana#/discover/Steve-Slow-Train-Analysis-(2080s-and-2083s)?_g=(refreshInterval:(display:Off,pause:!f,section:0,value:0),time:(from:'2017-09-14T12:53:46-0600',mode:absolute,to:'2017-09-14T15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 t="shared" si="1"/>
        <v>"C:\Program Files (x86)\AstroGrep\AstroGrep.exe" /e /r /s /spath="%USERPROFILE%\AppData\Local\Temp\OnboardLogs" /stypes="*4002*201709142*"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4002</v>
      </c>
      <c r="V23" s="31">
        <f t="shared" si="3"/>
        <v>42992.851018518515</v>
      </c>
      <c r="W23" s="45" t="str">
        <f t="shared" si="4"/>
        <v>EC</v>
      </c>
      <c r="X23" s="22">
        <f t="shared" si="5"/>
        <v>183</v>
      </c>
      <c r="Y23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drop","project_id":79,"tracker_id":40,"status_id":1,"priority_id":2,"assigned_to_id":338,"start_date":"2017-09-14","description":"","custom_fields":[{"id":1,"name":"Subdivision","value":"EC"},{"id":4,"name":"Milepost","value":"14.9694"},{"id":17,"name":"Train ID","value":"183-14"},{"id":16,"name":"Locomotive ID","value":"4002"},{"id":130,"name":"Impact","value":""},{"id":150,"name":"Time of Event (Mountain Time)","value":"14:25:28"},{"id":151,"name":"Denver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/c/Users/stu/AppData/Local/Temp/OnboardLogs/RTDC4002 --include="*4002*201709142*"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"%USERPROFILE%\AppData\Local\Temp\OnboardLogs"\RTDC4002\*4002*201709142* &gt;&gt; 2017-09-14-SliceDisagreementCheck.txt</v>
      </c>
      <c r="AE23" s="145" t="str">
        <f t="shared" si="9"/>
        <v>start /low /b %USERPROFILE%\Documents\GitHub\eaglep3\Utilities\DownloadLogsFromS3.py --loco 4002 --day 2017-09-14</v>
      </c>
      <c r="AF23" s="1"/>
    </row>
    <row r="24" spans="1:32" x14ac:dyDescent="0.25">
      <c r="A24" s="31">
        <v>42993.040844907409</v>
      </c>
      <c r="B24" s="30" t="s">
        <v>386</v>
      </c>
      <c r="C24" s="30" t="s">
        <v>615</v>
      </c>
      <c r="D24" s="30" t="s">
        <v>49</v>
      </c>
      <c r="E24" s="30" t="s">
        <v>362</v>
      </c>
      <c r="F24" s="42">
        <v>0</v>
      </c>
      <c r="G24" s="42">
        <v>696</v>
      </c>
      <c r="H24" s="42">
        <v>179676</v>
      </c>
      <c r="I24" s="42">
        <v>182697</v>
      </c>
      <c r="J24" s="30" t="s">
        <v>363</v>
      </c>
      <c r="K24" s="42">
        <v>182907</v>
      </c>
      <c r="L24" s="131" t="s">
        <v>50</v>
      </c>
      <c r="M24" s="132">
        <f t="shared" si="0"/>
        <v>110.88</v>
      </c>
      <c r="N24" s="133" t="str">
        <f>VLOOKUP(C24,'Trips&amp;Operators'!$C$1:$G$99911,5,FALSE)</f>
        <v>PERKINS DARREN</v>
      </c>
      <c r="O24" s="180" t="s">
        <v>617</v>
      </c>
      <c r="P24" s="134" t="s">
        <v>1014</v>
      </c>
      <c r="Q24" s="30"/>
      <c r="R24" s="81" t="str">
        <f>VLOOKUP(C24,'Train Runs'!$A$13:$AE$9949,31,0)</f>
        <v>aws s3 cp s3://rtdc.mdm.uploadarchive.raw/RTDC4032/ "%USERPROFILE%\AppData\Local\Temp\OnboardLogs"\RTDC4032\2017-09-15 --exclude "*" --recursive --include "*20170915*" &amp; "%USERPROFILE%\Documents\GitHub\mrs-test-scripts\Headless Mode &amp; Sideloading\WalkAndUnGZ.bat" "%USERPROFILE%\AppData\Local\Temp\OnboardLogs"\RTDC4032\2017-09-15 &amp; 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</v>
      </c>
      <c r="S24" s="84" t="str">
        <f>VLOOKUP(C24,'Train Runs'!$A$13:$AE$9949,22,0)</f>
        <v>https://d0f6bd738d7f1b3e5a7ca70fe4ff75f0.us-east-1.aws.found.io/app/kibana#/discover/Steve-Slow-Train-Analysis-(2080s-and-2083s)?_g=(refreshInterval:(display:Off,pause:!f,section:0,value:0),time:(from:'2017-09-14T23:07:18-0600',mode:absolute,to:'2017-09-15T02:10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4" s="86" t="str">
        <f t="shared" si="1"/>
        <v>"C:\Program Files (x86)\AstroGrep\AstroGrep.exe" /e /r /s /spath="%USERPROFILE%\AppData\Local\Temp\OnboardLogs" /stypes="*4032*201709150*" /stext=" 06:.+((SYSTEM_STATE.+slice.+state.+changed )|(ment ac)|(multiple cpu faults)|(system.+state.+changed )|(\[timeout)|(PRM\|1\|D)|(kpr)|(kdp)|(train st.+moving)|(\|lc)|(penalty))"</v>
      </c>
      <c r="U24" s="9" t="str">
        <f t="shared" si="2"/>
        <v>4032</v>
      </c>
      <c r="V24" s="31">
        <f t="shared" si="3"/>
        <v>42993.290844907409</v>
      </c>
      <c r="W24" s="45" t="str">
        <f t="shared" si="4"/>
        <v>EC</v>
      </c>
      <c r="X24" s="22">
        <f t="shared" si="5"/>
        <v>243</v>
      </c>
      <c r="Y24" s="96" t="str">
        <f t="shared" si="6"/>
        <v>echo {"issue":{"subject":"Wi-MAX data drop","project_id":79,"tracker_id":40,"status_id":1,"priority_id":2,"assigned_to_id":338,"start_date":"2017-09-15","description":"","custom_fields":[{"id":1,"name":"Subdivision","value":"EC"},{"id":4,"name":"Milepost","value":"18.2907"},{"id":17,"name":"Train ID","value":"243-14"},{"id":16,"name":"Locomotive ID","value":"4032"},{"id":130,"name":"Impact","value":""},{"id":150,"name":"Time of Event (Mountain Time)","value":"00:58:49"},{"id":151,"name":"Denver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/c/Users/stu/AppData/Local/Temp/OnboardLogs/RTDC4032 --include="*4032*201709150*"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"%USERPROFILE%\AppData\Local\Temp\OnboardLogs"\RTDC4032\*4032*201709150* &gt;&gt; 2017-09-14-SliceDisagreementCheck.txt</v>
      </c>
      <c r="AE24" s="145" t="str">
        <f t="shared" si="9"/>
        <v>start /low /b %USERPROFILE%\Documents\GitHub\eaglep3\Utilities\DownloadLogsFromS3.py --loco 4032 --day 2017-09-15</v>
      </c>
      <c r="AF24" s="1"/>
    </row>
    <row r="25" spans="1:32" x14ac:dyDescent="0.25">
      <c r="A25" s="31">
        <v>42992.239907407406</v>
      </c>
      <c r="B25" s="30" t="s">
        <v>427</v>
      </c>
      <c r="C25" s="30" t="s">
        <v>577</v>
      </c>
      <c r="D25" s="30" t="s">
        <v>49</v>
      </c>
      <c r="E25" s="30" t="s">
        <v>571</v>
      </c>
      <c r="F25" s="42">
        <v>0</v>
      </c>
      <c r="G25" s="42">
        <v>367</v>
      </c>
      <c r="H25" s="42">
        <v>18150</v>
      </c>
      <c r="I25" s="42">
        <v>17524</v>
      </c>
      <c r="J25" s="30" t="s">
        <v>572</v>
      </c>
      <c r="K25" s="42">
        <v>17100</v>
      </c>
      <c r="L25" s="131" t="s">
        <v>51</v>
      </c>
      <c r="M25" s="132">
        <f t="shared" si="0"/>
        <v>223.87200000000001</v>
      </c>
      <c r="N25" s="133" t="str">
        <f>VLOOKUP(C25,'Trips&amp;Operators'!$C$1:$G$99911,5,FALSE)</f>
        <v>PAGE MARCUS</v>
      </c>
      <c r="O25" s="180" t="s">
        <v>617</v>
      </c>
      <c r="P25" s="134" t="s">
        <v>1014</v>
      </c>
      <c r="Q25" s="30"/>
      <c r="R25" s="81" t="str">
        <f>VLOOKUP(C25,'Train Runs'!$A$13:$AE$9949,31,0)</f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S25" s="84" t="str">
        <f>VLOOKUP(C25,'Train Runs'!$A$13:$AE$9949,22,0)</f>
        <v>https://d0f6bd738d7f1b3e5a7ca70fe4ff75f0.us-east-1.aws.found.io/app/kibana#/discover/Steve-Slow-Train-Analysis-(2080s-and-2083s)?_g=(refreshInterval:(display:Off,pause:!f,section:0,value:0),time:(from:'2017-09-14T04:03:10-0600',mode:absolute,to:'2017-09-14T06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86" t="str">
        <f t="shared" si="1"/>
        <v>"C:\Program Files (x86)\AstroGrep\AstroGrep.exe" /e /r /s /spath="%USERPROFILE%\AppData\Local\Temp\OnboardLogs" /stypes="*4029*201709141*"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4029</v>
      </c>
      <c r="V25" s="31">
        <f t="shared" si="3"/>
        <v>42992.489907407406</v>
      </c>
      <c r="W25" s="45" t="str">
        <f t="shared" si="4"/>
        <v>EC</v>
      </c>
      <c r="X25" s="22">
        <f t="shared" si="5"/>
        <v>106</v>
      </c>
      <c r="Y25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drop","project_id":79,"tracker_id":40,"status_id":1,"priority_id":2,"assigned_to_id":338,"start_date":"2017-09-14","description":"","custom_fields":[{"id":1,"name":"Subdivision","value":"EC"},{"id":4,"name":"Milepost","value":"1.71"},{"id":17,"name":"Train ID","value":"106-14"},{"id":16,"name":"Locomotive ID","value":"4029"},{"id":130,"name":"Impact","value":""},{"id":150,"name":"Time of Event (Mountain Time)","value":"05:45:28"},{"id":151,"name":"Denver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/c/Users/stu/AppData/Local/Temp/OnboardLogs/RTDC4029 --include="*4029*201709141*"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"%USERPROFILE%\AppData\Local\Temp\OnboardLogs"\RTDC4029\*4029*201709141* &gt;&gt; 2017-09-14-SliceDisagreementCheck.txt</v>
      </c>
      <c r="AE25" s="145" t="str">
        <f t="shared" si="9"/>
        <v>start /low /b %USERPROFILE%\Documents\GitHub\eaglep3\Utilities\DownloadLogsFromS3.py --loco 4029 --day 2017-09-14</v>
      </c>
      <c r="AF25" s="1"/>
    </row>
    <row r="26" spans="1:32" x14ac:dyDescent="0.25">
      <c r="A26" s="31">
        <v>42992.372835648152</v>
      </c>
      <c r="B26" s="30" t="s">
        <v>426</v>
      </c>
      <c r="C26" s="30" t="s">
        <v>585</v>
      </c>
      <c r="D26" s="30" t="s">
        <v>49</v>
      </c>
      <c r="E26" s="30" t="s">
        <v>571</v>
      </c>
      <c r="F26" s="42">
        <v>0</v>
      </c>
      <c r="G26" s="42">
        <v>567</v>
      </c>
      <c r="H26" s="42">
        <v>55738</v>
      </c>
      <c r="I26" s="42">
        <v>57476</v>
      </c>
      <c r="J26" s="30" t="s">
        <v>572</v>
      </c>
      <c r="K26" s="42">
        <v>56976</v>
      </c>
      <c r="L26" s="131" t="s">
        <v>50</v>
      </c>
      <c r="M26" s="132">
        <f t="shared" si="0"/>
        <v>-264</v>
      </c>
      <c r="N26" s="133" t="str">
        <f>VLOOKUP(C26,'Trips&amp;Operators'!$C$1:$G$99911,5,FALSE)</f>
        <v>YANAI IAN</v>
      </c>
      <c r="O26" s="180" t="s">
        <v>617</v>
      </c>
      <c r="P26" s="134" t="s">
        <v>1014</v>
      </c>
      <c r="Q26" s="30"/>
      <c r="R26" s="81" t="str">
        <f>VLOOKUP(C26,'Train Runs'!$A$13:$AE$9949,31,0)</f>
        <v>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 &amp; aws s3 cp s3://rtdc.mdm.uploadarchive.raw/RTDC4002/ "%USERPROFILE%\AppData\Local\Temp\OnboardLogs"\RTDC4002\2017-09-15 --exclude "*" --recursive --include "*20170915*" &amp; "%USERPROFILE%\Documents\GitHub\mrs-test-scripts\Headless Mode &amp; Sideloading\WalkAndUnGZ.bat" "%USERPROFILE%\AppData\Local\Temp\OnboardLogs"\RTDC4002\2017-09-15</v>
      </c>
      <c r="S26" s="84" t="str">
        <f>VLOOKUP(C26,'Train Runs'!$A$13:$AE$9949,22,0)</f>
        <v>https://d0f6bd738d7f1b3e5a7ca70fe4ff75f0.us-east-1.aws.found.io/app/kibana#/discover/Steve-Slow-Train-Analysis-(2080s-and-2083s)?_g=(refreshInterval:(display:Off,pause:!f,section:0,value:0),time:(from:'2017-09-14T07:39:53-0600',mode:absolute,to:'2017-09-14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 t="shared" si="1"/>
        <v>"C:\Program Files (x86)\AstroGrep\AstroGrep.exe" /e /r /s /spath="%USERPROFILE%\AppData\Local\Temp\OnboardLogs" /stypes="*4002*201709141*" /stext=" 14:.+((SYSTEM_STATE.+slice.+state.+changed )|(ment ac)|(multiple cpu faults)|(system.+state.+changed )|(\[timeout)|(PRM\|1\|D)|(kpr)|(kdp)|(train st.+moving)|(\|lc)|(penalty))"</v>
      </c>
      <c r="U26" s="9" t="str">
        <f t="shared" si="2"/>
        <v>4002</v>
      </c>
      <c r="V26" s="31">
        <f t="shared" si="3"/>
        <v>42992.622835648152</v>
      </c>
      <c r="W26" s="45" t="str">
        <f t="shared" si="4"/>
        <v>EC</v>
      </c>
      <c r="X26" s="22">
        <f t="shared" si="5"/>
        <v>141</v>
      </c>
      <c r="Y26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drop","project_id":79,"tracker_id":40,"status_id":1,"priority_id":2,"assigned_to_id":338,"start_date":"2017-09-14","description":"","custom_fields":[{"id":1,"name":"Subdivision","value":"EC"},{"id":4,"name":"Milepost","value":"5.6976"},{"id":17,"name":"Train ID","value":"141-14"},{"id":16,"name":"Locomotive ID","value":"4002"},{"id":130,"name":"Impact","value":""},{"id":150,"name":"Time of Event (Mountain Time)","value":"08:56:53"},{"id":151,"name":"Denver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/c/Users/stu/AppData/Local/Temp/OnboardLogs/RTDC4002 --include="*4002*201709141*"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"%USERPROFILE%\AppData\Local\Temp\OnboardLogs"\RTDC4002\*4002*201709141* &gt;&gt; 2017-09-14-SliceDisagreementCheck.txt</v>
      </c>
      <c r="AE26" s="145" t="str">
        <f t="shared" si="9"/>
        <v>start /low /b %USERPROFILE%\Documents\GitHub\eaglep3\Utilities\DownloadLogsFromS3.py --loco 4002 --day 2017-09-14</v>
      </c>
      <c r="AF26" s="1"/>
    </row>
    <row r="27" spans="1:32" x14ac:dyDescent="0.25">
      <c r="A27" s="31">
        <v>42992.814918981479</v>
      </c>
      <c r="B27" s="30" t="s">
        <v>427</v>
      </c>
      <c r="C27" s="30" t="s">
        <v>613</v>
      </c>
      <c r="D27" s="30" t="s">
        <v>96</v>
      </c>
      <c r="E27" s="30" t="s">
        <v>571</v>
      </c>
      <c r="F27" s="42">
        <v>0</v>
      </c>
      <c r="G27" s="42">
        <v>693</v>
      </c>
      <c r="H27" s="42">
        <v>68781</v>
      </c>
      <c r="I27" s="42">
        <v>66024</v>
      </c>
      <c r="J27" s="30" t="s">
        <v>572</v>
      </c>
      <c r="K27" s="42">
        <v>69363</v>
      </c>
      <c r="L27" s="131" t="s">
        <v>51</v>
      </c>
      <c r="M27" s="132">
        <f t="shared" si="0"/>
        <v>-1762.992</v>
      </c>
      <c r="N27" s="133" t="str">
        <f>VLOOKUP(C27,'Trips&amp;Operators'!$C$1:$G$99911,5,FALSE)</f>
        <v>ELBAUM MIKE</v>
      </c>
      <c r="O27" s="180" t="s">
        <v>617</v>
      </c>
      <c r="P27" s="134" t="s">
        <v>1014</v>
      </c>
      <c r="Q27" s="30"/>
      <c r="R27" s="81" t="str">
        <f>VLOOKUP(C27,'Train Runs'!$A$13:$AE$9949,31,0)</f>
        <v>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 &amp; aws s3 cp s3://rtdc.mdm.uploadarchive.raw/RTDC4029/ "%USERPROFILE%\AppData\Local\Temp\OnboardLogs"\RTDC4029\2017-09-15 --exclude "*" --recursive --include "*20170915*" &amp; "%USERPROFILE%\Documents\GitHub\mrs-test-scripts\Headless Mode &amp; Sideloading\WalkAndUnGZ.bat" "%USERPROFILE%\AppData\Local\Temp\OnboardLogs"\RTDC4029\2017-09-15</v>
      </c>
      <c r="S27" s="84" t="str">
        <f>VLOOKUP(C27,'Train Runs'!$A$13:$AE$9949,22,0)</f>
        <v>https://d0f6bd738d7f1b3e5a7ca70fe4ff75f0.us-east-1.aws.found.io/app/kibana#/discover/Steve-Slow-Train-Analysis-(2080s-and-2083s)?_g=(refreshInterval:(display:Off,pause:!f,section:0,value:0),time:(from:'2017-09-14T17:51:53-0600',mode:absolute,to:'2017-09-14T20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 t="shared" si="1"/>
        <v>"C:\Program Files (x86)\AstroGrep\AstroGrep.exe" /e /r /s /spath="%USERPROFILE%\AppData\Local\Temp\OnboardLogs" /stypes="*4029*201709150*" /stext=" 01:.+((SYSTEM_STATE.+slice.+state.+changed )|(ment ac)|(multiple cpu faults)|(system.+state.+changed )|(\[timeout)|(PRM\|1\|D)|(kpr)|(kdp)|(train st.+moving)|(\|lc)|(penalty))"</v>
      </c>
      <c r="U27" s="9" t="str">
        <f t="shared" si="2"/>
        <v>4029</v>
      </c>
      <c r="V27" s="31">
        <f t="shared" si="3"/>
        <v>42993.064918981479</v>
      </c>
      <c r="W27" s="45" t="str">
        <f t="shared" si="4"/>
        <v>EC</v>
      </c>
      <c r="X27" s="22">
        <f t="shared" si="5"/>
        <v>218</v>
      </c>
      <c r="Y27" s="96" t="str">
        <f t="shared" si="6"/>
        <v>echo {"issue":{"subject":"Wi-MAX data drop","project_id":79,"tracker_id":40,"status_id":1,"priority_id":2,"assigned_to_id":338,"start_date":"2017-09-14","description":"","custom_fields":[{"id":1,"name":"Subdivision","value":"EC"},{"id":4,"name":"Milepost","value":"6.9363"},{"id":17,"name":"Train ID","value":"218-14"},{"id":16,"name":"Locomotive ID","value":"4029"},{"id":130,"name":"Impact","value":""},{"id":150,"name":"Time of Event (Mountain Time)","value":"19:33:29"},{"id":151,"name":"Denver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/c/Users/stu/AppData/Local/Temp/OnboardLogs/RTDC4029 --include="*4029*201709150*"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"%USERPROFILE%\AppData\Local\Temp\OnboardLogs"\RTDC4029\*4029*201709150* &gt;&gt; 2017-09-14-SliceDisagreementCheck.txt</v>
      </c>
      <c r="AE27" s="145" t="str">
        <f t="shared" si="9"/>
        <v>start /low /b %USERPROFILE%\Documents\GitHub\eaglep3\Utilities\DownloadLogsFromS3.py --loco 4029 --day 2017-09-15</v>
      </c>
      <c r="AF27" s="1"/>
    </row>
    <row r="28" spans="1:32" x14ac:dyDescent="0.25">
      <c r="A28" s="31">
        <v>42992.159097222226</v>
      </c>
      <c r="B28" s="30" t="s">
        <v>428</v>
      </c>
      <c r="C28" s="30" t="s">
        <v>570</v>
      </c>
      <c r="D28" s="30" t="s">
        <v>49</v>
      </c>
      <c r="E28" s="30" t="s">
        <v>571</v>
      </c>
      <c r="F28" s="42">
        <v>0</v>
      </c>
      <c r="G28" s="42">
        <v>768</v>
      </c>
      <c r="H28" s="42">
        <v>215095</v>
      </c>
      <c r="I28" s="42">
        <v>218962</v>
      </c>
      <c r="J28" s="30" t="s">
        <v>572</v>
      </c>
      <c r="K28" s="42">
        <v>217106</v>
      </c>
      <c r="L28" s="131" t="s">
        <v>50</v>
      </c>
      <c r="M28" s="132">
        <f t="shared" si="0"/>
        <v>-979.96799999999996</v>
      </c>
      <c r="N28" s="133" t="str">
        <f>VLOOKUP(C28,'Trips&amp;Operators'!$C$1:$G$99911,5,FALSE)</f>
        <v>ROCHA YAOTL</v>
      </c>
      <c r="O28" s="180" t="s">
        <v>617</v>
      </c>
      <c r="P28" s="134" t="s">
        <v>1015</v>
      </c>
      <c r="Q28" s="30"/>
      <c r="R28" s="81" t="str">
        <f>VLOOKUP(C28,'Train Runs'!$A$13:$AE$9949,31,0)</f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S28" s="84" t="str">
        <f>VLOOKUP(C28,'Train Runs'!$A$13:$AE$9949,22,0)</f>
        <v>https://d0f6bd738d7f1b3e5a7ca70fe4ff75f0.us-east-1.aws.found.io/app/kibana#/discover/Steve-Slow-Train-Analysis-(2080s-and-2083s)?_g=(refreshInterval:(display:Off,pause:!f,section:0,value:0),time:(from:'2017-09-14T02:11:31-0600',mode:absolute,to:'2017-09-14T04:49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86" t="str">
        <f t="shared" si="1"/>
        <v>"C:\Program Files (x86)\AstroGrep\AstroGrep.exe" /e /r /s /spath="%USERPROFILE%\AppData\Local\Temp\OnboardLogs" /stypes="*4026*201709140*" /stext=" 09:.+((SYSTEM_STATE.+slice.+state.+changed )|(ment ac)|(multiple cpu faults)|(system.+state.+changed )|(\[timeout)|(PRM\|1\|D)|(kpr)|(kdp)|(train st.+moving)|(\|lc)|(penalty))"</v>
      </c>
      <c r="U28" s="9" t="str">
        <f t="shared" si="2"/>
        <v>4026</v>
      </c>
      <c r="V28" s="31">
        <f t="shared" si="3"/>
        <v>42992.409097222226</v>
      </c>
      <c r="W28" s="45" t="str">
        <f t="shared" si="4"/>
        <v>EC</v>
      </c>
      <c r="X28" s="22">
        <f t="shared" si="5"/>
        <v>101</v>
      </c>
      <c r="Y28" s="96" t="str">
        <f t="shared" si="6"/>
        <v>echo {"issue":{"subject":"Power outage at CP DIA (UPS reset)","project_id":79,"tracker_id":40,"status_id":1,"priority_id":2,"assigned_to_id":338,"start_date":"2017-09-14","description":"","custom_fields":[{"id":1,"name":"Subdivision","value":"EC"},{"id":4,"name":"Milepost","value":"21.7106"},{"id":17,"name":"Train ID","value":"101-14"},{"id":16,"name":"Locomotive ID","value":"4026"},{"id":130,"name":"Impact","value":""},{"id":150,"name":"Time of Event (Mountain Time)","value":"03:49:06"},{"id":151,"name":"Denver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/c/Users/stu/AppData/Local/Temp/OnboardLogs/RTDC4026 --include="*4026*201709140*"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"%USERPROFILE%\AppData\Local\Temp\OnboardLogs"\RTDC4026\*4026*201709140* &gt;&gt; 2017-09-14-SliceDisagreementCheck.txt</v>
      </c>
      <c r="AE28" s="145" t="str">
        <f t="shared" si="9"/>
        <v>start /low /b %USERPROFILE%\Documents\GitHub\eaglep3\Utilities\DownloadLogsFromS3.py --loco 4026 --day 2017-09-14</v>
      </c>
      <c r="AF28" s="1"/>
    </row>
    <row r="29" spans="1:32" x14ac:dyDescent="0.25">
      <c r="A29" s="31">
        <v>42992.488877314812</v>
      </c>
      <c r="B29" s="30" t="s">
        <v>392</v>
      </c>
      <c r="C29" s="30" t="s">
        <v>591</v>
      </c>
      <c r="D29" s="30" t="s">
        <v>49</v>
      </c>
      <c r="E29" s="30" t="s">
        <v>181</v>
      </c>
      <c r="F29" s="42">
        <v>0</v>
      </c>
      <c r="G29" s="42">
        <v>40</v>
      </c>
      <c r="H29" s="42">
        <v>178</v>
      </c>
      <c r="I29" s="42">
        <v>150</v>
      </c>
      <c r="J29" s="30" t="s">
        <v>182</v>
      </c>
      <c r="K29" s="42">
        <v>1</v>
      </c>
      <c r="L29" s="131" t="s">
        <v>51</v>
      </c>
      <c r="M29" s="132">
        <f t="shared" si="0"/>
        <v>78.671999999999997</v>
      </c>
      <c r="N29" s="133" t="str">
        <f>VLOOKUP(C29,'Trips&amp;Operators'!$C$1:$G$99911,5,FALSE)</f>
        <v>WILLIAMS DONTE</v>
      </c>
      <c r="O29" s="180" t="s">
        <v>180</v>
      </c>
      <c r="P29" s="134"/>
      <c r="Q29" s="30"/>
      <c r="R29" s="81" t="str">
        <f>VLOOKUP(C29,'Train Runs'!$A$13:$AE$9949,31,0)</f>
        <v>aws s3 cp s3://rtdc.mdm.uploadarchive.raw/RTDC4061/ "%USERPROFILE%\AppData\Local\Temp\OnboardLogs"\RTDC4061\2017-09-14 --exclude "*" --recursive --include "*20170914*" &amp; "%USERPROFILE%\Documents\GitHub\mrs-test-scripts\Headless Mode &amp; Sideloading\WalkAndUnGZ.bat" "%USERPROFILE%\AppData\Local\Temp\OnboardLogs"\RTDC4061\2017-09-14 &amp; aws s3 cp s3://rtdc.mdm.uploadarchive.raw/RTDC4061/ "%USERPROFILE%\AppData\Local\Temp\OnboardLogs"\RTDC4061\2017-09-15 --exclude "*" --recursive --include "*20170915*" &amp; "%USERPROFILE%\Documents\GitHub\mrs-test-scripts\Headless Mode &amp; Sideloading\WalkAndUnGZ.bat" "%USERPROFILE%\AppData\Local\Temp\OnboardLogs"\RTDC4061\2017-09-15</v>
      </c>
      <c r="S29" s="84" t="str">
        <f>VLOOKUP(C29,'Train Runs'!$A$13:$AE$9949,22,0)</f>
        <v>https://d0f6bd738d7f1b3e5a7ca70fe4ff75f0.us-east-1.aws.found.io/app/kibana#/discover/Steve-Slow-Train-Analysis-(2080s-and-2083s)?_g=(refreshInterval:(display:Off,pause:!f,section:0,value:0),time:(from:'2017-09-14T09:49:57-0600',mode:absolute,to:'2017-09-14T12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9" s="86" t="str">
        <f t="shared" si="1"/>
        <v>"C:\Program Files (x86)\AstroGrep\AstroGrep.exe" /e /r /s /spath="%USERPROFILE%\AppData\Local\Temp\OnboardLogs" /stypes="*4061*201709141*"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4061</v>
      </c>
      <c r="V29" s="31">
        <f t="shared" si="3"/>
        <v>42992.738877314812</v>
      </c>
      <c r="W29" s="45" t="str">
        <f t="shared" si="4"/>
        <v>EC</v>
      </c>
      <c r="X29" s="22">
        <f t="shared" si="5"/>
        <v>152</v>
      </c>
      <c r="Y29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{"issue":{"subject":"","project_id":79,"tracker_id":40,"status_id":1,"priority_id":2,"assigned_to_id":338,"start_date":"2017-09-14","description":"","custom_fields":[{"id":1,"name":"Subdivision","value":"EC"},{"id":4,"name":"Milepost","value":"0.0001"},{"id":17,"name":"Train ID","value":"152-14"},{"id":16,"name":"Locomotive ID","value":"4061"},{"id":130,"name":"Impact","value":""},{"id":150,"name":"Time of Event (Mountain Time)","value":"11:43:59"},{"id":151,"name":"Denver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/c/Users/stu/AppData/Local/Temp/OnboardLogs/RTDC4061 --include="*4061*201709141*"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"%USERPROFILE%\AppData\Local\Temp\OnboardLogs"\RTDC4061\*4061*201709141* &gt;&gt; 2017-09-14-SliceDisagreementCheck.txt</v>
      </c>
      <c r="AE29" s="145" t="str">
        <f t="shared" si="9"/>
        <v>start /low /b %USERPROFILE%\Documents\GitHub\eaglep3\Utilities\DownloadLogsFromS3.py --loco 4061 --day 2017-09-14</v>
      </c>
      <c r="AF29" s="1"/>
    </row>
    <row r="30" spans="1:32" x14ac:dyDescent="0.25">
      <c r="A30" s="31">
        <v>42992.733657407407</v>
      </c>
      <c r="B30" s="30" t="s">
        <v>598</v>
      </c>
      <c r="C30" s="30" t="s">
        <v>610</v>
      </c>
      <c r="D30" s="30" t="s">
        <v>49</v>
      </c>
      <c r="E30" s="30" t="s">
        <v>181</v>
      </c>
      <c r="F30" s="42">
        <v>0</v>
      </c>
      <c r="G30" s="42">
        <v>38</v>
      </c>
      <c r="H30" s="42">
        <v>116</v>
      </c>
      <c r="I30" s="42">
        <v>103</v>
      </c>
      <c r="J30" s="30" t="s">
        <v>182</v>
      </c>
      <c r="K30" s="42">
        <v>1</v>
      </c>
      <c r="L30" s="131" t="s">
        <v>51</v>
      </c>
      <c r="M30" s="132">
        <f t="shared" si="0"/>
        <v>53.856000000000002</v>
      </c>
      <c r="N30" s="133" t="str">
        <f>VLOOKUP(C30,'Trips&amp;Operators'!$C$1:$G$99911,5,FALSE)</f>
        <v>BADERTSCHER DIANE</v>
      </c>
      <c r="O30" s="180" t="s">
        <v>180</v>
      </c>
      <c r="P30" s="134"/>
      <c r="Q30" s="30"/>
      <c r="R30" s="81" t="str">
        <f>VLOOKUP(C30,'Train Runs'!$A$13:$AE$9949,31,0)</f>
        <v>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 &amp; aws s3 cp s3://rtdc.mdm.uploadarchive.raw/RTDC4057/ "%USERPROFILE%\AppData\Local\Temp\OnboardLogs"\RTDC4057\2017-09-15 --exclude "*" --recursive --include "*20170915*" &amp; "%USERPROFILE%\Documents\GitHub\mrs-test-scripts\Headless Mode &amp; Sideloading\WalkAndUnGZ.bat" "%USERPROFILE%\AppData\Local\Temp\OnboardLogs"\RTDC4057\2017-09-15</v>
      </c>
      <c r="S30" s="84" t="str">
        <f>VLOOKUP(C30,'Train Runs'!$A$13:$AE$9949,22,0)</f>
        <v>https://d0f6bd738d7f1b3e5a7ca70fe4ff75f0.us-east-1.aws.found.io/app/kibana#/discover/Steve-Slow-Train-Analysis-(2080s-and-2083s)?_g=(refreshInterval:(display:Off,pause:!f,section:0,value:0),time:(from:'2017-09-14T15:46:51-0600',mode:absolute,to:'2017-09-14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0" s="86" t="str">
        <f t="shared" si="1"/>
        <v>"C:\Program Files (x86)\AstroGrep\AstroGrep.exe" /e /r /s /spath="%USERPROFILE%\AppData\Local\Temp\OnboardLogs" /stypes="*4057*201709142*"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4057</v>
      </c>
      <c r="V30" s="31">
        <f t="shared" si="3"/>
        <v>42992.983657407407</v>
      </c>
      <c r="W30" s="45" t="str">
        <f t="shared" si="4"/>
        <v>EC</v>
      </c>
      <c r="X30" s="22">
        <f t="shared" si="5"/>
        <v>200</v>
      </c>
      <c r="Y30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{"issue":{"subject":"","project_id":79,"tracker_id":40,"status_id":1,"priority_id":2,"assigned_to_id":338,"start_date":"2017-09-14","description":"","custom_fields":[{"id":1,"name":"Subdivision","value":"EC"},{"id":4,"name":"Milepost","value":"0.0001"},{"id":17,"name":"Train ID","value":"200-14"},{"id":16,"name":"Locomotive ID","value":"4057"},{"id":130,"name":"Impact","value":""},{"id":150,"name":"Time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/c/Users/stu/AppData/Local/Temp/OnboardLogs/RTDC4057 --include="*4057*201709142*"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"%USERPROFILE%\AppData\Local\Temp\OnboardLogs"\RTDC4057\*4057*201709142* &gt;&gt; 2017-09-14-SliceDisagreementCheck.txt</v>
      </c>
      <c r="AE30" s="145" t="str">
        <f t="shared" si="9"/>
        <v>start /low /b %USERPROFILE%\Documents\GitHub\eaglep3\Utilities\DownloadLogsFromS3.py --loco 4057 --day 2017-09-14</v>
      </c>
      <c r="AF30" s="1"/>
    </row>
    <row r="31" spans="1:32" x14ac:dyDescent="0.25">
      <c r="A31" s="31">
        <v>42992.526724537034</v>
      </c>
      <c r="B31" s="30" t="s">
        <v>594</v>
      </c>
      <c r="C31" s="30" t="s">
        <v>595</v>
      </c>
      <c r="D31" s="30" t="s">
        <v>49</v>
      </c>
      <c r="E31" s="30" t="s">
        <v>181</v>
      </c>
      <c r="F31" s="42">
        <v>0</v>
      </c>
      <c r="G31" s="42">
        <v>29</v>
      </c>
      <c r="H31" s="42">
        <v>233399</v>
      </c>
      <c r="I31" s="42">
        <v>233418</v>
      </c>
      <c r="J31" s="30" t="s">
        <v>182</v>
      </c>
      <c r="K31" s="42">
        <v>233491</v>
      </c>
      <c r="L31" s="131" t="s">
        <v>50</v>
      </c>
      <c r="M31" s="132">
        <f t="shared" si="0"/>
        <v>38.543999999999997</v>
      </c>
      <c r="N31" s="133" t="str">
        <f>VLOOKUP(C31,'Trips&amp;Operators'!$C$1:$G$99911,5,FALSE)</f>
        <v>DELGADO DIANAH</v>
      </c>
      <c r="O31" s="180" t="s">
        <v>180</v>
      </c>
      <c r="P31" s="134"/>
      <c r="Q31" s="30"/>
      <c r="R31" s="81" t="str">
        <f>VLOOKUP(C31,'Train Runs'!$A$13:$AE$9949,31,0)</f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S31" s="84" t="str">
        <f>VLOOKUP(C31,'Train Runs'!$A$13:$AE$9949,22,0)</f>
        <v>https://d0f6bd738d7f1b3e5a7ca70fe4ff75f0.us-east-1.aws.found.io/app/kibana#/discover/Steve-Slow-Train-Analysis-(2080s-and-2083s)?_g=(refreshInterval:(display:Off,pause:!f,section:0,value:0),time:(from:'2017-09-14T11:00:58-0600',mode:absolute,to:'2017-09-14T13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1" s="86" t="str">
        <f t="shared" si="1"/>
        <v>"C:\Program Files (x86)\AstroGrep\AstroGrep.exe" /e /r /s /spath="%USERPROFILE%\AppData\Local\Temp\OnboardLogs" /stypes="*4004*201709141*"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4004</v>
      </c>
      <c r="V31" s="31">
        <f t="shared" si="3"/>
        <v>42992.776724537034</v>
      </c>
      <c r="W31" s="45" t="str">
        <f t="shared" si="4"/>
        <v>EC</v>
      </c>
      <c r="X31" s="22">
        <f t="shared" si="5"/>
        <v>167</v>
      </c>
      <c r="Y31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{"issue":{"subject":"","project_id":79,"tracker_id":40,"status_id":1,"priority_id":2,"assigned_to_id":338,"start_date":"2017-09-14","description":"","custom_fields":[{"id":1,"name":"Subdivision","value":"EC"},{"id":4,"name":"Milepost","value":"23.3491"},{"id":17,"name":"Train ID","value":"167-14"},{"id":16,"name":"Locomotive ID","value":"4004"},{"id":130,"name":"Impact","value":""},{"id":150,"name":"Time of Event (Mountain Time)","value":"12:38:29"},{"id":151,"name":"Denver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/c/Users/stu/AppData/Local/Temp/OnboardLogs/RTDC4004 --include="*4004*201709141*"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"%USERPROFILE%\AppData\Local\Temp\OnboardLogs"\RTDC4004\*4004*201709141* &gt;&gt; 2017-09-14-SliceDisagreementCheck.txt</v>
      </c>
      <c r="AE31" s="145" t="str">
        <f t="shared" si="9"/>
        <v>start /low /b %USERPROFILE%\Documents\GitHub\eaglep3\Utilities\DownloadLogsFromS3.py --loco 4004 --day 2017-09-14</v>
      </c>
      <c r="AF31" s="1"/>
    </row>
    <row r="32" spans="1:32" x14ac:dyDescent="0.25">
      <c r="A32" s="31">
        <v>42992.552615740744</v>
      </c>
      <c r="B32" s="30" t="s">
        <v>447</v>
      </c>
      <c r="C32" s="30" t="s">
        <v>596</v>
      </c>
      <c r="D32" s="30" t="s">
        <v>49</v>
      </c>
      <c r="E32" s="30" t="s">
        <v>181</v>
      </c>
      <c r="F32" s="42">
        <v>0</v>
      </c>
      <c r="G32" s="42">
        <v>76</v>
      </c>
      <c r="H32" s="42">
        <v>233249</v>
      </c>
      <c r="I32" s="42">
        <v>233339</v>
      </c>
      <c r="J32" s="30" t="s">
        <v>182</v>
      </c>
      <c r="K32" s="42">
        <v>233491</v>
      </c>
      <c r="L32" s="131" t="s">
        <v>50</v>
      </c>
      <c r="M32" s="132">
        <f t="shared" si="0"/>
        <v>80.256</v>
      </c>
      <c r="N32" s="133" t="str">
        <f>VLOOKUP(C32,'Trips&amp;Operators'!$C$1:$G$99911,5,FALSE)</f>
        <v>BADERTSCHER DIANE</v>
      </c>
      <c r="O32" s="180" t="s">
        <v>180</v>
      </c>
      <c r="P32" s="134"/>
      <c r="Q32" s="30"/>
      <c r="R32" s="81" t="str">
        <f>VLOOKUP(C32,'Train Runs'!$A$13:$AE$9949,31,0)</f>
        <v>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 &amp; aws s3 cp s3://rtdc.mdm.uploadarchive.raw/RTDC4058/ "%USERPROFILE%\AppData\Local\Temp\OnboardLogs"\RTDC4058\2017-09-15 --exclude "*" --recursive --include "*20170915*" &amp; "%USERPROFILE%\Documents\GitHub\mrs-test-scripts\Headless Mode &amp; Sideloading\WalkAndUnGZ.bat" "%USERPROFILE%\AppData\Local\Temp\OnboardLogs"\RTDC4058\2017-09-15</v>
      </c>
      <c r="S32" s="84" t="str">
        <f>VLOOKUP(C32,'Train Runs'!$A$13:$AE$9949,22,0)</f>
        <v>https://d0f6bd738d7f1b3e5a7ca70fe4ff75f0.us-east-1.aws.found.io/app/kibana#/discover/Steve-Slow-Train-Analysis-(2080s-and-2083s)?_g=(refreshInterval:(display:Off,pause:!f,section:0,value:0),time:(from:'2017-09-14T11:34:23-0600',mode:absolute,to:'2017-09-14T14:15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2" s="86" t="str">
        <f t="shared" si="1"/>
        <v>"C:\Program Files (x86)\AstroGrep\AstroGrep.exe" /e /r /s /spath="%USERPROFILE%\AppData\Local\Temp\OnboardLogs" /stypes="*4058*201709141*" /stext=" 19:.+((SYSTEM_STATE.+slice.+state.+changed )|(ment ac)|(multiple cpu faults)|(system.+state.+changed )|(\[timeout)|(PRM\|1\|D)|(kpr)|(kdp)|(train st.+moving)|(\|lc)|(penalty))"</v>
      </c>
      <c r="U32" s="9" t="str">
        <f t="shared" si="2"/>
        <v>4058</v>
      </c>
      <c r="V32" s="31">
        <f t="shared" si="3"/>
        <v>42992.802615740744</v>
      </c>
      <c r="W32" s="45" t="str">
        <f t="shared" si="4"/>
        <v>EC</v>
      </c>
      <c r="X32" s="22">
        <f t="shared" si="5"/>
        <v>171</v>
      </c>
      <c r="Y32" s="96" t="str">
        <f t="shared" si="6"/>
        <v>echo {"issue":{"subject":"","project_id":79,"tracker_id":40,"status_id":1,"priority_id":2,"assigned_to_id":338,"start_date":"2017-09-14","description":"","custom_fields":[{"id":1,"name":"Subdivision","value":"EC"},{"id":4,"name":"Milepost","value":"23.3491"},{"id":17,"name":"Train ID","value":"171-14"},{"id":16,"name":"Locomotive ID","value":"4058"},{"id":130,"name":"Impact","value":""},{"id":150,"name":"Time of Event (Mountain Time)","value":"13:15:46"},{"id":151,"name":"Denver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/c/Users/stu/AppData/Local/Temp/OnboardLogs/RTDC4058 --include="*4058*201709141*"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"%USERPROFILE%\AppData\Local\Temp\OnboardLogs"\RTDC4058\*4058*201709141* &gt;&gt; 2017-09-14-SliceDisagreementCheck.txt</v>
      </c>
      <c r="AE32" s="145" t="str">
        <f t="shared" si="9"/>
        <v>start /low /b %USERPROFILE%\Documents\GitHub\eaglep3\Utilities\DownloadLogsFromS3.py --loco 4058 --day 2017-09-14</v>
      </c>
      <c r="AF32" s="1"/>
    </row>
    <row r="33" spans="1:32" x14ac:dyDescent="0.25">
      <c r="A33" s="31">
        <v>42992.303472222222</v>
      </c>
      <c r="B33" s="30" t="s">
        <v>575</v>
      </c>
      <c r="C33" s="30" t="s">
        <v>582</v>
      </c>
      <c r="D33" s="30" t="s">
        <v>96</v>
      </c>
      <c r="E33" s="30" t="s">
        <v>195</v>
      </c>
      <c r="F33" s="42">
        <v>400</v>
      </c>
      <c r="G33" s="42">
        <v>453</v>
      </c>
      <c r="H33" s="42">
        <v>38566</v>
      </c>
      <c r="I33" s="42">
        <v>37345</v>
      </c>
      <c r="J33" s="30" t="s">
        <v>196</v>
      </c>
      <c r="K33" s="42">
        <v>40977</v>
      </c>
      <c r="L33" s="131" t="s">
        <v>51</v>
      </c>
      <c r="M33" s="132">
        <f t="shared" si="0"/>
        <v>-1917.6959999999999</v>
      </c>
      <c r="N33" s="133" t="str">
        <f>VLOOKUP(C33,'Trips&amp;Operators'!$C$1:$G$99911,5,FALSE)</f>
        <v>DAVIS WENDY</v>
      </c>
      <c r="O33" s="180" t="s">
        <v>180</v>
      </c>
      <c r="P33" s="134"/>
      <c r="Q33" s="30"/>
      <c r="R33" s="81" t="str">
        <f>VLOOKUP(C33,'Train Runs'!$A$13:$AE$9949,31,0)</f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S33" s="84" t="str">
        <f>VLOOKUP(C33,'Train Runs'!$A$13:$AE$9949,22,0)</f>
        <v>https://d0f6bd738d7f1b3e5a7ca70fe4ff75f0.us-east-1.aws.found.io/app/kibana#/discover/Steve-Slow-Train-Analysis-(2080s-and-2083s)?_g=(refreshInterval:(display:Off,pause:!f,section:0,value:0),time:(from:'2017-09-14T05:26:33-0600',mode:absolute,to:'2017-09-14T08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3" s="86" t="str">
        <f t="shared" si="1"/>
        <v>"C:\Program Files (x86)\AstroGrep\AstroGrep.exe" /e /r /s /spath="%USERPROFILE%\AppData\Local\Temp\OnboardLogs" /stypes="*4013*201709141*"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4013</v>
      </c>
      <c r="V33" s="31">
        <f t="shared" si="3"/>
        <v>42992.553472222222</v>
      </c>
      <c r="W33" s="45" t="str">
        <f t="shared" si="4"/>
        <v>NW</v>
      </c>
      <c r="X33" s="22">
        <f t="shared" si="5"/>
        <v>806</v>
      </c>
      <c r="Y33" s="96" t="str">
        <f t="shared" si="6"/>
        <v>echo {"issue":{"subject":"","project_id":79,"tracker_id":40,"status_id":1,"priority_id":2,"assigned_to_id":338,"start_date":"2017-09-14","description":"","custom_fields":[{"id":1,"name":"Subdivision","value":"NW"},{"id":4,"name":"Milepost","value":"4.0977"},{"id":17,"name":"Train ID","value":"806-14"},{"id":16,"name":"Locomotive ID","value":"4013"},{"id":130,"name":"Impact","value":""},{"id":150,"name":"Time of Event (Mountain Time)","value":"07:17:00"},{"id":151,"name":"Denver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/c/Users/stu/AppData/Local/Temp/OnboardLogs/RTDC4013 --include="*4013*201709141*"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"%USERPROFILE%\AppData\Local\Temp\OnboardLogs"\RTDC4013\*4013*201709141* &gt;&gt; 2017-09-14-SliceDisagreementCheck.txt</v>
      </c>
      <c r="AE33" s="145" t="str">
        <f t="shared" si="9"/>
        <v>start /low /b %USERPROFILE%\Documents\GitHub\eaglep3\Utilities\DownloadLogsFromS3.py --loco 4013 --day 2017-09-14</v>
      </c>
      <c r="AF33" s="1"/>
    </row>
    <row r="34" spans="1:32" x14ac:dyDescent="0.25">
      <c r="A34" s="31">
        <v>42992.699212962965</v>
      </c>
      <c r="B34" s="30" t="s">
        <v>604</v>
      </c>
      <c r="C34" s="30" t="s">
        <v>608</v>
      </c>
      <c r="D34" s="30" t="s">
        <v>96</v>
      </c>
      <c r="E34" s="30" t="s">
        <v>195</v>
      </c>
      <c r="F34" s="42">
        <v>400</v>
      </c>
      <c r="G34" s="42">
        <v>450</v>
      </c>
      <c r="H34" s="42">
        <v>38993</v>
      </c>
      <c r="I34" s="42">
        <v>37917</v>
      </c>
      <c r="J34" s="30" t="s">
        <v>196</v>
      </c>
      <c r="K34" s="42">
        <v>40977</v>
      </c>
      <c r="L34" s="131" t="s">
        <v>51</v>
      </c>
      <c r="M34" s="132">
        <f t="shared" si="0"/>
        <v>-1615.68</v>
      </c>
      <c r="N34" s="133" t="str">
        <f>VLOOKUP(C34,'Trips&amp;Operators'!$C$1:$G$99911,5,FALSE)</f>
        <v>STAMBAUGH JAMES</v>
      </c>
      <c r="O34" s="180" t="s">
        <v>180</v>
      </c>
      <c r="P34" s="134"/>
      <c r="Q34" s="30"/>
      <c r="R34" s="81" t="str">
        <f>VLOOKUP(C34,'Train Runs'!$A$13:$AE$9949,31,0)</f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S34" s="84" t="str">
        <f>VLOOKUP(C34,'Train Runs'!$A$13:$AE$9949,22,0)</f>
        <v>https://d0f6bd738d7f1b3e5a7ca70fe4ff75f0.us-east-1.aws.found.io/app/kibana#/discover/Steve-Slow-Train-Analysis-(2080s-and-2083s)?_g=(refreshInterval:(display:Off,pause:!f,section:0,value:0),time:(from:'2017-09-14T15:25:32-0600',mode:absolute,to:'2017-09-14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4" s="86" t="str">
        <f t="shared" si="1"/>
        <v>"C:\Program Files (x86)\AstroGrep\AstroGrep.exe" /e /r /s /spath="%USERPROFILE%\AppData\Local\Temp\OnboardLogs" /stypes="*4033*201709142*"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4033</v>
      </c>
      <c r="V34" s="31">
        <f t="shared" si="3"/>
        <v>42992.949212962965</v>
      </c>
      <c r="W34" s="45" t="str">
        <f t="shared" si="4"/>
        <v>NW</v>
      </c>
      <c r="X34" s="22">
        <f t="shared" si="5"/>
        <v>830</v>
      </c>
      <c r="Y34" s="96" t="str">
        <f t="shared" si="6"/>
        <v>echo {"issue":{"subject":"","project_id":79,"tracker_id":40,"status_id":1,"priority_id":2,"assigned_to_id":338,"start_date":"2017-09-14","description":"","custom_fields":[{"id":1,"name":"Subdivision","value":"NW"},{"id":4,"name":"Milepost","value":"4.0977"},{"id":17,"name":"Train ID","value":"830-14"},{"id":16,"name":"Locomotive ID","value":"4033"},{"id":130,"name":"Impact","value":""},{"id":150,"name":"Time of Event (Mountain Time)","value":"16:46:52"},{"id":151,"name":"Denver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/c/Users/stu/AppData/Local/Temp/OnboardLogs/RTDC4033 --include="*4033*201709142*"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"%USERPROFILE%\AppData\Local\Temp\OnboardLogs"\RTDC4033\*4033*201709142* &gt;&gt; 2017-09-14-SliceDisagreementCheck.txt</v>
      </c>
      <c r="AE34" s="145" t="str">
        <f t="shared" si="9"/>
        <v>start /low /b %USERPROFILE%\Documents\GitHub\eaglep3\Utilities\DownloadLogsFromS3.py --loco 4033 --day 2017-09-14</v>
      </c>
      <c r="AF34" s="1"/>
    </row>
    <row r="35" spans="1:32" x14ac:dyDescent="0.25">
      <c r="A35" s="31">
        <v>42992.302870370368</v>
      </c>
      <c r="B35" s="30" t="s">
        <v>580</v>
      </c>
      <c r="C35" s="30" t="s">
        <v>581</v>
      </c>
      <c r="D35" s="30" t="s">
        <v>49</v>
      </c>
      <c r="E35" s="30" t="s">
        <v>362</v>
      </c>
      <c r="F35" s="42">
        <v>0</v>
      </c>
      <c r="G35" s="42">
        <v>276</v>
      </c>
      <c r="H35" s="42">
        <v>32814</v>
      </c>
      <c r="I35" s="42">
        <v>33558</v>
      </c>
      <c r="J35" s="30" t="s">
        <v>363</v>
      </c>
      <c r="K35" s="42">
        <v>34583</v>
      </c>
      <c r="L35" s="131" t="s">
        <v>50</v>
      </c>
      <c r="M35" s="132">
        <f t="shared" si="0"/>
        <v>541.20000000000005</v>
      </c>
      <c r="N35" s="133" t="str">
        <f>VLOOKUP(C35,'Trips&amp;Operators'!$C$1:$G$99911,5,FALSE)</f>
        <v>FORTUNATO FRANK</v>
      </c>
      <c r="O35" s="180" t="s">
        <v>180</v>
      </c>
      <c r="P35" s="134" t="s">
        <v>1020</v>
      </c>
      <c r="Q35" s="30"/>
      <c r="R35" s="81" t="str">
        <f>VLOOKUP(C35,'Train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35" s="84" t="str">
        <f>VLOOKUP(C35,'Train Runs'!$A$13:$AE$9949,22,0)</f>
        <v>https://d0f6bd738d7f1b3e5a7ca70fe4ff75f0.us-east-1.aws.found.io/app/kibana#/discover/Steve-Slow-Train-Analysis-(2080s-and-2083s)?_g=(refreshInterval:(display:Off,pause:!f,section:0,value:0),time:(from:'2017-09-14T06:00:02-0600',mode:absolute,to:'2017-09-14T08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5" s="86" t="str">
        <f t="shared" si="1"/>
        <v>"C:\Program Files (x86)\AstroGrep\AstroGrep.exe" /e /r /s /spath="%USERPROFILE%\AppData\Local\Temp\OnboardLogs" /stypes="*4034*201709141*"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4034</v>
      </c>
      <c r="V35" s="31">
        <f t="shared" si="3"/>
        <v>42992.552870370368</v>
      </c>
      <c r="W35" s="45" t="str">
        <f t="shared" si="4"/>
        <v>NW</v>
      </c>
      <c r="X35" s="22">
        <f t="shared" si="5"/>
        <v>807</v>
      </c>
      <c r="Y35" s="96" t="str">
        <f t="shared" si="6"/>
        <v>echo {"issue":{"subject":"Restricting aspect, delayed route firing at CP Pecos","project_id":79,"tracker_id":40,"status_id":1,"priority_id":2,"assigned_to_id":338,"start_date":"2017-09-14","description":"","custom_fields":[{"id":1,"name":"Subdivision","value":"NW"},{"id":4,"name":"Milepost","value":"3.4583"},{"id":17,"name":"Train ID","value":"807-14"},{"id":16,"name":"Locomotive ID","value":"4034"},{"id":130,"name":"Impact","value":""},{"id":150,"name":"Time of Event (Mountain Time)","value":"07:16:08"},{"id":151,"name":"Denver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/c/Users/stu/AppData/Local/Temp/OnboardLogs/RTDC4034 --include="*4034*201709141*"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"%USERPROFILE%\AppData\Local\Temp\OnboardLogs"\RTDC4034\*4034*201709141* &gt;&gt; 2017-09-14-SliceDisagreementCheck.txt</v>
      </c>
      <c r="AE35" s="145" t="str">
        <f t="shared" si="9"/>
        <v>start /low /b %USERPROFILE%\Documents\GitHub\eaglep3\Utilities\DownloadLogsFromS3.py --loco 4034 --day 2017-09-14</v>
      </c>
      <c r="AF35" s="1"/>
    </row>
    <row r="36" spans="1:32" x14ac:dyDescent="0.25">
      <c r="A36" s="31">
        <v>42992.698738425926</v>
      </c>
      <c r="B36" s="30" t="s">
        <v>573</v>
      </c>
      <c r="C36" s="30" t="s">
        <v>607</v>
      </c>
      <c r="D36" s="30" t="s">
        <v>49</v>
      </c>
      <c r="E36" s="30" t="s">
        <v>362</v>
      </c>
      <c r="F36" s="42">
        <v>0</v>
      </c>
      <c r="G36" s="42">
        <v>258</v>
      </c>
      <c r="H36" s="42">
        <v>32912</v>
      </c>
      <c r="I36" s="42">
        <v>33573</v>
      </c>
      <c r="J36" s="30" t="s">
        <v>363</v>
      </c>
      <c r="K36" s="42">
        <v>34583</v>
      </c>
      <c r="L36" s="131" t="s">
        <v>50</v>
      </c>
      <c r="M36" s="132">
        <f t="shared" si="0"/>
        <v>533.28</v>
      </c>
      <c r="N36" s="133" t="str">
        <f>VLOOKUP(C36,'Trips&amp;Operators'!$C$1:$G$99911,5,FALSE)</f>
        <v>ZEWDU DEREJE</v>
      </c>
      <c r="O36" s="180" t="s">
        <v>180</v>
      </c>
      <c r="P36" s="134" t="s">
        <v>1020</v>
      </c>
      <c r="Q36" s="30"/>
      <c r="R36" s="81" t="str">
        <f>VLOOKUP(C36,'Train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36" s="84" t="str">
        <f>VLOOKUP(C36,'Train Runs'!$A$13:$AE$9949,22,0)</f>
        <v>https://d0f6bd738d7f1b3e5a7ca70fe4ff75f0.us-east-1.aws.found.io/app/kibana#/discover/Steve-Slow-Train-Analysis-(2080s-and-2083s)?_g=(refreshInterval:(display:Off,pause:!f,section:0,value:0),time:(from:'2017-09-14T15:30:59-0600',mode:absolute,to:'2017-09-14T17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6" s="86" t="str">
        <f t="shared" si="1"/>
        <v>"C:\Program Files (x86)\AstroGrep\AstroGrep.exe" /e /r /s /spath="%USERPROFILE%\AppData\Local\Temp\OnboardLogs" /stypes="*4014*201709142*"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4014</v>
      </c>
      <c r="V36" s="31">
        <f t="shared" si="3"/>
        <v>42992.948738425926</v>
      </c>
      <c r="W36" s="45" t="str">
        <f t="shared" si="4"/>
        <v>NW</v>
      </c>
      <c r="X36" s="22">
        <f t="shared" si="5"/>
        <v>831</v>
      </c>
      <c r="Y36" s="96" t="str">
        <f t="shared" si="6"/>
        <v>echo {"issue":{"subject":"Restricting aspect, delayed route firing at CP Pecos","project_id":79,"tracker_id":40,"status_id":1,"priority_id":2,"assigned_to_id":338,"start_date":"2017-09-14","description":"","custom_fields":[{"id":1,"name":"Subdivision","value":"NW"},{"id":4,"name":"Milepost","value":"3.4583"},{"id":17,"name":"Train ID","value":"831-14"},{"id":16,"name":"Locomotive ID","value":"4014"},{"id":130,"name":"Impact","value":""},{"id":150,"name":"Time of Event (Mountain Time)","value":"16:46:11"},{"id":151,"name":"Denver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/c/Users/stu/AppData/Local/Temp/OnboardLogs/RTDC4014 --include="*4014*201709142*"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"%USERPROFILE%\AppData\Local\Temp\OnboardLogs"\RTDC4014\*4014*201709142* &gt;&gt; 2017-09-14-SliceDisagreementCheck.txt</v>
      </c>
      <c r="AE36" s="145" t="str">
        <f t="shared" si="9"/>
        <v>start /low /b %USERPROFILE%\Documents\GitHub\eaglep3\Utilities\DownloadLogsFromS3.py --loco 4014 --day 2017-09-14</v>
      </c>
      <c r="AF36" s="1"/>
    </row>
    <row r="37" spans="1:32" x14ac:dyDescent="0.25">
      <c r="A37" s="31">
        <v>42992.657951388886</v>
      </c>
      <c r="B37" s="30" t="s">
        <v>573</v>
      </c>
      <c r="C37" s="30" t="s">
        <v>603</v>
      </c>
      <c r="D37" s="30" t="s">
        <v>96</v>
      </c>
      <c r="E37" s="30" t="s">
        <v>362</v>
      </c>
      <c r="F37" s="42">
        <v>200</v>
      </c>
      <c r="G37" s="42">
        <v>252</v>
      </c>
      <c r="H37" s="42">
        <v>35642</v>
      </c>
      <c r="I37" s="42">
        <v>36473</v>
      </c>
      <c r="J37" s="30" t="s">
        <v>363</v>
      </c>
      <c r="K37" s="42">
        <v>34583</v>
      </c>
      <c r="L37" s="131" t="s">
        <v>50</v>
      </c>
      <c r="M37" s="132">
        <f t="shared" si="0"/>
        <v>-997.92</v>
      </c>
      <c r="N37" s="133" t="str">
        <f>VLOOKUP(C37,'Trips&amp;Operators'!$C$1:$G$99911,5,FALSE)</f>
        <v>DUNCAN SHEILA</v>
      </c>
      <c r="O37" s="180" t="s">
        <v>180</v>
      </c>
      <c r="P37" s="134" t="s">
        <v>1020</v>
      </c>
      <c r="Q37" s="30"/>
      <c r="R37" s="81" t="str">
        <f>VLOOKUP(C37,'Train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37" s="84" t="str">
        <f>VLOOKUP(C37,'Train Runs'!$A$13:$AE$9949,22,0)</f>
        <v>https://d0f6bd738d7f1b3e5a7ca70fe4ff75f0.us-east-1.aws.found.io/app/kibana#/discover/Steve-Slow-Train-Analysis-(2080s-and-2083s)?_g=(refreshInterval:(display:Off,pause:!f,section:0,value:0),time:(from:'2017-09-14T14:35:53-0600',mode:absolute,to:'2017-09-14T16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/stypes="*4014*201709142*"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42992.907951388886</v>
      </c>
      <c r="W37" s="45" t="str">
        <f t="shared" si="4"/>
        <v>NW</v>
      </c>
      <c r="X37" s="22">
        <f t="shared" si="5"/>
        <v>827</v>
      </c>
      <c r="Y37" s="96" t="str">
        <f t="shared" si="6"/>
        <v>echo {"issue":{"subject":"Restricting aspect, delayed route firing at CP Pecos","project_id":79,"tracker_id":40,"status_id":1,"priority_id":2,"assigned_to_id":338,"start_date":"2017-09-14","description":"","custom_fields":[{"id":1,"name":"Subdivision","value":"NW"},{"id":4,"name":"Milepost","value":"3.4583"},{"id":17,"name":"Train ID","value":"827-14"},{"id":16,"name":"Locomotive ID","value":"4014"},{"id":130,"name":"Impact","value":""},{"id":150,"name":"Time of Event (Mountain Time)","value":"15:47:27"},{"id":151,"name":"Denver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/c/Users/stu/AppData/Local/Temp/OnboardLogs/RTDC4014 --include="*4014*201709142*"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"%USERPROFILE%\AppData\Local\Temp\OnboardLogs"\RTDC4014\*4014*201709142* &gt;&gt; 2017-09-14-SliceDisagreementCheck.txt</v>
      </c>
      <c r="AE37" s="145" t="str">
        <f t="shared" si="9"/>
        <v>start /low /b %USERPROFILE%\Documents\GitHub\eaglep3\Utilities\DownloadLogsFromS3.py --loco 4014 --day 2017-09-14</v>
      </c>
      <c r="AF37" s="1"/>
    </row>
    <row r="38" spans="1:32" x14ac:dyDescent="0.25">
      <c r="A38" s="31">
        <v>42992.226041666669</v>
      </c>
      <c r="B38" s="30" t="s">
        <v>575</v>
      </c>
      <c r="C38" s="30" t="s">
        <v>576</v>
      </c>
      <c r="D38" s="30" t="s">
        <v>49</v>
      </c>
      <c r="E38" s="30" t="s">
        <v>181</v>
      </c>
      <c r="F38" s="42">
        <v>0</v>
      </c>
      <c r="G38" s="42">
        <v>17</v>
      </c>
      <c r="H38" s="42">
        <v>612</v>
      </c>
      <c r="I38" s="42">
        <v>594</v>
      </c>
      <c r="J38" s="30" t="s">
        <v>182</v>
      </c>
      <c r="K38" s="42">
        <v>575</v>
      </c>
      <c r="L38" s="131" t="s">
        <v>51</v>
      </c>
      <c r="M38" s="132">
        <f t="shared" si="0"/>
        <v>10.032</v>
      </c>
      <c r="N38" s="133" t="str">
        <f>VLOOKUP(C38,'Trips&amp;Operators'!$C$1:$G$99911,5,FALSE)</f>
        <v>DAVIS WENDY</v>
      </c>
      <c r="O38" s="180" t="s">
        <v>180</v>
      </c>
      <c r="P38" s="134"/>
      <c r="Q38" s="30"/>
      <c r="R38" s="81" t="str">
        <f>VLOOKUP(C38,'Train Runs'!$A$13:$AE$9949,31,0)</f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S38" s="84" t="str">
        <f>VLOOKUP(C38,'Train Runs'!$A$13:$AE$9949,22,0)</f>
        <v>https://d0f6bd738d7f1b3e5a7ca70fe4ff75f0.us-east-1.aws.found.io/app/kibana#/discover/Steve-Slow-Train-Analysis-(2080s-and-2083s)?_g=(refreshInterval:(display:Off,pause:!f,section:0,value:0),time:(from:'2017-09-14T04:04:04-0600',mode:absolute,to:'2017-09-14T06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6" t="str">
        <f t="shared" si="1"/>
        <v>"C:\Program Files (x86)\AstroGrep\AstroGrep.exe" /e /r /s /spath="%USERPROFILE%\AppData\Local\Temp\OnboardLogs" /stypes="*4013*201709141*"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4013</v>
      </c>
      <c r="V38" s="31">
        <f t="shared" si="3"/>
        <v>42992.476041666669</v>
      </c>
      <c r="W38" s="45" t="str">
        <f t="shared" si="4"/>
        <v>NW</v>
      </c>
      <c r="X38" s="22">
        <f t="shared" si="5"/>
        <v>800</v>
      </c>
      <c r="Y38" s="96" t="str">
        <f t="shared" si="6"/>
        <v>echo {"issue":{"subject":"","project_id":79,"tracker_id":40,"status_id":1,"priority_id":2,"assigned_to_id":338,"start_date":"2017-09-14","description":"","custom_fields":[{"id":1,"name":"Subdivision","value":"NW"},{"id":4,"name":"Milepost","value":"0.0575"},{"id":17,"name":"Train ID","value":"800-14"},{"id":16,"name":"Locomotive ID","value":"4013"},{"id":130,"name":"Impact","value":""},{"id":150,"name":"Time of Event (Mountain Time)","value":"05:25:30"},{"id":151,"name":"Denver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/c/Users/stu/AppData/Local/Temp/OnboardLogs/RTDC4013 --include="*4013*201709141*"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"%USERPROFILE%\AppData\Local\Temp\OnboardLogs"\RTDC4013\*4013*201709141* &gt;&gt; 2017-09-14-SliceDisagreementCheck.txt</v>
      </c>
      <c r="AE38" s="145" t="str">
        <f t="shared" si="9"/>
        <v>start /low /b %USERPROFILE%\Documents\GitHub\eaglep3\Utilities\DownloadLogsFromS3.py --loco 4013 --day 2017-09-14</v>
      </c>
      <c r="AF38" s="1"/>
    </row>
    <row r="39" spans="1:32" x14ac:dyDescent="0.25">
      <c r="A39" s="31">
        <v>42992.267881944441</v>
      </c>
      <c r="B39" s="30" t="s">
        <v>575</v>
      </c>
      <c r="C39" s="30" t="s">
        <v>578</v>
      </c>
      <c r="D39" s="30" t="s">
        <v>49</v>
      </c>
      <c r="E39" s="30" t="s">
        <v>181</v>
      </c>
      <c r="F39" s="42">
        <v>0</v>
      </c>
      <c r="G39" s="42">
        <v>33</v>
      </c>
      <c r="H39" s="42">
        <v>670</v>
      </c>
      <c r="I39" s="42">
        <v>654</v>
      </c>
      <c r="J39" s="30" t="s">
        <v>182</v>
      </c>
      <c r="K39" s="42">
        <v>575</v>
      </c>
      <c r="L39" s="131" t="s">
        <v>51</v>
      </c>
      <c r="M39" s="132">
        <f t="shared" ref="M39:M70" si="10">CONVERT((I39-K39)/10000,"mi","ft")*IF(L39="Increasing Mileposts (1)",-1,1)</f>
        <v>41.712000000000003</v>
      </c>
      <c r="N39" s="133" t="str">
        <f>VLOOKUP(C39,'Trips&amp;Operators'!$C$1:$G$99911,5,FALSE)</f>
        <v>DAVIS WENDY</v>
      </c>
      <c r="O39" s="180" t="s">
        <v>180</v>
      </c>
      <c r="P39" s="134"/>
      <c r="Q39" s="30"/>
      <c r="R39" s="81" t="str">
        <f>VLOOKUP(C39,'Train Runs'!$A$13:$AE$9949,31,0)</f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S39" s="84" t="str">
        <f>VLOOKUP(C39,'Train Runs'!$A$13:$AE$9949,22,0)</f>
        <v>https://d0f6bd738d7f1b3e5a7ca70fe4ff75f0.us-east-1.aws.found.io/app/kibana#/discover/Steve-Slow-Train-Analysis-(2080s-and-2083s)?_g=(refreshInterval:(display:Off,pause:!f,section:0,value:0),time:(from:'2017-09-14T04:56:04-0600',mode:absolute,to:'2017-09-14T07:25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/stypes="*4013*201709141*" /stext=" 12:.+((SYSTEM_STATE.+slice.+state.+changed )|(ment ac)|(multiple cpu faults)|(system.+state.+changed )|(\[timeout)|(PRM\|1\|D)|(kpr)|(kdp)|(train st.+moving)|(\|lc)|(penalty))"</v>
      </c>
      <c r="U39" s="9" t="str">
        <f t="shared" ref="U39:U56" si="12">MID(B39,13,4)</f>
        <v>4013</v>
      </c>
      <c r="V39" s="31">
        <f t="shared" ref="V39:V56" si="13">A39-utc_offset/24</f>
        <v>42992.517881944441</v>
      </c>
      <c r="W39" s="45" t="str">
        <f t="shared" ref="W39:W56" si="14">DetSubdiv(C39)</f>
        <v>NW</v>
      </c>
      <c r="X39" s="22">
        <f t="shared" ref="X39:X56" si="15">VALUE(LEFT(C39,LEN(C39)-3))</f>
        <v>802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{"issue":{"subject":"","project_id":79,"tracker_id":40,"status_id":1,"priority_id":2,"assigned_to_id":338,"start_date":"2017-09-14","description":"","custom_fields":[{"id":1,"name":"Subdivision","value":"NW"},{"id":4,"name":"Milepost","value":"0.0575"},{"id":17,"name":"Train ID","value":"802-14"},{"id":16,"name":"Locomotive ID","value":"4013"},{"id":130,"name":"Impact","value":""},{"id":150,"name":"Time of Event (Mountain Time)","value":"06:25:45"},{"id":151,"name":"Denver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6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/c/Users/stu/AppData/Local/Temp/OnboardLogs/RTDC4013 --include="*4013*201709141*"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"%USERPROFILE%\AppData\Local\Temp\OnboardLogs"\RTDC4013\*4013*201709141* &gt;&gt; 2017-09-14-SliceDisagreementCheck.txt</v>
      </c>
      <c r="AE39" s="145" t="str">
        <f t="shared" si="9"/>
        <v>start /low /b %USERPROFILE%\Documents\GitHub\eaglep3\Utilities\DownloadLogsFromS3.py --loco 4013 --day 2017-09-14</v>
      </c>
      <c r="AF39" s="1"/>
    </row>
    <row r="40" spans="1:32" x14ac:dyDescent="0.25">
      <c r="A40" s="31">
        <v>42992.310335648152</v>
      </c>
      <c r="B40" s="30" t="s">
        <v>575</v>
      </c>
      <c r="C40" s="30" t="s">
        <v>582</v>
      </c>
      <c r="D40" s="30" t="s">
        <v>49</v>
      </c>
      <c r="E40" s="30" t="s">
        <v>181</v>
      </c>
      <c r="F40" s="42">
        <v>0</v>
      </c>
      <c r="G40" s="42">
        <v>45</v>
      </c>
      <c r="H40" s="42">
        <v>727</v>
      </c>
      <c r="I40" s="42">
        <v>691</v>
      </c>
      <c r="J40" s="30" t="s">
        <v>182</v>
      </c>
      <c r="K40" s="42">
        <v>575</v>
      </c>
      <c r="L40" s="131" t="s">
        <v>51</v>
      </c>
      <c r="M40" s="132">
        <f t="shared" si="10"/>
        <v>61.247999999999998</v>
      </c>
      <c r="N40" s="133" t="str">
        <f>VLOOKUP(C40,'Trips&amp;Operators'!$C$1:$G$99911,5,FALSE)</f>
        <v>DAVIS WENDY</v>
      </c>
      <c r="O40" s="180" t="s">
        <v>180</v>
      </c>
      <c r="P40" s="134"/>
      <c r="Q40" s="30"/>
      <c r="R40" s="81" t="str">
        <f>VLOOKUP(C40,'Train Runs'!$A$13:$AE$9949,31,0)</f>
        <v>aws s3 cp s3://rtdc.mdm.uploadarchive.raw/RTDC4013/ "%USERPROFILE%\AppData\Local\Temp\OnboardLogs"\RTDC4013\2017-09-14 --exclude "*" --recursive --include "*20170914*" &amp; "%USERPROFILE%\Documents\GitHub\mrs-test-scripts\Headless Mode &amp; Sideloading\WalkAndUnGZ.bat" "%USERPROFILE%\AppData\Local\Temp\OnboardLogs"\RTDC4013\2017-09-14 &amp; aws s3 cp s3://rtdc.mdm.uploadarchive.raw/RTDC4013/ "%USERPROFILE%\AppData\Local\Temp\OnboardLogs"\RTDC4013\2017-09-15 --exclude "*" --recursive --include "*20170915*" &amp; "%USERPROFILE%\Documents\GitHub\mrs-test-scripts\Headless Mode &amp; Sideloading\WalkAndUnGZ.bat" "%USERPROFILE%\AppData\Local\Temp\OnboardLogs"\RTDC4013\2017-09-15</v>
      </c>
      <c r="S40" s="84" t="str">
        <f>VLOOKUP(C40,'Train Runs'!$A$13:$AE$9949,22,0)</f>
        <v>https://d0f6bd738d7f1b3e5a7ca70fe4ff75f0.us-east-1.aws.found.io/app/kibana#/discover/Steve-Slow-Train-Analysis-(2080s-and-2083s)?_g=(refreshInterval:(display:Off,pause:!f,section:0,value:0),time:(from:'2017-09-14T05:26:33-0600',mode:absolute,to:'2017-09-14T08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86" t="str">
        <f t="shared" si="11"/>
        <v>"C:\Program Files (x86)\AstroGrep\AstroGrep.exe" /e /r /s /spath="%USERPROFILE%\AppData\Local\Temp\OnboardLogs" /stypes="*4013*201709141*" /stext=" 13:.+((SYSTEM_STATE.+slice.+state.+changed )|(ment ac)|(multiple cpu faults)|(system.+state.+changed )|(\[timeout)|(PRM\|1\|D)|(kpr)|(kdp)|(train st.+moving)|(\|lc)|(penalty))"</v>
      </c>
      <c r="U40" s="9" t="str">
        <f t="shared" si="12"/>
        <v>4013</v>
      </c>
      <c r="V40" s="31">
        <f t="shared" si="13"/>
        <v>42992.560335648152</v>
      </c>
      <c r="W40" s="45" t="str">
        <f t="shared" si="14"/>
        <v>NW</v>
      </c>
      <c r="X40" s="22">
        <f t="shared" si="15"/>
        <v>806</v>
      </c>
      <c r="Y40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{"issue":{"subject":"","project_id":79,"tracker_id":40,"status_id":1,"priority_id":2,"assigned_to_id":338,"start_date":"2017-09-14","description":"","custom_fields":[{"id":1,"name":"Subdivision","value":"NW"},{"id":4,"name":"Milepost","value":"0.0575"},{"id":17,"name":"Train ID","value":"806-14"},{"id":16,"name":"Locomotive ID","value":"4013"},{"id":130,"name":"Impact","value":""},{"id":150,"name":"Time of Event (Mountain Time)","value":"07:26:53"},{"id":151,"name":"Denver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/c/Users/stu/AppData/Local/Temp/OnboardLogs/RTDC4013 --include="*4013*201709141*"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"%USERPROFILE%\AppData\Local\Temp\OnboardLogs"\RTDC4013\*4013*201709141* &gt;&gt; 2017-09-14-SliceDisagreementCheck.txt</v>
      </c>
      <c r="AE40" s="145" t="str">
        <f t="shared" si="9"/>
        <v>start /low /b %USERPROFILE%\Documents\GitHub\eaglep3\Utilities\DownloadLogsFromS3.py --loco 4013 --day 2017-09-14</v>
      </c>
      <c r="AF40" s="1"/>
    </row>
    <row r="41" spans="1:32" x14ac:dyDescent="0.25">
      <c r="A41" s="31">
        <v>42992.662627314814</v>
      </c>
      <c r="B41" s="30" t="s">
        <v>604</v>
      </c>
      <c r="C41" s="30" t="s">
        <v>605</v>
      </c>
      <c r="D41" s="30" t="s">
        <v>49</v>
      </c>
      <c r="E41" s="30" t="s">
        <v>181</v>
      </c>
      <c r="F41" s="42">
        <v>0</v>
      </c>
      <c r="G41" s="42">
        <v>43</v>
      </c>
      <c r="H41" s="42">
        <v>663</v>
      </c>
      <c r="I41" s="42">
        <v>647</v>
      </c>
      <c r="J41" s="30" t="s">
        <v>182</v>
      </c>
      <c r="K41" s="42">
        <v>575</v>
      </c>
      <c r="L41" s="131" t="s">
        <v>51</v>
      </c>
      <c r="M41" s="132">
        <f t="shared" si="10"/>
        <v>38.015999999999998</v>
      </c>
      <c r="N41" s="133" t="str">
        <f>VLOOKUP(C41,'Trips&amp;Operators'!$C$1:$G$99911,5,FALSE)</f>
        <v>STAMBAUGH JAMES</v>
      </c>
      <c r="O41" s="180" t="s">
        <v>180</v>
      </c>
      <c r="P41" s="134"/>
      <c r="Q41" s="30"/>
      <c r="R41" s="81" t="str">
        <f>VLOOKUP(C41,'Train Runs'!$A$13:$AE$9949,31,0)</f>
        <v>aws s3 cp s3://rtdc.mdm.uploadarchive.raw/RTDC4033/ "%USERPROFILE%\AppData\Local\Temp\OnboardLogs"\RTDC4033\2017-09-14 --exclude "*" --recursive --include "*20170914*" &amp; "%USERPROFILE%\Documents\GitHub\mrs-test-scripts\Headless Mode &amp; Sideloading\WalkAndUnGZ.bat" "%USERPROFILE%\AppData\Local\Temp\OnboardLogs"\RTDC4033\2017-09-14 &amp; aws s3 cp s3://rtdc.mdm.uploadarchive.raw/RTDC4033/ "%USERPROFILE%\AppData\Local\Temp\OnboardLogs"\RTDC4033\2017-09-15 --exclude "*" --recursive --include "*20170915*" &amp; "%USERPROFILE%\Documents\GitHub\mrs-test-scripts\Headless Mode &amp; Sideloading\WalkAndUnGZ.bat" "%USERPROFILE%\AppData\Local\Temp\OnboardLogs"\RTDC4033\2017-09-15</v>
      </c>
      <c r="S41" s="84" t="str">
        <f>VLOOKUP(C41,'Train Runs'!$A$13:$AE$9949,22,0)</f>
        <v>https://d0f6bd738d7f1b3e5a7ca70fe4ff75f0.us-east-1.aws.found.io/app/kibana#/discover/Steve-Slow-Train-Analysis-(2080s-and-2083s)?_g=(refreshInterval:(display:Off,pause:!f,section:0,value:0),time:(from:'2017-09-14T14:24:33-0600',mode:absolute,to:'2017-09-14T16:54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41" s="86" t="str">
        <f t="shared" si="11"/>
        <v>"C:\Program Files (x86)\AstroGrep\AstroGrep.exe" /e /r /s /spath="%USERPROFILE%\AppData\Local\Temp\OnboardLogs" /stypes="*4033*201709142*" /stext=" 21:.+((SYSTEM_STATE.+slice.+state.+changed )|(ment ac)|(multiple cpu faults)|(system.+state.+changed )|(\[timeout)|(PRM\|1\|D)|(kpr)|(kdp)|(train st.+moving)|(\|lc)|(penalty))"</v>
      </c>
      <c r="U41" s="9" t="str">
        <f t="shared" si="12"/>
        <v>4033</v>
      </c>
      <c r="V41" s="31">
        <f t="shared" si="13"/>
        <v>42992.912627314814</v>
      </c>
      <c r="W41" s="45" t="str">
        <f t="shared" si="14"/>
        <v>NW</v>
      </c>
      <c r="X41" s="22">
        <f t="shared" si="15"/>
        <v>826</v>
      </c>
      <c r="Y41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{"issue":{"subject":"","project_id":79,"tracker_id":40,"status_id":1,"priority_id":2,"assigned_to_id":338,"start_date":"2017-09-14","description":"","custom_fields":[{"id":1,"name":"Subdivision","value":"NW"},{"id":4,"name":"Milepost","value":"0.0575"},{"id":17,"name":"Train ID","value":"826-14"},{"id":16,"name":"Locomotive ID","value":"4033"},{"id":130,"name":"Impact","value":""},{"id":150,"name":"Time of Event (Mountain Time)","value":"15:54:11"},{"id":151,"name":"Denver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/c/Users/stu/AppData/Local/Temp/OnboardLogs/RTDC4033 --include="*4033*201709142*"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"%USERPROFILE%\AppData\Local\Temp\OnboardLogs"\RTDC4033\*4033*201709142* &gt;&gt; 2017-09-14-SliceDisagreementCheck.txt</v>
      </c>
      <c r="AE41" s="145" t="str">
        <f t="shared" si="9"/>
        <v>start /low /b %USERPROFILE%\Documents\GitHub\eaglep3\Utilities\DownloadLogsFromS3.py --loco 4033 --day 2017-09-14</v>
      </c>
      <c r="AF41" s="1"/>
    </row>
    <row r="42" spans="1:32" x14ac:dyDescent="0.25">
      <c r="A42" s="31">
        <v>42992.287881944445</v>
      </c>
      <c r="B42" s="30" t="s">
        <v>573</v>
      </c>
      <c r="C42" s="30" t="s">
        <v>579</v>
      </c>
      <c r="D42" s="30" t="s">
        <v>49</v>
      </c>
      <c r="E42" s="30" t="s">
        <v>181</v>
      </c>
      <c r="F42" s="42">
        <v>0</v>
      </c>
      <c r="G42" s="42">
        <v>32</v>
      </c>
      <c r="H42" s="42">
        <v>58967</v>
      </c>
      <c r="I42" s="42">
        <v>59008</v>
      </c>
      <c r="J42" s="30" t="s">
        <v>182</v>
      </c>
      <c r="K42" s="42">
        <v>59048</v>
      </c>
      <c r="L42" s="131" t="s">
        <v>50</v>
      </c>
      <c r="M42" s="132">
        <f t="shared" si="10"/>
        <v>21.12</v>
      </c>
      <c r="N42" s="133" t="str">
        <f>VLOOKUP(C42,'Trips&amp;Operators'!$C$1:$G$99911,5,FALSE)</f>
        <v>DAVIS WENDY</v>
      </c>
      <c r="O42" s="180" t="s">
        <v>180</v>
      </c>
      <c r="P42" s="134"/>
      <c r="Q42" s="30"/>
      <c r="R42" s="81" t="str">
        <f>VLOOKUP(C42,'Train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42" s="84" t="str">
        <f>VLOOKUP(C42,'Train Runs'!$A$13:$AE$9949,22,0)</f>
        <v>https://d0f6bd738d7f1b3e5a7ca70fe4ff75f0.us-east-1.aws.found.io/app/kibana#/discover/Steve-Slow-Train-Analysis-(2080s-and-2083s)?_g=(refreshInterval:(display:Off,pause:!f,section:0,value:0),time:(from:'2017-09-14T05:26:33-0600',mode:absolute,to:'2017-09-14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2" s="86" t="str">
        <f t="shared" si="11"/>
        <v>"C:\Program Files (x86)\AstroGrep\AstroGrep.exe" /e /r /s /spath="%USERPROFILE%\AppData\Local\Temp\OnboardLogs" /stypes="*4014*201709141*" /stext=" 12:.+((SYSTEM_STATE.+slice.+state.+changed )|(ment ac)|(multiple cpu faults)|(system.+state.+changed )|(\[timeout)|(PRM\|1\|D)|(kpr)|(kdp)|(train st.+moving)|(\|lc)|(penalty))"</v>
      </c>
      <c r="U42" s="9" t="str">
        <f t="shared" si="12"/>
        <v>4014</v>
      </c>
      <c r="V42" s="31">
        <f t="shared" si="13"/>
        <v>42992.537881944445</v>
      </c>
      <c r="W42" s="45" t="str">
        <f t="shared" si="14"/>
        <v>NW</v>
      </c>
      <c r="X42" s="22">
        <f t="shared" si="15"/>
        <v>805</v>
      </c>
      <c r="Y42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ID","value":"805-14"},{"id":16,"name":"Locomotive ID","value":"4014"},{"id":130,"name":"Impact","value":""},{"id":150,"name":"Time of Event (Mountain Time)","value":"06:54:33"},{"id":151,"name":"Denver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/c/Users/stu/AppData/Local/Temp/OnboardLogs/RTDC4014 --include="*4014*201709141*"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"%USERPROFILE%\AppData\Local\Temp\OnboardLogs"\RTDC4014\*4014*201709141* &gt;&gt; 2017-09-14-SliceDisagreementCheck.txt</v>
      </c>
      <c r="AE42" s="145" t="str">
        <f t="shared" si="9"/>
        <v>start /low /b %USERPROFILE%\Documents\GitHub\eaglep3\Utilities\DownloadLogsFromS3.py --loco 4014 --day 2017-09-14</v>
      </c>
      <c r="AF42" s="1"/>
    </row>
    <row r="43" spans="1:32" x14ac:dyDescent="0.25">
      <c r="A43" s="31">
        <v>42992.288240740738</v>
      </c>
      <c r="B43" s="30" t="s">
        <v>573</v>
      </c>
      <c r="C43" s="30" t="s">
        <v>579</v>
      </c>
      <c r="D43" s="30" t="s">
        <v>49</v>
      </c>
      <c r="E43" s="30" t="s">
        <v>181</v>
      </c>
      <c r="F43" s="42">
        <v>0</v>
      </c>
      <c r="G43" s="42">
        <v>12</v>
      </c>
      <c r="H43" s="42">
        <v>59035</v>
      </c>
      <c r="I43" s="42">
        <v>59040</v>
      </c>
      <c r="J43" s="30" t="s">
        <v>182</v>
      </c>
      <c r="K43" s="42">
        <v>59048</v>
      </c>
      <c r="L43" s="131" t="s">
        <v>50</v>
      </c>
      <c r="M43" s="132">
        <f t="shared" si="10"/>
        <v>4.2240000000000002</v>
      </c>
      <c r="N43" s="133" t="str">
        <f>VLOOKUP(C43,'Trips&amp;Operators'!$C$1:$G$99911,5,FALSE)</f>
        <v>DAVIS WENDY</v>
      </c>
      <c r="O43" s="180" t="s">
        <v>180</v>
      </c>
      <c r="P43" s="134"/>
      <c r="Q43" s="30"/>
      <c r="R43" s="81" t="str">
        <f>VLOOKUP(C43,'Train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43" s="84" t="str">
        <f>VLOOKUP(C43,'Train Runs'!$A$13:$AE$9949,22,0)</f>
        <v>https://d0f6bd738d7f1b3e5a7ca70fe4ff75f0.us-east-1.aws.found.io/app/kibana#/discover/Steve-Slow-Train-Analysis-(2080s-and-2083s)?_g=(refreshInterval:(display:Off,pause:!f,section:0,value:0),time:(from:'2017-09-14T05:26:33-0600',mode:absolute,to:'2017-09-14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3" s="86" t="str">
        <f t="shared" si="11"/>
        <v>"C:\Program Files (x86)\AstroGrep\AstroGrep.exe" /e /r /s /spath="%USERPROFILE%\AppData\Local\Temp\OnboardLogs" /stypes="*4014*201709141*" /stext=" 12:.+((SYSTEM_STATE.+slice.+state.+changed )|(ment ac)|(multiple cpu faults)|(system.+state.+changed )|(\[timeout)|(PRM\|1\|D)|(kpr)|(kdp)|(train st.+moving)|(\|lc)|(penalty))"</v>
      </c>
      <c r="U43" s="9" t="str">
        <f t="shared" si="12"/>
        <v>4014</v>
      </c>
      <c r="V43" s="31">
        <f t="shared" si="13"/>
        <v>42992.538240740738</v>
      </c>
      <c r="W43" s="45" t="str">
        <f t="shared" si="14"/>
        <v>NW</v>
      </c>
      <c r="X43" s="22">
        <f t="shared" si="15"/>
        <v>805</v>
      </c>
      <c r="Y43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ID","value":"805-14"},{"id":16,"name":"Locomotive ID","value":"4014"},{"id":130,"name":"Impact","value":""},{"id":150,"name":"Time of Event (Mountain Time)","value":"06:55:04"},{"id":151,"name":"Denver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/c/Users/stu/AppData/Local/Temp/OnboardLogs/RTDC4014 --include="*4014*201709141*"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"%USERPROFILE%\AppData\Local\Temp\OnboardLogs"\RTDC4014\*4014*201709141* &gt;&gt; 2017-09-14-SliceDisagreementCheck.txt</v>
      </c>
      <c r="AE43" s="145" t="str">
        <f t="shared" si="9"/>
        <v>start /low /b %USERPROFILE%\Documents\GitHub\eaglep3\Utilities\DownloadLogsFromS3.py --loco 4014 --day 2017-09-14</v>
      </c>
      <c r="AF43" s="1"/>
    </row>
    <row r="44" spans="1:32" x14ac:dyDescent="0.25">
      <c r="A44" s="31">
        <v>42992.308356481481</v>
      </c>
      <c r="B44" s="30" t="s">
        <v>580</v>
      </c>
      <c r="C44" s="30" t="s">
        <v>581</v>
      </c>
      <c r="D44" s="30" t="s">
        <v>96</v>
      </c>
      <c r="E44" s="30" t="s">
        <v>181</v>
      </c>
      <c r="F44" s="42">
        <v>0</v>
      </c>
      <c r="G44" s="42">
        <v>13</v>
      </c>
      <c r="H44" s="42">
        <v>59048</v>
      </c>
      <c r="I44" s="42">
        <v>0</v>
      </c>
      <c r="J44" s="30" t="s">
        <v>182</v>
      </c>
      <c r="K44" s="42">
        <v>59048</v>
      </c>
      <c r="L44" s="131" t="s">
        <v>50</v>
      </c>
      <c r="M44" s="132">
        <f t="shared" si="10"/>
        <v>31177.344000000001</v>
      </c>
      <c r="N44" s="133" t="str">
        <f>VLOOKUP(C44,'Trips&amp;Operators'!$C$1:$G$99911,5,FALSE)</f>
        <v>FORTUNATO FRANK</v>
      </c>
      <c r="O44" s="180" t="s">
        <v>180</v>
      </c>
      <c r="P44" s="134"/>
      <c r="Q44" s="30"/>
      <c r="R44" s="81" t="str">
        <f>VLOOKUP(C44,'Train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44" s="84" t="str">
        <f>VLOOKUP(C44,'Train Runs'!$A$13:$AE$9949,22,0)</f>
        <v>https://d0f6bd738d7f1b3e5a7ca70fe4ff75f0.us-east-1.aws.found.io/app/kibana#/discover/Steve-Slow-Train-Analysis-(2080s-and-2083s)?_g=(refreshInterval:(display:Off,pause:!f,section:0,value:0),time:(from:'2017-09-14T06:00:02-0600',mode:absolute,to:'2017-09-14T08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4" s="86" t="str">
        <f t="shared" si="11"/>
        <v>"C:\Program Files (x86)\AstroGrep\AstroGrep.exe" /e /r /s /spath="%USERPROFILE%\AppData\Local\Temp\OnboardLogs" /stypes="*4034*201709141*" /stext=" 13:.+((SYSTEM_STATE.+slice.+state.+changed )|(ment ac)|(multiple cpu faults)|(system.+state.+changed )|(\[timeout)|(PRM\|1\|D)|(kpr)|(kdp)|(train st.+moving)|(\|lc)|(penalty))"</v>
      </c>
      <c r="U44" s="9" t="str">
        <f t="shared" si="12"/>
        <v>4034</v>
      </c>
      <c r="V44" s="31">
        <f t="shared" si="13"/>
        <v>42992.558356481481</v>
      </c>
      <c r="W44" s="45" t="str">
        <f t="shared" si="14"/>
        <v>NW</v>
      </c>
      <c r="X44" s="22">
        <f t="shared" si="15"/>
        <v>807</v>
      </c>
      <c r="Y44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ID","value":"807-14"},{"id":16,"name":"Locomotive ID","value":"4034"},{"id":130,"name":"Impact","value":""},{"id":150,"name":"Time of Event (Mountain Time)","value":"07:24:02"},{"id":151,"name":"Denver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/c/Users/stu/AppData/Local/Temp/OnboardLogs/RTDC4034 --include="*4034*201709141*"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"%USERPROFILE%\AppData\Local\Temp\OnboardLogs"\RTDC4034\*4034*201709141* &gt;&gt; 2017-09-14-SliceDisagreementCheck.txt</v>
      </c>
      <c r="AE44" s="145" t="str">
        <f t="shared" si="9"/>
        <v>start /low /b %USERPROFILE%\Documents\GitHub\eaglep3\Utilities\DownloadLogsFromS3.py --loco 4034 --day 2017-09-14</v>
      </c>
      <c r="AF44" s="1"/>
    </row>
    <row r="45" spans="1:32" x14ac:dyDescent="0.25">
      <c r="A45" s="31">
        <v>42992.330868055556</v>
      </c>
      <c r="B45" s="30" t="s">
        <v>573</v>
      </c>
      <c r="C45" s="30" t="s">
        <v>583</v>
      </c>
      <c r="D45" s="30" t="s">
        <v>49</v>
      </c>
      <c r="E45" s="30" t="s">
        <v>181</v>
      </c>
      <c r="F45" s="42">
        <v>0</v>
      </c>
      <c r="G45" s="42">
        <v>6</v>
      </c>
      <c r="H45" s="42">
        <v>59039</v>
      </c>
      <c r="I45" s="42">
        <v>59040</v>
      </c>
      <c r="J45" s="30" t="s">
        <v>182</v>
      </c>
      <c r="K45" s="42">
        <v>59048</v>
      </c>
      <c r="L45" s="131" t="s">
        <v>50</v>
      </c>
      <c r="M45" s="132">
        <f t="shared" si="10"/>
        <v>4.2240000000000002</v>
      </c>
      <c r="N45" s="133" t="str">
        <f>VLOOKUP(C45,'Trips&amp;Operators'!$C$1:$G$99911,5,FALSE)</f>
        <v>DAVIS WENDY</v>
      </c>
      <c r="O45" s="180" t="s">
        <v>180</v>
      </c>
      <c r="P45" s="134"/>
      <c r="Q45" s="30"/>
      <c r="R45" s="81" t="str">
        <f>VLOOKUP(C45,'Train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45" s="84" t="str">
        <f>VLOOKUP(C45,'Train Runs'!$A$13:$AE$9949,22,0)</f>
        <v>https://d0f6bd738d7f1b3e5a7ca70fe4ff75f0.us-east-1.aws.found.io/app/kibana#/discover/Steve-Slow-Train-Analysis-(2080s-and-2083s)?_g=(refreshInterval:(display:Off,pause:!f,section:0,value:0),time:(from:'2017-09-14T06:35:39-0600',mode:absolute,to:'2017-09-14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5" s="86" t="str">
        <f t="shared" si="11"/>
        <v>"C:\Program Files (x86)\AstroGrep\AstroGrep.exe" /e /r /s /spath="%USERPROFILE%\AppData\Local\Temp\OnboardLogs" /stypes="*4014*201709141*" /stext=" 13:.+((SYSTEM_STATE.+slice.+state.+changed )|(ment ac)|(multiple cpu faults)|(system.+state.+changed )|(\[timeout)|(PRM\|1\|D)|(kpr)|(kdp)|(train st.+moving)|(\|lc)|(penalty))"</v>
      </c>
      <c r="U45" s="9" t="str">
        <f t="shared" si="12"/>
        <v>4014</v>
      </c>
      <c r="V45" s="31">
        <f t="shared" si="13"/>
        <v>42992.580868055556</v>
      </c>
      <c r="W45" s="45" t="str">
        <f t="shared" si="14"/>
        <v>NW</v>
      </c>
      <c r="X45" s="22">
        <f t="shared" si="15"/>
        <v>809</v>
      </c>
      <c r="Y45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ID","value":"809-14"},{"id":16,"name":"Locomotive ID","value":"4014"},{"id":130,"name":"Impact","value":""},{"id":150,"name":"Time of Event (Mountain Time)","value":"07:56:27"},{"id":151,"name":"Denver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/c/Users/stu/AppData/Local/Temp/OnboardLogs/RTDC4014 --include="*4014*201709141*"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"%USERPROFILE%\AppData\Local\Temp\OnboardLogs"\RTDC4014\*4014*201709141* &gt;&gt; 2017-09-14-SliceDisagreementCheck.txt</v>
      </c>
      <c r="AE45" s="145" t="str">
        <f t="shared" si="9"/>
        <v>start /low /b %USERPROFILE%\Documents\GitHub\eaglep3\Utilities\DownloadLogsFromS3.py --loco 4014 --day 2017-09-14</v>
      </c>
      <c r="AF45" s="1"/>
    </row>
    <row r="46" spans="1:32" x14ac:dyDescent="0.25">
      <c r="A46" s="31">
        <v>42992.557476851849</v>
      </c>
      <c r="B46" s="30" t="s">
        <v>580</v>
      </c>
      <c r="C46" s="30" t="s">
        <v>597</v>
      </c>
      <c r="D46" s="30" t="s">
        <v>49</v>
      </c>
      <c r="E46" s="30" t="s">
        <v>181</v>
      </c>
      <c r="F46" s="42">
        <v>0</v>
      </c>
      <c r="G46" s="42">
        <v>40</v>
      </c>
      <c r="H46" s="42">
        <v>58952</v>
      </c>
      <c r="I46" s="42">
        <v>58984</v>
      </c>
      <c r="J46" s="30" t="s">
        <v>182</v>
      </c>
      <c r="K46" s="42">
        <v>59048</v>
      </c>
      <c r="L46" s="131" t="s">
        <v>50</v>
      </c>
      <c r="M46" s="132">
        <f t="shared" si="10"/>
        <v>33.792000000000002</v>
      </c>
      <c r="N46" s="133" t="str">
        <f>VLOOKUP(C46,'Trips&amp;Operators'!$C$1:$G$99911,5,FALSE)</f>
        <v>STAMBAUGH JAMES</v>
      </c>
      <c r="O46" s="180" t="s">
        <v>180</v>
      </c>
      <c r="P46" s="134"/>
      <c r="Q46" s="30"/>
      <c r="R46" s="81" t="str">
        <f>VLOOKUP(C46,'Train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46" s="84" t="str">
        <f>VLOOKUP(C46,'Train Runs'!$A$13:$AE$9949,22,0)</f>
        <v>https://d0f6bd738d7f1b3e5a7ca70fe4ff75f0.us-east-1.aws.found.io/app/kibana#/discover/Steve-Slow-Train-Analysis-(2080s-and-2083s)?_g=(refreshInterval:(display:Off,pause:!f,section:0,value:0),time:(from:'2017-09-14T12:03:02-0600',mode:absolute,to:'2017-09-14T14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6" s="86" t="str">
        <f t="shared" si="11"/>
        <v>"C:\Program Files (x86)\AstroGrep\AstroGrep.exe" /e /r /s /spath="%USERPROFILE%\AppData\Local\Temp\OnboardLogs" /stypes="*4034*201709141*" /stext=" 19:.+((SYSTEM_STATE.+slice.+state.+changed )|(ment ac)|(multiple cpu faults)|(system.+state.+changed )|(\[timeout)|(PRM\|1\|D)|(kpr)|(kdp)|(train st.+moving)|(\|lc)|(penalty))"</v>
      </c>
      <c r="U46" s="9" t="str">
        <f t="shared" si="12"/>
        <v>4034</v>
      </c>
      <c r="V46" s="31">
        <f t="shared" si="13"/>
        <v>42992.807476851849</v>
      </c>
      <c r="W46" s="45" t="str">
        <f t="shared" si="14"/>
        <v>NW</v>
      </c>
      <c r="X46" s="22">
        <f t="shared" si="15"/>
        <v>821</v>
      </c>
      <c r="Y46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ID","value":"821-14"},{"id":16,"name":"Locomotive ID","value":"4034"},{"id":130,"name":"Impact","value":""},{"id":150,"name":"Time of Event (Mountain Time)","value":"13:22:46"},{"id":151,"name":"Denver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/c/Users/stu/AppData/Local/Temp/OnboardLogs/RTDC4034 --include="*4034*201709141*"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"%USERPROFILE%\AppData\Local\Temp\OnboardLogs"\RTDC4034\*4034*201709141* &gt;&gt; 2017-09-14-SliceDisagreementCheck.txt</v>
      </c>
      <c r="AE46" s="145" t="str">
        <f t="shared" si="9"/>
        <v>start /low /b %USERPROFILE%\Documents\GitHub\eaglep3\Utilities\DownloadLogsFromS3.py --loco 4034 --day 2017-09-14</v>
      </c>
      <c r="AF46" s="1"/>
    </row>
    <row r="47" spans="1:32" x14ac:dyDescent="0.25">
      <c r="A47" s="31">
        <v>42992.640659722223</v>
      </c>
      <c r="B47" s="30" t="s">
        <v>580</v>
      </c>
      <c r="C47" s="30" t="s">
        <v>601</v>
      </c>
      <c r="D47" s="30" t="s">
        <v>49</v>
      </c>
      <c r="E47" s="30" t="s">
        <v>181</v>
      </c>
      <c r="F47" s="42">
        <v>0</v>
      </c>
      <c r="G47" s="42">
        <v>37</v>
      </c>
      <c r="H47" s="42">
        <v>58967</v>
      </c>
      <c r="I47" s="42">
        <v>58988</v>
      </c>
      <c r="J47" s="30" t="s">
        <v>182</v>
      </c>
      <c r="K47" s="42">
        <v>59048</v>
      </c>
      <c r="L47" s="131" t="s">
        <v>50</v>
      </c>
      <c r="M47" s="132">
        <f t="shared" si="10"/>
        <v>31.68</v>
      </c>
      <c r="N47" s="133" t="str">
        <f>VLOOKUP(C47,'Trips&amp;Operators'!$C$1:$G$99911,5,FALSE)</f>
        <v>STAMBAUGH JAMES</v>
      </c>
      <c r="O47" s="180" t="s">
        <v>180</v>
      </c>
      <c r="P47" s="134"/>
      <c r="Q47" s="30"/>
      <c r="R47" s="81" t="str">
        <f>VLOOKUP(C47,'Train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47" s="84" t="str">
        <f>VLOOKUP(C47,'Train Runs'!$A$13:$AE$9949,22,0)</f>
        <v>https://d0f6bd738d7f1b3e5a7ca70fe4ff75f0.us-east-1.aws.found.io/app/kibana#/discover/Steve-Slow-Train-Analysis-(2080s-and-2083s)?_g=(refreshInterval:(display:Off,pause:!f,section:0,value:0),time:(from:'2017-09-14T13:25:05-0600',mode:absolute,to:'2017-09-14T16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7" s="86" t="str">
        <f t="shared" si="11"/>
        <v>"C:\Program Files (x86)\AstroGrep\AstroGrep.exe" /e /r /s /spath="%USERPROFILE%\AppData\Local\Temp\OnboardLogs" /stypes="*4034*201709142*" /stext=" 21:.+((SYSTEM_STATE.+slice.+state.+changed )|(ment ac)|(multiple cpu faults)|(system.+state.+changed )|(\[timeout)|(PRM\|1\|D)|(kpr)|(kdp)|(train st.+moving)|(\|lc)|(penalty))"</v>
      </c>
      <c r="U47" s="9" t="str">
        <f t="shared" si="12"/>
        <v>4034</v>
      </c>
      <c r="V47" s="31">
        <f t="shared" si="13"/>
        <v>42992.890659722223</v>
      </c>
      <c r="W47" s="45" t="str">
        <f t="shared" si="14"/>
        <v>NW</v>
      </c>
      <c r="X47" s="22">
        <f t="shared" si="15"/>
        <v>825</v>
      </c>
      <c r="Y47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ID","value":"825-14"},{"id":16,"name":"Locomotive ID","value":"4034"},{"id":130,"name":"Impact","value":""},{"id":150,"name":"Time of Event (Mountain Time)","value":"15:22:33"},{"id":151,"name":"Denver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/c/Users/stu/AppData/Local/Temp/OnboardLogs/RTDC4034 --include="*4034*201709142*"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"%USERPROFILE%\AppData\Local\Temp\OnboardLogs"\RTDC4034\*4034*201709142* &gt;&gt; 2017-09-14-SliceDisagreementCheck.txt</v>
      </c>
      <c r="AE47" s="145" t="str">
        <f t="shared" si="9"/>
        <v>start /low /b %USERPROFILE%\Documents\GitHub\eaglep3\Utilities\DownloadLogsFromS3.py --loco 4034 --day 2017-09-14</v>
      </c>
      <c r="AF47" s="1"/>
    </row>
    <row r="48" spans="1:32" x14ac:dyDescent="0.25">
      <c r="A48" s="31">
        <v>42992.745798611111</v>
      </c>
      <c r="B48" s="30" t="s">
        <v>573</v>
      </c>
      <c r="C48" s="30" t="s">
        <v>611</v>
      </c>
      <c r="D48" s="30" t="s">
        <v>49</v>
      </c>
      <c r="E48" s="30" t="s">
        <v>181</v>
      </c>
      <c r="F48" s="42">
        <v>0</v>
      </c>
      <c r="G48" s="42">
        <v>113</v>
      </c>
      <c r="H48" s="42">
        <v>58600</v>
      </c>
      <c r="I48" s="42">
        <v>58698</v>
      </c>
      <c r="J48" s="30" t="s">
        <v>182</v>
      </c>
      <c r="K48" s="42">
        <v>59048</v>
      </c>
      <c r="L48" s="131" t="s">
        <v>50</v>
      </c>
      <c r="M48" s="132">
        <f t="shared" si="10"/>
        <v>184.8</v>
      </c>
      <c r="N48" s="133" t="str">
        <f>VLOOKUP(C48,'Trips&amp;Operators'!$C$1:$G$99911,5,FALSE)</f>
        <v>DUNCAN SHEILA</v>
      </c>
      <c r="O48" s="180" t="s">
        <v>180</v>
      </c>
      <c r="P48" s="134"/>
      <c r="Q48" s="30"/>
      <c r="R48" s="81" t="str">
        <f>VLOOKUP(C48,'Train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48" s="84" t="str">
        <f>VLOOKUP(C48,'Train Runs'!$A$13:$AE$9949,22,0)</f>
        <v>https://d0f6bd738d7f1b3e5a7ca70fe4ff75f0.us-east-1.aws.found.io/app/kibana#/discover/Steve-Slow-Train-Analysis-(2080s-and-2083s)?_g=(refreshInterval:(display:Off,pause:!f,section:0,value:0),time:(from:'2017-09-14T16:35:28-0600',mode:absolute,to:'2017-09-14T18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8" s="86" t="str">
        <f t="shared" si="11"/>
        <v>"C:\Program Files (x86)\AstroGrep\AstroGrep.exe" /e /r /s /spath="%USERPROFILE%\AppData\Local\Temp\OnboardLogs" /stypes="*4014*201709142*"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4014</v>
      </c>
      <c r="V48" s="31">
        <f t="shared" si="13"/>
        <v>42992.995798611111</v>
      </c>
      <c r="W48" s="45" t="str">
        <f t="shared" si="14"/>
        <v>NW</v>
      </c>
      <c r="X48" s="22">
        <f t="shared" si="15"/>
        <v>835</v>
      </c>
      <c r="Y48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ID","value":"835-14"},{"id":16,"name":"Locomotive ID","value":"4014"},{"id":130,"name":"Impact","value":""},{"id":150,"name":"Time of Event (Mountain Time)","value":"17:53:57"},{"id":151,"name":"Denver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/c/Users/stu/AppData/Local/Temp/OnboardLogs/RTDC4014 --include="*4014*201709142*"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"%USERPROFILE%\AppData\Local\Temp\OnboardLogs"\RTDC4014\*4014*201709142* &gt;&gt; 2017-09-14-SliceDisagreementCheck.txt</v>
      </c>
      <c r="AE48" s="145" t="str">
        <f t="shared" si="9"/>
        <v>start /low /b %USERPROFILE%\Documents\GitHub\eaglep3\Utilities\DownloadLogsFromS3.py --loco 4014 --day 2017-09-14</v>
      </c>
      <c r="AF48" s="1"/>
    </row>
    <row r="49" spans="1:32" x14ac:dyDescent="0.25">
      <c r="A49" s="31">
        <v>42992.746064814812</v>
      </c>
      <c r="B49" s="30" t="s">
        <v>573</v>
      </c>
      <c r="C49" s="30" t="s">
        <v>611</v>
      </c>
      <c r="D49" s="30" t="s">
        <v>49</v>
      </c>
      <c r="E49" s="30" t="s">
        <v>181</v>
      </c>
      <c r="F49" s="42">
        <v>0</v>
      </c>
      <c r="G49" s="42">
        <v>56</v>
      </c>
      <c r="H49" s="42">
        <v>58805</v>
      </c>
      <c r="I49" s="42">
        <v>58833</v>
      </c>
      <c r="J49" s="30" t="s">
        <v>182</v>
      </c>
      <c r="K49" s="42">
        <v>59048</v>
      </c>
      <c r="L49" s="131" t="s">
        <v>50</v>
      </c>
      <c r="M49" s="132">
        <f t="shared" si="10"/>
        <v>113.52</v>
      </c>
      <c r="N49" s="133" t="str">
        <f>VLOOKUP(C49,'Trips&amp;Operators'!$C$1:$G$99911,5,FALSE)</f>
        <v>DUNCAN SHEILA</v>
      </c>
      <c r="O49" s="180" t="s">
        <v>180</v>
      </c>
      <c r="P49" s="134"/>
      <c r="Q49" s="30"/>
      <c r="R49" s="81" t="str">
        <f>VLOOKUP(C49,'Train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49" s="84" t="str">
        <f>VLOOKUP(C49,'Train Runs'!$A$13:$AE$9949,22,0)</f>
        <v>https://d0f6bd738d7f1b3e5a7ca70fe4ff75f0.us-east-1.aws.found.io/app/kibana#/discover/Steve-Slow-Train-Analysis-(2080s-and-2083s)?_g=(refreshInterval:(display:Off,pause:!f,section:0,value:0),time:(from:'2017-09-14T16:35:28-0600',mode:absolute,to:'2017-09-14T18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9" s="86" t="str">
        <f t="shared" si="11"/>
        <v>"C:\Program Files (x86)\AstroGrep\AstroGrep.exe" /e /r /s /spath="%USERPROFILE%\AppData\Local\Temp\OnboardLogs" /stypes="*4014*201709142*" /stext=" 23:.+((SYSTEM_STATE.+slice.+state.+changed )|(ment ac)|(multiple cpu faults)|(system.+state.+changed )|(\[timeout)|(PRM\|1\|D)|(kpr)|(kdp)|(train st.+moving)|(\|lc)|(penalty))"</v>
      </c>
      <c r="U49" s="9" t="str">
        <f t="shared" si="12"/>
        <v>4014</v>
      </c>
      <c r="V49" s="31">
        <f t="shared" si="13"/>
        <v>42992.996064814812</v>
      </c>
      <c r="W49" s="45" t="str">
        <f t="shared" si="14"/>
        <v>NW</v>
      </c>
      <c r="X49" s="22">
        <f t="shared" si="15"/>
        <v>835</v>
      </c>
      <c r="Y49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ID","value":"835-14"},{"id":16,"name":"Locomotive ID","value":"4014"},{"id":130,"name":"Impact","value":""},{"id":150,"name":"Time of Event (Mountain Time)","value":"17:54:20"},{"id":151,"name":"Denver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/c/Users/stu/AppData/Local/Temp/OnboardLogs/RTDC4014 --include="*4014*201709142*"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"%USERPROFILE%\AppData\Local\Temp\OnboardLogs"\RTDC4014\*4014*201709142* &gt;&gt; 2017-09-14-SliceDisagreementCheck.txt</v>
      </c>
      <c r="AE49" s="145" t="str">
        <f t="shared" si="9"/>
        <v>start /low /b %USERPROFILE%\Documents\GitHub\eaglep3\Utilities\DownloadLogsFromS3.py --loco 4014 --day 2017-09-14</v>
      </c>
      <c r="AF49" s="1"/>
    </row>
    <row r="50" spans="1:32" x14ac:dyDescent="0.25">
      <c r="A50" s="31">
        <v>42992.746493055558</v>
      </c>
      <c r="B50" s="30" t="s">
        <v>573</v>
      </c>
      <c r="C50" s="30" t="s">
        <v>611</v>
      </c>
      <c r="D50" s="30" t="s">
        <v>49</v>
      </c>
      <c r="E50" s="30" t="s">
        <v>181</v>
      </c>
      <c r="F50" s="42">
        <v>0</v>
      </c>
      <c r="G50" s="42">
        <v>38</v>
      </c>
      <c r="H50" s="42">
        <v>58909</v>
      </c>
      <c r="I50" s="42">
        <v>58922</v>
      </c>
      <c r="J50" s="30" t="s">
        <v>182</v>
      </c>
      <c r="K50" s="42">
        <v>59048</v>
      </c>
      <c r="L50" s="131" t="s">
        <v>50</v>
      </c>
      <c r="M50" s="132">
        <f t="shared" si="10"/>
        <v>66.528000000000006</v>
      </c>
      <c r="N50" s="133" t="str">
        <f>VLOOKUP(C50,'Trips&amp;Operators'!$C$1:$G$99911,5,FALSE)</f>
        <v>DUNCAN SHEILA</v>
      </c>
      <c r="O50" s="180" t="s">
        <v>180</v>
      </c>
      <c r="P50" s="134"/>
      <c r="Q50" s="30"/>
      <c r="R50" s="81" t="str">
        <f>VLOOKUP(C50,'Train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50" s="84" t="str">
        <f>VLOOKUP(C50,'Train Runs'!$A$13:$AE$9949,22,0)</f>
        <v>https://d0f6bd738d7f1b3e5a7ca70fe4ff75f0.us-east-1.aws.found.io/app/kibana#/discover/Steve-Slow-Train-Analysis-(2080s-and-2083s)?_g=(refreshInterval:(display:Off,pause:!f,section:0,value:0),time:(from:'2017-09-14T16:35:28-0600',mode:absolute,to:'2017-09-14T18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0" s="86" t="str">
        <f t="shared" si="11"/>
        <v>"C:\Program Files (x86)\AstroGrep\AstroGrep.exe" /e /r /s /spath="%USERPROFILE%\AppData\Local\Temp\OnboardLogs" /stypes="*4014*201709142*" /stext=" 23:.+((SYSTEM_STATE.+slice.+state.+changed )|(ment ac)|(multiple cpu faults)|(system.+state.+changed )|(\[timeout)|(PRM\|1\|D)|(kpr)|(kdp)|(train st.+moving)|(\|lc)|(penalty))"</v>
      </c>
      <c r="U50" s="9" t="str">
        <f t="shared" si="12"/>
        <v>4014</v>
      </c>
      <c r="V50" s="31">
        <f t="shared" si="13"/>
        <v>42992.996493055558</v>
      </c>
      <c r="W50" s="45" t="str">
        <f t="shared" si="14"/>
        <v>NW</v>
      </c>
      <c r="X50" s="22">
        <f t="shared" si="15"/>
        <v>835</v>
      </c>
      <c r="Y50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{"issue":{"subject":"","project_id":79,"tracker_id":40,"status_id":1,"priority_id":2,"assigned_to_id":338,"start_date":"2017-09-14","description":"","custom_fields":[{"id":1,"name":"Subdivision","value":"NW"},{"id":4,"name":"Milepost","value":"5.9048"},{"id":17,"name":"Train ID","value":"835-14"},{"id":16,"name":"Locomotive ID","value":"4014"},{"id":130,"name":"Impact","value":""},{"id":150,"name":"Time of Event (Mountain Time)","value":"17:54:57"},{"id":151,"name":"Denver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/c/Users/stu/AppData/Local/Temp/OnboardLogs/RTDC4014 --include="*4014*201709142*"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"%USERPROFILE%\AppData\Local\Temp\OnboardLogs"\RTDC4014\*4014*201709142* &gt;&gt; 2017-09-14-SliceDisagreementCheck.txt</v>
      </c>
      <c r="AE50" s="145" t="str">
        <f t="shared" si="9"/>
        <v>start /low /b %USERPROFILE%\Documents\GitHub\eaglep3\Utilities\DownloadLogsFromS3.py --loco 4014 --day 2017-09-14</v>
      </c>
      <c r="AF50" s="1"/>
    </row>
    <row r="51" spans="1:32" x14ac:dyDescent="0.25">
      <c r="A51" s="31">
        <v>42992.973981481482</v>
      </c>
      <c r="B51" s="30" t="s">
        <v>580</v>
      </c>
      <c r="C51" s="30" t="s">
        <v>614</v>
      </c>
      <c r="D51" s="30" t="s">
        <v>49</v>
      </c>
      <c r="E51" s="30" t="s">
        <v>181</v>
      </c>
      <c r="F51" s="42">
        <v>0</v>
      </c>
      <c r="G51" s="42">
        <v>120</v>
      </c>
      <c r="H51" s="42">
        <v>58534</v>
      </c>
      <c r="I51" s="42">
        <v>58636</v>
      </c>
      <c r="J51" s="30" t="s">
        <v>182</v>
      </c>
      <c r="K51" s="42">
        <v>59058</v>
      </c>
      <c r="L51" s="131" t="s">
        <v>50</v>
      </c>
      <c r="M51" s="132">
        <f t="shared" si="10"/>
        <v>222.816</v>
      </c>
      <c r="N51" s="133" t="str">
        <f>VLOOKUP(C51,'Trips&amp;Operators'!$C$1:$G$99911,5,FALSE)</f>
        <v>DUNCAN SHEILA</v>
      </c>
      <c r="O51" s="180" t="s">
        <v>180</v>
      </c>
      <c r="P51" s="134"/>
      <c r="Q51" s="30"/>
      <c r="R51" s="81" t="str">
        <f>VLOOKUP(C51,'Train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51" s="84" t="str">
        <f>VLOOKUP(C51,'Train Runs'!$A$13:$AE$9949,22,0)</f>
        <v>https://d0f6bd738d7f1b3e5a7ca70fe4ff75f0.us-east-1.aws.found.io/app/kibana#/discover/Steve-Slow-Train-Analysis-(2080s-and-2083s)?_g=(refreshInterval:(display:Off,pause:!f,section:0,value:0),time:(from:'2017-09-14T21:56:11-0600',mode:absolute,to:'2017-09-15T00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51" s="86" t="str">
        <f t="shared" si="11"/>
        <v>"C:\Program Files (x86)\AstroGrep\AstroGrep.exe" /e /r /s /spath="%USERPROFILE%\AppData\Local\Temp\OnboardLogs" /stypes="*4034*201709150*" /stext=" 05:.+((SYSTEM_STATE.+slice.+state.+changed )|(ment ac)|(multiple cpu faults)|(system.+state.+changed )|(\[timeout)|(PRM\|1\|D)|(kpr)|(kdp)|(train st.+moving)|(\|lc)|(penalty))"</v>
      </c>
      <c r="U51" s="9" t="str">
        <f t="shared" si="12"/>
        <v>4034</v>
      </c>
      <c r="V51" s="31">
        <f t="shared" si="13"/>
        <v>42993.223981481482</v>
      </c>
      <c r="W51" s="45" t="str">
        <f t="shared" si="14"/>
        <v>NW</v>
      </c>
      <c r="X51" s="22">
        <f t="shared" si="15"/>
        <v>849</v>
      </c>
      <c r="Y51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{"issue":{"subject":"","project_id":79,"tracker_id":40,"status_id":1,"priority_id":2,"assigned_to_id":338,"start_date":"2017-09-14","description":"","custom_fields":[{"id":1,"name":"Subdivision","value":"NW"},{"id":4,"name":"Milepost","value":"5.9058"},{"id":17,"name":"Train ID","value":"849-14"},{"id":16,"name":"Locomotive ID","value":"4034"},{"id":130,"name":"Impact","value":""},{"id":150,"name":"Time of Event (Mountain Time)","value":"23:22:32"},{"id":151,"name":"Denver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/c/Users/stu/AppData/Local/Temp/OnboardLogs/RTDC4034 --include="*4034*201709150*"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"%USERPROFILE%\AppData\Local\Temp\OnboardLogs"\RTDC4034\*4034*201709150* &gt;&gt; 2017-09-14-SliceDisagreementCheck.txt</v>
      </c>
      <c r="AE51" s="145" t="str">
        <f t="shared" si="9"/>
        <v>start /low /b %USERPROFILE%\Documents\GitHub\eaglep3\Utilities\DownloadLogsFromS3.py --loco 4034 --day 2017-09-15</v>
      </c>
      <c r="AF51" s="1"/>
    </row>
    <row r="52" spans="1:32" x14ac:dyDescent="0.25">
      <c r="A52" s="31">
        <v>42992.974490740744</v>
      </c>
      <c r="B52" s="30" t="s">
        <v>580</v>
      </c>
      <c r="C52" s="30" t="s">
        <v>614</v>
      </c>
      <c r="D52" s="30" t="s">
        <v>49</v>
      </c>
      <c r="E52" s="30" t="s">
        <v>181</v>
      </c>
      <c r="F52" s="42">
        <v>0</v>
      </c>
      <c r="G52" s="42">
        <v>48</v>
      </c>
      <c r="H52" s="42">
        <v>58672</v>
      </c>
      <c r="I52" s="42">
        <v>58768</v>
      </c>
      <c r="J52" s="30" t="s">
        <v>182</v>
      </c>
      <c r="K52" s="42">
        <v>59058</v>
      </c>
      <c r="L52" s="131" t="s">
        <v>50</v>
      </c>
      <c r="M52" s="132">
        <f t="shared" si="10"/>
        <v>153.12</v>
      </c>
      <c r="N52" s="133" t="str">
        <f>VLOOKUP(C52,'Trips&amp;Operators'!$C$1:$G$99911,5,FALSE)</f>
        <v>DUNCAN SHEILA</v>
      </c>
      <c r="O52" s="180" t="s">
        <v>180</v>
      </c>
      <c r="P52" s="134"/>
      <c r="Q52" s="30"/>
      <c r="R52" s="81" t="str">
        <f>VLOOKUP(C52,'Train Runs'!$A$13:$AE$9949,31,0)</f>
        <v>aws s3 cp s3://rtdc.mdm.uploadarchive.raw/RTDC4034/ "%USERPROFILE%\AppData\Local\Temp\OnboardLogs"\RTDC4034\2017-09-14 --exclude "*" --recursive --include "*20170914*" &amp; "%USERPROFILE%\Documents\GitHub\mrs-test-scripts\Headless Mode &amp; Sideloading\WalkAndUnGZ.bat" "%USERPROFILE%\AppData\Local\Temp\OnboardLogs"\RTDC4034\2017-09-14 &amp; aws s3 cp s3://rtdc.mdm.uploadarchive.raw/RTDC4034/ "%USERPROFILE%\AppData\Local\Temp\OnboardLogs"\RTDC4034\2017-09-15 --exclude "*" --recursive --include "*20170915*" &amp; "%USERPROFILE%\Documents\GitHub\mrs-test-scripts\Headless Mode &amp; Sideloading\WalkAndUnGZ.bat" "%USERPROFILE%\AppData\Local\Temp\OnboardLogs"\RTDC4034\2017-09-15</v>
      </c>
      <c r="S52" s="84" t="str">
        <f>VLOOKUP(C52,'Train Runs'!$A$13:$AE$9949,22,0)</f>
        <v>https://d0f6bd738d7f1b3e5a7ca70fe4ff75f0.us-east-1.aws.found.io/app/kibana#/discover/Steve-Slow-Train-Analysis-(2080s-and-2083s)?_g=(refreshInterval:(display:Off,pause:!f,section:0,value:0),time:(from:'2017-09-14T21:56:11-0600',mode:absolute,to:'2017-09-15T00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52" s="86" t="str">
        <f t="shared" si="11"/>
        <v>"C:\Program Files (x86)\AstroGrep\AstroGrep.exe" /e /r /s /spath="%USERPROFILE%\AppData\Local\Temp\OnboardLogs" /stypes="*4034*201709150*" /stext=" 05:.+((SYSTEM_STATE.+slice.+state.+changed )|(ment ac)|(multiple cpu faults)|(system.+state.+changed )|(\[timeout)|(PRM\|1\|D)|(kpr)|(kdp)|(train st.+moving)|(\|lc)|(penalty))"</v>
      </c>
      <c r="U52" s="9" t="str">
        <f t="shared" si="12"/>
        <v>4034</v>
      </c>
      <c r="V52" s="31">
        <f t="shared" si="13"/>
        <v>42993.224490740744</v>
      </c>
      <c r="W52" s="45" t="str">
        <f t="shared" si="14"/>
        <v>NW</v>
      </c>
      <c r="X52" s="22">
        <f t="shared" si="15"/>
        <v>849</v>
      </c>
      <c r="Y52" s="96" t="str">
        <f t="shared" si="16"/>
        <v>echo {"issue":{"subject":"","project_id":79,"tracker_id":40,"status_id":1,"priority_id":2,"assigned_to_id":338,"start_date":"2017-09-14","description":"","custom_fields":[{"id":1,"name":"Subdivision","value":"NW"},{"id":4,"name":"Milepost","value":"5.9058"},{"id":17,"name":"Train ID","value":"849-14"},{"id":16,"name":"Locomotive ID","value":"4034"},{"id":130,"name":"Impact","value":""},{"id":150,"name":"Time of Event (Mountain Time)","value":"23:23:16"},{"id":151,"name":"Denver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/c/Users/stu/AppData/Local/Temp/OnboardLogs/RTDC4034 --include="*4034*201709150*"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"%USERPROFILE%\AppData\Local\Temp\OnboardLogs"\RTDC4034\*4034*201709150* &gt;&gt; 2017-09-14-SliceDisagreementCheck.txt</v>
      </c>
      <c r="AE52" s="145" t="str">
        <f t="shared" si="9"/>
        <v>start /low /b %USERPROFILE%\Documents\GitHub\eaglep3\Utilities\DownloadLogsFromS3.py --loco 4034 --day 2017-09-15</v>
      </c>
      <c r="AF52" s="1"/>
    </row>
    <row r="53" spans="1:32" x14ac:dyDescent="0.25">
      <c r="A53" s="31">
        <v>42992.209710648145</v>
      </c>
      <c r="B53" s="30" t="s">
        <v>573</v>
      </c>
      <c r="C53" s="30" t="s">
        <v>574</v>
      </c>
      <c r="D53" s="30" t="s">
        <v>49</v>
      </c>
      <c r="E53" s="30" t="s">
        <v>181</v>
      </c>
      <c r="F53" s="42">
        <v>0</v>
      </c>
      <c r="G53" s="42">
        <v>16</v>
      </c>
      <c r="H53" s="42">
        <v>59018</v>
      </c>
      <c r="I53" s="42">
        <v>59033</v>
      </c>
      <c r="J53" s="30" t="s">
        <v>182</v>
      </c>
      <c r="K53" s="42">
        <v>59048</v>
      </c>
      <c r="L53" s="131" t="s">
        <v>50</v>
      </c>
      <c r="M53" s="132">
        <f t="shared" si="10"/>
        <v>7.92</v>
      </c>
      <c r="N53" s="133" t="str">
        <f>VLOOKUP(C53,'Trips&amp;Operators'!$C$1:$G$99911,5,FALSE)</f>
        <v>DAVIS WENDY</v>
      </c>
      <c r="O53" s="180" t="s">
        <v>180</v>
      </c>
      <c r="P53" s="134"/>
      <c r="Q53" s="30"/>
      <c r="R53" s="81" t="str">
        <f>VLOOKUP(C53,'Train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53" s="84" t="str">
        <f>VLOOKUP(C53,'Train Runs'!$A$13:$AE$9949,22,0)</f>
        <v>https://d0f6bd738d7f1b3e5a7ca70fe4ff75f0.us-east-1.aws.found.io/app/kibana#/discover/Steve-Slow-Train-Analysis-(2080s-and-2083s)?_g=(refreshInterval:(display:Off,pause:!f,section:0,value:0),time:(from:'2017-09-14T03:43:28-0600',mode:absolute,to:'2017-09-14T06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3" s="86" t="str">
        <f t="shared" si="11"/>
        <v>"C:\Program Files (x86)\AstroGrep\AstroGrep.exe" /e /r /s /spath="%USERPROFILE%\AppData\Local\Temp\OnboardLogs" /stypes="*4014*201709141*" /stext=" 11:.+((SYSTEM_STATE.+slice.+state.+changed )|(ment ac)|(multiple cpu faults)|(system.+state.+changed )|(\[timeout)|(PRM\|1\|D)|(kpr)|(kdp)|(train st.+moving)|(\|lc)|(penalty))"</v>
      </c>
      <c r="U53" s="9" t="str">
        <f t="shared" si="12"/>
        <v>4014</v>
      </c>
      <c r="V53" s="31">
        <f t="shared" si="13"/>
        <v>42992.459710648145</v>
      </c>
      <c r="W53" s="45" t="str">
        <f t="shared" si="14"/>
        <v>Other</v>
      </c>
      <c r="X53" s="22">
        <f t="shared" si="15"/>
        <v>901</v>
      </c>
      <c r="Y53" s="96" t="str">
        <f t="shared" si="16"/>
        <v>echo {"issue":{"subject":"","project_id":79,"tracker_id":40,"status_id":1,"priority_id":2,"assigned_to_id":338,"start_date":"2017-09-14","description":"","custom_fields":[{"id":1,"name":"Subdivision","value":"Other"},{"id":4,"name":"Milepost","value":"5.9048"},{"id":17,"name":"Train ID","value":"901-14"},{"id":16,"name":"Locomotive ID","value":"4014"},{"id":130,"name":"Impact","value":""},{"id":150,"name":"Time of Event (Mountain Time)","value":"05:01:59"},{"id":151,"name":"Denver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/c/Users/stu/AppData/Local/Temp/OnboardLogs/RTDC4014 --include="*4014*201709141*"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"%USERPROFILE%\AppData\Local\Temp\OnboardLogs"\RTDC4014\*4014*201709141* &gt;&gt; 2017-09-14-SliceDisagreementCheck.txt</v>
      </c>
      <c r="AE53" s="145" t="str">
        <f t="shared" si="9"/>
        <v>start /low /b %USERPROFILE%\Documents\GitHub\eaglep3\Utilities\DownloadLogsFromS3.py --loco 4014 --day 2017-09-14</v>
      </c>
      <c r="AF53" s="1"/>
    </row>
    <row r="54" spans="1:32" x14ac:dyDescent="0.25">
      <c r="A54" s="31">
        <v>42992.210219907407</v>
      </c>
      <c r="B54" s="30" t="s">
        <v>573</v>
      </c>
      <c r="C54" s="30" t="s">
        <v>574</v>
      </c>
      <c r="D54" s="30" t="s">
        <v>96</v>
      </c>
      <c r="E54" s="30" t="s">
        <v>181</v>
      </c>
      <c r="F54" s="42">
        <v>0</v>
      </c>
      <c r="G54" s="42">
        <v>5</v>
      </c>
      <c r="H54" s="42">
        <v>59048</v>
      </c>
      <c r="I54" s="42">
        <v>59049</v>
      </c>
      <c r="J54" s="30" t="s">
        <v>182</v>
      </c>
      <c r="K54" s="42">
        <v>59048</v>
      </c>
      <c r="L54" s="131" t="s">
        <v>50</v>
      </c>
      <c r="M54" s="132">
        <f t="shared" si="10"/>
        <v>-0.52800000000000002</v>
      </c>
      <c r="N54" s="133" t="str">
        <f>VLOOKUP(C54,'Trips&amp;Operators'!$C$1:$G$99911,5,FALSE)</f>
        <v>DAVIS WENDY</v>
      </c>
      <c r="O54" s="180" t="s">
        <v>180</v>
      </c>
      <c r="P54" s="134"/>
      <c r="Q54" s="30"/>
      <c r="R54" s="81" t="str">
        <f>VLOOKUP(C54,'Train Runs'!$A$13:$AE$9949,31,0)</f>
        <v>aws s3 cp s3://rtdc.mdm.uploadarchive.raw/RTDC4014/ "%USERPROFILE%\AppData\Local\Temp\OnboardLogs"\RTDC4014\2017-09-14 --exclude "*" --recursive --include "*20170914*" &amp; "%USERPROFILE%\Documents\GitHub\mrs-test-scripts\Headless Mode &amp; Sideloading\WalkAndUnGZ.bat" "%USERPROFILE%\AppData\Local\Temp\OnboardLogs"\RTDC4014\2017-09-14 &amp; aws s3 cp s3://rtdc.mdm.uploadarchive.raw/RTDC4014/ "%USERPROFILE%\AppData\Local\Temp\OnboardLogs"\RTDC4014\2017-09-15 --exclude "*" --recursive --include "*20170915*" &amp; "%USERPROFILE%\Documents\GitHub\mrs-test-scripts\Headless Mode &amp; Sideloading\WalkAndUnGZ.bat" "%USERPROFILE%\AppData\Local\Temp\OnboardLogs"\RTDC4014\2017-09-15</v>
      </c>
      <c r="S54" s="84" t="str">
        <f>VLOOKUP(C54,'Train Runs'!$A$13:$AE$9949,22,0)</f>
        <v>https://d0f6bd738d7f1b3e5a7ca70fe4ff75f0.us-east-1.aws.found.io/app/kibana#/discover/Steve-Slow-Train-Analysis-(2080s-and-2083s)?_g=(refreshInterval:(display:Off,pause:!f,section:0,value:0),time:(from:'2017-09-14T03:43:28-0600',mode:absolute,to:'2017-09-14T06:01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4" s="86" t="str">
        <f t="shared" si="11"/>
        <v>"C:\Program Files (x86)\AstroGrep\AstroGrep.exe" /e /r /s /spath="%USERPROFILE%\AppData\Local\Temp\OnboardLogs" /stypes="*4014*201709141*" /stext=" 11:.+((SYSTEM_STATE.+slice.+state.+changed )|(ment ac)|(multiple cpu faults)|(system.+state.+changed )|(\[timeout)|(PRM\|1\|D)|(kpr)|(kdp)|(train st.+moving)|(\|lc)|(penalty))"</v>
      </c>
      <c r="U54" s="9" t="str">
        <f t="shared" si="12"/>
        <v>4014</v>
      </c>
      <c r="V54" s="31">
        <f t="shared" si="13"/>
        <v>42992.460219907407</v>
      </c>
      <c r="W54" s="45" t="str">
        <f t="shared" si="14"/>
        <v>Other</v>
      </c>
      <c r="X54" s="22">
        <f t="shared" si="15"/>
        <v>901</v>
      </c>
      <c r="Y54" s="96" t="str">
        <f t="shared" si="16"/>
        <v>echo {"issue":{"subject":"","project_id":79,"tracker_id":40,"status_id":1,"priority_id":2,"assigned_to_id":338,"start_date":"2017-09-14","description":"","custom_fields":[{"id":1,"name":"Subdivision","value":"Other"},{"id":4,"name":"Milepost","value":"5.9048"},{"id":17,"name":"Train ID","value":"901-14"},{"id":16,"name":"Locomotive ID","value":"4014"},{"id":130,"name":"Impact","value":""},{"id":150,"name":"Time of Event (Mountain Time)","value":"05:02:43"},{"id":151,"name":"Denver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/c/Users/stu/AppData/Local/Temp/OnboardLogs/RTDC4014 --include="*4014*201709141*"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"%USERPROFILE%\AppData\Local\Temp\OnboardLogs"\RTDC4014\*4014*201709141* &gt;&gt; 2017-09-14-SliceDisagreementCheck.txt</v>
      </c>
      <c r="AE54" s="145" t="str">
        <f t="shared" si="9"/>
        <v>start /low /b %USERPROFILE%\Documents\GitHub\eaglep3\Utilities\DownloadLogsFromS3.py --loco 4014 --day 2017-09-14</v>
      </c>
      <c r="AF54" s="1"/>
    </row>
    <row r="55" spans="1:32" x14ac:dyDescent="0.25">
      <c r="A55" s="31">
        <v>42992.45890046296</v>
      </c>
      <c r="B55" s="30" t="s">
        <v>441</v>
      </c>
      <c r="C55" s="30" t="s">
        <v>588</v>
      </c>
      <c r="D55" s="30" t="s">
        <v>96</v>
      </c>
      <c r="E55" s="30" t="s">
        <v>181</v>
      </c>
      <c r="F55" s="42">
        <v>0</v>
      </c>
      <c r="G55" s="42">
        <v>4</v>
      </c>
      <c r="H55" s="42">
        <v>1</v>
      </c>
      <c r="I55" s="42">
        <v>1</v>
      </c>
      <c r="J55" s="30" t="s">
        <v>182</v>
      </c>
      <c r="K55" s="42">
        <v>1</v>
      </c>
      <c r="L55" s="131" t="s">
        <v>51</v>
      </c>
      <c r="M55" s="132">
        <f t="shared" si="10"/>
        <v>0</v>
      </c>
      <c r="N55" s="133" t="str">
        <f>VLOOKUP(C55,'Trips&amp;Operators'!$C$1:$G$99911,5,FALSE)</f>
        <v>SPECTOR MICHAEL</v>
      </c>
      <c r="O55" s="180" t="s">
        <v>180</v>
      </c>
      <c r="P55" s="134"/>
      <c r="Q55" s="30"/>
      <c r="R55" s="81" t="str">
        <f>VLOOKUP(C55,'Train Runs'!$A$13:$AE$9949,31,0)</f>
        <v>aws s3 cp s3://rtdc.mdm.uploadarchive.raw/RTDC4004/ "%USERPROFILE%\AppData\Local\Temp\OnboardLogs"\RTDC4004\2017-09-14 --exclude "*" --recursive --include "*20170914*" &amp; "%USERPROFILE%\Documents\GitHub\mrs-test-scripts\Headless Mode &amp; Sideloading\WalkAndUnGZ.bat" "%USERPROFILE%\AppData\Local\Temp\OnboardLogs"\RTDC4004\2017-09-14 &amp; aws s3 cp s3://rtdc.mdm.uploadarchive.raw/RTDC4004/ "%USERPROFILE%\AppData\Local\Temp\OnboardLogs"\RTDC4004\2017-09-15 --exclude "*" --recursive --include "*20170915*" &amp; "%USERPROFILE%\Documents\GitHub\mrs-test-scripts\Headless Mode &amp; Sideloading\WalkAndUnGZ.bat" "%USERPROFILE%\AppData\Local\Temp\OnboardLogs"\RTDC4004\2017-09-15</v>
      </c>
      <c r="S55" s="84" t="str">
        <f>VLOOKUP(C55,'Train Runs'!$A$13:$AE$9949,22,0)</f>
        <v>https://d0f6bd738d7f1b3e5a7ca70fe4ff75f0.us-east-1.aws.found.io/app/kibana#/discover/Steve-Slow-Train-Analysis-(2080s-and-2083s)?_g=(refreshInterval:(display:Off,pause:!f,section:0,value:0),time:(from:'2017-09-14T02:05:50-0600',mode:absolute,to:'2017-09-14T04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55" s="86" t="str">
        <f t="shared" si="11"/>
        <v>"C:\Program Files (x86)\AstroGrep\AstroGrep.exe" /e /r /s /spath="%USERPROFILE%\AppData\Local\Temp\OnboardLogs" /stypes="*4065*201709141*" /stext=" 17:.+((SYSTEM_STATE.+slice.+state.+changed )|(ment ac)|(multiple cpu faults)|(system.+state.+changed )|(\[timeout)|(PRM\|1\|D)|(kpr)|(kdp)|(train st.+moving)|(\|lc)|(penalty))"</v>
      </c>
      <c r="U55" s="9" t="str">
        <f t="shared" si="12"/>
        <v>4065</v>
      </c>
      <c r="V55" s="31">
        <f t="shared" si="13"/>
        <v>42992.70890046296</v>
      </c>
      <c r="W55" s="45" t="str">
        <f t="shared" si="14"/>
        <v>Shuttle/Test</v>
      </c>
      <c r="X55" s="22">
        <f t="shared" si="15"/>
        <v>53</v>
      </c>
      <c r="Y55" s="96" t="str">
        <f t="shared" si="16"/>
        <v>echo {"issue":{"subject":"","project_id":79,"tracker_id":40,"status_id":1,"priority_id":2,"assigned_to_id":338,"start_date":"2017-09-14","description":"","custom_fields":[{"id":1,"name":"Subdivision","value":"Shuttle/Test"},{"id":4,"name":"Milepost","value":"0.0001"},{"id":17,"name":"Train ID","value":"53-14"},{"id":16,"name":"Locomotive ID","value":"4065"},{"id":130,"name":"Impact","value":""},{"id":150,"name":"Time of Event (Mountain Time)","value":"11:00:49"},{"id":151,"name":"Denver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/c/Users/stu/AppData/Local/Temp/OnboardLogs/RTDC4065 --include="*4065*201709141*"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"%USERPROFILE%\AppData\Local\Temp\OnboardLogs"\RTDC4065\*4065*201709141* &gt;&gt; 2017-09-14-SliceDisagreementCheck.txt</v>
      </c>
      <c r="AE55" s="145" t="str">
        <f t="shared" si="9"/>
        <v>start /low /b %USERPROFILE%\Documents\GitHub\eaglep3\Utilities\DownloadLogsFromS3.py --loco 4065 --day 2017-09-14</v>
      </c>
      <c r="AF55" s="1"/>
    </row>
    <row r="56" spans="1:32" x14ac:dyDescent="0.25">
      <c r="A56" s="31">
        <v>42992.75577546296</v>
      </c>
      <c r="B56" s="30" t="s">
        <v>389</v>
      </c>
      <c r="C56" s="30" t="s">
        <v>612</v>
      </c>
      <c r="D56" s="30" t="s">
        <v>49</v>
      </c>
      <c r="E56" s="30" t="s">
        <v>181</v>
      </c>
      <c r="F56" s="42">
        <v>0</v>
      </c>
      <c r="G56" s="42">
        <v>60</v>
      </c>
      <c r="H56" s="42">
        <v>1013</v>
      </c>
      <c r="I56" s="42">
        <v>943</v>
      </c>
      <c r="J56" s="30" t="s">
        <v>182</v>
      </c>
      <c r="K56" s="42">
        <v>839</v>
      </c>
      <c r="L56" s="131" t="s">
        <v>51</v>
      </c>
      <c r="M56" s="132">
        <f t="shared" si="10"/>
        <v>54.911999999999999</v>
      </c>
      <c r="N56" s="133" t="str">
        <f>VLOOKUP(C56,'Trips&amp;Operators'!$C$1:$G$99911,5,FALSE)</f>
        <v>DE LA ROSA ALEX</v>
      </c>
      <c r="O56" s="180" t="s">
        <v>180</v>
      </c>
      <c r="P56" s="134"/>
      <c r="Q56" s="30"/>
      <c r="R56" s="81" t="str">
        <f>VLOOKUP(C56,'Train Runs'!$A$13:$AE$9949,31,0)</f>
        <v>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 &amp; aws s3 cp s3://rtdc.mdm.uploadarchive.raw/RTDC4026/ "%USERPROFILE%\AppData\Local\Temp\OnboardLogs"\RTDC4026\2017-09-15 --exclude "*" --recursive --include "*20170915*" &amp; "%USERPROFILE%\Documents\GitHub\mrs-test-scripts\Headless Mode &amp; Sideloading\WalkAndUnGZ.bat" "%USERPROFILE%\AppData\Local\Temp\OnboardLogs"\RTDC4026\2017-09-15</v>
      </c>
      <c r="S56" s="84" t="str">
        <f>VLOOKUP(C56,'Train Runs'!$A$13:$AE$9949,22,0)</f>
        <v>https://d0f6bd738d7f1b3e5a7ca70fe4ff75f0.us-east-1.aws.found.io/app/kibana#/discover/Steve-Slow-Train-Analysis-(2080s-and-2083s)?_g=(refreshInterval:(display:Off,pause:!f,section:0,value:0),time:(from:'2017-09-14T11:39:33-0600',mode:absolute,to:'2017-09-14T15:17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6" s="86" t="str">
        <f t="shared" si="11"/>
        <v>"C:\Program Files (x86)\AstroGrep\AstroGrep.exe" /e /r /s /spath="%USERPROFILE%\AppData\Local\Temp\OnboardLogs" /stypes="*4009*201709150*" /stext=" 00:.+((SYSTEM_STATE.+slice.+state.+changed )|(ment ac)|(multiple cpu faults)|(system.+state.+changed )|(\[timeout)|(PRM\|1\|D)|(kpr)|(kdp)|(train st.+moving)|(\|lc)|(penalty))"</v>
      </c>
      <c r="U56" s="9" t="str">
        <f t="shared" si="12"/>
        <v>4009</v>
      </c>
      <c r="V56" s="31">
        <f t="shared" si="13"/>
        <v>42993.00577546296</v>
      </c>
      <c r="W56" s="45" t="str">
        <f t="shared" si="14"/>
        <v>Shuttle/Test</v>
      </c>
      <c r="X56" s="22">
        <f t="shared" si="15"/>
        <v>75</v>
      </c>
      <c r="Y56" s="96" t="str">
        <f t="shared" si="16"/>
        <v>echo {"issue":{"subject":"","project_id":79,"tracker_id":40,"status_id":1,"priority_id":2,"assigned_to_id":338,"start_date":"2017-09-14","description":"","custom_fields":[{"id":1,"name":"Subdivision","value":"Shuttle/Test"},{"id":4,"name":"Milepost","value":"0.0839"},{"id":17,"name":"Train ID","value":"75-14"},{"id":16,"name":"Locomotive ID","value":"4009"},{"id":130,"name":"Impact","value":""},{"id":150,"name":"Time of Event (Mountain Time)","value":"18:08:19"},{"id":151,"name":"Denver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/c/Users/stu/AppData/Local/Temp/OnboardLogs/RTDC4009 --include="*4009*201709150*"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"%USERPROFILE%\AppData\Local\Temp\OnboardLogs"\RTDC4009\*4009*201709150* &gt;&gt; 2017-09-14-SliceDisagreementCheck.txt</v>
      </c>
      <c r="AE56" s="145" t="str">
        <f t="shared" si="9"/>
        <v>start /low /b %USERPROFILE%\Documents\GitHub\eaglep3\Utilities\DownloadLogsFromS3.py --loco 4009 --day 2017-09-15</v>
      </c>
      <c r="AF56" s="1"/>
    </row>
  </sheetData>
  <autoFilter ref="A6:AC47">
    <sortState ref="A7:AC56">
      <sortCondition ref="W7:W56"/>
      <sortCondition ref="E7:E56"/>
      <sortCondition ref="K7:K56"/>
      <sortCondition ref="F7:F56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93" customWidth="1"/>
    <col min="10" max="10" width="9.140625" customWidth="1"/>
  </cols>
  <sheetData>
    <row r="1" spans="1:10" s="20" customFormat="1" x14ac:dyDescent="0.25">
      <c r="A1" s="169"/>
      <c r="B1" s="197" t="str">
        <f>"Trips that did not appear in PTC Data "&amp;TEXT(Variables!$A$2,"YYYY-mm-dd")</f>
        <v>Trips that did not appear in PTC Data 2017-09-14</v>
      </c>
      <c r="C1" s="197"/>
      <c r="D1" s="197"/>
      <c r="E1" s="197"/>
      <c r="F1" s="197"/>
      <c r="I1" s="193"/>
    </row>
    <row r="2" spans="1:10" s="23" customFormat="1" ht="45" x14ac:dyDescent="0.25">
      <c r="A2" s="17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4" t="s">
        <v>102</v>
      </c>
      <c r="J2" s="28" t="s">
        <v>60</v>
      </c>
    </row>
    <row r="3" spans="1:10" x14ac:dyDescent="0.25">
      <c r="A3" s="175">
        <v>825</v>
      </c>
      <c r="B3" s="42" t="str">
        <f>A3&amp;"-"&amp;IF(DAY(Variables!$A$2)&lt;10,0,"")&amp;DAY(Variables!$A$2)</f>
        <v>825-14</v>
      </c>
      <c r="C3" s="135"/>
      <c r="D3" s="153" t="str">
        <f>VLOOKUP(B3,'Trips&amp;Operators'!$C$1:$H$1072,6,FALSE)</f>
        <v>4034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22825-14%22)),sort:!(Time.ISO8601,asc))</v>
      </c>
      <c r="J3" s="30" t="str">
        <f>VLOOKUP(B3,'Train Runs'!$A$13:$A$99946,1,FALSE)</f>
        <v>825-14</v>
      </c>
    </row>
    <row r="4" spans="1:10" x14ac:dyDescent="0.25">
      <c r="A4" s="175"/>
      <c r="B4" s="42" t="str">
        <f>A4&amp;"-"&amp;IF(DAY(Variables!$A$2)&lt;10,0,"")&amp;DAY(Variables!$A$2)</f>
        <v>-14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5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" s="30" t="e">
        <f>VLOOKUP(B4,'Train Runs'!$A$13:$A$99946,1,FALSE)</f>
        <v>#N/A</v>
      </c>
    </row>
    <row r="5" spans="1:10" x14ac:dyDescent="0.25">
      <c r="A5" s="175"/>
      <c r="B5" s="42" t="str">
        <f>A5&amp;"-"&amp;IF(DAY(Variables!$A$2)&lt;10,0,"")&amp;DAY(Variables!$A$2)</f>
        <v>-14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Runs'!$A$13:$A$99946,1,FALSE)</f>
        <v>#N/A</v>
      </c>
    </row>
    <row r="6" spans="1:10" x14ac:dyDescent="0.25">
      <c r="A6" s="175"/>
      <c r="B6" s="42" t="str">
        <f>A6&amp;"-"&amp;IF(DAY(Variables!$A$2)&lt;10,0,"")&amp;DAY(Variables!$A$2)</f>
        <v>-14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Runs'!$A$13:$A$99946,1,FALSE)</f>
        <v>#N/A</v>
      </c>
    </row>
    <row r="7" spans="1:10" x14ac:dyDescent="0.25">
      <c r="A7" s="175"/>
      <c r="B7" s="42" t="str">
        <f>A7&amp;"-"&amp;IF(DAY(Variables!$A$2)&lt;10,0,"")&amp;DAY(Variables!$A$2)</f>
        <v>-14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Runs'!$A$13:$A$99946,1,FALSE)</f>
        <v>#N/A</v>
      </c>
    </row>
    <row r="8" spans="1:10" x14ac:dyDescent="0.25">
      <c r="A8" s="175"/>
      <c r="B8" s="42" t="str">
        <f>A8&amp;"-"&amp;IF(DAY(Variables!$A$2)&lt;10,0,"")&amp;DAY(Variables!$A$2)</f>
        <v>-14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Runs'!$A$13:$A$99946,1,FALSE)</f>
        <v>#N/A</v>
      </c>
    </row>
    <row r="9" spans="1:10" x14ac:dyDescent="0.25">
      <c r="A9" s="175"/>
      <c r="B9" s="42" t="str">
        <f>A9&amp;"-"&amp;IF(DAY(Variables!$A$2)&lt;10,0,"")&amp;DAY(Variables!$A$2)</f>
        <v>-14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Runs'!$A$13:$A$99946,1,FALSE)</f>
        <v>#N/A</v>
      </c>
    </row>
    <row r="10" spans="1:10" x14ac:dyDescent="0.25">
      <c r="A10" s="175"/>
      <c r="B10" s="42" t="str">
        <f>A10&amp;"-"&amp;IF(DAY(Variables!$A$2)&lt;10,0,"")&amp;DAY(Variables!$A$2)</f>
        <v>-14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Runs'!$A$13:$A$99946,1,FALSE)</f>
        <v>#N/A</v>
      </c>
    </row>
    <row r="11" spans="1:10" x14ac:dyDescent="0.25">
      <c r="A11" s="175"/>
      <c r="B11" s="42" t="str">
        <f>A11&amp;"-"&amp;IF(DAY(Variables!$A$2)&lt;10,0,"")&amp;DAY(Variables!$A$2)</f>
        <v>-14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Runs'!$A$13:$A$99946,1,FALSE)</f>
        <v>#N/A</v>
      </c>
    </row>
    <row r="12" spans="1:10" x14ac:dyDescent="0.25">
      <c r="A12" s="175"/>
      <c r="B12" s="42" t="str">
        <f>A12&amp;"-"&amp;IF(DAY(Variables!$A$2)&lt;10,0,"")&amp;DAY(Variables!$A$2)</f>
        <v>-14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Runs'!$A$13:$A$99946,1,FALSE)</f>
        <v>#N/A</v>
      </c>
    </row>
    <row r="13" spans="1:10" x14ac:dyDescent="0.25">
      <c r="A13" s="175"/>
      <c r="B13" s="42" t="str">
        <f>A13&amp;"-"&amp;IF(DAY(Variables!$A$2)&lt;10,0,"")&amp;DAY(Variables!$A$2)</f>
        <v>-14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Runs'!$A$13:$A$99946,1,FALSE)</f>
        <v>#N/A</v>
      </c>
    </row>
    <row r="14" spans="1:10" x14ac:dyDescent="0.25">
      <c r="A14" s="175"/>
      <c r="B14" s="42" t="str">
        <f>A14&amp;"-"&amp;IF(DAY(Variables!$A$2)&lt;10,0,"")&amp;DAY(Variables!$A$2)</f>
        <v>-14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Runs'!$A$13:$A$99946,1,FALSE)</f>
        <v>#N/A</v>
      </c>
    </row>
    <row r="15" spans="1:10" x14ac:dyDescent="0.25">
      <c r="A15" s="175"/>
      <c r="B15" s="42" t="str">
        <f>A15&amp;"-"&amp;IF(DAY(Variables!$A$2)&lt;10,0,"")&amp;DAY(Variables!$A$2)</f>
        <v>-14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Runs'!$A$13:$A$99946,1,FALSE)</f>
        <v>#N/A</v>
      </c>
    </row>
    <row r="16" spans="1:10" x14ac:dyDescent="0.25">
      <c r="A16" s="175"/>
      <c r="B16" s="42" t="str">
        <f>A16&amp;"-"&amp;IF(DAY(Variables!$A$2)&lt;10,0,"")&amp;DAY(Variables!$A$2)</f>
        <v>-14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Runs'!$A$13:$A$99946,1,FALSE)</f>
        <v>#N/A</v>
      </c>
    </row>
    <row r="17" spans="1:10" x14ac:dyDescent="0.25">
      <c r="A17" s="175"/>
      <c r="B17" s="42" t="str">
        <f>A17&amp;"-"&amp;IF(DAY(Variables!$A$2)&lt;10,0,"")&amp;DAY(Variables!$A$2)</f>
        <v>-14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Runs'!$A$13:$A$99946,1,FALSE)</f>
        <v>#N/A</v>
      </c>
    </row>
    <row r="18" spans="1:10" x14ac:dyDescent="0.25">
      <c r="A18" s="175"/>
      <c r="B18" s="42" t="str">
        <f>A18&amp;"-"&amp;IF(DAY(Variables!$A$2)&lt;10,0,"")&amp;DAY(Variables!$A$2)</f>
        <v>-14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Runs'!$A$13:$A$99946,1,FALSE)</f>
        <v>#N/A</v>
      </c>
    </row>
    <row r="19" spans="1:10" x14ac:dyDescent="0.25">
      <c r="A19" s="175"/>
      <c r="B19" s="42"/>
      <c r="C19" s="135"/>
      <c r="D19" s="153"/>
      <c r="E19" s="30"/>
      <c r="F19" s="21"/>
      <c r="G19" s="21"/>
      <c r="H19" s="29"/>
      <c r="I19" s="195"/>
      <c r="J19" s="30"/>
    </row>
    <row r="20" spans="1:10" x14ac:dyDescent="0.25">
      <c r="A20" s="175"/>
      <c r="B20" s="42"/>
      <c r="C20" s="135"/>
      <c r="D20" s="153"/>
      <c r="E20" s="30"/>
      <c r="F20" s="21"/>
      <c r="G20" s="21"/>
      <c r="H20" s="29"/>
      <c r="I20" s="195"/>
      <c r="J20" s="30"/>
    </row>
    <row r="21" spans="1:10" x14ac:dyDescent="0.25">
      <c r="A21" s="175"/>
      <c r="B21" s="42"/>
      <c r="C21" s="135"/>
      <c r="D21" s="153"/>
      <c r="E21" s="30"/>
      <c r="F21" s="21"/>
      <c r="G21" s="21"/>
      <c r="H21" s="29"/>
      <c r="I21" s="195"/>
      <c r="J21" s="30"/>
    </row>
    <row r="22" spans="1:10" x14ac:dyDescent="0.25">
      <c r="A22" s="175"/>
      <c r="B22" s="42"/>
      <c r="C22" s="135"/>
      <c r="D22" s="153"/>
      <c r="E22" s="30"/>
      <c r="F22" s="21"/>
      <c r="G22" s="21"/>
      <c r="H22" s="29"/>
      <c r="I22" s="195"/>
      <c r="J22" s="30"/>
    </row>
    <row r="23" spans="1:10" x14ac:dyDescent="0.25">
      <c r="A23" s="175"/>
      <c r="B23" s="42"/>
      <c r="C23" s="135"/>
      <c r="D23" s="153"/>
      <c r="E23" s="30"/>
      <c r="F23" s="21"/>
      <c r="G23" s="21"/>
      <c r="H23" s="29"/>
      <c r="I23" s="195"/>
      <c r="J23" s="30"/>
    </row>
    <row r="24" spans="1:10" x14ac:dyDescent="0.25">
      <c r="A24" s="175"/>
      <c r="B24" s="42"/>
      <c r="C24" s="135"/>
      <c r="D24" s="153"/>
      <c r="E24" s="30"/>
      <c r="F24" s="21"/>
      <c r="G24" s="21"/>
      <c r="H24" s="29"/>
      <c r="I24" s="195"/>
      <c r="J24" s="30"/>
    </row>
    <row r="25" spans="1:10" x14ac:dyDescent="0.25">
      <c r="A25" s="175"/>
      <c r="B25" s="42"/>
      <c r="C25" s="135"/>
      <c r="D25" s="153"/>
      <c r="E25" s="30"/>
      <c r="F25" s="21"/>
      <c r="G25" s="21"/>
      <c r="H25" s="29"/>
      <c r="I25" s="195"/>
      <c r="J25" s="30"/>
    </row>
    <row r="26" spans="1:10" x14ac:dyDescent="0.25">
      <c r="A26" s="175"/>
      <c r="B26" s="42"/>
      <c r="C26" s="135"/>
      <c r="D26" s="153"/>
      <c r="E26" s="30"/>
      <c r="F26" s="21"/>
      <c r="G26" s="21"/>
      <c r="H26" s="29"/>
      <c r="I26" s="195"/>
      <c r="J26" s="30"/>
    </row>
    <row r="27" spans="1:10" x14ac:dyDescent="0.25">
      <c r="A27" s="175"/>
      <c r="B27" s="42"/>
      <c r="C27" s="135"/>
      <c r="D27" s="153"/>
      <c r="E27" s="30"/>
      <c r="F27" s="21"/>
      <c r="G27" s="21"/>
      <c r="H27" s="29"/>
      <c r="I27" s="195"/>
      <c r="J27" s="30"/>
    </row>
    <row r="28" spans="1:10" x14ac:dyDescent="0.25">
      <c r="A28" s="175"/>
      <c r="B28" s="42"/>
      <c r="C28" s="135"/>
      <c r="D28" s="153"/>
      <c r="E28" s="30"/>
      <c r="F28" s="21"/>
      <c r="G28" s="21"/>
      <c r="H28" s="29"/>
      <c r="I28" s="195"/>
      <c r="J28" s="30"/>
    </row>
    <row r="29" spans="1:10" x14ac:dyDescent="0.25">
      <c r="A29" s="175"/>
      <c r="B29" s="42"/>
      <c r="C29" s="135"/>
      <c r="D29" s="153"/>
      <c r="E29" s="30"/>
      <c r="F29" s="21"/>
      <c r="G29" s="21"/>
      <c r="H29" s="29"/>
      <c r="I29" s="195"/>
      <c r="J29" s="30"/>
    </row>
    <row r="30" spans="1:10" x14ac:dyDescent="0.25">
      <c r="A30" s="175"/>
      <c r="B30" s="42"/>
      <c r="C30" s="135"/>
      <c r="D30" s="153"/>
      <c r="E30" s="30"/>
      <c r="F30" s="21"/>
      <c r="G30" s="21"/>
      <c r="H30" s="29"/>
      <c r="I30" s="195"/>
      <c r="J30" s="30"/>
    </row>
    <row r="31" spans="1:10" x14ac:dyDescent="0.25">
      <c r="A31" s="175"/>
      <c r="B31" s="42"/>
      <c r="C31" s="135"/>
      <c r="D31" s="153"/>
      <c r="E31" s="30"/>
      <c r="F31" s="21"/>
      <c r="G31" s="21"/>
      <c r="H31" s="29"/>
      <c r="I31" s="195"/>
      <c r="J31" s="30"/>
    </row>
    <row r="32" spans="1:10" x14ac:dyDescent="0.25">
      <c r="A32" s="175"/>
      <c r="B32" s="42"/>
      <c r="C32" s="135"/>
      <c r="D32" s="153"/>
      <c r="E32" s="30"/>
      <c r="F32" s="21"/>
      <c r="G32" s="21"/>
      <c r="H32" s="29"/>
      <c r="I32" s="195"/>
      <c r="J32" s="30"/>
    </row>
    <row r="33" spans="1:10" x14ac:dyDescent="0.25">
      <c r="A33" s="175"/>
      <c r="B33" s="42"/>
      <c r="C33" s="135"/>
      <c r="D33" s="153"/>
      <c r="E33" s="30"/>
      <c r="F33" s="21"/>
      <c r="G33" s="21"/>
      <c r="H33" s="29"/>
      <c r="I33" s="195"/>
      <c r="J33" s="30"/>
    </row>
    <row r="34" spans="1:10" x14ac:dyDescent="0.25">
      <c r="A34" s="175"/>
      <c r="B34" s="42"/>
      <c r="C34" s="135"/>
      <c r="D34" s="153"/>
      <c r="E34" s="30"/>
      <c r="F34" s="21"/>
      <c r="G34" s="21"/>
      <c r="H34" s="29"/>
      <c r="I34" s="195"/>
      <c r="J34" s="30"/>
    </row>
    <row r="35" spans="1:10" x14ac:dyDescent="0.25">
      <c r="A35" s="175"/>
      <c r="B35" s="42"/>
      <c r="C35" s="135"/>
      <c r="D35" s="153"/>
      <c r="E35" s="30"/>
      <c r="F35" s="21"/>
      <c r="G35" s="21"/>
      <c r="H35" s="29"/>
      <c r="I35" s="195"/>
      <c r="J35" s="30"/>
    </row>
    <row r="36" spans="1:10" x14ac:dyDescent="0.25">
      <c r="A36" s="175"/>
      <c r="B36" s="42"/>
      <c r="C36" s="135"/>
      <c r="D36" s="153"/>
      <c r="E36" s="30"/>
      <c r="F36" s="21"/>
      <c r="G36" s="21"/>
      <c r="H36" s="29"/>
      <c r="I36" s="195"/>
      <c r="J36" s="30"/>
    </row>
    <row r="37" spans="1:10" x14ac:dyDescent="0.25">
      <c r="A37" s="175"/>
      <c r="B37" s="42"/>
      <c r="C37" s="135"/>
      <c r="D37" s="153"/>
      <c r="E37" s="30"/>
      <c r="F37" s="21"/>
      <c r="G37" s="21"/>
      <c r="H37" s="29"/>
      <c r="I37" s="195"/>
      <c r="J37" s="30"/>
    </row>
    <row r="38" spans="1:10" x14ac:dyDescent="0.25">
      <c r="A38" s="175"/>
      <c r="B38" s="42"/>
      <c r="C38" s="135"/>
      <c r="D38" s="153"/>
      <c r="E38" s="30"/>
      <c r="F38" s="21"/>
      <c r="G38" s="21"/>
      <c r="H38" s="29"/>
      <c r="I38" s="195"/>
      <c r="J38" s="30"/>
    </row>
    <row r="39" spans="1:10" x14ac:dyDescent="0.25">
      <c r="A39" s="175"/>
      <c r="B39" s="42"/>
      <c r="C39" s="135"/>
      <c r="D39" s="153"/>
      <c r="E39" s="30"/>
      <c r="F39" s="21"/>
      <c r="G39" s="21"/>
      <c r="H39" s="29"/>
      <c r="I39" s="195"/>
      <c r="J39" s="30"/>
    </row>
    <row r="40" spans="1:10" x14ac:dyDescent="0.25">
      <c r="A40" s="175"/>
      <c r="B40" s="42"/>
      <c r="C40" s="135"/>
      <c r="D40" s="153"/>
      <c r="E40" s="30"/>
      <c r="F40" s="21"/>
      <c r="G40" s="21"/>
      <c r="H40" s="29"/>
      <c r="I40" s="195"/>
      <c r="J40" s="30"/>
    </row>
    <row r="41" spans="1:10" x14ac:dyDescent="0.25">
      <c r="A41" s="175"/>
      <c r="B41" s="42"/>
      <c r="C41" s="135"/>
      <c r="D41" s="153"/>
      <c r="E41" s="30"/>
      <c r="F41" s="21"/>
      <c r="G41" s="21"/>
      <c r="H41" s="29"/>
      <c r="I41" s="195"/>
      <c r="J41" s="30"/>
    </row>
    <row r="42" spans="1:10" x14ac:dyDescent="0.25">
      <c r="A42" s="175"/>
      <c r="B42" s="42"/>
      <c r="C42" s="135"/>
      <c r="D42" s="153"/>
      <c r="E42" s="30"/>
      <c r="F42" s="21"/>
      <c r="G42" s="21"/>
      <c r="H42" s="29"/>
      <c r="I42" s="195"/>
      <c r="J42" s="30"/>
    </row>
    <row r="43" spans="1:10" x14ac:dyDescent="0.25">
      <c r="A43" s="175"/>
      <c r="B43" s="42"/>
      <c r="C43" s="135"/>
      <c r="D43" s="153"/>
      <c r="E43" s="30"/>
      <c r="F43" s="21"/>
      <c r="G43" s="21"/>
      <c r="H43" s="29"/>
      <c r="I43" s="195"/>
      <c r="J43" s="30"/>
    </row>
    <row r="44" spans="1:10" x14ac:dyDescent="0.25">
      <c r="A44" s="175"/>
      <c r="B44" s="42"/>
      <c r="C44" s="135"/>
      <c r="D44" s="153"/>
      <c r="E44" s="30"/>
      <c r="F44" s="21"/>
      <c r="G44" s="21"/>
      <c r="H44" s="29"/>
      <c r="I44" s="195"/>
      <c r="J44" s="30"/>
    </row>
    <row r="45" spans="1:10" x14ac:dyDescent="0.25">
      <c r="A45" s="175"/>
      <c r="B45" s="42"/>
      <c r="C45" s="135"/>
      <c r="D45" s="153"/>
      <c r="E45" s="30"/>
      <c r="F45" s="21"/>
      <c r="G45" s="21"/>
      <c r="H45" s="29"/>
      <c r="I45" s="195"/>
      <c r="J45" s="30"/>
    </row>
    <row r="46" spans="1:10" x14ac:dyDescent="0.25">
      <c r="A46" s="175"/>
      <c r="B46" s="42"/>
      <c r="C46" s="135"/>
      <c r="D46" s="153"/>
      <c r="E46" s="30"/>
      <c r="F46" s="21"/>
      <c r="G46" s="21"/>
      <c r="H46" s="29"/>
      <c r="I46" s="195"/>
      <c r="J46" s="30"/>
    </row>
    <row r="47" spans="1:10" x14ac:dyDescent="0.25">
      <c r="A47" s="175"/>
      <c r="B47" s="42"/>
      <c r="C47" s="135"/>
      <c r="D47" s="153"/>
      <c r="E47" s="30"/>
      <c r="F47" s="21"/>
      <c r="G47" s="21"/>
      <c r="H47" s="29"/>
      <c r="I47" s="195"/>
      <c r="J47" s="30"/>
    </row>
    <row r="48" spans="1:10" x14ac:dyDescent="0.25">
      <c r="A48" s="175"/>
      <c r="B48" s="42"/>
      <c r="C48" s="135"/>
      <c r="D48" s="153"/>
      <c r="E48" s="30"/>
      <c r="F48" s="21"/>
      <c r="G48" s="21"/>
      <c r="H48" s="29"/>
      <c r="I48" s="195"/>
      <c r="J48" s="30"/>
    </row>
    <row r="49" spans="1:10" x14ac:dyDescent="0.25">
      <c r="A49" s="175"/>
      <c r="B49" s="42"/>
      <c r="C49" s="135"/>
      <c r="D49" s="153"/>
      <c r="E49" s="30"/>
      <c r="F49" s="21"/>
      <c r="G49" s="21"/>
      <c r="H49" s="29"/>
      <c r="I49" s="195"/>
      <c r="J49" s="30"/>
    </row>
    <row r="50" spans="1:10" x14ac:dyDescent="0.25">
      <c r="A50" s="175"/>
      <c r="B50" s="42"/>
      <c r="C50" s="135"/>
      <c r="D50" s="153"/>
      <c r="E50" s="30"/>
      <c r="F50" s="21"/>
      <c r="G50" s="21"/>
      <c r="H50" s="29"/>
      <c r="I50" s="195"/>
      <c r="J50" s="30"/>
    </row>
    <row r="51" spans="1:10" x14ac:dyDescent="0.25">
      <c r="A51" s="175"/>
      <c r="B51" s="42"/>
      <c r="C51" s="135"/>
      <c r="D51" s="153"/>
      <c r="E51" s="30"/>
      <c r="F51" s="21"/>
      <c r="G51" s="21"/>
      <c r="H51" s="29"/>
      <c r="I51" s="195"/>
      <c r="J51" s="30"/>
    </row>
    <row r="52" spans="1:10" x14ac:dyDescent="0.25">
      <c r="A52" s="175"/>
      <c r="B52" s="42"/>
      <c r="C52" s="135"/>
      <c r="D52" s="153"/>
      <c r="E52" s="30"/>
      <c r="F52" s="21"/>
      <c r="G52" s="21"/>
      <c r="H52" s="29"/>
      <c r="I52" s="195"/>
      <c r="J52" s="30"/>
    </row>
    <row r="53" spans="1:10" x14ac:dyDescent="0.25">
      <c r="A53" s="175"/>
      <c r="B53" s="42"/>
      <c r="C53" s="135"/>
      <c r="D53" s="153"/>
      <c r="E53" s="30"/>
      <c r="F53" s="21"/>
      <c r="G53" s="21"/>
      <c r="H53" s="29"/>
      <c r="I53" s="195"/>
      <c r="J53" s="30"/>
    </row>
    <row r="54" spans="1:10" x14ac:dyDescent="0.25">
      <c r="A54" s="175"/>
      <c r="B54" s="42"/>
      <c r="C54" s="135"/>
      <c r="D54" s="153"/>
      <c r="E54" s="30"/>
      <c r="F54" s="21"/>
      <c r="G54" s="21"/>
      <c r="H54" s="29"/>
      <c r="I54" s="195"/>
      <c r="J54" s="30"/>
    </row>
    <row r="55" spans="1:10" x14ac:dyDescent="0.25">
      <c r="A55" s="175"/>
      <c r="B55" s="42"/>
      <c r="C55" s="135"/>
      <c r="D55" s="153"/>
      <c r="E55" s="30"/>
      <c r="F55" s="21"/>
      <c r="G55" s="21"/>
      <c r="H55" s="29"/>
      <c r="I55" s="195"/>
      <c r="J55" s="30"/>
    </row>
    <row r="56" spans="1:10" x14ac:dyDescent="0.25">
      <c r="A56" s="175"/>
      <c r="B56" s="42"/>
      <c r="C56" s="135"/>
      <c r="D56" s="153"/>
      <c r="E56" s="30"/>
      <c r="F56" s="21"/>
      <c r="G56" s="21"/>
      <c r="H56" s="29"/>
      <c r="I56" s="195"/>
      <c r="J56" s="30"/>
    </row>
    <row r="57" spans="1:10" x14ac:dyDescent="0.25">
      <c r="A57" s="175"/>
      <c r="B57" s="42"/>
      <c r="C57" s="135"/>
      <c r="D57" s="153"/>
      <c r="E57" s="30"/>
      <c r="F57" s="21"/>
      <c r="G57" s="21"/>
      <c r="H57" s="29"/>
      <c r="I57" s="195"/>
      <c r="J57" s="30"/>
    </row>
    <row r="58" spans="1:10" x14ac:dyDescent="0.25">
      <c r="A58" s="175"/>
      <c r="B58" s="42"/>
      <c r="C58" s="135"/>
      <c r="D58" s="153"/>
      <c r="E58" s="30"/>
      <c r="F58" s="21"/>
      <c r="G58" s="21"/>
      <c r="H58" s="29"/>
      <c r="I58" s="195"/>
      <c r="J58" s="30"/>
    </row>
    <row r="59" spans="1:10" x14ac:dyDescent="0.25">
      <c r="A59" s="175"/>
      <c r="B59" s="42"/>
      <c r="C59" s="135"/>
      <c r="D59" s="153"/>
      <c r="E59" s="30"/>
      <c r="F59" s="21"/>
      <c r="G59" s="21"/>
      <c r="H59" s="29"/>
      <c r="I59" s="195"/>
      <c r="J59" s="30"/>
    </row>
    <row r="60" spans="1:10" x14ac:dyDescent="0.25">
      <c r="A60" s="175"/>
      <c r="B60" s="42"/>
      <c r="C60" s="135"/>
      <c r="D60" s="153"/>
      <c r="E60" s="30"/>
      <c r="F60" s="21"/>
      <c r="G60" s="21"/>
      <c r="H60" s="29"/>
      <c r="I60" s="195"/>
      <c r="J60" s="30"/>
    </row>
    <row r="61" spans="1:10" x14ac:dyDescent="0.25">
      <c r="A61" s="175"/>
      <c r="B61" s="42"/>
      <c r="C61" s="135"/>
      <c r="D61" s="153"/>
      <c r="E61" s="30"/>
      <c r="F61" s="21"/>
      <c r="G61" s="21"/>
      <c r="H61" s="29"/>
      <c r="I61" s="195"/>
      <c r="J61" s="30"/>
    </row>
    <row r="62" spans="1:10" x14ac:dyDescent="0.25">
      <c r="A62" s="175"/>
      <c r="B62" s="42"/>
      <c r="C62" s="135"/>
      <c r="D62" s="153"/>
      <c r="E62" s="30"/>
      <c r="F62" s="21"/>
      <c r="G62" s="21"/>
      <c r="H62" s="29"/>
      <c r="I62" s="195"/>
      <c r="J62" s="30"/>
    </row>
    <row r="63" spans="1:10" x14ac:dyDescent="0.25">
      <c r="A63" s="175"/>
      <c r="B63" s="42"/>
      <c r="C63" s="135"/>
      <c r="D63" s="153"/>
      <c r="E63" s="30"/>
      <c r="F63" s="21"/>
      <c r="G63" s="21"/>
      <c r="H63" s="29"/>
      <c r="I63" s="195"/>
      <c r="J63" s="30"/>
    </row>
    <row r="64" spans="1:10" x14ac:dyDescent="0.25">
      <c r="A64" s="175"/>
      <c r="B64" s="42"/>
      <c r="C64" s="135"/>
      <c r="D64" s="153"/>
      <c r="E64" s="30"/>
      <c r="F64" s="21"/>
      <c r="G64" s="21"/>
      <c r="H64" s="29"/>
      <c r="I64" s="195"/>
      <c r="J64" s="30"/>
    </row>
    <row r="65" spans="1:10" x14ac:dyDescent="0.25">
      <c r="A65" s="175"/>
      <c r="B65" s="42"/>
      <c r="C65" s="135"/>
      <c r="D65" s="153"/>
      <c r="E65" s="30"/>
      <c r="F65" s="21"/>
      <c r="G65" s="21"/>
      <c r="H65" s="29"/>
      <c r="I65" s="195"/>
      <c r="J65" s="30"/>
    </row>
    <row r="66" spans="1:10" x14ac:dyDescent="0.25">
      <c r="A66" s="175"/>
      <c r="B66" s="42"/>
      <c r="C66" s="135"/>
      <c r="D66" s="153"/>
      <c r="E66" s="30"/>
      <c r="F66" s="21"/>
      <c r="G66" s="21"/>
      <c r="H66" s="29"/>
      <c r="I66" s="195"/>
      <c r="J66" s="30"/>
    </row>
    <row r="67" spans="1:10" x14ac:dyDescent="0.25">
      <c r="A67" s="175"/>
      <c r="B67" s="42"/>
      <c r="C67" s="135"/>
      <c r="D67" s="153"/>
      <c r="E67" s="30"/>
      <c r="F67" s="21"/>
      <c r="G67" s="21"/>
      <c r="H67" s="29"/>
      <c r="I67" s="195"/>
      <c r="J67" s="30"/>
    </row>
    <row r="68" spans="1:10" x14ac:dyDescent="0.25">
      <c r="A68" s="175"/>
      <c r="B68" s="42"/>
      <c r="C68" s="135"/>
      <c r="D68" s="153"/>
      <c r="E68" s="30"/>
      <c r="F68" s="21"/>
      <c r="G68" s="21"/>
      <c r="H68" s="29"/>
      <c r="I68" s="195"/>
      <c r="J68" s="30"/>
    </row>
    <row r="69" spans="1:10" x14ac:dyDescent="0.25">
      <c r="A69" s="175"/>
      <c r="B69" s="42"/>
      <c r="C69" s="135"/>
      <c r="D69" s="153"/>
      <c r="E69" s="30"/>
      <c r="F69" s="21"/>
      <c r="G69" s="21"/>
      <c r="H69" s="29"/>
      <c r="I69" s="195"/>
      <c r="J69" s="30"/>
    </row>
    <row r="70" spans="1:10" x14ac:dyDescent="0.25">
      <c r="A70" s="175"/>
      <c r="B70" s="42"/>
      <c r="C70" s="135"/>
      <c r="D70" s="153"/>
      <c r="E70" s="30"/>
      <c r="F70" s="21"/>
      <c r="G70" s="21"/>
      <c r="H70" s="29"/>
      <c r="I70" s="195"/>
      <c r="J70" s="30"/>
    </row>
    <row r="71" spans="1:10" x14ac:dyDescent="0.25">
      <c r="A71" s="175"/>
      <c r="B71" s="42"/>
      <c r="C71" s="135"/>
      <c r="D71" s="153"/>
      <c r="E71" s="30"/>
      <c r="F71" s="21"/>
      <c r="G71" s="21"/>
      <c r="H71" s="29"/>
      <c r="I71" s="195"/>
      <c r="J71" s="30"/>
    </row>
    <row r="72" spans="1:10" x14ac:dyDescent="0.25">
      <c r="A72" s="175"/>
      <c r="B72" s="42"/>
      <c r="C72" s="135"/>
      <c r="D72" s="153"/>
      <c r="E72" s="30"/>
      <c r="F72" s="21"/>
      <c r="G72" s="21"/>
      <c r="H72" s="29"/>
      <c r="I72" s="195"/>
      <c r="J72" s="30"/>
    </row>
    <row r="73" spans="1:10" x14ac:dyDescent="0.25">
      <c r="A73" s="175"/>
      <c r="B73" s="42"/>
      <c r="C73" s="135"/>
      <c r="D73" s="153"/>
      <c r="E73" s="30"/>
      <c r="F73" s="21"/>
      <c r="G73" s="21"/>
      <c r="H73" s="29"/>
      <c r="I73" s="195"/>
      <c r="J73" s="30"/>
    </row>
    <row r="74" spans="1:10" x14ac:dyDescent="0.25">
      <c r="A74" s="175"/>
      <c r="B74" s="42"/>
      <c r="C74" s="135"/>
      <c r="D74" s="153"/>
      <c r="E74" s="30"/>
      <c r="F74" s="21"/>
      <c r="G74" s="21"/>
      <c r="H74" s="29"/>
      <c r="I74" s="195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42992.037835648145</v>
      </c>
      <c r="B2" s="20" t="s">
        <v>461</v>
      </c>
      <c r="C2" s="20" t="s">
        <v>518</v>
      </c>
      <c r="D2" s="138">
        <v>890000</v>
      </c>
      <c r="E2" s="20" t="s">
        <v>373</v>
      </c>
      <c r="F2" s="20" t="s">
        <v>374</v>
      </c>
      <c r="G2" s="8" t="str">
        <f>E2&amp;" "&amp;F2</f>
        <v>LOZA FIDEL</v>
      </c>
      <c r="H2" t="str">
        <f>MID(B2,13,4)</f>
        <v>4027</v>
      </c>
    </row>
    <row r="3" spans="1:8" x14ac:dyDescent="0.25">
      <c r="A3" s="8">
        <v>42992.046840277777</v>
      </c>
      <c r="B3" s="20" t="s">
        <v>393</v>
      </c>
      <c r="C3" s="20" t="s">
        <v>517</v>
      </c>
      <c r="D3" s="138">
        <v>2680000</v>
      </c>
      <c r="E3" s="20" t="s">
        <v>390</v>
      </c>
      <c r="F3" s="20" t="s">
        <v>391</v>
      </c>
      <c r="G3" s="8" t="str">
        <f t="shared" ref="G3:G66" si="0">E3&amp;" "&amp;F3</f>
        <v>DUNCAN SHEILA</v>
      </c>
      <c r="H3" s="20" t="str">
        <f t="shared" ref="H3:H66" si="1">MID(B3,13,4)</f>
        <v>4020</v>
      </c>
    </row>
    <row r="4" spans="1:8" x14ac:dyDescent="0.25">
      <c r="A4" s="8">
        <v>42992.047395833331</v>
      </c>
      <c r="B4" s="20" t="s">
        <v>393</v>
      </c>
      <c r="C4" s="20" t="s">
        <v>519</v>
      </c>
      <c r="D4" s="138">
        <v>2680000</v>
      </c>
      <c r="E4" s="20" t="s">
        <v>390</v>
      </c>
      <c r="F4" s="20" t="s">
        <v>391</v>
      </c>
      <c r="G4" s="8" t="str">
        <f t="shared" si="0"/>
        <v>DUNCAN SHEILA</v>
      </c>
      <c r="H4" s="20" t="str">
        <f t="shared" si="1"/>
        <v>4020</v>
      </c>
    </row>
    <row r="5" spans="1:8" x14ac:dyDescent="0.25">
      <c r="A5" s="8">
        <v>42992.057442129626</v>
      </c>
      <c r="B5" s="20" t="s">
        <v>404</v>
      </c>
      <c r="C5" s="20" t="s">
        <v>520</v>
      </c>
      <c r="D5" s="138">
        <v>3190000</v>
      </c>
      <c r="E5" s="20" t="s">
        <v>397</v>
      </c>
      <c r="F5" s="20" t="s">
        <v>398</v>
      </c>
      <c r="G5" s="8" t="str">
        <f t="shared" si="0"/>
        <v>HART KEVIN</v>
      </c>
      <c r="H5" s="20" t="str">
        <f t="shared" si="1"/>
        <v>4015</v>
      </c>
    </row>
    <row r="6" spans="1:8" x14ac:dyDescent="0.25">
      <c r="A6" s="8">
        <v>42992.066851851851</v>
      </c>
      <c r="B6" s="20" t="s">
        <v>460</v>
      </c>
      <c r="C6" s="20" t="s">
        <v>521</v>
      </c>
      <c r="D6" s="138">
        <v>890000</v>
      </c>
      <c r="E6" s="20" t="s">
        <v>373</v>
      </c>
      <c r="F6" s="20" t="s">
        <v>374</v>
      </c>
      <c r="G6" s="8" t="str">
        <f t="shared" si="0"/>
        <v>LOZA FIDEL</v>
      </c>
      <c r="H6" s="20" t="str">
        <f t="shared" si="1"/>
        <v>4028</v>
      </c>
    </row>
    <row r="7" spans="1:8" x14ac:dyDescent="0.25">
      <c r="A7" s="8">
        <v>42992.088599537034</v>
      </c>
      <c r="B7" s="20" t="s">
        <v>405</v>
      </c>
      <c r="C7" s="20" t="s">
        <v>522</v>
      </c>
      <c r="D7" s="138">
        <v>3190000</v>
      </c>
      <c r="E7" s="20" t="s">
        <v>397</v>
      </c>
      <c r="F7" s="20" t="s">
        <v>398</v>
      </c>
      <c r="G7" s="8" t="str">
        <f t="shared" si="0"/>
        <v>HART KEVIN</v>
      </c>
      <c r="H7" s="20" t="str">
        <f t="shared" si="1"/>
        <v>4016</v>
      </c>
    </row>
    <row r="8" spans="1:8" x14ac:dyDescent="0.25">
      <c r="A8" s="8">
        <v>42992.114247685182</v>
      </c>
      <c r="B8" s="20" t="s">
        <v>523</v>
      </c>
      <c r="C8" s="20" t="s">
        <v>524</v>
      </c>
      <c r="D8" s="138">
        <v>900000</v>
      </c>
      <c r="E8" s="20" t="s">
        <v>525</v>
      </c>
      <c r="F8" s="20" t="s">
        <v>526</v>
      </c>
      <c r="G8" s="8" t="str">
        <f t="shared" si="0"/>
        <v>ROCHA YAOTL</v>
      </c>
      <c r="H8" s="20" t="str">
        <f t="shared" si="1"/>
        <v>4003</v>
      </c>
    </row>
    <row r="9" spans="1:8" ht="15.75" thickBot="1" x14ac:dyDescent="0.3">
      <c r="A9" s="24">
        <v>42992.129629629628</v>
      </c>
      <c r="B9" s="20" t="s">
        <v>594</v>
      </c>
      <c r="C9" s="20" t="s">
        <v>588</v>
      </c>
      <c r="D9" s="138">
        <v>1090000</v>
      </c>
      <c r="E9" s="20" t="s">
        <v>442</v>
      </c>
      <c r="F9" s="20" t="s">
        <v>191</v>
      </c>
      <c r="G9" s="8" t="str">
        <f t="shared" si="0"/>
        <v>SPECTOR MICHAEL</v>
      </c>
      <c r="H9" s="20" t="str">
        <f t="shared" si="1"/>
        <v>4004</v>
      </c>
    </row>
    <row r="10" spans="1:8" x14ac:dyDescent="0.25">
      <c r="A10" s="8">
        <v>42992.133599537039</v>
      </c>
      <c r="B10" s="20" t="s">
        <v>428</v>
      </c>
      <c r="C10" s="20" t="s">
        <v>570</v>
      </c>
      <c r="D10" s="138">
        <v>900000</v>
      </c>
      <c r="E10" s="20" t="s">
        <v>525</v>
      </c>
      <c r="F10" s="20" t="s">
        <v>526</v>
      </c>
      <c r="G10" s="8" t="str">
        <f t="shared" si="0"/>
        <v>ROCHA YAOTL</v>
      </c>
      <c r="H10" s="20" t="str">
        <f t="shared" si="1"/>
        <v>4026</v>
      </c>
    </row>
    <row r="11" spans="1:8" x14ac:dyDescent="0.25">
      <c r="A11" s="8">
        <v>42992.140706018516</v>
      </c>
      <c r="B11" s="20" t="s">
        <v>523</v>
      </c>
      <c r="C11" s="20" t="s">
        <v>618</v>
      </c>
      <c r="D11" s="138">
        <v>1090000</v>
      </c>
      <c r="E11" s="20" t="s">
        <v>442</v>
      </c>
      <c r="F11" s="20" t="s">
        <v>191</v>
      </c>
      <c r="G11" s="8" t="str">
        <f t="shared" si="0"/>
        <v>SPECTOR MICHAEL</v>
      </c>
      <c r="H11" s="20" t="str">
        <f t="shared" si="1"/>
        <v>4003</v>
      </c>
    </row>
    <row r="12" spans="1:8" x14ac:dyDescent="0.25">
      <c r="A12" s="8">
        <v>42992.141701388886</v>
      </c>
      <c r="B12" s="20" t="s">
        <v>598</v>
      </c>
      <c r="C12" s="20" t="s">
        <v>619</v>
      </c>
      <c r="D12" s="138">
        <v>2010000</v>
      </c>
      <c r="E12" s="20" t="s">
        <v>620</v>
      </c>
      <c r="F12" s="20" t="s">
        <v>621</v>
      </c>
      <c r="G12" s="8" t="str">
        <f t="shared" si="0"/>
        <v>MAELZER KURT</v>
      </c>
      <c r="H12" s="20" t="str">
        <f t="shared" si="1"/>
        <v>4057</v>
      </c>
    </row>
    <row r="13" spans="1:8" x14ac:dyDescent="0.25">
      <c r="A13" s="8">
        <v>42992.151724537034</v>
      </c>
      <c r="B13" s="20" t="s">
        <v>447</v>
      </c>
      <c r="C13" s="20" t="s">
        <v>622</v>
      </c>
      <c r="D13" s="138">
        <v>2010000</v>
      </c>
      <c r="E13" s="20" t="s">
        <v>620</v>
      </c>
      <c r="F13" s="20" t="s">
        <v>621</v>
      </c>
      <c r="G13" s="8" t="str">
        <f t="shared" si="0"/>
        <v>MAELZER KURT</v>
      </c>
      <c r="H13" s="20" t="str">
        <f t="shared" si="1"/>
        <v>4058</v>
      </c>
    </row>
    <row r="14" spans="1:8" x14ac:dyDescent="0.25">
      <c r="A14" s="8">
        <v>42992.155115740738</v>
      </c>
      <c r="B14" s="20" t="s">
        <v>427</v>
      </c>
      <c r="C14" s="20" t="s">
        <v>623</v>
      </c>
      <c r="D14" s="138">
        <v>3260000</v>
      </c>
      <c r="E14" s="20" t="s">
        <v>505</v>
      </c>
      <c r="F14" s="20" t="s">
        <v>506</v>
      </c>
      <c r="G14" s="8" t="str">
        <f t="shared" si="0"/>
        <v>PAGE MARCUS</v>
      </c>
      <c r="H14" s="20" t="str">
        <f t="shared" si="1"/>
        <v>4029</v>
      </c>
    </row>
    <row r="15" spans="1:8" x14ac:dyDescent="0.25">
      <c r="A15" s="8">
        <v>42992.167719907404</v>
      </c>
      <c r="B15" s="20" t="s">
        <v>499</v>
      </c>
      <c r="C15" s="20" t="s">
        <v>624</v>
      </c>
      <c r="D15" s="138">
        <v>900000</v>
      </c>
      <c r="E15" s="20" t="s">
        <v>525</v>
      </c>
      <c r="F15" s="20" t="s">
        <v>526</v>
      </c>
      <c r="G15" s="8" t="str">
        <f t="shared" si="0"/>
        <v>ROCHA YAOTL</v>
      </c>
      <c r="H15" s="20" t="str">
        <f t="shared" si="1"/>
        <v>4025</v>
      </c>
    </row>
    <row r="16" spans="1:8" x14ac:dyDescent="0.25">
      <c r="A16" s="8">
        <v>42992.169016203705</v>
      </c>
      <c r="B16" s="20" t="s">
        <v>376</v>
      </c>
      <c r="C16" s="20" t="s">
        <v>625</v>
      </c>
      <c r="D16" s="138">
        <v>3260000</v>
      </c>
      <c r="E16" s="20" t="s">
        <v>505</v>
      </c>
      <c r="F16" s="20" t="s">
        <v>506</v>
      </c>
      <c r="G16" s="8" t="str">
        <f t="shared" si="0"/>
        <v>PAGE MARCUS</v>
      </c>
      <c r="H16" s="20" t="str">
        <f t="shared" si="1"/>
        <v>4030</v>
      </c>
    </row>
    <row r="17" spans="1:8" x14ac:dyDescent="0.25">
      <c r="A17" s="8">
        <v>42992.171388888892</v>
      </c>
      <c r="B17" s="20" t="s">
        <v>403</v>
      </c>
      <c r="C17" s="20" t="s">
        <v>626</v>
      </c>
      <c r="D17" s="138">
        <v>1100000</v>
      </c>
      <c r="E17" s="20" t="s">
        <v>503</v>
      </c>
      <c r="F17" s="20" t="s">
        <v>504</v>
      </c>
      <c r="G17" s="8" t="str">
        <f t="shared" si="0"/>
        <v>GEBRETEKLE DAGNEW</v>
      </c>
      <c r="H17" s="20" t="str">
        <f t="shared" si="1"/>
        <v>4059</v>
      </c>
    </row>
    <row r="18" spans="1:8" x14ac:dyDescent="0.25">
      <c r="A18" s="8">
        <v>42992.178587962961</v>
      </c>
      <c r="B18" s="20" t="s">
        <v>392</v>
      </c>
      <c r="C18" s="20" t="s">
        <v>627</v>
      </c>
      <c r="D18" s="138">
        <v>3040000</v>
      </c>
      <c r="E18" s="20" t="s">
        <v>628</v>
      </c>
      <c r="F18" s="20" t="s">
        <v>629</v>
      </c>
      <c r="G18" s="8" t="str">
        <f t="shared" si="0"/>
        <v>WILLIAMS DONTE</v>
      </c>
      <c r="H18" s="20" t="str">
        <f t="shared" si="1"/>
        <v>4061</v>
      </c>
    </row>
    <row r="19" spans="1:8" x14ac:dyDescent="0.25">
      <c r="A19" s="8">
        <v>42992.18445601852</v>
      </c>
      <c r="B19" s="20" t="s">
        <v>407</v>
      </c>
      <c r="C19" s="20" t="s">
        <v>630</v>
      </c>
      <c r="D19" s="138">
        <v>1100000</v>
      </c>
      <c r="E19" s="20" t="s">
        <v>503</v>
      </c>
      <c r="F19" s="20" t="s">
        <v>504</v>
      </c>
      <c r="G19" s="8" t="str">
        <f t="shared" si="0"/>
        <v>GEBRETEKLE DAGNEW</v>
      </c>
      <c r="H19" s="20" t="str">
        <f t="shared" si="1"/>
        <v>4060</v>
      </c>
    </row>
    <row r="20" spans="1:8" x14ac:dyDescent="0.25">
      <c r="A20" s="8">
        <v>42992.194386574076</v>
      </c>
      <c r="B20" s="20" t="s">
        <v>598</v>
      </c>
      <c r="C20" s="20" t="s">
        <v>631</v>
      </c>
      <c r="D20" s="138">
        <v>2010000</v>
      </c>
      <c r="E20" s="20" t="s">
        <v>620</v>
      </c>
      <c r="F20" s="20" t="s">
        <v>621</v>
      </c>
      <c r="G20" s="8" t="str">
        <f t="shared" si="0"/>
        <v>MAELZER KURT</v>
      </c>
      <c r="H20" s="20" t="str">
        <f t="shared" si="1"/>
        <v>4057</v>
      </c>
    </row>
    <row r="21" spans="1:8" x14ac:dyDescent="0.25">
      <c r="A21" s="8">
        <v>42992.195914351854</v>
      </c>
      <c r="B21" s="20" t="s">
        <v>408</v>
      </c>
      <c r="C21" s="20" t="s">
        <v>632</v>
      </c>
      <c r="D21" s="138">
        <v>3040000</v>
      </c>
      <c r="E21" s="20" t="s">
        <v>628</v>
      </c>
      <c r="F21" s="20" t="s">
        <v>629</v>
      </c>
      <c r="G21" s="8" t="str">
        <f t="shared" si="0"/>
        <v>WILLIAMS DONTE</v>
      </c>
      <c r="H21" s="20" t="str">
        <f t="shared" si="1"/>
        <v>4062</v>
      </c>
    </row>
    <row r="22" spans="1:8" x14ac:dyDescent="0.25">
      <c r="A22" s="26">
        <v>42992.197384259256</v>
      </c>
      <c r="B22" s="20" t="s">
        <v>573</v>
      </c>
      <c r="C22" s="20" t="s">
        <v>574</v>
      </c>
      <c r="D22" s="138">
        <v>1990000</v>
      </c>
      <c r="E22" s="20" t="s">
        <v>345</v>
      </c>
      <c r="F22" s="20" t="s">
        <v>502</v>
      </c>
      <c r="G22" s="8" t="str">
        <f t="shared" si="0"/>
        <v>DAVIS WENDY</v>
      </c>
      <c r="H22" s="20" t="str">
        <f t="shared" si="1"/>
        <v>4014</v>
      </c>
    </row>
    <row r="23" spans="1:8" x14ac:dyDescent="0.25">
      <c r="A23" s="8">
        <v>42992.198506944442</v>
      </c>
      <c r="B23" s="20" t="s">
        <v>592</v>
      </c>
      <c r="C23" s="20" t="s">
        <v>633</v>
      </c>
      <c r="D23" s="138">
        <v>1230000</v>
      </c>
      <c r="E23" s="20" t="s">
        <v>445</v>
      </c>
      <c r="F23" s="20" t="s">
        <v>446</v>
      </c>
      <c r="G23" s="8" t="str">
        <f t="shared" si="0"/>
        <v>YANAI IAN</v>
      </c>
      <c r="H23" s="20" t="str">
        <f t="shared" si="1"/>
        <v>4001</v>
      </c>
    </row>
    <row r="24" spans="1:8" x14ac:dyDescent="0.25">
      <c r="A24" s="8">
        <v>42992.20648148148</v>
      </c>
      <c r="B24" s="20" t="s">
        <v>428</v>
      </c>
      <c r="C24" s="20" t="s">
        <v>634</v>
      </c>
      <c r="D24" s="138">
        <v>900000</v>
      </c>
      <c r="E24" s="20" t="s">
        <v>525</v>
      </c>
      <c r="F24" s="20" t="s">
        <v>526</v>
      </c>
      <c r="G24" s="8" t="str">
        <f t="shared" si="0"/>
        <v>ROCHA YAOTL</v>
      </c>
      <c r="H24" s="20" t="str">
        <f t="shared" si="1"/>
        <v>4026</v>
      </c>
    </row>
    <row r="25" spans="1:8" x14ac:dyDescent="0.25">
      <c r="A25" s="8">
        <v>42992.209143518521</v>
      </c>
      <c r="B25" s="20" t="s">
        <v>426</v>
      </c>
      <c r="C25" s="20" t="s">
        <v>635</v>
      </c>
      <c r="D25" s="138">
        <v>1230000</v>
      </c>
      <c r="E25" s="20" t="s">
        <v>445</v>
      </c>
      <c r="F25" s="20" t="s">
        <v>446</v>
      </c>
      <c r="G25" s="8" t="str">
        <f t="shared" si="0"/>
        <v>YANAI IAN</v>
      </c>
      <c r="H25" s="20" t="str">
        <f t="shared" si="1"/>
        <v>4002</v>
      </c>
    </row>
    <row r="26" spans="1:8" x14ac:dyDescent="0.25">
      <c r="A26" s="8">
        <v>42992.2109837963</v>
      </c>
      <c r="B26" s="20" t="s">
        <v>427</v>
      </c>
      <c r="C26" s="20" t="s">
        <v>577</v>
      </c>
      <c r="D26" s="138">
        <v>3260000</v>
      </c>
      <c r="E26" s="20" t="s">
        <v>505</v>
      </c>
      <c r="F26" s="20" t="s">
        <v>506</v>
      </c>
      <c r="G26" s="8" t="str">
        <f t="shared" si="0"/>
        <v>PAGE MARCUS</v>
      </c>
      <c r="H26" s="20" t="str">
        <f t="shared" si="1"/>
        <v>4029</v>
      </c>
    </row>
    <row r="27" spans="1:8" x14ac:dyDescent="0.25">
      <c r="A27" s="8">
        <v>42992.211736111109</v>
      </c>
      <c r="B27" s="20" t="s">
        <v>575</v>
      </c>
      <c r="C27" s="20" t="s">
        <v>576</v>
      </c>
      <c r="D27" s="138">
        <v>1990000</v>
      </c>
      <c r="E27" s="20" t="s">
        <v>345</v>
      </c>
      <c r="F27" s="20" t="s">
        <v>502</v>
      </c>
      <c r="G27" s="8" t="str">
        <f t="shared" si="0"/>
        <v>DAVIS WENDY</v>
      </c>
      <c r="H27" s="20" t="str">
        <f t="shared" si="1"/>
        <v>4013</v>
      </c>
    </row>
    <row r="28" spans="1:8" x14ac:dyDescent="0.25">
      <c r="A28" s="8">
        <v>42992.213472222225</v>
      </c>
      <c r="B28" s="20" t="s">
        <v>403</v>
      </c>
      <c r="C28" s="20" t="s">
        <v>636</v>
      </c>
      <c r="D28" s="138">
        <v>1100000</v>
      </c>
      <c r="E28" s="20" t="s">
        <v>503</v>
      </c>
      <c r="F28" s="20" t="s">
        <v>504</v>
      </c>
      <c r="G28" s="8" t="str">
        <f t="shared" si="0"/>
        <v>GEBRETEKLE DAGNEW</v>
      </c>
      <c r="H28" s="20" t="str">
        <f t="shared" si="1"/>
        <v>4059</v>
      </c>
    </row>
    <row r="29" spans="1:8" x14ac:dyDescent="0.25">
      <c r="A29" s="8">
        <v>42992.220081018517</v>
      </c>
      <c r="B29" s="20" t="s">
        <v>402</v>
      </c>
      <c r="C29" s="20" t="s">
        <v>637</v>
      </c>
      <c r="D29" s="138">
        <v>2730000</v>
      </c>
      <c r="E29" s="20" t="s">
        <v>443</v>
      </c>
      <c r="F29" s="20" t="s">
        <v>444</v>
      </c>
      <c r="G29" s="8" t="str">
        <f t="shared" si="0"/>
        <v>YANG JAN</v>
      </c>
      <c r="H29" s="20" t="str">
        <f t="shared" si="1"/>
        <v>4031</v>
      </c>
    </row>
    <row r="30" spans="1:8" x14ac:dyDescent="0.25">
      <c r="A30" s="8">
        <v>42992.226678240739</v>
      </c>
      <c r="B30" s="20" t="s">
        <v>447</v>
      </c>
      <c r="C30" s="20" t="s">
        <v>638</v>
      </c>
      <c r="D30" s="138">
        <v>2010000</v>
      </c>
      <c r="E30" s="20" t="s">
        <v>620</v>
      </c>
      <c r="F30" s="20" t="s">
        <v>621</v>
      </c>
      <c r="G30" s="8" t="str">
        <f t="shared" si="0"/>
        <v>MAELZER KURT</v>
      </c>
      <c r="H30" s="20" t="str">
        <f t="shared" si="1"/>
        <v>4058</v>
      </c>
    </row>
    <row r="31" spans="1:8" x14ac:dyDescent="0.25">
      <c r="A31" s="8">
        <v>42992.227835648147</v>
      </c>
      <c r="B31" s="20" t="s">
        <v>573</v>
      </c>
      <c r="C31" s="20" t="s">
        <v>639</v>
      </c>
      <c r="D31" s="138">
        <v>1990000</v>
      </c>
      <c r="E31" s="20" t="s">
        <v>345</v>
      </c>
      <c r="F31" s="20" t="s">
        <v>502</v>
      </c>
      <c r="G31" s="8" t="str">
        <f t="shared" si="0"/>
        <v>DAVIS WENDY</v>
      </c>
      <c r="H31" s="20" t="str">
        <f t="shared" si="1"/>
        <v>4014</v>
      </c>
    </row>
    <row r="32" spans="1:8" x14ac:dyDescent="0.25">
      <c r="A32" s="8">
        <v>42992.233055555553</v>
      </c>
      <c r="B32" s="20" t="s">
        <v>392</v>
      </c>
      <c r="C32" s="20" t="s">
        <v>640</v>
      </c>
      <c r="D32" s="138">
        <v>3040000</v>
      </c>
      <c r="E32" s="20" t="s">
        <v>628</v>
      </c>
      <c r="F32" s="20" t="s">
        <v>629</v>
      </c>
      <c r="G32" s="8" t="str">
        <f t="shared" si="0"/>
        <v>WILLIAMS DONTE</v>
      </c>
      <c r="H32" s="20" t="str">
        <f t="shared" si="1"/>
        <v>4061</v>
      </c>
    </row>
    <row r="33" spans="1:8" x14ac:dyDescent="0.25">
      <c r="A33" s="8">
        <v>42992.235405092593</v>
      </c>
      <c r="B33" s="20" t="s">
        <v>604</v>
      </c>
      <c r="C33" s="20" t="s">
        <v>641</v>
      </c>
      <c r="D33" s="138">
        <v>3000000</v>
      </c>
      <c r="E33" s="20" t="s">
        <v>462</v>
      </c>
      <c r="F33" s="20" t="s">
        <v>463</v>
      </c>
      <c r="G33" s="8" t="str">
        <f t="shared" si="0"/>
        <v>FORTUNATO FRANK</v>
      </c>
      <c r="H33" s="20" t="str">
        <f t="shared" si="1"/>
        <v>4033</v>
      </c>
    </row>
    <row r="34" spans="1:8" x14ac:dyDescent="0.25">
      <c r="A34" s="8">
        <v>42992.237395833334</v>
      </c>
      <c r="B34" s="20" t="s">
        <v>386</v>
      </c>
      <c r="C34" s="20" t="s">
        <v>642</v>
      </c>
      <c r="D34" s="138">
        <v>2730000</v>
      </c>
      <c r="E34" s="20" t="s">
        <v>443</v>
      </c>
      <c r="F34" s="20" t="s">
        <v>444</v>
      </c>
      <c r="G34" s="8" t="str">
        <f t="shared" si="0"/>
        <v>YANG JAN</v>
      </c>
      <c r="H34" s="20" t="str">
        <f t="shared" si="1"/>
        <v>4032</v>
      </c>
    </row>
    <row r="35" spans="1:8" x14ac:dyDescent="0.25">
      <c r="A35" s="8">
        <v>42992.243483796294</v>
      </c>
      <c r="B35" s="20" t="s">
        <v>499</v>
      </c>
      <c r="C35" s="20" t="s">
        <v>643</v>
      </c>
      <c r="D35" s="138">
        <v>900000</v>
      </c>
      <c r="E35" s="20" t="s">
        <v>525</v>
      </c>
      <c r="F35" s="20" t="s">
        <v>526</v>
      </c>
      <c r="G35" s="8" t="str">
        <f t="shared" si="0"/>
        <v>ROCHA YAOTL</v>
      </c>
      <c r="H35" s="20" t="str">
        <f t="shared" si="1"/>
        <v>4025</v>
      </c>
    </row>
    <row r="36" spans="1:8" x14ac:dyDescent="0.25">
      <c r="A36" s="8">
        <v>42992.245474537034</v>
      </c>
      <c r="B36" s="20" t="s">
        <v>592</v>
      </c>
      <c r="C36" s="20" t="s">
        <v>644</v>
      </c>
      <c r="D36" s="138">
        <v>1230000</v>
      </c>
      <c r="E36" s="20" t="s">
        <v>445</v>
      </c>
      <c r="F36" s="20" t="s">
        <v>446</v>
      </c>
      <c r="G36" s="8" t="str">
        <f t="shared" si="0"/>
        <v>YANAI IAN</v>
      </c>
      <c r="H36" s="20" t="str">
        <f t="shared" si="1"/>
        <v>4001</v>
      </c>
    </row>
    <row r="37" spans="1:8" x14ac:dyDescent="0.25">
      <c r="A37" s="8">
        <v>42992.246435185189</v>
      </c>
      <c r="B37" s="20" t="s">
        <v>376</v>
      </c>
      <c r="C37" s="20" t="s">
        <v>645</v>
      </c>
      <c r="D37" s="138">
        <v>3260000</v>
      </c>
      <c r="E37" s="20" t="s">
        <v>505</v>
      </c>
      <c r="F37" s="20" t="s">
        <v>506</v>
      </c>
      <c r="G37" s="8" t="str">
        <f t="shared" si="0"/>
        <v>PAGE MARCUS</v>
      </c>
      <c r="H37" s="20" t="str">
        <f t="shared" si="1"/>
        <v>4030</v>
      </c>
    </row>
    <row r="38" spans="1:8" x14ac:dyDescent="0.25">
      <c r="A38" s="8">
        <v>42992.247696759259</v>
      </c>
      <c r="B38" s="20" t="s">
        <v>575</v>
      </c>
      <c r="C38" s="20" t="s">
        <v>578</v>
      </c>
      <c r="D38" s="138">
        <v>1990000</v>
      </c>
      <c r="E38" s="20" t="s">
        <v>345</v>
      </c>
      <c r="F38" s="20" t="s">
        <v>502</v>
      </c>
      <c r="G38" s="8" t="str">
        <f t="shared" si="0"/>
        <v>DAVIS WENDY</v>
      </c>
      <c r="H38" s="20" t="str">
        <f t="shared" si="1"/>
        <v>4013</v>
      </c>
    </row>
    <row r="39" spans="1:8" x14ac:dyDescent="0.25">
      <c r="A39" s="8">
        <v>42992.248298611114</v>
      </c>
      <c r="B39" s="20" t="s">
        <v>580</v>
      </c>
      <c r="C39" s="20" t="s">
        <v>646</v>
      </c>
      <c r="D39" s="138">
        <v>3000000</v>
      </c>
      <c r="E39" s="20" t="s">
        <v>462</v>
      </c>
      <c r="F39" s="20" t="s">
        <v>463</v>
      </c>
      <c r="G39" s="8" t="str">
        <f t="shared" si="0"/>
        <v>FORTUNATO FRANK</v>
      </c>
      <c r="H39" s="20" t="str">
        <f t="shared" si="1"/>
        <v>4034</v>
      </c>
    </row>
    <row r="40" spans="1:8" x14ac:dyDescent="0.25">
      <c r="A40" s="8">
        <v>42992.25582175926</v>
      </c>
      <c r="B40" s="25" t="s">
        <v>407</v>
      </c>
      <c r="C40" s="20" t="s">
        <v>647</v>
      </c>
      <c r="D40" s="138">
        <v>1100000</v>
      </c>
      <c r="E40" s="20" t="s">
        <v>503</v>
      </c>
      <c r="F40" s="20" t="s">
        <v>504</v>
      </c>
      <c r="G40" s="8" t="str">
        <f t="shared" si="0"/>
        <v>GEBRETEKLE DAGNEW</v>
      </c>
      <c r="H40" s="20" t="str">
        <f t="shared" si="1"/>
        <v>4060</v>
      </c>
    </row>
    <row r="41" spans="1:8" x14ac:dyDescent="0.25">
      <c r="A41" s="8">
        <v>42992.263240740744</v>
      </c>
      <c r="B41" s="20" t="s">
        <v>598</v>
      </c>
      <c r="C41" s="20" t="s">
        <v>648</v>
      </c>
      <c r="D41" s="138">
        <v>2010000</v>
      </c>
      <c r="E41" s="20" t="s">
        <v>620</v>
      </c>
      <c r="F41" s="20" t="s">
        <v>621</v>
      </c>
      <c r="G41" s="8" t="str">
        <f t="shared" si="0"/>
        <v>MAELZER KURT</v>
      </c>
      <c r="H41" s="20" t="str">
        <f t="shared" si="1"/>
        <v>4057</v>
      </c>
    </row>
    <row r="42" spans="1:8" x14ac:dyDescent="0.25">
      <c r="A42" s="8">
        <v>42992.267488425925</v>
      </c>
      <c r="B42" s="20" t="s">
        <v>408</v>
      </c>
      <c r="C42" s="20" t="s">
        <v>649</v>
      </c>
      <c r="D42" s="138">
        <v>3040000</v>
      </c>
      <c r="E42" s="20" t="s">
        <v>628</v>
      </c>
      <c r="F42" s="20" t="s">
        <v>629</v>
      </c>
      <c r="G42" s="8" t="str">
        <f t="shared" si="0"/>
        <v>WILLIAMS DONTE</v>
      </c>
      <c r="H42" s="20" t="str">
        <f t="shared" si="1"/>
        <v>4062</v>
      </c>
    </row>
    <row r="43" spans="1:8" x14ac:dyDescent="0.25">
      <c r="A43" s="8">
        <v>42992.268784722219</v>
      </c>
      <c r="B43" s="20" t="s">
        <v>604</v>
      </c>
      <c r="C43" s="20" t="s">
        <v>650</v>
      </c>
      <c r="D43" s="138">
        <v>3000000</v>
      </c>
      <c r="E43" s="20" t="s">
        <v>462</v>
      </c>
      <c r="F43" s="20" t="s">
        <v>463</v>
      </c>
      <c r="G43" s="8" t="str">
        <f t="shared" si="0"/>
        <v>FORTUNATO FRANK</v>
      </c>
      <c r="H43" s="20" t="str">
        <f t="shared" si="1"/>
        <v>4033</v>
      </c>
    </row>
    <row r="44" spans="1:8" x14ac:dyDescent="0.25">
      <c r="A44" s="8">
        <v>42992.269444444442</v>
      </c>
      <c r="B44" s="20" t="s">
        <v>573</v>
      </c>
      <c r="C44" s="20" t="s">
        <v>579</v>
      </c>
      <c r="D44" s="138">
        <v>1990000</v>
      </c>
      <c r="E44" s="20" t="s">
        <v>345</v>
      </c>
      <c r="F44" s="20" t="s">
        <v>502</v>
      </c>
      <c r="G44" s="8" t="str">
        <f t="shared" si="0"/>
        <v>DAVIS WENDY</v>
      </c>
      <c r="H44" s="20" t="str">
        <f t="shared" si="1"/>
        <v>4014</v>
      </c>
    </row>
    <row r="45" spans="1:8" x14ac:dyDescent="0.25">
      <c r="A45" s="8">
        <v>42992.276284722226</v>
      </c>
      <c r="B45" s="20" t="s">
        <v>428</v>
      </c>
      <c r="C45" s="20" t="s">
        <v>651</v>
      </c>
      <c r="D45" s="138">
        <v>900000</v>
      </c>
      <c r="E45" s="20" t="s">
        <v>525</v>
      </c>
      <c r="F45" s="20" t="s">
        <v>526</v>
      </c>
      <c r="G45" s="8" t="str">
        <f t="shared" si="0"/>
        <v>ROCHA YAOTL</v>
      </c>
      <c r="H45" s="20" t="str">
        <f t="shared" si="1"/>
        <v>4026</v>
      </c>
    </row>
    <row r="46" spans="1:8" x14ac:dyDescent="0.25">
      <c r="A46" s="8">
        <v>42992.277256944442</v>
      </c>
      <c r="B46" s="20" t="s">
        <v>402</v>
      </c>
      <c r="C46" s="20" t="s">
        <v>652</v>
      </c>
      <c r="D46" s="138">
        <v>2730000</v>
      </c>
      <c r="E46" s="20" t="s">
        <v>443</v>
      </c>
      <c r="F46" s="20" t="s">
        <v>444</v>
      </c>
      <c r="G46" s="8" t="str">
        <f t="shared" si="0"/>
        <v>YANG JAN</v>
      </c>
      <c r="H46" s="20" t="str">
        <f t="shared" si="1"/>
        <v>4031</v>
      </c>
    </row>
    <row r="47" spans="1:8" x14ac:dyDescent="0.25">
      <c r="A47" s="8">
        <v>42992.287083333336</v>
      </c>
      <c r="B47" s="20" t="s">
        <v>427</v>
      </c>
      <c r="C47" s="20" t="s">
        <v>653</v>
      </c>
      <c r="D47" s="138">
        <v>3260000</v>
      </c>
      <c r="E47" s="20" t="s">
        <v>505</v>
      </c>
      <c r="F47" s="20" t="s">
        <v>506</v>
      </c>
      <c r="G47" s="8" t="str">
        <f t="shared" si="0"/>
        <v>PAGE MARCUS</v>
      </c>
      <c r="H47" s="20" t="str">
        <f t="shared" si="1"/>
        <v>4029</v>
      </c>
    </row>
    <row r="48" spans="1:8" x14ac:dyDescent="0.25">
      <c r="A48" s="8">
        <v>42992.287372685183</v>
      </c>
      <c r="B48" s="20" t="s">
        <v>403</v>
      </c>
      <c r="C48" s="20" t="s">
        <v>654</v>
      </c>
      <c r="D48" s="138">
        <v>1100000</v>
      </c>
      <c r="E48" s="20" t="s">
        <v>503</v>
      </c>
      <c r="F48" s="20" t="s">
        <v>504</v>
      </c>
      <c r="G48" s="8" t="str">
        <f t="shared" si="0"/>
        <v>GEBRETEKLE DAGNEW</v>
      </c>
      <c r="H48" s="20" t="str">
        <f t="shared" si="1"/>
        <v>4059</v>
      </c>
    </row>
    <row r="49" spans="1:8" x14ac:dyDescent="0.25">
      <c r="A49" s="8">
        <v>42992.287743055553</v>
      </c>
      <c r="B49" s="20" t="s">
        <v>426</v>
      </c>
      <c r="C49" s="20" t="s">
        <v>655</v>
      </c>
      <c r="D49" s="138">
        <v>3290000</v>
      </c>
      <c r="E49" s="20" t="s">
        <v>656</v>
      </c>
      <c r="F49" s="20" t="s">
        <v>657</v>
      </c>
      <c r="G49" s="8" t="str">
        <f t="shared" si="0"/>
        <v>CASSIDY BRANDON</v>
      </c>
      <c r="H49" s="20" t="str">
        <f t="shared" si="1"/>
        <v>4002</v>
      </c>
    </row>
    <row r="50" spans="1:8" x14ac:dyDescent="0.25">
      <c r="A50" s="8">
        <v>42992.289722222224</v>
      </c>
      <c r="B50" s="20" t="s">
        <v>575</v>
      </c>
      <c r="C50" s="20" t="s">
        <v>582</v>
      </c>
      <c r="D50" s="138">
        <v>1990000</v>
      </c>
      <c r="E50" s="20" t="s">
        <v>345</v>
      </c>
      <c r="F50" s="20" t="s">
        <v>502</v>
      </c>
      <c r="G50" s="8" t="str">
        <f t="shared" si="0"/>
        <v>DAVIS WENDY</v>
      </c>
      <c r="H50" s="20" t="str">
        <f t="shared" si="1"/>
        <v>4013</v>
      </c>
    </row>
    <row r="51" spans="1:8" x14ac:dyDescent="0.25">
      <c r="A51" s="8">
        <v>42992.292581018519</v>
      </c>
      <c r="B51" s="20" t="s">
        <v>580</v>
      </c>
      <c r="C51" s="20" t="s">
        <v>581</v>
      </c>
      <c r="D51" s="138">
        <v>3000000</v>
      </c>
      <c r="E51" s="20" t="s">
        <v>462</v>
      </c>
      <c r="F51" s="20" t="s">
        <v>463</v>
      </c>
      <c r="G51" s="8" t="str">
        <f t="shared" si="0"/>
        <v>FORTUNATO FRANK</v>
      </c>
      <c r="H51" s="20" t="str">
        <f t="shared" si="1"/>
        <v>4034</v>
      </c>
    </row>
    <row r="52" spans="1:8" x14ac:dyDescent="0.25">
      <c r="A52" s="8">
        <v>42992.297800925924</v>
      </c>
      <c r="B52" s="20" t="s">
        <v>447</v>
      </c>
      <c r="C52" s="20" t="s">
        <v>658</v>
      </c>
      <c r="D52" s="138">
        <v>2010000</v>
      </c>
      <c r="E52" s="20" t="s">
        <v>620</v>
      </c>
      <c r="F52" s="20" t="s">
        <v>621</v>
      </c>
      <c r="G52" s="8" t="str">
        <f t="shared" si="0"/>
        <v>MAELZER KURT</v>
      </c>
      <c r="H52" s="20" t="str">
        <f t="shared" si="1"/>
        <v>4058</v>
      </c>
    </row>
    <row r="53" spans="1:8" x14ac:dyDescent="0.25">
      <c r="A53" s="8">
        <v>42992.297905092593</v>
      </c>
      <c r="B53" s="20" t="s">
        <v>392</v>
      </c>
      <c r="C53" s="20" t="s">
        <v>584</v>
      </c>
      <c r="D53" s="138">
        <v>3040000</v>
      </c>
      <c r="E53" s="20" t="s">
        <v>628</v>
      </c>
      <c r="F53" s="20" t="s">
        <v>629</v>
      </c>
      <c r="G53" s="8" t="str">
        <f t="shared" si="0"/>
        <v>WILLIAMS DONTE</v>
      </c>
      <c r="H53" s="20" t="str">
        <f t="shared" si="1"/>
        <v>4061</v>
      </c>
    </row>
    <row r="54" spans="1:8" x14ac:dyDescent="0.25">
      <c r="A54" s="8">
        <v>42992.309062499997</v>
      </c>
      <c r="B54" s="20" t="s">
        <v>386</v>
      </c>
      <c r="C54" s="20" t="s">
        <v>659</v>
      </c>
      <c r="D54" s="138">
        <v>2730000</v>
      </c>
      <c r="E54" s="20" t="s">
        <v>443</v>
      </c>
      <c r="F54" s="20" t="s">
        <v>444</v>
      </c>
      <c r="G54" s="8" t="str">
        <f t="shared" si="0"/>
        <v>YANG JAN</v>
      </c>
      <c r="H54" s="20" t="str">
        <f t="shared" si="1"/>
        <v>4032</v>
      </c>
    </row>
    <row r="55" spans="1:8" x14ac:dyDescent="0.25">
      <c r="A55" s="8">
        <v>42992.310763888891</v>
      </c>
      <c r="B55" s="20" t="s">
        <v>604</v>
      </c>
      <c r="C55" s="20" t="s">
        <v>660</v>
      </c>
      <c r="D55" s="138">
        <v>3000000</v>
      </c>
      <c r="E55" s="20" t="s">
        <v>462</v>
      </c>
      <c r="F55" s="20" t="s">
        <v>463</v>
      </c>
      <c r="G55" s="8" t="str">
        <f t="shared" si="0"/>
        <v>FORTUNATO FRANK</v>
      </c>
      <c r="H55" s="20" t="str">
        <f t="shared" si="1"/>
        <v>4033</v>
      </c>
    </row>
    <row r="56" spans="1:8" x14ac:dyDescent="0.25">
      <c r="A56" s="8">
        <v>42992.31695601852</v>
      </c>
      <c r="B56" s="20" t="s">
        <v>573</v>
      </c>
      <c r="C56" s="20" t="s">
        <v>583</v>
      </c>
      <c r="D56" s="138">
        <v>1990000</v>
      </c>
      <c r="E56" s="20" t="s">
        <v>345</v>
      </c>
      <c r="F56" s="20" t="s">
        <v>502</v>
      </c>
      <c r="G56" s="8" t="str">
        <f t="shared" si="0"/>
        <v>DAVIS WENDY</v>
      </c>
      <c r="H56" s="20" t="str">
        <f t="shared" si="1"/>
        <v>4014</v>
      </c>
    </row>
    <row r="57" spans="1:8" x14ac:dyDescent="0.25">
      <c r="A57" s="8">
        <v>42992.319212962961</v>
      </c>
      <c r="B57" s="20" t="s">
        <v>376</v>
      </c>
      <c r="C57" s="20" t="s">
        <v>661</v>
      </c>
      <c r="D57" s="138">
        <v>3330000</v>
      </c>
      <c r="E57" s="20" t="s">
        <v>662</v>
      </c>
      <c r="F57" s="20" t="s">
        <v>663</v>
      </c>
      <c r="G57" s="8" t="str">
        <f t="shared" si="0"/>
        <v>GONZALEZ ARMANDO</v>
      </c>
      <c r="H57" s="20" t="str">
        <f t="shared" si="1"/>
        <v>4030</v>
      </c>
    </row>
    <row r="58" spans="1:8" x14ac:dyDescent="0.25">
      <c r="A58" s="8">
        <v>42992.319421296299</v>
      </c>
      <c r="B58" s="20" t="s">
        <v>499</v>
      </c>
      <c r="C58" s="20" t="s">
        <v>664</v>
      </c>
      <c r="D58" s="138">
        <v>900000</v>
      </c>
      <c r="E58" s="20" t="s">
        <v>525</v>
      </c>
      <c r="F58" s="20" t="s">
        <v>526</v>
      </c>
      <c r="G58" s="8" t="str">
        <f t="shared" si="0"/>
        <v>ROCHA YAOTL</v>
      </c>
      <c r="H58" s="20" t="str">
        <f t="shared" si="1"/>
        <v>4025</v>
      </c>
    </row>
    <row r="59" spans="1:8" x14ac:dyDescent="0.25">
      <c r="A59" s="8">
        <v>42992.328576388885</v>
      </c>
      <c r="B59" s="20" t="s">
        <v>407</v>
      </c>
      <c r="C59" s="20" t="s">
        <v>665</v>
      </c>
      <c r="D59" s="138">
        <v>1100000</v>
      </c>
      <c r="E59" s="20" t="s">
        <v>503</v>
      </c>
      <c r="F59" s="20" t="s">
        <v>504</v>
      </c>
      <c r="G59" s="8" t="str">
        <f t="shared" si="0"/>
        <v>GEBRETEKLE DAGNEW</v>
      </c>
      <c r="H59" s="20" t="str">
        <f t="shared" si="1"/>
        <v>4060</v>
      </c>
    </row>
    <row r="60" spans="1:8" x14ac:dyDescent="0.25">
      <c r="A60" s="8">
        <v>42992.329745370371</v>
      </c>
      <c r="B60" s="20" t="s">
        <v>592</v>
      </c>
      <c r="C60" s="20" t="s">
        <v>666</v>
      </c>
      <c r="D60" s="138">
        <v>3290000</v>
      </c>
      <c r="E60" s="20" t="s">
        <v>656</v>
      </c>
      <c r="F60" s="20" t="s">
        <v>657</v>
      </c>
      <c r="G60" s="8" t="str">
        <f t="shared" si="0"/>
        <v>CASSIDY BRANDON</v>
      </c>
      <c r="H60" s="20" t="str">
        <f t="shared" si="1"/>
        <v>4001</v>
      </c>
    </row>
    <row r="61" spans="1:8" x14ac:dyDescent="0.25">
      <c r="A61" s="8">
        <v>42992.333182870374</v>
      </c>
      <c r="B61" s="20" t="s">
        <v>575</v>
      </c>
      <c r="C61" s="20" t="s">
        <v>667</v>
      </c>
      <c r="D61" s="138">
        <v>1990000</v>
      </c>
      <c r="E61" s="20" t="s">
        <v>345</v>
      </c>
      <c r="F61" s="20" t="s">
        <v>502</v>
      </c>
      <c r="G61" s="8" t="str">
        <f t="shared" si="0"/>
        <v>DAVIS WENDY</v>
      </c>
      <c r="H61" s="20" t="str">
        <f t="shared" si="1"/>
        <v>4013</v>
      </c>
    </row>
    <row r="62" spans="1:8" x14ac:dyDescent="0.25">
      <c r="A62" s="8">
        <v>42992.333611111113</v>
      </c>
      <c r="B62" s="20" t="s">
        <v>580</v>
      </c>
      <c r="C62" s="20" t="s">
        <v>668</v>
      </c>
      <c r="D62" s="138">
        <v>3000000</v>
      </c>
      <c r="E62" s="20" t="s">
        <v>462</v>
      </c>
      <c r="F62" s="20" t="s">
        <v>463</v>
      </c>
      <c r="G62" s="8" t="str">
        <f t="shared" si="0"/>
        <v>FORTUNATO FRANK</v>
      </c>
      <c r="H62" s="20" t="str">
        <f t="shared" si="1"/>
        <v>4034</v>
      </c>
    </row>
    <row r="63" spans="1:8" x14ac:dyDescent="0.25">
      <c r="A63" s="8">
        <v>42992.338900462964</v>
      </c>
      <c r="B63" s="20" t="s">
        <v>598</v>
      </c>
      <c r="C63" s="20" t="s">
        <v>669</v>
      </c>
      <c r="D63" s="138">
        <v>2010000</v>
      </c>
      <c r="E63" s="20" t="s">
        <v>620</v>
      </c>
      <c r="F63" s="20" t="s">
        <v>621</v>
      </c>
      <c r="G63" s="8" t="str">
        <f t="shared" si="0"/>
        <v>MAELZER KURT</v>
      </c>
      <c r="H63" s="20" t="str">
        <f t="shared" si="1"/>
        <v>4057</v>
      </c>
    </row>
    <row r="64" spans="1:8" x14ac:dyDescent="0.25">
      <c r="A64" s="26">
        <v>42992.342615740738</v>
      </c>
      <c r="B64" s="20" t="s">
        <v>408</v>
      </c>
      <c r="C64" s="20" t="s">
        <v>670</v>
      </c>
      <c r="D64" s="138">
        <v>3040000</v>
      </c>
      <c r="E64" s="20" t="s">
        <v>628</v>
      </c>
      <c r="F64" s="20" t="s">
        <v>629</v>
      </c>
      <c r="G64" s="8" t="str">
        <f t="shared" si="0"/>
        <v>WILLIAMS DONTE</v>
      </c>
      <c r="H64" s="20" t="str">
        <f t="shared" si="1"/>
        <v>4062</v>
      </c>
    </row>
    <row r="65" spans="1:8" x14ac:dyDescent="0.25">
      <c r="A65" s="8">
        <v>42992.348379629628</v>
      </c>
      <c r="B65" s="20" t="s">
        <v>402</v>
      </c>
      <c r="C65" s="20" t="s">
        <v>671</v>
      </c>
      <c r="D65" s="138">
        <v>2730000</v>
      </c>
      <c r="E65" s="20" t="s">
        <v>443</v>
      </c>
      <c r="F65" s="20" t="s">
        <v>444</v>
      </c>
      <c r="G65" s="8" t="str">
        <f t="shared" si="0"/>
        <v>YANG JAN</v>
      </c>
      <c r="H65" s="20" t="str">
        <f t="shared" si="1"/>
        <v>4031</v>
      </c>
    </row>
    <row r="66" spans="1:8" x14ac:dyDescent="0.25">
      <c r="A66" s="8">
        <v>42992.348576388889</v>
      </c>
      <c r="B66" s="20" t="s">
        <v>428</v>
      </c>
      <c r="C66" s="20" t="s">
        <v>672</v>
      </c>
      <c r="D66" s="138">
        <v>900000</v>
      </c>
      <c r="E66" s="20" t="s">
        <v>525</v>
      </c>
      <c r="F66" s="20" t="s">
        <v>526</v>
      </c>
      <c r="G66" s="8" t="str">
        <f t="shared" si="0"/>
        <v>ROCHA YAOTL</v>
      </c>
      <c r="H66" s="20" t="str">
        <f t="shared" si="1"/>
        <v>4026</v>
      </c>
    </row>
    <row r="67" spans="1:8" x14ac:dyDescent="0.25">
      <c r="A67" s="8">
        <v>42992.351689814815</v>
      </c>
      <c r="B67" s="20" t="s">
        <v>427</v>
      </c>
      <c r="C67" s="20" t="s">
        <v>673</v>
      </c>
      <c r="D67" s="138">
        <v>3330000</v>
      </c>
      <c r="E67" s="20" t="s">
        <v>662</v>
      </c>
      <c r="F67" s="20" t="s">
        <v>663</v>
      </c>
      <c r="G67" s="8" t="str">
        <f t="shared" ref="G67:G130" si="2">E67&amp;" "&amp;F67</f>
        <v>GONZALEZ ARMANDO</v>
      </c>
      <c r="H67" s="20" t="str">
        <f t="shared" ref="H67:H130" si="3">MID(B67,13,4)</f>
        <v>4029</v>
      </c>
    </row>
    <row r="68" spans="1:8" x14ac:dyDescent="0.25">
      <c r="A68" s="8">
        <v>42992.35255787037</v>
      </c>
      <c r="B68" s="20" t="s">
        <v>604</v>
      </c>
      <c r="C68" s="20" t="s">
        <v>674</v>
      </c>
      <c r="D68" s="138">
        <v>3000000</v>
      </c>
      <c r="E68" s="20" t="s">
        <v>462</v>
      </c>
      <c r="F68" s="20" t="s">
        <v>463</v>
      </c>
      <c r="G68" s="8" t="str">
        <f t="shared" si="2"/>
        <v>FORTUNATO FRANK</v>
      </c>
      <c r="H68" s="20" t="str">
        <f t="shared" si="3"/>
        <v>4033</v>
      </c>
    </row>
    <row r="69" spans="1:8" x14ac:dyDescent="0.25">
      <c r="A69" s="8">
        <v>42992.352824074071</v>
      </c>
      <c r="B69" s="20" t="s">
        <v>573</v>
      </c>
      <c r="C69" s="20" t="s">
        <v>675</v>
      </c>
      <c r="D69" s="138">
        <v>1990000</v>
      </c>
      <c r="E69" s="20" t="s">
        <v>345</v>
      </c>
      <c r="F69" s="20" t="s">
        <v>502</v>
      </c>
      <c r="G69" s="8" t="str">
        <f t="shared" si="2"/>
        <v>DAVIS WENDY</v>
      </c>
      <c r="H69" s="20" t="str">
        <f t="shared" si="3"/>
        <v>4014</v>
      </c>
    </row>
    <row r="70" spans="1:8" x14ac:dyDescent="0.25">
      <c r="A70" s="8">
        <v>42992.358773148146</v>
      </c>
      <c r="B70" s="20" t="s">
        <v>403</v>
      </c>
      <c r="C70" s="20" t="s">
        <v>676</v>
      </c>
      <c r="D70" s="138">
        <v>1100000</v>
      </c>
      <c r="E70" s="20" t="s">
        <v>503</v>
      </c>
      <c r="F70" s="20" t="s">
        <v>504</v>
      </c>
      <c r="G70" s="8" t="str">
        <f t="shared" si="2"/>
        <v>GEBRETEKLE DAGNEW</v>
      </c>
      <c r="H70" s="20" t="str">
        <f t="shared" si="3"/>
        <v>4059</v>
      </c>
    </row>
    <row r="71" spans="1:8" x14ac:dyDescent="0.25">
      <c r="A71" s="8">
        <v>42992.361516203702</v>
      </c>
      <c r="B71" s="20" t="s">
        <v>426</v>
      </c>
      <c r="C71" s="20" t="s">
        <v>585</v>
      </c>
      <c r="D71" s="138">
        <v>1230000</v>
      </c>
      <c r="E71" s="20" t="s">
        <v>445</v>
      </c>
      <c r="F71" s="20" t="s">
        <v>446</v>
      </c>
      <c r="G71" s="8" t="str">
        <f t="shared" si="2"/>
        <v>YANAI IAN</v>
      </c>
      <c r="H71" s="20" t="str">
        <f t="shared" si="3"/>
        <v>4002</v>
      </c>
    </row>
    <row r="72" spans="1:8" x14ac:dyDescent="0.25">
      <c r="A72" s="8">
        <v>42992.370717592596</v>
      </c>
      <c r="B72" s="20" t="s">
        <v>447</v>
      </c>
      <c r="C72" s="20" t="s">
        <v>677</v>
      </c>
      <c r="D72" s="138">
        <v>2010000</v>
      </c>
      <c r="E72" s="20" t="s">
        <v>620</v>
      </c>
      <c r="F72" s="20" t="s">
        <v>621</v>
      </c>
      <c r="G72" s="8" t="str">
        <f t="shared" si="2"/>
        <v>MAELZER KURT</v>
      </c>
      <c r="H72" s="20" t="str">
        <f t="shared" si="3"/>
        <v>4058</v>
      </c>
    </row>
    <row r="73" spans="1:8" x14ac:dyDescent="0.25">
      <c r="A73" s="8">
        <v>42992.375324074077</v>
      </c>
      <c r="B73" s="20" t="s">
        <v>426</v>
      </c>
      <c r="C73" s="20" t="s">
        <v>585</v>
      </c>
      <c r="D73" s="138">
        <v>1230000</v>
      </c>
      <c r="E73" s="20" t="s">
        <v>445</v>
      </c>
      <c r="F73" s="20" t="s">
        <v>446</v>
      </c>
      <c r="G73" s="8" t="str">
        <f t="shared" si="2"/>
        <v>YANAI IAN</v>
      </c>
      <c r="H73" s="20" t="str">
        <f t="shared" si="3"/>
        <v>4002</v>
      </c>
    </row>
    <row r="74" spans="1:8" x14ac:dyDescent="0.25">
      <c r="A74" s="8">
        <v>42992.378229166665</v>
      </c>
      <c r="B74" s="20" t="s">
        <v>580</v>
      </c>
      <c r="C74" s="20" t="s">
        <v>678</v>
      </c>
      <c r="D74" s="138">
        <v>3000000</v>
      </c>
      <c r="E74" s="20" t="s">
        <v>462</v>
      </c>
      <c r="F74" s="20" t="s">
        <v>463</v>
      </c>
      <c r="G74" s="8" t="str">
        <f t="shared" si="2"/>
        <v>FORTUNATO FRANK</v>
      </c>
      <c r="H74" s="20" t="str">
        <f t="shared" si="3"/>
        <v>4034</v>
      </c>
    </row>
    <row r="75" spans="1:8" x14ac:dyDescent="0.25">
      <c r="A75" s="8">
        <v>42992.378912037035</v>
      </c>
      <c r="B75" s="20" t="s">
        <v>392</v>
      </c>
      <c r="C75" s="20" t="s">
        <v>679</v>
      </c>
      <c r="D75" s="138">
        <v>3040000</v>
      </c>
      <c r="E75" s="20" t="s">
        <v>628</v>
      </c>
      <c r="F75" s="20" t="s">
        <v>629</v>
      </c>
      <c r="G75" s="8" t="str">
        <f t="shared" si="2"/>
        <v>WILLIAMS DONTE</v>
      </c>
      <c r="H75" s="20" t="str">
        <f t="shared" si="3"/>
        <v>4061</v>
      </c>
    </row>
    <row r="76" spans="1:8" x14ac:dyDescent="0.25">
      <c r="A76" s="8">
        <v>42992.382465277777</v>
      </c>
      <c r="B76" s="20" t="s">
        <v>386</v>
      </c>
      <c r="C76" s="20" t="s">
        <v>680</v>
      </c>
      <c r="D76" s="138">
        <v>2730000</v>
      </c>
      <c r="E76" s="20" t="s">
        <v>443</v>
      </c>
      <c r="F76" s="20" t="s">
        <v>444</v>
      </c>
      <c r="G76" s="8" t="str">
        <f t="shared" si="2"/>
        <v>YANG JAN</v>
      </c>
      <c r="H76" s="20" t="str">
        <f t="shared" si="3"/>
        <v>4032</v>
      </c>
    </row>
    <row r="77" spans="1:8" x14ac:dyDescent="0.25">
      <c r="A77" s="8">
        <v>42992.391435185185</v>
      </c>
      <c r="B77" s="20" t="s">
        <v>376</v>
      </c>
      <c r="C77" s="20" t="s">
        <v>681</v>
      </c>
      <c r="D77" s="138">
        <v>3260000</v>
      </c>
      <c r="E77" s="20" t="s">
        <v>505</v>
      </c>
      <c r="F77" s="20" t="s">
        <v>506</v>
      </c>
      <c r="G77" s="8" t="str">
        <f t="shared" si="2"/>
        <v>PAGE MARCUS</v>
      </c>
      <c r="H77" s="20" t="str">
        <f t="shared" si="3"/>
        <v>4030</v>
      </c>
    </row>
    <row r="78" spans="1:8" x14ac:dyDescent="0.25">
      <c r="A78" s="8">
        <v>42992.391643518517</v>
      </c>
      <c r="B78" s="20" t="s">
        <v>499</v>
      </c>
      <c r="C78" s="20" t="s">
        <v>682</v>
      </c>
      <c r="D78" s="138">
        <v>900000</v>
      </c>
      <c r="E78" s="20" t="s">
        <v>525</v>
      </c>
      <c r="F78" s="20" t="s">
        <v>526</v>
      </c>
      <c r="G78" s="8" t="str">
        <f t="shared" si="2"/>
        <v>ROCHA YAOTL</v>
      </c>
      <c r="H78" s="20" t="str">
        <f t="shared" si="3"/>
        <v>4025</v>
      </c>
    </row>
    <row r="79" spans="1:8" x14ac:dyDescent="0.25">
      <c r="A79" s="8">
        <v>42992.393159722225</v>
      </c>
      <c r="B79" s="20" t="s">
        <v>604</v>
      </c>
      <c r="C79" s="20" t="s">
        <v>683</v>
      </c>
      <c r="D79" s="138">
        <v>3000000</v>
      </c>
      <c r="E79" s="20" t="s">
        <v>462</v>
      </c>
      <c r="F79" s="20" t="s">
        <v>463</v>
      </c>
      <c r="G79" s="8" t="str">
        <f t="shared" si="2"/>
        <v>FORTUNATO FRANK</v>
      </c>
      <c r="H79" s="20" t="str">
        <f t="shared" si="3"/>
        <v>4033</v>
      </c>
    </row>
    <row r="80" spans="1:8" x14ac:dyDescent="0.25">
      <c r="A80" s="8">
        <v>42992.393194444441</v>
      </c>
      <c r="B80" s="20" t="s">
        <v>592</v>
      </c>
      <c r="C80" s="20" t="s">
        <v>684</v>
      </c>
      <c r="D80" s="138">
        <v>1230000</v>
      </c>
      <c r="E80" s="20" t="s">
        <v>445</v>
      </c>
      <c r="F80" s="20" t="s">
        <v>446</v>
      </c>
      <c r="G80" s="8" t="str">
        <f t="shared" si="2"/>
        <v>YANAI IAN</v>
      </c>
      <c r="H80" s="20" t="str">
        <f t="shared" si="3"/>
        <v>4001</v>
      </c>
    </row>
    <row r="81" spans="1:8" x14ac:dyDescent="0.25">
      <c r="A81" s="8">
        <v>42992.404849537037</v>
      </c>
      <c r="B81" s="20" t="s">
        <v>407</v>
      </c>
      <c r="C81" s="20" t="s">
        <v>685</v>
      </c>
      <c r="D81" s="138">
        <v>1100000</v>
      </c>
      <c r="E81" s="20" t="s">
        <v>503</v>
      </c>
      <c r="F81" s="20" t="s">
        <v>504</v>
      </c>
      <c r="G81" s="8" t="str">
        <f t="shared" si="2"/>
        <v>GEBRETEKLE DAGNEW</v>
      </c>
      <c r="H81" s="20" t="str">
        <f t="shared" si="3"/>
        <v>4060</v>
      </c>
    </row>
    <row r="82" spans="1:8" x14ac:dyDescent="0.25">
      <c r="A82" s="8">
        <v>42992.408333333333</v>
      </c>
      <c r="B82" s="20" t="s">
        <v>598</v>
      </c>
      <c r="C82" s="20" t="s">
        <v>686</v>
      </c>
      <c r="D82" s="138">
        <v>2010000</v>
      </c>
      <c r="E82" s="20" t="s">
        <v>620</v>
      </c>
      <c r="F82" s="20" t="s">
        <v>621</v>
      </c>
      <c r="G82" s="8" t="str">
        <f t="shared" si="2"/>
        <v>MAELZER KURT</v>
      </c>
      <c r="H82" s="20" t="str">
        <f t="shared" si="3"/>
        <v>4057</v>
      </c>
    </row>
    <row r="83" spans="1:8" x14ac:dyDescent="0.25">
      <c r="A83" s="8">
        <v>42992.413402777776</v>
      </c>
      <c r="B83" s="20" t="s">
        <v>408</v>
      </c>
      <c r="C83" s="20" t="s">
        <v>687</v>
      </c>
      <c r="D83" s="138">
        <v>3040000</v>
      </c>
      <c r="E83" s="20" t="s">
        <v>628</v>
      </c>
      <c r="F83" s="20" t="s">
        <v>629</v>
      </c>
      <c r="G83" s="8" t="str">
        <f t="shared" si="2"/>
        <v>WILLIAMS DONTE</v>
      </c>
      <c r="H83" s="20" t="str">
        <f t="shared" si="3"/>
        <v>4062</v>
      </c>
    </row>
    <row r="84" spans="1:8" x14ac:dyDescent="0.25">
      <c r="A84" s="8">
        <v>42992.415162037039</v>
      </c>
      <c r="B84" s="20" t="s">
        <v>580</v>
      </c>
      <c r="C84" s="20" t="s">
        <v>688</v>
      </c>
      <c r="D84" s="138">
        <v>3000000</v>
      </c>
      <c r="E84" s="20" t="s">
        <v>462</v>
      </c>
      <c r="F84" s="20" t="s">
        <v>463</v>
      </c>
      <c r="G84" s="8" t="str">
        <f t="shared" si="2"/>
        <v>FORTUNATO FRANK</v>
      </c>
      <c r="H84" s="20" t="str">
        <f t="shared" si="3"/>
        <v>4034</v>
      </c>
    </row>
    <row r="85" spans="1:8" x14ac:dyDescent="0.25">
      <c r="A85" s="8">
        <v>42992.420868055553</v>
      </c>
      <c r="B85" s="20" t="s">
        <v>402</v>
      </c>
      <c r="C85" s="20" t="s">
        <v>689</v>
      </c>
      <c r="D85" s="138">
        <v>2730000</v>
      </c>
      <c r="E85" s="20" t="s">
        <v>443</v>
      </c>
      <c r="F85" s="20" t="s">
        <v>444</v>
      </c>
      <c r="G85" s="8" t="str">
        <f t="shared" si="2"/>
        <v>YANG JAN</v>
      </c>
      <c r="H85" s="20" t="str">
        <f t="shared" si="3"/>
        <v>4031</v>
      </c>
    </row>
    <row r="86" spans="1:8" x14ac:dyDescent="0.25">
      <c r="A86" s="8">
        <v>42992.423391203702</v>
      </c>
      <c r="B86" s="20" t="s">
        <v>428</v>
      </c>
      <c r="C86" s="20" t="s">
        <v>586</v>
      </c>
      <c r="D86" s="138">
        <v>1990000</v>
      </c>
      <c r="E86" s="20" t="s">
        <v>345</v>
      </c>
      <c r="F86" s="20" t="s">
        <v>502</v>
      </c>
      <c r="G86" s="8" t="str">
        <f t="shared" si="2"/>
        <v>DAVIS WENDY</v>
      </c>
      <c r="H86" s="20" t="str">
        <f t="shared" si="3"/>
        <v>4026</v>
      </c>
    </row>
    <row r="87" spans="1:8" x14ac:dyDescent="0.25">
      <c r="A87" s="8">
        <v>42992.430810185186</v>
      </c>
      <c r="B87" s="20" t="s">
        <v>426</v>
      </c>
      <c r="C87" s="20" t="s">
        <v>690</v>
      </c>
      <c r="D87" s="138">
        <v>1230000</v>
      </c>
      <c r="E87" s="20" t="s">
        <v>445</v>
      </c>
      <c r="F87" s="20" t="s">
        <v>446</v>
      </c>
      <c r="G87" s="8" t="str">
        <f t="shared" si="2"/>
        <v>YANAI IAN</v>
      </c>
      <c r="H87" s="20" t="str">
        <f t="shared" si="3"/>
        <v>4002</v>
      </c>
    </row>
    <row r="88" spans="1:8" x14ac:dyDescent="0.25">
      <c r="A88" s="8">
        <v>42992.432233796295</v>
      </c>
      <c r="B88" s="20" t="s">
        <v>427</v>
      </c>
      <c r="C88" s="20" t="s">
        <v>691</v>
      </c>
      <c r="D88" s="138">
        <v>3260000</v>
      </c>
      <c r="E88" s="20" t="s">
        <v>505</v>
      </c>
      <c r="F88" s="20" t="s">
        <v>506</v>
      </c>
      <c r="G88" s="8" t="str">
        <f t="shared" si="2"/>
        <v>PAGE MARCUS</v>
      </c>
      <c r="H88" s="20" t="str">
        <f t="shared" si="3"/>
        <v>4029</v>
      </c>
    </row>
    <row r="89" spans="1:8" x14ac:dyDescent="0.25">
      <c r="A89" s="8">
        <v>42992.432754629626</v>
      </c>
      <c r="B89" s="20" t="s">
        <v>403</v>
      </c>
      <c r="C89" s="20" t="s">
        <v>587</v>
      </c>
      <c r="D89" s="138">
        <v>1100000</v>
      </c>
      <c r="E89" s="20" t="s">
        <v>503</v>
      </c>
      <c r="F89" s="20" t="s">
        <v>504</v>
      </c>
      <c r="G89" s="8" t="str">
        <f t="shared" si="2"/>
        <v>GEBRETEKLE DAGNEW</v>
      </c>
      <c r="H89" s="20" t="str">
        <f t="shared" si="3"/>
        <v>4059</v>
      </c>
    </row>
    <row r="90" spans="1:8" x14ac:dyDescent="0.25">
      <c r="A90" s="8">
        <v>42992.443912037037</v>
      </c>
      <c r="B90" s="20" t="s">
        <v>604</v>
      </c>
      <c r="C90" s="20" t="s">
        <v>692</v>
      </c>
      <c r="D90" s="138">
        <v>3000000</v>
      </c>
      <c r="E90" s="20" t="s">
        <v>462</v>
      </c>
      <c r="F90" s="20" t="s">
        <v>463</v>
      </c>
      <c r="G90" s="8" t="str">
        <f t="shared" si="2"/>
        <v>FORTUNATO FRANK</v>
      </c>
      <c r="H90" s="20" t="str">
        <f t="shared" si="3"/>
        <v>4033</v>
      </c>
    </row>
    <row r="91" spans="1:8" x14ac:dyDescent="0.25">
      <c r="A91" s="8">
        <v>42992.444097222222</v>
      </c>
      <c r="B91" s="20" t="s">
        <v>447</v>
      </c>
      <c r="C91" s="20" t="s">
        <v>589</v>
      </c>
      <c r="D91" s="138">
        <v>3290000</v>
      </c>
      <c r="E91" s="20" t="s">
        <v>656</v>
      </c>
      <c r="F91" s="20" t="s">
        <v>657</v>
      </c>
      <c r="G91" s="8" t="str">
        <f t="shared" si="2"/>
        <v>CASSIDY BRANDON</v>
      </c>
      <c r="H91" s="20" t="str">
        <f t="shared" si="3"/>
        <v>4058</v>
      </c>
    </row>
    <row r="92" spans="1:8" x14ac:dyDescent="0.25">
      <c r="A92" s="8">
        <v>42992.446238425924</v>
      </c>
      <c r="B92" s="20" t="s">
        <v>441</v>
      </c>
      <c r="C92" s="20" t="s">
        <v>588</v>
      </c>
      <c r="D92" s="138">
        <v>2140000</v>
      </c>
      <c r="E92" s="20" t="s">
        <v>509</v>
      </c>
      <c r="F92" s="20" t="s">
        <v>510</v>
      </c>
      <c r="G92" s="8" t="str">
        <f t="shared" si="2"/>
        <v>ROBINSON KADDIBA</v>
      </c>
      <c r="H92" s="20" t="str">
        <f t="shared" si="3"/>
        <v>4065</v>
      </c>
    </row>
    <row r="93" spans="1:8" x14ac:dyDescent="0.25">
      <c r="A93" s="8">
        <v>42992.446828703702</v>
      </c>
      <c r="B93" s="20" t="s">
        <v>441</v>
      </c>
      <c r="C93" s="20" t="s">
        <v>588</v>
      </c>
      <c r="D93" s="138">
        <v>2140000</v>
      </c>
      <c r="E93" s="20" t="s">
        <v>509</v>
      </c>
      <c r="F93" s="20" t="s">
        <v>510</v>
      </c>
      <c r="G93" s="8" t="str">
        <f t="shared" si="2"/>
        <v>ROBINSON KADDIBA</v>
      </c>
      <c r="H93" s="20" t="str">
        <f t="shared" si="3"/>
        <v>4065</v>
      </c>
    </row>
    <row r="94" spans="1:8" x14ac:dyDescent="0.25">
      <c r="A94" s="8">
        <v>42992.447500000002</v>
      </c>
      <c r="B94" s="20" t="s">
        <v>441</v>
      </c>
      <c r="C94" s="20" t="s">
        <v>588</v>
      </c>
      <c r="D94" s="138">
        <v>2140000</v>
      </c>
      <c r="E94" s="20" t="s">
        <v>509</v>
      </c>
      <c r="F94" s="20" t="s">
        <v>510</v>
      </c>
      <c r="G94" s="8" t="str">
        <f t="shared" si="2"/>
        <v>ROBINSON KADDIBA</v>
      </c>
      <c r="H94" s="20" t="str">
        <f t="shared" si="3"/>
        <v>4065</v>
      </c>
    </row>
    <row r="95" spans="1:8" x14ac:dyDescent="0.25">
      <c r="A95" s="8">
        <v>42992.45207175926</v>
      </c>
      <c r="B95" s="20" t="s">
        <v>392</v>
      </c>
      <c r="C95" s="20" t="s">
        <v>591</v>
      </c>
      <c r="D95" s="138">
        <v>3040000</v>
      </c>
      <c r="E95" s="20" t="s">
        <v>628</v>
      </c>
      <c r="F95" s="20" t="s">
        <v>629</v>
      </c>
      <c r="G95" s="8" t="str">
        <f t="shared" si="2"/>
        <v>WILLIAMS DONTE</v>
      </c>
      <c r="H95" s="20" t="str">
        <f t="shared" si="3"/>
        <v>4061</v>
      </c>
    </row>
    <row r="96" spans="1:8" x14ac:dyDescent="0.25">
      <c r="A96" s="8">
        <v>42992.454247685186</v>
      </c>
      <c r="B96" s="20" t="s">
        <v>386</v>
      </c>
      <c r="C96" s="20" t="s">
        <v>693</v>
      </c>
      <c r="D96" s="138">
        <v>2730000</v>
      </c>
      <c r="E96" s="20" t="s">
        <v>443</v>
      </c>
      <c r="F96" s="20" t="s">
        <v>444</v>
      </c>
      <c r="G96" s="8" t="str">
        <f t="shared" si="2"/>
        <v>YANG JAN</v>
      </c>
      <c r="H96" s="20" t="str">
        <f t="shared" si="3"/>
        <v>4032</v>
      </c>
    </row>
    <row r="97" spans="1:8" x14ac:dyDescent="0.25">
      <c r="A97" s="8">
        <v>42992.457060185188</v>
      </c>
      <c r="B97" s="20" t="s">
        <v>580</v>
      </c>
      <c r="C97" s="20" t="s">
        <v>694</v>
      </c>
      <c r="D97" s="138">
        <v>3000000</v>
      </c>
      <c r="E97" s="20" t="s">
        <v>462</v>
      </c>
      <c r="F97" s="20" t="s">
        <v>463</v>
      </c>
      <c r="G97" s="8" t="str">
        <f t="shared" si="2"/>
        <v>FORTUNATO FRANK</v>
      </c>
      <c r="H97" s="20" t="str">
        <f t="shared" si="3"/>
        <v>4034</v>
      </c>
    </row>
    <row r="98" spans="1:8" x14ac:dyDescent="0.25">
      <c r="A98" s="8">
        <v>42992.46056712963</v>
      </c>
      <c r="B98" s="20" t="s">
        <v>499</v>
      </c>
      <c r="C98" s="20" t="s">
        <v>695</v>
      </c>
      <c r="D98" s="138">
        <v>1990000</v>
      </c>
      <c r="E98" s="20" t="s">
        <v>345</v>
      </c>
      <c r="F98" s="20" t="s">
        <v>502</v>
      </c>
      <c r="G98" s="8" t="str">
        <f t="shared" si="2"/>
        <v>DAVIS WENDY</v>
      </c>
      <c r="H98" s="20" t="str">
        <f t="shared" si="3"/>
        <v>4025</v>
      </c>
    </row>
    <row r="99" spans="1:8" x14ac:dyDescent="0.25">
      <c r="A99" s="8">
        <v>42992.462719907409</v>
      </c>
      <c r="B99" s="20" t="s">
        <v>592</v>
      </c>
      <c r="C99" s="20" t="s">
        <v>593</v>
      </c>
      <c r="D99" s="138">
        <v>1230000</v>
      </c>
      <c r="E99" s="20" t="s">
        <v>445</v>
      </c>
      <c r="F99" s="20" t="s">
        <v>446</v>
      </c>
      <c r="G99" s="8" t="str">
        <f t="shared" si="2"/>
        <v>YANAI IAN</v>
      </c>
      <c r="H99" s="20" t="str">
        <f t="shared" si="3"/>
        <v>4001</v>
      </c>
    </row>
    <row r="100" spans="1:8" x14ac:dyDescent="0.25">
      <c r="A100" s="8">
        <v>42992.466331018521</v>
      </c>
      <c r="B100" s="20" t="s">
        <v>376</v>
      </c>
      <c r="C100" s="20" t="s">
        <v>696</v>
      </c>
      <c r="D100" s="138">
        <v>1770000</v>
      </c>
      <c r="E100" s="20" t="s">
        <v>465</v>
      </c>
      <c r="F100" s="20" t="s">
        <v>466</v>
      </c>
      <c r="G100" s="8" t="str">
        <f t="shared" si="2"/>
        <v>BRUDER RICHARD</v>
      </c>
      <c r="H100" s="20" t="str">
        <f t="shared" si="3"/>
        <v>4030</v>
      </c>
    </row>
    <row r="101" spans="1:8" x14ac:dyDescent="0.25">
      <c r="A101" s="8">
        <v>42992.479108796295</v>
      </c>
      <c r="B101" s="20" t="s">
        <v>407</v>
      </c>
      <c r="C101" s="20" t="s">
        <v>590</v>
      </c>
      <c r="D101" s="138">
        <v>2040000</v>
      </c>
      <c r="E101" s="20" t="s">
        <v>467</v>
      </c>
      <c r="F101" s="20" t="s">
        <v>468</v>
      </c>
      <c r="G101" s="8" t="str">
        <f t="shared" si="2"/>
        <v>MOSES BRADLEY</v>
      </c>
      <c r="H101" s="20" t="str">
        <f t="shared" si="3"/>
        <v>4060</v>
      </c>
    </row>
    <row r="102" spans="1:8" x14ac:dyDescent="0.25">
      <c r="A102" s="8">
        <v>42992.482662037037</v>
      </c>
      <c r="B102" s="20" t="s">
        <v>598</v>
      </c>
      <c r="C102" s="20" t="s">
        <v>697</v>
      </c>
      <c r="D102" s="138">
        <v>3290000</v>
      </c>
      <c r="E102" s="20" t="s">
        <v>656</v>
      </c>
      <c r="F102" s="20" t="s">
        <v>657</v>
      </c>
      <c r="G102" s="8" t="str">
        <f t="shared" si="2"/>
        <v>CASSIDY BRANDON</v>
      </c>
      <c r="H102" s="20" t="str">
        <f t="shared" si="3"/>
        <v>4057</v>
      </c>
    </row>
    <row r="103" spans="1:8" x14ac:dyDescent="0.25">
      <c r="A103" s="8">
        <v>42992.484456018516</v>
      </c>
      <c r="B103" s="20" t="s">
        <v>604</v>
      </c>
      <c r="C103" s="20" t="s">
        <v>698</v>
      </c>
      <c r="D103" s="138">
        <v>3000000</v>
      </c>
      <c r="E103" s="20" t="s">
        <v>462</v>
      </c>
      <c r="F103" s="20" t="s">
        <v>463</v>
      </c>
      <c r="G103" s="8" t="str">
        <f t="shared" si="2"/>
        <v>FORTUNATO FRANK</v>
      </c>
      <c r="H103" s="20" t="str">
        <f t="shared" si="3"/>
        <v>4033</v>
      </c>
    </row>
    <row r="104" spans="1:8" x14ac:dyDescent="0.25">
      <c r="A104" s="8">
        <v>42992.484930555554</v>
      </c>
      <c r="B104" s="20" t="s">
        <v>440</v>
      </c>
      <c r="C104" s="20" t="s">
        <v>699</v>
      </c>
      <c r="D104" s="138">
        <v>3260000</v>
      </c>
      <c r="E104" s="20" t="s">
        <v>505</v>
      </c>
      <c r="F104" s="20" t="s">
        <v>506</v>
      </c>
      <c r="G104" s="8" t="str">
        <f t="shared" si="2"/>
        <v>PAGE MARCUS</v>
      </c>
      <c r="H104" s="20" t="str">
        <f t="shared" si="3"/>
        <v>4066</v>
      </c>
    </row>
    <row r="105" spans="1:8" x14ac:dyDescent="0.25">
      <c r="A105" s="8">
        <v>42992.48810185185</v>
      </c>
      <c r="B105" s="20" t="s">
        <v>386</v>
      </c>
      <c r="C105" s="20" t="s">
        <v>693</v>
      </c>
      <c r="D105" s="138">
        <v>2730000</v>
      </c>
      <c r="E105" s="20" t="s">
        <v>443</v>
      </c>
      <c r="F105" s="20" t="s">
        <v>444</v>
      </c>
      <c r="G105" s="8" t="str">
        <f t="shared" si="2"/>
        <v>YANG JAN</v>
      </c>
      <c r="H105" s="20" t="str">
        <f t="shared" si="3"/>
        <v>4032</v>
      </c>
    </row>
    <row r="106" spans="1:8" x14ac:dyDescent="0.25">
      <c r="A106" s="8">
        <v>42992.491284722222</v>
      </c>
      <c r="B106" s="20" t="s">
        <v>408</v>
      </c>
      <c r="C106" s="20" t="s">
        <v>700</v>
      </c>
      <c r="D106" s="138">
        <v>1300000</v>
      </c>
      <c r="E106" s="20" t="s">
        <v>469</v>
      </c>
      <c r="F106" s="20" t="s">
        <v>470</v>
      </c>
      <c r="G106" s="8" t="str">
        <f t="shared" si="2"/>
        <v>LEVIN SCOTT</v>
      </c>
      <c r="H106" s="20" t="str">
        <f t="shared" si="3"/>
        <v>4062</v>
      </c>
    </row>
    <row r="107" spans="1:8" x14ac:dyDescent="0.25">
      <c r="A107" s="8">
        <v>42992.495046296295</v>
      </c>
      <c r="B107" s="20" t="s">
        <v>594</v>
      </c>
      <c r="C107" s="20" t="s">
        <v>701</v>
      </c>
      <c r="D107" s="138">
        <v>1810000</v>
      </c>
      <c r="E107" s="20" t="s">
        <v>464</v>
      </c>
      <c r="F107" s="20" t="s">
        <v>380</v>
      </c>
      <c r="G107" s="8" t="str">
        <f t="shared" si="2"/>
        <v>NEWELL JAMES</v>
      </c>
      <c r="H107" s="20" t="str">
        <f t="shared" si="3"/>
        <v>4004</v>
      </c>
    </row>
    <row r="108" spans="1:8" x14ac:dyDescent="0.25">
      <c r="A108" s="8">
        <v>42992.497453703705</v>
      </c>
      <c r="B108" s="20" t="s">
        <v>523</v>
      </c>
      <c r="C108" s="20" t="s">
        <v>701</v>
      </c>
      <c r="D108" s="138">
        <v>1810000</v>
      </c>
      <c r="E108" s="20" t="s">
        <v>464</v>
      </c>
      <c r="F108" s="20" t="s">
        <v>380</v>
      </c>
      <c r="G108" s="8" t="str">
        <f t="shared" si="2"/>
        <v>NEWELL JAMES</v>
      </c>
      <c r="H108" s="20" t="str">
        <f t="shared" si="3"/>
        <v>4003</v>
      </c>
    </row>
    <row r="109" spans="1:8" x14ac:dyDescent="0.25">
      <c r="A109" s="8">
        <v>42992.497939814813</v>
      </c>
      <c r="B109" s="20" t="s">
        <v>523</v>
      </c>
      <c r="C109" s="20" t="s">
        <v>701</v>
      </c>
      <c r="D109" s="138">
        <v>1810000</v>
      </c>
      <c r="E109" s="20" t="s">
        <v>464</v>
      </c>
      <c r="F109" s="20" t="s">
        <v>380</v>
      </c>
      <c r="G109" s="8" t="str">
        <f t="shared" si="2"/>
        <v>NEWELL JAMES</v>
      </c>
      <c r="H109" s="20" t="str">
        <f t="shared" si="3"/>
        <v>4003</v>
      </c>
    </row>
    <row r="110" spans="1:8" x14ac:dyDescent="0.25">
      <c r="A110" s="8">
        <v>42992.501377314817</v>
      </c>
      <c r="B110" s="20" t="s">
        <v>594</v>
      </c>
      <c r="C110" s="20" t="s">
        <v>595</v>
      </c>
      <c r="D110" s="138">
        <v>2370000</v>
      </c>
      <c r="E110" s="20" t="s">
        <v>507</v>
      </c>
      <c r="F110" s="20" t="s">
        <v>508</v>
      </c>
      <c r="G110" s="8" t="str">
        <f t="shared" si="2"/>
        <v>DELGADO DIANAH</v>
      </c>
      <c r="H110" s="20" t="str">
        <f t="shared" si="3"/>
        <v>4004</v>
      </c>
    </row>
    <row r="111" spans="1:8" x14ac:dyDescent="0.25">
      <c r="A111" s="8">
        <v>42992.503946759258</v>
      </c>
      <c r="B111" s="20" t="s">
        <v>402</v>
      </c>
      <c r="C111" s="20" t="s">
        <v>702</v>
      </c>
      <c r="D111" s="138">
        <v>2730000</v>
      </c>
      <c r="E111" s="20" t="s">
        <v>443</v>
      </c>
      <c r="F111" s="20" t="s">
        <v>444</v>
      </c>
      <c r="G111" s="8" t="str">
        <f t="shared" si="2"/>
        <v>YANG JAN</v>
      </c>
      <c r="H111" s="20" t="str">
        <f t="shared" si="3"/>
        <v>4031</v>
      </c>
    </row>
    <row r="112" spans="1:8" x14ac:dyDescent="0.25">
      <c r="A112" s="8">
        <v>42992.503969907404</v>
      </c>
      <c r="B112" s="20" t="s">
        <v>580</v>
      </c>
      <c r="C112" s="20" t="s">
        <v>703</v>
      </c>
      <c r="D112" s="138">
        <v>3000000</v>
      </c>
      <c r="E112" s="20" t="s">
        <v>462</v>
      </c>
      <c r="F112" s="20" t="s">
        <v>463</v>
      </c>
      <c r="G112" s="8" t="str">
        <f t="shared" si="2"/>
        <v>FORTUNATO FRANK</v>
      </c>
      <c r="H112" s="20" t="str">
        <f t="shared" si="3"/>
        <v>4034</v>
      </c>
    </row>
    <row r="113" spans="1:8" x14ac:dyDescent="0.25">
      <c r="A113" s="8">
        <v>42992.508425925924</v>
      </c>
      <c r="B113" s="20" t="s">
        <v>427</v>
      </c>
      <c r="C113" s="20" t="s">
        <v>696</v>
      </c>
      <c r="D113" s="138">
        <v>1770000</v>
      </c>
      <c r="E113" s="20" t="s">
        <v>465</v>
      </c>
      <c r="F113" s="20" t="s">
        <v>466</v>
      </c>
      <c r="G113" s="8" t="str">
        <f t="shared" si="2"/>
        <v>BRUDER RICHARD</v>
      </c>
      <c r="H113" s="20" t="str">
        <f t="shared" si="3"/>
        <v>4029</v>
      </c>
    </row>
    <row r="114" spans="1:8" x14ac:dyDescent="0.25">
      <c r="A114" s="8">
        <v>42992.509583333333</v>
      </c>
      <c r="B114" s="20" t="s">
        <v>427</v>
      </c>
      <c r="C114" s="20" t="s">
        <v>704</v>
      </c>
      <c r="D114" s="138">
        <v>1770000</v>
      </c>
      <c r="E114" s="20" t="s">
        <v>465</v>
      </c>
      <c r="F114" s="20" t="s">
        <v>466</v>
      </c>
      <c r="G114" s="8" t="str">
        <f t="shared" si="2"/>
        <v>BRUDER RICHARD</v>
      </c>
      <c r="H114" s="20" t="str">
        <f t="shared" si="3"/>
        <v>4029</v>
      </c>
    </row>
    <row r="115" spans="1:8" x14ac:dyDescent="0.25">
      <c r="A115" s="8">
        <v>42992.513495370367</v>
      </c>
      <c r="B115" s="20" t="s">
        <v>426</v>
      </c>
      <c r="C115" s="20" t="s">
        <v>705</v>
      </c>
      <c r="D115" s="138">
        <v>1180000</v>
      </c>
      <c r="E115" s="20" t="s">
        <v>384</v>
      </c>
      <c r="F115" s="20" t="s">
        <v>385</v>
      </c>
      <c r="G115" s="8" t="str">
        <f t="shared" si="2"/>
        <v>LEVERE CRAIG</v>
      </c>
      <c r="H115" s="20" t="str">
        <f t="shared" si="3"/>
        <v>4002</v>
      </c>
    </row>
    <row r="116" spans="1:8" x14ac:dyDescent="0.25">
      <c r="A116" s="8">
        <v>42992.516921296294</v>
      </c>
      <c r="B116" s="20" t="s">
        <v>403</v>
      </c>
      <c r="C116" s="20" t="s">
        <v>706</v>
      </c>
      <c r="D116" s="138">
        <v>2040000</v>
      </c>
      <c r="E116" s="20" t="s">
        <v>467</v>
      </c>
      <c r="F116" s="20" t="s">
        <v>468</v>
      </c>
      <c r="G116" s="8" t="str">
        <f t="shared" si="2"/>
        <v>MOSES BRADLEY</v>
      </c>
      <c r="H116" s="20" t="str">
        <f t="shared" si="3"/>
        <v>4059</v>
      </c>
    </row>
    <row r="117" spans="1:8" x14ac:dyDescent="0.25">
      <c r="A117" s="8">
        <v>42992.518310185187</v>
      </c>
      <c r="B117" s="20" t="s">
        <v>604</v>
      </c>
      <c r="C117" s="20" t="s">
        <v>707</v>
      </c>
      <c r="D117" s="138">
        <v>3000000</v>
      </c>
      <c r="E117" s="20" t="s">
        <v>462</v>
      </c>
      <c r="F117" s="20" t="s">
        <v>463</v>
      </c>
      <c r="G117" s="8" t="str">
        <f t="shared" si="2"/>
        <v>FORTUNATO FRANK</v>
      </c>
      <c r="H117" s="20" t="str">
        <f t="shared" si="3"/>
        <v>4033</v>
      </c>
    </row>
    <row r="118" spans="1:8" x14ac:dyDescent="0.25">
      <c r="A118" s="8">
        <v>42992.523078703707</v>
      </c>
      <c r="B118" s="20" t="s">
        <v>447</v>
      </c>
      <c r="C118" s="20" t="s">
        <v>596</v>
      </c>
      <c r="D118" s="138">
        <v>2550000</v>
      </c>
      <c r="E118" s="20" t="s">
        <v>708</v>
      </c>
      <c r="F118" s="20" t="s">
        <v>709</v>
      </c>
      <c r="G118" s="8" t="str">
        <f t="shared" si="2"/>
        <v>BADERTSCHER DIANE</v>
      </c>
      <c r="H118" s="20" t="str">
        <f t="shared" si="3"/>
        <v>4058</v>
      </c>
    </row>
    <row r="119" spans="1:8" x14ac:dyDescent="0.25">
      <c r="A119" s="8">
        <v>42992.524351851855</v>
      </c>
      <c r="B119" s="20" t="s">
        <v>447</v>
      </c>
      <c r="C119" s="20" t="s">
        <v>596</v>
      </c>
      <c r="D119" s="138">
        <v>2550000</v>
      </c>
      <c r="E119" s="20" t="s">
        <v>708</v>
      </c>
      <c r="F119" s="20" t="s">
        <v>709</v>
      </c>
      <c r="G119" s="8" t="str">
        <f t="shared" si="2"/>
        <v>BADERTSCHER DIANE</v>
      </c>
      <c r="H119" s="20" t="str">
        <f t="shared" si="3"/>
        <v>4058</v>
      </c>
    </row>
    <row r="120" spans="1:8" x14ac:dyDescent="0.25">
      <c r="A120" s="8">
        <v>42992.527326388888</v>
      </c>
      <c r="B120" s="20" t="s">
        <v>392</v>
      </c>
      <c r="C120" s="20" t="s">
        <v>710</v>
      </c>
      <c r="D120" s="138">
        <v>1300000</v>
      </c>
      <c r="E120" s="20" t="s">
        <v>469</v>
      </c>
      <c r="F120" s="20" t="s">
        <v>470</v>
      </c>
      <c r="G120" s="8" t="str">
        <f t="shared" si="2"/>
        <v>LEVIN SCOTT</v>
      </c>
      <c r="H120" s="20" t="str">
        <f t="shared" si="3"/>
        <v>4061</v>
      </c>
    </row>
    <row r="121" spans="1:8" x14ac:dyDescent="0.25">
      <c r="A121" s="8">
        <v>42992.528217592589</v>
      </c>
      <c r="B121" s="20" t="s">
        <v>428</v>
      </c>
      <c r="C121" s="20" t="s">
        <v>612</v>
      </c>
      <c r="D121" s="138">
        <v>1780000</v>
      </c>
      <c r="E121" s="20" t="s">
        <v>711</v>
      </c>
      <c r="F121" s="20" t="s">
        <v>712</v>
      </c>
      <c r="G121" s="8" t="str">
        <f t="shared" si="2"/>
        <v>DE LA ROSA ALEX</v>
      </c>
      <c r="H121" s="20" t="str">
        <f t="shared" si="3"/>
        <v>4026</v>
      </c>
    </row>
    <row r="122" spans="1:8" x14ac:dyDescent="0.25">
      <c r="A122" s="8">
        <v>42992.530752314815</v>
      </c>
      <c r="B122" s="25" t="s">
        <v>499</v>
      </c>
      <c r="C122" s="20" t="s">
        <v>612</v>
      </c>
      <c r="D122" s="138">
        <v>1780000</v>
      </c>
      <c r="E122" s="20" t="s">
        <v>711</v>
      </c>
      <c r="F122" s="20" t="s">
        <v>712</v>
      </c>
      <c r="G122" s="8" t="str">
        <f t="shared" si="2"/>
        <v>DE LA ROSA ALEX</v>
      </c>
      <c r="H122" s="20" t="str">
        <f t="shared" si="3"/>
        <v>4025</v>
      </c>
    </row>
    <row r="123" spans="1:8" x14ac:dyDescent="0.25">
      <c r="A123" s="8">
        <v>42992.53429398148</v>
      </c>
      <c r="B123" s="20" t="s">
        <v>428</v>
      </c>
      <c r="C123" s="20" t="s">
        <v>713</v>
      </c>
      <c r="D123" s="138">
        <v>2420000</v>
      </c>
      <c r="E123" s="20" t="s">
        <v>511</v>
      </c>
      <c r="F123" s="20" t="s">
        <v>512</v>
      </c>
      <c r="G123" s="8" t="str">
        <f t="shared" si="2"/>
        <v>HOLCOMB KAMDEN</v>
      </c>
      <c r="H123" s="20" t="str">
        <f t="shared" si="3"/>
        <v>4026</v>
      </c>
    </row>
    <row r="124" spans="1:8" x14ac:dyDescent="0.25">
      <c r="A124" s="8">
        <v>42992.534988425927</v>
      </c>
      <c r="B124" s="20" t="s">
        <v>428</v>
      </c>
      <c r="C124" s="20" t="s">
        <v>713</v>
      </c>
      <c r="D124" s="138">
        <v>2420000</v>
      </c>
      <c r="E124" s="20" t="s">
        <v>511</v>
      </c>
      <c r="F124" s="20" t="s">
        <v>512</v>
      </c>
      <c r="G124" s="8" t="str">
        <f t="shared" si="2"/>
        <v>HOLCOMB KAMDEN</v>
      </c>
      <c r="H124" s="20" t="str">
        <f t="shared" si="3"/>
        <v>4026</v>
      </c>
    </row>
    <row r="125" spans="1:8" x14ac:dyDescent="0.25">
      <c r="A125" s="8">
        <v>42992.536736111113</v>
      </c>
      <c r="B125" s="20" t="s">
        <v>523</v>
      </c>
      <c r="C125" s="20" t="s">
        <v>714</v>
      </c>
      <c r="D125" s="138">
        <v>2370000</v>
      </c>
      <c r="E125" s="20" t="s">
        <v>507</v>
      </c>
      <c r="F125" s="20" t="s">
        <v>508</v>
      </c>
      <c r="G125" s="8" t="str">
        <f t="shared" si="2"/>
        <v>DELGADO DIANAH</v>
      </c>
      <c r="H125" s="20" t="str">
        <f t="shared" si="3"/>
        <v>4003</v>
      </c>
    </row>
    <row r="126" spans="1:8" x14ac:dyDescent="0.25">
      <c r="A126" s="8">
        <v>42992.54042824074</v>
      </c>
      <c r="B126" s="20" t="s">
        <v>376</v>
      </c>
      <c r="C126" s="20" t="s">
        <v>715</v>
      </c>
      <c r="D126" s="138">
        <v>1770000</v>
      </c>
      <c r="E126" s="20" t="s">
        <v>465</v>
      </c>
      <c r="F126" s="20" t="s">
        <v>466</v>
      </c>
      <c r="G126" s="8" t="str">
        <f t="shared" si="2"/>
        <v>BRUDER RICHARD</v>
      </c>
      <c r="H126" s="20" t="str">
        <f t="shared" si="3"/>
        <v>4030</v>
      </c>
    </row>
    <row r="127" spans="1:8" x14ac:dyDescent="0.25">
      <c r="A127" s="8">
        <v>42992.542523148149</v>
      </c>
      <c r="B127" s="20" t="s">
        <v>386</v>
      </c>
      <c r="C127" s="20" t="s">
        <v>716</v>
      </c>
      <c r="D127" s="138">
        <v>1810000</v>
      </c>
      <c r="E127" s="20" t="s">
        <v>464</v>
      </c>
      <c r="F127" s="20" t="s">
        <v>380</v>
      </c>
      <c r="G127" s="8" t="str">
        <f t="shared" si="2"/>
        <v>NEWELL JAMES</v>
      </c>
      <c r="H127" s="20" t="str">
        <f t="shared" si="3"/>
        <v>4032</v>
      </c>
    </row>
    <row r="128" spans="1:8" x14ac:dyDescent="0.25">
      <c r="A128" s="8">
        <v>42992.544328703705</v>
      </c>
      <c r="B128" s="20" t="s">
        <v>580</v>
      </c>
      <c r="C128" s="20" t="s">
        <v>597</v>
      </c>
      <c r="D128" s="138">
        <v>2000000</v>
      </c>
      <c r="E128" s="20" t="s">
        <v>435</v>
      </c>
      <c r="F128" s="20" t="s">
        <v>380</v>
      </c>
      <c r="G128" s="8" t="str">
        <f t="shared" si="2"/>
        <v>STAMBAUGH JAMES</v>
      </c>
      <c r="H128" s="20" t="str">
        <f t="shared" si="3"/>
        <v>4034</v>
      </c>
    </row>
    <row r="129" spans="1:8" x14ac:dyDescent="0.25">
      <c r="A129" s="8">
        <v>42992.54546296296</v>
      </c>
      <c r="B129" s="20" t="s">
        <v>402</v>
      </c>
      <c r="C129" s="20" t="s">
        <v>716</v>
      </c>
      <c r="D129" s="138">
        <v>1810000</v>
      </c>
      <c r="E129" s="20" t="s">
        <v>464</v>
      </c>
      <c r="F129" s="20" t="s">
        <v>380</v>
      </c>
      <c r="G129" s="8" t="str">
        <f t="shared" si="2"/>
        <v>NEWELL JAMES</v>
      </c>
      <c r="H129" s="20" t="str">
        <f t="shared" si="3"/>
        <v>4031</v>
      </c>
    </row>
    <row r="130" spans="1:8" x14ac:dyDescent="0.25">
      <c r="A130" s="8">
        <v>42992.545740740738</v>
      </c>
      <c r="B130" s="20" t="s">
        <v>592</v>
      </c>
      <c r="C130" s="20" t="s">
        <v>717</v>
      </c>
      <c r="D130" s="138">
        <v>1180000</v>
      </c>
      <c r="E130" s="20" t="s">
        <v>384</v>
      </c>
      <c r="F130" s="20" t="s">
        <v>385</v>
      </c>
      <c r="G130" s="8" t="str">
        <f t="shared" si="2"/>
        <v>LEVERE CRAIG</v>
      </c>
      <c r="H130" s="20" t="str">
        <f t="shared" si="3"/>
        <v>4001</v>
      </c>
    </row>
    <row r="131" spans="1:8" x14ac:dyDescent="0.25">
      <c r="A131" s="8">
        <v>42992.548356481479</v>
      </c>
      <c r="B131" s="20" t="s">
        <v>386</v>
      </c>
      <c r="C131" s="20" t="s">
        <v>718</v>
      </c>
      <c r="D131" s="138">
        <v>2140000</v>
      </c>
      <c r="E131" s="20" t="s">
        <v>509</v>
      </c>
      <c r="F131" s="20" t="s">
        <v>510</v>
      </c>
      <c r="G131" s="8" t="str">
        <f t="shared" ref="G131:G194" si="4">E131&amp;" "&amp;F131</f>
        <v>ROBINSON KADDIBA</v>
      </c>
      <c r="H131" s="20" t="str">
        <f t="shared" ref="H131:H194" si="5">MID(B131,13,4)</f>
        <v>4032</v>
      </c>
    </row>
    <row r="132" spans="1:8" x14ac:dyDescent="0.25">
      <c r="A132" s="8">
        <v>42992.555960648147</v>
      </c>
      <c r="B132" s="20" t="s">
        <v>598</v>
      </c>
      <c r="C132" s="20" t="s">
        <v>599</v>
      </c>
      <c r="D132" s="138">
        <v>2550000</v>
      </c>
      <c r="E132" s="20" t="s">
        <v>708</v>
      </c>
      <c r="F132" s="20" t="s">
        <v>709</v>
      </c>
      <c r="G132" s="8" t="str">
        <f t="shared" si="4"/>
        <v>BADERTSCHER DIANE</v>
      </c>
      <c r="H132" s="20" t="str">
        <f t="shared" si="5"/>
        <v>4057</v>
      </c>
    </row>
    <row r="133" spans="1:8" x14ac:dyDescent="0.25">
      <c r="A133" s="8">
        <v>42992.560243055559</v>
      </c>
      <c r="B133" s="20" t="s">
        <v>604</v>
      </c>
      <c r="C133" s="20" t="s">
        <v>719</v>
      </c>
      <c r="D133" s="138">
        <v>2000000</v>
      </c>
      <c r="E133" s="20" t="s">
        <v>435</v>
      </c>
      <c r="F133" s="20" t="s">
        <v>380</v>
      </c>
      <c r="G133" s="8" t="str">
        <f t="shared" si="4"/>
        <v>STAMBAUGH JAMES</v>
      </c>
      <c r="H133" s="20" t="str">
        <f t="shared" si="5"/>
        <v>4033</v>
      </c>
    </row>
    <row r="134" spans="1:8" x14ac:dyDescent="0.25">
      <c r="A134" s="8">
        <v>42992.560682870368</v>
      </c>
      <c r="B134" s="20" t="s">
        <v>408</v>
      </c>
      <c r="C134" s="20" t="s">
        <v>720</v>
      </c>
      <c r="D134" s="138">
        <v>1300000</v>
      </c>
      <c r="E134" s="20" t="s">
        <v>469</v>
      </c>
      <c r="F134" s="20" t="s">
        <v>470</v>
      </c>
      <c r="G134" s="8" t="str">
        <f t="shared" si="4"/>
        <v>LEVIN SCOTT</v>
      </c>
      <c r="H134" s="20" t="str">
        <f t="shared" si="5"/>
        <v>4062</v>
      </c>
    </row>
    <row r="135" spans="1:8" x14ac:dyDescent="0.25">
      <c r="A135" s="8">
        <v>42992.567847222221</v>
      </c>
      <c r="B135" s="20" t="s">
        <v>499</v>
      </c>
      <c r="C135" s="20" t="s">
        <v>721</v>
      </c>
      <c r="D135" s="138">
        <v>2420000</v>
      </c>
      <c r="E135" s="20" t="s">
        <v>511</v>
      </c>
      <c r="F135" s="20" t="s">
        <v>512</v>
      </c>
      <c r="G135" s="8" t="str">
        <f t="shared" si="4"/>
        <v>HOLCOMB KAMDEN</v>
      </c>
      <c r="H135" s="20" t="str">
        <f t="shared" si="5"/>
        <v>4025</v>
      </c>
    </row>
    <row r="136" spans="1:8" x14ac:dyDescent="0.25">
      <c r="A136" s="8">
        <v>42992.569351851853</v>
      </c>
      <c r="B136" s="20" t="s">
        <v>594</v>
      </c>
      <c r="C136" s="20" t="s">
        <v>722</v>
      </c>
      <c r="D136" s="138">
        <v>2370000</v>
      </c>
      <c r="E136" s="20" t="s">
        <v>507</v>
      </c>
      <c r="F136" s="20" t="s">
        <v>508</v>
      </c>
      <c r="G136" s="8" t="str">
        <f t="shared" si="4"/>
        <v>DELGADO DIANAH</v>
      </c>
      <c r="H136" s="20" t="str">
        <f t="shared" si="5"/>
        <v>4004</v>
      </c>
    </row>
    <row r="137" spans="1:8" x14ac:dyDescent="0.25">
      <c r="A137" s="8">
        <v>42992.578263888892</v>
      </c>
      <c r="B137" s="20" t="s">
        <v>427</v>
      </c>
      <c r="C137" s="20" t="s">
        <v>723</v>
      </c>
      <c r="D137" s="138">
        <v>1770000</v>
      </c>
      <c r="E137" s="20" t="s">
        <v>465</v>
      </c>
      <c r="F137" s="20" t="s">
        <v>466</v>
      </c>
      <c r="G137" s="8" t="str">
        <f t="shared" si="4"/>
        <v>BRUDER RICHARD</v>
      </c>
      <c r="H137" s="20" t="str">
        <f t="shared" si="5"/>
        <v>4029</v>
      </c>
    </row>
    <row r="138" spans="1:8" x14ac:dyDescent="0.25">
      <c r="A138" s="8">
        <v>42992.579421296294</v>
      </c>
      <c r="B138" s="20" t="s">
        <v>426</v>
      </c>
      <c r="C138" s="20" t="s">
        <v>600</v>
      </c>
      <c r="D138" s="138">
        <v>1180000</v>
      </c>
      <c r="E138" s="20" t="s">
        <v>384</v>
      </c>
      <c r="F138" s="20" t="s">
        <v>385</v>
      </c>
      <c r="G138" s="8" t="str">
        <f t="shared" si="4"/>
        <v>LEVERE CRAIG</v>
      </c>
      <c r="H138" s="20" t="str">
        <f t="shared" si="5"/>
        <v>4002</v>
      </c>
    </row>
    <row r="139" spans="1:8" x14ac:dyDescent="0.25">
      <c r="A139" s="8">
        <v>42992.586851851855</v>
      </c>
      <c r="B139" s="20" t="s">
        <v>580</v>
      </c>
      <c r="C139" s="20" t="s">
        <v>724</v>
      </c>
      <c r="D139" s="138">
        <v>2000000</v>
      </c>
      <c r="E139" s="20" t="s">
        <v>435</v>
      </c>
      <c r="F139" s="20" t="s">
        <v>380</v>
      </c>
      <c r="G139" s="8" t="str">
        <f t="shared" si="4"/>
        <v>STAMBAUGH JAMES</v>
      </c>
      <c r="H139" s="20" t="str">
        <f t="shared" si="5"/>
        <v>4034</v>
      </c>
    </row>
    <row r="140" spans="1:8" x14ac:dyDescent="0.25">
      <c r="A140" s="8">
        <v>42992.589247685188</v>
      </c>
      <c r="B140" s="20" t="s">
        <v>402</v>
      </c>
      <c r="C140" s="20" t="s">
        <v>725</v>
      </c>
      <c r="D140" s="138">
        <v>2140000</v>
      </c>
      <c r="E140" s="20" t="s">
        <v>509</v>
      </c>
      <c r="F140" s="20" t="s">
        <v>510</v>
      </c>
      <c r="G140" s="8" t="str">
        <f t="shared" si="4"/>
        <v>ROBINSON KADDIBA</v>
      </c>
      <c r="H140" s="20" t="str">
        <f t="shared" si="5"/>
        <v>4031</v>
      </c>
    </row>
    <row r="141" spans="1:8" x14ac:dyDescent="0.25">
      <c r="A141" s="8">
        <v>42992.590370370373</v>
      </c>
      <c r="B141" s="20" t="s">
        <v>402</v>
      </c>
      <c r="C141" s="20" t="s">
        <v>725</v>
      </c>
      <c r="D141" s="138">
        <v>2140000</v>
      </c>
      <c r="E141" s="20" t="s">
        <v>509</v>
      </c>
      <c r="F141" s="20" t="s">
        <v>510</v>
      </c>
      <c r="G141" s="8" t="str">
        <f t="shared" si="4"/>
        <v>ROBINSON KADDIBA</v>
      </c>
      <c r="H141" s="20" t="str">
        <f t="shared" si="5"/>
        <v>4031</v>
      </c>
    </row>
    <row r="142" spans="1:8" x14ac:dyDescent="0.25">
      <c r="A142" s="8">
        <v>42992.591157407405</v>
      </c>
      <c r="B142" s="20" t="s">
        <v>447</v>
      </c>
      <c r="C142" s="20" t="s">
        <v>726</v>
      </c>
      <c r="D142" s="138">
        <v>2550000</v>
      </c>
      <c r="E142" s="20" t="s">
        <v>708</v>
      </c>
      <c r="F142" s="20" t="s">
        <v>709</v>
      </c>
      <c r="G142" s="8" t="str">
        <f t="shared" si="4"/>
        <v>BADERTSCHER DIANE</v>
      </c>
      <c r="H142" s="20" t="str">
        <f t="shared" si="5"/>
        <v>4058</v>
      </c>
    </row>
    <row r="143" spans="1:8" x14ac:dyDescent="0.25">
      <c r="A143" s="8">
        <v>42992.591319444444</v>
      </c>
      <c r="B143" s="20" t="s">
        <v>392</v>
      </c>
      <c r="C143" s="20" t="s">
        <v>727</v>
      </c>
      <c r="D143" s="138">
        <v>1300000</v>
      </c>
      <c r="E143" s="20" t="s">
        <v>469</v>
      </c>
      <c r="F143" s="20" t="s">
        <v>470</v>
      </c>
      <c r="G143" s="8" t="str">
        <f t="shared" si="4"/>
        <v>LEVIN SCOTT</v>
      </c>
      <c r="H143" s="20" t="str">
        <f t="shared" si="5"/>
        <v>4061</v>
      </c>
    </row>
    <row r="144" spans="1:8" x14ac:dyDescent="0.25">
      <c r="A144" s="8">
        <v>42992.599236111113</v>
      </c>
      <c r="B144" s="20" t="s">
        <v>428</v>
      </c>
      <c r="C144" s="20" t="s">
        <v>728</v>
      </c>
      <c r="D144" s="138">
        <v>2420000</v>
      </c>
      <c r="E144" s="20" t="s">
        <v>511</v>
      </c>
      <c r="F144" s="20" t="s">
        <v>512</v>
      </c>
      <c r="G144" s="8" t="str">
        <f t="shared" si="4"/>
        <v>HOLCOMB KAMDEN</v>
      </c>
      <c r="H144" s="20" t="str">
        <f t="shared" si="5"/>
        <v>4026</v>
      </c>
    </row>
    <row r="145" spans="1:8" x14ac:dyDescent="0.25">
      <c r="A145" s="8">
        <v>42992.601122685184</v>
      </c>
      <c r="B145" s="20" t="s">
        <v>604</v>
      </c>
      <c r="C145" s="20" t="s">
        <v>729</v>
      </c>
      <c r="D145" s="138">
        <v>2000000</v>
      </c>
      <c r="E145" s="20" t="s">
        <v>435</v>
      </c>
      <c r="F145" s="20" t="s">
        <v>380</v>
      </c>
      <c r="G145" s="8" t="str">
        <f t="shared" si="4"/>
        <v>STAMBAUGH JAMES</v>
      </c>
      <c r="H145" s="20" t="str">
        <f t="shared" si="5"/>
        <v>4033</v>
      </c>
    </row>
    <row r="146" spans="1:8" x14ac:dyDescent="0.25">
      <c r="A146" s="8">
        <v>42992.607152777775</v>
      </c>
      <c r="B146" s="20" t="s">
        <v>523</v>
      </c>
      <c r="C146" s="20" t="s">
        <v>730</v>
      </c>
      <c r="D146" s="138">
        <v>2370000</v>
      </c>
      <c r="E146" s="20" t="s">
        <v>507</v>
      </c>
      <c r="F146" s="20" t="s">
        <v>508</v>
      </c>
      <c r="G146" s="8" t="str">
        <f t="shared" si="4"/>
        <v>DELGADO DIANAH</v>
      </c>
      <c r="H146" s="20" t="str">
        <f t="shared" si="5"/>
        <v>4003</v>
      </c>
    </row>
    <row r="147" spans="1:8" x14ac:dyDescent="0.25">
      <c r="A147" s="8">
        <v>42992.610972222225</v>
      </c>
      <c r="B147" s="20" t="s">
        <v>376</v>
      </c>
      <c r="C147" s="20" t="s">
        <v>731</v>
      </c>
      <c r="D147" s="138">
        <v>2030000</v>
      </c>
      <c r="E147" s="20" t="s">
        <v>513</v>
      </c>
      <c r="F147" s="20" t="s">
        <v>514</v>
      </c>
      <c r="G147" s="8" t="str">
        <f t="shared" si="4"/>
        <v>KILLION DAVID</v>
      </c>
      <c r="H147" s="20" t="str">
        <f t="shared" si="5"/>
        <v>4030</v>
      </c>
    </row>
    <row r="148" spans="1:8" x14ac:dyDescent="0.25">
      <c r="A148" s="8">
        <v>42992.618368055555</v>
      </c>
      <c r="B148" s="20" t="s">
        <v>592</v>
      </c>
      <c r="C148" s="20" t="s">
        <v>732</v>
      </c>
      <c r="D148" s="138">
        <v>1180000</v>
      </c>
      <c r="E148" s="20" t="s">
        <v>384</v>
      </c>
      <c r="F148" s="20" t="s">
        <v>385</v>
      </c>
      <c r="G148" s="8" t="str">
        <f t="shared" si="4"/>
        <v>LEVERE CRAIG</v>
      </c>
      <c r="H148" s="20" t="str">
        <f t="shared" si="5"/>
        <v>4001</v>
      </c>
    </row>
    <row r="149" spans="1:8" x14ac:dyDescent="0.25">
      <c r="A149" s="8">
        <v>42992.623078703706</v>
      </c>
      <c r="B149" s="20" t="s">
        <v>386</v>
      </c>
      <c r="C149" s="20" t="s">
        <v>733</v>
      </c>
      <c r="D149" s="138">
        <v>2040000</v>
      </c>
      <c r="E149" s="20" t="s">
        <v>467</v>
      </c>
      <c r="F149" s="20" t="s">
        <v>468</v>
      </c>
      <c r="G149" s="8" t="str">
        <f t="shared" si="4"/>
        <v>MOSES BRADLEY</v>
      </c>
      <c r="H149" s="20" t="str">
        <f t="shared" si="5"/>
        <v>4032</v>
      </c>
    </row>
    <row r="150" spans="1:8" x14ac:dyDescent="0.25">
      <c r="A150" s="8">
        <v>42992.625810185185</v>
      </c>
      <c r="B150" s="20" t="s">
        <v>598</v>
      </c>
      <c r="C150" s="20" t="s">
        <v>734</v>
      </c>
      <c r="D150" s="138">
        <v>2550000</v>
      </c>
      <c r="E150" s="20" t="s">
        <v>708</v>
      </c>
      <c r="F150" s="20" t="s">
        <v>709</v>
      </c>
      <c r="G150" s="8" t="str">
        <f t="shared" si="4"/>
        <v>BADERTSCHER DIANE</v>
      </c>
      <c r="H150" s="20" t="str">
        <f t="shared" si="5"/>
        <v>4057</v>
      </c>
    </row>
    <row r="151" spans="1:8" x14ac:dyDescent="0.25">
      <c r="A151" s="8">
        <v>42992.630011574074</v>
      </c>
      <c r="B151" s="20" t="s">
        <v>580</v>
      </c>
      <c r="C151" s="20" t="s">
        <v>601</v>
      </c>
      <c r="D151" s="138">
        <v>2000000</v>
      </c>
      <c r="E151" s="20" t="s">
        <v>435</v>
      </c>
      <c r="F151" s="20" t="s">
        <v>380</v>
      </c>
      <c r="G151" s="8" t="str">
        <f t="shared" si="4"/>
        <v>STAMBAUGH JAMES</v>
      </c>
      <c r="H151" s="20" t="str">
        <f t="shared" si="5"/>
        <v>4034</v>
      </c>
    </row>
    <row r="152" spans="1:8" x14ac:dyDescent="0.25">
      <c r="A152" s="8">
        <v>42992.631736111114</v>
      </c>
      <c r="B152" s="20" t="s">
        <v>408</v>
      </c>
      <c r="C152" s="20" t="s">
        <v>735</v>
      </c>
      <c r="D152" s="138">
        <v>1300000</v>
      </c>
      <c r="E152" s="20" t="s">
        <v>469</v>
      </c>
      <c r="F152" s="20" t="s">
        <v>470</v>
      </c>
      <c r="G152" s="8" t="str">
        <f t="shared" si="4"/>
        <v>LEVIN SCOTT</v>
      </c>
      <c r="H152" s="20" t="str">
        <f t="shared" si="5"/>
        <v>4062</v>
      </c>
    </row>
    <row r="153" spans="1:8" x14ac:dyDescent="0.25">
      <c r="A153" s="8">
        <v>42992.639930555553</v>
      </c>
      <c r="B153" s="20" t="s">
        <v>499</v>
      </c>
      <c r="C153" s="20" t="s">
        <v>736</v>
      </c>
      <c r="D153" s="138">
        <v>2420000</v>
      </c>
      <c r="E153" s="20" t="s">
        <v>511</v>
      </c>
      <c r="F153" s="20" t="s">
        <v>512</v>
      </c>
      <c r="G153" s="8" t="str">
        <f t="shared" si="4"/>
        <v>HOLCOMB KAMDEN</v>
      </c>
      <c r="H153" s="20" t="str">
        <f t="shared" si="5"/>
        <v>4025</v>
      </c>
    </row>
    <row r="154" spans="1:8" x14ac:dyDescent="0.25">
      <c r="A154" s="8">
        <v>42992.640046296299</v>
      </c>
      <c r="B154" s="20" t="s">
        <v>594</v>
      </c>
      <c r="C154" s="20" t="s">
        <v>602</v>
      </c>
      <c r="D154" s="138">
        <v>2370000</v>
      </c>
      <c r="E154" s="20" t="s">
        <v>507</v>
      </c>
      <c r="F154" s="20" t="s">
        <v>508</v>
      </c>
      <c r="G154" s="8" t="str">
        <f t="shared" si="4"/>
        <v>DELGADO DIANAH</v>
      </c>
      <c r="H154" s="20" t="str">
        <f t="shared" si="5"/>
        <v>4004</v>
      </c>
    </row>
    <row r="155" spans="1:8" x14ac:dyDescent="0.25">
      <c r="A155" s="8">
        <v>42992.640960648147</v>
      </c>
      <c r="B155" s="20" t="s">
        <v>575</v>
      </c>
      <c r="C155" s="20" t="s">
        <v>737</v>
      </c>
      <c r="D155" s="138">
        <v>2680000</v>
      </c>
      <c r="E155" s="20" t="s">
        <v>390</v>
      </c>
      <c r="F155" s="20" t="s">
        <v>391</v>
      </c>
      <c r="G155" s="8" t="str">
        <f t="shared" si="4"/>
        <v>DUNCAN SHEILA</v>
      </c>
      <c r="H155" s="20" t="str">
        <f t="shared" si="5"/>
        <v>4013</v>
      </c>
    </row>
    <row r="156" spans="1:8" x14ac:dyDescent="0.25">
      <c r="A156" s="8">
        <v>42992.642465277779</v>
      </c>
      <c r="B156" s="20" t="s">
        <v>604</v>
      </c>
      <c r="C156" s="20" t="s">
        <v>605</v>
      </c>
      <c r="D156" s="138">
        <v>2000000</v>
      </c>
      <c r="E156" s="20" t="s">
        <v>435</v>
      </c>
      <c r="F156" s="20" t="s">
        <v>380</v>
      </c>
      <c r="G156" s="8" t="str">
        <f t="shared" si="4"/>
        <v>STAMBAUGH JAMES</v>
      </c>
      <c r="H156" s="20" t="str">
        <f t="shared" si="5"/>
        <v>4033</v>
      </c>
    </row>
    <row r="157" spans="1:8" x14ac:dyDescent="0.25">
      <c r="A157" s="8">
        <v>42992.648645833331</v>
      </c>
      <c r="B157" s="20" t="s">
        <v>427</v>
      </c>
      <c r="C157" s="20" t="s">
        <v>606</v>
      </c>
      <c r="D157" s="138">
        <v>2030000</v>
      </c>
      <c r="E157" s="20" t="s">
        <v>513</v>
      </c>
      <c r="F157" s="20" t="s">
        <v>514</v>
      </c>
      <c r="G157" s="8" t="str">
        <f t="shared" si="4"/>
        <v>KILLION DAVID</v>
      </c>
      <c r="H157" s="20" t="str">
        <f t="shared" si="5"/>
        <v>4029</v>
      </c>
    </row>
    <row r="158" spans="1:8" x14ac:dyDescent="0.25">
      <c r="A158" s="8">
        <v>42992.650648148148</v>
      </c>
      <c r="B158" s="20" t="s">
        <v>573</v>
      </c>
      <c r="C158" s="20" t="s">
        <v>603</v>
      </c>
      <c r="D158" s="138">
        <v>2680000</v>
      </c>
      <c r="E158" s="20" t="s">
        <v>390</v>
      </c>
      <c r="F158" s="20" t="s">
        <v>391</v>
      </c>
      <c r="G158" s="8" t="str">
        <f t="shared" si="4"/>
        <v>DUNCAN SHEILA</v>
      </c>
      <c r="H158" s="20" t="str">
        <f t="shared" si="5"/>
        <v>4014</v>
      </c>
    </row>
    <row r="159" spans="1:8" x14ac:dyDescent="0.25">
      <c r="A159" s="8">
        <v>42992.652372685188</v>
      </c>
      <c r="B159" s="20" t="s">
        <v>426</v>
      </c>
      <c r="C159" s="20" t="s">
        <v>738</v>
      </c>
      <c r="D159" s="138">
        <v>1180000</v>
      </c>
      <c r="E159" s="20" t="s">
        <v>384</v>
      </c>
      <c r="F159" s="20" t="s">
        <v>385</v>
      </c>
      <c r="G159" s="8" t="str">
        <f t="shared" si="4"/>
        <v>LEVERE CRAIG</v>
      </c>
      <c r="H159" s="20" t="str">
        <f t="shared" si="5"/>
        <v>4002</v>
      </c>
    </row>
    <row r="160" spans="1:8" x14ac:dyDescent="0.25">
      <c r="A160" s="8">
        <v>42992.661793981482</v>
      </c>
      <c r="B160" s="20" t="s">
        <v>402</v>
      </c>
      <c r="C160" s="20" t="s">
        <v>739</v>
      </c>
      <c r="D160" s="138">
        <v>2040000</v>
      </c>
      <c r="E160" s="20" t="s">
        <v>467</v>
      </c>
      <c r="F160" s="20" t="s">
        <v>468</v>
      </c>
      <c r="G160" s="8" t="str">
        <f t="shared" si="4"/>
        <v>MOSES BRADLEY</v>
      </c>
      <c r="H160" s="20" t="str">
        <f t="shared" si="5"/>
        <v>4031</v>
      </c>
    </row>
    <row r="161" spans="1:8" x14ac:dyDescent="0.25">
      <c r="A161" s="8">
        <v>42992.663518518515</v>
      </c>
      <c r="B161" s="20" t="s">
        <v>407</v>
      </c>
      <c r="C161" s="20" t="s">
        <v>716</v>
      </c>
      <c r="D161" s="138">
        <v>1810000</v>
      </c>
      <c r="E161" s="20" t="s">
        <v>464</v>
      </c>
      <c r="F161" s="20" t="s">
        <v>380</v>
      </c>
      <c r="G161" s="8" t="str">
        <f t="shared" si="4"/>
        <v>NEWELL JAMES</v>
      </c>
      <c r="H161" s="20" t="str">
        <f t="shared" si="5"/>
        <v>4060</v>
      </c>
    </row>
    <row r="162" spans="1:8" x14ac:dyDescent="0.25">
      <c r="A162" s="8">
        <v>42992.664351851854</v>
      </c>
      <c r="B162" s="20" t="s">
        <v>447</v>
      </c>
      <c r="C162" s="20" t="s">
        <v>740</v>
      </c>
      <c r="D162" s="138">
        <v>2550000</v>
      </c>
      <c r="E162" s="20" t="s">
        <v>708</v>
      </c>
      <c r="F162" s="20" t="s">
        <v>709</v>
      </c>
      <c r="G162" s="8" t="str">
        <f t="shared" si="4"/>
        <v>BADERTSCHER DIANE</v>
      </c>
      <c r="H162" s="20" t="str">
        <f t="shared" si="5"/>
        <v>4058</v>
      </c>
    </row>
    <row r="163" spans="1:8" x14ac:dyDescent="0.25">
      <c r="A163" s="8">
        <v>42992.664918981478</v>
      </c>
      <c r="B163" s="20" t="s">
        <v>392</v>
      </c>
      <c r="C163" s="20" t="s">
        <v>741</v>
      </c>
      <c r="D163" s="138">
        <v>1300000</v>
      </c>
      <c r="E163" s="20" t="s">
        <v>469</v>
      </c>
      <c r="F163" s="20" t="s">
        <v>470</v>
      </c>
      <c r="G163" s="8" t="str">
        <f t="shared" si="4"/>
        <v>LEVIN SCOTT</v>
      </c>
      <c r="H163" s="20" t="str">
        <f t="shared" si="5"/>
        <v>4061</v>
      </c>
    </row>
    <row r="164" spans="1:8" x14ac:dyDescent="0.25">
      <c r="A164" s="8">
        <v>42992.665196759262</v>
      </c>
      <c r="B164" s="20" t="s">
        <v>575</v>
      </c>
      <c r="C164" s="20" t="s">
        <v>742</v>
      </c>
      <c r="D164" s="138">
        <v>2680000</v>
      </c>
      <c r="E164" s="20" t="s">
        <v>390</v>
      </c>
      <c r="F164" s="20" t="s">
        <v>391</v>
      </c>
      <c r="G164" s="8" t="str">
        <f t="shared" si="4"/>
        <v>DUNCAN SHEILA</v>
      </c>
      <c r="H164" s="20" t="str">
        <f t="shared" si="5"/>
        <v>4013</v>
      </c>
    </row>
    <row r="165" spans="1:8" x14ac:dyDescent="0.25">
      <c r="A165" s="8">
        <v>42992.668703703705</v>
      </c>
      <c r="B165" s="20" t="s">
        <v>580</v>
      </c>
      <c r="C165" s="20" t="s">
        <v>743</v>
      </c>
      <c r="D165" s="138">
        <v>2000000</v>
      </c>
      <c r="E165" s="20" t="s">
        <v>435</v>
      </c>
      <c r="F165" s="20" t="s">
        <v>380</v>
      </c>
      <c r="G165" s="8" t="str">
        <f t="shared" si="4"/>
        <v>STAMBAUGH JAMES</v>
      </c>
      <c r="H165" s="20" t="str">
        <f t="shared" si="5"/>
        <v>4034</v>
      </c>
    </row>
    <row r="166" spans="1:8" x14ac:dyDescent="0.25">
      <c r="A166" s="8">
        <v>42992.674050925925</v>
      </c>
      <c r="B166" s="20" t="s">
        <v>523</v>
      </c>
      <c r="C166" s="20" t="s">
        <v>744</v>
      </c>
      <c r="D166" s="138">
        <v>2370000</v>
      </c>
      <c r="E166" s="20" t="s">
        <v>507</v>
      </c>
      <c r="F166" s="20" t="s">
        <v>508</v>
      </c>
      <c r="G166" s="8" t="str">
        <f t="shared" si="4"/>
        <v>DELGADO DIANAH</v>
      </c>
      <c r="H166" s="20" t="str">
        <f t="shared" si="5"/>
        <v>4003</v>
      </c>
    </row>
    <row r="167" spans="1:8" x14ac:dyDescent="0.25">
      <c r="A167" s="8">
        <v>42992.674120370371</v>
      </c>
      <c r="B167" s="20" t="s">
        <v>428</v>
      </c>
      <c r="C167" s="20" t="s">
        <v>745</v>
      </c>
      <c r="D167" s="138">
        <v>2420000</v>
      </c>
      <c r="E167" s="20" t="s">
        <v>511</v>
      </c>
      <c r="F167" s="20" t="s">
        <v>512</v>
      </c>
      <c r="G167" s="8" t="str">
        <f t="shared" si="4"/>
        <v>HOLCOMB KAMDEN</v>
      </c>
      <c r="H167" s="20" t="str">
        <f t="shared" si="5"/>
        <v>4026</v>
      </c>
    </row>
    <row r="168" spans="1:8" x14ac:dyDescent="0.25">
      <c r="A168" s="8">
        <v>42992.684907407405</v>
      </c>
      <c r="B168" s="20" t="s">
        <v>376</v>
      </c>
      <c r="C168" s="20" t="s">
        <v>746</v>
      </c>
      <c r="D168" s="138">
        <v>1770000</v>
      </c>
      <c r="E168" s="20" t="s">
        <v>465</v>
      </c>
      <c r="F168" s="20" t="s">
        <v>466</v>
      </c>
      <c r="G168" s="8" t="str">
        <f t="shared" si="4"/>
        <v>BRUDER RICHARD</v>
      </c>
      <c r="H168" s="20" t="str">
        <f t="shared" si="5"/>
        <v>4030</v>
      </c>
    </row>
    <row r="169" spans="1:8" x14ac:dyDescent="0.25">
      <c r="A169" s="8">
        <v>42992.685439814813</v>
      </c>
      <c r="B169" s="20" t="s">
        <v>604</v>
      </c>
      <c r="C169" s="20" t="s">
        <v>608</v>
      </c>
      <c r="D169" s="138">
        <v>2000000</v>
      </c>
      <c r="E169" s="20" t="s">
        <v>435</v>
      </c>
      <c r="F169" s="20" t="s">
        <v>380</v>
      </c>
      <c r="G169" s="8" t="str">
        <f t="shared" si="4"/>
        <v>STAMBAUGH JAMES</v>
      </c>
      <c r="H169" s="20" t="str">
        <f t="shared" si="5"/>
        <v>4033</v>
      </c>
    </row>
    <row r="170" spans="1:8" x14ac:dyDescent="0.25">
      <c r="A170" s="8">
        <v>42992.688981481479</v>
      </c>
      <c r="B170" s="20" t="s">
        <v>573</v>
      </c>
      <c r="C170" s="20" t="s">
        <v>607</v>
      </c>
      <c r="D170" s="138">
        <v>3130000</v>
      </c>
      <c r="E170" s="20" t="s">
        <v>471</v>
      </c>
      <c r="F170" s="20" t="s">
        <v>472</v>
      </c>
      <c r="G170" s="8" t="str">
        <f t="shared" si="4"/>
        <v>ZEWDU DEREJE</v>
      </c>
      <c r="H170" s="20" t="str">
        <f t="shared" si="5"/>
        <v>4014</v>
      </c>
    </row>
    <row r="171" spans="1:8" x14ac:dyDescent="0.25">
      <c r="A171" s="8">
        <v>42992.693078703705</v>
      </c>
      <c r="B171" s="20" t="s">
        <v>592</v>
      </c>
      <c r="C171" s="20" t="s">
        <v>609</v>
      </c>
      <c r="D171" s="138">
        <v>1180000</v>
      </c>
      <c r="E171" s="20" t="s">
        <v>384</v>
      </c>
      <c r="F171" s="20" t="s">
        <v>385</v>
      </c>
      <c r="G171" s="8" t="str">
        <f t="shared" si="4"/>
        <v>LEVERE CRAIG</v>
      </c>
      <c r="H171" s="20" t="str">
        <f t="shared" si="5"/>
        <v>4001</v>
      </c>
    </row>
    <row r="172" spans="1:8" x14ac:dyDescent="0.25">
      <c r="A172" s="8">
        <v>42992.693564814814</v>
      </c>
      <c r="B172" s="20" t="s">
        <v>386</v>
      </c>
      <c r="C172" s="20" t="s">
        <v>747</v>
      </c>
      <c r="D172" s="138">
        <v>2040000</v>
      </c>
      <c r="E172" s="20" t="s">
        <v>467</v>
      </c>
      <c r="F172" s="20" t="s">
        <v>468</v>
      </c>
      <c r="G172" s="8" t="str">
        <f t="shared" si="4"/>
        <v>MOSES BRADLEY</v>
      </c>
      <c r="H172" s="20" t="str">
        <f t="shared" si="5"/>
        <v>4032</v>
      </c>
    </row>
    <row r="173" spans="1:8" x14ac:dyDescent="0.25">
      <c r="A173" s="8">
        <v>42992.696643518517</v>
      </c>
      <c r="B173" s="20" t="s">
        <v>748</v>
      </c>
      <c r="C173" s="20" t="s">
        <v>749</v>
      </c>
      <c r="D173" s="138">
        <v>2140000</v>
      </c>
      <c r="E173" s="20" t="s">
        <v>509</v>
      </c>
      <c r="F173" s="20" t="s">
        <v>510</v>
      </c>
      <c r="G173" s="8" t="str">
        <f t="shared" si="4"/>
        <v>ROBINSON KADDIBA</v>
      </c>
      <c r="H173" s="20" t="str">
        <f t="shared" si="5"/>
        <v>4012</v>
      </c>
    </row>
    <row r="174" spans="1:8" x14ac:dyDescent="0.25">
      <c r="A174" s="8">
        <v>42992.699652777781</v>
      </c>
      <c r="B174" s="20" t="s">
        <v>598</v>
      </c>
      <c r="C174" s="20" t="s">
        <v>610</v>
      </c>
      <c r="D174" s="138">
        <v>2550000</v>
      </c>
      <c r="E174" s="20" t="s">
        <v>708</v>
      </c>
      <c r="F174" s="20" t="s">
        <v>709</v>
      </c>
      <c r="G174" s="8" t="str">
        <f t="shared" si="4"/>
        <v>BADERTSCHER DIANE</v>
      </c>
      <c r="H174" s="20" t="str">
        <f t="shared" si="5"/>
        <v>4057</v>
      </c>
    </row>
    <row r="175" spans="1:8" x14ac:dyDescent="0.25">
      <c r="A175" s="8">
        <v>42992.704305555555</v>
      </c>
      <c r="B175" s="20" t="s">
        <v>408</v>
      </c>
      <c r="C175" s="20" t="s">
        <v>750</v>
      </c>
      <c r="D175" s="138">
        <v>1300000</v>
      </c>
      <c r="E175" s="20" t="s">
        <v>469</v>
      </c>
      <c r="F175" s="20" t="s">
        <v>470</v>
      </c>
      <c r="G175" s="8" t="str">
        <f t="shared" si="4"/>
        <v>LEVIN SCOTT</v>
      </c>
      <c r="H175" s="20" t="str">
        <f t="shared" si="5"/>
        <v>4062</v>
      </c>
    </row>
    <row r="176" spans="1:8" x14ac:dyDescent="0.25">
      <c r="A176" s="8">
        <v>42992.706759259258</v>
      </c>
      <c r="B176" s="20" t="s">
        <v>575</v>
      </c>
      <c r="C176" s="20" t="s">
        <v>751</v>
      </c>
      <c r="D176" s="138">
        <v>3130000</v>
      </c>
      <c r="E176" s="20" t="s">
        <v>471</v>
      </c>
      <c r="F176" s="20" t="s">
        <v>472</v>
      </c>
      <c r="G176" s="8" t="str">
        <f t="shared" si="4"/>
        <v>ZEWDU DEREJE</v>
      </c>
      <c r="H176" s="20" t="str">
        <f t="shared" si="5"/>
        <v>4013</v>
      </c>
    </row>
    <row r="177" spans="1:8" x14ac:dyDescent="0.25">
      <c r="A177" s="8">
        <v>42992.71234953704</v>
      </c>
      <c r="B177" s="20" t="s">
        <v>580</v>
      </c>
      <c r="C177" s="20" t="s">
        <v>752</v>
      </c>
      <c r="D177" s="138">
        <v>2000000</v>
      </c>
      <c r="E177" s="20" t="s">
        <v>435</v>
      </c>
      <c r="F177" s="20" t="s">
        <v>380</v>
      </c>
      <c r="G177" s="8" t="str">
        <f t="shared" si="4"/>
        <v>STAMBAUGH JAMES</v>
      </c>
      <c r="H177" s="20" t="str">
        <f t="shared" si="5"/>
        <v>4034</v>
      </c>
    </row>
    <row r="178" spans="1:8" x14ac:dyDescent="0.25">
      <c r="A178" s="8">
        <v>42992.713113425925</v>
      </c>
      <c r="B178" s="20" t="s">
        <v>499</v>
      </c>
      <c r="C178" s="20" t="s">
        <v>753</v>
      </c>
      <c r="D178" s="138">
        <v>2420000</v>
      </c>
      <c r="E178" s="20" t="s">
        <v>511</v>
      </c>
      <c r="F178" s="20" t="s">
        <v>512</v>
      </c>
      <c r="G178" s="8" t="str">
        <f t="shared" si="4"/>
        <v>HOLCOMB KAMDEN</v>
      </c>
      <c r="H178" s="20" t="str">
        <f t="shared" si="5"/>
        <v>4025</v>
      </c>
    </row>
    <row r="179" spans="1:8" x14ac:dyDescent="0.25">
      <c r="A179" s="8">
        <v>42992.715601851851</v>
      </c>
      <c r="B179" s="20" t="s">
        <v>594</v>
      </c>
      <c r="C179" s="20" t="s">
        <v>754</v>
      </c>
      <c r="D179" s="138">
        <v>2370000</v>
      </c>
      <c r="E179" s="20" t="s">
        <v>507</v>
      </c>
      <c r="F179" s="20" t="s">
        <v>508</v>
      </c>
      <c r="G179" s="8" t="str">
        <f t="shared" si="4"/>
        <v>DELGADO DIANAH</v>
      </c>
      <c r="H179" s="20" t="str">
        <f t="shared" si="5"/>
        <v>4004</v>
      </c>
    </row>
    <row r="180" spans="1:8" x14ac:dyDescent="0.25">
      <c r="A180" s="8">
        <v>42992.724120370367</v>
      </c>
      <c r="B180" s="20" t="s">
        <v>427</v>
      </c>
      <c r="C180" s="20" t="s">
        <v>755</v>
      </c>
      <c r="D180" s="138">
        <v>1770000</v>
      </c>
      <c r="E180" s="20" t="s">
        <v>465</v>
      </c>
      <c r="F180" s="20" t="s">
        <v>466</v>
      </c>
      <c r="G180" s="8" t="str">
        <f t="shared" si="4"/>
        <v>BRUDER RICHARD</v>
      </c>
      <c r="H180" s="20" t="str">
        <f t="shared" si="5"/>
        <v>4029</v>
      </c>
    </row>
    <row r="181" spans="1:8" x14ac:dyDescent="0.25">
      <c r="A181" s="8">
        <v>42992.727407407408</v>
      </c>
      <c r="B181" s="20" t="s">
        <v>426</v>
      </c>
      <c r="C181" s="20" t="s">
        <v>756</v>
      </c>
      <c r="D181" s="138">
        <v>1180000</v>
      </c>
      <c r="E181" s="20" t="s">
        <v>384</v>
      </c>
      <c r="F181" s="20" t="s">
        <v>385</v>
      </c>
      <c r="G181" s="8" t="str">
        <f t="shared" si="4"/>
        <v>LEVERE CRAIG</v>
      </c>
      <c r="H181" s="20" t="str">
        <f t="shared" si="5"/>
        <v>4002</v>
      </c>
    </row>
    <row r="182" spans="1:8" x14ac:dyDescent="0.25">
      <c r="A182" s="8">
        <v>42992.727592592593</v>
      </c>
      <c r="B182" s="20" t="s">
        <v>604</v>
      </c>
      <c r="C182" s="20" t="s">
        <v>757</v>
      </c>
      <c r="D182" s="138">
        <v>2000000</v>
      </c>
      <c r="E182" s="20" t="s">
        <v>435</v>
      </c>
      <c r="F182" s="20" t="s">
        <v>380</v>
      </c>
      <c r="G182" s="8" t="str">
        <f t="shared" si="4"/>
        <v>STAMBAUGH JAMES</v>
      </c>
      <c r="H182" s="20" t="str">
        <f t="shared" si="5"/>
        <v>4033</v>
      </c>
    </row>
    <row r="183" spans="1:8" x14ac:dyDescent="0.25">
      <c r="A183" s="8">
        <v>42992.733495370368</v>
      </c>
      <c r="B183" s="20" t="s">
        <v>573</v>
      </c>
      <c r="C183" s="20" t="s">
        <v>611</v>
      </c>
      <c r="D183" s="138">
        <v>2680000</v>
      </c>
      <c r="E183" s="20" t="s">
        <v>390</v>
      </c>
      <c r="F183" s="20" t="s">
        <v>391</v>
      </c>
      <c r="G183" s="8" t="str">
        <f t="shared" si="4"/>
        <v>DUNCAN SHEILA</v>
      </c>
      <c r="H183" s="20" t="str">
        <f t="shared" si="5"/>
        <v>4014</v>
      </c>
    </row>
    <row r="184" spans="1:8" x14ac:dyDescent="0.25">
      <c r="A184" s="8">
        <v>42992.733622685184</v>
      </c>
      <c r="B184" s="20" t="s">
        <v>402</v>
      </c>
      <c r="C184" s="20" t="s">
        <v>758</v>
      </c>
      <c r="D184" s="138">
        <v>2040000</v>
      </c>
      <c r="E184" s="20" t="s">
        <v>467</v>
      </c>
      <c r="F184" s="20" t="s">
        <v>468</v>
      </c>
      <c r="G184" s="8" t="str">
        <f t="shared" si="4"/>
        <v>MOSES BRADLEY</v>
      </c>
      <c r="H184" s="20" t="str">
        <f t="shared" si="5"/>
        <v>4031</v>
      </c>
    </row>
    <row r="185" spans="1:8" x14ac:dyDescent="0.25">
      <c r="A185" s="8">
        <v>42992.736898148149</v>
      </c>
      <c r="B185" s="20" t="s">
        <v>447</v>
      </c>
      <c r="C185" s="20" t="s">
        <v>759</v>
      </c>
      <c r="D185" s="138">
        <v>890000</v>
      </c>
      <c r="E185" s="20" t="s">
        <v>373</v>
      </c>
      <c r="F185" s="20" t="s">
        <v>374</v>
      </c>
      <c r="G185" s="8" t="str">
        <f t="shared" si="4"/>
        <v>LOZA FIDEL</v>
      </c>
      <c r="H185" s="20" t="str">
        <f t="shared" si="5"/>
        <v>4058</v>
      </c>
    </row>
    <row r="186" spans="1:8" x14ac:dyDescent="0.25">
      <c r="A186" s="8">
        <v>42992.73847222222</v>
      </c>
      <c r="B186" s="20" t="s">
        <v>392</v>
      </c>
      <c r="C186" s="20" t="s">
        <v>760</v>
      </c>
      <c r="D186" s="138">
        <v>1300000</v>
      </c>
      <c r="E186" s="20" t="s">
        <v>469</v>
      </c>
      <c r="F186" s="20" t="s">
        <v>470</v>
      </c>
      <c r="G186" s="8" t="str">
        <f t="shared" si="4"/>
        <v>LEVIN SCOTT</v>
      </c>
      <c r="H186" s="20" t="str">
        <f t="shared" si="5"/>
        <v>4061</v>
      </c>
    </row>
    <row r="187" spans="1:8" x14ac:dyDescent="0.25">
      <c r="A187" s="8">
        <v>42992.741099537037</v>
      </c>
      <c r="B187" s="20" t="s">
        <v>389</v>
      </c>
      <c r="C187" s="20" t="s">
        <v>612</v>
      </c>
      <c r="D187" s="138">
        <v>3320000</v>
      </c>
      <c r="E187" s="20" t="s">
        <v>409</v>
      </c>
      <c r="F187" s="20" t="s">
        <v>410</v>
      </c>
      <c r="G187" s="8" t="str">
        <f t="shared" si="4"/>
        <v>NICHOLSON WESLEY</v>
      </c>
      <c r="H187" s="20" t="str">
        <f t="shared" si="5"/>
        <v>4009</v>
      </c>
    </row>
    <row r="188" spans="1:8" x14ac:dyDescent="0.25">
      <c r="A188" s="8">
        <v>42992.743784722225</v>
      </c>
      <c r="B188" s="20" t="s">
        <v>389</v>
      </c>
      <c r="C188" s="20" t="s">
        <v>612</v>
      </c>
      <c r="D188" s="138">
        <v>3320000</v>
      </c>
      <c r="E188" s="20" t="s">
        <v>409</v>
      </c>
      <c r="F188" s="20" t="s">
        <v>410</v>
      </c>
      <c r="G188" s="8" t="str">
        <f t="shared" si="4"/>
        <v>NICHOLSON WESLEY</v>
      </c>
      <c r="H188" s="20" t="str">
        <f t="shared" si="5"/>
        <v>4009</v>
      </c>
    </row>
    <row r="189" spans="1:8" x14ac:dyDescent="0.25">
      <c r="A189" s="8">
        <v>42992.745682870373</v>
      </c>
      <c r="B189" s="20" t="s">
        <v>428</v>
      </c>
      <c r="C189" s="20" t="s">
        <v>761</v>
      </c>
      <c r="D189" s="138">
        <v>3130000</v>
      </c>
      <c r="E189" s="20" t="s">
        <v>471</v>
      </c>
      <c r="F189" s="20" t="s">
        <v>472</v>
      </c>
      <c r="G189" s="8" t="str">
        <f t="shared" si="4"/>
        <v>ZEWDU DEREJE</v>
      </c>
      <c r="H189" s="20" t="str">
        <f t="shared" si="5"/>
        <v>4026</v>
      </c>
    </row>
    <row r="190" spans="1:8" x14ac:dyDescent="0.25">
      <c r="A190" s="8">
        <v>42992.748333333337</v>
      </c>
      <c r="B190" s="20" t="s">
        <v>575</v>
      </c>
      <c r="C190" s="20" t="s">
        <v>762</v>
      </c>
      <c r="D190" s="138">
        <v>2680000</v>
      </c>
      <c r="E190" s="20" t="s">
        <v>390</v>
      </c>
      <c r="F190" s="20" t="s">
        <v>391</v>
      </c>
      <c r="G190" s="8" t="str">
        <f t="shared" si="4"/>
        <v>DUNCAN SHEILA</v>
      </c>
      <c r="H190" s="20" t="str">
        <f t="shared" si="5"/>
        <v>4013</v>
      </c>
    </row>
    <row r="191" spans="1:8" x14ac:dyDescent="0.25">
      <c r="A191" s="8">
        <v>42992.7499537037</v>
      </c>
      <c r="B191" s="20" t="s">
        <v>523</v>
      </c>
      <c r="C191" s="20" t="s">
        <v>763</v>
      </c>
      <c r="D191" s="138">
        <v>2370000</v>
      </c>
      <c r="E191" s="20" t="s">
        <v>507</v>
      </c>
      <c r="F191" s="20" t="s">
        <v>508</v>
      </c>
      <c r="G191" s="8" t="str">
        <f t="shared" si="4"/>
        <v>DELGADO DIANAH</v>
      </c>
      <c r="H191" s="20" t="str">
        <f t="shared" si="5"/>
        <v>4003</v>
      </c>
    </row>
    <row r="192" spans="1:8" x14ac:dyDescent="0.25">
      <c r="A192" s="8">
        <v>42992.754953703705</v>
      </c>
      <c r="B192" s="20" t="s">
        <v>376</v>
      </c>
      <c r="C192" s="20" t="s">
        <v>764</v>
      </c>
      <c r="D192" s="138">
        <v>3340000</v>
      </c>
      <c r="E192" s="20" t="s">
        <v>765</v>
      </c>
      <c r="F192" s="20" t="s">
        <v>766</v>
      </c>
      <c r="G192" s="8" t="str">
        <f t="shared" si="4"/>
        <v>ELBAUM MIKE</v>
      </c>
      <c r="H192" s="20" t="str">
        <f t="shared" si="5"/>
        <v>4030</v>
      </c>
    </row>
    <row r="193" spans="1:8" x14ac:dyDescent="0.25">
      <c r="A193" s="8">
        <v>42992.755312499998</v>
      </c>
      <c r="B193" s="20" t="s">
        <v>580</v>
      </c>
      <c r="C193" s="20" t="s">
        <v>767</v>
      </c>
      <c r="D193" s="138">
        <v>2000000</v>
      </c>
      <c r="E193" s="20" t="s">
        <v>435</v>
      </c>
      <c r="F193" s="20" t="s">
        <v>380</v>
      </c>
      <c r="G193" s="8" t="str">
        <f t="shared" si="4"/>
        <v>STAMBAUGH JAMES</v>
      </c>
      <c r="H193" s="20" t="str">
        <f t="shared" si="5"/>
        <v>4034</v>
      </c>
    </row>
    <row r="194" spans="1:8" x14ac:dyDescent="0.25">
      <c r="A194" s="8">
        <v>42992.765810185185</v>
      </c>
      <c r="B194" s="20" t="s">
        <v>592</v>
      </c>
      <c r="C194" s="20" t="s">
        <v>768</v>
      </c>
      <c r="D194" s="138">
        <v>1180000</v>
      </c>
      <c r="E194" s="20" t="s">
        <v>384</v>
      </c>
      <c r="F194" s="20" t="s">
        <v>385</v>
      </c>
      <c r="G194" s="8" t="str">
        <f t="shared" si="4"/>
        <v>LEVERE CRAIG</v>
      </c>
      <c r="H194" s="20" t="str">
        <f t="shared" si="5"/>
        <v>4001</v>
      </c>
    </row>
    <row r="195" spans="1:8" x14ac:dyDescent="0.25">
      <c r="A195" s="8">
        <v>42992.76834490741</v>
      </c>
      <c r="B195" s="20" t="s">
        <v>386</v>
      </c>
      <c r="C195" s="20" t="s">
        <v>769</v>
      </c>
      <c r="D195" s="138">
        <v>1360000</v>
      </c>
      <c r="E195" s="20" t="s">
        <v>770</v>
      </c>
      <c r="F195" s="20" t="s">
        <v>771</v>
      </c>
      <c r="G195" s="8" t="str">
        <f t="shared" ref="G195:G258" si="6">E195&amp;" "&amp;F195</f>
        <v>SANTIZO D. EDY</v>
      </c>
      <c r="H195" s="20" t="str">
        <f t="shared" ref="H195:H258" si="7">MID(B195,13,4)</f>
        <v>4032</v>
      </c>
    </row>
    <row r="196" spans="1:8" x14ac:dyDescent="0.25">
      <c r="A196" s="8">
        <v>42992.768576388888</v>
      </c>
      <c r="B196" s="20" t="s">
        <v>604</v>
      </c>
      <c r="C196" s="20" t="s">
        <v>772</v>
      </c>
      <c r="D196" s="138">
        <v>2000000</v>
      </c>
      <c r="E196" s="20" t="s">
        <v>435</v>
      </c>
      <c r="F196" s="20" t="s">
        <v>380</v>
      </c>
      <c r="G196" s="8" t="str">
        <f t="shared" si="6"/>
        <v>STAMBAUGH JAMES</v>
      </c>
      <c r="H196" s="20" t="str">
        <f t="shared" si="7"/>
        <v>4033</v>
      </c>
    </row>
    <row r="197" spans="1:8" x14ac:dyDescent="0.25">
      <c r="A197" s="8">
        <v>42992.769062500003</v>
      </c>
      <c r="B197" s="20" t="s">
        <v>573</v>
      </c>
      <c r="C197" s="20" t="s">
        <v>773</v>
      </c>
      <c r="D197" s="138">
        <v>2680000</v>
      </c>
      <c r="E197" s="20" t="s">
        <v>390</v>
      </c>
      <c r="F197" s="20" t="s">
        <v>391</v>
      </c>
      <c r="G197" s="8" t="str">
        <f t="shared" si="6"/>
        <v>DUNCAN SHEILA</v>
      </c>
      <c r="H197" s="20" t="str">
        <f t="shared" si="7"/>
        <v>4014</v>
      </c>
    </row>
    <row r="198" spans="1:8" x14ac:dyDescent="0.25">
      <c r="A198" s="8">
        <v>42992.774525462963</v>
      </c>
      <c r="B198" s="20" t="s">
        <v>598</v>
      </c>
      <c r="C198" s="20" t="s">
        <v>774</v>
      </c>
      <c r="D198" s="138">
        <v>890000</v>
      </c>
      <c r="E198" s="20" t="s">
        <v>373</v>
      </c>
      <c r="F198" s="20" t="s">
        <v>374</v>
      </c>
      <c r="G198" s="8" t="str">
        <f t="shared" si="6"/>
        <v>LOZA FIDEL</v>
      </c>
      <c r="H198" s="20" t="str">
        <f t="shared" si="7"/>
        <v>4057</v>
      </c>
    </row>
    <row r="199" spans="1:8" x14ac:dyDescent="0.25">
      <c r="A199" s="8">
        <v>42992.77648148148</v>
      </c>
      <c r="B199" s="20" t="s">
        <v>408</v>
      </c>
      <c r="C199" s="20" t="s">
        <v>775</v>
      </c>
      <c r="D199" s="138">
        <v>1300000</v>
      </c>
      <c r="E199" s="20" t="s">
        <v>469</v>
      </c>
      <c r="F199" s="20" t="s">
        <v>470</v>
      </c>
      <c r="G199" s="8" t="str">
        <f t="shared" si="6"/>
        <v>LEVIN SCOTT</v>
      </c>
      <c r="H199" s="20" t="str">
        <f t="shared" si="7"/>
        <v>4062</v>
      </c>
    </row>
    <row r="200" spans="1:8" x14ac:dyDescent="0.25">
      <c r="A200" s="8">
        <v>42992.786574074074</v>
      </c>
      <c r="B200" s="20" t="s">
        <v>427</v>
      </c>
      <c r="C200" s="20" t="s">
        <v>613</v>
      </c>
      <c r="D200" s="138">
        <v>3340000</v>
      </c>
      <c r="E200" s="20" t="s">
        <v>765</v>
      </c>
      <c r="F200" s="20" t="s">
        <v>766</v>
      </c>
      <c r="G200" s="8" t="str">
        <f t="shared" si="6"/>
        <v>ELBAUM MIKE</v>
      </c>
      <c r="H200" s="20" t="str">
        <f t="shared" si="7"/>
        <v>4029</v>
      </c>
    </row>
    <row r="201" spans="1:8" x14ac:dyDescent="0.25">
      <c r="A201" s="8">
        <v>42992.78701388889</v>
      </c>
      <c r="B201" s="20" t="s">
        <v>499</v>
      </c>
      <c r="C201" s="20" t="s">
        <v>776</v>
      </c>
      <c r="D201" s="138">
        <v>3130000</v>
      </c>
      <c r="E201" s="20" t="s">
        <v>471</v>
      </c>
      <c r="F201" s="20" t="s">
        <v>472</v>
      </c>
      <c r="G201" s="8" t="str">
        <f t="shared" si="6"/>
        <v>ZEWDU DEREJE</v>
      </c>
      <c r="H201" s="20" t="str">
        <f t="shared" si="7"/>
        <v>4025</v>
      </c>
    </row>
    <row r="202" spans="1:8" x14ac:dyDescent="0.25">
      <c r="A202" s="26">
        <v>42992.787881944445</v>
      </c>
      <c r="B202" s="20" t="s">
        <v>594</v>
      </c>
      <c r="C202" s="20" t="s">
        <v>777</v>
      </c>
      <c r="D202" s="138">
        <v>3190000</v>
      </c>
      <c r="E202" s="20" t="s">
        <v>397</v>
      </c>
      <c r="F202" s="20" t="s">
        <v>398</v>
      </c>
      <c r="G202" s="8" t="str">
        <f t="shared" si="6"/>
        <v>HART KEVIN</v>
      </c>
      <c r="H202" s="20" t="str">
        <f t="shared" si="7"/>
        <v>4004</v>
      </c>
    </row>
    <row r="203" spans="1:8" x14ac:dyDescent="0.25">
      <c r="A203" s="8">
        <v>42992.788807870369</v>
      </c>
      <c r="B203" s="20" t="s">
        <v>575</v>
      </c>
      <c r="C203" s="20" t="s">
        <v>778</v>
      </c>
      <c r="D203" s="138">
        <v>2680000</v>
      </c>
      <c r="E203" s="20" t="s">
        <v>390</v>
      </c>
      <c r="F203" s="20" t="s">
        <v>391</v>
      </c>
      <c r="G203" s="8" t="str">
        <f t="shared" si="6"/>
        <v>DUNCAN SHEILA</v>
      </c>
      <c r="H203" s="20" t="str">
        <f t="shared" si="7"/>
        <v>4013</v>
      </c>
    </row>
    <row r="204" spans="1:8" x14ac:dyDescent="0.25">
      <c r="A204" s="8">
        <v>42992.792592592596</v>
      </c>
      <c r="B204" s="20" t="s">
        <v>580</v>
      </c>
      <c r="C204" s="20" t="s">
        <v>779</v>
      </c>
      <c r="D204" s="138">
        <v>3280000</v>
      </c>
      <c r="E204" s="20" t="s">
        <v>473</v>
      </c>
      <c r="F204" s="20" t="s">
        <v>474</v>
      </c>
      <c r="G204" s="8" t="str">
        <f t="shared" si="6"/>
        <v>BIRKHOLZ NADINE</v>
      </c>
      <c r="H204" s="20" t="str">
        <f t="shared" si="7"/>
        <v>4034</v>
      </c>
    </row>
    <row r="205" spans="1:8" x14ac:dyDescent="0.25">
      <c r="A205" s="8">
        <v>42992.798518518517</v>
      </c>
      <c r="B205" s="20" t="s">
        <v>426</v>
      </c>
      <c r="C205" s="20" t="s">
        <v>780</v>
      </c>
      <c r="D205" s="138">
        <v>1180000</v>
      </c>
      <c r="E205" s="20" t="s">
        <v>384</v>
      </c>
      <c r="F205" s="20" t="s">
        <v>385</v>
      </c>
      <c r="G205" s="8" t="str">
        <f t="shared" si="6"/>
        <v>LEVERE CRAIG</v>
      </c>
      <c r="H205" s="20" t="str">
        <f t="shared" si="7"/>
        <v>4002</v>
      </c>
    </row>
    <row r="206" spans="1:8" x14ac:dyDescent="0.25">
      <c r="A206" s="8">
        <v>42992.798761574071</v>
      </c>
      <c r="B206" s="20" t="s">
        <v>402</v>
      </c>
      <c r="C206" s="20" t="s">
        <v>781</v>
      </c>
      <c r="D206" s="138">
        <v>1360000</v>
      </c>
      <c r="E206" s="20" t="s">
        <v>770</v>
      </c>
      <c r="F206" s="20" t="s">
        <v>771</v>
      </c>
      <c r="G206" s="8" t="str">
        <f t="shared" si="6"/>
        <v>SANTIZO D. EDY</v>
      </c>
      <c r="H206" s="20" t="str">
        <f t="shared" si="7"/>
        <v>4031</v>
      </c>
    </row>
    <row r="207" spans="1:8" x14ac:dyDescent="0.25">
      <c r="A207" s="8">
        <v>42992.806712962964</v>
      </c>
      <c r="B207" s="20" t="s">
        <v>782</v>
      </c>
      <c r="C207" s="20" t="s">
        <v>783</v>
      </c>
      <c r="D207" s="138">
        <v>2440000</v>
      </c>
      <c r="E207" s="20" t="s">
        <v>515</v>
      </c>
      <c r="F207" s="20" t="s">
        <v>516</v>
      </c>
      <c r="G207" s="8" t="str">
        <f t="shared" si="6"/>
        <v>LOPES KIMBERLY</v>
      </c>
      <c r="H207" s="20" t="str">
        <f t="shared" si="7"/>
        <v>4035</v>
      </c>
    </row>
    <row r="208" spans="1:8" x14ac:dyDescent="0.25">
      <c r="A208" s="8">
        <v>42992.81145833333</v>
      </c>
      <c r="B208" s="20" t="s">
        <v>604</v>
      </c>
      <c r="C208" s="20" t="s">
        <v>784</v>
      </c>
      <c r="D208" s="138">
        <v>3280000</v>
      </c>
      <c r="E208" s="20" t="s">
        <v>473</v>
      </c>
      <c r="F208" s="20" t="s">
        <v>474</v>
      </c>
      <c r="G208" s="8" t="str">
        <f t="shared" si="6"/>
        <v>BIRKHOLZ NADINE</v>
      </c>
      <c r="H208" s="20" t="str">
        <f t="shared" si="7"/>
        <v>4033</v>
      </c>
    </row>
    <row r="209" spans="1:8" x14ac:dyDescent="0.25">
      <c r="A209" s="8">
        <v>42992.811469907407</v>
      </c>
      <c r="B209" s="20" t="s">
        <v>447</v>
      </c>
      <c r="C209" s="20" t="s">
        <v>785</v>
      </c>
      <c r="D209" s="138">
        <v>890000</v>
      </c>
      <c r="E209" s="20" t="s">
        <v>373</v>
      </c>
      <c r="F209" s="20" t="s">
        <v>374</v>
      </c>
      <c r="G209" s="8" t="str">
        <f t="shared" si="6"/>
        <v>LOZA FIDEL</v>
      </c>
      <c r="H209" s="20" t="str">
        <f t="shared" si="7"/>
        <v>4058</v>
      </c>
    </row>
    <row r="210" spans="1:8" x14ac:dyDescent="0.25">
      <c r="A210" s="8">
        <v>42992.81621527778</v>
      </c>
      <c r="B210" s="20" t="s">
        <v>786</v>
      </c>
      <c r="C210" s="20" t="s">
        <v>787</v>
      </c>
      <c r="D210" s="138">
        <v>2440000</v>
      </c>
      <c r="E210" s="20" t="s">
        <v>515</v>
      </c>
      <c r="F210" s="20" t="s">
        <v>516</v>
      </c>
      <c r="G210" s="8" t="str">
        <f t="shared" si="6"/>
        <v>LOPES KIMBERLY</v>
      </c>
      <c r="H210" s="20" t="str">
        <f t="shared" si="7"/>
        <v>4036</v>
      </c>
    </row>
    <row r="211" spans="1:8" x14ac:dyDescent="0.25">
      <c r="A211" s="8">
        <v>42992.816770833335</v>
      </c>
      <c r="B211" s="20" t="s">
        <v>786</v>
      </c>
      <c r="C211" s="20" t="s">
        <v>787</v>
      </c>
      <c r="D211" s="138">
        <v>2440000</v>
      </c>
      <c r="E211" s="20" t="s">
        <v>515</v>
      </c>
      <c r="F211" s="20" t="s">
        <v>516</v>
      </c>
      <c r="G211" s="8" t="str">
        <f t="shared" si="6"/>
        <v>LOPES KIMBERLY</v>
      </c>
      <c r="H211" s="20" t="str">
        <f t="shared" si="7"/>
        <v>4036</v>
      </c>
    </row>
    <row r="212" spans="1:8" x14ac:dyDescent="0.25">
      <c r="A212" s="8">
        <v>42992.817557870374</v>
      </c>
      <c r="B212" s="20" t="s">
        <v>786</v>
      </c>
      <c r="C212" s="20" t="s">
        <v>787</v>
      </c>
      <c r="D212" s="138">
        <v>2440000</v>
      </c>
      <c r="E212" s="20" t="s">
        <v>515</v>
      </c>
      <c r="F212" s="20" t="s">
        <v>516</v>
      </c>
      <c r="G212" s="8" t="str">
        <f t="shared" si="6"/>
        <v>LOPES KIMBERLY</v>
      </c>
      <c r="H212" s="20" t="str">
        <f t="shared" si="7"/>
        <v>4036</v>
      </c>
    </row>
    <row r="213" spans="1:8" x14ac:dyDescent="0.25">
      <c r="A213" s="8">
        <v>42992.819328703707</v>
      </c>
      <c r="B213" s="20" t="s">
        <v>428</v>
      </c>
      <c r="C213" s="20" t="s">
        <v>788</v>
      </c>
      <c r="D213" s="138">
        <v>3130000</v>
      </c>
      <c r="E213" s="20" t="s">
        <v>471</v>
      </c>
      <c r="F213" s="20" t="s">
        <v>472</v>
      </c>
      <c r="G213" s="8" t="str">
        <f t="shared" si="6"/>
        <v>ZEWDU DEREJE</v>
      </c>
      <c r="H213" s="20" t="str">
        <f t="shared" si="7"/>
        <v>4026</v>
      </c>
    </row>
    <row r="214" spans="1:8" x14ac:dyDescent="0.25">
      <c r="A214" s="8">
        <v>42992.827303240738</v>
      </c>
      <c r="B214" s="20" t="s">
        <v>376</v>
      </c>
      <c r="C214" s="20" t="s">
        <v>789</v>
      </c>
      <c r="D214" s="138">
        <v>3340000</v>
      </c>
      <c r="E214" s="20" t="s">
        <v>765</v>
      </c>
      <c r="F214" s="20" t="s">
        <v>766</v>
      </c>
      <c r="G214" s="8" t="str">
        <f t="shared" si="6"/>
        <v>ELBAUM MIKE</v>
      </c>
      <c r="H214" s="20" t="str">
        <f t="shared" si="7"/>
        <v>4030</v>
      </c>
    </row>
    <row r="215" spans="1:8" x14ac:dyDescent="0.25">
      <c r="A215" s="8">
        <v>42992.82953703704</v>
      </c>
      <c r="B215" s="20" t="s">
        <v>523</v>
      </c>
      <c r="C215" s="20" t="s">
        <v>790</v>
      </c>
      <c r="D215" s="138">
        <v>3190000</v>
      </c>
      <c r="E215" s="20" t="s">
        <v>397</v>
      </c>
      <c r="F215" s="20" t="s">
        <v>398</v>
      </c>
      <c r="G215" s="8" t="str">
        <f t="shared" si="6"/>
        <v>HART KEVIN</v>
      </c>
      <c r="H215" s="20" t="str">
        <f t="shared" si="7"/>
        <v>4003</v>
      </c>
    </row>
    <row r="216" spans="1:8" x14ac:dyDescent="0.25">
      <c r="A216" s="8">
        <v>42992.835625</v>
      </c>
      <c r="B216" s="20" t="s">
        <v>523</v>
      </c>
      <c r="C216" s="20" t="s">
        <v>790</v>
      </c>
      <c r="D216" s="138">
        <v>3190000</v>
      </c>
      <c r="E216" s="20" t="s">
        <v>397</v>
      </c>
      <c r="F216" s="20" t="s">
        <v>398</v>
      </c>
      <c r="G216" s="8" t="str">
        <f t="shared" si="6"/>
        <v>HART KEVIN</v>
      </c>
      <c r="H216" s="20" t="str">
        <f t="shared" si="7"/>
        <v>4003</v>
      </c>
    </row>
    <row r="217" spans="1:8" x14ac:dyDescent="0.25">
      <c r="A217" s="8">
        <v>42992.836412037039</v>
      </c>
      <c r="B217" s="20" t="s">
        <v>523</v>
      </c>
      <c r="C217" s="20" t="s">
        <v>790</v>
      </c>
      <c r="D217" s="138">
        <v>3190000</v>
      </c>
      <c r="E217" s="20" t="s">
        <v>397</v>
      </c>
      <c r="F217" s="20" t="s">
        <v>398</v>
      </c>
      <c r="G217" s="8" t="str">
        <f t="shared" si="6"/>
        <v>HART KEVIN</v>
      </c>
      <c r="H217" s="20" t="str">
        <f t="shared" si="7"/>
        <v>4003</v>
      </c>
    </row>
    <row r="218" spans="1:8" x14ac:dyDescent="0.25">
      <c r="A218" s="8">
        <v>42992.83797453704</v>
      </c>
      <c r="B218" s="20" t="s">
        <v>580</v>
      </c>
      <c r="C218" s="20" t="s">
        <v>791</v>
      </c>
      <c r="D218" s="138">
        <v>3280000</v>
      </c>
      <c r="E218" s="20" t="s">
        <v>473</v>
      </c>
      <c r="F218" s="20" t="s">
        <v>474</v>
      </c>
      <c r="G218" s="8" t="str">
        <f t="shared" si="6"/>
        <v>BIRKHOLZ NADINE</v>
      </c>
      <c r="H218" s="20" t="str">
        <f t="shared" si="7"/>
        <v>4034</v>
      </c>
    </row>
    <row r="219" spans="1:8" x14ac:dyDescent="0.25">
      <c r="A219" s="8">
        <v>42992.839050925926</v>
      </c>
      <c r="B219" s="20" t="s">
        <v>386</v>
      </c>
      <c r="C219" s="20" t="s">
        <v>792</v>
      </c>
      <c r="D219" s="138">
        <v>2620000</v>
      </c>
      <c r="E219" s="20" t="s">
        <v>395</v>
      </c>
      <c r="F219" s="20" t="s">
        <v>396</v>
      </c>
      <c r="G219" s="8" t="str">
        <f t="shared" si="6"/>
        <v>PERKINS DARREN</v>
      </c>
      <c r="H219" s="20" t="str">
        <f t="shared" si="7"/>
        <v>4032</v>
      </c>
    </row>
    <row r="220" spans="1:8" x14ac:dyDescent="0.25">
      <c r="A220" s="8">
        <v>42992.850532407407</v>
      </c>
      <c r="B220" s="20" t="s">
        <v>598</v>
      </c>
      <c r="C220" s="20" t="s">
        <v>793</v>
      </c>
      <c r="D220" s="138">
        <v>890000</v>
      </c>
      <c r="E220" s="20" t="s">
        <v>373</v>
      </c>
      <c r="F220" s="20" t="s">
        <v>374</v>
      </c>
      <c r="G220" s="8" t="str">
        <f t="shared" si="6"/>
        <v>LOZA FIDEL</v>
      </c>
      <c r="H220" s="20" t="str">
        <f t="shared" si="7"/>
        <v>4057</v>
      </c>
    </row>
    <row r="221" spans="1:8" x14ac:dyDescent="0.25">
      <c r="A221" s="8">
        <v>42992.850613425922</v>
      </c>
      <c r="B221" s="20" t="s">
        <v>523</v>
      </c>
      <c r="C221" s="20" t="s">
        <v>790</v>
      </c>
      <c r="D221" s="138">
        <v>3190000</v>
      </c>
      <c r="E221" s="20" t="s">
        <v>397</v>
      </c>
      <c r="F221" s="20" t="s">
        <v>398</v>
      </c>
      <c r="G221" s="8" t="str">
        <f t="shared" si="6"/>
        <v>HART KEVIN</v>
      </c>
      <c r="H221" s="20" t="str">
        <f t="shared" si="7"/>
        <v>4003</v>
      </c>
    </row>
    <row r="222" spans="1:8" x14ac:dyDescent="0.25">
      <c r="A222" s="8">
        <v>42992.85260416667</v>
      </c>
      <c r="B222" s="20" t="s">
        <v>782</v>
      </c>
      <c r="C222" s="20" t="s">
        <v>783</v>
      </c>
      <c r="D222" s="138">
        <v>2440000</v>
      </c>
      <c r="E222" s="20" t="s">
        <v>515</v>
      </c>
      <c r="F222" s="20" t="s">
        <v>516</v>
      </c>
      <c r="G222" s="8" t="str">
        <f t="shared" si="6"/>
        <v>LOPES KIMBERLY</v>
      </c>
      <c r="H222" s="20" t="str">
        <f t="shared" si="7"/>
        <v>4035</v>
      </c>
    </row>
    <row r="223" spans="1:8" x14ac:dyDescent="0.25">
      <c r="A223" s="8">
        <v>42992.857476851852</v>
      </c>
      <c r="B223" s="20" t="s">
        <v>604</v>
      </c>
      <c r="C223" s="20" t="s">
        <v>794</v>
      </c>
      <c r="D223" s="138">
        <v>3280000</v>
      </c>
      <c r="E223" s="20" t="s">
        <v>473</v>
      </c>
      <c r="F223" s="20" t="s">
        <v>474</v>
      </c>
      <c r="G223" s="8" t="str">
        <f t="shared" si="6"/>
        <v>BIRKHOLZ NADINE</v>
      </c>
      <c r="H223" s="20" t="str">
        <f t="shared" si="7"/>
        <v>4033</v>
      </c>
    </row>
    <row r="224" spans="1:8" x14ac:dyDescent="0.25">
      <c r="A224" s="8">
        <v>42992.860011574077</v>
      </c>
      <c r="B224" t="s">
        <v>427</v>
      </c>
      <c r="C224" t="s">
        <v>795</v>
      </c>
      <c r="D224" s="138">
        <v>3340000</v>
      </c>
      <c r="E224" t="s">
        <v>765</v>
      </c>
      <c r="F224" s="20" t="s">
        <v>766</v>
      </c>
      <c r="G224" s="8" t="str">
        <f t="shared" si="6"/>
        <v>ELBAUM MIKE</v>
      </c>
      <c r="H224" s="20" t="str">
        <f t="shared" si="7"/>
        <v>4029</v>
      </c>
    </row>
    <row r="225" spans="1:8" x14ac:dyDescent="0.25">
      <c r="A225" s="8">
        <v>42992.87296296296</v>
      </c>
      <c r="B225" t="s">
        <v>594</v>
      </c>
      <c r="C225" t="s">
        <v>796</v>
      </c>
      <c r="D225" s="138">
        <v>3190000</v>
      </c>
      <c r="E225" t="s">
        <v>397</v>
      </c>
      <c r="F225" s="20" t="s">
        <v>398</v>
      </c>
      <c r="G225" s="8" t="str">
        <f t="shared" si="6"/>
        <v>HART KEVIN</v>
      </c>
      <c r="H225" s="20" t="str">
        <f t="shared" si="7"/>
        <v>4004</v>
      </c>
    </row>
    <row r="226" spans="1:8" x14ac:dyDescent="0.25">
      <c r="A226" s="8">
        <v>42992.877916666665</v>
      </c>
      <c r="B226" t="s">
        <v>580</v>
      </c>
      <c r="C226" t="s">
        <v>797</v>
      </c>
      <c r="D226" s="138">
        <v>3280000</v>
      </c>
      <c r="E226" t="s">
        <v>473</v>
      </c>
      <c r="F226" s="20" t="s">
        <v>474</v>
      </c>
      <c r="G226" s="8" t="str">
        <f t="shared" si="6"/>
        <v>BIRKHOLZ NADINE</v>
      </c>
      <c r="H226" s="20" t="str">
        <f t="shared" si="7"/>
        <v>4034</v>
      </c>
    </row>
    <row r="227" spans="1:8" x14ac:dyDescent="0.25">
      <c r="A227" s="8">
        <v>42992.884756944448</v>
      </c>
      <c r="B227" t="s">
        <v>447</v>
      </c>
      <c r="C227" t="s">
        <v>798</v>
      </c>
      <c r="D227" s="138">
        <v>890000</v>
      </c>
      <c r="E227" t="s">
        <v>373</v>
      </c>
      <c r="F227" s="20" t="s">
        <v>374</v>
      </c>
      <c r="G227" s="8" t="str">
        <f t="shared" si="6"/>
        <v>LOZA FIDEL</v>
      </c>
      <c r="H227" s="20" t="str">
        <f t="shared" si="7"/>
        <v>4058</v>
      </c>
    </row>
    <row r="228" spans="1:8" x14ac:dyDescent="0.25">
      <c r="A228" s="8">
        <v>42992.88521990741</v>
      </c>
      <c r="B228" t="s">
        <v>402</v>
      </c>
      <c r="C228" t="s">
        <v>799</v>
      </c>
      <c r="D228" s="138">
        <v>2620000</v>
      </c>
      <c r="E228" t="s">
        <v>395</v>
      </c>
      <c r="F228" s="20" t="s">
        <v>396</v>
      </c>
      <c r="G228" s="8" t="str">
        <f t="shared" si="6"/>
        <v>PERKINS DARREN</v>
      </c>
      <c r="H228" s="20" t="str">
        <f t="shared" si="7"/>
        <v>4031</v>
      </c>
    </row>
    <row r="229" spans="1:8" x14ac:dyDescent="0.25">
      <c r="A229" s="8">
        <v>42992.887303240743</v>
      </c>
      <c r="B229" t="s">
        <v>786</v>
      </c>
      <c r="C229" t="s">
        <v>787</v>
      </c>
      <c r="D229" s="138">
        <v>2440000</v>
      </c>
      <c r="E229" t="s">
        <v>515</v>
      </c>
      <c r="F229" s="20" t="s">
        <v>516</v>
      </c>
      <c r="G229" s="8" t="str">
        <f t="shared" si="6"/>
        <v>LOPES KIMBERLY</v>
      </c>
      <c r="H229" s="20" t="str">
        <f t="shared" si="7"/>
        <v>4036</v>
      </c>
    </row>
    <row r="230" spans="1:8" x14ac:dyDescent="0.25">
      <c r="A230" s="8">
        <v>42992.900636574072</v>
      </c>
      <c r="B230" t="s">
        <v>604</v>
      </c>
      <c r="C230" t="s">
        <v>800</v>
      </c>
      <c r="D230" s="138">
        <v>3280000</v>
      </c>
      <c r="E230" t="s">
        <v>473</v>
      </c>
      <c r="F230" s="20" t="s">
        <v>474</v>
      </c>
      <c r="G230" s="8" t="str">
        <f t="shared" si="6"/>
        <v>BIRKHOLZ NADINE</v>
      </c>
      <c r="H230" s="20" t="str">
        <f t="shared" si="7"/>
        <v>4033</v>
      </c>
    </row>
    <row r="231" spans="1:8" x14ac:dyDescent="0.25">
      <c r="A231" s="8">
        <v>42992.900810185187</v>
      </c>
      <c r="B231" t="s">
        <v>376</v>
      </c>
      <c r="C231" t="s">
        <v>801</v>
      </c>
      <c r="D231" s="138">
        <v>3340000</v>
      </c>
      <c r="E231" t="s">
        <v>765</v>
      </c>
      <c r="F231" s="20" t="s">
        <v>766</v>
      </c>
      <c r="G231" s="8" t="str">
        <f t="shared" si="6"/>
        <v>ELBAUM MIKE</v>
      </c>
      <c r="H231" s="20" t="str">
        <f t="shared" si="7"/>
        <v>4030</v>
      </c>
    </row>
    <row r="232" spans="1:8" x14ac:dyDescent="0.25">
      <c r="A232" s="8">
        <v>42992.912523148145</v>
      </c>
      <c r="B232" t="s">
        <v>523</v>
      </c>
      <c r="C232" t="s">
        <v>802</v>
      </c>
      <c r="D232" s="138">
        <v>3190000</v>
      </c>
      <c r="E232" t="s">
        <v>397</v>
      </c>
      <c r="F232" s="20" t="s">
        <v>398</v>
      </c>
      <c r="G232" s="8" t="str">
        <f t="shared" si="6"/>
        <v>HART KEVIN</v>
      </c>
      <c r="H232" s="20" t="str">
        <f t="shared" si="7"/>
        <v>4003</v>
      </c>
    </row>
    <row r="233" spans="1:8" x14ac:dyDescent="0.25">
      <c r="A233" s="8">
        <v>42992.914930555555</v>
      </c>
      <c r="B233" t="s">
        <v>580</v>
      </c>
      <c r="C233" t="s">
        <v>803</v>
      </c>
      <c r="D233" s="138">
        <v>2680000</v>
      </c>
      <c r="E233" t="s">
        <v>390</v>
      </c>
      <c r="F233" s="20" t="s">
        <v>391</v>
      </c>
      <c r="G233" s="8" t="str">
        <f t="shared" si="6"/>
        <v>DUNCAN SHEILA</v>
      </c>
      <c r="H233" s="20" t="str">
        <f t="shared" si="7"/>
        <v>4034</v>
      </c>
    </row>
    <row r="234" spans="1:8" x14ac:dyDescent="0.25">
      <c r="A234" s="8">
        <v>42992.916747685187</v>
      </c>
      <c r="B234" t="s">
        <v>782</v>
      </c>
      <c r="C234" t="s">
        <v>783</v>
      </c>
      <c r="D234" s="138">
        <v>2440000</v>
      </c>
      <c r="E234" t="s">
        <v>515</v>
      </c>
      <c r="F234" s="20" t="s">
        <v>516</v>
      </c>
      <c r="G234" s="8" t="str">
        <f t="shared" si="6"/>
        <v>LOPES KIMBERLY</v>
      </c>
      <c r="H234" s="20" t="str">
        <f t="shared" si="7"/>
        <v>4035</v>
      </c>
    </row>
    <row r="235" spans="1:8" x14ac:dyDescent="0.25">
      <c r="A235" s="8">
        <v>42992.926701388889</v>
      </c>
      <c r="B235" t="s">
        <v>386</v>
      </c>
      <c r="C235" t="s">
        <v>804</v>
      </c>
      <c r="D235" s="138">
        <v>2620000</v>
      </c>
      <c r="E235" t="s">
        <v>395</v>
      </c>
      <c r="F235" s="20" t="s">
        <v>396</v>
      </c>
      <c r="G235" s="8" t="str">
        <f t="shared" si="6"/>
        <v>PERKINS DARREN</v>
      </c>
      <c r="H235" s="20" t="str">
        <f t="shared" si="7"/>
        <v>4032</v>
      </c>
    </row>
    <row r="236" spans="1:8" x14ac:dyDescent="0.25">
      <c r="A236" s="8">
        <v>42992.933969907404</v>
      </c>
      <c r="B236" t="s">
        <v>598</v>
      </c>
      <c r="C236" t="s">
        <v>805</v>
      </c>
      <c r="D236" s="138">
        <v>890000</v>
      </c>
      <c r="E236" t="s">
        <v>373</v>
      </c>
      <c r="F236" s="20" t="s">
        <v>374</v>
      </c>
      <c r="G236" s="8" t="str">
        <f t="shared" si="6"/>
        <v>LOZA FIDEL</v>
      </c>
      <c r="H236" s="20" t="str">
        <f t="shared" si="7"/>
        <v>4057</v>
      </c>
    </row>
    <row r="237" spans="1:8" x14ac:dyDescent="0.25">
      <c r="A237" s="8">
        <v>42992.93414351852</v>
      </c>
      <c r="B237" t="s">
        <v>604</v>
      </c>
      <c r="C237" t="s">
        <v>806</v>
      </c>
      <c r="D237" s="138">
        <v>2680000</v>
      </c>
      <c r="E237" t="s">
        <v>390</v>
      </c>
      <c r="F237" s="20" t="s">
        <v>391</v>
      </c>
      <c r="G237" s="8" t="str">
        <f t="shared" si="6"/>
        <v>DUNCAN SHEILA</v>
      </c>
      <c r="H237" s="20" t="str">
        <f t="shared" si="7"/>
        <v>4033</v>
      </c>
    </row>
    <row r="238" spans="1:8" x14ac:dyDescent="0.25">
      <c r="A238" s="8">
        <v>42992.942731481482</v>
      </c>
      <c r="B238" t="s">
        <v>427</v>
      </c>
      <c r="C238" t="s">
        <v>807</v>
      </c>
      <c r="D238" s="138">
        <v>3340000</v>
      </c>
      <c r="E238" t="s">
        <v>765</v>
      </c>
      <c r="F238" s="20" t="s">
        <v>766</v>
      </c>
      <c r="G238" s="8" t="str">
        <f t="shared" si="6"/>
        <v>ELBAUM MIKE</v>
      </c>
      <c r="H238" s="20" t="str">
        <f t="shared" si="7"/>
        <v>4029</v>
      </c>
    </row>
    <row r="239" spans="1:8" x14ac:dyDescent="0.25">
      <c r="A239" s="8">
        <v>42992.95008101852</v>
      </c>
      <c r="B239" t="s">
        <v>786</v>
      </c>
      <c r="C239" t="s">
        <v>787</v>
      </c>
      <c r="D239" s="138">
        <v>2440000</v>
      </c>
      <c r="E239" t="s">
        <v>515</v>
      </c>
      <c r="F239" s="20" t="s">
        <v>516</v>
      </c>
      <c r="G239" s="8" t="str">
        <f t="shared" si="6"/>
        <v>LOPES KIMBERLY</v>
      </c>
      <c r="H239" s="20" t="str">
        <f t="shared" si="7"/>
        <v>4036</v>
      </c>
    </row>
    <row r="240" spans="1:8" x14ac:dyDescent="0.25">
      <c r="A240" s="8">
        <v>42992.955497685187</v>
      </c>
      <c r="B240" t="s">
        <v>594</v>
      </c>
      <c r="C240" t="s">
        <v>808</v>
      </c>
      <c r="D240" s="138">
        <v>3190000</v>
      </c>
      <c r="E240" t="s">
        <v>397</v>
      </c>
      <c r="F240" s="20" t="s">
        <v>398</v>
      </c>
      <c r="G240" s="8" t="str">
        <f t="shared" si="6"/>
        <v>HART KEVIN</v>
      </c>
      <c r="H240" s="20" t="str">
        <f t="shared" si="7"/>
        <v>4004</v>
      </c>
    </row>
    <row r="241" spans="1:8" x14ac:dyDescent="0.25">
      <c r="A241" s="8">
        <v>42992.956250000003</v>
      </c>
      <c r="B241" t="s">
        <v>580</v>
      </c>
      <c r="C241" t="s">
        <v>614</v>
      </c>
      <c r="D241" s="138">
        <v>2680000</v>
      </c>
      <c r="E241" t="s">
        <v>390</v>
      </c>
      <c r="F241" s="20" t="s">
        <v>391</v>
      </c>
      <c r="G241" s="8" t="str">
        <f t="shared" si="6"/>
        <v>DUNCAN SHEILA</v>
      </c>
      <c r="H241" s="20" t="str">
        <f t="shared" si="7"/>
        <v>4034</v>
      </c>
    </row>
    <row r="242" spans="1:8" x14ac:dyDescent="0.25">
      <c r="A242" s="8">
        <v>42992.964282407411</v>
      </c>
      <c r="B242" t="s">
        <v>447</v>
      </c>
      <c r="C242" t="s">
        <v>809</v>
      </c>
      <c r="D242" s="138">
        <v>890000</v>
      </c>
      <c r="E242" t="s">
        <v>373</v>
      </c>
      <c r="F242" s="20" t="s">
        <v>374</v>
      </c>
      <c r="G242" s="8" t="str">
        <f t="shared" si="6"/>
        <v>LOZA FIDEL</v>
      </c>
      <c r="H242" s="20" t="str">
        <f t="shared" si="7"/>
        <v>4058</v>
      </c>
    </row>
    <row r="243" spans="1:8" x14ac:dyDescent="0.25">
      <c r="A243" s="8">
        <v>42992.96429398148</v>
      </c>
      <c r="B243" t="s">
        <v>402</v>
      </c>
      <c r="C243" t="s">
        <v>810</v>
      </c>
      <c r="D243" s="138">
        <v>2620000</v>
      </c>
      <c r="E243" t="s">
        <v>395</v>
      </c>
      <c r="F243" s="20" t="s">
        <v>396</v>
      </c>
      <c r="G243" s="8" t="str">
        <f t="shared" si="6"/>
        <v>PERKINS DARREN</v>
      </c>
      <c r="H243" s="20" t="str">
        <f t="shared" si="7"/>
        <v>4031</v>
      </c>
    </row>
    <row r="244" spans="1:8" x14ac:dyDescent="0.25">
      <c r="A244" s="8">
        <v>42992.974999999999</v>
      </c>
      <c r="B244" t="s">
        <v>782</v>
      </c>
      <c r="C244" t="s">
        <v>783</v>
      </c>
      <c r="D244" s="138">
        <v>2440000</v>
      </c>
      <c r="E244" t="s">
        <v>515</v>
      </c>
      <c r="F244" s="20" t="s">
        <v>516</v>
      </c>
      <c r="G244" s="8" t="str">
        <f t="shared" si="6"/>
        <v>LOPES KIMBERLY</v>
      </c>
      <c r="H244" s="20" t="str">
        <f t="shared" si="7"/>
        <v>4035</v>
      </c>
    </row>
    <row r="245" spans="1:8" x14ac:dyDescent="0.25">
      <c r="A245" s="8">
        <v>42992.976111111115</v>
      </c>
      <c r="B245" t="s">
        <v>604</v>
      </c>
      <c r="C245" t="s">
        <v>811</v>
      </c>
      <c r="D245" s="138">
        <v>2680000</v>
      </c>
      <c r="E245" t="s">
        <v>390</v>
      </c>
      <c r="F245" s="20" t="s">
        <v>391</v>
      </c>
      <c r="G245" s="8" t="str">
        <f t="shared" si="6"/>
        <v>DUNCAN SHEILA</v>
      </c>
      <c r="H245" s="20" t="str">
        <f t="shared" si="7"/>
        <v>4033</v>
      </c>
    </row>
    <row r="246" spans="1:8" x14ac:dyDescent="0.25">
      <c r="A246" s="8">
        <v>42992.996307870373</v>
      </c>
      <c r="B246" t="s">
        <v>523</v>
      </c>
      <c r="C246" t="s">
        <v>812</v>
      </c>
      <c r="D246" s="138">
        <v>3190000</v>
      </c>
      <c r="E246" t="s">
        <v>397</v>
      </c>
      <c r="F246" s="20" t="s">
        <v>398</v>
      </c>
      <c r="G246" s="8" t="str">
        <f t="shared" si="6"/>
        <v>HART KEVIN</v>
      </c>
      <c r="H246" s="20" t="str">
        <f t="shared" si="7"/>
        <v>4003</v>
      </c>
    </row>
    <row r="247" spans="1:8" x14ac:dyDescent="0.25">
      <c r="A247" s="8">
        <v>42992.997337962966</v>
      </c>
      <c r="B247" t="s">
        <v>376</v>
      </c>
      <c r="C247" t="s">
        <v>813</v>
      </c>
      <c r="D247" s="138">
        <v>3340000</v>
      </c>
      <c r="E247" t="s">
        <v>765</v>
      </c>
      <c r="F247" s="20" t="s">
        <v>766</v>
      </c>
      <c r="G247" s="8" t="str">
        <f t="shared" si="6"/>
        <v>ELBAUM MIKE</v>
      </c>
      <c r="H247" s="20" t="str">
        <f t="shared" si="7"/>
        <v>4030</v>
      </c>
    </row>
    <row r="248" spans="1:8" x14ac:dyDescent="0.25">
      <c r="A248" s="8">
        <v>42993.005486111113</v>
      </c>
      <c r="B248" t="s">
        <v>386</v>
      </c>
      <c r="C248" t="s">
        <v>615</v>
      </c>
      <c r="D248" s="138">
        <v>2620000</v>
      </c>
      <c r="E248" t="s">
        <v>395</v>
      </c>
      <c r="F248" s="20" t="s">
        <v>396</v>
      </c>
      <c r="G248" s="8" t="str">
        <f t="shared" si="6"/>
        <v>PERKINS DARREN</v>
      </c>
      <c r="H248" s="20" t="str">
        <f t="shared" si="7"/>
        <v>4032</v>
      </c>
    </row>
    <row r="249" spans="1:8" x14ac:dyDescent="0.25">
      <c r="A249" s="8">
        <v>42993.017222222225</v>
      </c>
      <c r="B249" t="s">
        <v>598</v>
      </c>
      <c r="C249" t="s">
        <v>814</v>
      </c>
      <c r="D249" s="138">
        <v>890000</v>
      </c>
      <c r="E249" t="s">
        <v>373</v>
      </c>
      <c r="F249" s="20" t="s">
        <v>374</v>
      </c>
      <c r="G249" s="8" t="str">
        <f t="shared" si="6"/>
        <v>LOZA FIDEL</v>
      </c>
      <c r="H249" s="20" t="str">
        <f t="shared" si="7"/>
        <v>4057</v>
      </c>
    </row>
    <row r="250" spans="1:8" x14ac:dyDescent="0.25">
      <c r="A250" s="8">
        <v>42993.021782407406</v>
      </c>
      <c r="B250" t="s">
        <v>786</v>
      </c>
      <c r="C250" t="s">
        <v>787</v>
      </c>
      <c r="D250" s="138">
        <v>2440000</v>
      </c>
      <c r="E250" t="s">
        <v>515</v>
      </c>
      <c r="F250" s="20" t="s">
        <v>516</v>
      </c>
      <c r="G250" s="8" t="str">
        <f t="shared" si="6"/>
        <v>LOPES KIMBERLY</v>
      </c>
      <c r="H250" s="20" t="str">
        <f t="shared" si="7"/>
        <v>4036</v>
      </c>
    </row>
    <row r="251" spans="1:8" x14ac:dyDescent="0.25">
      <c r="A251" s="8">
        <v>42993.025300925925</v>
      </c>
      <c r="B251" t="s">
        <v>594</v>
      </c>
      <c r="C251" t="s">
        <v>815</v>
      </c>
      <c r="D251" s="138">
        <v>3190000</v>
      </c>
      <c r="E251" t="s">
        <v>397</v>
      </c>
      <c r="F251" s="20" t="s">
        <v>398</v>
      </c>
      <c r="G251" s="8" t="str">
        <f t="shared" si="6"/>
        <v>HART KEVIN</v>
      </c>
      <c r="H251" s="20" t="str">
        <f t="shared" si="7"/>
        <v>4004</v>
      </c>
    </row>
    <row r="252" spans="1:8" x14ac:dyDescent="0.25">
      <c r="A252" s="8">
        <v>42993.026296296295</v>
      </c>
      <c r="B252" t="s">
        <v>427</v>
      </c>
      <c r="C252" t="s">
        <v>816</v>
      </c>
      <c r="D252" s="138">
        <v>3340000</v>
      </c>
      <c r="E252" t="s">
        <v>765</v>
      </c>
      <c r="F252" s="20" t="s">
        <v>766</v>
      </c>
      <c r="G252" s="8" t="str">
        <f t="shared" si="6"/>
        <v>ELBAUM MIKE</v>
      </c>
      <c r="H252" s="20" t="str">
        <f t="shared" si="7"/>
        <v>4029</v>
      </c>
    </row>
    <row r="253" spans="1:8" x14ac:dyDescent="0.25">
      <c r="A253" s="8">
        <v>42993.046979166669</v>
      </c>
      <c r="B253" t="s">
        <v>447</v>
      </c>
      <c r="C253" t="s">
        <v>817</v>
      </c>
      <c r="D253" s="138">
        <v>890000</v>
      </c>
      <c r="E253" t="s">
        <v>373</v>
      </c>
      <c r="F253" s="20" t="s">
        <v>374</v>
      </c>
      <c r="G253" s="8" t="str">
        <f t="shared" si="6"/>
        <v>LOZA FIDEL</v>
      </c>
      <c r="H253" s="20" t="str">
        <f t="shared" si="7"/>
        <v>4058</v>
      </c>
    </row>
    <row r="254" spans="1:8" x14ac:dyDescent="0.25">
      <c r="A254" s="8">
        <v>42993.047731481478</v>
      </c>
      <c r="B254" t="s">
        <v>447</v>
      </c>
      <c r="C254" t="s">
        <v>817</v>
      </c>
      <c r="D254" s="138">
        <v>890000</v>
      </c>
      <c r="E254" t="s">
        <v>373</v>
      </c>
      <c r="F254" s="20" t="s">
        <v>374</v>
      </c>
      <c r="G254" s="8" t="str">
        <f t="shared" si="6"/>
        <v>LOZA FIDEL</v>
      </c>
      <c r="H254" s="20" t="str">
        <f t="shared" si="7"/>
        <v>4058</v>
      </c>
    </row>
    <row r="255" spans="1:8" x14ac:dyDescent="0.25">
      <c r="A255" s="8">
        <v>42993.049201388887</v>
      </c>
      <c r="B255" t="s">
        <v>447</v>
      </c>
      <c r="C255" t="s">
        <v>817</v>
      </c>
      <c r="D255" s="138">
        <v>890000</v>
      </c>
      <c r="E255" t="s">
        <v>373</v>
      </c>
      <c r="F255" s="20" t="s">
        <v>374</v>
      </c>
      <c r="G255" s="8" t="str">
        <f t="shared" si="6"/>
        <v>LOZA FIDEL</v>
      </c>
      <c r="H255" s="20" t="str">
        <f t="shared" si="7"/>
        <v>4058</v>
      </c>
    </row>
    <row r="256" spans="1:8" x14ac:dyDescent="0.25">
      <c r="A256" s="8">
        <v>42993.051527777781</v>
      </c>
      <c r="B256" t="s">
        <v>402</v>
      </c>
      <c r="C256" t="s">
        <v>616</v>
      </c>
      <c r="D256" s="138">
        <v>2620000</v>
      </c>
      <c r="E256" t="s">
        <v>395</v>
      </c>
      <c r="F256" s="20" t="s">
        <v>396</v>
      </c>
      <c r="G256" s="8" t="str">
        <f t="shared" si="6"/>
        <v>PERKINS DARREN</v>
      </c>
      <c r="H256" s="20" t="str">
        <f t="shared" si="7"/>
        <v>4031</v>
      </c>
    </row>
    <row r="257" spans="1:8" x14ac:dyDescent="0.25">
      <c r="A257" s="8">
        <v>42993.051759259259</v>
      </c>
      <c r="B257" t="s">
        <v>782</v>
      </c>
      <c r="C257" t="s">
        <v>783</v>
      </c>
      <c r="D257" s="138">
        <v>2440000</v>
      </c>
      <c r="E257" t="s">
        <v>515</v>
      </c>
      <c r="F257" s="20" t="s">
        <v>516</v>
      </c>
      <c r="G257" s="8" t="str">
        <f t="shared" si="6"/>
        <v>LOPES KIMBERLY</v>
      </c>
      <c r="H257" s="20" t="str">
        <f t="shared" si="7"/>
        <v>4035</v>
      </c>
    </row>
    <row r="258" spans="1:8" x14ac:dyDescent="0.25">
      <c r="A258" s="8">
        <v>42993.067615740743</v>
      </c>
      <c r="B258" t="s">
        <v>376</v>
      </c>
      <c r="C258" t="s">
        <v>818</v>
      </c>
      <c r="D258" s="138">
        <v>3340000</v>
      </c>
      <c r="E258" t="s">
        <v>765</v>
      </c>
      <c r="F258" s="20" t="s">
        <v>766</v>
      </c>
      <c r="G258" s="8" t="str">
        <f t="shared" si="6"/>
        <v>ELBAUM MIKE</v>
      </c>
      <c r="H258" s="20" t="str">
        <f t="shared" si="7"/>
        <v>4030</v>
      </c>
    </row>
    <row r="259" spans="1:8" x14ac:dyDescent="0.25">
      <c r="A259" s="8">
        <v>42993.068460648145</v>
      </c>
      <c r="B259" t="s">
        <v>376</v>
      </c>
      <c r="C259" t="s">
        <v>818</v>
      </c>
      <c r="D259" s="138">
        <v>3340000</v>
      </c>
      <c r="E259" t="s">
        <v>765</v>
      </c>
      <c r="F259" s="20" t="s">
        <v>766</v>
      </c>
      <c r="G259" s="8" t="str">
        <f t="shared" ref="G259:G273" si="8">E259&amp;" "&amp;F259</f>
        <v>ELBAUM MIKE</v>
      </c>
      <c r="H259" s="20" t="str">
        <f t="shared" ref="H259:H273" si="9">MID(B259,13,4)</f>
        <v>4030</v>
      </c>
    </row>
    <row r="260" spans="1:8" x14ac:dyDescent="0.25">
      <c r="A260" s="8">
        <v>42993.080104166664</v>
      </c>
      <c r="B260" t="s">
        <v>786</v>
      </c>
      <c r="C260" t="s">
        <v>783</v>
      </c>
      <c r="D260" s="138">
        <v>2440000</v>
      </c>
      <c r="E260" t="s">
        <v>515</v>
      </c>
      <c r="F260" s="20" t="s">
        <v>516</v>
      </c>
      <c r="G260" s="8" t="str">
        <f t="shared" si="8"/>
        <v>LOPES KIMBERLY</v>
      </c>
      <c r="H260" s="20" t="str">
        <f t="shared" si="9"/>
        <v>4036</v>
      </c>
    </row>
    <row r="261" spans="1:8" x14ac:dyDescent="0.25">
      <c r="A261" s="8">
        <v>42993.081076388888</v>
      </c>
      <c r="B261" t="s">
        <v>786</v>
      </c>
      <c r="C261" t="s">
        <v>783</v>
      </c>
      <c r="D261" s="138">
        <v>2440000</v>
      </c>
      <c r="E261" t="s">
        <v>515</v>
      </c>
      <c r="F261" s="20" t="s">
        <v>516</v>
      </c>
      <c r="G261" s="8" t="str">
        <f t="shared" si="8"/>
        <v>LOPES KIMBERLY</v>
      </c>
      <c r="H261" s="20" t="str">
        <f t="shared" si="9"/>
        <v>4036</v>
      </c>
    </row>
    <row r="262" spans="1:8" x14ac:dyDescent="0.25">
      <c r="A262" s="8">
        <v>42993.081678240742</v>
      </c>
      <c r="B262" t="s">
        <v>786</v>
      </c>
      <c r="C262" t="s">
        <v>819</v>
      </c>
      <c r="D262" s="138">
        <v>2440000</v>
      </c>
      <c r="E262" t="s">
        <v>515</v>
      </c>
      <c r="F262" s="20" t="s">
        <v>516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386</v>
      </c>
      <c r="C263" t="s">
        <v>820</v>
      </c>
      <c r="D263" s="138">
        <v>2620000</v>
      </c>
      <c r="E263" t="s">
        <v>395</v>
      </c>
      <c r="F263" s="20" t="s">
        <v>396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498</v>
      </c>
      <c r="C264" t="s">
        <v>821</v>
      </c>
      <c r="D264" s="138">
        <v>1830000</v>
      </c>
      <c r="E264" t="s">
        <v>500</v>
      </c>
      <c r="F264" s="20" t="s">
        <v>501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402</v>
      </c>
      <c r="C265" t="s">
        <v>411</v>
      </c>
      <c r="D265" s="138">
        <v>2620000</v>
      </c>
      <c r="E265" t="s">
        <v>395</v>
      </c>
      <c r="F265" s="20" t="s">
        <v>396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404</v>
      </c>
      <c r="C266" t="s">
        <v>412</v>
      </c>
      <c r="D266" s="138">
        <v>3320000</v>
      </c>
      <c r="E266" t="s">
        <v>409</v>
      </c>
      <c r="F266" s="20" t="s">
        <v>410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393</v>
      </c>
      <c r="C267" t="s">
        <v>413</v>
      </c>
      <c r="D267" s="138">
        <v>3190000</v>
      </c>
      <c r="E267" t="s">
        <v>397</v>
      </c>
      <c r="F267" s="20" t="s">
        <v>398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386</v>
      </c>
      <c r="C268" t="s">
        <v>414</v>
      </c>
      <c r="D268" s="138">
        <v>2620000</v>
      </c>
      <c r="E268" t="s">
        <v>395</v>
      </c>
      <c r="F268" s="20" t="s">
        <v>396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392</v>
      </c>
      <c r="C269" t="s">
        <v>415</v>
      </c>
      <c r="D269" s="138">
        <v>890000</v>
      </c>
      <c r="E269" t="s">
        <v>373</v>
      </c>
      <c r="F269" s="20" t="s">
        <v>374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405</v>
      </c>
      <c r="C270" t="s">
        <v>416</v>
      </c>
      <c r="D270" s="138">
        <v>2680000</v>
      </c>
      <c r="E270" t="s">
        <v>390</v>
      </c>
      <c r="F270" s="20" t="s">
        <v>391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394</v>
      </c>
      <c r="C271" t="s">
        <v>417</v>
      </c>
      <c r="D271" s="138">
        <v>3190000</v>
      </c>
      <c r="E271" t="s">
        <v>397</v>
      </c>
      <c r="F271" s="20" t="s">
        <v>398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408</v>
      </c>
      <c r="C272" t="s">
        <v>418</v>
      </c>
      <c r="D272" s="138">
        <v>890000</v>
      </c>
      <c r="E272" t="s">
        <v>373</v>
      </c>
      <c r="F272" s="20" t="s">
        <v>374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393</v>
      </c>
      <c r="C273" t="s">
        <v>406</v>
      </c>
      <c r="D273" s="138">
        <v>3190000</v>
      </c>
      <c r="E273" t="s">
        <v>397</v>
      </c>
      <c r="F273" s="20" t="s">
        <v>398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527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348</v>
      </c>
      <c r="P1" s="168" t="s">
        <v>156</v>
      </c>
      <c r="Q1" s="168" t="s">
        <v>163</v>
      </c>
      <c r="R1" s="168" t="s">
        <v>349</v>
      </c>
      <c r="S1" s="168" t="s">
        <v>160</v>
      </c>
    </row>
    <row r="2" spans="1:19" x14ac:dyDescent="0.25">
      <c r="A2" s="169">
        <v>62.99</v>
      </c>
      <c r="B2" s="169">
        <v>0.04</v>
      </c>
      <c r="C2" s="169">
        <v>45.07</v>
      </c>
      <c r="D2" s="8">
        <v>42992</v>
      </c>
      <c r="E2" s="169">
        <v>0.52</v>
      </c>
      <c r="F2" s="169" t="s">
        <v>369</v>
      </c>
      <c r="G2" s="169">
        <v>277.97000000000003</v>
      </c>
      <c r="H2" s="169">
        <v>0</v>
      </c>
      <c r="I2" s="169">
        <v>0</v>
      </c>
      <c r="J2" s="169"/>
      <c r="K2" s="169">
        <v>1006.23</v>
      </c>
      <c r="L2" s="169" t="s">
        <v>368</v>
      </c>
      <c r="M2" s="169">
        <v>62.99</v>
      </c>
      <c r="N2" s="169">
        <v>1505368800</v>
      </c>
      <c r="O2" s="169">
        <v>0</v>
      </c>
      <c r="P2" s="169">
        <v>3.32</v>
      </c>
      <c r="Q2" s="169">
        <v>227</v>
      </c>
      <c r="R2" s="169">
        <v>2.81</v>
      </c>
      <c r="S2" s="169">
        <v>1.26</v>
      </c>
    </row>
    <row r="3" spans="1:19" x14ac:dyDescent="0.25">
      <c r="A3" s="169">
        <v>62.39</v>
      </c>
      <c r="B3" s="169">
        <v>0.04</v>
      </c>
      <c r="C3" s="169">
        <v>43.89</v>
      </c>
      <c r="D3" s="8">
        <v>42992.041666666664</v>
      </c>
      <c r="E3" s="169">
        <v>0.51</v>
      </c>
      <c r="F3" s="169" t="s">
        <v>369</v>
      </c>
      <c r="G3" s="169">
        <v>277.74</v>
      </c>
      <c r="H3" s="169">
        <v>0</v>
      </c>
      <c r="I3" s="169">
        <v>0</v>
      </c>
      <c r="J3" s="169"/>
      <c r="K3" s="169">
        <v>1006.44</v>
      </c>
      <c r="L3" s="169" t="s">
        <v>368</v>
      </c>
      <c r="M3" s="169">
        <v>62.39</v>
      </c>
      <c r="N3" s="169">
        <v>1505372400</v>
      </c>
      <c r="O3" s="169">
        <v>0</v>
      </c>
      <c r="P3" s="169">
        <v>3.46</v>
      </c>
      <c r="Q3" s="169">
        <v>221</v>
      </c>
      <c r="R3" s="169">
        <v>3.91</v>
      </c>
      <c r="S3" s="169">
        <v>1.51</v>
      </c>
    </row>
    <row r="4" spans="1:19" x14ac:dyDescent="0.25">
      <c r="A4" s="169">
        <v>62.17</v>
      </c>
      <c r="B4" s="169">
        <v>0.02</v>
      </c>
      <c r="C4" s="169">
        <v>43.16</v>
      </c>
      <c r="D4" s="8">
        <v>42992.083333333336</v>
      </c>
      <c r="E4" s="169">
        <v>0.5</v>
      </c>
      <c r="F4" s="169" t="s">
        <v>369</v>
      </c>
      <c r="G4" s="169">
        <v>277.38</v>
      </c>
      <c r="H4" s="169">
        <v>0</v>
      </c>
      <c r="I4" s="169">
        <v>0</v>
      </c>
      <c r="J4" s="169"/>
      <c r="K4" s="169">
        <v>1006.37</v>
      </c>
      <c r="L4" s="169" t="s">
        <v>368</v>
      </c>
      <c r="M4" s="169">
        <v>62.17</v>
      </c>
      <c r="N4" s="169">
        <v>1505376000</v>
      </c>
      <c r="O4" s="169">
        <v>0</v>
      </c>
      <c r="P4" s="169">
        <v>2.92</v>
      </c>
      <c r="Q4" s="169">
        <v>207</v>
      </c>
      <c r="R4" s="169">
        <v>3.87</v>
      </c>
      <c r="S4" s="169">
        <v>1.49</v>
      </c>
    </row>
    <row r="5" spans="1:19" x14ac:dyDescent="0.25">
      <c r="A5" s="169">
        <v>61.83</v>
      </c>
      <c r="B5" s="169">
        <v>0.04</v>
      </c>
      <c r="C5" s="169">
        <v>42.56</v>
      </c>
      <c r="D5" s="8">
        <v>42992.125</v>
      </c>
      <c r="E5" s="169">
        <v>0.49</v>
      </c>
      <c r="F5" s="169" t="s">
        <v>369</v>
      </c>
      <c r="G5" s="169">
        <v>277.02</v>
      </c>
      <c r="H5" s="169">
        <v>0</v>
      </c>
      <c r="I5" s="169">
        <v>0</v>
      </c>
      <c r="J5" s="169"/>
      <c r="K5" s="169">
        <v>1006.77</v>
      </c>
      <c r="L5" s="169" t="s">
        <v>368</v>
      </c>
      <c r="M5" s="169">
        <v>61.83</v>
      </c>
      <c r="N5" s="169">
        <v>1505379600</v>
      </c>
      <c r="O5" s="169">
        <v>0</v>
      </c>
      <c r="P5" s="169">
        <v>3.11</v>
      </c>
      <c r="Q5" s="169">
        <v>204</v>
      </c>
      <c r="R5" s="169">
        <v>4.33</v>
      </c>
      <c r="S5" s="169">
        <v>1.58</v>
      </c>
    </row>
    <row r="6" spans="1:19" x14ac:dyDescent="0.25">
      <c r="A6" s="169">
        <v>61.06</v>
      </c>
      <c r="B6" s="169">
        <v>0.12</v>
      </c>
      <c r="C6" s="169">
        <v>42.72</v>
      </c>
      <c r="D6" s="8">
        <v>42992.166666666664</v>
      </c>
      <c r="E6" s="169">
        <v>0.51</v>
      </c>
      <c r="F6" s="169" t="s">
        <v>369</v>
      </c>
      <c r="G6" s="169">
        <v>276.77999999999997</v>
      </c>
      <c r="H6" s="169">
        <v>0</v>
      </c>
      <c r="I6" s="169">
        <v>0</v>
      </c>
      <c r="J6" s="169"/>
      <c r="K6" s="169">
        <v>1006.16</v>
      </c>
      <c r="L6" s="169" t="s">
        <v>368</v>
      </c>
      <c r="M6" s="169">
        <v>61.06</v>
      </c>
      <c r="N6" s="169">
        <v>1505383200</v>
      </c>
      <c r="O6" s="169">
        <v>0</v>
      </c>
      <c r="P6" s="169">
        <v>2.76</v>
      </c>
      <c r="Q6" s="169">
        <v>193</v>
      </c>
      <c r="R6" s="169">
        <v>4.0599999999999996</v>
      </c>
      <c r="S6" s="169">
        <v>1.67</v>
      </c>
    </row>
    <row r="7" spans="1:19" x14ac:dyDescent="0.25">
      <c r="A7" s="169">
        <v>59.88</v>
      </c>
      <c r="B7" s="169">
        <v>0.06</v>
      </c>
      <c r="C7" s="169">
        <v>42.72</v>
      </c>
      <c r="D7" s="8">
        <v>42992.208333333336</v>
      </c>
      <c r="E7" s="169">
        <v>0.53</v>
      </c>
      <c r="F7" s="169" t="s">
        <v>369</v>
      </c>
      <c r="G7" s="169">
        <v>276.66000000000003</v>
      </c>
      <c r="H7" s="169">
        <v>0</v>
      </c>
      <c r="I7" s="169">
        <v>0</v>
      </c>
      <c r="J7" s="169"/>
      <c r="K7" s="169">
        <v>1006.35</v>
      </c>
      <c r="L7" s="169" t="s">
        <v>368</v>
      </c>
      <c r="M7" s="169">
        <v>59.88</v>
      </c>
      <c r="N7" s="169">
        <v>1505386800</v>
      </c>
      <c r="O7" s="169">
        <v>0</v>
      </c>
      <c r="P7" s="169">
        <v>3.69</v>
      </c>
      <c r="Q7" s="169">
        <v>195</v>
      </c>
      <c r="R7" s="169">
        <v>4.25</v>
      </c>
      <c r="S7" s="169">
        <v>1.69</v>
      </c>
    </row>
    <row r="8" spans="1:19" x14ac:dyDescent="0.25">
      <c r="A8" s="169">
        <v>58.93</v>
      </c>
      <c r="B8" s="169">
        <v>0.02</v>
      </c>
      <c r="C8" s="169">
        <v>42.62</v>
      </c>
      <c r="D8" s="8">
        <v>42992.25</v>
      </c>
      <c r="E8" s="169">
        <v>0.55000000000000004</v>
      </c>
      <c r="F8" s="169" t="s">
        <v>369</v>
      </c>
      <c r="G8" s="169">
        <v>275.94</v>
      </c>
      <c r="H8" s="169">
        <v>0</v>
      </c>
      <c r="I8" s="169">
        <v>0</v>
      </c>
      <c r="J8" s="169"/>
      <c r="K8" s="169">
        <v>1007.4</v>
      </c>
      <c r="L8" s="169" t="s">
        <v>368</v>
      </c>
      <c r="M8" s="169">
        <v>58.93</v>
      </c>
      <c r="N8" s="169">
        <v>1505390400</v>
      </c>
      <c r="O8" s="169">
        <v>0</v>
      </c>
      <c r="P8" s="169">
        <v>2.91</v>
      </c>
      <c r="Q8" s="169">
        <v>213</v>
      </c>
      <c r="R8" s="169">
        <v>4.57</v>
      </c>
      <c r="S8" s="169">
        <v>1.43</v>
      </c>
    </row>
    <row r="9" spans="1:19" x14ac:dyDescent="0.25">
      <c r="A9" s="169">
        <v>57.97</v>
      </c>
      <c r="B9" s="169">
        <v>0.04</v>
      </c>
      <c r="C9" s="169">
        <v>42.97</v>
      </c>
      <c r="D9" s="8">
        <v>42992.291666666664</v>
      </c>
      <c r="E9" s="169">
        <v>0.56999999999999995</v>
      </c>
      <c r="F9" s="169" t="s">
        <v>367</v>
      </c>
      <c r="G9" s="169">
        <v>275.7</v>
      </c>
      <c r="H9" s="169">
        <v>0</v>
      </c>
      <c r="I9" s="169">
        <v>0</v>
      </c>
      <c r="J9" s="169"/>
      <c r="K9" s="169">
        <v>1007.2</v>
      </c>
      <c r="L9" s="169" t="s">
        <v>368</v>
      </c>
      <c r="M9" s="169">
        <v>57.97</v>
      </c>
      <c r="N9" s="169">
        <v>1505394000</v>
      </c>
      <c r="O9" s="169">
        <v>0</v>
      </c>
      <c r="P9" s="169">
        <v>3.18</v>
      </c>
      <c r="Q9" s="169">
        <v>209</v>
      </c>
      <c r="R9" s="169">
        <v>4.04</v>
      </c>
      <c r="S9" s="169">
        <v>1.48</v>
      </c>
    </row>
    <row r="10" spans="1:19" x14ac:dyDescent="0.25">
      <c r="A10" s="169">
        <v>63.3</v>
      </c>
      <c r="B10" s="169">
        <v>0.06</v>
      </c>
      <c r="C10" s="169">
        <v>44.06</v>
      </c>
      <c r="D10" s="8">
        <v>42992.333333333336</v>
      </c>
      <c r="E10" s="169">
        <v>0.49</v>
      </c>
      <c r="F10" s="169" t="s">
        <v>367</v>
      </c>
      <c r="G10" s="169">
        <v>275.7</v>
      </c>
      <c r="H10" s="169">
        <v>0</v>
      </c>
      <c r="I10" s="169">
        <v>0</v>
      </c>
      <c r="J10" s="169"/>
      <c r="K10" s="169">
        <v>1007.17</v>
      </c>
      <c r="L10" s="169" t="s">
        <v>368</v>
      </c>
      <c r="M10" s="169">
        <v>63.3</v>
      </c>
      <c r="N10" s="169">
        <v>1505397600</v>
      </c>
      <c r="O10" s="169">
        <v>1</v>
      </c>
      <c r="P10" s="169">
        <v>3.52</v>
      </c>
      <c r="Q10" s="169">
        <v>209</v>
      </c>
      <c r="R10" s="169">
        <v>4.54</v>
      </c>
      <c r="S10" s="169">
        <v>1.62</v>
      </c>
    </row>
    <row r="11" spans="1:19" x14ac:dyDescent="0.25">
      <c r="A11" s="169">
        <v>71.13</v>
      </c>
      <c r="B11" s="169">
        <v>0.05</v>
      </c>
      <c r="C11" s="169">
        <v>45.31</v>
      </c>
      <c r="D11" s="8">
        <v>42992.375</v>
      </c>
      <c r="E11" s="169">
        <v>0.4</v>
      </c>
      <c r="F11" s="169" t="s">
        <v>367</v>
      </c>
      <c r="G11" s="169">
        <v>275.7</v>
      </c>
      <c r="H11" s="169">
        <v>0</v>
      </c>
      <c r="I11" s="169">
        <v>0</v>
      </c>
      <c r="J11" s="169"/>
      <c r="K11" s="169">
        <v>1007.01</v>
      </c>
      <c r="L11" s="169" t="s">
        <v>368</v>
      </c>
      <c r="M11" s="169">
        <v>71.13</v>
      </c>
      <c r="N11" s="169">
        <v>1505401200</v>
      </c>
      <c r="O11" s="169">
        <v>2</v>
      </c>
      <c r="P11" s="169">
        <v>4.67</v>
      </c>
      <c r="Q11" s="169">
        <v>204</v>
      </c>
      <c r="R11" s="169">
        <v>5.36</v>
      </c>
      <c r="S11" s="169">
        <v>1.73</v>
      </c>
    </row>
    <row r="12" spans="1:19" x14ac:dyDescent="0.25">
      <c r="A12" s="169">
        <v>77.150000000000006</v>
      </c>
      <c r="B12" s="169">
        <v>0.05</v>
      </c>
      <c r="C12" s="169">
        <v>44.05</v>
      </c>
      <c r="D12" s="8">
        <v>42992.416666666664</v>
      </c>
      <c r="E12" s="169">
        <v>0.31</v>
      </c>
      <c r="F12" s="169" t="s">
        <v>367</v>
      </c>
      <c r="G12" s="169">
        <v>275.94</v>
      </c>
      <c r="H12" s="169">
        <v>0</v>
      </c>
      <c r="I12" s="169">
        <v>0</v>
      </c>
      <c r="J12" s="169"/>
      <c r="K12" s="169">
        <v>1007.03</v>
      </c>
      <c r="L12" s="169" t="s">
        <v>368</v>
      </c>
      <c r="M12" s="169">
        <v>77.150000000000006</v>
      </c>
      <c r="N12" s="169">
        <v>1505404800</v>
      </c>
      <c r="O12" s="169">
        <v>3</v>
      </c>
      <c r="P12" s="169">
        <v>4.9000000000000004</v>
      </c>
      <c r="Q12" s="169">
        <v>222</v>
      </c>
      <c r="R12" s="169">
        <v>5.65</v>
      </c>
      <c r="S12" s="169">
        <v>1.1200000000000001</v>
      </c>
    </row>
    <row r="13" spans="1:19" x14ac:dyDescent="0.25">
      <c r="A13" s="169">
        <v>82.19</v>
      </c>
      <c r="B13" s="169">
        <v>0.05</v>
      </c>
      <c r="C13" s="169">
        <v>41.93</v>
      </c>
      <c r="D13" s="8">
        <v>42992.458333333336</v>
      </c>
      <c r="E13" s="169">
        <v>0.24</v>
      </c>
      <c r="F13" s="169" t="s">
        <v>367</v>
      </c>
      <c r="G13" s="169">
        <v>276.17</v>
      </c>
      <c r="H13" s="169">
        <v>0</v>
      </c>
      <c r="I13" s="169">
        <v>0</v>
      </c>
      <c r="J13" s="169"/>
      <c r="K13" s="169">
        <v>1006.42</v>
      </c>
      <c r="L13" s="169" t="s">
        <v>368</v>
      </c>
      <c r="M13" s="169">
        <v>82.19</v>
      </c>
      <c r="N13" s="169">
        <v>1505408400</v>
      </c>
      <c r="O13" s="169">
        <v>5</v>
      </c>
      <c r="P13" s="169">
        <v>4.9000000000000004</v>
      </c>
      <c r="Q13" s="169">
        <v>247</v>
      </c>
      <c r="R13" s="169">
        <v>7.17</v>
      </c>
      <c r="S13" s="169">
        <v>0.87</v>
      </c>
    </row>
    <row r="14" spans="1:19" x14ac:dyDescent="0.25">
      <c r="A14" s="169">
        <v>83.64</v>
      </c>
      <c r="B14" s="169">
        <v>0.05</v>
      </c>
      <c r="C14" s="169">
        <v>40</v>
      </c>
      <c r="D14" s="8">
        <v>42992.5</v>
      </c>
      <c r="E14" s="169">
        <v>0.21</v>
      </c>
      <c r="F14" s="169" t="s">
        <v>367</v>
      </c>
      <c r="G14" s="169">
        <v>276.76</v>
      </c>
      <c r="H14" s="169">
        <v>0</v>
      </c>
      <c r="I14" s="169">
        <v>0</v>
      </c>
      <c r="J14" s="169"/>
      <c r="K14" s="169">
        <v>1005.83</v>
      </c>
      <c r="L14" s="169" t="s">
        <v>368</v>
      </c>
      <c r="M14" s="169">
        <v>83.64</v>
      </c>
      <c r="N14" s="169">
        <v>1505412000</v>
      </c>
      <c r="O14" s="169">
        <v>7</v>
      </c>
      <c r="P14" s="169">
        <v>3.43</v>
      </c>
      <c r="Q14" s="169">
        <v>287</v>
      </c>
      <c r="R14" s="169">
        <v>7.87</v>
      </c>
      <c r="S14" s="169">
        <v>1.85</v>
      </c>
    </row>
    <row r="15" spans="1:19" x14ac:dyDescent="0.25">
      <c r="A15" s="169">
        <v>85.8</v>
      </c>
      <c r="B15" s="169">
        <v>0.09</v>
      </c>
      <c r="C15" s="169">
        <v>38.630000000000003</v>
      </c>
      <c r="D15" s="8">
        <v>42992.541666666664</v>
      </c>
      <c r="E15" s="169">
        <v>0.19</v>
      </c>
      <c r="F15" s="169" t="s">
        <v>367</v>
      </c>
      <c r="G15" s="169">
        <v>277.24</v>
      </c>
      <c r="H15" s="169">
        <v>0</v>
      </c>
      <c r="I15" s="169">
        <v>0</v>
      </c>
      <c r="J15" s="169"/>
      <c r="K15" s="169">
        <v>1004.82</v>
      </c>
      <c r="L15" s="169" t="s">
        <v>368</v>
      </c>
      <c r="M15" s="169">
        <v>85.8</v>
      </c>
      <c r="N15" s="169">
        <v>1505415600</v>
      </c>
      <c r="O15" s="169">
        <v>8</v>
      </c>
      <c r="P15" s="169">
        <v>4.92</v>
      </c>
      <c r="Q15" s="169">
        <v>303</v>
      </c>
      <c r="R15" s="169">
        <v>7.09</v>
      </c>
      <c r="S15" s="169">
        <v>0.66</v>
      </c>
    </row>
    <row r="16" spans="1:19" x14ac:dyDescent="0.25">
      <c r="A16" s="169">
        <v>85.48</v>
      </c>
      <c r="B16" s="169">
        <v>0.12</v>
      </c>
      <c r="C16" s="169">
        <v>39.049999999999997</v>
      </c>
      <c r="D16" s="8">
        <v>42992.583333333336</v>
      </c>
      <c r="E16" s="169">
        <v>0.19</v>
      </c>
      <c r="F16" s="169" t="s">
        <v>367</v>
      </c>
      <c r="G16" s="169">
        <v>277.48</v>
      </c>
      <c r="H16" s="169">
        <v>0</v>
      </c>
      <c r="I16" s="169">
        <v>0</v>
      </c>
      <c r="J16" s="169"/>
      <c r="K16" s="169">
        <v>1003.73</v>
      </c>
      <c r="L16" s="169" t="s">
        <v>368</v>
      </c>
      <c r="M16" s="169">
        <v>85.48</v>
      </c>
      <c r="N16" s="169">
        <v>1505419200</v>
      </c>
      <c r="O16" s="169">
        <v>7</v>
      </c>
      <c r="P16" s="169">
        <v>4.75</v>
      </c>
      <c r="Q16" s="169">
        <v>144</v>
      </c>
      <c r="R16" s="169">
        <v>7.54</v>
      </c>
      <c r="S16" s="169">
        <v>1.2</v>
      </c>
    </row>
    <row r="17" spans="1:19" x14ac:dyDescent="0.25">
      <c r="A17" s="169">
        <v>85.37</v>
      </c>
      <c r="B17" s="169">
        <v>0.33</v>
      </c>
      <c r="C17" s="169">
        <v>39.56</v>
      </c>
      <c r="D17" s="8">
        <v>42992.625</v>
      </c>
      <c r="E17" s="169">
        <v>0.2</v>
      </c>
      <c r="F17" s="169" t="s">
        <v>528</v>
      </c>
      <c r="G17" s="169">
        <v>277.95</v>
      </c>
      <c r="H17" s="169">
        <v>0</v>
      </c>
      <c r="I17" s="169">
        <v>0</v>
      </c>
      <c r="J17" s="169"/>
      <c r="K17" s="169">
        <v>1002.99</v>
      </c>
      <c r="L17" s="169" t="s">
        <v>529</v>
      </c>
      <c r="M17" s="169">
        <v>85.37</v>
      </c>
      <c r="N17" s="169">
        <v>1505422800</v>
      </c>
      <c r="O17" s="169">
        <v>4</v>
      </c>
      <c r="P17" s="169">
        <v>4.9000000000000004</v>
      </c>
      <c r="Q17" s="169">
        <v>142</v>
      </c>
      <c r="R17" s="169">
        <v>7.31</v>
      </c>
      <c r="S17" s="169">
        <v>1.48</v>
      </c>
    </row>
    <row r="18" spans="1:19" x14ac:dyDescent="0.25">
      <c r="A18" s="169">
        <v>82.37</v>
      </c>
      <c r="B18" s="169">
        <v>0.51</v>
      </c>
      <c r="C18" s="169">
        <v>39.200000000000003</v>
      </c>
      <c r="D18" s="8">
        <v>42992.666666666664</v>
      </c>
      <c r="E18" s="169">
        <v>0.22</v>
      </c>
      <c r="F18" s="169" t="s">
        <v>528</v>
      </c>
      <c r="G18" s="169">
        <v>278.19</v>
      </c>
      <c r="H18" s="169">
        <v>8.9999999999999998E-4</v>
      </c>
      <c r="I18" s="169">
        <v>0.01</v>
      </c>
      <c r="J18" s="169" t="s">
        <v>530</v>
      </c>
      <c r="K18" s="169">
        <v>1003.52</v>
      </c>
      <c r="L18" s="169" t="s">
        <v>529</v>
      </c>
      <c r="M18" s="169">
        <v>82.37</v>
      </c>
      <c r="N18" s="169">
        <v>1505426400</v>
      </c>
      <c r="O18" s="169">
        <v>2</v>
      </c>
      <c r="P18" s="169">
        <v>4.75</v>
      </c>
      <c r="Q18" s="169">
        <v>200</v>
      </c>
      <c r="R18" s="169">
        <v>14.11</v>
      </c>
      <c r="S18" s="169">
        <v>3.52</v>
      </c>
    </row>
    <row r="19" spans="1:19" x14ac:dyDescent="0.25">
      <c r="A19" s="169">
        <v>79.89</v>
      </c>
      <c r="B19" s="169">
        <v>0.48</v>
      </c>
      <c r="C19" s="169">
        <v>41.67</v>
      </c>
      <c r="D19" s="8">
        <v>42992.708333333336</v>
      </c>
      <c r="E19" s="169">
        <v>0.26</v>
      </c>
      <c r="F19" s="169" t="s">
        <v>530</v>
      </c>
      <c r="G19" s="169">
        <v>278.56</v>
      </c>
      <c r="H19" s="169">
        <v>1.4999999999999999E-2</v>
      </c>
      <c r="I19" s="169">
        <v>7.0000000000000007E-2</v>
      </c>
      <c r="J19" s="169" t="s">
        <v>530</v>
      </c>
      <c r="K19" s="169">
        <v>1004.04</v>
      </c>
      <c r="L19" s="169" t="s">
        <v>822</v>
      </c>
      <c r="M19" s="169">
        <v>79.89</v>
      </c>
      <c r="N19" s="169">
        <v>1505430000</v>
      </c>
      <c r="O19" s="169">
        <v>1</v>
      </c>
      <c r="P19" s="169">
        <v>10</v>
      </c>
      <c r="Q19" s="169">
        <v>214</v>
      </c>
      <c r="R19" s="169">
        <v>14.4</v>
      </c>
      <c r="S19" s="169">
        <v>3.14</v>
      </c>
    </row>
    <row r="20" spans="1:19" x14ac:dyDescent="0.25">
      <c r="A20" s="169">
        <v>78.58</v>
      </c>
      <c r="B20" s="169">
        <v>0.35</v>
      </c>
      <c r="C20" s="169">
        <v>43.24</v>
      </c>
      <c r="D20" s="8">
        <v>42992.75</v>
      </c>
      <c r="E20" s="169">
        <v>0.28999999999999998</v>
      </c>
      <c r="F20" s="169" t="s">
        <v>528</v>
      </c>
      <c r="G20" s="169">
        <v>278.08</v>
      </c>
      <c r="H20" s="169">
        <v>0</v>
      </c>
      <c r="I20" s="169">
        <v>0</v>
      </c>
      <c r="J20" s="169"/>
      <c r="K20" s="169">
        <v>1003.85</v>
      </c>
      <c r="L20" s="169" t="s">
        <v>529</v>
      </c>
      <c r="M20" s="169">
        <v>78.58</v>
      </c>
      <c r="N20" s="169">
        <v>1505433600</v>
      </c>
      <c r="O20" s="169">
        <v>1</v>
      </c>
      <c r="P20" s="169">
        <v>4.3600000000000003</v>
      </c>
      <c r="Q20" s="169">
        <v>196</v>
      </c>
      <c r="R20" s="169">
        <v>9.0299999999999994</v>
      </c>
      <c r="S20" s="169">
        <v>1.35</v>
      </c>
    </row>
    <row r="21" spans="1:19" x14ac:dyDescent="0.25">
      <c r="A21" s="169">
        <v>74.37</v>
      </c>
      <c r="B21" s="169">
        <v>0.21</v>
      </c>
      <c r="C21" s="169">
        <v>45.06</v>
      </c>
      <c r="D21" s="8">
        <v>42992.791666666664</v>
      </c>
      <c r="E21" s="169">
        <v>0.35</v>
      </c>
      <c r="F21" s="169" t="s">
        <v>367</v>
      </c>
      <c r="G21" s="169">
        <v>278.43</v>
      </c>
      <c r="H21" s="169">
        <v>0</v>
      </c>
      <c r="I21" s="169">
        <v>0</v>
      </c>
      <c r="J21" s="169"/>
      <c r="K21" s="169">
        <v>1004.32</v>
      </c>
      <c r="L21" s="169" t="s">
        <v>368</v>
      </c>
      <c r="M21" s="169">
        <v>74.37</v>
      </c>
      <c r="N21" s="169">
        <v>1505437200</v>
      </c>
      <c r="O21" s="169">
        <v>0</v>
      </c>
      <c r="P21" s="169">
        <v>4.3600000000000003</v>
      </c>
      <c r="Q21" s="169">
        <v>104</v>
      </c>
      <c r="R21" s="169">
        <v>3.25</v>
      </c>
      <c r="S21" s="169">
        <v>0.64</v>
      </c>
    </row>
    <row r="22" spans="1:19" x14ac:dyDescent="0.25">
      <c r="A22" s="169">
        <v>70.31</v>
      </c>
      <c r="B22" s="169">
        <v>0.19</v>
      </c>
      <c r="C22" s="169">
        <v>46.02</v>
      </c>
      <c r="D22" s="8">
        <v>42992.833333333336</v>
      </c>
      <c r="E22" s="169">
        <v>0.42</v>
      </c>
      <c r="F22" s="169" t="s">
        <v>369</v>
      </c>
      <c r="G22" s="169">
        <v>278.79000000000002</v>
      </c>
      <c r="H22" s="169">
        <v>0</v>
      </c>
      <c r="I22" s="169">
        <v>0</v>
      </c>
      <c r="J22" s="169"/>
      <c r="K22" s="169">
        <v>1004.14</v>
      </c>
      <c r="L22" s="169" t="s">
        <v>368</v>
      </c>
      <c r="M22" s="169">
        <v>70.31</v>
      </c>
      <c r="N22" s="169">
        <v>1505440800</v>
      </c>
      <c r="O22" s="169">
        <v>0</v>
      </c>
      <c r="P22" s="169">
        <v>6.37</v>
      </c>
      <c r="Q22" s="169">
        <v>108</v>
      </c>
      <c r="R22" s="169">
        <v>1.88</v>
      </c>
      <c r="S22" s="169">
        <v>0.35</v>
      </c>
    </row>
    <row r="23" spans="1:19" x14ac:dyDescent="0.25">
      <c r="A23" s="169">
        <v>68.05</v>
      </c>
      <c r="B23" s="169">
        <v>0.14000000000000001</v>
      </c>
      <c r="C23" s="169">
        <v>46.32</v>
      </c>
      <c r="D23" s="8">
        <v>42992.875</v>
      </c>
      <c r="E23" s="169">
        <v>0.46</v>
      </c>
      <c r="F23" s="169" t="s">
        <v>369</v>
      </c>
      <c r="G23" s="169">
        <v>278.89999999999998</v>
      </c>
      <c r="H23" s="169">
        <v>4.0000000000000002E-4</v>
      </c>
      <c r="I23" s="169">
        <v>0.01</v>
      </c>
      <c r="J23" s="169" t="s">
        <v>530</v>
      </c>
      <c r="K23" s="169">
        <v>1004.46</v>
      </c>
      <c r="L23" s="169" t="s">
        <v>368</v>
      </c>
      <c r="M23" s="169">
        <v>68.05</v>
      </c>
      <c r="N23" s="169">
        <v>1505444400</v>
      </c>
      <c r="O23" s="169">
        <v>0</v>
      </c>
      <c r="P23" s="169">
        <v>3.89</v>
      </c>
      <c r="Q23" s="169">
        <v>243</v>
      </c>
      <c r="R23" s="169">
        <v>3.08</v>
      </c>
      <c r="S23" s="169">
        <v>0.92</v>
      </c>
    </row>
    <row r="24" spans="1:19" x14ac:dyDescent="0.25">
      <c r="A24" s="169">
        <v>68.31</v>
      </c>
      <c r="B24" s="169">
        <v>0.25</v>
      </c>
      <c r="C24" s="169">
        <v>45.28</v>
      </c>
      <c r="D24" s="8">
        <v>42992.916666666664</v>
      </c>
      <c r="E24" s="169">
        <v>0.44</v>
      </c>
      <c r="F24" s="169" t="s">
        <v>530</v>
      </c>
      <c r="G24" s="169">
        <v>278.31</v>
      </c>
      <c r="H24" s="169">
        <v>5.3E-3</v>
      </c>
      <c r="I24" s="169">
        <v>0.03</v>
      </c>
      <c r="J24" s="169" t="s">
        <v>530</v>
      </c>
      <c r="K24" s="169">
        <v>1004.17</v>
      </c>
      <c r="L24" s="169" t="s">
        <v>823</v>
      </c>
      <c r="M24" s="169">
        <v>68.31</v>
      </c>
      <c r="N24" s="169">
        <v>1505448000</v>
      </c>
      <c r="O24" s="169">
        <v>0</v>
      </c>
      <c r="P24" s="169">
        <v>6.2</v>
      </c>
      <c r="Q24" s="169">
        <v>228</v>
      </c>
      <c r="R24" s="169">
        <v>5.71</v>
      </c>
      <c r="S24" s="169">
        <v>1.29</v>
      </c>
    </row>
    <row r="25" spans="1:19" x14ac:dyDescent="0.25">
      <c r="A25" s="169">
        <v>67.23</v>
      </c>
      <c r="B25" s="169">
        <v>0.68</v>
      </c>
      <c r="C25" s="169">
        <v>47.7</v>
      </c>
      <c r="D25" s="8">
        <v>42992.958333333336</v>
      </c>
      <c r="E25" s="169">
        <v>0.5</v>
      </c>
      <c r="F25" s="169" t="s">
        <v>824</v>
      </c>
      <c r="G25" s="169">
        <v>277.48</v>
      </c>
      <c r="H25" s="169">
        <v>3.0999999999999999E-3</v>
      </c>
      <c r="I25" s="169">
        <v>0.06</v>
      </c>
      <c r="J25" s="169" t="s">
        <v>530</v>
      </c>
      <c r="K25" s="169">
        <v>1004.57</v>
      </c>
      <c r="L25" s="169" t="s">
        <v>825</v>
      </c>
      <c r="M25" s="169">
        <v>67.23</v>
      </c>
      <c r="N25" s="169">
        <v>1505451600</v>
      </c>
      <c r="O25" s="169">
        <v>0</v>
      </c>
      <c r="P25" s="169">
        <v>10</v>
      </c>
      <c r="Q25" s="169">
        <v>193</v>
      </c>
      <c r="R25" s="169">
        <v>12.44</v>
      </c>
      <c r="S25" s="169">
        <v>4.3</v>
      </c>
    </row>
    <row r="26" spans="1:19" x14ac:dyDescent="0.25">
      <c r="A26" s="169">
        <v>67.05</v>
      </c>
      <c r="B26" s="169">
        <v>0.1</v>
      </c>
      <c r="C26" s="169">
        <v>45.52</v>
      </c>
      <c r="D26" s="8">
        <v>42993</v>
      </c>
      <c r="E26" s="169">
        <v>0.46</v>
      </c>
      <c r="F26" s="169" t="s">
        <v>369</v>
      </c>
      <c r="G26" s="169">
        <v>278.55</v>
      </c>
      <c r="H26" s="169">
        <v>0</v>
      </c>
      <c r="I26" s="169">
        <v>0</v>
      </c>
      <c r="J26" s="169"/>
      <c r="K26" s="169">
        <v>1002.75</v>
      </c>
      <c r="L26" s="169" t="s">
        <v>368</v>
      </c>
      <c r="M26" s="169">
        <v>67.05</v>
      </c>
      <c r="N26" s="169">
        <v>1505455200</v>
      </c>
      <c r="O26" s="169">
        <v>0</v>
      </c>
      <c r="P26" s="169">
        <v>3.67</v>
      </c>
      <c r="Q26" s="169">
        <v>203</v>
      </c>
      <c r="R26" s="169">
        <v>4.54</v>
      </c>
      <c r="S26" s="169">
        <v>1.18</v>
      </c>
    </row>
    <row r="27" spans="1:19" x14ac:dyDescent="0.25">
      <c r="A27" s="169">
        <v>65.13</v>
      </c>
      <c r="B27" s="169">
        <v>0.12</v>
      </c>
      <c r="C27" s="169">
        <v>45.44</v>
      </c>
      <c r="D27" s="8">
        <v>42993.041666666664</v>
      </c>
      <c r="E27" s="169">
        <v>0.49</v>
      </c>
      <c r="F27" s="169" t="s">
        <v>369</v>
      </c>
      <c r="G27" s="169">
        <v>279.27</v>
      </c>
      <c r="H27" s="169">
        <v>0</v>
      </c>
      <c r="I27" s="169">
        <v>0</v>
      </c>
      <c r="J27" s="169"/>
      <c r="K27" s="169">
        <v>1002.1</v>
      </c>
      <c r="L27" s="169" t="s">
        <v>368</v>
      </c>
      <c r="M27" s="169">
        <v>65.13</v>
      </c>
      <c r="N27" s="169">
        <v>1505458800</v>
      </c>
      <c r="O27" s="169">
        <v>0</v>
      </c>
      <c r="P27" s="169">
        <v>3.42</v>
      </c>
      <c r="Q27" s="169">
        <v>185</v>
      </c>
      <c r="R27" s="169">
        <v>5.15</v>
      </c>
      <c r="S27" s="169">
        <v>0.95</v>
      </c>
    </row>
    <row r="28" spans="1:19" x14ac:dyDescent="0.25">
      <c r="A28" s="169">
        <v>65</v>
      </c>
      <c r="B28" s="169">
        <v>0.14000000000000001</v>
      </c>
      <c r="C28" s="169">
        <v>44.7</v>
      </c>
      <c r="D28" s="8">
        <v>42993.083333333336</v>
      </c>
      <c r="E28" s="169">
        <v>0.48</v>
      </c>
      <c r="F28" s="169" t="s">
        <v>369</v>
      </c>
      <c r="G28" s="169">
        <v>280.56</v>
      </c>
      <c r="H28" s="169">
        <v>0</v>
      </c>
      <c r="I28" s="169">
        <v>0</v>
      </c>
      <c r="J28" s="169"/>
      <c r="K28" s="169">
        <v>1002.85</v>
      </c>
      <c r="L28" s="169" t="s">
        <v>368</v>
      </c>
      <c r="M28" s="169">
        <v>65</v>
      </c>
      <c r="N28" s="169">
        <v>1505462400</v>
      </c>
      <c r="O28" s="169">
        <v>0</v>
      </c>
      <c r="P28" s="169">
        <v>3.69</v>
      </c>
      <c r="Q28" s="169">
        <v>288</v>
      </c>
      <c r="R28" s="169">
        <v>6.76</v>
      </c>
      <c r="S28" s="169">
        <v>1.97</v>
      </c>
    </row>
    <row r="29" spans="1:19" x14ac:dyDescent="0.25">
      <c r="A29" s="169">
        <v>62.67</v>
      </c>
      <c r="B29" s="169">
        <v>0.05</v>
      </c>
      <c r="C29" s="169">
        <v>45.45</v>
      </c>
      <c r="D29" s="8">
        <v>42993.125</v>
      </c>
      <c r="E29" s="169">
        <v>0.53</v>
      </c>
      <c r="F29" s="169" t="s">
        <v>369</v>
      </c>
      <c r="G29" s="169">
        <v>281.73</v>
      </c>
      <c r="H29" s="169">
        <v>0</v>
      </c>
      <c r="I29" s="169">
        <v>0</v>
      </c>
      <c r="J29" s="169"/>
      <c r="K29" s="169">
        <v>1002.31</v>
      </c>
      <c r="L29" s="169" t="s">
        <v>368</v>
      </c>
      <c r="M29" s="169">
        <v>62.67</v>
      </c>
      <c r="N29" s="169">
        <v>1505466000</v>
      </c>
      <c r="O29" s="169">
        <v>0</v>
      </c>
      <c r="P29" s="169">
        <v>3.69</v>
      </c>
      <c r="Q29" s="169">
        <v>294</v>
      </c>
      <c r="R29" s="169">
        <v>5</v>
      </c>
      <c r="S29" s="169">
        <v>1.67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C8" sqref="C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42992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7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7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988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989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990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991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992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993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994</v>
      </c>
      <c r="J25" s="140" t="s">
        <v>146</v>
      </c>
      <c r="M25" s="154" t="b">
        <v>1</v>
      </c>
    </row>
    <row r="26" spans="3:24" x14ac:dyDescent="0.25">
      <c r="C26" t="s">
        <v>995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C:\Users\stu\Documents\GitHub\eaglep3-reporting\EC\2017-09-14-refined-times.txt</v>
      </c>
    </row>
    <row r="27" spans="3:24" x14ac:dyDescent="0.25">
      <c r="C27" t="s">
        <v>996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C:\Users\stu\Documents\GitHub\eaglep3-reporting\EC\2017-09-14-Enforcements.txt</v>
      </c>
    </row>
    <row r="28" spans="3:24" x14ac:dyDescent="0.25">
      <c r="C28" t="s">
        <v>568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C:\Users\stu\Documents\GitHub\eaglep3-reporting\EC\2017-09-14-Runs-refined.txt</v>
      </c>
    </row>
    <row r="29" spans="3:24" x14ac:dyDescent="0.25">
      <c r="C29" t="s">
        <v>997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C:\Users\stu\Documents\GitHub\eaglep3-reporting\EC\2017-09-14-Trips.txt</v>
      </c>
    </row>
    <row r="30" spans="3:24" x14ac:dyDescent="0.25">
      <c r="C30" t="s">
        <v>998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C:\Users\stu\Documents\GitHub\eaglep3-reporting\EC\2017-09-14-Weather.txt</v>
      </c>
    </row>
    <row r="31" spans="3:24" x14ac:dyDescent="0.25">
      <c r="C31" t="s">
        <v>999</v>
      </c>
      <c r="J31" s="140" t="s">
        <v>193</v>
      </c>
      <c r="M31" s="154" t="s">
        <v>194</v>
      </c>
    </row>
    <row r="32" spans="3:24" x14ac:dyDescent="0.25">
      <c r="C32" t="s">
        <v>1000</v>
      </c>
    </row>
    <row r="33" spans="3:3" x14ac:dyDescent="0.25">
      <c r="C33" t="s">
        <v>1001</v>
      </c>
    </row>
    <row r="34" spans="3:3" x14ac:dyDescent="0.25">
      <c r="C34" t="s">
        <v>1002</v>
      </c>
    </row>
    <row r="35" spans="3:3" x14ac:dyDescent="0.25">
      <c r="C35" t="s">
        <v>1003</v>
      </c>
    </row>
    <row r="36" spans="3:3" x14ac:dyDescent="0.25">
      <c r="C36" t="s">
        <v>1004</v>
      </c>
    </row>
    <row r="37" spans="3:3" x14ac:dyDescent="0.25">
      <c r="C37" t="s">
        <v>1005</v>
      </c>
    </row>
    <row r="38" spans="3:3" x14ac:dyDescent="0.25">
      <c r="C38" t="s">
        <v>1006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92" bestFit="1" customWidth="1"/>
    <col min="9" max="10" width="9.140625" style="19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190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191" t="s">
        <v>142</v>
      </c>
      <c r="I6" s="19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2017-09-15T15:32:18Z</dcterms:modified>
</cp:coreProperties>
</file>