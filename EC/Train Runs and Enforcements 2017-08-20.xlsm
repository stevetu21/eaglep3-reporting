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Trips'!$A$2:$J$33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1" i="1" l="1"/>
  <c r="X162" i="1"/>
  <c r="X163" i="1"/>
  <c r="X164" i="1"/>
  <c r="X165" i="1"/>
  <c r="K156" i="1"/>
  <c r="M156" i="1"/>
  <c r="N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K103" i="1"/>
  <c r="M103" i="1"/>
  <c r="P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G156" i="1"/>
  <c r="AG103" i="1"/>
  <c r="AG14" i="1"/>
  <c r="AI156" i="1" l="1"/>
  <c r="U156" i="1"/>
  <c r="S156" i="1" s="1"/>
  <c r="W156" i="1"/>
  <c r="AA103" i="1"/>
  <c r="AA14" i="1"/>
  <c r="W14" i="1" s="1"/>
  <c r="AI103" i="1"/>
  <c r="U103" i="1"/>
  <c r="S103" i="1" s="1"/>
  <c r="W103" i="1"/>
  <c r="AI14" i="1"/>
  <c r="U14" i="1"/>
  <c r="S14" i="1" s="1"/>
  <c r="K15" i="1"/>
  <c r="M15" i="1"/>
  <c r="P15" i="1" s="1"/>
  <c r="V15" i="1"/>
  <c r="Y15" i="1"/>
  <c r="Z15" i="1"/>
  <c r="AB15" i="1"/>
  <c r="AC15" i="1"/>
  <c r="AD15" i="1"/>
  <c r="AE15" i="1"/>
  <c r="R28" i="3" s="1"/>
  <c r="AF15" i="1"/>
  <c r="AH15" i="1"/>
  <c r="AM15" i="1"/>
  <c r="AN15" i="1"/>
  <c r="K16" i="1"/>
  <c r="M16" i="1"/>
  <c r="V16" i="1"/>
  <c r="Y16" i="1"/>
  <c r="Z16" i="1"/>
  <c r="AB16" i="1"/>
  <c r="AC16" i="1"/>
  <c r="AD16" i="1"/>
  <c r="AE16" i="1"/>
  <c r="AF16" i="1"/>
  <c r="AH16" i="1"/>
  <c r="AM16" i="1"/>
  <c r="AN16" i="1"/>
  <c r="K17" i="1"/>
  <c r="M17" i="1"/>
  <c r="N17" i="1" s="1"/>
  <c r="V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M18" i="1"/>
  <c r="N18" i="1" s="1"/>
  <c r="V18" i="1"/>
  <c r="Y18" i="1"/>
  <c r="Z18" i="1"/>
  <c r="AB18" i="1"/>
  <c r="AC18" i="1"/>
  <c r="AD18" i="1"/>
  <c r="X18" i="1" s="1"/>
  <c r="AE18" i="1"/>
  <c r="AF18" i="1"/>
  <c r="AH18" i="1"/>
  <c r="AM18" i="1"/>
  <c r="AN18" i="1"/>
  <c r="K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M24" i="1"/>
  <c r="N24" i="1"/>
  <c r="V24" i="1"/>
  <c r="Y24" i="1"/>
  <c r="AA24" i="1" s="1"/>
  <c r="Z24" i="1"/>
  <c r="AB24" i="1"/>
  <c r="AC24" i="1"/>
  <c r="AD24" i="1"/>
  <c r="T24" i="1" s="1"/>
  <c r="AE24" i="1"/>
  <c r="AF24" i="1"/>
  <c r="AH24" i="1"/>
  <c r="AM24" i="1"/>
  <c r="AN24" i="1"/>
  <c r="K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M31" i="1"/>
  <c r="N31" i="1" s="1"/>
  <c r="V31" i="1"/>
  <c r="S22" i="3" s="1"/>
  <c r="Y31" i="1"/>
  <c r="Z31" i="1"/>
  <c r="AB31" i="1"/>
  <c r="AC31" i="1"/>
  <c r="AD31" i="1"/>
  <c r="T31" i="1" s="1"/>
  <c r="AE31" i="1"/>
  <c r="R22" i="3" s="1"/>
  <c r="AF31" i="1"/>
  <c r="AH31" i="1"/>
  <c r="AM31" i="1"/>
  <c r="AN31" i="1"/>
  <c r="K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M38" i="1"/>
  <c r="N38" i="1" s="1"/>
  <c r="V38" i="1"/>
  <c r="Y38" i="1"/>
  <c r="Z38" i="1"/>
  <c r="AB38" i="1"/>
  <c r="AC38" i="1"/>
  <c r="AD38" i="1"/>
  <c r="AE38" i="1"/>
  <c r="R29" i="3" s="1"/>
  <c r="AF38" i="1"/>
  <c r="AH38" i="1"/>
  <c r="AM38" i="1"/>
  <c r="AN38" i="1"/>
  <c r="K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K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K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M55" i="1"/>
  <c r="N55" i="1" s="1"/>
  <c r="V55" i="1"/>
  <c r="S9" i="3" s="1"/>
  <c r="Y55" i="1"/>
  <c r="Z55" i="1"/>
  <c r="AB55" i="1"/>
  <c r="AC55" i="1"/>
  <c r="AD55" i="1"/>
  <c r="T55" i="1" s="1"/>
  <c r="AE55" i="1"/>
  <c r="R9" i="3" s="1"/>
  <c r="AF55" i="1"/>
  <c r="AH55" i="1"/>
  <c r="AM55" i="1"/>
  <c r="AN55" i="1"/>
  <c r="K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K66" i="1"/>
  <c r="M66" i="1"/>
  <c r="N66" i="1" s="1"/>
  <c r="T66" i="1"/>
  <c r="V66" i="1"/>
  <c r="X66" i="1"/>
  <c r="Y66" i="1"/>
  <c r="Z66" i="1"/>
  <c r="AA66" i="1" s="1"/>
  <c r="AB66" i="1"/>
  <c r="AC66" i="1"/>
  <c r="AD66" i="1"/>
  <c r="AE66" i="1"/>
  <c r="AF66" i="1"/>
  <c r="AH66" i="1"/>
  <c r="AM66" i="1"/>
  <c r="AN66" i="1"/>
  <c r="K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K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M71" i="1"/>
  <c r="N71" i="1" s="1"/>
  <c r="V71" i="1"/>
  <c r="S15" i="3" s="1"/>
  <c r="Y71" i="1"/>
  <c r="Z71" i="1"/>
  <c r="AB71" i="1"/>
  <c r="AC71" i="1"/>
  <c r="AD71" i="1"/>
  <c r="T71" i="1" s="1"/>
  <c r="AE71" i="1"/>
  <c r="R15" i="3" s="1"/>
  <c r="AF71" i="1"/>
  <c r="AH71" i="1"/>
  <c r="AM71" i="1"/>
  <c r="AN71" i="1"/>
  <c r="K72" i="1"/>
  <c r="M72" i="1"/>
  <c r="N72" i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M75" i="1"/>
  <c r="N75" i="1" s="1"/>
  <c r="V75" i="1"/>
  <c r="S24" i="3" s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M76" i="1"/>
  <c r="N76" i="1" s="1"/>
  <c r="V76" i="1"/>
  <c r="Y76" i="1"/>
  <c r="Z76" i="1"/>
  <c r="AB76" i="1"/>
  <c r="AC76" i="1"/>
  <c r="AD76" i="1"/>
  <c r="T76" i="1" s="1"/>
  <c r="AE76" i="1"/>
  <c r="R30" i="3" s="1"/>
  <c r="AF76" i="1"/>
  <c r="AH76" i="1"/>
  <c r="AM76" i="1"/>
  <c r="AN76" i="1"/>
  <c r="K77" i="1"/>
  <c r="M77" i="1"/>
  <c r="N77" i="1" s="1"/>
  <c r="V77" i="1"/>
  <c r="S13" i="3" s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M83" i="1"/>
  <c r="N83" i="1" s="1"/>
  <c r="V83" i="1"/>
  <c r="S12" i="3" s="1"/>
  <c r="Y83" i="1"/>
  <c r="Z83" i="1"/>
  <c r="AB83" i="1"/>
  <c r="AC83" i="1"/>
  <c r="AD83" i="1"/>
  <c r="AE83" i="1"/>
  <c r="R12" i="3" s="1"/>
  <c r="AF83" i="1"/>
  <c r="AH83" i="1"/>
  <c r="AM83" i="1"/>
  <c r="AN83" i="1"/>
  <c r="K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M92" i="1"/>
  <c r="V92" i="1"/>
  <c r="S20" i="3" s="1"/>
  <c r="Y92" i="1"/>
  <c r="Z92" i="1"/>
  <c r="AB92" i="1"/>
  <c r="AC92" i="1"/>
  <c r="AD92" i="1"/>
  <c r="AE92" i="1"/>
  <c r="AF92" i="1"/>
  <c r="AH92" i="1"/>
  <c r="AM92" i="1"/>
  <c r="AN92" i="1"/>
  <c r="K93" i="1"/>
  <c r="M93" i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159" i="1"/>
  <c r="M159" i="1"/>
  <c r="N159" i="1" s="1"/>
  <c r="V159" i="1"/>
  <c r="Y159" i="1"/>
  <c r="Z159" i="1"/>
  <c r="AB159" i="1"/>
  <c r="AC159" i="1"/>
  <c r="AD159" i="1"/>
  <c r="AE159" i="1"/>
  <c r="AF159" i="1"/>
  <c r="AH95" i="1"/>
  <c r="AM95" i="1"/>
  <c r="AN95" i="1"/>
  <c r="K160" i="1"/>
  <c r="M160" i="1"/>
  <c r="N160" i="1" s="1"/>
  <c r="V160" i="1"/>
  <c r="Y160" i="1"/>
  <c r="Z160" i="1"/>
  <c r="AB160" i="1"/>
  <c r="AC160" i="1"/>
  <c r="AD160" i="1"/>
  <c r="AE160" i="1"/>
  <c r="AF160" i="1"/>
  <c r="AH96" i="1"/>
  <c r="AM96" i="1"/>
  <c r="AN96" i="1"/>
  <c r="K161" i="1"/>
  <c r="M161" i="1"/>
  <c r="N161" i="1" s="1"/>
  <c r="V161" i="1"/>
  <c r="S43" i="3" s="1"/>
  <c r="Y161" i="1"/>
  <c r="Z161" i="1"/>
  <c r="AB161" i="1"/>
  <c r="AC161" i="1"/>
  <c r="AD161" i="1"/>
  <c r="AE161" i="1"/>
  <c r="R43" i="3" s="1"/>
  <c r="AF161" i="1"/>
  <c r="AH97" i="1"/>
  <c r="AM97" i="1"/>
  <c r="AN97" i="1"/>
  <c r="AH98" i="1"/>
  <c r="AM98" i="1"/>
  <c r="AN98" i="1"/>
  <c r="K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9" i="1"/>
  <c r="AM99" i="1"/>
  <c r="AN99" i="1"/>
  <c r="K163" i="1"/>
  <c r="M163" i="1"/>
  <c r="N163" i="1" s="1"/>
  <c r="V163" i="1"/>
  <c r="Y163" i="1"/>
  <c r="Z163" i="1"/>
  <c r="AB163" i="1"/>
  <c r="AC163" i="1"/>
  <c r="AD163" i="1"/>
  <c r="AE163" i="1"/>
  <c r="AF163" i="1"/>
  <c r="AH100" i="1"/>
  <c r="AM100" i="1"/>
  <c r="AN100" i="1"/>
  <c r="K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1" i="1"/>
  <c r="AM101" i="1"/>
  <c r="AN101" i="1"/>
  <c r="K165" i="1"/>
  <c r="M165" i="1"/>
  <c r="N165" i="1" s="1"/>
  <c r="V165" i="1"/>
  <c r="Y165" i="1"/>
  <c r="Z165" i="1"/>
  <c r="AB165" i="1"/>
  <c r="AC165" i="1"/>
  <c r="AD165" i="1"/>
  <c r="AE165" i="1"/>
  <c r="AF165" i="1"/>
  <c r="AH102" i="1"/>
  <c r="AM102" i="1"/>
  <c r="AN102" i="1"/>
  <c r="K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4" i="1"/>
  <c r="AM104" i="1"/>
  <c r="AN104" i="1"/>
  <c r="K167" i="1"/>
  <c r="M167" i="1"/>
  <c r="N167" i="1" s="1"/>
  <c r="V167" i="1"/>
  <c r="Y167" i="1"/>
  <c r="Z167" i="1"/>
  <c r="AB167" i="1"/>
  <c r="AC167" i="1"/>
  <c r="AD167" i="1"/>
  <c r="AE167" i="1"/>
  <c r="AF167" i="1"/>
  <c r="AH105" i="1"/>
  <c r="AM105" i="1"/>
  <c r="AN105" i="1"/>
  <c r="K168" i="1"/>
  <c r="M168" i="1"/>
  <c r="N168" i="1" s="1"/>
  <c r="V168" i="1"/>
  <c r="S50" i="3" s="1"/>
  <c r="Y168" i="1"/>
  <c r="Z168" i="1"/>
  <c r="AB168" i="1"/>
  <c r="AC168" i="1"/>
  <c r="AD168" i="1"/>
  <c r="T168" i="1" s="1"/>
  <c r="AE168" i="1"/>
  <c r="R50" i="3" s="1"/>
  <c r="AF168" i="1"/>
  <c r="AH106" i="1"/>
  <c r="AM106" i="1"/>
  <c r="AN106" i="1"/>
  <c r="K95" i="1"/>
  <c r="M95" i="1"/>
  <c r="N95" i="1" s="1"/>
  <c r="V95" i="1"/>
  <c r="Y95" i="1"/>
  <c r="Z95" i="1"/>
  <c r="AB95" i="1"/>
  <c r="AC95" i="1"/>
  <c r="AD95" i="1"/>
  <c r="AE95" i="1"/>
  <c r="AF95" i="1"/>
  <c r="AH107" i="1"/>
  <c r="AM107" i="1"/>
  <c r="AN107" i="1"/>
  <c r="K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8" i="1"/>
  <c r="AM108" i="1"/>
  <c r="AN108" i="1"/>
  <c r="K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9" i="1"/>
  <c r="AM109" i="1"/>
  <c r="AN109" i="1"/>
  <c r="K171" i="1"/>
  <c r="M171" i="1"/>
  <c r="V171" i="1"/>
  <c r="S45" i="3" s="1"/>
  <c r="Y171" i="1"/>
  <c r="Z171" i="1"/>
  <c r="AB171" i="1"/>
  <c r="AC171" i="1"/>
  <c r="AD171" i="1"/>
  <c r="T171" i="1" s="1"/>
  <c r="AE171" i="1"/>
  <c r="R45" i="3" s="1"/>
  <c r="AF171" i="1"/>
  <c r="AH110" i="1"/>
  <c r="AM110" i="1"/>
  <c r="AN110" i="1"/>
  <c r="K172" i="1"/>
  <c r="M172" i="1"/>
  <c r="N172" i="1" s="1"/>
  <c r="V172" i="1"/>
  <c r="S52" i="3" s="1"/>
  <c r="Y172" i="1"/>
  <c r="Z172" i="1"/>
  <c r="AB172" i="1"/>
  <c r="AC172" i="1"/>
  <c r="AD172" i="1"/>
  <c r="AE172" i="1"/>
  <c r="AF172" i="1"/>
  <c r="AH111" i="1"/>
  <c r="AM111" i="1"/>
  <c r="AN111" i="1"/>
  <c r="K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2" i="1"/>
  <c r="AM112" i="1"/>
  <c r="AN112" i="1"/>
  <c r="K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3" i="1"/>
  <c r="AM113" i="1"/>
  <c r="AN113" i="1"/>
  <c r="K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4" i="1"/>
  <c r="AM114" i="1"/>
  <c r="AN114" i="1"/>
  <c r="K176" i="1"/>
  <c r="M176" i="1"/>
  <c r="N176" i="1" s="1"/>
  <c r="V176" i="1"/>
  <c r="S35" i="3" s="1"/>
  <c r="Y176" i="1"/>
  <c r="Z176" i="1"/>
  <c r="AB176" i="1"/>
  <c r="AC176" i="1"/>
  <c r="AD176" i="1"/>
  <c r="AE176" i="1"/>
  <c r="R35" i="3" s="1"/>
  <c r="AF176" i="1"/>
  <c r="AH115" i="1"/>
  <c r="AM115" i="1"/>
  <c r="AN115" i="1"/>
  <c r="K177" i="1"/>
  <c r="M177" i="1"/>
  <c r="N177" i="1" s="1"/>
  <c r="V177" i="1"/>
  <c r="S36" i="3" s="1"/>
  <c r="Y177" i="1"/>
  <c r="Z177" i="1"/>
  <c r="AB177" i="1"/>
  <c r="AC177" i="1"/>
  <c r="AD177" i="1"/>
  <c r="T177" i="1" s="1"/>
  <c r="AE177" i="1"/>
  <c r="AF177" i="1"/>
  <c r="AH116" i="1"/>
  <c r="AM116" i="1"/>
  <c r="AN116" i="1"/>
  <c r="K178" i="1"/>
  <c r="M178" i="1"/>
  <c r="N178" i="1" s="1"/>
  <c r="V178" i="1"/>
  <c r="S53" i="3" s="1"/>
  <c r="Y178" i="1"/>
  <c r="Z178" i="1"/>
  <c r="AB178" i="1"/>
  <c r="AC178" i="1"/>
  <c r="AD178" i="1"/>
  <c r="T178" i="1" s="1"/>
  <c r="AE178" i="1"/>
  <c r="R53" i="3" s="1"/>
  <c r="AF178" i="1"/>
  <c r="K96" i="1"/>
  <c r="M96" i="1"/>
  <c r="N96" i="1" s="1"/>
  <c r="V96" i="1"/>
  <c r="Y96" i="1"/>
  <c r="Z96" i="1"/>
  <c r="AB96" i="1"/>
  <c r="AC96" i="1"/>
  <c r="AD96" i="1"/>
  <c r="AE96" i="1"/>
  <c r="AF96" i="1"/>
  <c r="AH117" i="1"/>
  <c r="AM117" i="1"/>
  <c r="AN117" i="1"/>
  <c r="K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8" i="1"/>
  <c r="AM118" i="1"/>
  <c r="AN118" i="1"/>
  <c r="K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9" i="1"/>
  <c r="AM119" i="1"/>
  <c r="AN119" i="1"/>
  <c r="K181" i="1"/>
  <c r="M181" i="1"/>
  <c r="N181" i="1" s="1"/>
  <c r="V181" i="1"/>
  <c r="Y181" i="1"/>
  <c r="Z181" i="1"/>
  <c r="AB181" i="1"/>
  <c r="AC181" i="1"/>
  <c r="AD181" i="1"/>
  <c r="T181" i="1" s="1"/>
  <c r="AE181" i="1"/>
  <c r="R48" i="3" s="1"/>
  <c r="AF181" i="1"/>
  <c r="AH120" i="1"/>
  <c r="AM120" i="1"/>
  <c r="AN120" i="1"/>
  <c r="K182" i="1"/>
  <c r="M182" i="1"/>
  <c r="N182" i="1" s="1"/>
  <c r="V182" i="1"/>
  <c r="Y182" i="1"/>
  <c r="Z182" i="1"/>
  <c r="AB182" i="1"/>
  <c r="AC182" i="1"/>
  <c r="AD182" i="1"/>
  <c r="AE182" i="1"/>
  <c r="AF182" i="1"/>
  <c r="AH121" i="1"/>
  <c r="AM121" i="1"/>
  <c r="AN121" i="1"/>
  <c r="K183" i="1"/>
  <c r="M183" i="1"/>
  <c r="N183" i="1" s="1"/>
  <c r="V183" i="1"/>
  <c r="Y183" i="1"/>
  <c r="Z183" i="1"/>
  <c r="AB183" i="1"/>
  <c r="AC183" i="1"/>
  <c r="AD183" i="1"/>
  <c r="AE183" i="1"/>
  <c r="R37" i="3" s="1"/>
  <c r="AF183" i="1"/>
  <c r="AH122" i="1"/>
  <c r="AM122" i="1"/>
  <c r="AN122" i="1"/>
  <c r="K184" i="1"/>
  <c r="M184" i="1"/>
  <c r="N184" i="1" s="1"/>
  <c r="V184" i="1"/>
  <c r="S54" i="3" s="1"/>
  <c r="Y184" i="1"/>
  <c r="Z184" i="1"/>
  <c r="AB184" i="1"/>
  <c r="AC184" i="1"/>
  <c r="AD184" i="1"/>
  <c r="T184" i="1" s="1"/>
  <c r="AE184" i="1"/>
  <c r="R54" i="3" s="1"/>
  <c r="AF184" i="1"/>
  <c r="AH123" i="1"/>
  <c r="AM123" i="1"/>
  <c r="AN123" i="1"/>
  <c r="K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4" i="1"/>
  <c r="AM124" i="1"/>
  <c r="AN124" i="1"/>
  <c r="K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5" i="1"/>
  <c r="AM125" i="1"/>
  <c r="AN125" i="1"/>
  <c r="K187" i="1"/>
  <c r="M187" i="1"/>
  <c r="N187" i="1" s="1"/>
  <c r="V187" i="1"/>
  <c r="Y187" i="1"/>
  <c r="Z187" i="1"/>
  <c r="AB187" i="1"/>
  <c r="AC187" i="1"/>
  <c r="AD187" i="1"/>
  <c r="T187" i="1" s="1"/>
  <c r="AE187" i="1"/>
  <c r="R38" i="3" s="1"/>
  <c r="AF187" i="1"/>
  <c r="AH126" i="1"/>
  <c r="AM126" i="1"/>
  <c r="AN126" i="1"/>
  <c r="K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7" i="1"/>
  <c r="AM127" i="1"/>
  <c r="AN127" i="1"/>
  <c r="K97" i="1"/>
  <c r="M97" i="1"/>
  <c r="N97" i="1" s="1"/>
  <c r="V97" i="1"/>
  <c r="Y97" i="1"/>
  <c r="Z97" i="1"/>
  <c r="AB97" i="1"/>
  <c r="AC97" i="1"/>
  <c r="AD97" i="1"/>
  <c r="T97" i="1" s="1"/>
  <c r="AE97" i="1"/>
  <c r="AF97" i="1"/>
  <c r="AH128" i="1"/>
  <c r="AM128" i="1"/>
  <c r="AN128" i="1"/>
  <c r="K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9" i="1"/>
  <c r="AM129" i="1"/>
  <c r="AN129" i="1"/>
  <c r="K190" i="1"/>
  <c r="M190" i="1"/>
  <c r="N190" i="1" s="1"/>
  <c r="V190" i="1"/>
  <c r="S55" i="3" s="1"/>
  <c r="Y190" i="1"/>
  <c r="Z190" i="1"/>
  <c r="AB190" i="1"/>
  <c r="AC190" i="1"/>
  <c r="AD190" i="1"/>
  <c r="T190" i="1" s="1"/>
  <c r="AE190" i="1"/>
  <c r="R55" i="3" s="1"/>
  <c r="AF190" i="1"/>
  <c r="AH130" i="1"/>
  <c r="AM130" i="1"/>
  <c r="AN130" i="1"/>
  <c r="K191" i="1"/>
  <c r="M191" i="1"/>
  <c r="N191" i="1" s="1"/>
  <c r="V191" i="1"/>
  <c r="S49" i="3" s="1"/>
  <c r="Y191" i="1"/>
  <c r="Z191" i="1"/>
  <c r="AB191" i="1"/>
  <c r="AC191" i="1"/>
  <c r="AD191" i="1"/>
  <c r="T191" i="1" s="1"/>
  <c r="AE191" i="1"/>
  <c r="AF191" i="1"/>
  <c r="AH131" i="1"/>
  <c r="AM131" i="1"/>
  <c r="AN131" i="1"/>
  <c r="K192" i="1"/>
  <c r="M192" i="1"/>
  <c r="N192" i="1" s="1"/>
  <c r="V192" i="1"/>
  <c r="S40" i="3" s="1"/>
  <c r="Y192" i="1"/>
  <c r="Z192" i="1"/>
  <c r="AB192" i="1"/>
  <c r="AC192" i="1"/>
  <c r="AD192" i="1"/>
  <c r="T192" i="1" s="1"/>
  <c r="AE192" i="1"/>
  <c r="R40" i="3" s="1"/>
  <c r="AF192" i="1"/>
  <c r="AH132" i="1"/>
  <c r="AM132" i="1"/>
  <c r="AN132" i="1"/>
  <c r="K98" i="1"/>
  <c r="M98" i="1"/>
  <c r="N98" i="1" s="1"/>
  <c r="V98" i="1"/>
  <c r="Y98" i="1"/>
  <c r="Z98" i="1"/>
  <c r="AB98" i="1"/>
  <c r="AC98" i="1"/>
  <c r="AD98" i="1"/>
  <c r="AE98" i="1"/>
  <c r="AF98" i="1"/>
  <c r="AH133" i="1"/>
  <c r="AM133" i="1"/>
  <c r="AN133" i="1"/>
  <c r="K99" i="1"/>
  <c r="M99" i="1"/>
  <c r="N99" i="1" s="1"/>
  <c r="V99" i="1"/>
  <c r="Y99" i="1"/>
  <c r="Z99" i="1"/>
  <c r="AB99" i="1"/>
  <c r="AC99" i="1"/>
  <c r="AD99" i="1"/>
  <c r="T99" i="1" s="1"/>
  <c r="AE99" i="1"/>
  <c r="AF99" i="1"/>
  <c r="AH134" i="1"/>
  <c r="AM134" i="1"/>
  <c r="AN134" i="1"/>
  <c r="K100" i="1"/>
  <c r="M100" i="1"/>
  <c r="N100" i="1" s="1"/>
  <c r="V100" i="1"/>
  <c r="Y100" i="1"/>
  <c r="Z100" i="1"/>
  <c r="AB100" i="1"/>
  <c r="AC100" i="1"/>
  <c r="AD100" i="1"/>
  <c r="T100" i="1" s="1"/>
  <c r="AE100" i="1"/>
  <c r="R10" i="3" s="1"/>
  <c r="AF100" i="1"/>
  <c r="AH135" i="1"/>
  <c r="AM135" i="1"/>
  <c r="AN135" i="1"/>
  <c r="K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K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AM137" i="1"/>
  <c r="AN137" i="1"/>
  <c r="K104" i="1"/>
  <c r="M104" i="1"/>
  <c r="N104" i="1" s="1"/>
  <c r="V104" i="1"/>
  <c r="Y104" i="1"/>
  <c r="Z104" i="1"/>
  <c r="AB104" i="1"/>
  <c r="AC104" i="1"/>
  <c r="AD104" i="1"/>
  <c r="X104" i="1" s="1"/>
  <c r="AE104" i="1"/>
  <c r="AF104" i="1"/>
  <c r="AH138" i="1"/>
  <c r="AM138" i="1"/>
  <c r="AN138" i="1"/>
  <c r="K209" i="1"/>
  <c r="M209" i="1"/>
  <c r="N209" i="1" s="1"/>
  <c r="V209" i="1"/>
  <c r="S57" i="3" s="1"/>
  <c r="Y209" i="1"/>
  <c r="Z209" i="1"/>
  <c r="AB209" i="1"/>
  <c r="AC209" i="1"/>
  <c r="AD209" i="1"/>
  <c r="T209" i="1" s="1"/>
  <c r="AE209" i="1"/>
  <c r="AF209" i="1"/>
  <c r="AH139" i="1"/>
  <c r="AM139" i="1"/>
  <c r="AN139" i="1"/>
  <c r="K210" i="1"/>
  <c r="M210" i="1"/>
  <c r="N210" i="1" s="1"/>
  <c r="V210" i="1"/>
  <c r="Y210" i="1"/>
  <c r="Z210" i="1"/>
  <c r="AB210" i="1"/>
  <c r="AC210" i="1"/>
  <c r="AD210" i="1"/>
  <c r="T210" i="1" s="1"/>
  <c r="AE210" i="1"/>
  <c r="R56" i="3" s="1"/>
  <c r="AF210" i="1"/>
  <c r="AH140" i="1"/>
  <c r="AM140" i="1"/>
  <c r="AN140" i="1"/>
  <c r="K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M106" i="1"/>
  <c r="N106" i="1" s="1"/>
  <c r="V106" i="1"/>
  <c r="S16" i="3" s="1"/>
  <c r="Y106" i="1"/>
  <c r="Z106" i="1"/>
  <c r="AB106" i="1"/>
  <c r="AC106" i="1"/>
  <c r="AD106" i="1"/>
  <c r="T106" i="1" s="1"/>
  <c r="AE106" i="1"/>
  <c r="R16" i="3" s="1"/>
  <c r="AF106" i="1"/>
  <c r="AH142" i="1"/>
  <c r="AM142" i="1"/>
  <c r="AN142" i="1"/>
  <c r="K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M111" i="1"/>
  <c r="N111" i="1" s="1"/>
  <c r="V111" i="1"/>
  <c r="S11" i="3" s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M112" i="1"/>
  <c r="N112" i="1" s="1"/>
  <c r="V112" i="1"/>
  <c r="Y112" i="1"/>
  <c r="Z112" i="1"/>
  <c r="AB112" i="1"/>
  <c r="AC112" i="1"/>
  <c r="AD112" i="1"/>
  <c r="AE112" i="1"/>
  <c r="AF112" i="1"/>
  <c r="AH148" i="1"/>
  <c r="AM148" i="1"/>
  <c r="AN148" i="1"/>
  <c r="K113" i="1"/>
  <c r="M113" i="1"/>
  <c r="N113" i="1" s="1"/>
  <c r="V113" i="1"/>
  <c r="Y113" i="1"/>
  <c r="Z113" i="1"/>
  <c r="AB113" i="1"/>
  <c r="AC113" i="1"/>
  <c r="AD113" i="1"/>
  <c r="T113" i="1" s="1"/>
  <c r="AE113" i="1"/>
  <c r="R31" i="3" s="1"/>
  <c r="AF113" i="1"/>
  <c r="AH149" i="1"/>
  <c r="AM149" i="1"/>
  <c r="AN149" i="1"/>
  <c r="K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AH153" i="1"/>
  <c r="AM153" i="1"/>
  <c r="AN153" i="1"/>
  <c r="K117" i="1"/>
  <c r="M117" i="1"/>
  <c r="N117" i="1" s="1"/>
  <c r="V117" i="1"/>
  <c r="Y117" i="1"/>
  <c r="Z117" i="1"/>
  <c r="AB117" i="1"/>
  <c r="AC117" i="1"/>
  <c r="AD117" i="1"/>
  <c r="AE117" i="1"/>
  <c r="AF117" i="1"/>
  <c r="AH154" i="1"/>
  <c r="AM154" i="1"/>
  <c r="AN154" i="1"/>
  <c r="K118" i="1"/>
  <c r="M118" i="1"/>
  <c r="N118" i="1" s="1"/>
  <c r="V118" i="1"/>
  <c r="S25" i="3" s="1"/>
  <c r="Y118" i="1"/>
  <c r="Z118" i="1"/>
  <c r="AB118" i="1"/>
  <c r="AC118" i="1"/>
  <c r="AD118" i="1"/>
  <c r="AE118" i="1"/>
  <c r="R25" i="3" s="1"/>
  <c r="AF118" i="1"/>
  <c r="AH155" i="1"/>
  <c r="AM155" i="1"/>
  <c r="AN155" i="1"/>
  <c r="K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K120" i="1"/>
  <c r="M120" i="1"/>
  <c r="N120" i="1" s="1"/>
  <c r="V120" i="1"/>
  <c r="S17" i="3" s="1"/>
  <c r="Y120" i="1"/>
  <c r="Z120" i="1"/>
  <c r="AB120" i="1"/>
  <c r="AC120" i="1"/>
  <c r="AD120" i="1"/>
  <c r="T120" i="1" s="1"/>
  <c r="AE120" i="1"/>
  <c r="R17" i="3" s="1"/>
  <c r="AF120" i="1"/>
  <c r="AH158" i="1"/>
  <c r="AM158" i="1"/>
  <c r="AN158" i="1"/>
  <c r="K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M122" i="1"/>
  <c r="N122" i="1" s="1"/>
  <c r="V122" i="1"/>
  <c r="S26" i="3" s="1"/>
  <c r="Y122" i="1"/>
  <c r="Z122" i="1"/>
  <c r="AB122" i="1"/>
  <c r="AC122" i="1"/>
  <c r="AD122" i="1"/>
  <c r="T122" i="1" s="1"/>
  <c r="AE122" i="1"/>
  <c r="R26" i="3" s="1"/>
  <c r="AF122" i="1"/>
  <c r="AH159" i="1"/>
  <c r="AM159" i="1"/>
  <c r="AN159" i="1"/>
  <c r="K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60" i="1"/>
  <c r="AM160" i="1"/>
  <c r="AN160" i="1"/>
  <c r="K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1" i="1"/>
  <c r="AM161" i="1"/>
  <c r="AN161" i="1"/>
  <c r="K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2" i="1"/>
  <c r="AM162" i="1"/>
  <c r="AN162" i="1"/>
  <c r="K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AM163" i="1"/>
  <c r="AN163" i="1"/>
  <c r="K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AM164" i="1"/>
  <c r="AN164" i="1"/>
  <c r="K129" i="1"/>
  <c r="M129" i="1"/>
  <c r="N129" i="1" s="1"/>
  <c r="V129" i="1"/>
  <c r="Y129" i="1"/>
  <c r="Z129" i="1"/>
  <c r="AB129" i="1"/>
  <c r="AC129" i="1"/>
  <c r="AD129" i="1"/>
  <c r="AE129" i="1"/>
  <c r="AF129" i="1"/>
  <c r="AH165" i="1"/>
  <c r="AM165" i="1"/>
  <c r="AN165" i="1"/>
  <c r="K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M131" i="1"/>
  <c r="N131" i="1" s="1"/>
  <c r="V131" i="1"/>
  <c r="S32" i="3" s="1"/>
  <c r="Y131" i="1"/>
  <c r="Z131" i="1"/>
  <c r="AA131" i="1" s="1"/>
  <c r="AB131" i="1"/>
  <c r="AC131" i="1"/>
  <c r="AD131" i="1"/>
  <c r="T131" i="1" s="1"/>
  <c r="AE131" i="1"/>
  <c r="R32" i="3" s="1"/>
  <c r="AF131" i="1"/>
  <c r="AH167" i="1"/>
  <c r="AM167" i="1"/>
  <c r="AN167" i="1"/>
  <c r="K132" i="1"/>
  <c r="M132" i="1"/>
  <c r="N132" i="1" s="1"/>
  <c r="V132" i="1"/>
  <c r="Y132" i="1"/>
  <c r="Z132" i="1"/>
  <c r="AB132" i="1"/>
  <c r="AC132" i="1"/>
  <c r="AD132" i="1"/>
  <c r="AE132" i="1"/>
  <c r="AF132" i="1"/>
  <c r="AH168" i="1"/>
  <c r="AM168" i="1"/>
  <c r="AN168" i="1"/>
  <c r="K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69" i="1"/>
  <c r="AM169" i="1"/>
  <c r="AN169" i="1"/>
  <c r="K134" i="1"/>
  <c r="M134" i="1"/>
  <c r="N134" i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AM171" i="1"/>
  <c r="AN171" i="1"/>
  <c r="K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2" i="1"/>
  <c r="AM172" i="1"/>
  <c r="AN172" i="1"/>
  <c r="K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M139" i="1"/>
  <c r="N139" i="1" s="1"/>
  <c r="V139" i="1"/>
  <c r="S33" i="3" s="1"/>
  <c r="Y139" i="1"/>
  <c r="Z139" i="1"/>
  <c r="AB139" i="1"/>
  <c r="AC139" i="1"/>
  <c r="AD139" i="1"/>
  <c r="T139" i="1" s="1"/>
  <c r="AE139" i="1"/>
  <c r="R33" i="3" s="1"/>
  <c r="AF139" i="1"/>
  <c r="AH175" i="1"/>
  <c r="AM175" i="1"/>
  <c r="AN175" i="1"/>
  <c r="K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AM176" i="1"/>
  <c r="AN176" i="1"/>
  <c r="K141" i="1"/>
  <c r="M141" i="1"/>
  <c r="N141" i="1" s="1"/>
  <c r="V141" i="1"/>
  <c r="Y141" i="1"/>
  <c r="Z141" i="1"/>
  <c r="AB141" i="1"/>
  <c r="AC141" i="1"/>
  <c r="AD141" i="1"/>
  <c r="AE141" i="1"/>
  <c r="AF141" i="1"/>
  <c r="AH177" i="1"/>
  <c r="AM177" i="1"/>
  <c r="AN177" i="1"/>
  <c r="K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AM178" i="1"/>
  <c r="AN178" i="1"/>
  <c r="K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9" i="1"/>
  <c r="AM179" i="1"/>
  <c r="AN179" i="1"/>
  <c r="K144" i="1"/>
  <c r="M144" i="1"/>
  <c r="N144" i="1" s="1"/>
  <c r="V144" i="1"/>
  <c r="S27" i="3" s="1"/>
  <c r="Y144" i="1"/>
  <c r="Z144" i="1"/>
  <c r="AB144" i="1"/>
  <c r="AC144" i="1"/>
  <c r="AD144" i="1"/>
  <c r="T144" i="1" s="1"/>
  <c r="AE144" i="1"/>
  <c r="R27" i="3" s="1"/>
  <c r="AF144" i="1"/>
  <c r="AH180" i="1"/>
  <c r="AM180" i="1"/>
  <c r="AN180" i="1"/>
  <c r="K145" i="1"/>
  <c r="M145" i="1"/>
  <c r="N145" i="1" s="1"/>
  <c r="V145" i="1"/>
  <c r="Y145" i="1"/>
  <c r="Z145" i="1"/>
  <c r="AB145" i="1"/>
  <c r="AC145" i="1"/>
  <c r="AD145" i="1"/>
  <c r="AE145" i="1"/>
  <c r="AF145" i="1"/>
  <c r="AH181" i="1"/>
  <c r="AM181" i="1"/>
  <c r="AN181" i="1"/>
  <c r="K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2" i="1"/>
  <c r="AM182" i="1"/>
  <c r="AN182" i="1"/>
  <c r="K147" i="1"/>
  <c r="M147" i="1"/>
  <c r="N147" i="1" s="1"/>
  <c r="V147" i="1"/>
  <c r="Y147" i="1"/>
  <c r="Z147" i="1"/>
  <c r="AB147" i="1"/>
  <c r="AC147" i="1"/>
  <c r="AD147" i="1"/>
  <c r="AE147" i="1"/>
  <c r="AF147" i="1"/>
  <c r="AH183" i="1"/>
  <c r="AM183" i="1"/>
  <c r="AN183" i="1"/>
  <c r="K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AM184" i="1"/>
  <c r="AN184" i="1"/>
  <c r="K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5" i="1"/>
  <c r="AM185" i="1"/>
  <c r="AN185" i="1"/>
  <c r="K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6" i="1"/>
  <c r="AM186" i="1"/>
  <c r="AN186" i="1"/>
  <c r="K151" i="1"/>
  <c r="M151" i="1"/>
  <c r="N151" i="1" s="1"/>
  <c r="V151" i="1"/>
  <c r="Y151" i="1"/>
  <c r="Z151" i="1"/>
  <c r="AB151" i="1"/>
  <c r="AC151" i="1"/>
  <c r="AD151" i="1"/>
  <c r="AE151" i="1"/>
  <c r="AF151" i="1"/>
  <c r="AH187" i="1"/>
  <c r="AM187" i="1"/>
  <c r="AN187" i="1"/>
  <c r="K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AM188" i="1"/>
  <c r="AN188" i="1"/>
  <c r="K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0" i="1"/>
  <c r="AM190" i="1"/>
  <c r="AN190" i="1"/>
  <c r="K155" i="1"/>
  <c r="M155" i="1"/>
  <c r="N155" i="1" s="1"/>
  <c r="V155" i="1"/>
  <c r="S34" i="3" s="1"/>
  <c r="Y155" i="1"/>
  <c r="Z155" i="1"/>
  <c r="AB155" i="1"/>
  <c r="AC155" i="1"/>
  <c r="AD155" i="1"/>
  <c r="X155" i="1" s="1"/>
  <c r="AE155" i="1"/>
  <c r="R34" i="3" s="1"/>
  <c r="AF155" i="1"/>
  <c r="AH191" i="1"/>
  <c r="AM191" i="1"/>
  <c r="AN191" i="1"/>
  <c r="K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92" i="1"/>
  <c r="AM192" i="1"/>
  <c r="AN192" i="1"/>
  <c r="K158" i="1"/>
  <c r="M158" i="1"/>
  <c r="N158" i="1" s="1"/>
  <c r="V158" i="1"/>
  <c r="Y158" i="1"/>
  <c r="Z158" i="1"/>
  <c r="AB158" i="1"/>
  <c r="AC158" i="1"/>
  <c r="AD158" i="1"/>
  <c r="AE158" i="1"/>
  <c r="AF158" i="1"/>
  <c r="AH193" i="1"/>
  <c r="AM193" i="1"/>
  <c r="AN193" i="1"/>
  <c r="AH194" i="1"/>
  <c r="AM194" i="1"/>
  <c r="AN194" i="1"/>
  <c r="K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M195" i="1"/>
  <c r="N195" i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00" i="1"/>
  <c r="AM200" i="1"/>
  <c r="AN200" i="1"/>
  <c r="K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K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K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216" i="1"/>
  <c r="AM216" i="1"/>
  <c r="AN216" i="1"/>
  <c r="K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M218" i="1"/>
  <c r="N218" i="1" s="1"/>
  <c r="V218" i="1"/>
  <c r="S58" i="3" s="1"/>
  <c r="Y218" i="1"/>
  <c r="Z218" i="1"/>
  <c r="AB218" i="1"/>
  <c r="AC218" i="1"/>
  <c r="AD218" i="1"/>
  <c r="T218" i="1" s="1"/>
  <c r="AE218" i="1"/>
  <c r="R58" i="3" s="1"/>
  <c r="AF218" i="1"/>
  <c r="AH218" i="1"/>
  <c r="AM218" i="1"/>
  <c r="AN218" i="1"/>
  <c r="K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M28" i="3"/>
  <c r="U28" i="3"/>
  <c r="V28" i="3"/>
  <c r="X28" i="3"/>
  <c r="M57" i="3"/>
  <c r="R57" i="3"/>
  <c r="U57" i="3"/>
  <c r="AC57" i="3" s="1"/>
  <c r="V57" i="3"/>
  <c r="X57" i="3"/>
  <c r="M43" i="3"/>
  <c r="U43" i="3"/>
  <c r="T43" i="3" s="1"/>
  <c r="V43" i="3"/>
  <c r="X43" i="3"/>
  <c r="M22" i="3"/>
  <c r="U22" i="3"/>
  <c r="AD22" i="3" s="1"/>
  <c r="V22" i="3"/>
  <c r="X22" i="3"/>
  <c r="M23" i="3"/>
  <c r="S23" i="3"/>
  <c r="U23" i="3"/>
  <c r="AC23" i="3" s="1"/>
  <c r="V23" i="3"/>
  <c r="X23" i="3"/>
  <c r="M29" i="3"/>
  <c r="S29" i="3"/>
  <c r="U29" i="3"/>
  <c r="T29" i="3" s="1"/>
  <c r="V29" i="3"/>
  <c r="AE29" i="3" s="1"/>
  <c r="X29" i="3"/>
  <c r="M9" i="3"/>
  <c r="U9" i="3"/>
  <c r="T9" i="3" s="1"/>
  <c r="V9" i="3"/>
  <c r="X9" i="3"/>
  <c r="M50" i="3"/>
  <c r="U50" i="3"/>
  <c r="AD50" i="3" s="1"/>
  <c r="V50" i="3"/>
  <c r="X50" i="3"/>
  <c r="M45" i="3"/>
  <c r="U45" i="3"/>
  <c r="AC45" i="3" s="1"/>
  <c r="V45" i="3"/>
  <c r="X45" i="3"/>
  <c r="M44" i="3"/>
  <c r="S44" i="3"/>
  <c r="U44" i="3"/>
  <c r="T44" i="3" s="1"/>
  <c r="V44" i="3"/>
  <c r="X44" i="3"/>
  <c r="M15" i="3"/>
  <c r="U15" i="3"/>
  <c r="T15" i="3" s="1"/>
  <c r="V15" i="3"/>
  <c r="X15" i="3"/>
  <c r="M30" i="3"/>
  <c r="S30" i="3"/>
  <c r="U30" i="3"/>
  <c r="AD30" i="3" s="1"/>
  <c r="V30" i="3"/>
  <c r="X30" i="3"/>
  <c r="M51" i="3"/>
  <c r="U51" i="3"/>
  <c r="AC51" i="3" s="1"/>
  <c r="V51" i="3"/>
  <c r="X51" i="3"/>
  <c r="M52" i="3"/>
  <c r="T52" i="3"/>
  <c r="U52" i="3"/>
  <c r="V52" i="3"/>
  <c r="X52" i="3"/>
  <c r="AC52" i="3"/>
  <c r="M24" i="3"/>
  <c r="R24" i="3"/>
  <c r="U24" i="3"/>
  <c r="T24" i="3" s="1"/>
  <c r="V24" i="3"/>
  <c r="X24" i="3"/>
  <c r="AD23" i="3"/>
  <c r="M13" i="3"/>
  <c r="R13" i="3"/>
  <c r="U13" i="3"/>
  <c r="AC13" i="3" s="1"/>
  <c r="V13" i="3"/>
  <c r="X13" i="3"/>
  <c r="M21" i="3"/>
  <c r="U21" i="3"/>
  <c r="V21" i="3"/>
  <c r="X21" i="3"/>
  <c r="M12" i="3"/>
  <c r="U12" i="3"/>
  <c r="AD12" i="3" s="1"/>
  <c r="V12" i="3"/>
  <c r="X12" i="3"/>
  <c r="M8" i="3"/>
  <c r="U8" i="3"/>
  <c r="T8" i="3" s="1"/>
  <c r="V8" i="3"/>
  <c r="X8" i="3"/>
  <c r="M7" i="3"/>
  <c r="U7" i="3"/>
  <c r="AC7" i="3" s="1"/>
  <c r="V7" i="3"/>
  <c r="X7" i="3"/>
  <c r="M19" i="3"/>
  <c r="U19" i="3"/>
  <c r="AD19" i="3" s="1"/>
  <c r="V19" i="3"/>
  <c r="X19" i="3"/>
  <c r="M20" i="3"/>
  <c r="U20" i="3"/>
  <c r="T20" i="3" s="1"/>
  <c r="V20" i="3"/>
  <c r="X20" i="3"/>
  <c r="M35" i="3"/>
  <c r="U35" i="3"/>
  <c r="T35" i="3" s="1"/>
  <c r="V35" i="3"/>
  <c r="X35" i="3"/>
  <c r="AC35" i="3"/>
  <c r="M39" i="3"/>
  <c r="S39" i="3"/>
  <c r="U39" i="3"/>
  <c r="AC39" i="3" s="1"/>
  <c r="V39" i="3"/>
  <c r="X39" i="3"/>
  <c r="M36" i="3"/>
  <c r="U36" i="3"/>
  <c r="T36" i="3" s="1"/>
  <c r="V36" i="3"/>
  <c r="X36" i="3"/>
  <c r="M46" i="3"/>
  <c r="S46" i="3"/>
  <c r="U46" i="3"/>
  <c r="T46" i="3" s="1"/>
  <c r="V46" i="3"/>
  <c r="X46" i="3"/>
  <c r="M47" i="3"/>
  <c r="S47" i="3"/>
  <c r="U47" i="3"/>
  <c r="T47" i="3" s="1"/>
  <c r="V47" i="3"/>
  <c r="X47" i="3"/>
  <c r="AD35" i="3"/>
  <c r="M41" i="3"/>
  <c r="S41" i="3"/>
  <c r="U41" i="3"/>
  <c r="AC41" i="3" s="1"/>
  <c r="V41" i="3"/>
  <c r="X41" i="3"/>
  <c r="M53" i="3"/>
  <c r="U53" i="3"/>
  <c r="AE53" i="3" s="1"/>
  <c r="V53" i="3"/>
  <c r="X53" i="3"/>
  <c r="M10" i="3"/>
  <c r="U10" i="3"/>
  <c r="T10" i="3" s="1"/>
  <c r="V10" i="3"/>
  <c r="X10" i="3"/>
  <c r="M14" i="3"/>
  <c r="U14" i="3"/>
  <c r="T14" i="3" s="1"/>
  <c r="V14" i="3"/>
  <c r="X14" i="3"/>
  <c r="M11" i="3"/>
  <c r="R11" i="3"/>
  <c r="U11" i="3"/>
  <c r="AD11" i="3" s="1"/>
  <c r="V11" i="3"/>
  <c r="X11" i="3"/>
  <c r="M16" i="3"/>
  <c r="U16" i="3"/>
  <c r="T16" i="3" s="1"/>
  <c r="V16" i="3"/>
  <c r="X16" i="3"/>
  <c r="M31" i="3"/>
  <c r="S31" i="3"/>
  <c r="U31" i="3"/>
  <c r="T31" i="3" s="1"/>
  <c r="V31" i="3"/>
  <c r="X31" i="3"/>
  <c r="M48" i="3"/>
  <c r="S48" i="3"/>
  <c r="U48" i="3"/>
  <c r="T48" i="3" s="1"/>
  <c r="V48" i="3"/>
  <c r="X48" i="3"/>
  <c r="M17" i="3"/>
  <c r="U17" i="3"/>
  <c r="AC17" i="3" s="1"/>
  <c r="V17" i="3"/>
  <c r="X17" i="3"/>
  <c r="M37" i="3"/>
  <c r="S37" i="3"/>
  <c r="U37" i="3"/>
  <c r="V37" i="3"/>
  <c r="X37" i="3"/>
  <c r="M58" i="3"/>
  <c r="U58" i="3"/>
  <c r="T58" i="3" s="1"/>
  <c r="V58" i="3"/>
  <c r="X58" i="3"/>
  <c r="AD45" i="3"/>
  <c r="M25" i="3"/>
  <c r="U25" i="3"/>
  <c r="T25" i="3" s="1"/>
  <c r="V25" i="3"/>
  <c r="X25" i="3"/>
  <c r="M54" i="3"/>
  <c r="U54" i="3"/>
  <c r="AC54" i="3" s="1"/>
  <c r="V54" i="3"/>
  <c r="X54" i="3"/>
  <c r="M26" i="3"/>
  <c r="U26" i="3"/>
  <c r="AC26" i="3" s="1"/>
  <c r="V26" i="3"/>
  <c r="X26" i="3"/>
  <c r="M32" i="3"/>
  <c r="U32" i="3"/>
  <c r="T32" i="3" s="1"/>
  <c r="V32" i="3"/>
  <c r="X32" i="3"/>
  <c r="M38" i="3"/>
  <c r="S38" i="3"/>
  <c r="U38" i="3"/>
  <c r="AC38" i="3" s="1"/>
  <c r="V38" i="3"/>
  <c r="X38" i="3"/>
  <c r="M33" i="3"/>
  <c r="U33" i="3"/>
  <c r="V33" i="3"/>
  <c r="X33" i="3"/>
  <c r="M42" i="3"/>
  <c r="U42" i="3"/>
  <c r="AC42" i="3" s="1"/>
  <c r="V42" i="3"/>
  <c r="X42" i="3"/>
  <c r="M55" i="3"/>
  <c r="U55" i="3"/>
  <c r="T55" i="3" s="1"/>
  <c r="V55" i="3"/>
  <c r="X55" i="3"/>
  <c r="AD53" i="3"/>
  <c r="M49" i="3"/>
  <c r="R49" i="3"/>
  <c r="U49" i="3"/>
  <c r="AE49" i="3" s="1"/>
  <c r="V49" i="3"/>
  <c r="X49" i="3"/>
  <c r="M40" i="3"/>
  <c r="U40" i="3"/>
  <c r="AD55" i="3" s="1"/>
  <c r="V40" i="3"/>
  <c r="X40" i="3"/>
  <c r="AE55" i="3"/>
  <c r="M27" i="3"/>
  <c r="U27" i="3"/>
  <c r="AC27" i="3" s="1"/>
  <c r="V27" i="3"/>
  <c r="X27" i="3"/>
  <c r="M56" i="3"/>
  <c r="S56" i="3"/>
  <c r="U56" i="3"/>
  <c r="T56" i="3" s="1"/>
  <c r="V56" i="3"/>
  <c r="X56" i="3"/>
  <c r="M34" i="3"/>
  <c r="U34" i="3"/>
  <c r="AD34" i="3" s="1"/>
  <c r="V34" i="3"/>
  <c r="X34" i="3"/>
  <c r="AC34" i="3"/>
  <c r="W22" i="3"/>
  <c r="W23" i="3"/>
  <c r="W14" i="3"/>
  <c r="W58" i="3"/>
  <c r="W37" i="3"/>
  <c r="W24" i="3"/>
  <c r="W30" i="3"/>
  <c r="W51" i="3"/>
  <c r="W32" i="3"/>
  <c r="W28" i="3"/>
  <c r="W57" i="3"/>
  <c r="W46" i="3"/>
  <c r="W47" i="3"/>
  <c r="W7" i="3"/>
  <c r="W19" i="3"/>
  <c r="W10" i="3"/>
  <c r="W50" i="3"/>
  <c r="W45" i="3"/>
  <c r="W38" i="3"/>
  <c r="W41" i="3"/>
  <c r="W53" i="3"/>
  <c r="W31" i="3"/>
  <c r="W13" i="3"/>
  <c r="W21" i="3"/>
  <c r="W8" i="3"/>
  <c r="W34" i="3"/>
  <c r="W17" i="3"/>
  <c r="W36" i="3"/>
  <c r="W44" i="3"/>
  <c r="W11" i="3"/>
  <c r="W35" i="3"/>
  <c r="W16" i="3"/>
  <c r="W15" i="3"/>
  <c r="W49" i="3"/>
  <c r="W54" i="3"/>
  <c r="W56" i="3"/>
  <c r="W26" i="3"/>
  <c r="W27" i="3"/>
  <c r="W55" i="3"/>
  <c r="W40" i="3"/>
  <c r="W9" i="3"/>
  <c r="W25" i="3"/>
  <c r="W42" i="3"/>
  <c r="W29" i="3"/>
  <c r="W12" i="3"/>
  <c r="W39" i="3"/>
  <c r="W48" i="3"/>
  <c r="W33" i="3"/>
  <c r="W20" i="3"/>
  <c r="W43" i="3"/>
  <c r="W52" i="3"/>
  <c r="AG47" i="1"/>
  <c r="AG179" i="1"/>
  <c r="AG126" i="1"/>
  <c r="AG17" i="1"/>
  <c r="AG44" i="1"/>
  <c r="AG30" i="1"/>
  <c r="AG74" i="1"/>
  <c r="AG92" i="1"/>
  <c r="AG102" i="1"/>
  <c r="AG85" i="1"/>
  <c r="AG136" i="1"/>
  <c r="AG145" i="1"/>
  <c r="AG65" i="1"/>
  <c r="AG115" i="1"/>
  <c r="AG212" i="1"/>
  <c r="AG120" i="1"/>
  <c r="AG25" i="1"/>
  <c r="AG38" i="1"/>
  <c r="AG89" i="1"/>
  <c r="AG189" i="1"/>
  <c r="AG155" i="1"/>
  <c r="AG61" i="1"/>
  <c r="AG128" i="1"/>
  <c r="AG137" i="1"/>
  <c r="AG33" i="1"/>
  <c r="AG19" i="1"/>
  <c r="AG46" i="1"/>
  <c r="AG90" i="1"/>
  <c r="AG182" i="1"/>
  <c r="AG101" i="1"/>
  <c r="AG154" i="1"/>
  <c r="AG171" i="1"/>
  <c r="AG119" i="1"/>
  <c r="AG76" i="1"/>
  <c r="AG95" i="1"/>
  <c r="AG110" i="1"/>
  <c r="AG83" i="1"/>
  <c r="AG170" i="1"/>
  <c r="AG210" i="1"/>
  <c r="AG215" i="1"/>
  <c r="AG41" i="1"/>
  <c r="AG27" i="1"/>
  <c r="AG55" i="1"/>
  <c r="AG82" i="1"/>
  <c r="AG68" i="1"/>
  <c r="AG160" i="1"/>
  <c r="AG180" i="1"/>
  <c r="AG109" i="1"/>
  <c r="AG108" i="1"/>
  <c r="AG107" i="1"/>
  <c r="AG117" i="1"/>
  <c r="AG219" i="1"/>
  <c r="AG217" i="1"/>
  <c r="AG24" i="1"/>
  <c r="AG26" i="1"/>
  <c r="AG54" i="1"/>
  <c r="AG56" i="1"/>
  <c r="AG163" i="1"/>
  <c r="AG165" i="1"/>
  <c r="AG112" i="1"/>
  <c r="AG142" i="1"/>
  <c r="AG205" i="1"/>
  <c r="AG206" i="1"/>
  <c r="AG116" i="1"/>
  <c r="AG211" i="1"/>
  <c r="AG37" i="1"/>
  <c r="AG23" i="1"/>
  <c r="AG67" i="1"/>
  <c r="AG80" i="1"/>
  <c r="AG105" i="1"/>
  <c r="AG114" i="1"/>
  <c r="AG91" i="1"/>
  <c r="AG143" i="1"/>
  <c r="AG203" i="1"/>
  <c r="AG28" i="1"/>
  <c r="AG51" i="1"/>
  <c r="AG58" i="1"/>
  <c r="AG60" i="1"/>
  <c r="AG188" i="1"/>
  <c r="AG190" i="1"/>
  <c r="AG50" i="1"/>
  <c r="AG187" i="1"/>
  <c r="AG99" i="1"/>
  <c r="AG63" i="1"/>
  <c r="AG167" i="1"/>
  <c r="AG131" i="1"/>
  <c r="AG204" i="1"/>
  <c r="AG64" i="1"/>
  <c r="AG172" i="1"/>
  <c r="AG134" i="1"/>
  <c r="AG213" i="1"/>
  <c r="AG36" i="1"/>
  <c r="AG22" i="1"/>
  <c r="AG87" i="1"/>
  <c r="AG73" i="1"/>
  <c r="AG161" i="1"/>
  <c r="AG97" i="1"/>
  <c r="AG176" i="1"/>
  <c r="AG140" i="1"/>
  <c r="AG139" i="1"/>
  <c r="AG138" i="1"/>
  <c r="AG149" i="1"/>
  <c r="AG214" i="1"/>
  <c r="AG29" i="1"/>
  <c r="AG15" i="1"/>
  <c r="AG59" i="1"/>
  <c r="AG86" i="1"/>
  <c r="AG88" i="1"/>
  <c r="AG169" i="1"/>
  <c r="AG113" i="1"/>
  <c r="AG191" i="1"/>
  <c r="AG121" i="1"/>
  <c r="AG218" i="1"/>
  <c r="AG183" i="1"/>
  <c r="AG130" i="1"/>
  <c r="AG194" i="1"/>
  <c r="AG32" i="1"/>
  <c r="AG18" i="1"/>
  <c r="AG78" i="1"/>
  <c r="AG185" i="1"/>
  <c r="AG135" i="1"/>
  <c r="AG208" i="1"/>
  <c r="AG141" i="1"/>
  <c r="AG173" i="1"/>
  <c r="AG93" i="1"/>
  <c r="AG129" i="1"/>
  <c r="AG52" i="1"/>
  <c r="AG66" i="1"/>
  <c r="AG175" i="1"/>
  <c r="AG166" i="1"/>
  <c r="AG157" i="1"/>
  <c r="AG49" i="1"/>
  <c r="AG159" i="1"/>
  <c r="AG209" i="1"/>
  <c r="AG193" i="1"/>
  <c r="AG195" i="1"/>
  <c r="AG57" i="1"/>
  <c r="AG124" i="1"/>
  <c r="AG133" i="1"/>
  <c r="AG202" i="1"/>
  <c r="AG42" i="1"/>
  <c r="AG72" i="1"/>
  <c r="AG98" i="1"/>
  <c r="AG106" i="1"/>
  <c r="AG181" i="1"/>
  <c r="AG158" i="1"/>
  <c r="AG39" i="1"/>
  <c r="AG186" i="1"/>
  <c r="AG197" i="1"/>
  <c r="AG96" i="1"/>
  <c r="AG35" i="1"/>
  <c r="AG100" i="1"/>
  <c r="AG216" i="1"/>
  <c r="AG53" i="1"/>
  <c r="AG20" i="1"/>
  <c r="AG84" i="1"/>
  <c r="AG123" i="1"/>
  <c r="AG201" i="1"/>
  <c r="AG45" i="1"/>
  <c r="AG75" i="1"/>
  <c r="AG164" i="1"/>
  <c r="AG144" i="1"/>
  <c r="AG153" i="1"/>
  <c r="AG132" i="1"/>
  <c r="AG21" i="1"/>
  <c r="AG34" i="1"/>
  <c r="AG94" i="1"/>
  <c r="AG198" i="1"/>
  <c r="AG70" i="1"/>
  <c r="AG192" i="1"/>
  <c r="AG79" i="1"/>
  <c r="AG207" i="1"/>
  <c r="AG168" i="1"/>
  <c r="AG177" i="1"/>
  <c r="AG43" i="1"/>
  <c r="AG174" i="1"/>
  <c r="AG196" i="1"/>
  <c r="AG40" i="1"/>
  <c r="AG178" i="1"/>
  <c r="AG127" i="1"/>
  <c r="AG200" i="1"/>
  <c r="AG147" i="1"/>
  <c r="AG16" i="1"/>
  <c r="AG62" i="1"/>
  <c r="AG152" i="1"/>
  <c r="AG146" i="1"/>
  <c r="AG81" i="1"/>
  <c r="AG162" i="1"/>
  <c r="AG148" i="1"/>
  <c r="AG151" i="1"/>
  <c r="AG71" i="1"/>
  <c r="AG104" i="1"/>
  <c r="AG199" i="1"/>
  <c r="AG31" i="1"/>
  <c r="AG77" i="1"/>
  <c r="AG184" i="1"/>
  <c r="AG111" i="1"/>
  <c r="AG150" i="1"/>
  <c r="AG125" i="1"/>
  <c r="AG48" i="1"/>
  <c r="AG69" i="1"/>
  <c r="AG118" i="1"/>
  <c r="AG122" i="1"/>
  <c r="AD58" i="3" l="1"/>
  <c r="AD43" i="3"/>
  <c r="AC14" i="3"/>
  <c r="AC29" i="3"/>
  <c r="AC43" i="3"/>
  <c r="AE21" i="3"/>
  <c r="AD46" i="3"/>
  <c r="AE44" i="3"/>
  <c r="AC44" i="3"/>
  <c r="AD39" i="3"/>
  <c r="AE22" i="3"/>
  <c r="AC11" i="3"/>
  <c r="AE30" i="3"/>
  <c r="AE57" i="3"/>
  <c r="AE51" i="3"/>
  <c r="AC8" i="3"/>
  <c r="T21" i="3"/>
  <c r="T57" i="3"/>
  <c r="AD57" i="3"/>
  <c r="AD51" i="3"/>
  <c r="AE38" i="3"/>
  <c r="AD49" i="3"/>
  <c r="T45" i="3"/>
  <c r="X83" i="1"/>
  <c r="R42" i="3"/>
  <c r="S8" i="3"/>
  <c r="X211" i="1"/>
  <c r="AA134" i="1"/>
  <c r="AA132" i="1"/>
  <c r="AA130" i="1"/>
  <c r="AA128" i="1"/>
  <c r="W128" i="1" s="1"/>
  <c r="AA177" i="1"/>
  <c r="AA124" i="1"/>
  <c r="AA122" i="1"/>
  <c r="W122" i="1" s="1"/>
  <c r="AA185" i="1"/>
  <c r="AA212" i="1"/>
  <c r="AA206" i="1"/>
  <c r="R41" i="3"/>
  <c r="T216" i="1"/>
  <c r="AA197" i="1"/>
  <c r="S51" i="3"/>
  <c r="T157" i="1"/>
  <c r="AA150" i="1"/>
  <c r="AA98" i="1"/>
  <c r="W98" i="1" s="1"/>
  <c r="AA182" i="1"/>
  <c r="X167" i="1"/>
  <c r="AA163" i="1"/>
  <c r="T161" i="1"/>
  <c r="U161" i="1" s="1"/>
  <c r="S161" i="1" s="1"/>
  <c r="X161" i="1"/>
  <c r="T159" i="1"/>
  <c r="X159" i="1"/>
  <c r="R44" i="3"/>
  <c r="T158" i="1"/>
  <c r="X158" i="1"/>
  <c r="T160" i="1"/>
  <c r="X160" i="1"/>
  <c r="T163" i="1"/>
  <c r="X156" i="1"/>
  <c r="X149" i="1"/>
  <c r="AA20" i="1"/>
  <c r="AA215" i="1"/>
  <c r="X145" i="1"/>
  <c r="X141" i="1"/>
  <c r="AA116" i="1"/>
  <c r="W116" i="1" s="1"/>
  <c r="AA169" i="1"/>
  <c r="AA168" i="1"/>
  <c r="X42" i="1"/>
  <c r="X38" i="1"/>
  <c r="S42" i="3"/>
  <c r="S28" i="3"/>
  <c r="T119" i="1"/>
  <c r="X119" i="1"/>
  <c r="AA119" i="1"/>
  <c r="T117" i="1"/>
  <c r="X117" i="1"/>
  <c r="X178" i="1"/>
  <c r="AA22" i="1"/>
  <c r="T198" i="1"/>
  <c r="AA114" i="1"/>
  <c r="X112" i="1"/>
  <c r="AA108" i="1"/>
  <c r="AA208" i="1"/>
  <c r="AA148" i="1"/>
  <c r="AA144" i="1"/>
  <c r="W144" i="1" s="1"/>
  <c r="AA140" i="1"/>
  <c r="T118" i="1"/>
  <c r="X118" i="1"/>
  <c r="AA176" i="1"/>
  <c r="W176" i="1" s="1"/>
  <c r="P92" i="1"/>
  <c r="X59" i="1"/>
  <c r="AA53" i="1"/>
  <c r="AA41" i="1"/>
  <c r="W41" i="1" s="1"/>
  <c r="R39" i="3"/>
  <c r="R46" i="3"/>
  <c r="R36" i="3"/>
  <c r="R47" i="3"/>
  <c r="R52" i="3"/>
  <c r="R51" i="3"/>
  <c r="X87" i="1"/>
  <c r="T87" i="1"/>
  <c r="U87" i="1" s="1"/>
  <c r="S87" i="1" s="1"/>
  <c r="R7" i="3"/>
  <c r="R8" i="3"/>
  <c r="R19" i="3"/>
  <c r="R21" i="3"/>
  <c r="S10" i="3"/>
  <c r="S14" i="3"/>
  <c r="T98" i="1"/>
  <c r="X98" i="1"/>
  <c r="X96" i="1"/>
  <c r="T96" i="1"/>
  <c r="X86" i="1"/>
  <c r="T86" i="1"/>
  <c r="U86" i="1" s="1"/>
  <c r="S86" i="1" s="1"/>
  <c r="X60" i="1"/>
  <c r="T60" i="1"/>
  <c r="X50" i="1"/>
  <c r="T50" i="1"/>
  <c r="U50" i="1" s="1"/>
  <c r="S50" i="1" s="1"/>
  <c r="R23" i="3"/>
  <c r="AA219" i="1"/>
  <c r="X212" i="1"/>
  <c r="AA207" i="1"/>
  <c r="W207" i="1" s="1"/>
  <c r="AA205" i="1"/>
  <c r="AA201" i="1"/>
  <c r="X125" i="1"/>
  <c r="AA120" i="1"/>
  <c r="W120" i="1" s="1"/>
  <c r="AA112" i="1"/>
  <c r="X105" i="1"/>
  <c r="AA188" i="1"/>
  <c r="AA180" i="1"/>
  <c r="W180" i="1" s="1"/>
  <c r="X170" i="1"/>
  <c r="AA86" i="1"/>
  <c r="AA85" i="1"/>
  <c r="W85" i="1" s="1"/>
  <c r="X82" i="1"/>
  <c r="X79" i="1"/>
  <c r="X78" i="1"/>
  <c r="AA60" i="1"/>
  <c r="X34" i="1"/>
  <c r="AA16" i="1"/>
  <c r="T16" i="1"/>
  <c r="X16" i="1"/>
  <c r="AA214" i="1"/>
  <c r="W214" i="1" s="1"/>
  <c r="AA204" i="1"/>
  <c r="AA200" i="1"/>
  <c r="X129" i="1"/>
  <c r="AA127" i="1"/>
  <c r="AA109" i="1"/>
  <c r="AA105" i="1"/>
  <c r="AA101" i="1"/>
  <c r="X99" i="1"/>
  <c r="AA170" i="1"/>
  <c r="AA162" i="1"/>
  <c r="AA78" i="1"/>
  <c r="W78" i="1" s="1"/>
  <c r="AA77" i="1"/>
  <c r="W77" i="1" s="1"/>
  <c r="X68" i="1"/>
  <c r="AA61" i="1"/>
  <c r="AA46" i="1"/>
  <c r="AA33" i="1"/>
  <c r="W33" i="1" s="1"/>
  <c r="X25" i="1"/>
  <c r="X206" i="1"/>
  <c r="X202" i="1"/>
  <c r="X58" i="1"/>
  <c r="AA39" i="1"/>
  <c r="T17" i="1"/>
  <c r="X17" i="1"/>
  <c r="T15" i="1"/>
  <c r="U15" i="1" s="1"/>
  <c r="S15" i="1" s="1"/>
  <c r="X15" i="1"/>
  <c r="X103" i="1"/>
  <c r="R14" i="3"/>
  <c r="R20" i="3"/>
  <c r="S21" i="3"/>
  <c r="S19" i="3"/>
  <c r="S7" i="3"/>
  <c r="AA199" i="1"/>
  <c r="X210" i="1"/>
  <c r="AA173" i="1"/>
  <c r="AA166" i="1"/>
  <c r="W166" i="1" s="1"/>
  <c r="AA58" i="1"/>
  <c r="W58" i="1" s="1"/>
  <c r="T58" i="1"/>
  <c r="U58" i="1" s="1"/>
  <c r="S58" i="1" s="1"/>
  <c r="AA57" i="1"/>
  <c r="X54" i="1"/>
  <c r="AA47" i="1"/>
  <c r="W47" i="1" s="1"/>
  <c r="AA45" i="1"/>
  <c r="AA44" i="1"/>
  <c r="T42" i="1"/>
  <c r="U42" i="1" s="1"/>
  <c r="S42" i="1" s="1"/>
  <c r="AA38" i="1"/>
  <c r="AA21" i="1"/>
  <c r="AA18" i="1"/>
  <c r="T18" i="1"/>
  <c r="U18" i="1" s="1"/>
  <c r="S18" i="1" s="1"/>
  <c r="AA203" i="1"/>
  <c r="W203" i="1" s="1"/>
  <c r="AA196" i="1"/>
  <c r="AA193" i="1"/>
  <c r="AA158" i="1"/>
  <c r="W158" i="1" s="1"/>
  <c r="AA155" i="1"/>
  <c r="AA145" i="1"/>
  <c r="AA141" i="1"/>
  <c r="T141" i="1"/>
  <c r="U141" i="1" s="1"/>
  <c r="S141" i="1" s="1"/>
  <c r="AA139" i="1"/>
  <c r="W139" i="1" s="1"/>
  <c r="AA129" i="1"/>
  <c r="AA123" i="1"/>
  <c r="AA113" i="1"/>
  <c r="W113" i="1" s="1"/>
  <c r="AA110" i="1"/>
  <c r="W110" i="1" s="1"/>
  <c r="AA102" i="1"/>
  <c r="AA189" i="1"/>
  <c r="X97" i="1"/>
  <c r="X186" i="1"/>
  <c r="AA184" i="1"/>
  <c r="X182" i="1"/>
  <c r="AA175" i="1"/>
  <c r="W175" i="1" s="1"/>
  <c r="AA159" i="1"/>
  <c r="X92" i="1"/>
  <c r="AA92" i="1"/>
  <c r="X91" i="1"/>
  <c r="X90" i="1"/>
  <c r="T83" i="1"/>
  <c r="AA82" i="1"/>
  <c r="T82" i="1"/>
  <c r="AA81" i="1"/>
  <c r="X75" i="1"/>
  <c r="X74" i="1"/>
  <c r="AA71" i="1"/>
  <c r="W71" i="1" s="1"/>
  <c r="AA68" i="1"/>
  <c r="W68" i="1" s="1"/>
  <c r="T68" i="1"/>
  <c r="U68" i="1" s="1"/>
  <c r="S68" i="1" s="1"/>
  <c r="AA67" i="1"/>
  <c r="AA49" i="1"/>
  <c r="AA37" i="1"/>
  <c r="W37" i="1" s="1"/>
  <c r="AA31" i="1"/>
  <c r="X30" i="1"/>
  <c r="X29" i="1"/>
  <c r="AA27" i="1"/>
  <c r="AA26" i="1"/>
  <c r="AA95" i="1"/>
  <c r="AA161" i="1"/>
  <c r="W161" i="1" s="1"/>
  <c r="AA59" i="1"/>
  <c r="AA55" i="1"/>
  <c r="T53" i="1"/>
  <c r="AA48" i="1"/>
  <c r="X45" i="1"/>
  <c r="X37" i="1"/>
  <c r="AA25" i="1"/>
  <c r="X21" i="1"/>
  <c r="AA19" i="1"/>
  <c r="W19" i="1" s="1"/>
  <c r="AA218" i="1"/>
  <c r="X215" i="1"/>
  <c r="AA211" i="1"/>
  <c r="W211" i="1" s="1"/>
  <c r="X205" i="1"/>
  <c r="T202" i="1"/>
  <c r="AA195" i="1"/>
  <c r="X194" i="1"/>
  <c r="AA157" i="1"/>
  <c r="W157" i="1" s="1"/>
  <c r="AA152" i="1"/>
  <c r="AA142" i="1"/>
  <c r="W142" i="1" s="1"/>
  <c r="AA136" i="1"/>
  <c r="W136" i="1" s="1"/>
  <c r="X132" i="1"/>
  <c r="X123" i="1"/>
  <c r="X121" i="1"/>
  <c r="AA117" i="1"/>
  <c r="W117" i="1" s="1"/>
  <c r="X116" i="1"/>
  <c r="AA210" i="1"/>
  <c r="W210" i="1" s="1"/>
  <c r="AA192" i="1"/>
  <c r="X190" i="1"/>
  <c r="AA97" i="1"/>
  <c r="W97" i="1" s="1"/>
  <c r="AA186" i="1"/>
  <c r="T182" i="1"/>
  <c r="AA181" i="1"/>
  <c r="W181" i="1" s="1"/>
  <c r="AA178" i="1"/>
  <c r="W178" i="1" s="1"/>
  <c r="AA90" i="1"/>
  <c r="AA89" i="1"/>
  <c r="AA74" i="1"/>
  <c r="AA73" i="1"/>
  <c r="W73" i="1" s="1"/>
  <c r="X70" i="1"/>
  <c r="X67" i="1"/>
  <c r="AA32" i="1"/>
  <c r="AA29" i="1"/>
  <c r="W29" i="1" s="1"/>
  <c r="AA28" i="1"/>
  <c r="W28" i="1" s="1"/>
  <c r="X219" i="1"/>
  <c r="AA213" i="1"/>
  <c r="T211" i="1"/>
  <c r="U211" i="1" s="1"/>
  <c r="S211" i="1" s="1"/>
  <c r="T206" i="1"/>
  <c r="U206" i="1" s="1"/>
  <c r="S206" i="1" s="1"/>
  <c r="X201" i="1"/>
  <c r="X197" i="1"/>
  <c r="X193" i="1"/>
  <c r="AA147" i="1"/>
  <c r="X131" i="1"/>
  <c r="X128" i="1"/>
  <c r="AA118" i="1"/>
  <c r="W118" i="1" s="1"/>
  <c r="T116" i="1"/>
  <c r="AA115" i="1"/>
  <c r="X114" i="1"/>
  <c r="T112" i="1"/>
  <c r="U112" i="1" s="1"/>
  <c r="S112" i="1" s="1"/>
  <c r="AA111" i="1"/>
  <c r="X110" i="1"/>
  <c r="AA104" i="1"/>
  <c r="W104" i="1" s="1"/>
  <c r="T205" i="1"/>
  <c r="U205" i="1" s="1"/>
  <c r="S205" i="1" s="1"/>
  <c r="AA154" i="1"/>
  <c r="X153" i="1"/>
  <c r="AA149" i="1"/>
  <c r="W149" i="1" s="1"/>
  <c r="T145" i="1"/>
  <c r="U145" i="1" s="1"/>
  <c r="S145" i="1" s="1"/>
  <c r="AA143" i="1"/>
  <c r="AA138" i="1"/>
  <c r="X137" i="1"/>
  <c r="T132" i="1"/>
  <c r="U132" i="1" s="1"/>
  <c r="S132" i="1" s="1"/>
  <c r="T129" i="1"/>
  <c r="X127" i="1"/>
  <c r="X124" i="1"/>
  <c r="X120" i="1"/>
  <c r="X113" i="1"/>
  <c r="X109" i="1"/>
  <c r="X102" i="1"/>
  <c r="AA202" i="1"/>
  <c r="W202" i="1" s="1"/>
  <c r="AA198" i="1"/>
  <c r="AA194" i="1"/>
  <c r="X108" i="1"/>
  <c r="X106" i="1"/>
  <c r="AA106" i="1"/>
  <c r="T104" i="1"/>
  <c r="U104" i="1" s="1"/>
  <c r="S104" i="1" s="1"/>
  <c r="X101" i="1"/>
  <c r="X192" i="1"/>
  <c r="X189" i="1"/>
  <c r="AA217" i="1"/>
  <c r="AA216" i="1"/>
  <c r="W216" i="1" s="1"/>
  <c r="AA153" i="1"/>
  <c r="AA151" i="1"/>
  <c r="AA146" i="1"/>
  <c r="AA137" i="1"/>
  <c r="W137" i="1" s="1"/>
  <c r="AA135" i="1"/>
  <c r="AA126" i="1"/>
  <c r="AA125" i="1"/>
  <c r="AA121" i="1"/>
  <c r="W121" i="1" s="1"/>
  <c r="X183" i="1"/>
  <c r="T183" i="1"/>
  <c r="AA107" i="1"/>
  <c r="AA209" i="1"/>
  <c r="W209" i="1" s="1"/>
  <c r="AA100" i="1"/>
  <c r="W100" i="1" s="1"/>
  <c r="AA191" i="1"/>
  <c r="X187" i="1"/>
  <c r="AA183" i="1"/>
  <c r="W183" i="1" s="1"/>
  <c r="X179" i="1"/>
  <c r="AA96" i="1"/>
  <c r="X174" i="1"/>
  <c r="X169" i="1"/>
  <c r="AA167" i="1"/>
  <c r="W167" i="1" s="1"/>
  <c r="T167" i="1"/>
  <c r="AA165" i="1"/>
  <c r="AA164" i="1"/>
  <c r="W164" i="1" s="1"/>
  <c r="AA91" i="1"/>
  <c r="W91" i="1" s="1"/>
  <c r="AA88" i="1"/>
  <c r="AA87" i="1"/>
  <c r="W87" i="1" s="1"/>
  <c r="AA84" i="1"/>
  <c r="W84" i="1" s="1"/>
  <c r="X80" i="1"/>
  <c r="AA79" i="1"/>
  <c r="AA76" i="1"/>
  <c r="W76" i="1" s="1"/>
  <c r="X72" i="1"/>
  <c r="AA70" i="1"/>
  <c r="W70" i="1" s="1"/>
  <c r="T70" i="1"/>
  <c r="U70" i="1" s="1"/>
  <c r="S70" i="1" s="1"/>
  <c r="AA64" i="1"/>
  <c r="W64" i="1" s="1"/>
  <c r="X63" i="1"/>
  <c r="X62" i="1"/>
  <c r="X61" i="1"/>
  <c r="X56" i="1"/>
  <c r="AA54" i="1"/>
  <c r="T54" i="1"/>
  <c r="U54" i="1" s="1"/>
  <c r="S54" i="1" s="1"/>
  <c r="AA51" i="1"/>
  <c r="AA50" i="1"/>
  <c r="W50" i="1" s="1"/>
  <c r="X46" i="1"/>
  <c r="X41" i="1"/>
  <c r="T38" i="1"/>
  <c r="U38" i="1" s="1"/>
  <c r="S38" i="1" s="1"/>
  <c r="AA35" i="1"/>
  <c r="W35" i="1" s="1"/>
  <c r="AA34" i="1"/>
  <c r="X26" i="1"/>
  <c r="X22" i="1"/>
  <c r="X166" i="1"/>
  <c r="X89" i="1"/>
  <c r="X85" i="1"/>
  <c r="X77" i="1"/>
  <c r="X65" i="1"/>
  <c r="T59" i="1"/>
  <c r="U59" i="1" s="1"/>
  <c r="S59" i="1" s="1"/>
  <c r="T37" i="1"/>
  <c r="AA15" i="1"/>
  <c r="AA187" i="1"/>
  <c r="W187" i="1" s="1"/>
  <c r="AA179" i="1"/>
  <c r="W179" i="1" s="1"/>
  <c r="X177" i="1"/>
  <c r="AA174" i="1"/>
  <c r="AA172" i="1"/>
  <c r="AA171" i="1"/>
  <c r="W171" i="1" s="1"/>
  <c r="AA160" i="1"/>
  <c r="AA94" i="1"/>
  <c r="AA93" i="1"/>
  <c r="W93" i="1" s="1"/>
  <c r="X84" i="1"/>
  <c r="AA83" i="1"/>
  <c r="AA80" i="1"/>
  <c r="W80" i="1" s="1"/>
  <c r="X76" i="1"/>
  <c r="AA75" i="1"/>
  <c r="W75" i="1" s="1"/>
  <c r="AA72" i="1"/>
  <c r="X71" i="1"/>
  <c r="X69" i="1"/>
  <c r="X64" i="1"/>
  <c r="AA62" i="1"/>
  <c r="AA56" i="1"/>
  <c r="X55" i="1"/>
  <c r="X49" i="1"/>
  <c r="AA43" i="1"/>
  <c r="AA42" i="1"/>
  <c r="X33" i="1"/>
  <c r="AA99" i="1"/>
  <c r="W99" i="1" s="1"/>
  <c r="AA190" i="1"/>
  <c r="X173" i="1"/>
  <c r="X81" i="1"/>
  <c r="X73" i="1"/>
  <c r="X57" i="1"/>
  <c r="AA30" i="1"/>
  <c r="AI216" i="1"/>
  <c r="U216" i="1"/>
  <c r="S216" i="1" s="1"/>
  <c r="AI212" i="1"/>
  <c r="U212" i="1"/>
  <c r="S212" i="1" s="1"/>
  <c r="AI208" i="1"/>
  <c r="AI204" i="1"/>
  <c r="U202" i="1"/>
  <c r="S202" i="1" s="1"/>
  <c r="AI200" i="1"/>
  <c r="U198" i="1"/>
  <c r="S198" i="1" s="1"/>
  <c r="AI196" i="1"/>
  <c r="U194" i="1"/>
  <c r="S194" i="1" s="1"/>
  <c r="AI186" i="1"/>
  <c r="U150" i="1"/>
  <c r="S150" i="1" s="1"/>
  <c r="AI217" i="1"/>
  <c r="U217" i="1"/>
  <c r="S217" i="1" s="1"/>
  <c r="AI213" i="1"/>
  <c r="U213" i="1"/>
  <c r="S213" i="1" s="1"/>
  <c r="AI209" i="1"/>
  <c r="U207" i="1"/>
  <c r="S207" i="1" s="1"/>
  <c r="AI205" i="1"/>
  <c r="U203" i="1"/>
  <c r="S203" i="1" s="1"/>
  <c r="AI201" i="1"/>
  <c r="U199" i="1"/>
  <c r="S199" i="1" s="1"/>
  <c r="AI197" i="1"/>
  <c r="U195" i="1"/>
  <c r="S195" i="1" s="1"/>
  <c r="AI193" i="1"/>
  <c r="U158" i="1"/>
  <c r="S158" i="1" s="1"/>
  <c r="AI218" i="1"/>
  <c r="U218" i="1"/>
  <c r="S218" i="1" s="1"/>
  <c r="U214" i="1"/>
  <c r="S214" i="1" s="1"/>
  <c r="AI214" i="1"/>
  <c r="U208" i="1"/>
  <c r="S208" i="1" s="1"/>
  <c r="AI210" i="1"/>
  <c r="U204" i="1"/>
  <c r="S204" i="1" s="1"/>
  <c r="AI206" i="1"/>
  <c r="U200" i="1"/>
  <c r="S200" i="1" s="1"/>
  <c r="AI202" i="1"/>
  <c r="U196" i="1"/>
  <c r="S196" i="1" s="1"/>
  <c r="AI198" i="1"/>
  <c r="AI194" i="1"/>
  <c r="AI190" i="1"/>
  <c r="U154" i="1"/>
  <c r="S154" i="1" s="1"/>
  <c r="AI182" i="1"/>
  <c r="U146" i="1"/>
  <c r="S146" i="1" s="1"/>
  <c r="U219" i="1"/>
  <c r="S219" i="1" s="1"/>
  <c r="AI219" i="1"/>
  <c r="U215" i="1"/>
  <c r="S215" i="1" s="1"/>
  <c r="AI215" i="1"/>
  <c r="AI211" i="1"/>
  <c r="AI207" i="1"/>
  <c r="U201" i="1"/>
  <c r="S201" i="1" s="1"/>
  <c r="AI203" i="1"/>
  <c r="U197" i="1"/>
  <c r="S197" i="1" s="1"/>
  <c r="AI199" i="1"/>
  <c r="U193" i="1"/>
  <c r="S193" i="1" s="1"/>
  <c r="AI195" i="1"/>
  <c r="AI189" i="1"/>
  <c r="U153" i="1"/>
  <c r="S153" i="1" s="1"/>
  <c r="AI185" i="1"/>
  <c r="U149" i="1"/>
  <c r="S149" i="1" s="1"/>
  <c r="AI181" i="1"/>
  <c r="AI177" i="1"/>
  <c r="AI173" i="1"/>
  <c r="U137" i="1"/>
  <c r="S137" i="1" s="1"/>
  <c r="AI169" i="1"/>
  <c r="U133" i="1"/>
  <c r="S133" i="1" s="1"/>
  <c r="AI165" i="1"/>
  <c r="U129" i="1"/>
  <c r="S129" i="1" s="1"/>
  <c r="U125" i="1"/>
  <c r="S125" i="1" s="1"/>
  <c r="U121" i="1"/>
  <c r="S121" i="1" s="1"/>
  <c r="AI154" i="1"/>
  <c r="U117" i="1"/>
  <c r="S117" i="1" s="1"/>
  <c r="AI150" i="1"/>
  <c r="U114" i="1"/>
  <c r="S114" i="1" s="1"/>
  <c r="AI146" i="1"/>
  <c r="U110" i="1"/>
  <c r="S110" i="1" s="1"/>
  <c r="AI142" i="1"/>
  <c r="U106" i="1"/>
  <c r="S106" i="1" s="1"/>
  <c r="AI138" i="1"/>
  <c r="AI134" i="1"/>
  <c r="U99" i="1"/>
  <c r="S99" i="1" s="1"/>
  <c r="AI130" i="1"/>
  <c r="U190" i="1"/>
  <c r="S190" i="1" s="1"/>
  <c r="AI178" i="1"/>
  <c r="U142" i="1"/>
  <c r="S142" i="1" s="1"/>
  <c r="AI174" i="1"/>
  <c r="U138" i="1"/>
  <c r="S138" i="1" s="1"/>
  <c r="AI170" i="1"/>
  <c r="U134" i="1"/>
  <c r="S134" i="1" s="1"/>
  <c r="AI166" i="1"/>
  <c r="U130" i="1"/>
  <c r="S130" i="1" s="1"/>
  <c r="AI162" i="1"/>
  <c r="U126" i="1"/>
  <c r="S126" i="1" s="1"/>
  <c r="AI159" i="1"/>
  <c r="U122" i="1"/>
  <c r="S122" i="1" s="1"/>
  <c r="AI155" i="1"/>
  <c r="U118" i="1"/>
  <c r="S118" i="1" s="1"/>
  <c r="AI151" i="1"/>
  <c r="U115" i="1"/>
  <c r="S115" i="1" s="1"/>
  <c r="AI147" i="1"/>
  <c r="U111" i="1"/>
  <c r="S111" i="1" s="1"/>
  <c r="AI143" i="1"/>
  <c r="U107" i="1"/>
  <c r="S107" i="1" s="1"/>
  <c r="AI139" i="1"/>
  <c r="U209" i="1"/>
  <c r="S209" i="1" s="1"/>
  <c r="AI135" i="1"/>
  <c r="U100" i="1"/>
  <c r="S100" i="1" s="1"/>
  <c r="AI131" i="1"/>
  <c r="U191" i="1"/>
  <c r="S191" i="1" s="1"/>
  <c r="AI191" i="1"/>
  <c r="AI187" i="1"/>
  <c r="AI183" i="1"/>
  <c r="U143" i="1"/>
  <c r="S143" i="1" s="1"/>
  <c r="AI179" i="1"/>
  <c r="U139" i="1"/>
  <c r="S139" i="1" s="1"/>
  <c r="AI175" i="1"/>
  <c r="U135" i="1"/>
  <c r="S135" i="1" s="1"/>
  <c r="AI171" i="1"/>
  <c r="U131" i="1"/>
  <c r="S131" i="1" s="1"/>
  <c r="AI167" i="1"/>
  <c r="U127" i="1"/>
  <c r="S127" i="1" s="1"/>
  <c r="AI163" i="1"/>
  <c r="U123" i="1"/>
  <c r="S123" i="1" s="1"/>
  <c r="AI160" i="1"/>
  <c r="U119" i="1"/>
  <c r="S119" i="1" s="1"/>
  <c r="AI157" i="1"/>
  <c r="U116" i="1"/>
  <c r="S116" i="1" s="1"/>
  <c r="AI152" i="1"/>
  <c r="AI148" i="1"/>
  <c r="U108" i="1"/>
  <c r="S108" i="1" s="1"/>
  <c r="AI144" i="1"/>
  <c r="U210" i="1"/>
  <c r="S210" i="1" s="1"/>
  <c r="AI140" i="1"/>
  <c r="U101" i="1"/>
  <c r="S101" i="1" s="1"/>
  <c r="AI136" i="1"/>
  <c r="U192" i="1"/>
  <c r="S192" i="1" s="1"/>
  <c r="AI132" i="1"/>
  <c r="U157" i="1"/>
  <c r="S157" i="1" s="1"/>
  <c r="AI192" i="1"/>
  <c r="U152" i="1"/>
  <c r="S152" i="1" s="1"/>
  <c r="AI188" i="1"/>
  <c r="U148" i="1"/>
  <c r="S148" i="1" s="1"/>
  <c r="AI184" i="1"/>
  <c r="U144" i="1"/>
  <c r="S144" i="1" s="1"/>
  <c r="AI180" i="1"/>
  <c r="U140" i="1"/>
  <c r="S140" i="1" s="1"/>
  <c r="AI176" i="1"/>
  <c r="U136" i="1"/>
  <c r="S136" i="1" s="1"/>
  <c r="AI172" i="1"/>
  <c r="AI168" i="1"/>
  <c r="U128" i="1"/>
  <c r="S128" i="1" s="1"/>
  <c r="AI164" i="1"/>
  <c r="U124" i="1"/>
  <c r="S124" i="1" s="1"/>
  <c r="AI161" i="1"/>
  <c r="U120" i="1"/>
  <c r="S120" i="1" s="1"/>
  <c r="AI158" i="1"/>
  <c r="AI153" i="1"/>
  <c r="U113" i="1"/>
  <c r="S113" i="1" s="1"/>
  <c r="AI149" i="1"/>
  <c r="U109" i="1"/>
  <c r="S109" i="1" s="1"/>
  <c r="AI145" i="1"/>
  <c r="U105" i="1"/>
  <c r="S105" i="1" s="1"/>
  <c r="AI141" i="1"/>
  <c r="U102" i="1"/>
  <c r="S102" i="1" s="1"/>
  <c r="AI137" i="1"/>
  <c r="U98" i="1"/>
  <c r="S98" i="1" s="1"/>
  <c r="AI133" i="1"/>
  <c r="U189" i="1"/>
  <c r="S189" i="1" s="1"/>
  <c r="AI129" i="1"/>
  <c r="AI126" i="1"/>
  <c r="U187" i="1"/>
  <c r="S187" i="1" s="1"/>
  <c r="AI122" i="1"/>
  <c r="U183" i="1"/>
  <c r="S183" i="1" s="1"/>
  <c r="AI118" i="1"/>
  <c r="U179" i="1"/>
  <c r="S179" i="1" s="1"/>
  <c r="AI115" i="1"/>
  <c r="AI111" i="1"/>
  <c r="AI107" i="1"/>
  <c r="AI102" i="1"/>
  <c r="AI98" i="1"/>
  <c r="AI94" i="1"/>
  <c r="U188" i="1"/>
  <c r="S188" i="1" s="1"/>
  <c r="AI127" i="1"/>
  <c r="AI123" i="1"/>
  <c r="U184" i="1"/>
  <c r="S184" i="1" s="1"/>
  <c r="AI119" i="1"/>
  <c r="U180" i="1"/>
  <c r="S180" i="1" s="1"/>
  <c r="AI116" i="1"/>
  <c r="U177" i="1"/>
  <c r="S177" i="1" s="1"/>
  <c r="AI112" i="1"/>
  <c r="U173" i="1"/>
  <c r="S173" i="1" s="1"/>
  <c r="AI108" i="1"/>
  <c r="U169" i="1"/>
  <c r="S169" i="1" s="1"/>
  <c r="AI104" i="1"/>
  <c r="U166" i="1"/>
  <c r="S166" i="1" s="1"/>
  <c r="AI99" i="1"/>
  <c r="U162" i="1"/>
  <c r="S162" i="1" s="1"/>
  <c r="AI95" i="1"/>
  <c r="U159" i="1"/>
  <c r="S159" i="1" s="1"/>
  <c r="AI91" i="1"/>
  <c r="U91" i="1"/>
  <c r="S91" i="1" s="1"/>
  <c r="U97" i="1"/>
  <c r="S97" i="1" s="1"/>
  <c r="AI128" i="1"/>
  <c r="U185" i="1"/>
  <c r="S185" i="1" s="1"/>
  <c r="AI124" i="1"/>
  <c r="U181" i="1"/>
  <c r="S181" i="1" s="1"/>
  <c r="AI120" i="1"/>
  <c r="U178" i="1"/>
  <c r="S178" i="1" s="1"/>
  <c r="U174" i="1"/>
  <c r="S174" i="1" s="1"/>
  <c r="AI113" i="1"/>
  <c r="U170" i="1"/>
  <c r="S170" i="1" s="1"/>
  <c r="AI109" i="1"/>
  <c r="U167" i="1"/>
  <c r="S167" i="1" s="1"/>
  <c r="AI105" i="1"/>
  <c r="U163" i="1"/>
  <c r="S163" i="1" s="1"/>
  <c r="AI100" i="1"/>
  <c r="U160" i="1"/>
  <c r="S160" i="1" s="1"/>
  <c r="AI96" i="1"/>
  <c r="U186" i="1"/>
  <c r="S186" i="1" s="1"/>
  <c r="AI125" i="1"/>
  <c r="U182" i="1"/>
  <c r="S182" i="1" s="1"/>
  <c r="AI121" i="1"/>
  <c r="U96" i="1"/>
  <c r="S96" i="1" s="1"/>
  <c r="AI117" i="1"/>
  <c r="U175" i="1"/>
  <c r="S175" i="1" s="1"/>
  <c r="AI114" i="1"/>
  <c r="U171" i="1"/>
  <c r="S171" i="1" s="1"/>
  <c r="AI110" i="1"/>
  <c r="U168" i="1"/>
  <c r="S168" i="1" s="1"/>
  <c r="AI106" i="1"/>
  <c r="U164" i="1"/>
  <c r="S164" i="1" s="1"/>
  <c r="AI101" i="1"/>
  <c r="AI97" i="1"/>
  <c r="U93" i="1"/>
  <c r="AI93" i="1"/>
  <c r="AI92" i="1"/>
  <c r="AI88" i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AI64" i="1"/>
  <c r="U64" i="1"/>
  <c r="S64" i="1" s="1"/>
  <c r="AI60" i="1"/>
  <c r="U60" i="1"/>
  <c r="S60" i="1" s="1"/>
  <c r="AI56" i="1"/>
  <c r="U56" i="1"/>
  <c r="S56" i="1" s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U53" i="1"/>
  <c r="S53" i="1" s="1"/>
  <c r="AI53" i="1"/>
  <c r="U90" i="1"/>
  <c r="S90" i="1" s="1"/>
  <c r="AI90" i="1"/>
  <c r="AI86" i="1"/>
  <c r="U82" i="1"/>
  <c r="S82" i="1" s="1"/>
  <c r="AI82" i="1"/>
  <c r="U78" i="1"/>
  <c r="S78" i="1" s="1"/>
  <c r="AI78" i="1"/>
  <c r="U74" i="1"/>
  <c r="S74" i="1" s="1"/>
  <c r="AI74" i="1"/>
  <c r="AI70" i="1"/>
  <c r="U66" i="1"/>
  <c r="S66" i="1" s="1"/>
  <c r="AI66" i="1"/>
  <c r="U62" i="1"/>
  <c r="S62" i="1" s="1"/>
  <c r="AI62" i="1"/>
  <c r="AI58" i="1"/>
  <c r="AI54" i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AI59" i="1"/>
  <c r="U55" i="1"/>
  <c r="S55" i="1" s="1"/>
  <c r="AI55" i="1"/>
  <c r="AI50" i="1"/>
  <c r="AI46" i="1"/>
  <c r="U46" i="1"/>
  <c r="S46" i="1" s="1"/>
  <c r="AI42" i="1"/>
  <c r="AI38" i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AI51" i="1"/>
  <c r="U51" i="1"/>
  <c r="S51" i="1" s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5" i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AI16" i="1"/>
  <c r="U49" i="1"/>
  <c r="S49" i="1" s="1"/>
  <c r="AI49" i="1"/>
  <c r="U45" i="1"/>
  <c r="S45" i="1" s="1"/>
  <c r="AI45" i="1"/>
  <c r="U41" i="1"/>
  <c r="S41" i="1" s="1"/>
  <c r="AI41" i="1"/>
  <c r="U37" i="1"/>
  <c r="S37" i="1" s="1"/>
  <c r="AI37" i="1"/>
  <c r="U33" i="1"/>
  <c r="S33" i="1" s="1"/>
  <c r="AI33" i="1"/>
  <c r="U29" i="1"/>
  <c r="S29" i="1" s="1"/>
  <c r="AI29" i="1"/>
  <c r="U25" i="1"/>
  <c r="S25" i="1" s="1"/>
  <c r="AI25" i="1"/>
  <c r="U21" i="1"/>
  <c r="S21" i="1" s="1"/>
  <c r="AI21" i="1"/>
  <c r="U17" i="1"/>
  <c r="S17" i="1" s="1"/>
  <c r="AI17" i="1"/>
  <c r="W208" i="1"/>
  <c r="W206" i="1"/>
  <c r="W197" i="1"/>
  <c r="W213" i="1"/>
  <c r="W212" i="1"/>
  <c r="W205" i="1"/>
  <c r="W148" i="1"/>
  <c r="W219" i="1"/>
  <c r="W201" i="1"/>
  <c r="W193" i="1"/>
  <c r="W215" i="1"/>
  <c r="W204" i="1"/>
  <c r="W199" i="1"/>
  <c r="W198" i="1"/>
  <c r="W195" i="1"/>
  <c r="W194" i="1"/>
  <c r="W155" i="1"/>
  <c r="W218" i="1"/>
  <c r="W217" i="1"/>
  <c r="W200" i="1"/>
  <c r="W196" i="1"/>
  <c r="W152" i="1"/>
  <c r="W154" i="1"/>
  <c r="W147" i="1"/>
  <c r="W146" i="1"/>
  <c r="W145" i="1"/>
  <c r="W132" i="1"/>
  <c r="W115" i="1"/>
  <c r="W111" i="1"/>
  <c r="W107" i="1"/>
  <c r="W191" i="1"/>
  <c r="T147" i="1"/>
  <c r="U147" i="1" s="1"/>
  <c r="S147" i="1" s="1"/>
  <c r="X147" i="1"/>
  <c r="X148" i="1"/>
  <c r="W143" i="1"/>
  <c r="W138" i="1"/>
  <c r="W131" i="1"/>
  <c r="X217" i="1"/>
  <c r="X213" i="1"/>
  <c r="X207" i="1"/>
  <c r="X203" i="1"/>
  <c r="X199" i="1"/>
  <c r="X195" i="1"/>
  <c r="T155" i="1"/>
  <c r="U155" i="1" s="1"/>
  <c r="S155" i="1" s="1"/>
  <c r="W151" i="1"/>
  <c r="W150" i="1"/>
  <c r="W141" i="1"/>
  <c r="W140" i="1"/>
  <c r="W134" i="1"/>
  <c r="W133" i="1"/>
  <c r="W130" i="1"/>
  <c r="W129" i="1"/>
  <c r="W127" i="1"/>
  <c r="W124" i="1"/>
  <c r="W109" i="1"/>
  <c r="W105" i="1"/>
  <c r="W102" i="1"/>
  <c r="W189" i="1"/>
  <c r="X218" i="1"/>
  <c r="X214" i="1"/>
  <c r="X208" i="1"/>
  <c r="X204" i="1"/>
  <c r="X200" i="1"/>
  <c r="X196" i="1"/>
  <c r="W153" i="1"/>
  <c r="T151" i="1"/>
  <c r="U151" i="1" s="1"/>
  <c r="S151" i="1" s="1"/>
  <c r="X151" i="1"/>
  <c r="X152" i="1"/>
  <c r="W135" i="1"/>
  <c r="W126" i="1"/>
  <c r="W125" i="1"/>
  <c r="W123" i="1"/>
  <c r="W119" i="1"/>
  <c r="W114" i="1"/>
  <c r="W112" i="1"/>
  <c r="W108" i="1"/>
  <c r="W106" i="1"/>
  <c r="W101" i="1"/>
  <c r="W192" i="1"/>
  <c r="W190" i="1"/>
  <c r="X144" i="1"/>
  <c r="X140" i="1"/>
  <c r="X136" i="1"/>
  <c r="W182" i="1"/>
  <c r="W96" i="1"/>
  <c r="W165" i="1"/>
  <c r="X133" i="1"/>
  <c r="W188" i="1"/>
  <c r="W177" i="1"/>
  <c r="W163" i="1"/>
  <c r="W162" i="1"/>
  <c r="X154" i="1"/>
  <c r="X150" i="1"/>
  <c r="X146" i="1"/>
  <c r="X142" i="1"/>
  <c r="X138" i="1"/>
  <c r="X134" i="1"/>
  <c r="X130" i="1"/>
  <c r="X126" i="1"/>
  <c r="X122" i="1"/>
  <c r="X115" i="1"/>
  <c r="X111" i="1"/>
  <c r="X107" i="1"/>
  <c r="X209" i="1"/>
  <c r="X100" i="1"/>
  <c r="X191" i="1"/>
  <c r="W186" i="1"/>
  <c r="W174" i="1"/>
  <c r="W173" i="1"/>
  <c r="W172" i="1"/>
  <c r="W160" i="1"/>
  <c r="W159" i="1"/>
  <c r="W94" i="1"/>
  <c r="X143" i="1"/>
  <c r="X139" i="1"/>
  <c r="X135" i="1"/>
  <c r="W185" i="1"/>
  <c r="W184" i="1"/>
  <c r="W170" i="1"/>
  <c r="W169" i="1"/>
  <c r="W95" i="1"/>
  <c r="W168" i="1"/>
  <c r="X175" i="1"/>
  <c r="X171" i="1"/>
  <c r="X168" i="1"/>
  <c r="X93" i="1"/>
  <c r="T92" i="1"/>
  <c r="U92" i="1" s="1"/>
  <c r="S92" i="1" s="1"/>
  <c r="W89" i="1"/>
  <c r="W88" i="1"/>
  <c r="W79" i="1"/>
  <c r="W65" i="1"/>
  <c r="W59" i="1"/>
  <c r="W54" i="1"/>
  <c r="X176" i="1"/>
  <c r="T176" i="1"/>
  <c r="U176" i="1" s="1"/>
  <c r="S176" i="1" s="1"/>
  <c r="X172" i="1"/>
  <c r="T172" i="1"/>
  <c r="U172" i="1" s="1"/>
  <c r="S172" i="1" s="1"/>
  <c r="X95" i="1"/>
  <c r="T95" i="1"/>
  <c r="U95" i="1" s="1"/>
  <c r="S95" i="1" s="1"/>
  <c r="T165" i="1"/>
  <c r="U165" i="1" s="1"/>
  <c r="S165" i="1" s="1"/>
  <c r="X94" i="1"/>
  <c r="T94" i="1"/>
  <c r="U94" i="1" s="1"/>
  <c r="S94" i="1" s="1"/>
  <c r="W82" i="1"/>
  <c r="W74" i="1"/>
  <c r="W69" i="1"/>
  <c r="W63" i="1"/>
  <c r="W53" i="1"/>
  <c r="W52" i="1"/>
  <c r="X188" i="1"/>
  <c r="X184" i="1"/>
  <c r="X180" i="1"/>
  <c r="W83" i="1"/>
  <c r="W81" i="1"/>
  <c r="W72" i="1"/>
  <c r="W67" i="1"/>
  <c r="W62" i="1"/>
  <c r="W57" i="1"/>
  <c r="W56" i="1"/>
  <c r="X185" i="1"/>
  <c r="X181" i="1"/>
  <c r="W92" i="1"/>
  <c r="W90" i="1"/>
  <c r="W86" i="1"/>
  <c r="W66" i="1"/>
  <c r="W61" i="1"/>
  <c r="W60" i="1"/>
  <c r="W55" i="1"/>
  <c r="T52" i="1"/>
  <c r="U52" i="1" s="1"/>
  <c r="S52" i="1" s="1"/>
  <c r="X52" i="1"/>
  <c r="W51" i="1"/>
  <c r="W48" i="1"/>
  <c r="W34" i="1"/>
  <c r="W32" i="1"/>
  <c r="X88" i="1"/>
  <c r="T88" i="1"/>
  <c r="U88" i="1" s="1"/>
  <c r="S88" i="1" s="1"/>
  <c r="W39" i="1"/>
  <c r="W38" i="1"/>
  <c r="W36" i="1"/>
  <c r="W18" i="1"/>
  <c r="W17" i="1"/>
  <c r="W15" i="1"/>
  <c r="W45" i="1"/>
  <c r="W43" i="1"/>
  <c r="W42" i="1"/>
  <c r="W40" i="1"/>
  <c r="W25" i="1"/>
  <c r="W21" i="1"/>
  <c r="W16" i="1"/>
  <c r="W49" i="1"/>
  <c r="W46" i="1"/>
  <c r="W44" i="1"/>
  <c r="W31" i="1"/>
  <c r="W30" i="1"/>
  <c r="W27" i="1"/>
  <c r="W26" i="1"/>
  <c r="W24" i="1"/>
  <c r="W23" i="1"/>
  <c r="W22" i="1"/>
  <c r="W20" i="1"/>
  <c r="X51" i="1"/>
  <c r="X47" i="1"/>
  <c r="X43" i="1"/>
  <c r="X39" i="1"/>
  <c r="X35" i="1"/>
  <c r="X31" i="1"/>
  <c r="X27" i="1"/>
  <c r="X23" i="1"/>
  <c r="X19" i="1"/>
  <c r="X48" i="1"/>
  <c r="X44" i="1"/>
  <c r="X40" i="1"/>
  <c r="X36" i="1"/>
  <c r="X32" i="1"/>
  <c r="X28" i="1"/>
  <c r="X24" i="1"/>
  <c r="X20" i="1"/>
  <c r="AD56" i="3"/>
  <c r="AC48" i="3"/>
  <c r="AD42" i="3"/>
  <c r="AC40" i="3"/>
  <c r="AC49" i="3"/>
  <c r="AC33" i="3"/>
  <c r="T33" i="3"/>
  <c r="AE48" i="3"/>
  <c r="AC25" i="3"/>
  <c r="AD38" i="3"/>
  <c r="AC47" i="3"/>
  <c r="AE34" i="3"/>
  <c r="AC20" i="3"/>
  <c r="AC12" i="3"/>
  <c r="T12" i="3"/>
  <c r="T51" i="3"/>
  <c r="AE14" i="3"/>
  <c r="T23" i="3"/>
  <c r="AE11" i="3"/>
  <c r="AE56" i="3"/>
  <c r="AE37" i="3"/>
  <c r="AD31" i="3"/>
  <c r="AD27" i="3"/>
  <c r="AE25" i="3"/>
  <c r="AD17" i="3"/>
  <c r="AE33" i="3"/>
  <c r="AE26" i="3"/>
  <c r="AD16" i="3"/>
  <c r="AD15" i="3"/>
  <c r="AE15" i="3"/>
  <c r="AD9" i="3"/>
  <c r="AD54" i="3"/>
  <c r="AC32" i="3"/>
  <c r="AD26" i="3"/>
  <c r="AD13" i="3"/>
  <c r="AE10" i="3"/>
  <c r="AD8" i="3"/>
  <c r="AC55" i="3"/>
  <c r="AE41" i="3"/>
  <c r="AC10" i="3"/>
  <c r="AC46" i="3"/>
  <c r="AC24" i="3"/>
  <c r="AC15" i="3"/>
  <c r="AC9" i="3"/>
  <c r="AE45" i="3"/>
  <c r="AE42" i="3"/>
  <c r="AC56" i="3"/>
  <c r="AD48" i="3"/>
  <c r="T26" i="3"/>
  <c r="AC58" i="3"/>
  <c r="AC31" i="3"/>
  <c r="Y34" i="3"/>
  <c r="Y55" i="3"/>
  <c r="Y42" i="3"/>
  <c r="Y58" i="3"/>
  <c r="Y47" i="3"/>
  <c r="Y20" i="3"/>
  <c r="Y56" i="3"/>
  <c r="Y49" i="3"/>
  <c r="Y25" i="3"/>
  <c r="Y31" i="3"/>
  <c r="Y35" i="3"/>
  <c r="Y12" i="3"/>
  <c r="Y52" i="3"/>
  <c r="Y32" i="3"/>
  <c r="Y48" i="3"/>
  <c r="Y10" i="3"/>
  <c r="Y8" i="3"/>
  <c r="Y27" i="3"/>
  <c r="Y38" i="3"/>
  <c r="Y14" i="3"/>
  <c r="Y46" i="3"/>
  <c r="Y44" i="3"/>
  <c r="Y24" i="3"/>
  <c r="Y15" i="3"/>
  <c r="Y9" i="3"/>
  <c r="Y29" i="3"/>
  <c r="Y43" i="3"/>
  <c r="Y53" i="3"/>
  <c r="Y36" i="3"/>
  <c r="Y19" i="3"/>
  <c r="Y21" i="3"/>
  <c r="Y51" i="3"/>
  <c r="Y45" i="3"/>
  <c r="Y23" i="3"/>
  <c r="Y57" i="3"/>
  <c r="Y26" i="3"/>
  <c r="Y37" i="3"/>
  <c r="Y16" i="3"/>
  <c r="Y40" i="3"/>
  <c r="Y33" i="3"/>
  <c r="Y54" i="3"/>
  <c r="Y17" i="3"/>
  <c r="Y11" i="3"/>
  <c r="Y41" i="3"/>
  <c r="Y39" i="3"/>
  <c r="Y7" i="3"/>
  <c r="Y13" i="3"/>
  <c r="Y30" i="3"/>
  <c r="Y50" i="3"/>
  <c r="Y22" i="3"/>
  <c r="Y28" i="3"/>
  <c r="T40" i="3"/>
  <c r="AE52" i="3"/>
  <c r="AC37" i="3"/>
  <c r="AD44" i="3"/>
  <c r="AD36" i="3"/>
  <c r="T41" i="3"/>
  <c r="AE36" i="3"/>
  <c r="AC19" i="3"/>
  <c r="AD29" i="3"/>
  <c r="T34" i="3"/>
  <c r="AE58" i="3"/>
  <c r="T27" i="3"/>
  <c r="AD52" i="3"/>
  <c r="T38" i="3"/>
  <c r="AE50" i="3"/>
  <c r="AD47" i="3"/>
  <c r="T54" i="3"/>
  <c r="AE47" i="3"/>
  <c r="T37" i="3"/>
  <c r="AC16" i="3"/>
  <c r="AD41" i="3"/>
  <c r="AD32" i="3"/>
  <c r="T39" i="3"/>
  <c r="AE32" i="3"/>
  <c r="T19" i="3"/>
  <c r="AC21" i="3"/>
  <c r="AD25" i="3"/>
  <c r="AD20" i="3"/>
  <c r="T30" i="3"/>
  <c r="AE20" i="3"/>
  <c r="AC30" i="3"/>
  <c r="T17" i="3"/>
  <c r="AC53" i="3"/>
  <c r="AD37" i="3"/>
  <c r="AD28" i="3"/>
  <c r="T7" i="3"/>
  <c r="AE28" i="3"/>
  <c r="T49" i="3"/>
  <c r="AE54" i="3"/>
  <c r="T42" i="3"/>
  <c r="AD40" i="3"/>
  <c r="T11" i="3"/>
  <c r="AE40" i="3"/>
  <c r="T53" i="3"/>
  <c r="AC36" i="3"/>
  <c r="AD33" i="3"/>
  <c r="AD24" i="3"/>
  <c r="T13" i="3"/>
  <c r="AE24" i="3"/>
  <c r="AC50" i="3"/>
  <c r="AC22" i="3"/>
  <c r="AC28" i="3"/>
  <c r="AD21" i="3"/>
  <c r="AE17" i="3"/>
  <c r="T50" i="3"/>
  <c r="AD14" i="3"/>
  <c r="AE13" i="3"/>
  <c r="T22" i="3"/>
  <c r="AD10" i="3"/>
  <c r="AE9" i="3"/>
  <c r="T28" i="3"/>
  <c r="AE46" i="3"/>
  <c r="AE43" i="3"/>
  <c r="AE39" i="3"/>
  <c r="AE35" i="3"/>
  <c r="AE31" i="3"/>
  <c r="AE27" i="3"/>
  <c r="AE23" i="3"/>
  <c r="AE19" i="3"/>
  <c r="AE16" i="3"/>
  <c r="AE12" i="3"/>
  <c r="AE8" i="3"/>
  <c r="R18" i="3" l="1"/>
  <c r="M18" i="3"/>
  <c r="S18" i="3"/>
  <c r="U18" i="3"/>
  <c r="V18" i="3"/>
  <c r="X18" i="3"/>
  <c r="W18" i="3"/>
  <c r="T18" i="3" l="1"/>
  <c r="AE18" i="3"/>
  <c r="AD18" i="3"/>
  <c r="AC18" i="3"/>
  <c r="Y18" i="3"/>
  <c r="K13" i="1" l="1"/>
  <c r="M13" i="1"/>
  <c r="P13" i="1" s="1"/>
  <c r="V13" i="1"/>
  <c r="Y13" i="1"/>
  <c r="Z13" i="1"/>
  <c r="AB13" i="1"/>
  <c r="AC13" i="1"/>
  <c r="AD13" i="1"/>
  <c r="AE13" i="1"/>
  <c r="AF13" i="1"/>
  <c r="AM13" i="1"/>
  <c r="AN13" i="1"/>
  <c r="AG13" i="1"/>
  <c r="X14" i="1" l="1"/>
  <c r="AA13" i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L204" i="1" s="1"/>
  <c r="G9" i="4"/>
  <c r="L207" i="1" s="1"/>
  <c r="G10" i="4"/>
  <c r="G11" i="4"/>
  <c r="L195" i="1" s="1"/>
  <c r="G12" i="4"/>
  <c r="G13" i="4"/>
  <c r="L197" i="1" s="1"/>
  <c r="G14" i="4"/>
  <c r="G15" i="4"/>
  <c r="L215" i="1" s="1"/>
  <c r="G16" i="4"/>
  <c r="G17" i="4"/>
  <c r="L199" i="1" s="1"/>
  <c r="G18" i="4"/>
  <c r="G19" i="4"/>
  <c r="G20" i="4"/>
  <c r="L14" i="1" s="1"/>
  <c r="G21" i="4"/>
  <c r="L18" i="1" s="1"/>
  <c r="G22" i="4"/>
  <c r="L201" i="1" s="1"/>
  <c r="G23" i="4"/>
  <c r="L20" i="1" s="1"/>
  <c r="G24" i="4"/>
  <c r="L22" i="1" s="1"/>
  <c r="G25" i="4"/>
  <c r="L17" i="1" s="1"/>
  <c r="G26" i="4"/>
  <c r="L203" i="1" s="1"/>
  <c r="G27" i="4"/>
  <c r="L24" i="1" s="1"/>
  <c r="G28" i="4"/>
  <c r="L26" i="1" s="1"/>
  <c r="G29" i="4"/>
  <c r="L21" i="1" s="1"/>
  <c r="G30" i="4"/>
  <c r="L19" i="1" s="1"/>
  <c r="G31" i="4"/>
  <c r="G32" i="4"/>
  <c r="L206" i="1" s="1"/>
  <c r="G33" i="4"/>
  <c r="L28" i="1" s="1"/>
  <c r="G34" i="4"/>
  <c r="L23" i="1" s="1"/>
  <c r="G35" i="4"/>
  <c r="L159" i="1" s="1"/>
  <c r="G36" i="4"/>
  <c r="G37" i="4"/>
  <c r="L25" i="1" s="1"/>
  <c r="G38" i="4"/>
  <c r="L27" i="1" s="1"/>
  <c r="G39" i="4"/>
  <c r="L32" i="1" s="1"/>
  <c r="G40" i="4"/>
  <c r="L160" i="1" s="1"/>
  <c r="G41" i="4"/>
  <c r="L34" i="1" s="1"/>
  <c r="G42" i="4"/>
  <c r="L29" i="1" s="1"/>
  <c r="G43" i="4"/>
  <c r="L36" i="1" s="1"/>
  <c r="G44" i="4"/>
  <c r="L161" i="1" s="1"/>
  <c r="G45" i="4"/>
  <c r="L31" i="1" s="1"/>
  <c r="G46" i="4"/>
  <c r="G47" i="4"/>
  <c r="G48" i="4"/>
  <c r="L35" i="1" s="1"/>
  <c r="G49" i="4"/>
  <c r="L33" i="1" s="1"/>
  <c r="G50" i="4"/>
  <c r="L40" i="1" s="1"/>
  <c r="G51" i="4"/>
  <c r="L162" i="1" s="1"/>
  <c r="G52" i="4"/>
  <c r="L42" i="1" s="1"/>
  <c r="G53" i="4"/>
  <c r="L37" i="1" s="1"/>
  <c r="G54" i="4"/>
  <c r="L44" i="1" s="1"/>
  <c r="G55" i="4"/>
  <c r="L39" i="1" s="1"/>
  <c r="G56" i="4"/>
  <c r="L163" i="1" s="1"/>
  <c r="G57" i="4"/>
  <c r="L46" i="1" s="1"/>
  <c r="G58" i="4"/>
  <c r="L41" i="1" s="1"/>
  <c r="G59" i="4"/>
  <c r="L48" i="1" s="1"/>
  <c r="G60" i="4"/>
  <c r="L164" i="1" s="1"/>
  <c r="G61" i="4"/>
  <c r="L50" i="1" s="1"/>
  <c r="G62" i="4"/>
  <c r="L43" i="1" s="1"/>
  <c r="G63" i="4"/>
  <c r="L45" i="1" s="1"/>
  <c r="G64" i="4"/>
  <c r="L52" i="1" s="1"/>
  <c r="G65" i="4"/>
  <c r="L165" i="1" s="1"/>
  <c r="G66" i="4"/>
  <c r="L47" i="1" s="1"/>
  <c r="G67" i="4"/>
  <c r="L49" i="1" s="1"/>
  <c r="G68" i="4"/>
  <c r="L54" i="1" s="1"/>
  <c r="G69" i="4"/>
  <c r="L56" i="1" s="1"/>
  <c r="G70" i="4"/>
  <c r="L166" i="1" s="1"/>
  <c r="G71" i="4"/>
  <c r="L51" i="1" s="1"/>
  <c r="G72" i="4"/>
  <c r="L53" i="1" s="1"/>
  <c r="G73" i="4"/>
  <c r="L58" i="1" s="1"/>
  <c r="G74" i="4"/>
  <c r="L60" i="1" s="1"/>
  <c r="G75" i="4"/>
  <c r="L62" i="1" s="1"/>
  <c r="G76" i="4"/>
  <c r="L167" i="1" s="1"/>
  <c r="G77" i="4"/>
  <c r="G78" i="4"/>
  <c r="L57" i="1" s="1"/>
  <c r="G79" i="4"/>
  <c r="L64" i="1" s="1"/>
  <c r="G80" i="4"/>
  <c r="G81" i="4"/>
  <c r="L66" i="1" s="1"/>
  <c r="G82" i="4"/>
  <c r="L59" i="1" s="1"/>
  <c r="G83" i="4"/>
  <c r="L61" i="1" s="1"/>
  <c r="G84" i="4"/>
  <c r="L63" i="1" s="1"/>
  <c r="G85" i="4"/>
  <c r="L68" i="1" s="1"/>
  <c r="G86" i="4"/>
  <c r="L169" i="1" s="1"/>
  <c r="G87" i="4"/>
  <c r="L70" i="1" s="1"/>
  <c r="G88" i="4"/>
  <c r="L65" i="1" s="1"/>
  <c r="G89" i="4"/>
  <c r="G90" i="4"/>
  <c r="L72" i="1" s="1"/>
  <c r="G91" i="4"/>
  <c r="L170" i="1" s="1"/>
  <c r="G92" i="4"/>
  <c r="L67" i="1" s="1"/>
  <c r="G93" i="4"/>
  <c r="L69" i="1" s="1"/>
  <c r="G94" i="4"/>
  <c r="L74" i="1" s="1"/>
  <c r="G95" i="4"/>
  <c r="G96" i="4"/>
  <c r="G97" i="4"/>
  <c r="G98" i="4"/>
  <c r="L171" i="1" s="1"/>
  <c r="G99" i="4"/>
  <c r="L78" i="1" s="1"/>
  <c r="G100" i="4"/>
  <c r="L80" i="1" s="1"/>
  <c r="G101" i="4"/>
  <c r="L73" i="1" s="1"/>
  <c r="G102" i="4"/>
  <c r="L172" i="1" s="1"/>
  <c r="G103" i="4"/>
  <c r="G104" i="4"/>
  <c r="L82" i="1" s="1"/>
  <c r="G105" i="4"/>
  <c r="G106" i="4"/>
  <c r="L84" i="1" s="1"/>
  <c r="G107" i="4"/>
  <c r="L173" i="1" s="1"/>
  <c r="G108" i="4"/>
  <c r="L79" i="1" s="1"/>
  <c r="G109" i="4"/>
  <c r="L86" i="1" s="1"/>
  <c r="G110" i="4"/>
  <c r="L81" i="1" s="1"/>
  <c r="G111" i="4"/>
  <c r="L88" i="1" s="1"/>
  <c r="G112" i="4"/>
  <c r="L174" i="1" s="1"/>
  <c r="G113" i="4"/>
  <c r="G114" i="4"/>
  <c r="L85" i="1" s="1"/>
  <c r="G115" i="4"/>
  <c r="L90" i="1" s="1"/>
  <c r="G116" i="4"/>
  <c r="L87" i="1" s="1"/>
  <c r="G117" i="4"/>
  <c r="G118" i="4"/>
  <c r="L175" i="1" s="1"/>
  <c r="G119" i="4"/>
  <c r="L95" i="1" s="1"/>
  <c r="G120" i="4"/>
  <c r="G121" i="4"/>
  <c r="L89" i="1" s="1"/>
  <c r="G122" i="4"/>
  <c r="L97" i="1" s="1"/>
  <c r="G123" i="4"/>
  <c r="G124" i="4"/>
  <c r="L99" i="1" s="1"/>
  <c r="G125" i="4"/>
  <c r="L91" i="1" s="1"/>
  <c r="G126" i="4"/>
  <c r="L94" i="1" s="1"/>
  <c r="G127" i="4"/>
  <c r="L101" i="1" s="1"/>
  <c r="G128" i="4"/>
  <c r="L96" i="1" s="1"/>
  <c r="G129" i="4"/>
  <c r="L177" i="1" s="1"/>
  <c r="G130" i="4"/>
  <c r="L98" i="1" s="1"/>
  <c r="G131" i="4"/>
  <c r="L103" i="1" s="1"/>
  <c r="G132" i="4"/>
  <c r="L100" i="1" s="1"/>
  <c r="G133" i="4"/>
  <c r="L105" i="1" s="1"/>
  <c r="G134" i="4"/>
  <c r="L102" i="1" s="1"/>
  <c r="G135" i="4"/>
  <c r="L107" i="1" s="1"/>
  <c r="G136" i="4"/>
  <c r="L178" i="1" s="1"/>
  <c r="G137" i="4"/>
  <c r="L109" i="1" s="1"/>
  <c r="G138" i="4"/>
  <c r="L179" i="1" s="1"/>
  <c r="G139" i="4"/>
  <c r="L104" i="1" s="1"/>
  <c r="G140" i="4"/>
  <c r="G141" i="4"/>
  <c r="G142" i="4"/>
  <c r="G143" i="4"/>
  <c r="L219" i="1" s="1"/>
  <c r="G144" i="4"/>
  <c r="L108" i="1" s="1"/>
  <c r="G145" i="4"/>
  <c r="L115" i="1" s="1"/>
  <c r="G146" i="4"/>
  <c r="L180" i="1" s="1"/>
  <c r="G147" i="4"/>
  <c r="L110" i="1" s="1"/>
  <c r="G148" i="4"/>
  <c r="L117" i="1" s="1"/>
  <c r="G149" i="4"/>
  <c r="L112" i="1" s="1"/>
  <c r="G150" i="4"/>
  <c r="G151" i="4"/>
  <c r="G152" i="4"/>
  <c r="L114" i="1" s="1"/>
  <c r="G153" i="4"/>
  <c r="L119" i="1" s="1"/>
  <c r="G154" i="4"/>
  <c r="L121" i="1" s="1"/>
  <c r="G155" i="4"/>
  <c r="L116" i="1" s="1"/>
  <c r="G156" i="4"/>
  <c r="G157" i="4"/>
  <c r="L182" i="1" s="1"/>
  <c r="G158" i="4"/>
  <c r="L123" i="1" s="1"/>
  <c r="G159" i="4"/>
  <c r="G160" i="4"/>
  <c r="L125" i="1" s="1"/>
  <c r="G161" i="4"/>
  <c r="G162" i="4"/>
  <c r="L127" i="1" s="1"/>
  <c r="G163" i="4"/>
  <c r="G164" i="4"/>
  <c r="G165" i="4"/>
  <c r="G166" i="4"/>
  <c r="G167" i="4"/>
  <c r="G168" i="4"/>
  <c r="G169" i="4"/>
  <c r="L129" i="1" s="1"/>
  <c r="G170" i="4"/>
  <c r="L124" i="1" s="1"/>
  <c r="G171" i="4"/>
  <c r="G172" i="4"/>
  <c r="L126" i="1" s="1"/>
  <c r="G173" i="4"/>
  <c r="G174" i="4"/>
  <c r="L128" i="1" s="1"/>
  <c r="G175" i="4"/>
  <c r="L133" i="1" s="1"/>
  <c r="G176" i="4"/>
  <c r="G177" i="4"/>
  <c r="L185" i="1" s="1"/>
  <c r="G178" i="4"/>
  <c r="L194" i="1" s="1"/>
  <c r="G179" i="4"/>
  <c r="L130" i="1" s="1"/>
  <c r="G180" i="4"/>
  <c r="L135" i="1" s="1"/>
  <c r="G181" i="4"/>
  <c r="L132" i="1" s="1"/>
  <c r="G182" i="4"/>
  <c r="L196" i="1" s="1"/>
  <c r="G183" i="4"/>
  <c r="L186" i="1" s="1"/>
  <c r="G184" i="4"/>
  <c r="G185" i="4"/>
  <c r="L134" i="1" s="1"/>
  <c r="G186" i="4"/>
  <c r="L137" i="1" s="1"/>
  <c r="G187" i="4"/>
  <c r="G188" i="4"/>
  <c r="G189" i="4"/>
  <c r="G190" i="4"/>
  <c r="L198" i="1" s="1"/>
  <c r="G191" i="4"/>
  <c r="G192" i="4"/>
  <c r="L136" i="1" s="1"/>
  <c r="G193" i="4"/>
  <c r="L188" i="1" s="1"/>
  <c r="G194" i="4"/>
  <c r="L138" i="1" s="1"/>
  <c r="G195" i="4"/>
  <c r="L141" i="1" s="1"/>
  <c r="G196" i="4"/>
  <c r="L189" i="1" s="1"/>
  <c r="G197" i="4"/>
  <c r="L140" i="1" s="1"/>
  <c r="G198" i="4"/>
  <c r="L143" i="1" s="1"/>
  <c r="G199" i="4"/>
  <c r="L190" i="1" s="1"/>
  <c r="G200" i="4"/>
  <c r="L145" i="1" s="1"/>
  <c r="G201" i="4"/>
  <c r="L142" i="1" s="1"/>
  <c r="G202" i="4"/>
  <c r="G203" i="4"/>
  <c r="L147" i="1" s="1"/>
  <c r="G204" i="4"/>
  <c r="G205" i="4"/>
  <c r="L149" i="1" s="1"/>
  <c r="G206" i="4"/>
  <c r="G207" i="4"/>
  <c r="L146" i="1" s="1"/>
  <c r="G208" i="4"/>
  <c r="L151" i="1" s="1"/>
  <c r="G209" i="4"/>
  <c r="G210" i="4"/>
  <c r="L148" i="1" s="1"/>
  <c r="G211" i="4"/>
  <c r="L150" i="1" s="1"/>
  <c r="G212" i="4"/>
  <c r="L153" i="1" s="1"/>
  <c r="G213" i="4"/>
  <c r="L152" i="1" s="1"/>
  <c r="G214" i="4"/>
  <c r="G215" i="4"/>
  <c r="L154" i="1" s="1"/>
  <c r="G216" i="4"/>
  <c r="L157" i="1" s="1"/>
  <c r="G217" i="4"/>
  <c r="L200" i="1" s="1"/>
  <c r="G218" i="4"/>
  <c r="L156" i="1" s="1"/>
  <c r="G219" i="4"/>
  <c r="L202" i="1" s="1"/>
  <c r="G220" i="4"/>
  <c r="L158" i="1" s="1"/>
  <c r="G221" i="4"/>
  <c r="L205" i="1" s="1"/>
  <c r="G222" i="4"/>
  <c r="L208" i="1" s="1"/>
  <c r="G223" i="4"/>
  <c r="L193" i="1" s="1"/>
  <c r="G2" i="4"/>
  <c r="N38" i="3" l="1"/>
  <c r="L187" i="1"/>
  <c r="N9" i="3"/>
  <c r="L55" i="1"/>
  <c r="N34" i="3"/>
  <c r="L155" i="1"/>
  <c r="N40" i="3"/>
  <c r="L192" i="1"/>
  <c r="N49" i="3"/>
  <c r="L191" i="1"/>
  <c r="N31" i="3"/>
  <c r="L113" i="1"/>
  <c r="L211" i="1"/>
  <c r="L213" i="1"/>
  <c r="L212" i="1"/>
  <c r="L214" i="1"/>
  <c r="N58" i="3"/>
  <c r="L218" i="1"/>
  <c r="N16" i="3"/>
  <c r="L106" i="1"/>
  <c r="L92" i="1"/>
  <c r="L93" i="1"/>
  <c r="N12" i="3"/>
  <c r="L83" i="1"/>
  <c r="N27" i="3"/>
  <c r="L144" i="1"/>
  <c r="L217" i="1"/>
  <c r="L216" i="1"/>
  <c r="N26" i="3"/>
  <c r="L122" i="1"/>
  <c r="N17" i="3"/>
  <c r="L120" i="1"/>
  <c r="N11" i="3"/>
  <c r="L111" i="1"/>
  <c r="N30" i="3"/>
  <c r="L76" i="1"/>
  <c r="N50" i="3"/>
  <c r="L168" i="1"/>
  <c r="N18" i="3"/>
  <c r="L30" i="1"/>
  <c r="L16" i="1"/>
  <c r="L15" i="1"/>
  <c r="N56" i="3"/>
  <c r="L210" i="1"/>
  <c r="N54" i="3"/>
  <c r="L184" i="1"/>
  <c r="N13" i="3"/>
  <c r="L77" i="1"/>
  <c r="N33" i="3"/>
  <c r="L139" i="1"/>
  <c r="N32" i="3"/>
  <c r="L131" i="1"/>
  <c r="N37" i="3"/>
  <c r="L183" i="1"/>
  <c r="N25" i="3"/>
  <c r="L118" i="1"/>
  <c r="N48" i="3"/>
  <c r="L181" i="1"/>
  <c r="N35" i="3"/>
  <c r="L176" i="1"/>
  <c r="N24" i="3"/>
  <c r="L75" i="1"/>
  <c r="N15" i="3"/>
  <c r="L71" i="1"/>
  <c r="N29" i="3"/>
  <c r="L38" i="1"/>
  <c r="N57" i="3"/>
  <c r="L209" i="1"/>
  <c r="N52" i="3"/>
  <c r="N51" i="3"/>
  <c r="N45" i="3"/>
  <c r="N44" i="3"/>
  <c r="N47" i="3"/>
  <c r="N46" i="3"/>
  <c r="N39" i="3"/>
  <c r="N36" i="3"/>
  <c r="N8" i="3"/>
  <c r="N7" i="3"/>
  <c r="N19" i="3"/>
  <c r="N20" i="3"/>
  <c r="N21" i="3"/>
  <c r="N22" i="3"/>
  <c r="N23" i="3"/>
  <c r="N41" i="3"/>
  <c r="N53" i="3"/>
  <c r="N14" i="3"/>
  <c r="N10" i="3"/>
  <c r="N43" i="3"/>
  <c r="N28" i="3"/>
  <c r="N42" i="3"/>
  <c r="N5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F8" i="6" l="1"/>
  <c r="I8" i="6"/>
  <c r="J8" i="6"/>
  <c r="G8" i="6"/>
  <c r="H8" i="6"/>
  <c r="B1" i="6"/>
  <c r="A5" i="3"/>
  <c r="B9" i="6" l="1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<sst xmlns="http://schemas.openxmlformats.org/spreadsheetml/2006/main" count="2553" uniqueCount="939">
  <si>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</si>
  <si>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</si>
  <si>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</si>
  <si>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</si>
  <si>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</si>
  <si>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</si>
  <si>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</si>
  <si>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</si>
  <si>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</si>
  <si>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</si>
  <si>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</si>
  <si>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</si>
  <si>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</si>
  <si>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</si>
  <si>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</si>
  <si>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</si>
  <si>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</si>
  <si>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</si>
  <si>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</si>
  <si>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</si>
  <si>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</si>
  <si>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</si>
  <si>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</si>
  <si>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</si>
  <si>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</si>
  <si>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</si>
  <si>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</si>
  <si>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</si>
  <si>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</si>
  <si>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</si>
  <si>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</si>
  <si>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</si>
  <si>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</si>
  <si>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</si>
  <si>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</si>
  <si>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</si>
  <si>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</si>
  <si>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</si>
  <si>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</si>
  <si>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</si>
  <si>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</si>
  <si>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</si>
  <si>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</si>
  <si>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</si>
  <si>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</si>
  <si>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</si>
  <si>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</si>
  <si>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</si>
  <si>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</si>
  <si>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</si>
  <si>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</si>
  <si>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</si>
  <si>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</si>
  <si>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</si>
  <si>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</si>
  <si>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</si>
  <si>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</si>
  <si>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</si>
  <si>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</si>
  <si>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</si>
  <si>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</si>
  <si>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</si>
  <si>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</si>
  <si>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</si>
  <si>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</si>
  <si>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</si>
  <si>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</si>
  <si>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</si>
  <si>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</si>
  <si>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</si>
  <si>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</si>
  <si>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</si>
  <si>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</si>
  <si>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</si>
  <si>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</si>
  <si>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</si>
  <si>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</si>
  <si>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</si>
  <si>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</si>
  <si>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</si>
  <si>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</si>
  <si>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</si>
  <si>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</si>
  <si>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</si>
  <si>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</si>
  <si>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</si>
  <si>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</si>
  <si>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</si>
  <si>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</si>
  <si>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</si>
  <si>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</si>
  <si>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</si>
  <si>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</si>
  <si>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</si>
  <si>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</si>
  <si>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</si>
  <si>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</si>
  <si>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</si>
  <si>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</si>
  <si>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</si>
  <si>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</si>
  <si>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</si>
  <si>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</si>
  <si>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</si>
  <si>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</si>
  <si>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</si>
  <si>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</si>
  <si>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</si>
  <si>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</si>
  <si>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</si>
  <si>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</si>
  <si>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</si>
  <si>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</si>
  <si>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</si>
  <si>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</si>
  <si>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</si>
  <si>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</si>
  <si>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</si>
  <si>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</si>
  <si>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</si>
  <si>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</si>
  <si>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</si>
  <si>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</si>
  <si>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</si>
  <si>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</si>
  <si>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</si>
  <si>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</si>
  <si>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</si>
  <si>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</si>
  <si>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</si>
  <si>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</si>
  <si>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</si>
  <si>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</si>
  <si>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</si>
  <si>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</si>
  <si>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</si>
  <si>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</si>
  <si>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</si>
  <si>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</si>
  <si>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</si>
  <si>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</si>
  <si>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</si>
  <si>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</si>
  <si>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</si>
  <si>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</si>
  <si>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</si>
  <si>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</si>
  <si>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</si>
  <si>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</si>
  <si>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</si>
  <si>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</si>
  <si>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</si>
  <si>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</si>
  <si>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</si>
  <si>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</si>
  <si>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</si>
  <si>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</si>
  <si>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</si>
  <si>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</si>
  <si>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</si>
  <si>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</si>
  <si>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</si>
  <si>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</si>
  <si>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</si>
  <si>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</si>
  <si>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</si>
  <si>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</si>
  <si>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</si>
  <si>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</si>
  <si>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</si>
  <si>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</si>
  <si>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</si>
  <si>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</si>
  <si>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</si>
  <si>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</si>
  <si>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</si>
  <si>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</si>
  <si>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</si>
  <si>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</si>
  <si>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</si>
  <si>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</si>
  <si>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</si>
  <si>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</si>
  <si>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</si>
  <si>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</si>
  <si>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</si>
  <si>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</si>
  <si>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</si>
  <si>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</si>
  <si>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</si>
  <si>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</si>
  <si>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</si>
  <si>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</si>
  <si>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</si>
  <si>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</si>
  <si>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</si>
  <si>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</si>
  <si>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</si>
  <si>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</si>
  <si>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</si>
  <si>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</si>
  <si>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</si>
  <si>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</si>
  <si>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</si>
  <si>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</si>
  <si>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</si>
  <si>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</si>
  <si>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</si>
  <si>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</si>
  <si>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</si>
  <si>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</si>
  <si>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</si>
  <si>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</si>
  <si>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</si>
  <si>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</si>
  <si>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</si>
  <si>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</si>
  <si>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</si>
  <si>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</si>
  <si>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</si>
  <si>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</si>
  <si>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</si>
  <si>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</si>
  <si>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</si>
  <si>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</si>
  <si>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</si>
  <si>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</si>
  <si>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</si>
  <si>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</si>
  <si>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</si>
  <si>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</si>
  <si>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</si>
  <si>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</si>
  <si>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</si>
  <si>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</si>
  <si>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</si>
  <si>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</si>
  <si>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</si>
  <si>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</si>
  <si>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</si>
  <si>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</si>
  <si>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</si>
  <si>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</si>
  <si>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</si>
  <si>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</si>
  <si>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</si>
  <si>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</si>
  <si>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</si>
  <si>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</si>
  <si>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</si>
  <si>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</si>
  <si>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</si>
  <si>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</si>
  <si>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</si>
  <si>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</si>
  <si>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</si>
  <si>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</si>
  <si>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</si>
  <si>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</si>
  <si>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</si>
  <si>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</si>
  <si>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</si>
  <si>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</si>
  <si>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</si>
  <si>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</si>
  <si>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</si>
  <si>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</si>
  <si>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</si>
  <si>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</si>
  <si>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</si>
  <si>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</si>
  <si>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</si>
  <si>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</si>
  <si>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</si>
  <si>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</si>
  <si>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</si>
  <si>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</si>
  <si>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</si>
  <si>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</si>
  <si>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</si>
  <si>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</si>
  <si>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</si>
  <si>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</si>
  <si>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</si>
  <si>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</si>
  <si>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</si>
  <si>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</si>
  <si>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</si>
  <si>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</si>
  <si>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</si>
  <si>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</si>
  <si>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</si>
  <si>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</si>
  <si>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</si>
  <si>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</si>
  <si>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</si>
  <si>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</si>
  <si>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</si>
  <si>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</si>
  <si>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</si>
  <si>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</si>
  <si>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</si>
  <si>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</si>
  <si>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</si>
  <si>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</si>
  <si>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</si>
  <si>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</si>
  <si>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</si>
  <si>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</si>
  <si>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</si>
  <si>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</si>
  <si>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</si>
  <si>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</si>
  <si>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</si>
  <si>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</si>
  <si>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</si>
  <si>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</si>
  <si>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</si>
  <si>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</si>
  <si>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</si>
  <si>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</si>
  <si>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</si>
  <si>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</si>
  <si>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</si>
  <si>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</si>
  <si>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</si>
  <si>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</si>
  <si>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</si>
  <si>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</si>
  <si>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</si>
  <si>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</si>
  <si>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</si>
  <si>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</si>
  <si>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</si>
  <si>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</si>
  <si>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</si>
  <si>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</si>
  <si>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</si>
  <si>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</si>
  <si>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</si>
  <si>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</si>
  <si>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</si>
  <si>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</si>
  <si>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</si>
  <si>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</si>
  <si>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</si>
  <si>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</si>
  <si>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</si>
  <si>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</si>
  <si>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</si>
  <si>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</si>
  <si>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rtdc.l.rtdc.4013:itc</t>
  </si>
  <si>
    <t>rtdc.l.rtdc.4014:itc</t>
  </si>
  <si>
    <t>GUZMAN</t>
  </si>
  <si>
    <t>DANNY</t>
  </si>
  <si>
    <t>BIRENBAUM</t>
  </si>
  <si>
    <t>WILLIAMS</t>
  </si>
  <si>
    <t>DONTE</t>
  </si>
  <si>
    <t>ZEWDU</t>
  </si>
  <si>
    <t>DEREJE</t>
  </si>
  <si>
    <t>204:462</t>
  </si>
  <si>
    <t>204:154</t>
  </si>
  <si>
    <t>rtdc.l.rtdc.4008:itc</t>
  </si>
  <si>
    <t>DAVIS</t>
  </si>
  <si>
    <t>M - F = 49 trips</t>
  </si>
  <si>
    <t>Sat - Sun = 35 Trips</t>
  </si>
  <si>
    <t>rtdc.l.rtdc.4001:itc</t>
  </si>
  <si>
    <t>rtdc.l.rtdc.4002:itc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</si>
  <si>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</si>
  <si>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</si>
  <si>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</si>
  <si>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</si>
  <si>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</si>
  <si>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</si>
  <si>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</si>
  <si>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</si>
  <si>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</si>
  <si>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</si>
  <si>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</si>
  <si>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</si>
  <si>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</si>
  <si>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</si>
  <si>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</si>
  <si>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</si>
  <si>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rtdc.l.rtdc.4062:itc</t>
  </si>
  <si>
    <t>rtdc.l.rtdc.4061:itc</t>
  </si>
  <si>
    <t>204:158</t>
  </si>
  <si>
    <t>204:152</t>
  </si>
  <si>
    <t>204:460</t>
  </si>
  <si>
    <t>204:449</t>
  </si>
  <si>
    <t>204:457</t>
  </si>
  <si>
    <t>SIGNAL</t>
  </si>
  <si>
    <t>Signal based authority (5)</t>
  </si>
  <si>
    <t>rtdc.l.rtdc.4004:itc</t>
  </si>
  <si>
    <t>204:464</t>
  </si>
  <si>
    <t>rtdc.l.rtdc.4030:itc</t>
  </si>
  <si>
    <t>Y</t>
  </si>
  <si>
    <t>204:145</t>
  </si>
  <si>
    <t>204:161</t>
  </si>
  <si>
    <t>204:160</t>
  </si>
  <si>
    <t>204:163</t>
  </si>
  <si>
    <t>204:138</t>
  </si>
  <si>
    <t>204:442</t>
  </si>
  <si>
    <t>clear-day</t>
  </si>
  <si>
    <t>Clear</t>
  </si>
  <si>
    <t>clear-night</t>
  </si>
  <si>
    <t>rtdc.l.rtdc.4012:itc</t>
  </si>
  <si>
    <t>SWITCH UNKNOWN</t>
  </si>
  <si>
    <t>Track device (7)</t>
  </si>
  <si>
    <t>rtdc.l.rtdc.4015:itc</t>
  </si>
  <si>
    <t>rtdc.l.rtdc.4011:itc</t>
  </si>
  <si>
    <t>rtdc.l.rtdc.4029:itc</t>
  </si>
  <si>
    <t>MOSES</t>
  </si>
  <si>
    <t>BRADLEY</t>
  </si>
  <si>
    <t>204:444</t>
  </si>
  <si>
    <t>204:471</t>
  </si>
  <si>
    <t>204:466</t>
  </si>
  <si>
    <t>204:233293</t>
  </si>
  <si>
    <t>Early Arrival</t>
  </si>
  <si>
    <t>BRANDON</t>
  </si>
  <si>
    <t>204:232994</t>
  </si>
  <si>
    <t>rtdc.l.rtdc.4016:itc</t>
  </si>
  <si>
    <t>204:233000</t>
  </si>
  <si>
    <t>204:232986</t>
  </si>
  <si>
    <t>204:233308</t>
  </si>
  <si>
    <t>204:233302</t>
  </si>
  <si>
    <t>DUNCAN</t>
  </si>
  <si>
    <t>SHEILA</t>
  </si>
  <si>
    <t>204:233291</t>
  </si>
  <si>
    <t>204:427</t>
  </si>
  <si>
    <t>204:475</t>
  </si>
  <si>
    <t>204:156</t>
  </si>
  <si>
    <t>204:469</t>
  </si>
  <si>
    <t>204:232998</t>
  </si>
  <si>
    <t>204:233332</t>
  </si>
  <si>
    <t>204:233295</t>
  </si>
  <si>
    <t>204:172</t>
  </si>
  <si>
    <t>204:232989</t>
  </si>
  <si>
    <t>rtdc.l.rtdc.4060:itc</t>
  </si>
  <si>
    <t>204:424</t>
  </si>
  <si>
    <t>204:467</t>
  </si>
  <si>
    <t>204:233023</t>
  </si>
  <si>
    <t>204:431</t>
  </si>
  <si>
    <t>204:435</t>
  </si>
  <si>
    <t>204:233321</t>
  </si>
  <si>
    <t>204:233282</t>
  </si>
  <si>
    <t>204:132</t>
  </si>
  <si>
    <t>204:437</t>
  </si>
  <si>
    <t>300:23310</t>
  </si>
  <si>
    <t>300:58623</t>
  </si>
  <si>
    <t>rtdc.l.rtdc.4063:itc</t>
  </si>
  <si>
    <t>WENDY</t>
  </si>
  <si>
    <t>HUFFSMITH</t>
  </si>
  <si>
    <t>MONTY</t>
  </si>
  <si>
    <t>RESPASS</t>
  </si>
  <si>
    <t>AARON</t>
  </si>
  <si>
    <t>204:232987</t>
  </si>
  <si>
    <t>204:233004</t>
  </si>
  <si>
    <t>204:233351</t>
  </si>
  <si>
    <t>204:232983</t>
  </si>
  <si>
    <t>204:440</t>
  </si>
  <si>
    <t>204:233092</t>
  </si>
  <si>
    <t>204:130</t>
  </si>
  <si>
    <t>204:233036</t>
  </si>
  <si>
    <t>204:233317</t>
  </si>
  <si>
    <t>204:233314</t>
  </si>
  <si>
    <t>300:23304</t>
  </si>
  <si>
    <t>300:23308</t>
  </si>
  <si>
    <t>204:684</t>
  </si>
  <si>
    <t>204:680</t>
  </si>
  <si>
    <t>204:972</t>
  </si>
  <si>
    <t>rtdc.l.rtdc.4059:itc</t>
  </si>
  <si>
    <t>rtdc.l.rtdc.4027:itc</t>
  </si>
  <si>
    <t>rtdc.l.rtdc.4028:itc</t>
  </si>
  <si>
    <t>ROBINSON</t>
  </si>
  <si>
    <t>KADDIBA</t>
  </si>
  <si>
    <t>rtdc.l.rtdc.4006:itc</t>
  </si>
  <si>
    <t>HOLCOMB</t>
  </si>
  <si>
    <t>KAMDEN</t>
  </si>
  <si>
    <t>PERKINS</t>
  </si>
  <si>
    <t>DARREN</t>
  </si>
  <si>
    <t>204:233311</t>
  </si>
  <si>
    <t>204:233025</t>
  </si>
  <si>
    <t>204:426</t>
  </si>
  <si>
    <t>204:233094</t>
  </si>
  <si>
    <t>204:232988</t>
  </si>
  <si>
    <t>204:233002</t>
  </si>
  <si>
    <t>204:233319</t>
  </si>
  <si>
    <t>204:232993</t>
  </si>
  <si>
    <t>204:233312</t>
  </si>
  <si>
    <t>204:233284</t>
  </si>
  <si>
    <t>204:233300</t>
  </si>
  <si>
    <t>204:233402</t>
  </si>
  <si>
    <t>204:233005</t>
  </si>
  <si>
    <t>204:233305</t>
  </si>
  <si>
    <t>204:233334</t>
  </si>
  <si>
    <t>204:233060</t>
  </si>
  <si>
    <t>204:233030</t>
  </si>
  <si>
    <t>204:134</t>
  </si>
  <si>
    <t>204:484</t>
  </si>
  <si>
    <t>204:232982</t>
  </si>
  <si>
    <t>204:233288</t>
  </si>
  <si>
    <t>204:167</t>
  </si>
  <si>
    <t>204:233380</t>
  </si>
  <si>
    <t>204:233349</t>
  </si>
  <si>
    <t>204:233093</t>
  </si>
  <si>
    <t>204:233055</t>
  </si>
  <si>
    <t>204:233309</t>
  </si>
  <si>
    <t>204:118</t>
  </si>
  <si>
    <t>204:233326</t>
  </si>
  <si>
    <t>204:121</t>
  </si>
  <si>
    <t>204:233414</t>
  </si>
  <si>
    <t>204:232985</t>
  </si>
  <si>
    <t>300:23301</t>
  </si>
  <si>
    <t>204:478</t>
  </si>
  <si>
    <t>300:23312</t>
  </si>
  <si>
    <t>300:59005</t>
  </si>
  <si>
    <t>204:965</t>
  </si>
  <si>
    <t>300:58692</t>
  </si>
  <si>
    <t>204:985</t>
  </si>
  <si>
    <t>204:986</t>
  </si>
  <si>
    <t>204:673</t>
  </si>
  <si>
    <t>300:58929</t>
  </si>
  <si>
    <t>300:58611</t>
  </si>
  <si>
    <t>204:678</t>
  </si>
  <si>
    <t>204:1048</t>
  </si>
  <si>
    <t>rtdc.l.rtdc.4054:itc</t>
  </si>
  <si>
    <t>103-20</t>
  </si>
  <si>
    <t>1901-20</t>
  </si>
  <si>
    <t>SWITCH ALIGNMENT</t>
  </si>
  <si>
    <t>1802-20</t>
  </si>
  <si>
    <t>118-20</t>
  </si>
  <si>
    <t>125-20</t>
  </si>
  <si>
    <t>142-20</t>
  </si>
  <si>
    <t>1809-20</t>
  </si>
  <si>
    <t>1812-20</t>
  </si>
  <si>
    <t>rtdc.l.rtdc.4053:itc</t>
  </si>
  <si>
    <t>158-20</t>
  </si>
  <si>
    <t>163-20</t>
  </si>
  <si>
    <t>1813-20</t>
  </si>
  <si>
    <t>rtdc.l.rtdc.4057:itc</t>
  </si>
  <si>
    <t>162-20</t>
  </si>
  <si>
    <t>164-20</t>
  </si>
  <si>
    <t>179-20</t>
  </si>
  <si>
    <t>170-20</t>
  </si>
  <si>
    <t>1817-20</t>
  </si>
  <si>
    <t>1818-20</t>
  </si>
  <si>
    <t>1819-20</t>
  </si>
  <si>
    <t>186-20</t>
  </si>
  <si>
    <t>197-20</t>
  </si>
  <si>
    <t>192-20</t>
  </si>
  <si>
    <t>199-20</t>
  </si>
  <si>
    <t>1822-20</t>
  </si>
  <si>
    <t>206-20</t>
  </si>
  <si>
    <t>1824-20</t>
  </si>
  <si>
    <t>rtdc.l.rtdc.4065:itc</t>
  </si>
  <si>
    <t>74-20</t>
  </si>
  <si>
    <t>204-20</t>
  </si>
  <si>
    <t>1825-20</t>
  </si>
  <si>
    <t>208-20</t>
  </si>
  <si>
    <t>rtdc.l.rtdc.4058:itc</t>
  </si>
  <si>
    <t>217-20</t>
  </si>
  <si>
    <t>1828-20</t>
  </si>
  <si>
    <t>225-20</t>
  </si>
  <si>
    <t>1831-20</t>
  </si>
  <si>
    <t>1832-20</t>
  </si>
  <si>
    <t>1833-20</t>
  </si>
  <si>
    <t>rtdc.l.rtdc.4005:itc</t>
  </si>
  <si>
    <t>230-20</t>
  </si>
  <si>
    <t>1902-20</t>
  </si>
  <si>
    <t>241-20</t>
  </si>
  <si>
    <t>245-19</t>
  </si>
  <si>
    <t>242-19</t>
  </si>
  <si>
    <t>307-19</t>
  </si>
  <si>
    <t>YANG</t>
  </si>
  <si>
    <t>JAN</t>
  </si>
  <si>
    <t>244-19</t>
  </si>
  <si>
    <t>309-19</t>
  </si>
  <si>
    <t>246-19</t>
  </si>
  <si>
    <t>311-19</t>
  </si>
  <si>
    <t>313-19</t>
  </si>
  <si>
    <t>51-20</t>
  </si>
  <si>
    <t>CHANDLER</t>
  </si>
  <si>
    <t>KELVIN</t>
  </si>
  <si>
    <t>302-20</t>
  </si>
  <si>
    <t>304-20</t>
  </si>
  <si>
    <t>52-20</t>
  </si>
  <si>
    <t>306-20</t>
  </si>
  <si>
    <t>LALONDE</t>
  </si>
  <si>
    <t>GREGORY</t>
  </si>
  <si>
    <t>102-20</t>
  </si>
  <si>
    <t>MAELZER</t>
  </si>
  <si>
    <t>KURT</t>
  </si>
  <si>
    <t>105-20</t>
  </si>
  <si>
    <t>308-20</t>
  </si>
  <si>
    <t>107-20</t>
  </si>
  <si>
    <t>NEWELL</t>
  </si>
  <si>
    <t>109-20</t>
  </si>
  <si>
    <t>104-20</t>
  </si>
  <si>
    <t>310-20</t>
  </si>
  <si>
    <t>111-20</t>
  </si>
  <si>
    <t>113-20</t>
  </si>
  <si>
    <t>108-20</t>
  </si>
  <si>
    <t>106-20</t>
  </si>
  <si>
    <t>312-20</t>
  </si>
  <si>
    <t>MACDONALD</t>
  </si>
  <si>
    <t>115-20</t>
  </si>
  <si>
    <t>110-20</t>
  </si>
  <si>
    <t>1800-20</t>
  </si>
  <si>
    <t>117-20</t>
  </si>
  <si>
    <t>112-20</t>
  </si>
  <si>
    <t>114-20</t>
  </si>
  <si>
    <t>119-20</t>
  </si>
  <si>
    <t>1801-20</t>
  </si>
  <si>
    <t>121-20</t>
  </si>
  <si>
    <t>116-20</t>
  </si>
  <si>
    <t>123-20</t>
  </si>
  <si>
    <t>122-20</t>
  </si>
  <si>
    <t>120-20</t>
  </si>
  <si>
    <t>127-20</t>
  </si>
  <si>
    <t>1803-20</t>
  </si>
  <si>
    <t>129-20</t>
  </si>
  <si>
    <t>124-20</t>
  </si>
  <si>
    <t>131-20</t>
  </si>
  <si>
    <t>126-20</t>
  </si>
  <si>
    <t>1804-20</t>
  </si>
  <si>
    <t>133-20</t>
  </si>
  <si>
    <t>128-20</t>
  </si>
  <si>
    <t>135-20</t>
  </si>
  <si>
    <t>1805-20</t>
  </si>
  <si>
    <t>137-20</t>
  </si>
  <si>
    <t>130-20</t>
  </si>
  <si>
    <t>132-20</t>
  </si>
  <si>
    <t>139-20</t>
  </si>
  <si>
    <t>1806-20</t>
  </si>
  <si>
    <t>134-20</t>
  </si>
  <si>
    <t>136-20</t>
  </si>
  <si>
    <t>141-20</t>
  </si>
  <si>
    <t>143-20</t>
  </si>
  <si>
    <t>1807-20</t>
  </si>
  <si>
    <t>138-20</t>
  </si>
  <si>
    <t>140-20</t>
  </si>
  <si>
    <t>145-20</t>
  </si>
  <si>
    <t>147-20</t>
  </si>
  <si>
    <t>149-20</t>
  </si>
  <si>
    <t>1808-20</t>
  </si>
  <si>
    <t>ALONZO</t>
  </si>
  <si>
    <t>MATTHEW</t>
  </si>
  <si>
    <t>144-20</t>
  </si>
  <si>
    <t>151-20</t>
  </si>
  <si>
    <t>153-20</t>
  </si>
  <si>
    <t>SULLIVAN</t>
  </si>
  <si>
    <t>146-20</t>
  </si>
  <si>
    <t>148-20</t>
  </si>
  <si>
    <t>150-20</t>
  </si>
  <si>
    <t>155-20</t>
  </si>
  <si>
    <t>1810-20</t>
  </si>
  <si>
    <t>157-20</t>
  </si>
  <si>
    <t>ROMERO</t>
  </si>
  <si>
    <t>CHAD</t>
  </si>
  <si>
    <t>152-20</t>
  </si>
  <si>
    <t>159-20</t>
  </si>
  <si>
    <t>1811-20</t>
  </si>
  <si>
    <t>154-20</t>
  </si>
  <si>
    <t>156-20</t>
  </si>
  <si>
    <t>161-20</t>
  </si>
  <si>
    <t>THOMPSON</t>
  </si>
  <si>
    <t>LESTER</t>
  </si>
  <si>
    <t>165-20</t>
  </si>
  <si>
    <t>BRUDER</t>
  </si>
  <si>
    <t>RICHARD</t>
  </si>
  <si>
    <t>167-20</t>
  </si>
  <si>
    <t>160-20</t>
  </si>
  <si>
    <t>169-20</t>
  </si>
  <si>
    <t>BADERTSCHER</t>
  </si>
  <si>
    <t>DIANE</t>
  </si>
  <si>
    <t>171-20</t>
  </si>
  <si>
    <t>1814-20</t>
  </si>
  <si>
    <t>166-20</t>
  </si>
  <si>
    <t>173-20</t>
  </si>
  <si>
    <t>MCREYNOLDS</t>
  </si>
  <si>
    <t>KYLE</t>
  </si>
  <si>
    <t>168-20</t>
  </si>
  <si>
    <t>175-20</t>
  </si>
  <si>
    <t>1815-20</t>
  </si>
  <si>
    <t>172-20</t>
  </si>
  <si>
    <t>177-20</t>
  </si>
  <si>
    <t>174-20</t>
  </si>
  <si>
    <t>1816-20</t>
  </si>
  <si>
    <t>181-20</t>
  </si>
  <si>
    <t>176-20</t>
  </si>
  <si>
    <t>183-20</t>
  </si>
  <si>
    <t>185-20</t>
  </si>
  <si>
    <t>178-20</t>
  </si>
  <si>
    <t>180-20</t>
  </si>
  <si>
    <t>187-20</t>
  </si>
  <si>
    <t>182-20</t>
  </si>
  <si>
    <t>184-20</t>
  </si>
  <si>
    <t>189-20</t>
  </si>
  <si>
    <t>191-20</t>
  </si>
  <si>
    <t>188-20</t>
  </si>
  <si>
    <t>193-20</t>
  </si>
  <si>
    <t>195-20</t>
  </si>
  <si>
    <t>1820-20</t>
  </si>
  <si>
    <t>190-20</t>
  </si>
  <si>
    <t>75-20</t>
  </si>
  <si>
    <t>LOPES</t>
  </si>
  <si>
    <t>KIMBERLY</t>
  </si>
  <si>
    <t>194-20</t>
  </si>
  <si>
    <t>201-20</t>
  </si>
  <si>
    <t>1821-20</t>
  </si>
  <si>
    <t>196-20</t>
  </si>
  <si>
    <t>203-20</t>
  </si>
  <si>
    <t>198-20</t>
  </si>
  <si>
    <t>200-20</t>
  </si>
  <si>
    <t>205-20</t>
  </si>
  <si>
    <t>207-20</t>
  </si>
  <si>
    <t>202-20</t>
  </si>
  <si>
    <t>1823-20</t>
  </si>
  <si>
    <t>209-20</t>
  </si>
  <si>
    <t>211-20</t>
  </si>
  <si>
    <t>213-20</t>
  </si>
  <si>
    <t>215-20</t>
  </si>
  <si>
    <t>210-20</t>
  </si>
  <si>
    <t>212-20</t>
  </si>
  <si>
    <t>214-20</t>
  </si>
  <si>
    <t>219-20</t>
  </si>
  <si>
    <t>rtdc.l.rtdc.4024:itc</t>
  </si>
  <si>
    <t>77-20</t>
  </si>
  <si>
    <t>1826-20</t>
  </si>
  <si>
    <t>301-20</t>
  </si>
  <si>
    <t>216-20</t>
  </si>
  <si>
    <t>221-20</t>
  </si>
  <si>
    <t>218-20</t>
  </si>
  <si>
    <t>303-20</t>
  </si>
  <si>
    <t>1827-20</t>
  </si>
  <si>
    <t>rtdc.l.rtdc.4066:itc</t>
  </si>
  <si>
    <t>73-20</t>
  </si>
  <si>
    <t>220-20</t>
  </si>
  <si>
    <t>223-20</t>
  </si>
  <si>
    <t>305-20</t>
  </si>
  <si>
    <t>222-20</t>
  </si>
  <si>
    <t>1829-20</t>
  </si>
  <si>
    <t>224-20</t>
  </si>
  <si>
    <t>227-20</t>
  </si>
  <si>
    <t>1830-20</t>
  </si>
  <si>
    <t>226-20</t>
  </si>
  <si>
    <t>229-20</t>
  </si>
  <si>
    <t>231-20</t>
  </si>
  <si>
    <t>228-20</t>
  </si>
  <si>
    <t>233-20</t>
  </si>
  <si>
    <t>235-20</t>
  </si>
  <si>
    <t>232-20</t>
  </si>
  <si>
    <t>237-20</t>
  </si>
  <si>
    <t>234-20</t>
  </si>
  <si>
    <t>236-20</t>
  </si>
  <si>
    <t>239-20</t>
  </si>
  <si>
    <t>238-20</t>
  </si>
  <si>
    <t>240-20</t>
  </si>
  <si>
    <t>243-20</t>
  </si>
  <si>
    <t>307-20</t>
  </si>
  <si>
    <t>242-20</t>
  </si>
  <si>
    <t>309-20</t>
  </si>
  <si>
    <t>244-20</t>
  </si>
  <si>
    <t>311-20</t>
  </si>
  <si>
    <t>313-20</t>
  </si>
  <si>
    <t>300-21</t>
  </si>
  <si>
    <t>204:37171</t>
  </si>
  <si>
    <t>204:233249</t>
  </si>
  <si>
    <t>204:20768</t>
  </si>
  <si>
    <t>204:232934</t>
  </si>
  <si>
    <t>204:233327</t>
  </si>
  <si>
    <t>204:233013</t>
  </si>
  <si>
    <t>204:233021</t>
  </si>
  <si>
    <t>204:233315</t>
  </si>
  <si>
    <t>204:233276</t>
  </si>
  <si>
    <t>204:232950</t>
  </si>
  <si>
    <t>204:214</t>
  </si>
  <si>
    <t>204:233017</t>
  </si>
  <si>
    <t>204:438</t>
  </si>
  <si>
    <t>204:233345</t>
  </si>
  <si>
    <t>204:1865</t>
  </si>
  <si>
    <t>204:233323</t>
  </si>
  <si>
    <t>204:233011</t>
  </si>
  <si>
    <t>204:233328</t>
  </si>
  <si>
    <t>204:232984</t>
  </si>
  <si>
    <t>204:529</t>
  </si>
  <si>
    <t>204:232972</t>
  </si>
  <si>
    <t>204:233320</t>
  </si>
  <si>
    <t>204:129</t>
  </si>
  <si>
    <t>204:233026</t>
  </si>
  <si>
    <t>204:232961</t>
  </si>
  <si>
    <t>204:233325</t>
  </si>
  <si>
    <t>204:233355</t>
  </si>
  <si>
    <t>204:233028</t>
  </si>
  <si>
    <t>204:233088</t>
  </si>
  <si>
    <t>204:232981</t>
  </si>
  <si>
    <t>204:233307</t>
  </si>
  <si>
    <t>204:233049</t>
  </si>
  <si>
    <t>204:232973</t>
  </si>
  <si>
    <t>204:233062</t>
  </si>
  <si>
    <t>204:233364</t>
  </si>
  <si>
    <t>204:233034</t>
  </si>
  <si>
    <t>204:233106</t>
  </si>
  <si>
    <t>204:233344</t>
  </si>
  <si>
    <t>204:233357</t>
  </si>
  <si>
    <t>204:64702</t>
  </si>
  <si>
    <t>204:64690</t>
  </si>
  <si>
    <t>204:86586</t>
  </si>
  <si>
    <t>300:58704</t>
  </si>
  <si>
    <t>204:946</t>
  </si>
  <si>
    <t>300:58952</t>
  </si>
  <si>
    <t>300:58267</t>
  </si>
  <si>
    <t>204:645</t>
  </si>
  <si>
    <t>204:950</t>
  </si>
  <si>
    <t>300:58948</t>
  </si>
  <si>
    <t>300:58630</t>
  </si>
  <si>
    <t>204:659</t>
  </si>
  <si>
    <t>204:953</t>
  </si>
  <si>
    <t>300:58975</t>
  </si>
  <si>
    <t>300:58664</t>
  </si>
  <si>
    <t>204:671</t>
  </si>
  <si>
    <t>204:960</t>
  </si>
  <si>
    <t>300:58937</t>
  </si>
  <si>
    <t>204:958</t>
  </si>
  <si>
    <t>300:58931</t>
  </si>
  <si>
    <t>204:233359</t>
  </si>
  <si>
    <t>300:58619</t>
  </si>
  <si>
    <t>204:670</t>
  </si>
  <si>
    <t>300:15769</t>
  </si>
  <si>
    <t>204:698</t>
  </si>
  <si>
    <t>300:58967</t>
  </si>
  <si>
    <t>300:58649</t>
  </si>
  <si>
    <t>300:58995</t>
  </si>
  <si>
    <t>300:58685</t>
  </si>
  <si>
    <t>204:754</t>
  </si>
  <si>
    <t>300:58749</t>
  </si>
  <si>
    <t>300:58673</t>
  </si>
  <si>
    <t>204:677</t>
  </si>
  <si>
    <t>204:964</t>
  </si>
  <si>
    <t>300:58997</t>
  </si>
  <si>
    <t>300:58672</t>
  </si>
  <si>
    <t>204:706</t>
  </si>
  <si>
    <t>204:1000</t>
  </si>
  <si>
    <t>300:58677</t>
  </si>
  <si>
    <t>300:58990</t>
  </si>
  <si>
    <t>204:682</t>
  </si>
  <si>
    <t>300:58993</t>
  </si>
  <si>
    <t>204:967</t>
  </si>
  <si>
    <t>300:58988</t>
  </si>
  <si>
    <t>204:233368</t>
  </si>
  <si>
    <t>300:58679</t>
  </si>
  <si>
    <t>300:58999</t>
  </si>
  <si>
    <t>300:58683</t>
  </si>
  <si>
    <t>204:995</t>
  </si>
  <si>
    <t>204:233038</t>
  </si>
  <si>
    <t>204:233430</t>
  </si>
  <si>
    <t>204:233040</t>
  </si>
  <si>
    <t>300:29166</t>
  </si>
  <si>
    <t>300:33040</t>
  </si>
  <si>
    <t>300:58681</t>
  </si>
  <si>
    <t>300:28782</t>
  </si>
  <si>
    <t>204:233336</t>
  </si>
  <si>
    <t>204:233032</t>
  </si>
  <si>
    <t>204:233366</t>
  </si>
  <si>
    <t>204:233070</t>
  </si>
  <si>
    <t>204:233289</t>
  </si>
  <si>
    <t>204:233372</t>
  </si>
  <si>
    <t>204:233421</t>
  </si>
  <si>
    <t>204:174</t>
  </si>
  <si>
    <t>204:233347</t>
  </si>
  <si>
    <t>204:72</t>
  </si>
  <si>
    <t>204:233340</t>
  </si>
  <si>
    <t>204:233027</t>
  </si>
  <si>
    <t>204:232990</t>
  </si>
  <si>
    <t>204:495</t>
  </si>
  <si>
    <t>204:233387</t>
  </si>
  <si>
    <t>204:233071</t>
  </si>
  <si>
    <t>204:233346</t>
  </si>
  <si>
    <t>204:116</t>
  </si>
  <si>
    <t>204:232967</t>
  </si>
  <si>
    <t>204:233406</t>
  </si>
  <si>
    <t>204:125</t>
  </si>
  <si>
    <t>204:233242</t>
  </si>
  <si>
    <t>204:109</t>
  </si>
  <si>
    <t>204:110</t>
  </si>
  <si>
    <t>204:233422</t>
  </si>
  <si>
    <t>204:380</t>
  </si>
  <si>
    <t>300:22119</t>
  </si>
  <si>
    <t>204:374</t>
  </si>
  <si>
    <t>300:24220</t>
  </si>
  <si>
    <t>300:23669</t>
  </si>
  <si>
    <t>300:24193</t>
  </si>
  <si>
    <t>300:22671</t>
  </si>
  <si>
    <t>300:26474</t>
  </si>
  <si>
    <t>300:22216</t>
  </si>
  <si>
    <t>300:23567</t>
  </si>
  <si>
    <t>204:508</t>
  </si>
  <si>
    <t>300:25764</t>
  </si>
  <si>
    <t>204:1490</t>
  </si>
  <si>
    <t>204:3503</t>
  </si>
  <si>
    <t>300:23055</t>
  </si>
  <si>
    <t>204:370</t>
  </si>
  <si>
    <t>300:24208</t>
  </si>
  <si>
    <t>204:1186</t>
  </si>
  <si>
    <t>204:1179</t>
  </si>
  <si>
    <t>300:4955</t>
  </si>
  <si>
    <t>204:1810</t>
  </si>
  <si>
    <t>204:1170</t>
  </si>
  <si>
    <t>300:5293</t>
  </si>
  <si>
    <t>300:23025</t>
  </si>
  <si>
    <t>204:869</t>
  </si>
  <si>
    <t>204:1496</t>
  </si>
  <si>
    <t>start /low /b %USERPROFILE%\Documents\GitHub\eaglep3\Utilities\DownloadLogsFromS3.py --loco 4054 --day 2017-08-20</t>
  </si>
  <si>
    <t>start /low /b %USERPROFILE%\Documents\GitHub\eaglep3\Utilities\DownloadLogsFromS3.py --loco 4014 --day 2017-08-20</t>
  </si>
  <si>
    <t>start /low /b %USERPROFILE%\Documents\GitHub\eaglep3\Utilities\DownloadLogsFromS3.py --loco 4011 --day 2017-08-20</t>
  </si>
  <si>
    <t>start /low /b %USERPROFILE%\Documents\GitHub\eaglep3\Utilities\DownloadLogsFromS3.py --loco 4027 --day 2017-08-20</t>
  </si>
  <si>
    <t>start /low /b %USERPROFILE%\Documents\GitHub\eaglep3\Utilities\DownloadLogsFromS3.py --loco 4015 --day 2017-08-20</t>
  </si>
  <si>
    <t>start /low /b %USERPROFILE%\Documents\GitHub\eaglep3\Utilities\DownloadLogsFromS3.py --loco 4053 --day 2017-08-20</t>
  </si>
  <si>
    <t>start /low /b %USERPROFILE%\Documents\GitHub\eaglep3\Utilities\DownloadLogsFromS3.py --loco 4016 --day 2017-08-20</t>
  </si>
  <si>
    <t>start /low /b %USERPROFILE%\Documents\GitHub\eaglep3\Utilities\DownloadLogsFromS3.py --loco 4017 --day 2017-08-20</t>
  </si>
  <si>
    <t>start /low /b %USERPROFILE%\Documents\GitHub\eaglep3\Utilities\DownloadLogsFromS3.py --loco 4057 --day 2017-08-20</t>
  </si>
  <si>
    <t>start /low /b %USERPROFILE%\Documents\GitHub\eaglep3\Utilities\DownloadLogsFromS3.py --loco 4057 --day 2017-08-21</t>
  </si>
  <si>
    <t>start /low /b %USERPROFILE%\Documents\GitHub\eaglep3\Utilities\DownloadLogsFromS3.py --loco 4013 --day 2017-08-21</t>
  </si>
  <si>
    <t>start /low /b %USERPROFILE%\Documents\GitHub\eaglep3\Utilities\DownloadLogsFromS3.py --loco 4005 --day 2017-08-21</t>
  </si>
  <si>
    <t>start /low /b %USERPROFILE%\Documents\GitHub\eaglep3\Utilities\DownloadLogsFromS3.py --loco 4006 --day 2017-08-20</t>
  </si>
  <si>
    <t>start /low /b %USERPROFILE%\Documents\GitHub\eaglep3\Utilities\DownloadLogsFromS3.py --loco 4018 --day 2017-08-20</t>
  </si>
  <si>
    <t>start /low /b %USERPROFILE%\Documents\GitHub\eaglep3\Utilities\DownloadLogsFromS3.py --loco 4058 --day 2017-08-21</t>
  </si>
  <si>
    <t>start /low /b %USERPROFILE%\Documents\GitHub\eaglep3\Utilities\DownloadLogsFromS3.py --loco 4028 --day 2017-08-20</t>
  </si>
  <si>
    <t>start /low /b %USERPROFILE%\Documents\GitHub\eaglep3\Utilities\DownloadLogsFromS3.py --loco 4027 --day 2017-08-21</t>
  </si>
  <si>
    <t>start /low /b %USERPROFILE%\Documents\GitHub\eaglep3\Utilities\DownloadLogsFromS3.py --loco 4028 --day 2017-08-21</t>
  </si>
  <si>
    <t>101-20</t>
  </si>
  <si>
    <t>Extended Onboard Wi-MAX outage</t>
  </si>
  <si>
    <t>Wi-MAX data drop</t>
  </si>
  <si>
    <t>Onboard in-route failure</t>
  </si>
  <si>
    <t>Delayed by onboard in-route failure</t>
  </si>
  <si>
    <t>Went active past Westminster 2S</t>
  </si>
  <si>
    <t>Went active too close to signal</t>
  </si>
  <si>
    <t>Several Wi-MAX data drops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</si>
</sst>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5"/>
  <sheetViews>
    <sheetView tabSelected="1" topLeftCell="A88" workbookViewId="0">
      <selection activeCell="R92" sqref="R9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42967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42967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COUNTIFS($N$13:$N$9308,"&gt;0",$AG$13:$AG$9308,I1)</f>
        <v>140</v>
      </c>
      <c r="K5" s="39"/>
      <c r="L5" s="39"/>
      <c r="M5" s="40">
        <f>AVERAGEIFS($N$13:$N$9308,$AG$13:$AG$9308,I1)</f>
        <v>37.758928571137531</v>
      </c>
      <c r="N5" s="38">
        <f t="array" ref="N5">MIN(IF($AG$13:$AG$9308=I1,IF(ISNUMBER($N$13:$N$9308),IF($N$13:$N$9308&gt;0,$N$13:$N$9308))))</f>
        <v>34.166666659293696</v>
      </c>
      <c r="O5" s="3">
        <f t="array" ref="O5">MAX(IF($AG$13:$AG$9308=I1,IF(ISNUMBER($N$13:$N$9308),IF($N$13:$N$9308&gt;0,$N$13:$N$9308))))</f>
        <v>46.750000000465661</v>
      </c>
      <c r="P5" s="2"/>
      <c r="R5" s="166" t="s">
        <v>17</v>
      </c>
      <c r="S5" s="186">
        <f>COUNTIFS($N$13:$N$9308,"&gt;0",$AG$13:$AG$9308,R1)</f>
        <v>33</v>
      </c>
      <c r="T5" s="187"/>
      <c r="U5" s="187"/>
      <c r="V5" s="183">
        <f>AVERAGEIFS($N$13:$N$9308,$AG$13:$AG$9308,R1)</f>
        <v>15.102525252997028</v>
      </c>
      <c r="W5" s="184">
        <f t="array" ref="W5">MIN(IF($AG$13:$AG$9308=R1,IF(ISNUMBER($N$13:$N$9308),IF($N$13:$N$9308&gt;0,$N$13:$N$9308))))</f>
        <v>13.06666667223908</v>
      </c>
      <c r="X5" s="185">
        <f t="array" ref="X5">MAX(IF($AG$13:$AG$9308=R1,IF(ISNUMBER($N$13:$N$9308),IF($N$13:$N$9308&gt;0,$N$13:$N$9308))))</f>
        <v>20.400000001536682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COUNT($O$13:$O$127)</f>
        <v>0</v>
      </c>
      <c r="K6" s="39"/>
      <c r="L6" s="39"/>
      <c r="M6" s="40">
        <f>IFERROR(AVERAGE($O$13:$O$127),0)</f>
        <v>0</v>
      </c>
      <c r="N6" s="38">
        <f>MIN($O$13:$O$127)</f>
        <v>0</v>
      </c>
      <c r="O6" s="3">
        <f>MAX($O$13:$O$127)</f>
        <v>0</v>
      </c>
      <c r="P6" s="2"/>
      <c r="R6" s="167" t="s">
        <v>43</v>
      </c>
      <c r="S6" s="186">
        <f>COUNT($O$13:$O$127)</f>
        <v>0</v>
      </c>
      <c r="T6" s="187"/>
      <c r="U6" s="187"/>
      <c r="V6" s="183">
        <f>IFERROR(AVERAGE($O$13:$O$127),0)</f>
        <v>0</v>
      </c>
      <c r="W6" s="184">
        <f>MIN($O$13:$O$127)</f>
        <v>0</v>
      </c>
      <c r="X6" s="185">
        <f>MAX($O$13:$O$127)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COUNTIFS($P$13:$P$9308,"&gt;0",$AG$13:$AG$9308,I1)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COUNTIFS($P$13:$P$9308,"&gt;0",$AG$13:$AG$9308,R1)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37.758928571137531</v>
      </c>
      <c r="N8" s="38">
        <f>N5</f>
        <v>34.166666659293696</v>
      </c>
      <c r="O8" s="3">
        <f>O5</f>
        <v>46.750000000465661</v>
      </c>
      <c r="P8" s="2"/>
      <c r="R8" s="166" t="s">
        <v>16</v>
      </c>
      <c r="S8" s="186">
        <f>S5</f>
        <v>33</v>
      </c>
      <c r="T8" s="187"/>
      <c r="U8" s="187"/>
      <c r="V8" s="183">
        <f>V5</f>
        <v>15.102525252997028</v>
      </c>
      <c r="W8" s="184">
        <f>W5</f>
        <v>13.06666667223908</v>
      </c>
      <c r="X8" s="185">
        <f>X5</f>
        <v>20.400000001536682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0.97058823529411764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- 2017-08-20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AVERAGE(S13:S102)</f>
        <v>0.98390151515151514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336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931</v>
      </c>
      <c r="B13" s="7">
        <v>4006</v>
      </c>
      <c r="C13" s="21" t="s">
        <v>198</v>
      </c>
      <c r="D13" s="21" t="s">
        <v>496</v>
      </c>
      <c r="E13" s="13">
        <v>42967.170335648145</v>
      </c>
      <c r="F13" s="13">
        <v>42967.133333333331</v>
      </c>
      <c r="G13" s="7">
        <v>2</v>
      </c>
      <c r="H13" s="21" t="s">
        <v>340</v>
      </c>
      <c r="I13" s="13">
        <v>42967.134027777778</v>
      </c>
      <c r="J13" s="7">
        <v>0</v>
      </c>
      <c r="K13" s="89" t="str">
        <f t="shared" ref="K13:K77" si="0">IF(ISEVEN(B13),(B13-1)&amp;"/"&amp;B13,B13&amp;"/"&amp;(B13+1))</f>
        <v>4005/4006</v>
      </c>
      <c r="L13" s="21" t="e">
        <f>VLOOKUP(A13,'Trips&amp;Operators'!$C$1:$G$99911,5,FALSE)</f>
        <v>#N/A</v>
      </c>
      <c r="M13" s="6">
        <f t="shared" ref="M13:M77" si="1">I13-F13</f>
        <v>6.944444467080757E-4</v>
      </c>
      <c r="N13" s="7"/>
      <c r="O13" s="7"/>
      <c r="P13" s="7">
        <f t="shared" ref="N13:P77" si="2">24*60*SUM($M13:$M13)</f>
        <v>1.000000003259629</v>
      </c>
      <c r="Q13" s="22"/>
      <c r="R13" s="170" t="s">
        <v>932</v>
      </c>
      <c r="S13" s="213">
        <f t="shared" ref="S13:S77" si="3">1/IF(AG13="EC",12,1)*SUM(U13:U13)</f>
        <v>0</v>
      </c>
      <c r="T13" s="195" t="str">
        <f t="shared" ref="T13:T77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96" t="str">
        <f t="shared" ref="V13:V77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-20T03:05:17-0600',mode:absolute,to:'2017-08-20T04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7" t="str">
        <f>IF(AA13&lt;VLOOKUP(AG13,Variables!$AC$3:$AD$8,2,FALSE),"Y","N")</f>
        <v>N</v>
      </c>
      <c r="X13" s="197" t="e">
        <f t="shared" ref="X13:X77" si="6">VALUE(LEFT(AD13,4))-VALUE(LEFT(AD12,4))</f>
        <v>#VALUE!</v>
      </c>
      <c r="Y13" s="197">
        <f t="shared" ref="Y13:Y77" si="7">RIGHT(D13,LEN(D13)-4)/10000</f>
        <v>23.306000000000001</v>
      </c>
      <c r="Z13" s="197">
        <f t="shared" ref="Z13:Z77" si="8">RIGHT(H13,LEN(H13)-4)/10000</f>
        <v>1.4999999999999999E-2</v>
      </c>
      <c r="AA13" s="197">
        <f t="shared" ref="AA13:AA77" si="9">ABS(Z13-Y13)</f>
        <v>23.291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 t="shared" ref="AD13:AD77" si="10">VALUE(LEFT(A13,LEN(A13)-3))</f>
        <v>101</v>
      </c>
      <c r="AE13" s="77" t="str">
        <f t="shared" ref="AE13:AE77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13" s="74" t="str">
        <f t="shared" ref="AF13:AF77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/stypes="app*4006*20170820*" /stext=" 09:.+((SYSTEM_STATE.+slice.+state.+changed )|(ment ac)|(multiple cpu faults)|(system.+state.+changed )|(\[timeout)|(PRM\|1\|D)|(kpr)|(kdp)|(train st.+moving)|(\|lc)|(penalty))"</v>
      </c>
      <c r="AG13" s="209" t="str">
        <f t="shared" ref="AG13:AG77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4006 --swversion DE.1.0.9.0 --startMP 204:233060 --initTime 2017-08-20T04:05:17 --startdatetime 2017-08-20T03:12:00 --delay 2 --endMP 204:150 --enddatetime 2017-08-20T03:13:00 --enforcementcount 0 &gt;&gt;C:\Users\stu\Documents\GitHub\eaglep3-reporting\EC\2017-08-20-refined-times.txt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outage","project_id":79,"tracker_id":40,"status_id":1,"priority_id":2,"assigned_to_id":23,"start_date":"2017-08-20","description":"","custom_fields":[{"id":1,"name":"Subdivision","value":"EC"},{"id":4,"name":"Milepost","value":"0.015"},{"id":17,"name":"Train ID","value":"101-20"},{"id":16,"name":"Locomotive ID","value":"4006"},{"id":130,"name":"Impact","value":""},{"id":150,"name":"Time of Event (Mountain Time)","value":"03:13:00"},{"id":151,"name":"Denver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4006 --day 2017-08-20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09:13:00"},{"id":29,"name":"Sharepoint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590</v>
      </c>
      <c r="B14" s="7">
        <v>4005</v>
      </c>
      <c r="C14" s="21" t="s">
        <v>198</v>
      </c>
      <c r="D14" s="21" t="s">
        <v>496</v>
      </c>
      <c r="E14" s="13">
        <v>42967.170335648145</v>
      </c>
      <c r="F14" s="13">
        <v>42967.175243055557</v>
      </c>
      <c r="G14" s="7">
        <v>2</v>
      </c>
      <c r="H14" s="21" t="s">
        <v>340</v>
      </c>
      <c r="I14" s="13">
        <v>42967.201423611114</v>
      </c>
      <c r="J14" s="7">
        <v>0</v>
      </c>
      <c r="K14" s="89" t="str">
        <f t="shared" ref="K14" si="18">IF(ISEVEN(B14),(B14-1)&amp;"/"&amp;B14,B14&amp;"/"&amp;(B14+1))</f>
        <v>4005/4006</v>
      </c>
      <c r="L14" s="21" t="str">
        <f>VLOOKUP(A14,'Trips&amp;Operators'!$C$1:$G$99911,5,FALSE)</f>
        <v>MAELZER KURT</v>
      </c>
      <c r="M14" s="6">
        <f t="shared" ref="M14" si="19">I14-F14</f>
        <v>2.6180555556493346E-2</v>
      </c>
      <c r="N14" s="7">
        <f t="shared" si="2"/>
        <v>37.700000001350418</v>
      </c>
      <c r="O14" s="7"/>
      <c r="P14" s="7"/>
      <c r="Q14" s="22"/>
      <c r="R14" s="170"/>
      <c r="S14" s="213">
        <f t="shared" ref="S14" si="20">1/IF(AG14="EC",12,1)*SUM(U14:U14)</f>
        <v>1</v>
      </c>
      <c r="T14" s="195" t="str">
        <f t="shared" ref="T14" si="21"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ref="V14" si="22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-08-20T03:05:17-0600',mode:absolute,to:'2017-08-20T05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>IF(AA14&lt;VLOOKUP(AG14,Variables!$AC$3:$AD$8,2,FALSE),"Y","N")</f>
        <v>N</v>
      </c>
      <c r="X14" s="197">
        <f t="shared" ref="X14:X17" si="23">VALUE(LEFT(AD14,4))-VALUE(LEFT(AD13,4))</f>
        <v>1</v>
      </c>
      <c r="Y14" s="197">
        <f t="shared" ref="Y14" si="24">RIGHT(D14,LEN(D14)-4)/10000</f>
        <v>23.306000000000001</v>
      </c>
      <c r="Z14" s="197">
        <f t="shared" ref="Z14" si="25">RIGHT(H14,LEN(H14)-4)/10000</f>
        <v>1.4999999999999999E-2</v>
      </c>
      <c r="AA14" s="197">
        <f t="shared" ref="AA14" si="26">ABS(Z14-Y14)</f>
        <v>23.291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 t="shared" ref="AD14" si="27">VALUE(LEFT(A14,LEN(A14)-3))</f>
        <v>102</v>
      </c>
      <c r="AE14" s="77" t="str">
        <f t="shared" ref="AE14" si="28"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14" s="74" t="str">
        <f t="shared" ref="AF14" si="29"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/stypes="app*4005*20170820*" /stext=" 10:.+((SYSTEM_STATE.+slice.+state.+changed )|(ment ac)|(multiple cpu faults)|(system.+state.+changed )|(\[timeout)|(PRM\|1\|D)|(kpr)|(kdp)|(train st.+moving)|(\|lc)|(penalty))"</v>
      </c>
      <c r="AG14" s="209" t="str">
        <f t="shared" ref="AG14" si="30">DetSubdiv(A14)</f>
        <v>EC</v>
      </c>
      <c r="AH14" s="78" t="str">
        <f t="shared" ref="AH14" si="31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4005 --swversion DE.1.0.9.0 --startMP 204:233060 --initTime 2017-08-20T04:05:17 --startdatetime 2017-08-20T04:12:21 --delay 2 --endMP 204:150 --enddatetime 2017-08-20T04:50:03 --enforcementcount 0 &gt;&gt;C:\Users\stu\Documents\GitHub\eaglep3-reporting\EC\2017-08-20-refined-times.txt</v>
      </c>
      <c r="AI14" s="96" t="str">
        <f t="shared" ref="AI14" si="32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{"issue":{"subject":"","project_id":79,"tracker_id":40,"status_id":1,"priority_id":2,"assigned_to_id":23,"start_date":"2017-08-20","description":"","custom_fields":[{"id":1,"name":"Subdivision","value":"EC"},{"id":4,"name":"Milepost","value":"0.015"},{"id":17,"name":"Train ID","value":"102-20"},{"id":16,"name":"Locomotive ID","value":"4005"},{"id":130,"name":"Impact","value":""},{"id":150,"name":"Time of Event (Mountain Time)","value":"04:50:03"},{"id":151,"name":"Denver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" si="33">"start /low /b "&amp;dls3logs&amp;" --loco "&amp;B14&amp;" --day "&amp;TEXT(F14,"YYYY-MM-DD")</f>
        <v>start /low /b %USERPROFILE%\Documents\GitHub\eaglep3\Utilities\DownloadLogsFromS3.py --loco 4005 --day 2017-08-20</v>
      </c>
      <c r="AN14" s="151" t="str">
        <f t="shared" ref="AN14" si="34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10:50:03"},{"id":29,"name":"Sharepoint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72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527</v>
      </c>
      <c r="B15" s="7">
        <v>4054</v>
      </c>
      <c r="C15" s="21" t="s">
        <v>198</v>
      </c>
      <c r="D15" s="21" t="s">
        <v>767</v>
      </c>
      <c r="E15" s="13">
        <v>42967.16715277778</v>
      </c>
      <c r="F15" s="13">
        <v>42967.168090277781</v>
      </c>
      <c r="G15" s="7">
        <v>1</v>
      </c>
      <c r="H15" s="21" t="s">
        <v>768</v>
      </c>
      <c r="I15" s="13">
        <v>42967.18949074074</v>
      </c>
      <c r="J15" s="7">
        <v>0</v>
      </c>
      <c r="K15" s="89" t="str">
        <f t="shared" si="0"/>
        <v>4053/4054</v>
      </c>
      <c r="L15" s="21" t="str">
        <f>VLOOKUP(A15,'Trips&amp;Operators'!$C$1:$G$99911,5,FALSE)</f>
        <v>WILLIAMS DONTE</v>
      </c>
      <c r="M15" s="6">
        <f t="shared" si="1"/>
        <v>2.1400462959718425E-2</v>
      </c>
      <c r="N15" s="7"/>
      <c r="O15" s="7"/>
      <c r="P15" s="7">
        <f t="shared" si="2"/>
        <v>30.816666661994532</v>
      </c>
      <c r="Q15" s="22"/>
      <c r="R15" s="170" t="s">
        <v>933</v>
      </c>
      <c r="S15" s="213">
        <f t="shared" si="3"/>
        <v>0.75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9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-20T03:00:42-0600',mode:absolute,to:'2017-08-20T05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97" t="str">
        <f>IF(AA15&lt;VLOOKUP(AG15,Variables!$AC$3:$AD$8,2,FALSE),"Y","N")</f>
        <v>Y</v>
      </c>
      <c r="X15" s="197">
        <f t="shared" si="23"/>
        <v>1</v>
      </c>
      <c r="Y15" s="197">
        <f t="shared" si="7"/>
        <v>3.7170999999999998</v>
      </c>
      <c r="Z15" s="197">
        <f t="shared" si="8"/>
        <v>23.3249</v>
      </c>
      <c r="AA15" s="197">
        <f t="shared" si="9"/>
        <v>19.607800000000001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 t="shared" si="10"/>
        <v>103</v>
      </c>
      <c r="AE15" s="77" t="str">
        <f t="shared" si="11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15" s="74" t="str">
        <f t="shared" si="12"/>
        <v>"C:\Program Files (x86)\AstroGrep\AstroGrep.exe" /e /r /s /spath="%USERPROFILE%\AppData\Local\Temp\OnboardLogs" /stypes="app*4054*20170820*"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ref="AH15:AH78" si="35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103-20 --locoid 4054 --swversion DE.1.0.9.0 --startMP 204:37171 --initTime 2017-08-20T04:00:42 --startdatetime 2017-08-20T04:02:03 --delay 1 --endMP 204:233249 --enddatetime 2017-08-20T04:32:52 --enforcementcount 0 &gt;&gt;C:\Users\stu\Documents\GitHub\eaglep3-reporting\EC\2017-08-20-refined-times.txt</v>
      </c>
      <c r="AI15" s="96" t="str">
        <f t="shared" ref="AI15:AI78" si="36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drop","project_id":79,"tracker_id":40,"status_id":1,"priority_id":2,"assigned_to_id":23,"start_date":"2017-08-20","description":"","custom_fields":[{"id":1,"name":"Subdivision","value":"EC"},{"id":4,"name":"Milepost","value":"23.3249"},{"id":17,"name":"Train ID","value":"103-20"},{"id":16,"name":"Locomotive ID","value":"4054"},{"id":130,"name":"Impact","value":""},{"id":150,"name":"Time of Event (Mountain Time)","value":"04:32:52"},{"id":151,"name":"Denver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ref="AM15:AM78" si="37">"start /low /b "&amp;dls3logs&amp;" --loco "&amp;B15&amp;" --day "&amp;TEXT(F15,"YYYY-MM-DD")</f>
        <v>start /low /b %USERPROFILE%\Documents\GitHub\eaglep3\Utilities\DownloadLogsFromS3.py --loco 4054 --day 2017-08-20</v>
      </c>
      <c r="AN15" s="151" t="str">
        <f t="shared" ref="AN15:AN78" si="38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10:32:52"},{"id":29,"name":"Sharepoint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527</v>
      </c>
      <c r="B16" s="7">
        <v>4054</v>
      </c>
      <c r="C16" s="21" t="s">
        <v>198</v>
      </c>
      <c r="D16" s="21" t="s">
        <v>343</v>
      </c>
      <c r="E16" s="13">
        <v>42967.152604166666</v>
      </c>
      <c r="F16" s="13">
        <v>42967.168090277781</v>
      </c>
      <c r="G16" s="7">
        <v>1</v>
      </c>
      <c r="H16" s="21" t="s">
        <v>769</v>
      </c>
      <c r="I16" s="13">
        <v>42967.18949074074</v>
      </c>
      <c r="J16" s="7">
        <v>0</v>
      </c>
      <c r="K16" s="89" t="str">
        <f t="shared" si="0"/>
        <v>4053/4054</v>
      </c>
      <c r="L16" s="21" t="str">
        <f>VLOOKUP(A16,'Trips&amp;Operators'!$C$1:$G$99911,5,FALSE)</f>
        <v>WILLIAMS DONTE</v>
      </c>
      <c r="M16" s="6">
        <f t="shared" si="1"/>
        <v>2.1400462959718425E-2</v>
      </c>
      <c r="N16" s="7"/>
      <c r="O16" s="7"/>
      <c r="P16" s="7"/>
      <c r="Q16" s="22"/>
      <c r="R16" s="170"/>
      <c r="S16" s="213"/>
      <c r="T16" s="195" t="str">
        <f t="shared" si="4"/>
        <v>NorthBound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-20T02:39:45-0600',mode:absolute,to:'2017-08-20T05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" s="197" t="str">
        <f>IF(AA16&lt;VLOOKUP(AG16,Variables!$AC$3:$AD$8,2,FALSE),"Y","N")</f>
        <v>Y</v>
      </c>
      <c r="X16" s="197">
        <f t="shared" si="23"/>
        <v>0</v>
      </c>
      <c r="Y16" s="197">
        <f t="shared" si="7"/>
        <v>4.5100000000000001E-2</v>
      </c>
      <c r="Z16" s="197">
        <f t="shared" si="8"/>
        <v>2.0768</v>
      </c>
      <c r="AA16" s="197">
        <f t="shared" si="9"/>
        <v>2.0316999999999998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 t="shared" si="10"/>
        <v>103</v>
      </c>
      <c r="AE16" s="77" t="str">
        <f t="shared" si="11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16" s="74" t="str">
        <f t="shared" si="12"/>
        <v>"C:\Program Files (x86)\AstroGrep\AstroGrep.exe" /e /r /s /spath="%USERPROFILE%\AppData\Local\Temp\OnboardLogs" /stypes="app*4054*20170820*" /stext=" 10:.+((SYSTEM_STATE.+slice.+state.+changed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35"/>
        <v>"%USERPROFILE%\Documents\GitHub\eaglep3\Utilities\RefineRTDCRunTimes.py" --tripid 103-20 --locoid 4054 --swversion DE.1.0.9.0 --startMP 204:451 --initTime 2017-08-20T03:39:45 --startdatetime 2017-08-20T04:02:03 --delay 1 --endMP 204:20768 --enddatetime 2017-08-20T04:32:52 --enforcementcount 0 &gt;&gt;C:\Users\stu\Documents\GitHub\eaglep3-reporting\EC\2017-08-20-refined-times.txt</v>
      </c>
      <c r="AI16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{"issue":{"subject":"","project_id":79,"tracker_id":40,"status_id":1,"priority_id":2,"assigned_to_id":23,"start_date":"2017-08-20","description":"","custom_fields":[{"id":1,"name":"Subdivision","value":"EC"},{"id":4,"name":"Milepost","value":"2.0768"},{"id":17,"name":"Train ID","value":"103-20"},{"id":16,"name":"Locomotive ID","value":"4054"},{"id":130,"name":"Impact","value":""},{"id":150,"name":"Time of Event (Mountain Time)","value":"04:32:52"},{"id":151,"name":"Denver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37"/>
        <v>start /low /b %USERPROFILE%\Documents\GitHub\eaglep3\Utilities\DownloadLogsFromS3.py --loco 4054 --day 2017-08-20</v>
      </c>
      <c r="AN16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10:32:52"},{"id":29,"name":"Sharepoint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598</v>
      </c>
      <c r="B17" s="7">
        <v>4053</v>
      </c>
      <c r="C17" s="21" t="s">
        <v>198</v>
      </c>
      <c r="D17" s="21" t="s">
        <v>770</v>
      </c>
      <c r="E17" s="13">
        <v>42967.193518518521</v>
      </c>
      <c r="F17" s="13">
        <v>42967.196018518516</v>
      </c>
      <c r="G17" s="7">
        <v>1</v>
      </c>
      <c r="H17" s="21" t="s">
        <v>400</v>
      </c>
      <c r="I17" s="13">
        <v>42967.22378472222</v>
      </c>
      <c r="J17" s="7">
        <v>0</v>
      </c>
      <c r="K17" s="89" t="str">
        <f t="shared" si="0"/>
        <v>4053/4054</v>
      </c>
      <c r="L17" s="21" t="str">
        <f>VLOOKUP(A17,'Trips&amp;Operators'!$C$1:$G$99911,5,FALSE)</f>
        <v>WILLIAMS DONTE</v>
      </c>
      <c r="M17" s="6">
        <f t="shared" si="1"/>
        <v>2.7766203704231884E-2</v>
      </c>
      <c r="N17" s="7">
        <f t="shared" si="2"/>
        <v>39.983333334093913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Southbound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-20T03:38:40-0600',mode:absolute,to:'2017-08-20T06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" s="197" t="str">
        <f>IF(AA17&lt;VLOOKUP(AG17,Variables!$AC$3:$AD$8,2,FALSE),"Y","N")</f>
        <v>N</v>
      </c>
      <c r="X17" s="197">
        <f t="shared" si="23"/>
        <v>1</v>
      </c>
      <c r="Y17" s="197">
        <f t="shared" si="7"/>
        <v>23.293399999999998</v>
      </c>
      <c r="Z17" s="197">
        <f t="shared" si="8"/>
        <v>1.6299999999999999E-2</v>
      </c>
      <c r="AA17" s="197">
        <f t="shared" si="9"/>
        <v>23.277099999999997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 t="shared" si="10"/>
        <v>104</v>
      </c>
      <c r="AE17" s="77" t="str">
        <f t="shared" si="11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17" s="74" t="str">
        <f t="shared" si="12"/>
        <v>"C:\Program Files (x86)\AstroGrep\AstroGrep.exe" /e /r /s /spath="%USERPROFILE%\AppData\Local\Temp\OnboardLogs" /stypes="app*4053*20170820*" /stext=" 11:.+((SYSTEM_STATE.+slice.+state.+changed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35"/>
        <v>"%USERPROFILE%\Documents\GitHub\eaglep3\Utilities\RefineRTDCRunTimes.py" --tripid 104-20 --locoid 4053 --swversion DE.1.0.9.0 --startMP 204:232934 --initTime 2017-08-20T04:38:40 --startdatetime 2017-08-20T04:42:16 --delay 1 --endMP 204:163 --enddatetime 2017-08-20T05:22:15 --enforcementcount 0 &gt;&gt;C:\Users\stu\Documents\GitHub\eaglep3-reporting\EC\2017-08-20-refined-times.txt</v>
      </c>
      <c r="AI17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{"issue":{"subject":"","project_id":79,"tracker_id":40,"status_id":1,"priority_id":2,"assigned_to_id":23,"start_date":"2017-08-20","description":"","custom_fields":[{"id":1,"name":"Subdivision","value":"EC"},{"id":4,"name":"Milepost","value":"0.0163"},{"id":17,"name":"Train ID","value":"104-20"},{"id":16,"name":"Locomotive ID","value":"4053"},{"id":130,"name":"Impact","value":""},{"id":150,"name":"Time of Event (Mountain Time)","value":"05:22:15"},{"id":151,"name":"Denver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37"/>
        <v>start /low /b %USERPROFILE%\Documents\GitHub\eaglep3\Utilities\DownloadLogsFromS3.py --loco 4053 --day 2017-08-20</v>
      </c>
      <c r="AN17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593</v>
      </c>
      <c r="B18" s="7">
        <v>4058</v>
      </c>
      <c r="C18" s="21" t="s">
        <v>198</v>
      </c>
      <c r="D18" s="21" t="s">
        <v>514</v>
      </c>
      <c r="E18" s="13">
        <v>42967.170798611114</v>
      </c>
      <c r="F18" s="13">
        <v>42967.177615740744</v>
      </c>
      <c r="G18" s="7">
        <v>1</v>
      </c>
      <c r="H18" s="21" t="s">
        <v>495</v>
      </c>
      <c r="I18" s="13">
        <v>42967.2033912037</v>
      </c>
      <c r="J18" s="7">
        <v>0</v>
      </c>
      <c r="K18" s="89" t="str">
        <f t="shared" si="0"/>
        <v>4057/4058</v>
      </c>
      <c r="L18" s="21" t="str">
        <f>VLOOKUP(A18,'Trips&amp;Operators'!$C$1:$G$99911,5,FALSE)</f>
        <v>DAVIS WENDY</v>
      </c>
      <c r="M18" s="6">
        <f t="shared" si="1"/>
        <v>2.5775462956517003E-2</v>
      </c>
      <c r="N18" s="7">
        <f t="shared" si="2"/>
        <v>37.116666657384485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NorthBound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-20T03:05:57-0600',mode:absolute,to:'2017-08-20T05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4.7800000000000002E-2</v>
      </c>
      <c r="Z18" s="197">
        <f t="shared" si="8"/>
        <v>23.333400000000001</v>
      </c>
      <c r="AA18" s="197">
        <f t="shared" si="9"/>
        <v>23.285600000000002</v>
      </c>
      <c r="AB18" s="54" t="e">
        <f>VLOOKUP(A18,Enforcements!$C$7:$K$11,8,0)</f>
        <v>#N/A</v>
      </c>
      <c r="AC18" s="51" t="e">
        <f>VLOOKUP(A18,Enforcements!$C$7:$E$11,3,0)</f>
        <v>#N/A</v>
      </c>
      <c r="AD18" s="206">
        <f t="shared" si="10"/>
        <v>105</v>
      </c>
      <c r="AE18" s="77" t="str">
        <f t="shared" si="11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18" s="74" t="str">
        <f t="shared" si="12"/>
        <v>"C:\Program Files (x86)\AstroGrep\AstroGrep.exe" /e /r /s /spath="%USERPROFILE%\AppData\Local\Temp\OnboardLogs" /stypes="app*4058*20170820*" /stext=" 10:.+((SYSTEM_STATE.+slice.+state.+changed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35"/>
        <v>"%USERPROFILE%\Documents\GitHub\eaglep3\Utilities\RefineRTDCRunTimes.py" --tripid 105-20 --locoid 4058 --swversion DE.1.0.9.0 --startMP 204:478 --initTime 2017-08-20T04:05:57 --startdatetime 2017-08-20T04:15:46 --delay 1 --endMP 204:233334 --enddatetime 2017-08-20T04:52:53 --enforcementcount 0 &gt;&gt;C:\Users\stu\Documents\GitHub\eaglep3-reporting\EC\2017-08-20-refined-times.txt</v>
      </c>
      <c r="AI18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{"issue":{"subject":"","project_id":79,"tracker_id":40,"status_id":1,"priority_id":2,"assigned_to_id":23,"start_date":"2017-08-20","description":"","custom_fields":[{"id":1,"name":"Subdivision","value":"EC"},{"id":4,"name":"Milepost","value":"23.3334"},{"id":17,"name":"Train ID","value":"105-20"},{"id":16,"name":"Locomotive ID","value":"4058"},{"id":130,"name":"Impact","value":""},{"id":150,"name":"Time of Event (Mountain Time)","value":"04:52:53"},{"id":151,"name":"Denver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37"/>
        <v>start /low /b %USERPROFILE%\Documents\GitHub\eaglep3\Utilities\DownloadLogsFromS3.py --loco 4058 --day 2017-08-20</v>
      </c>
      <c r="AN18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10:52:53"},{"id":29,"name":"Sharepoint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603</v>
      </c>
      <c r="B19" s="7">
        <v>4057</v>
      </c>
      <c r="C19" s="21" t="s">
        <v>198</v>
      </c>
      <c r="D19" s="21" t="s">
        <v>433</v>
      </c>
      <c r="E19" s="13">
        <v>42967.21434027778</v>
      </c>
      <c r="F19" s="13">
        <v>42967.216840277775</v>
      </c>
      <c r="G19" s="7">
        <v>1</v>
      </c>
      <c r="H19" s="21" t="s">
        <v>431</v>
      </c>
      <c r="I19" s="13">
        <v>42967.244768518518</v>
      </c>
      <c r="J19" s="7">
        <v>0</v>
      </c>
      <c r="K19" s="89" t="str">
        <f t="shared" si="0"/>
        <v>4057/4058</v>
      </c>
      <c r="L19" s="21" t="str">
        <f>VLOOKUP(A19,'Trips&amp;Operators'!$C$1:$G$99911,5,FALSE)</f>
        <v>DAVIS WENDY</v>
      </c>
      <c r="M19" s="6">
        <f t="shared" si="1"/>
        <v>2.792824074276723E-2</v>
      </c>
      <c r="N19" s="7">
        <f t="shared" si="2"/>
        <v>40.216666669584811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-20T04:08:39-0600',mode:absolute,to:'2017-08-20T06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23.299800000000001</v>
      </c>
      <c r="Z19" s="197">
        <f t="shared" si="8"/>
        <v>1.5599999999999999E-2</v>
      </c>
      <c r="AA19" s="197">
        <f t="shared" si="9"/>
        <v>23.284200000000002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 t="shared" si="10"/>
        <v>106</v>
      </c>
      <c r="AE19" s="77" t="str">
        <f t="shared" si="11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19" s="74" t="str">
        <f t="shared" si="12"/>
        <v>"C:\Program Files (x86)\AstroGrep\AstroGrep.exe" /e /r /s /spath="%USERPROFILE%\AppData\Local\Temp\OnboardLogs" /stypes="app*4057*20170820*"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35"/>
        <v>"%USERPROFILE%\Documents\GitHub\eaglep3\Utilities\RefineRTDCRunTimes.py" --tripid 106-20 --locoid 4057 --swversion DE.1.0.9.0 --startMP 204:232998 --initTime 2017-08-20T05:08:39 --startdatetime 2017-08-20T05:12:15 --delay 1 --endMP 204:156 --enddatetime 2017-08-20T05:52:28 --enforcementcount 0 &gt;&gt;C:\Users\stu\Documents\GitHub\eaglep3-reporting\EC\2017-08-20-refined-times.txt</v>
      </c>
      <c r="AI19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{"issue":{"subject":"","project_id":79,"tracker_id":40,"status_id":1,"priority_id":2,"assigned_to_id":23,"start_date":"2017-08-20","description":"","custom_fields":[{"id":1,"name":"Subdivision","value":"EC"},{"id":4,"name":"Milepost","value":"0.0156"},{"id":17,"name":"Train ID","value":"106-20"},{"id":16,"name":"Locomotive ID","value":"4057"},{"id":130,"name":"Impact","value":""},{"id":150,"name":"Time of Event (Mountain Time)","value":"05:52:28"},{"id":151,"name":"Denver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37"/>
        <v>start /low /b %USERPROFILE%\Documents\GitHub\eaglep3\Utilities\DownloadLogsFromS3.py --loco 4057 --day 2017-08-20</v>
      </c>
      <c r="AN19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595</v>
      </c>
      <c r="B20" s="7">
        <v>4018</v>
      </c>
      <c r="C20" s="21" t="s">
        <v>198</v>
      </c>
      <c r="D20" s="21" t="s">
        <v>414</v>
      </c>
      <c r="E20" s="13">
        <v>42967.179675925923</v>
      </c>
      <c r="F20" s="13">
        <v>42967.187986111108</v>
      </c>
      <c r="G20" s="7">
        <v>1</v>
      </c>
      <c r="H20" s="21" t="s">
        <v>771</v>
      </c>
      <c r="I20" s="13">
        <v>42967.212118055555</v>
      </c>
      <c r="J20" s="7">
        <v>0</v>
      </c>
      <c r="K20" s="89" t="str">
        <f t="shared" si="0"/>
        <v>4017/4018</v>
      </c>
      <c r="L20" s="21" t="str">
        <f>VLOOKUP(A20,'Trips&amp;Operators'!$C$1:$G$99911,5,FALSE)</f>
        <v>NEWELL JAMES</v>
      </c>
      <c r="M20" s="6">
        <f t="shared" si="1"/>
        <v>2.4131944446708076E-2</v>
      </c>
      <c r="N20" s="7">
        <f t="shared" si="2"/>
        <v>34.750000003259629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-20T03:18:44-0600',mode:absolute,to:'2017-08-20T06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4.4400000000000002E-2</v>
      </c>
      <c r="Z20" s="197">
        <f t="shared" si="8"/>
        <v>23.332699999999999</v>
      </c>
      <c r="AA20" s="197">
        <f t="shared" si="9"/>
        <v>23.2883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 t="shared" si="10"/>
        <v>107</v>
      </c>
      <c r="AE20" s="77" t="str">
        <f t="shared" si="11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20" s="74" t="str">
        <f t="shared" si="12"/>
        <v>"C:\Program Files (x86)\AstroGrep\AstroGrep.exe" /e /r /s /spath="%USERPROFILE%\AppData\Local\Temp\OnboardLogs" /stypes="app*4018*20170820*" /stext=" 11:.+((SYSTEM_STATE.+slice.+state.+changed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35"/>
        <v>"%USERPROFILE%\Documents\GitHub\eaglep3\Utilities\RefineRTDCRunTimes.py" --tripid 107-20 --locoid 4018 --swversion DE.1.0.9.0 --startMP 204:444 --initTime 2017-08-20T04:18:44 --startdatetime 2017-08-20T04:30:42 --delay 1 --endMP 204:233327 --enddatetime 2017-08-20T05:05:27 --enforcementcount 0 &gt;&gt;C:\Users\stu\Documents\GitHub\eaglep3-reporting\EC\2017-08-20-refined-times.txt</v>
      </c>
      <c r="AI20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{"issue":{"subject":"","project_id":79,"tracker_id":40,"status_id":1,"priority_id":2,"assigned_to_id":23,"start_date":"2017-08-20","description":"","custom_fields":[{"id":1,"name":"Subdivision","value":"EC"},{"id":4,"name":"Milepost","value":"23.3327"},{"id":17,"name":"Train ID","value":"107-20"},{"id":16,"name":"Locomotive ID","value":"4018"},{"id":130,"name":"Impact","value":""},{"id":150,"name":"Time of Event (Mountain Time)","value":"05:05:27"},{"id":151,"name":"Denver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37"/>
        <v>start /low /b %USERPROFILE%\Documents\GitHub\eaglep3\Utilities\DownloadLogsFromS3.py --loco 4018 --day 2017-08-20</v>
      </c>
      <c r="AN20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602</v>
      </c>
      <c r="B21" s="7">
        <v>4017</v>
      </c>
      <c r="C21" s="21" t="s">
        <v>198</v>
      </c>
      <c r="D21" s="21" t="s">
        <v>368</v>
      </c>
      <c r="E21" s="13">
        <v>42967.213854166665</v>
      </c>
      <c r="F21" s="13">
        <v>42967.227222222224</v>
      </c>
      <c r="G21" s="7">
        <v>1</v>
      </c>
      <c r="H21" s="21" t="s">
        <v>341</v>
      </c>
      <c r="I21" s="13">
        <v>42967.252685185187</v>
      </c>
      <c r="J21" s="7">
        <v>0</v>
      </c>
      <c r="K21" s="89" t="str">
        <f t="shared" si="0"/>
        <v>4017/4018</v>
      </c>
      <c r="L21" s="21" t="str">
        <f>VLOOKUP(A21,'Trips&amp;Operators'!$C$1:$G$99911,5,FALSE)</f>
        <v>NEWELL JAMES</v>
      </c>
      <c r="M21" s="6">
        <f t="shared" si="1"/>
        <v>2.5462962963501923E-2</v>
      </c>
      <c r="N21" s="7">
        <f t="shared" si="2"/>
        <v>36.666666667442769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-20T04:07:57-0600',mode:absolute,to:'2017-08-20T07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23.299600000000002</v>
      </c>
      <c r="Z21" s="197">
        <f t="shared" si="8"/>
        <v>1.49E-2</v>
      </c>
      <c r="AA21" s="197">
        <f t="shared" si="9"/>
        <v>23.284700000000001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 t="shared" si="10"/>
        <v>108</v>
      </c>
      <c r="AE21" s="77" t="str">
        <f t="shared" si="11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21" s="74" t="str">
        <f t="shared" si="12"/>
        <v>"C:\Program Files (x86)\AstroGrep\AstroGrep.exe" /e /r /s /spath="%USERPROFILE%\AppData\Local\Temp\OnboardLogs" /stypes="app*4017*20170820*" /stext=" 12:.+((SYSTEM_STATE.+slice.+state.+changed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35"/>
        <v>"%USERPROFILE%\Documents\GitHub\eaglep3\Utilities\RefineRTDCRunTimes.py" --tripid 108-20 --locoid 4017 --swversion DE.1.0.9.0 --startMP 204:232996 --initTime 2017-08-20T05:07:57 --startdatetime 2017-08-20T05:27:12 --delay 1 --endMP 204:149 --enddatetime 2017-08-20T06:03:52 --enforcementcount 0 &gt;&gt;C:\Users\stu\Documents\GitHub\eaglep3-reporting\EC\2017-08-20-refined-times.txt</v>
      </c>
      <c r="AI21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{"issue":{"subject":"","project_id":79,"tracker_id":40,"status_id":1,"priority_id":2,"assigned_to_id":23,"start_date":"2017-08-20","description":"","custom_fields":[{"id":1,"name":"Subdivision","value":"EC"},{"id":4,"name":"Milepost","value":"0.0149"},{"id":17,"name":"Train ID","value":"108-20"},{"id":16,"name":"Locomotive ID","value":"4017"},{"id":130,"name":"Impact","value":""},{"id":150,"name":"Time of Event (Mountain Time)","value":"06:03:52"},{"id":151,"name":"Denver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37"/>
        <v>start /low /b %USERPROFILE%\Documents\GitHub\eaglep3\Utilities\DownloadLogsFromS3.py --loco 4017 --day 2017-08-20</v>
      </c>
      <c r="AN21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597</v>
      </c>
      <c r="B22" s="7">
        <v>4014</v>
      </c>
      <c r="C22" s="21" t="s">
        <v>198</v>
      </c>
      <c r="D22" s="21" t="s">
        <v>432</v>
      </c>
      <c r="E22" s="13">
        <v>42967.192557870374</v>
      </c>
      <c r="F22" s="13">
        <v>42967.198460648149</v>
      </c>
      <c r="G22" s="7">
        <v>1</v>
      </c>
      <c r="H22" s="21" t="s">
        <v>494</v>
      </c>
      <c r="I22" s="13">
        <v>42967.223402777781</v>
      </c>
      <c r="J22" s="7">
        <v>0</v>
      </c>
      <c r="K22" s="89" t="str">
        <f t="shared" si="0"/>
        <v>4013/4014</v>
      </c>
      <c r="L22" s="21" t="str">
        <f>VLOOKUP(A22,'Trips&amp;Operators'!$C$1:$G$99911,5,FALSE)</f>
        <v>MOSES BRADLEY</v>
      </c>
      <c r="M22" s="6">
        <f t="shared" si="1"/>
        <v>2.4942129632108845E-2</v>
      </c>
      <c r="N22" s="7">
        <f t="shared" si="2"/>
        <v>35.916666670236737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-20T03:37:17-0600',mode:absolute,to:'2017-08-20T06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4.6899999999999997E-2</v>
      </c>
      <c r="Z22" s="197">
        <f t="shared" si="8"/>
        <v>23.330500000000001</v>
      </c>
      <c r="AA22" s="197">
        <f t="shared" si="9"/>
        <v>23.2836</v>
      </c>
      <c r="AB22" s="54" t="e">
        <f>VLOOKUP(A22,Enforcements!$C$7:$K$11,8,0)</f>
        <v>#N/A</v>
      </c>
      <c r="AC22" s="51" t="e">
        <f>VLOOKUP(A22,Enforcements!$C$7:$E$11,3,0)</f>
        <v>#N/A</v>
      </c>
      <c r="AD22" s="206">
        <f t="shared" si="10"/>
        <v>109</v>
      </c>
      <c r="AE22" s="77" t="str">
        <f t="shared" si="11"/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22" s="74" t="str">
        <f t="shared" si="12"/>
        <v>"C:\Program Files (x86)\AstroGrep\AstroGrep.exe" /e /r /s /spath="%USERPROFILE%\AppData\Local\Temp\OnboardLogs" /stypes="app*4014*20170820*" /stext=" 11:.+((SYSTEM_STATE.+slice.+state.+changed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35"/>
        <v>"%USERPROFILE%\Documents\GitHub\eaglep3\Utilities\RefineRTDCRunTimes.py" --tripid 109-20 --locoid 4014 --swversion DE.1.0.9.0 --startMP 204:469 --initTime 2017-08-20T04:37:17 --startdatetime 2017-08-20T04:45:47 --delay 1 --endMP 204:233305 --enddatetime 2017-08-20T05:21:42 --enforcementcount 0 &gt;&gt;C:\Users\stu\Documents\GitHub\eaglep3-reporting\EC\2017-08-20-refined-times.txt</v>
      </c>
      <c r="AI22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{"issue":{"subject":"","project_id":79,"tracker_id":40,"status_id":1,"priority_id":2,"assigned_to_id":23,"start_date":"2017-08-20","description":"","custom_fields":[{"id":1,"name":"Subdivision","value":"EC"},{"id":4,"name":"Milepost","value":"23.3305"},{"id":17,"name":"Train ID","value":"109-20"},{"id":16,"name":"Locomotive ID","value":"4014"},{"id":130,"name":"Impact","value":""},{"id":150,"name":"Time of Event (Mountain Time)","value":"05:21:42"},{"id":151,"name":"Denver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37"/>
        <v>start /low /b %USERPROFILE%\Documents\GitHub\eaglep3\Utilities\DownloadLogsFromS3.py --loco 4014 --day 2017-08-20</v>
      </c>
      <c r="AN22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607</v>
      </c>
      <c r="B23" s="7">
        <v>4013</v>
      </c>
      <c r="C23" s="21" t="s">
        <v>198</v>
      </c>
      <c r="D23" s="21" t="s">
        <v>500</v>
      </c>
      <c r="E23" s="13">
        <v>42967.234282407408</v>
      </c>
      <c r="F23" s="13">
        <v>42967.23773148148</v>
      </c>
      <c r="G23" s="7">
        <v>1</v>
      </c>
      <c r="H23" s="21" t="s">
        <v>348</v>
      </c>
      <c r="I23" s="13">
        <v>42967.26390046296</v>
      </c>
      <c r="J23" s="7">
        <v>0</v>
      </c>
      <c r="K23" s="89" t="str">
        <f t="shared" si="0"/>
        <v>4013/4014</v>
      </c>
      <c r="L23" s="21" t="str">
        <f>VLOOKUP(A23,'Trips&amp;Operators'!$C$1:$G$99911,5,FALSE)</f>
        <v>MOSES BRADLEY</v>
      </c>
      <c r="M23" s="6">
        <f t="shared" si="1"/>
        <v>2.6168981479713693E-2</v>
      </c>
      <c r="N23" s="7">
        <f t="shared" si="2"/>
        <v>37.683333330787718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-20T04:37:22-0600',mode:absolute,to:'2017-08-20T07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23.298200000000001</v>
      </c>
      <c r="Z23" s="197">
        <f t="shared" si="8"/>
        <v>1.47E-2</v>
      </c>
      <c r="AA23" s="197">
        <f t="shared" si="9"/>
        <v>23.2835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 t="shared" si="10"/>
        <v>110</v>
      </c>
      <c r="AE23" s="77" t="str">
        <f t="shared" si="11"/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AF23" s="74" t="str">
        <f t="shared" si="12"/>
        <v>"C:\Program Files (x86)\AstroGrep\AstroGrep.exe" /e /r /s /spath="%USERPROFILE%\AppData\Local\Temp\OnboardLogs" /stypes="app*4013*20170820*" /stext=" 12:.+((SYSTEM_STATE.+slice.+state.+changed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35"/>
        <v>"%USERPROFILE%\Documents\GitHub\eaglep3\Utilities\RefineRTDCRunTimes.py" --tripid 110-20 --locoid 4013 --swversion DE.1.0.9.0 --startMP 204:232982 --initTime 2017-08-20T05:37:22 --startdatetime 2017-08-20T05:42:20 --delay 1 --endMP 204:147 --enddatetime 2017-08-20T06:20:01 --enforcementcount 0 &gt;&gt;C:\Users\stu\Documents\GitHub\eaglep3-reporting\EC\2017-08-20-refined-times.txt</v>
      </c>
      <c r="AI23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{"issue":{"subject":"","project_id":79,"tracker_id":40,"status_id":1,"priority_id":2,"assigned_to_id":23,"start_date":"2017-08-20","description":"","custom_fields":[{"id":1,"name":"Subdivision","value":"EC"},{"id":4,"name":"Milepost","value":"0.0147"},{"id":17,"name":"Train ID","value":"110-20"},{"id":16,"name":"Locomotive ID","value":"4013"},{"id":130,"name":"Impact","value":""},{"id":150,"name":"Time of Event (Mountain Time)","value":"06:20:01"},{"id":151,"name":"Denver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37"/>
        <v>start /low /b %USERPROFILE%\Documents\GitHub\eaglep3\Utilities\DownloadLogsFromS3.py --loco 4013 --day 2017-08-20</v>
      </c>
      <c r="AN23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600</v>
      </c>
      <c r="B24" s="7">
        <v>4006</v>
      </c>
      <c r="C24" s="21" t="s">
        <v>198</v>
      </c>
      <c r="D24" s="21" t="s">
        <v>371</v>
      </c>
      <c r="E24" s="13">
        <v>42967.204965277779</v>
      </c>
      <c r="F24" s="13">
        <v>42967.209050925929</v>
      </c>
      <c r="G24" s="7">
        <v>0</v>
      </c>
      <c r="H24" s="21" t="s">
        <v>444</v>
      </c>
      <c r="I24" s="13">
        <v>42967.235138888886</v>
      </c>
      <c r="J24" s="7">
        <v>0</v>
      </c>
      <c r="K24" s="89" t="str">
        <f t="shared" si="0"/>
        <v>4005/4006</v>
      </c>
      <c r="L24" s="21" t="str">
        <f>VLOOKUP(A24,'Trips&amp;Operators'!$C$1:$G$99911,5,FALSE)</f>
        <v>MAELZER KURT</v>
      </c>
      <c r="M24" s="6">
        <f t="shared" si="1"/>
        <v>2.6087962956808042E-2</v>
      </c>
      <c r="N24" s="7">
        <f t="shared" si="2"/>
        <v>37.56666665780358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-20T03:55:09-0600',mode:absolute,to:'2017-08-20T06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4.5499999999999999E-2</v>
      </c>
      <c r="Z24" s="197">
        <f t="shared" si="8"/>
        <v>23.332100000000001</v>
      </c>
      <c r="AA24" s="197">
        <f t="shared" si="9"/>
        <v>23.2866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 t="shared" si="10"/>
        <v>111</v>
      </c>
      <c r="AE24" s="77" t="str">
        <f t="shared" si="11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24" s="74" t="str">
        <f t="shared" si="12"/>
        <v>"C:\Program Files (x86)\AstroGrep\AstroGrep.exe" /e /r /s /spath="%USERPROFILE%\AppData\Local\Temp\OnboardLogs" /stypes="app*4006*20170820*" /stext=" 11:.+((SYSTEM_STATE.+slice.+state.+changed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35"/>
        <v>"%USERPROFILE%\Documents\GitHub\eaglep3\Utilities\RefineRTDCRunTimes.py" --tripid 111-20 --locoid 4006 --swversion DE.1.0.9.0 --startMP 204:455 --initTime 2017-08-20T04:55:09 --startdatetime 2017-08-20T05:01:02 --delay 0 --endMP 204:233321 --enddatetime 2017-08-20T05:38:36 --enforcementcount 0 &gt;&gt;C:\Users\stu\Documents\GitHub\eaglep3-reporting\EC\2017-08-20-refined-times.txt</v>
      </c>
      <c r="AI24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{"issue":{"subject":"","project_id":79,"tracker_id":40,"status_id":1,"priority_id":2,"assigned_to_id":23,"start_date":"2017-08-20","description":"","custom_fields":[{"id":1,"name":"Subdivision","value":"EC"},{"id":4,"name":"Milepost","value":"23.3321"},{"id":17,"name":"Train ID","value":"111-20"},{"id":16,"name":"Locomotive ID","value":"4006"},{"id":130,"name":"Impact","value":""},{"id":150,"name":"Time of Event (Mountain Time)","value":"05:38:36"},{"id":151,"name":"Denver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37"/>
        <v>start /low /b %USERPROFILE%\Documents\GitHub\eaglep3\Utilities\DownloadLogsFromS3.py --loco 4006 --day 2017-08-20</v>
      </c>
      <c r="AN24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610</v>
      </c>
      <c r="B25" s="7">
        <v>4005</v>
      </c>
      <c r="C25" s="21" t="s">
        <v>198</v>
      </c>
      <c r="D25" s="21" t="s">
        <v>772</v>
      </c>
      <c r="E25" s="13">
        <v>42967.242129629631</v>
      </c>
      <c r="F25" s="13">
        <v>42967.248124999998</v>
      </c>
      <c r="G25" s="7">
        <v>0</v>
      </c>
      <c r="H25" s="21" t="s">
        <v>341</v>
      </c>
      <c r="I25" s="13">
        <v>42967.274699074071</v>
      </c>
      <c r="J25" s="7">
        <v>0</v>
      </c>
      <c r="K25" s="89" t="str">
        <f t="shared" si="0"/>
        <v>4005/4006</v>
      </c>
      <c r="L25" s="21" t="str">
        <f>VLOOKUP(A25,'Trips&amp;Operators'!$C$1:$G$99911,5,FALSE)</f>
        <v>MAELZER KURT</v>
      </c>
      <c r="M25" s="6">
        <f t="shared" si="1"/>
        <v>2.6574074072414078E-2</v>
      </c>
      <c r="N25" s="7">
        <f t="shared" si="2"/>
        <v>38.266666664276272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-20T04:48:40-0600',mode:absolute,to:'2017-08-20T07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23.301300000000001</v>
      </c>
      <c r="Z25" s="197">
        <f t="shared" si="8"/>
        <v>1.49E-2</v>
      </c>
      <c r="AA25" s="197">
        <f t="shared" si="9"/>
        <v>23.2864</v>
      </c>
      <c r="AB25" s="54" t="e">
        <f>VLOOKUP(A25,Enforcements!$C$7:$K$11,8,0)</f>
        <v>#N/A</v>
      </c>
      <c r="AC25" s="51" t="e">
        <f>VLOOKUP(A25,Enforcements!$C$7:$E$11,3,0)</f>
        <v>#N/A</v>
      </c>
      <c r="AD25" s="206">
        <f t="shared" si="10"/>
        <v>112</v>
      </c>
      <c r="AE25" s="77" t="str">
        <f t="shared" si="11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25" s="74" t="str">
        <f t="shared" si="12"/>
        <v>"C:\Program Files (x86)\AstroGrep\AstroGrep.exe" /e /r /s /spath="%USERPROFILE%\AppData\Local\Temp\OnboardLogs" /stypes="app*4005*20170820*" /stext=" 12:.+((SYSTEM_STATE.+slice.+state.+changed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35"/>
        <v>"%USERPROFILE%\Documents\GitHub\eaglep3\Utilities\RefineRTDCRunTimes.py" --tripid 112-20 --locoid 4005 --swversion DE.1.0.9.0 --startMP 204:233013 --initTime 2017-08-20T05:48:40 --startdatetime 2017-08-20T05:57:18 --delay 0 --endMP 204:149 --enddatetime 2017-08-20T06:35:34 --enforcementcount 0 &gt;&gt;C:\Users\stu\Documents\GitHub\eaglep3-reporting\EC\2017-08-20-refined-times.txt</v>
      </c>
      <c r="AI25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{"issue":{"subject":"","project_id":79,"tracker_id":40,"status_id":1,"priority_id":2,"assigned_to_id":23,"start_date":"2017-08-20","description":"","custom_fields":[{"id":1,"name":"Subdivision","value":"EC"},{"id":4,"name":"Milepost","value":"0.0149"},{"id":17,"name":"Train ID","value":"112-20"},{"id":16,"name":"Locomotive ID","value":"4005"},{"id":130,"name":"Impact","value":""},{"id":150,"name":"Time of Event (Mountain Time)","value":"06:35:34"},{"id":151,"name":"Denver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37"/>
        <v>start /low /b %USERPROFILE%\Documents\GitHub\eaglep3\Utilities\DownloadLogsFromS3.py --loco 4005 --day 2017-08-20</v>
      </c>
      <c r="AN25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601</v>
      </c>
      <c r="B26" s="7">
        <v>4016</v>
      </c>
      <c r="C26" s="21" t="s">
        <v>198</v>
      </c>
      <c r="D26" s="21" t="s">
        <v>432</v>
      </c>
      <c r="E26" s="13">
        <v>42967.213356481479</v>
      </c>
      <c r="F26" s="13">
        <v>42967.219282407408</v>
      </c>
      <c r="G26" s="7">
        <v>1</v>
      </c>
      <c r="H26" s="21" t="s">
        <v>504</v>
      </c>
      <c r="I26" s="13">
        <v>42967.24391203704</v>
      </c>
      <c r="J26" s="7">
        <v>0</v>
      </c>
      <c r="K26" s="89" t="str">
        <f t="shared" si="0"/>
        <v>4015/4016</v>
      </c>
      <c r="L26" s="21" t="str">
        <f>VLOOKUP(A26,'Trips&amp;Operators'!$C$1:$G$99911,5,FALSE)</f>
        <v>GUZMAN DANNY</v>
      </c>
      <c r="M26" s="6">
        <f t="shared" si="1"/>
        <v>2.4629629631817807E-2</v>
      </c>
      <c r="N26" s="7">
        <f t="shared" si="2"/>
        <v>35.466666669817641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-20T04:07:14-0600',mode:absolute,to:'2017-08-20T06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4.6899999999999997E-2</v>
      </c>
      <c r="Z26" s="197">
        <f t="shared" si="8"/>
        <v>23.334900000000001</v>
      </c>
      <c r="AA26" s="197">
        <f t="shared" si="9"/>
        <v>23.288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 t="shared" si="10"/>
        <v>113</v>
      </c>
      <c r="AE26" s="77" t="str">
        <f t="shared" si="11"/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AF26" s="74" t="str">
        <f t="shared" si="12"/>
        <v>"C:\Program Files (x86)\AstroGrep\AstroGrep.exe" /e /r /s /spath="%USERPROFILE%\AppData\Local\Temp\OnboardLogs" /stypes="app*4016*20170820*" /stext=" 11:.+((SYSTEM_STATE.+slice.+state.+changed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35"/>
        <v>"%USERPROFILE%\Documents\GitHub\eaglep3\Utilities\RefineRTDCRunTimes.py" --tripid 113-20 --locoid 4016 --swversion DE.1.0.9.0 --startMP 204:469 --initTime 2017-08-20T05:07:14 --startdatetime 2017-08-20T05:15:46 --delay 1 --endMP 204:233349 --enddatetime 2017-08-20T05:51:14 --enforcementcount 0 &gt;&gt;C:\Users\stu\Documents\GitHub\eaglep3-reporting\EC\2017-08-20-refined-times.txt</v>
      </c>
      <c r="AI26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{"issue":{"subject":"","project_id":79,"tracker_id":40,"status_id":1,"priority_id":2,"assigned_to_id":23,"start_date":"2017-08-20","description":"","custom_fields":[{"id":1,"name":"Subdivision","value":"EC"},{"id":4,"name":"Milepost","value":"23.3349"},{"id":17,"name":"Train ID","value":"113-20"},{"id":16,"name":"Locomotive ID","value":"4016"},{"id":130,"name":"Impact","value":""},{"id":150,"name":"Time of Event (Mountain Time)","value":"05:51:14"},{"id":151,"name":"Denver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37"/>
        <v>start /low /b %USERPROFILE%\Documents\GitHub\eaglep3\Utilities\DownloadLogsFromS3.py --loco 4016 --day 2017-08-20</v>
      </c>
      <c r="AN26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611</v>
      </c>
      <c r="B27" s="7">
        <v>4015</v>
      </c>
      <c r="C27" s="21" t="s">
        <v>198</v>
      </c>
      <c r="D27" s="21" t="s">
        <v>773</v>
      </c>
      <c r="E27" s="13">
        <v>42967.245694444442</v>
      </c>
      <c r="F27" s="13">
        <v>42967.25849537037</v>
      </c>
      <c r="G27" s="7">
        <v>0</v>
      </c>
      <c r="H27" s="21" t="s">
        <v>347</v>
      </c>
      <c r="I27" s="13">
        <v>42967.285266203704</v>
      </c>
      <c r="J27" s="7">
        <v>0</v>
      </c>
      <c r="K27" s="89" t="str">
        <f t="shared" si="0"/>
        <v>4015/4016</v>
      </c>
      <c r="L27" s="21" t="str">
        <f>VLOOKUP(A27,'Trips&amp;Operators'!$C$1:$G$99911,5,FALSE)</f>
        <v>GUZMAN DANNY</v>
      </c>
      <c r="M27" s="6">
        <f t="shared" si="1"/>
        <v>2.6770833334012423E-2</v>
      </c>
      <c r="N27" s="7">
        <f t="shared" si="2"/>
        <v>38.550000000977889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-20T04:53:48-0600',mode:absolute,to:'2017-08-20T07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23.302099999999999</v>
      </c>
      <c r="Z27" s="197">
        <f t="shared" si="8"/>
        <v>1.41E-2</v>
      </c>
      <c r="AA27" s="197">
        <f t="shared" si="9"/>
        <v>23.288</v>
      </c>
      <c r="AB27" s="54" t="e">
        <f>VLOOKUP(A27,Enforcements!$C$7:$K$11,8,0)</f>
        <v>#N/A</v>
      </c>
      <c r="AC27" s="51" t="e">
        <f>VLOOKUP(A27,Enforcements!$C$7:$E$11,3,0)</f>
        <v>#N/A</v>
      </c>
      <c r="AD27" s="206">
        <f t="shared" si="10"/>
        <v>114</v>
      </c>
      <c r="AE27" s="77" t="str">
        <f t="shared" si="11"/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AF27" s="74" t="str">
        <f t="shared" si="12"/>
        <v>"C:\Program Files (x86)\AstroGrep\AstroGrep.exe" /e /r /s /spath="%USERPROFILE%\AppData\Local\Temp\OnboardLogs" /stypes="app*4015*20170820*"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35"/>
        <v>"%USERPROFILE%\Documents\GitHub\eaglep3\Utilities\RefineRTDCRunTimes.py" --tripid 114-20 --locoid 4015 --swversion DE.1.0.9.0 --startMP 204:233021 --initTime 2017-08-20T05:53:48 --startdatetime 2017-08-20T06:12:14 --delay 0 --endMP 204:141 --enddatetime 2017-08-20T06:50:47 --enforcementcount 0 &gt;&gt;C:\Users\stu\Documents\GitHub\eaglep3-reporting\EC\2017-08-20-refined-times.txt</v>
      </c>
      <c r="AI27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{"issue":{"subject":"","project_id":79,"tracker_id":40,"status_id":1,"priority_id":2,"assigned_to_id":23,"start_date":"2017-08-20","description":"","custom_fields":[{"id":1,"name":"Subdivision","value":"EC"},{"id":4,"name":"Milepost","value":"0.0141"},{"id":17,"name":"Train ID","value":"114-20"},{"id":16,"name":"Locomotive ID","value":"4015"},{"id":130,"name":"Impact","value":""},{"id":150,"name":"Time of Event (Mountain Time)","value":"06:50:47"},{"id":151,"name":"Denver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37"/>
        <v>start /low /b %USERPROFILE%\Documents\GitHub\eaglep3\Utilities\DownloadLogsFromS3.py --loco 4015 --day 2017-08-20</v>
      </c>
      <c r="AN27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606</v>
      </c>
      <c r="B28" s="7">
        <v>4054</v>
      </c>
      <c r="C28" s="21" t="s">
        <v>198</v>
      </c>
      <c r="D28" s="21" t="s">
        <v>416</v>
      </c>
      <c r="E28" s="13">
        <v>42967.225601851853</v>
      </c>
      <c r="F28" s="13">
        <v>42967.229861111111</v>
      </c>
      <c r="G28" s="7">
        <v>2</v>
      </c>
      <c r="H28" s="21" t="s">
        <v>774</v>
      </c>
      <c r="I28" s="13">
        <v>42967.257488425923</v>
      </c>
      <c r="J28" s="7">
        <v>0</v>
      </c>
      <c r="K28" s="89" t="str">
        <f t="shared" si="0"/>
        <v>4053/4054</v>
      </c>
      <c r="L28" s="21" t="str">
        <f>VLOOKUP(A28,'Trips&amp;Operators'!$C$1:$G$99911,5,FALSE)</f>
        <v>WILLIAMS DONTE</v>
      </c>
      <c r="M28" s="6">
        <f t="shared" si="1"/>
        <v>2.7627314811979886E-2</v>
      </c>
      <c r="N28" s="7">
        <f t="shared" si="2"/>
        <v>39.783333329251036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-20T04:24:52-0600',mode:absolute,to:'2017-08-20T07:10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4.6600000000000003E-2</v>
      </c>
      <c r="Z28" s="197">
        <f t="shared" si="8"/>
        <v>23.331499999999998</v>
      </c>
      <c r="AA28" s="197">
        <f t="shared" si="9"/>
        <v>23.284899999999997</v>
      </c>
      <c r="AB28" s="54" t="e">
        <f>VLOOKUP(A28,Enforcements!$C$7:$K$11,8,0)</f>
        <v>#N/A</v>
      </c>
      <c r="AC28" s="51" t="e">
        <f>VLOOKUP(A28,Enforcements!$C$7:$E$11,3,0)</f>
        <v>#N/A</v>
      </c>
      <c r="AD28" s="206">
        <f t="shared" si="10"/>
        <v>115</v>
      </c>
      <c r="AE28" s="77" t="str">
        <f t="shared" si="11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28" s="74" t="str">
        <f t="shared" si="12"/>
        <v>"C:\Program Files (x86)\AstroGrep\AstroGrep.exe" /e /r /s /spath="%USERPROFILE%\AppData\Local\Temp\OnboardLogs" /stypes="app*4054*20170820*" /stext=" 12:.+((SYSTEM_STATE.+slice.+state.+changed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35"/>
        <v>"%USERPROFILE%\Documents\GitHub\eaglep3\Utilities\RefineRTDCRunTimes.py" --tripid 115-20 --locoid 4054 --swversion DE.1.0.9.0 --startMP 204:466 --initTime 2017-08-20T05:24:52 --startdatetime 2017-08-20T05:31:00 --delay 2 --endMP 204:233315 --enddatetime 2017-08-20T06:10:47 --enforcementcount 0 &gt;&gt;C:\Users\stu\Documents\GitHub\eaglep3-reporting\EC\2017-08-20-refined-times.txt</v>
      </c>
      <c r="AI28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{"issue":{"subject":"","project_id":79,"tracker_id":40,"status_id":1,"priority_id":2,"assigned_to_id":23,"start_date":"2017-08-20","description":"","custom_fields":[{"id":1,"name":"Subdivision","value":"EC"},{"id":4,"name":"Milepost","value":"23.3315"},{"id":17,"name":"Train ID","value":"115-20"},{"id":16,"name":"Locomotive ID","value":"4054"},{"id":130,"name":"Impact","value":""},{"id":150,"name":"Time of Event (Mountain Time)","value":"06:10:47"},{"id":151,"name":"Denver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37"/>
        <v>start /low /b %USERPROFILE%\Documents\GitHub\eaglep3\Utilities\DownloadLogsFromS3.py --loco 4054 --day 2017-08-20</v>
      </c>
      <c r="AN28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12:10:47"},{"id":29,"name":"Sharepoint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615</v>
      </c>
      <c r="B29" s="7">
        <v>4053</v>
      </c>
      <c r="C29" s="21" t="s">
        <v>198</v>
      </c>
      <c r="D29" s="21" t="s">
        <v>420</v>
      </c>
      <c r="E29" s="13">
        <v>42967.266504629632</v>
      </c>
      <c r="F29" s="13">
        <v>42967.269120370373</v>
      </c>
      <c r="G29" s="7">
        <v>1</v>
      </c>
      <c r="H29" s="21" t="s">
        <v>361</v>
      </c>
      <c r="I29" s="13">
        <v>42967.296006944445</v>
      </c>
      <c r="J29" s="7">
        <v>0</v>
      </c>
      <c r="K29" s="89" t="str">
        <f t="shared" si="0"/>
        <v>4053/4054</v>
      </c>
      <c r="L29" s="21" t="str">
        <f>VLOOKUP(A29,'Trips&amp;Operators'!$C$1:$G$99911,5,FALSE)</f>
        <v>WILLIAMS DONTE</v>
      </c>
      <c r="M29" s="6">
        <f t="shared" si="1"/>
        <v>2.6886574072705116E-2</v>
      </c>
      <c r="N29" s="7">
        <f t="shared" si="2"/>
        <v>38.716666664695367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-20T05:23:46-0600',mode:absolute,to:'2017-08-20T08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23.299399999999999</v>
      </c>
      <c r="Z29" s="197">
        <f t="shared" si="8"/>
        <v>1.54E-2</v>
      </c>
      <c r="AA29" s="197">
        <f t="shared" si="9"/>
        <v>23.283999999999999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 t="shared" si="10"/>
        <v>116</v>
      </c>
      <c r="AE29" s="77" t="str">
        <f t="shared" si="11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29" s="74" t="str">
        <f t="shared" si="12"/>
        <v>"C:\Program Files (x86)\AstroGrep\AstroGrep.exe" /e /r /s /spath="%USERPROFILE%\AppData\Local\Temp\OnboardLogs" /stypes="app*4053*20170820*" /stext=" 13:.+((SYSTEM_STATE.+slice.+state.+changed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35"/>
        <v>"%USERPROFILE%\Documents\GitHub\eaglep3\Utilities\RefineRTDCRunTimes.py" --tripid 116-20 --locoid 4053 --swversion DE.1.0.9.0 --startMP 204:232994 --initTime 2017-08-20T06:23:46 --startdatetime 2017-08-20T06:27:32 --delay 1 --endMP 204:154 --enddatetime 2017-08-20T07:06:15 --enforcementcount 0 &gt;&gt;C:\Users\stu\Documents\GitHub\eaglep3-reporting\EC\2017-08-20-refined-times.txt</v>
      </c>
      <c r="AI29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{"issue":{"subject":"","project_id":79,"tracker_id":40,"status_id":1,"priority_id":2,"assigned_to_id":23,"start_date":"2017-08-20","description":"","custom_fields":[{"id":1,"name":"Subdivision","value":"EC"},{"id":4,"name":"Milepost","value":"0.0154"},{"id":17,"name":"Train ID","value":"116-20"},{"id":16,"name":"Locomotive ID","value":"4053"},{"id":130,"name":"Impact","value":""},{"id":150,"name":"Time of Event (Mountain Time)","value":"07:06:15"},{"id":151,"name":"Denver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37"/>
        <v>start /low /b %USERPROFILE%\Documents\GitHub\eaglep3\Utilities\DownloadLogsFromS3.py --loco 4053 --day 2017-08-20</v>
      </c>
      <c r="AN29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609</v>
      </c>
      <c r="B30" s="7">
        <v>4012</v>
      </c>
      <c r="C30" s="21" t="s">
        <v>198</v>
      </c>
      <c r="D30" s="21" t="s">
        <v>388</v>
      </c>
      <c r="E30" s="13">
        <v>42967.235081018516</v>
      </c>
      <c r="F30" s="13">
        <v>42967.240115740744</v>
      </c>
      <c r="G30" s="7">
        <v>1</v>
      </c>
      <c r="H30" s="21" t="s">
        <v>775</v>
      </c>
      <c r="I30" s="13">
        <v>42967.264224537037</v>
      </c>
      <c r="J30" s="7">
        <v>0</v>
      </c>
      <c r="K30" s="89" t="str">
        <f t="shared" si="0"/>
        <v>4011/4012</v>
      </c>
      <c r="L30" s="21" t="str">
        <f>VLOOKUP(A30,'Trips&amp;Operators'!$C$1:$G$99911,5,FALSE)</f>
        <v>MACDONALD THOMAS</v>
      </c>
      <c r="M30" s="6">
        <f t="shared" si="1"/>
        <v>2.4108796293148771E-2</v>
      </c>
      <c r="N30" s="7">
        <f t="shared" si="2"/>
        <v>34.71666666213423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-20T04:38:31-0600',mode:absolute,to:'2017-08-20T07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4.5999999999999999E-2</v>
      </c>
      <c r="Z30" s="197">
        <f t="shared" si="8"/>
        <v>23.3276</v>
      </c>
      <c r="AA30" s="197">
        <f t="shared" si="9"/>
        <v>23.281600000000001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 t="shared" si="10"/>
        <v>117</v>
      </c>
      <c r="AE30" s="77" t="str">
        <f t="shared" si="11"/>
        <v>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 &amp; aws s3 cp s3://rtdc.mdm.uploadarchive.raw/RTDC4012/ "%USERPROFILE%\AppData\Local\Temp\OnboardLogs"\RTDC4012\2017-08-21 --exclude "*" --recursive --include "*20170821*" &amp; "%USERPROFILE%\Documents\GitHub\mrs-test-scripts\Headless Mode &amp; Sideloading\WalkAndUnGZ.bat" "%USERPROFILE%\AppData\Local\Temp\OnboardLogs"\RTDC4012\2017-08-21</v>
      </c>
      <c r="AF30" s="74" t="str">
        <f t="shared" si="12"/>
        <v>"C:\Program Files (x86)\AstroGrep\AstroGrep.exe" /e /r /s /spath="%USERPROFILE%\AppData\Local\Temp\OnboardLogs" /stypes="app*4012*20170820*"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35"/>
        <v>"%USERPROFILE%\Documents\GitHub\eaglep3\Utilities\RefineRTDCRunTimes.py" --tripid 117-20 --locoid 4012 --swversion DE.1.0.9.0 --startMP 204:460 --initTime 2017-08-20T05:38:31 --startdatetime 2017-08-20T05:45:46 --delay 1 --endMP 204:233276 --enddatetime 2017-08-20T06:20:29 --enforcementcount 0 &gt;&gt;C:\Users\stu\Documents\GitHub\eaglep3-reporting\EC\2017-08-20-refined-times.txt</v>
      </c>
      <c r="AI30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{"issue":{"subject":"","project_id":79,"tracker_id":40,"status_id":1,"priority_id":2,"assigned_to_id":23,"start_date":"2017-08-20","description":"","custom_fields":[{"id":1,"name":"Subdivision","value":"EC"},{"id":4,"name":"Milepost","value":"23.3276"},{"id":17,"name":"Train ID","value":"117-20"},{"id":16,"name":"Locomotive ID","value":"4012"},{"id":130,"name":"Impact","value":""},{"id":150,"name":"Time of Event (Mountain Time)","value":"06:20:29"},{"id":151,"name":"Denver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37"/>
        <v>start /low /b %USERPROFILE%\Documents\GitHub\eaglep3\Utilities\DownloadLogsFromS3.py --loco 4012 --day 2017-08-20</v>
      </c>
      <c r="AN30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531</v>
      </c>
      <c r="B31" s="7">
        <v>4011</v>
      </c>
      <c r="C31" s="21" t="s">
        <v>198</v>
      </c>
      <c r="D31" s="21" t="s">
        <v>776</v>
      </c>
      <c r="E31" s="13">
        <v>42967.277812499997</v>
      </c>
      <c r="F31" s="13">
        <v>42967.279444444444</v>
      </c>
      <c r="G31" s="7">
        <v>2</v>
      </c>
      <c r="H31" s="21" t="s">
        <v>777</v>
      </c>
      <c r="I31" s="13">
        <v>42967.30537037037</v>
      </c>
      <c r="J31" s="7">
        <v>0</v>
      </c>
      <c r="K31" s="89" t="str">
        <f t="shared" si="0"/>
        <v>4011/4012</v>
      </c>
      <c r="L31" s="21" t="str">
        <f>VLOOKUP(A31,'Trips&amp;Operators'!$C$1:$G$99911,5,FALSE)</f>
        <v>MACDONALD THOMAS</v>
      </c>
      <c r="M31" s="6">
        <f t="shared" si="1"/>
        <v>2.5925925925548654E-2</v>
      </c>
      <c r="N31" s="7">
        <f t="shared" si="2"/>
        <v>37.333333332790062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-20T05:40:03-0600',mode:absolute,to:'2017-08-20T08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23.295000000000002</v>
      </c>
      <c r="Z31" s="197">
        <f t="shared" si="8"/>
        <v>2.1399999999999999E-2</v>
      </c>
      <c r="AA31" s="197">
        <f t="shared" si="9"/>
        <v>23.273600000000002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 t="shared" si="10"/>
        <v>118</v>
      </c>
      <c r="AE31" s="77" t="str">
        <f t="shared" si="11"/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AF31" s="74" t="str">
        <f t="shared" si="12"/>
        <v>"C:\Program Files (x86)\AstroGrep\AstroGrep.exe" /e /r /s /spath="%USERPROFILE%\AppData\Local\Temp\OnboardLogs" /stypes="app*4011*20170820*" /stext=" 13:.+((SYSTEM_STATE.+slice.+state.+changed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35"/>
        <v>"%USERPROFILE%\Documents\GitHub\eaglep3\Utilities\RefineRTDCRunTimes.py" --tripid 118-20 --locoid 4011 --swversion DE.1.0.9.0 --startMP 204:232950 --initTime 2017-08-20T06:40:03 --startdatetime 2017-08-20T06:42:24 --delay 2 --endMP 204:214 --enddatetime 2017-08-20T07:19:44 --enforcementcount 0 &gt;&gt;C:\Users\stu\Documents\GitHub\eaglep3-reporting\EC\2017-08-20-refined-times.txt</v>
      </c>
      <c r="AI31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{"issue":{"subject":"","project_id":79,"tracker_id":40,"status_id":1,"priority_id":2,"assigned_to_id":23,"start_date":"2017-08-20","description":"","custom_fields":[{"id":1,"name":"Subdivision","value":"EC"},{"id":4,"name":"Milepost","value":"0.0214"},{"id":17,"name":"Train ID","value":"118-20"},{"id":16,"name":"Locomotive ID","value":"4011"},{"id":130,"name":"Impact","value":""},{"id":150,"name":"Time of Event (Mountain Time)","value":"07:19:44"},{"id":151,"name":"Denver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37"/>
        <v>start /low /b %USERPROFILE%\Documents\GitHub\eaglep3\Utilities\DownloadLogsFromS3.py --loco 4011 --day 2017-08-20</v>
      </c>
      <c r="AN31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612</v>
      </c>
      <c r="B32" s="7">
        <v>4058</v>
      </c>
      <c r="C32" s="21" t="s">
        <v>198</v>
      </c>
      <c r="D32" s="21" t="s">
        <v>460</v>
      </c>
      <c r="E32" s="13">
        <v>42967.245694444442</v>
      </c>
      <c r="F32" s="13">
        <v>42967.249826388892</v>
      </c>
      <c r="G32" s="7">
        <v>1</v>
      </c>
      <c r="H32" s="21" t="s">
        <v>771</v>
      </c>
      <c r="I32" s="13">
        <v>42967.275787037041</v>
      </c>
      <c r="J32" s="7">
        <v>0</v>
      </c>
      <c r="K32" s="89" t="str">
        <f t="shared" si="0"/>
        <v>4057/4058</v>
      </c>
      <c r="L32" s="21" t="str">
        <f>VLOOKUP(A32,'Trips&amp;Operators'!$C$1:$G$99911,5,FALSE)</f>
        <v>DAVIS WENDY</v>
      </c>
      <c r="M32" s="6">
        <f t="shared" si="1"/>
        <v>2.5960648148611654E-2</v>
      </c>
      <c r="N32" s="7">
        <f t="shared" si="2"/>
        <v>37.383333334000781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-20T04:53:48-0600',mode:absolute,to:'2017-08-20T07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4.3999999999999997E-2</v>
      </c>
      <c r="Z32" s="197">
        <f t="shared" si="8"/>
        <v>23.332699999999999</v>
      </c>
      <c r="AA32" s="197">
        <f t="shared" si="9"/>
        <v>23.288699999999999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 t="shared" si="10"/>
        <v>119</v>
      </c>
      <c r="AE32" s="77" t="str">
        <f t="shared" si="11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32" s="74" t="str">
        <f t="shared" si="12"/>
        <v>"C:\Program Files (x86)\AstroGrep\AstroGrep.exe" /e /r /s /spath="%USERPROFILE%\AppData\Local\Temp\OnboardLogs" /stypes="app*4058*20170820*" /stext=" 12:.+((SYSTEM_STATE.+slice.+state.+changed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35"/>
        <v>"%USERPROFILE%\Documents\GitHub\eaglep3\Utilities\RefineRTDCRunTimes.py" --tripid 119-20 --locoid 4058 --swversion DE.1.0.9.0 --startMP 204:440 --initTime 2017-08-20T05:53:48 --startdatetime 2017-08-20T05:59:45 --delay 1 --endMP 204:233327 --enddatetime 2017-08-20T06:37:08 --enforcementcount 0 &gt;&gt;C:\Users\stu\Documents\GitHub\eaglep3-reporting\EC\2017-08-20-refined-times.txt</v>
      </c>
      <c r="AI32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{"issue":{"subject":"","project_id":79,"tracker_id":40,"status_id":1,"priority_id":2,"assigned_to_id":23,"start_date":"2017-08-20","description":"","custom_fields":[{"id":1,"name":"Subdivision","value":"EC"},{"id":4,"name":"Milepost","value":"23.3327"},{"id":17,"name":"Train ID","value":"119-20"},{"id":16,"name":"Locomotive ID","value":"4058"},{"id":130,"name":"Impact","value":""},{"id":150,"name":"Time of Event (Mountain Time)","value":"06:37:08"},{"id":151,"name":"Denver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37"/>
        <v>start /low /b %USERPROFILE%\Documents\GitHub\eaglep3\Utilities\DownloadLogsFromS3.py --loco 4058 --day 2017-08-20</v>
      </c>
      <c r="AN32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618</v>
      </c>
      <c r="B33" s="7">
        <v>4057</v>
      </c>
      <c r="C33" s="21" t="s">
        <v>198</v>
      </c>
      <c r="D33" s="21" t="s">
        <v>778</v>
      </c>
      <c r="E33" s="13">
        <v>42967.286180555559</v>
      </c>
      <c r="F33" s="13">
        <v>42967.28974537037</v>
      </c>
      <c r="G33" s="7">
        <v>1</v>
      </c>
      <c r="H33" s="21" t="s">
        <v>462</v>
      </c>
      <c r="I33" s="13">
        <v>42967.316284722219</v>
      </c>
      <c r="J33" s="7">
        <v>0</v>
      </c>
      <c r="K33" s="89" t="str">
        <f t="shared" si="0"/>
        <v>4057/4058</v>
      </c>
      <c r="L33" s="21" t="str">
        <f>VLOOKUP(A33,'Trips&amp;Operators'!$C$1:$G$99911,5,FALSE)</f>
        <v>DAVIS WENDY</v>
      </c>
      <c r="M33" s="6">
        <f t="shared" si="1"/>
        <v>2.6539351849351078E-2</v>
      </c>
      <c r="N33" s="7">
        <f t="shared" si="2"/>
        <v>38.216666663065553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-20T05:52:06-0600',mode:absolute,to:'2017-08-20T08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23.3017</v>
      </c>
      <c r="Z33" s="197">
        <f t="shared" si="8"/>
        <v>1.2999999999999999E-2</v>
      </c>
      <c r="AA33" s="197">
        <f t="shared" si="9"/>
        <v>23.288699999999999</v>
      </c>
      <c r="AB33" s="54" t="e">
        <f>VLOOKUP(A33,Enforcements!$C$7:$K$11,8,0)</f>
        <v>#N/A</v>
      </c>
      <c r="AC33" s="51" t="e">
        <f>VLOOKUP(A33,Enforcements!$C$7:$E$11,3,0)</f>
        <v>#N/A</v>
      </c>
      <c r="AD33" s="206">
        <f t="shared" si="10"/>
        <v>120</v>
      </c>
      <c r="AE33" s="77" t="str">
        <f t="shared" si="11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33" s="74" t="str">
        <f t="shared" si="12"/>
        <v>"C:\Program Files (x86)\AstroGrep\AstroGrep.exe" /e /r /s /spath="%USERPROFILE%\AppData\Local\Temp\OnboardLogs" /stypes="app*4057*20170820*" /stext=" 13:.+((SYSTEM_STATE.+slice.+state.+changed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35"/>
        <v>"%USERPROFILE%\Documents\GitHub\eaglep3\Utilities\RefineRTDCRunTimes.py" --tripid 120-20 --locoid 4057 --swversion DE.1.0.9.0 --startMP 204:233017 --initTime 2017-08-20T06:52:06 --startdatetime 2017-08-20T06:57:14 --delay 1 --endMP 204:130 --enddatetime 2017-08-20T07:35:27 --enforcementcount 0 &gt;&gt;C:\Users\stu\Documents\GitHub\eaglep3-reporting\EC\2017-08-20-refined-times.txt</v>
      </c>
      <c r="AI33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{"issue":{"subject":"","project_id":79,"tracker_id":40,"status_id":1,"priority_id":2,"assigned_to_id":23,"start_date":"2017-08-20","description":"","custom_fields":[{"id":1,"name":"Subdivision","value":"EC"},{"id":4,"name":"Milepost","value":"0.013"},{"id":17,"name":"Train ID","value":"120-20"},{"id":16,"name":"Locomotive ID","value":"4057"},{"id":130,"name":"Impact","value":""},{"id":150,"name":"Time of Event (Mountain Time)","value":"07:35:27"},{"id":151,"name":"Denver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37"/>
        <v>start /low /b %USERPROFILE%\Documents\GitHub\eaglep3\Utilities\DownloadLogsFromS3.py --loco 4057 --day 2017-08-20</v>
      </c>
      <c r="AN33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614</v>
      </c>
      <c r="B34" s="7">
        <v>4018</v>
      </c>
      <c r="C34" s="21" t="s">
        <v>198</v>
      </c>
      <c r="D34" s="21" t="s">
        <v>779</v>
      </c>
      <c r="E34" s="13">
        <v>42967.257187499999</v>
      </c>
      <c r="F34" s="13">
        <v>42967.260960648149</v>
      </c>
      <c r="G34" s="7">
        <v>2</v>
      </c>
      <c r="H34" s="21" t="s">
        <v>780</v>
      </c>
      <c r="I34" s="13">
        <v>42967.284722222219</v>
      </c>
      <c r="J34" s="7">
        <v>0</v>
      </c>
      <c r="K34" s="89" t="str">
        <f t="shared" si="0"/>
        <v>4017/4018</v>
      </c>
      <c r="L34" s="21" t="str">
        <f>VLOOKUP(A34,'Trips&amp;Operators'!$C$1:$G$99911,5,FALSE)</f>
        <v>LALONDE GREGORY</v>
      </c>
      <c r="M34" s="6">
        <f t="shared" si="1"/>
        <v>2.3761574069794733E-2</v>
      </c>
      <c r="N34" s="7">
        <f t="shared" si="2"/>
        <v>34.216666660504416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-20T05:10:21-0600',mode:absolute,to:'2017-08-20T07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4.3799999999999999E-2</v>
      </c>
      <c r="Z34" s="197">
        <f t="shared" si="8"/>
        <v>23.334499999999998</v>
      </c>
      <c r="AA34" s="197">
        <f t="shared" si="9"/>
        <v>23.290699999999998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 t="shared" si="10"/>
        <v>121</v>
      </c>
      <c r="AE34" s="77" t="str">
        <f t="shared" si="11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34" s="74" t="str">
        <f t="shared" si="12"/>
        <v>"C:\Program Files (x86)\AstroGrep\AstroGrep.exe" /e /r /s /spath="%USERPROFILE%\AppData\Local\Temp\OnboardLogs" /stypes="app*4018*20170820*" /stext=" 12:.+((SYSTEM_STATE.+slice.+state.+changed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35"/>
        <v>"%USERPROFILE%\Documents\GitHub\eaglep3\Utilities\RefineRTDCRunTimes.py" --tripid 121-20 --locoid 4018 --swversion DE.1.0.9.0 --startMP 204:438 --initTime 2017-08-20T06:10:21 --startdatetime 2017-08-20T06:15:47 --delay 2 --endMP 204:233345 --enddatetime 2017-08-20T06:50:00 --enforcementcount 0 &gt;&gt;C:\Users\stu\Documents\GitHub\eaglep3-reporting\EC\2017-08-20-refined-times.txt</v>
      </c>
      <c r="AI34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{"issue":{"subject":"","project_id":79,"tracker_id":40,"status_id":1,"priority_id":2,"assigned_to_id":23,"start_date":"2017-08-20","description":"","custom_fields":[{"id":1,"name":"Subdivision","value":"EC"},{"id":4,"name":"Milepost","value":"23.3345"},{"id":17,"name":"Train ID","value":"121-20"},{"id":16,"name":"Locomotive ID","value":"4018"},{"id":130,"name":"Impact","value":""},{"id":150,"name":"Time of Event (Mountain Time)","value":"06:50:00"},{"id":151,"name":"Denver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37"/>
        <v>start /low /b %USERPROFILE%\Documents\GitHub\eaglep3\Utilities\DownloadLogsFromS3.py --loco 4018 --day 2017-08-20</v>
      </c>
      <c r="AN34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617</v>
      </c>
      <c r="B35" s="7">
        <v>4017</v>
      </c>
      <c r="C35" s="21" t="s">
        <v>198</v>
      </c>
      <c r="D35" s="21" t="s">
        <v>778</v>
      </c>
      <c r="E35" s="13">
        <v>42967.286238425928</v>
      </c>
      <c r="F35" s="13">
        <v>42967.300185185188</v>
      </c>
      <c r="G35" s="7">
        <v>1</v>
      </c>
      <c r="H35" s="21" t="s">
        <v>348</v>
      </c>
      <c r="I35" s="13">
        <v>42967.325567129628</v>
      </c>
      <c r="J35" s="7">
        <v>0</v>
      </c>
      <c r="K35" s="89" t="str">
        <f t="shared" si="0"/>
        <v>4017/4018</v>
      </c>
      <c r="L35" s="21" t="str">
        <f>VLOOKUP(A35,'Trips&amp;Operators'!$C$1:$G$99911,5,FALSE)</f>
        <v>LALONDE GREGORY</v>
      </c>
      <c r="M35" s="6">
        <f t="shared" si="1"/>
        <v>2.5381944440596271E-2</v>
      </c>
      <c r="N35" s="7">
        <f t="shared" si="2"/>
        <v>36.549999994458631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-20T05:52:11-0600',mode:absolute,to:'2017-08-20T08:48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23.3017</v>
      </c>
      <c r="Z35" s="197">
        <f t="shared" si="8"/>
        <v>1.47E-2</v>
      </c>
      <c r="AA35" s="197">
        <f t="shared" si="9"/>
        <v>23.286999999999999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 t="shared" si="10"/>
        <v>122</v>
      </c>
      <c r="AE35" s="77" t="str">
        <f t="shared" si="11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35" s="74" t="str">
        <f t="shared" si="12"/>
        <v>"C:\Program Files (x86)\AstroGrep\AstroGrep.exe" /e /r /s /spath="%USERPROFILE%\AppData\Local\Temp\OnboardLogs" /stypes="app*4017*20170820*"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35"/>
        <v>"%USERPROFILE%\Documents\GitHub\eaglep3\Utilities\RefineRTDCRunTimes.py" --tripid 122-20 --locoid 4017 --swversion DE.1.0.9.0 --startMP 204:233017 --initTime 2017-08-20T06:52:11 --startdatetime 2017-08-20T07:12:16 --delay 1 --endMP 204:147 --enddatetime 2017-08-20T07:48:49 --enforcementcount 0 &gt;&gt;C:\Users\stu\Documents\GitHub\eaglep3-reporting\EC\2017-08-20-refined-times.txt</v>
      </c>
      <c r="AI35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{"issue":{"subject":"","project_id":79,"tracker_id":40,"status_id":1,"priority_id":2,"assigned_to_id":23,"start_date":"2017-08-20","description":"","custom_fields":[{"id":1,"name":"Subdivision","value":"EC"},{"id":4,"name":"Milepost","value":"0.0147"},{"id":17,"name":"Train ID","value":"122-20"},{"id":16,"name":"Locomotive ID","value":"4017"},{"id":130,"name":"Impact","value":""},{"id":150,"name":"Time of Event (Mountain Time)","value":"07:48:49"},{"id":151,"name":"Denver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37"/>
        <v>start /low /b %USERPROFILE%\Documents\GitHub\eaglep3\Utilities\DownloadLogsFromS3.py --loco 4017 --day 2017-08-20</v>
      </c>
      <c r="AN35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616</v>
      </c>
      <c r="B36" s="7">
        <v>4014</v>
      </c>
      <c r="C36" s="21" t="s">
        <v>198</v>
      </c>
      <c r="D36" s="21" t="s">
        <v>781</v>
      </c>
      <c r="E36" s="13">
        <v>42967.27034722222</v>
      </c>
      <c r="F36" s="13">
        <v>42967.271736111114</v>
      </c>
      <c r="G36" s="7">
        <v>2</v>
      </c>
      <c r="H36" s="21" t="s">
        <v>782</v>
      </c>
      <c r="I36" s="13">
        <v>42967.296377314815</v>
      </c>
      <c r="J36" s="7">
        <v>0</v>
      </c>
      <c r="K36" s="89" t="str">
        <f t="shared" si="0"/>
        <v>4013/4014</v>
      </c>
      <c r="L36" s="21" t="str">
        <f>VLOOKUP(A36,'Trips&amp;Operators'!$C$1:$G$99911,5,FALSE)</f>
        <v>MOSES BRADLEY</v>
      </c>
      <c r="M36" s="6">
        <f t="shared" si="1"/>
        <v>2.4641203701321501E-2</v>
      </c>
      <c r="N36" s="7">
        <f t="shared" si="2"/>
        <v>35.483333329902962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-20T05:29:18-0600',mode:absolute,to:'2017-08-20T08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0.1865</v>
      </c>
      <c r="Z36" s="197">
        <f t="shared" si="8"/>
        <v>23.3323</v>
      </c>
      <c r="AA36" s="197">
        <f t="shared" si="9"/>
        <v>23.145800000000001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206">
        <f t="shared" si="10"/>
        <v>123</v>
      </c>
      <c r="AE36" s="77" t="str">
        <f t="shared" si="11"/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36" s="74" t="str">
        <f t="shared" si="12"/>
        <v>"C:\Program Files (x86)\AstroGrep\AstroGrep.exe" /e /r /s /spath="%USERPROFILE%\AppData\Local\Temp\OnboardLogs" /stypes="app*4014*20170820*"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35"/>
        <v>"%USERPROFILE%\Documents\GitHub\eaglep3\Utilities\RefineRTDCRunTimes.py" --tripid 123-20 --locoid 4014 --swversion DE.1.0.9.0 --startMP 204:1865 --initTime 2017-08-20T06:29:18 --startdatetime 2017-08-20T06:31:18 --delay 2 --endMP 204:233323 --enddatetime 2017-08-20T07:06:47 --enforcementcount 0 &gt;&gt;C:\Users\stu\Documents\GitHub\eaglep3-reporting\EC\2017-08-20-refined-times.txt</v>
      </c>
      <c r="AI36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{"issue":{"subject":"","project_id":79,"tracker_id":40,"status_id":1,"priority_id":2,"assigned_to_id":23,"start_date":"2017-08-20","description":"","custom_fields":[{"id":1,"name":"Subdivision","value":"EC"},{"id":4,"name":"Milepost","value":"23.3323"},{"id":17,"name":"Train ID","value":"123-20"},{"id":16,"name":"Locomotive ID","value":"4014"},{"id":130,"name":"Impact","value":""},{"id":150,"name":"Time of Event (Mountain Time)","value":"07:06:47"},{"id":151,"name":"Denver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37"/>
        <v>start /low /b %USERPROFILE%\Documents\GitHub\eaglep3\Utilities\DownloadLogsFromS3.py --loco 4014 --day 2017-08-20</v>
      </c>
      <c r="AN36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622</v>
      </c>
      <c r="B37" s="7">
        <v>4013</v>
      </c>
      <c r="C37" s="21" t="s">
        <v>198</v>
      </c>
      <c r="D37" s="21" t="s">
        <v>783</v>
      </c>
      <c r="E37" s="13">
        <v>42967.298587962963</v>
      </c>
      <c r="F37" s="13">
        <v>42967.310624999998</v>
      </c>
      <c r="G37" s="7">
        <v>11</v>
      </c>
      <c r="H37" s="21" t="s">
        <v>361</v>
      </c>
      <c r="I37" s="13">
        <v>42967.33699074074</v>
      </c>
      <c r="J37" s="7">
        <v>0</v>
      </c>
      <c r="K37" s="89" t="str">
        <f t="shared" si="0"/>
        <v>4013/4014</v>
      </c>
      <c r="L37" s="21" t="str">
        <f>VLOOKUP(A37,'Trips&amp;Operators'!$C$1:$G$99911,5,FALSE)</f>
        <v>MOSES BRADLEY</v>
      </c>
      <c r="M37" s="6">
        <f t="shared" si="1"/>
        <v>2.6365740741312038E-2</v>
      </c>
      <c r="N37" s="7">
        <f t="shared" si="2"/>
        <v>37.966666667489335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-20T06:09:58-0600',mode:absolute,to:'2017-08-20T09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23.301100000000002</v>
      </c>
      <c r="Z37" s="197">
        <f t="shared" si="8"/>
        <v>1.54E-2</v>
      </c>
      <c r="AA37" s="197">
        <f t="shared" si="9"/>
        <v>23.285700000000002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206">
        <f t="shared" si="10"/>
        <v>124</v>
      </c>
      <c r="AE37" s="77" t="str">
        <f t="shared" si="11"/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AF37" s="74" t="str">
        <f t="shared" si="12"/>
        <v>"C:\Program Files (x86)\AstroGrep\AstroGrep.exe" /e /r /s /spath="%USERPROFILE%\AppData\Local\Temp\OnboardLogs" /stypes="app*4013*20170820*" /stext=" 14:.+((SYSTEM_STATE.+slice.+state.+changed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35"/>
        <v>"%USERPROFILE%\Documents\GitHub\eaglep3\Utilities\RefineRTDCRunTimes.py" --tripid 124-20 --locoid 4013 --swversion DE.1.0.9.0 --startMP 204:233011 --initTime 2017-08-20T07:09:58 --startdatetime 2017-08-20T07:27:18 --delay 11 --endMP 204:154 --enddatetime 2017-08-20T08:05:16 --enforcementcount 0 &gt;&gt;C:\Users\stu\Documents\GitHub\eaglep3-reporting\EC\2017-08-20-refined-times.txt</v>
      </c>
      <c r="AI37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{"issue":{"subject":"","project_id":79,"tracker_id":40,"status_id":1,"priority_id":2,"assigned_to_id":23,"start_date":"2017-08-20","description":"","custom_fields":[{"id":1,"name":"Subdivision","value":"EC"},{"id":4,"name":"Milepost","value":"0.0154"},{"id":17,"name":"Train ID","value":"124-20"},{"id":16,"name":"Locomotive ID","value":"4013"},{"id":130,"name":"Impact","value":""},{"id":150,"name":"Time of Event (Mountain Time)","value":"08:05:16"},{"id":151,"name":"Denver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37"/>
        <v>start /low /b %USERPROFILE%\Documents\GitHub\eaglep3\Utilities\DownloadLogsFromS3.py --loco 4013 --day 2017-08-20</v>
      </c>
      <c r="AN37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532</v>
      </c>
      <c r="B38" s="7">
        <v>4006</v>
      </c>
      <c r="C38" s="21" t="s">
        <v>198</v>
      </c>
      <c r="D38" s="21" t="s">
        <v>440</v>
      </c>
      <c r="E38" s="13">
        <v>42967.278877314813</v>
      </c>
      <c r="F38" s="13">
        <v>42967.281770833331</v>
      </c>
      <c r="G38" s="7">
        <v>1</v>
      </c>
      <c r="H38" s="21" t="s">
        <v>784</v>
      </c>
      <c r="I38" s="13">
        <v>42967.306134259263</v>
      </c>
      <c r="J38" s="7">
        <v>0</v>
      </c>
      <c r="K38" s="89" t="str">
        <f t="shared" si="0"/>
        <v>4005/4006</v>
      </c>
      <c r="L38" s="21" t="str">
        <f>VLOOKUP(A38,'Trips&amp;Operators'!$C$1:$G$99911,5,FALSE)</f>
        <v>MAELZER KURT</v>
      </c>
      <c r="M38" s="6">
        <f t="shared" si="1"/>
        <v>2.436342593136942E-2</v>
      </c>
      <c r="N38" s="7">
        <f t="shared" si="2"/>
        <v>35.083333341171965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-20T05:41:35-0600',mode:absolute,to:'2017-08-20T08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4.6699999999999998E-2</v>
      </c>
      <c r="Z38" s="197">
        <f t="shared" si="8"/>
        <v>23.332799999999999</v>
      </c>
      <c r="AA38" s="197">
        <f t="shared" si="9"/>
        <v>23.286099999999998</v>
      </c>
      <c r="AB38" s="54" t="e">
        <f>VLOOKUP(A38,Enforcements!$C$7:$K$11,8,0)</f>
        <v>#N/A</v>
      </c>
      <c r="AC38" s="51" t="e">
        <f>VLOOKUP(A38,Enforcements!$C$7:$E$11,3,0)</f>
        <v>#N/A</v>
      </c>
      <c r="AD38" s="206">
        <f t="shared" si="10"/>
        <v>125</v>
      </c>
      <c r="AE38" s="77" t="str">
        <f t="shared" si="11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38" s="74" t="str">
        <f t="shared" si="12"/>
        <v>"C:\Program Files (x86)\AstroGrep\AstroGrep.exe" /e /r /s /spath="%USERPROFILE%\AppData\Local\Temp\OnboardLogs" /stypes="app*4006*20170820*" /stext=" 13:.+((SYSTEM_STATE.+slice.+state.+changed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35"/>
        <v>"%USERPROFILE%\Documents\GitHub\eaglep3\Utilities\RefineRTDCRunTimes.py" --tripid 125-20 --locoid 4006 --swversion DE.1.0.9.0 --startMP 204:467 --initTime 2017-08-20T06:41:35 --startdatetime 2017-08-20T06:45:45 --delay 1 --endMP 204:233328 --enddatetime 2017-08-20T07:20:50 --enforcementcount 0 &gt;&gt;C:\Users\stu\Documents\GitHub\eaglep3-reporting\EC\2017-08-20-refined-times.txt</v>
      </c>
      <c r="AI38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{"issue":{"subject":"","project_id":79,"tracker_id":40,"status_id":1,"priority_id":2,"assigned_to_id":23,"start_date":"2017-08-20","description":"","custom_fields":[{"id":1,"name":"Subdivision","value":"EC"},{"id":4,"name":"Milepost","value":"23.3328"},{"id":17,"name":"Train ID","value":"125-20"},{"id":16,"name":"Locomotive ID","value":"4006"},{"id":130,"name":"Impact","value":""},{"id":150,"name":"Time of Event (Mountain Time)","value":"07:20:50"},{"id":151,"name":"Denver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37"/>
        <v>start /low /b %USERPROFILE%\Documents\GitHub\eaglep3\Utilities\DownloadLogsFromS3.py --loco 4006 --day 2017-08-20</v>
      </c>
      <c r="AN38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624</v>
      </c>
      <c r="B39" s="7">
        <v>4005</v>
      </c>
      <c r="C39" s="21" t="s">
        <v>198</v>
      </c>
      <c r="D39" s="21" t="s">
        <v>493</v>
      </c>
      <c r="E39" s="13">
        <v>42967.310740740744</v>
      </c>
      <c r="F39" s="13">
        <v>42967.321006944447</v>
      </c>
      <c r="G39" s="7">
        <v>0</v>
      </c>
      <c r="H39" s="21" t="s">
        <v>348</v>
      </c>
      <c r="I39" s="13">
        <v>42967.347384259258</v>
      </c>
      <c r="J39" s="7">
        <v>0</v>
      </c>
      <c r="K39" s="89" t="str">
        <f t="shared" si="0"/>
        <v>4005/4006</v>
      </c>
      <c r="L39" s="21" t="str">
        <f>VLOOKUP(A39,'Trips&amp;Operators'!$C$1:$G$99911,5,FALSE)</f>
        <v>MAELZER KURT</v>
      </c>
      <c r="M39" s="6">
        <f t="shared" si="1"/>
        <v>2.6377314810815733E-2</v>
      </c>
      <c r="N39" s="7">
        <f t="shared" si="2"/>
        <v>37.983333327574655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-20T06:27:28-0600',mode:absolute,to:'2017-08-20T09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23.3005</v>
      </c>
      <c r="Z39" s="197">
        <f t="shared" si="8"/>
        <v>1.47E-2</v>
      </c>
      <c r="AA39" s="197">
        <f t="shared" si="9"/>
        <v>23.285799999999998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206">
        <f t="shared" si="10"/>
        <v>126</v>
      </c>
      <c r="AE39" s="77" t="str">
        <f t="shared" si="11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39" s="74" t="str">
        <f t="shared" si="12"/>
        <v>"C:\Program Files (x86)\AstroGrep\AstroGrep.exe" /e /r /s /spath="%USERPROFILE%\AppData\Local\Temp\OnboardLogs" /stypes="app*4005*20170820*"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35"/>
        <v>"%USERPROFILE%\Documents\GitHub\eaglep3\Utilities\RefineRTDCRunTimes.py" --tripid 126-20 --locoid 4005 --swversion DE.1.0.9.0 --startMP 204:233005 --initTime 2017-08-20T07:27:28 --startdatetime 2017-08-20T07:42:15 --delay 0 --endMP 204:147 --enddatetime 2017-08-20T08:20:14 --enforcementcount 0 &gt;&gt;C:\Users\stu\Documents\GitHub\eaglep3-reporting\EC\2017-08-20-refined-times.txt</v>
      </c>
      <c r="AI39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{"issue":{"subject":"","project_id":79,"tracker_id":40,"status_id":1,"priority_id":2,"assigned_to_id":23,"start_date":"2017-08-20","description":"","custom_fields":[{"id":1,"name":"Subdivision","value":"EC"},{"id":4,"name":"Milepost","value":"0.0147"},{"id":17,"name":"Train ID","value":"126-20"},{"id":16,"name":"Locomotive ID","value":"4005"},{"id":130,"name":"Impact","value":""},{"id":150,"name":"Time of Event (Mountain Time)","value":"08:20:14"},{"id":151,"name":"Denver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37"/>
        <v>start /low /b %USERPROFILE%\Documents\GitHub\eaglep3\Utilities\DownloadLogsFromS3.py --loco 4005 --day 2017-08-20</v>
      </c>
      <c r="AN39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619</v>
      </c>
      <c r="B40" s="7">
        <v>4016</v>
      </c>
      <c r="C40" s="21" t="s">
        <v>198</v>
      </c>
      <c r="D40" s="21" t="s">
        <v>414</v>
      </c>
      <c r="E40" s="13">
        <v>42967.286944444444</v>
      </c>
      <c r="F40" s="13">
        <v>42967.292268518519</v>
      </c>
      <c r="G40" s="7">
        <v>1</v>
      </c>
      <c r="H40" s="21" t="s">
        <v>464</v>
      </c>
      <c r="I40" s="13">
        <v>42967.31722222222</v>
      </c>
      <c r="J40" s="7">
        <v>0</v>
      </c>
      <c r="K40" s="89" t="str">
        <f t="shared" si="0"/>
        <v>4015/4016</v>
      </c>
      <c r="L40" s="21" t="str">
        <f>VLOOKUP(A40,'Trips&amp;Operators'!$C$1:$G$99911,5,FALSE)</f>
        <v>GUZMAN DANNY</v>
      </c>
      <c r="M40" s="6">
        <f t="shared" si="1"/>
        <v>2.495370370161254E-2</v>
      </c>
      <c r="N40" s="7">
        <f t="shared" si="2"/>
        <v>35.933333330322057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-20T05:53:12-0600',mode:absolute,to:'2017-08-20T08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4.4400000000000002E-2</v>
      </c>
      <c r="Z40" s="197">
        <f t="shared" si="8"/>
        <v>23.331700000000001</v>
      </c>
      <c r="AA40" s="197">
        <f t="shared" si="9"/>
        <v>23.287300000000002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 t="shared" si="10"/>
        <v>127</v>
      </c>
      <c r="AE40" s="77" t="str">
        <f t="shared" si="11"/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AF40" s="74" t="str">
        <f t="shared" si="12"/>
        <v>"C:\Program Files (x86)\AstroGrep\AstroGrep.exe" /e /r /s /spath="%USERPROFILE%\AppData\Local\Temp\OnboardLogs" /stypes="app*4016*20170820*"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35"/>
        <v>"%USERPROFILE%\Documents\GitHub\eaglep3\Utilities\RefineRTDCRunTimes.py" --tripid 127-20 --locoid 4016 --swversion DE.1.0.9.0 --startMP 204:444 --initTime 2017-08-20T06:53:12 --startdatetime 2017-08-20T07:00:52 --delay 1 --endMP 204:233317 --enddatetime 2017-08-20T07:36:48 --enforcementcount 0 &gt;&gt;C:\Users\stu\Documents\GitHub\eaglep3-reporting\EC\2017-08-20-refined-times.txt</v>
      </c>
      <c r="AI40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{"issue":{"subject":"","project_id":79,"tracker_id":40,"status_id":1,"priority_id":2,"assigned_to_id":23,"start_date":"2017-08-20","description":"","custom_fields":[{"id":1,"name":"Subdivision","value":"EC"},{"id":4,"name":"Milepost","value":"23.3317"},{"id":17,"name":"Train ID","value":"127-20"},{"id":16,"name":"Locomotive ID","value":"4016"},{"id":130,"name":"Impact","value":""},{"id":150,"name":"Time of Event (Mountain Time)","value":"07:36:48"},{"id":151,"name":"Denver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37"/>
        <v>start /low /b %USERPROFILE%\Documents\GitHub\eaglep3\Utilities\DownloadLogsFromS3.py --loco 4016 --day 2017-08-20</v>
      </c>
      <c r="AN40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627</v>
      </c>
      <c r="B41" s="7">
        <v>4015</v>
      </c>
      <c r="C41" s="21" t="s">
        <v>198</v>
      </c>
      <c r="D41" s="21" t="s">
        <v>512</v>
      </c>
      <c r="E41" s="13">
        <v>42967.320393518516</v>
      </c>
      <c r="F41" s="13">
        <v>42967.331493055557</v>
      </c>
      <c r="G41" s="7">
        <v>1</v>
      </c>
      <c r="H41" s="21" t="s">
        <v>398</v>
      </c>
      <c r="I41" s="13">
        <v>42967.358194444445</v>
      </c>
      <c r="J41" s="7">
        <v>0</v>
      </c>
      <c r="K41" s="89" t="str">
        <f t="shared" si="0"/>
        <v>4015/4016</v>
      </c>
      <c r="L41" s="21" t="str">
        <f>VLOOKUP(A41,'Trips&amp;Operators'!$C$1:$G$99911,5,FALSE)</f>
        <v>GUZMAN DANNY</v>
      </c>
      <c r="M41" s="6">
        <f t="shared" si="1"/>
        <v>2.6701388887886424E-2</v>
      </c>
      <c r="N41" s="7">
        <f t="shared" si="2"/>
        <v>38.44999999855645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-20T06:41:22-0600',mode:absolute,to:'2017-08-20T09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23.298500000000001</v>
      </c>
      <c r="Z41" s="197">
        <f t="shared" si="8"/>
        <v>1.61E-2</v>
      </c>
      <c r="AA41" s="197">
        <f t="shared" si="9"/>
        <v>23.282399999999999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 t="shared" si="10"/>
        <v>128</v>
      </c>
      <c r="AE41" s="77" t="str">
        <f t="shared" si="11"/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AF41" s="74" t="str">
        <f t="shared" si="12"/>
        <v>"C:\Program Files (x86)\AstroGrep\AstroGrep.exe" /e /r /s /spath="%USERPROFILE%\AppData\Local\Temp\OnboardLogs" /stypes="app*4015*20170820*"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35"/>
        <v>"%USERPROFILE%\Documents\GitHub\eaglep3\Utilities\RefineRTDCRunTimes.py" --tripid 128-20 --locoid 4015 --swversion DE.1.0.9.0 --startMP 204:232985 --initTime 2017-08-20T07:41:22 --startdatetime 2017-08-20T07:57:21 --delay 1 --endMP 204:161 --enddatetime 2017-08-20T08:35:48 --enforcementcount 0 &gt;&gt;C:\Users\stu\Documents\GitHub\eaglep3-reporting\EC\2017-08-20-refined-times.txt</v>
      </c>
      <c r="AI41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{"issue":{"subject":"","project_id":79,"tracker_id":40,"status_id":1,"priority_id":2,"assigned_to_id":23,"start_date":"2017-08-20","description":"","custom_fields":[{"id":1,"name":"Subdivision","value":"EC"},{"id":4,"name":"Milepost","value":"0.0161"},{"id":17,"name":"Train ID","value":"128-20"},{"id":16,"name":"Locomotive ID","value":"4015"},{"id":130,"name":"Impact","value":""},{"id":150,"name":"Time of Event (Mountain Time)","value":"08:35:48"},{"id":151,"name":"Denver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37"/>
        <v>start /low /b %USERPROFILE%\Documents\GitHub\eaglep3\Utilities\DownloadLogsFromS3.py --loco 4015 --day 2017-08-20</v>
      </c>
      <c r="AN41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621</v>
      </c>
      <c r="B42" s="7">
        <v>4054</v>
      </c>
      <c r="C42" s="21" t="s">
        <v>198</v>
      </c>
      <c r="D42" s="21" t="s">
        <v>371</v>
      </c>
      <c r="E42" s="13">
        <v>42967.298321759263</v>
      </c>
      <c r="F42" s="13">
        <v>42967.302824074075</v>
      </c>
      <c r="G42" s="7">
        <v>1</v>
      </c>
      <c r="H42" s="21" t="s">
        <v>501</v>
      </c>
      <c r="I42" s="13">
        <v>42967.327962962961</v>
      </c>
      <c r="J42" s="7">
        <v>0</v>
      </c>
      <c r="K42" s="89" t="str">
        <f t="shared" si="0"/>
        <v>4053/4054</v>
      </c>
      <c r="L42" s="21" t="str">
        <f>VLOOKUP(A42,'Trips&amp;Operators'!$C$1:$G$99911,5,FALSE)</f>
        <v>WILLIAMS DONTE</v>
      </c>
      <c r="M42" s="6">
        <f t="shared" si="1"/>
        <v>2.5138888886431232E-2</v>
      </c>
      <c r="N42" s="7">
        <f t="shared" si="2"/>
        <v>36.199999996460974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-20T06:09:35-0600',mode:absolute,to:'2017-08-20T08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4.5499999999999999E-2</v>
      </c>
      <c r="Z42" s="197">
        <f t="shared" si="8"/>
        <v>23.328800000000001</v>
      </c>
      <c r="AA42" s="197">
        <f t="shared" si="9"/>
        <v>23.283300000000001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 t="shared" si="10"/>
        <v>129</v>
      </c>
      <c r="AE42" s="77" t="str">
        <f t="shared" si="11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42" s="74" t="str">
        <f t="shared" si="12"/>
        <v>"C:\Program Files (x86)\AstroGrep\AstroGrep.exe" /e /r /s /spath="%USERPROFILE%\AppData\Local\Temp\OnboardLogs" /stypes="app*4054*20170820*"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35"/>
        <v>"%USERPROFILE%\Documents\GitHub\eaglep3\Utilities\RefineRTDCRunTimes.py" --tripid 129-20 --locoid 4054 --swversion DE.1.0.9.0 --startMP 204:455 --initTime 2017-08-20T07:09:35 --startdatetime 2017-08-20T07:16:04 --delay 1 --endMP 204:233288 --enddatetime 2017-08-20T07:52:16 --enforcementcount 0 &gt;&gt;C:\Users\stu\Documents\GitHub\eaglep3-reporting\EC\2017-08-20-refined-times.txt</v>
      </c>
      <c r="AI42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{"issue":{"subject":"","project_id":79,"tracker_id":40,"status_id":1,"priority_id":2,"assigned_to_id":23,"start_date":"2017-08-20","description":"","custom_fields":[{"id":1,"name":"Subdivision","value":"EC"},{"id":4,"name":"Milepost","value":"23.3288"},{"id":17,"name":"Train ID","value":"129-20"},{"id":16,"name":"Locomotive ID","value":"4054"},{"id":130,"name":"Impact","value":""},{"id":150,"name":"Time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37"/>
        <v>start /low /b %USERPROFILE%\Documents\GitHub\eaglep3\Utilities\DownloadLogsFromS3.py --loco 4054 --day 2017-08-20</v>
      </c>
      <c r="AN42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631</v>
      </c>
      <c r="B43" s="7">
        <v>4053</v>
      </c>
      <c r="C43" s="21" t="s">
        <v>198</v>
      </c>
      <c r="D43" s="21" t="s">
        <v>785</v>
      </c>
      <c r="E43" s="13">
        <v>42967.338958333334</v>
      </c>
      <c r="F43" s="13">
        <v>42967.341874999998</v>
      </c>
      <c r="G43" s="7">
        <v>4</v>
      </c>
      <c r="H43" s="21" t="s">
        <v>348</v>
      </c>
      <c r="I43" s="13">
        <v>42967.369201388887</v>
      </c>
      <c r="J43" s="7">
        <v>0</v>
      </c>
      <c r="K43" s="89" t="str">
        <f t="shared" si="0"/>
        <v>4053/4054</v>
      </c>
      <c r="L43" s="21" t="str">
        <f>VLOOKUP(A43,'Trips&amp;Operators'!$C$1:$G$99911,5,FALSE)</f>
        <v>WILLIAMS DONTE</v>
      </c>
      <c r="M43" s="6">
        <f t="shared" si="1"/>
        <v>2.73263888884685E-2</v>
      </c>
      <c r="N43" s="7">
        <f t="shared" si="2"/>
        <v>39.34999999939464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-20T07:08:06-0600',mode:absolute,to:'2017-08-20T09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23.298400000000001</v>
      </c>
      <c r="Z43" s="197">
        <f t="shared" si="8"/>
        <v>1.47E-2</v>
      </c>
      <c r="AA43" s="197">
        <f t="shared" si="9"/>
        <v>23.2837</v>
      </c>
      <c r="AB43" s="54" t="e">
        <f>VLOOKUP(A43,Enforcements!$C$7:$K$11,8,0)</f>
        <v>#N/A</v>
      </c>
      <c r="AC43" s="51" t="e">
        <f>VLOOKUP(A43,Enforcements!$C$7:$E$11,3,0)</f>
        <v>#N/A</v>
      </c>
      <c r="AD43" s="206">
        <f t="shared" si="10"/>
        <v>130</v>
      </c>
      <c r="AE43" s="77" t="str">
        <f t="shared" si="11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43" s="74" t="str">
        <f t="shared" si="12"/>
        <v>"C:\Program Files (x86)\AstroGrep\AstroGrep.exe" /e /r /s /spath="%USERPROFILE%\AppData\Local\Temp\OnboardLogs" /stypes="app*4053*20170820*"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35"/>
        <v>"%USERPROFILE%\Documents\GitHub\eaglep3\Utilities\RefineRTDCRunTimes.py" --tripid 130-20 --locoid 4053 --swversion DE.1.0.9.0 --startMP 204:232984 --initTime 2017-08-20T08:08:06 --startdatetime 2017-08-20T08:12:18 --delay 4 --endMP 204:147 --enddatetime 2017-08-20T08:51:39 --enforcementcount 0 &gt;&gt;C:\Users\stu\Documents\GitHub\eaglep3-reporting\EC\2017-08-20-refined-times.txt</v>
      </c>
      <c r="AI43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{"issue":{"subject":"","project_id":79,"tracker_id":40,"status_id":1,"priority_id":2,"assigned_to_id":23,"start_date":"2017-08-20","description":"","custom_fields":[{"id":1,"name":"Subdivision","value":"EC"},{"id":4,"name":"Milepost","value":"0.0147"},{"id":17,"name":"Train ID","value":"130-20"},{"id":16,"name":"Locomotive ID","value":"4053"},{"id":130,"name":"Impact","value":""},{"id":150,"name":"Time of Event (Mountain Time)","value":"08:51:39"},{"id":151,"name":"Denver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37"/>
        <v>start /low /b %USERPROFILE%\Documents\GitHub\eaglep3\Utilities\DownloadLogsFromS3.py --loco 4053 --day 2017-08-20</v>
      </c>
      <c r="AN43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623</v>
      </c>
      <c r="B44" s="7">
        <v>4012</v>
      </c>
      <c r="C44" s="21" t="s">
        <v>198</v>
      </c>
      <c r="D44" s="21" t="s">
        <v>786</v>
      </c>
      <c r="E44" s="13">
        <v>42967.307372685187</v>
      </c>
      <c r="F44" s="13">
        <v>42967.313310185185</v>
      </c>
      <c r="G44" s="7">
        <v>1</v>
      </c>
      <c r="H44" s="21" t="s">
        <v>417</v>
      </c>
      <c r="I44" s="13">
        <v>42967.337650462963</v>
      </c>
      <c r="J44" s="7">
        <v>0</v>
      </c>
      <c r="K44" s="89" t="str">
        <f t="shared" si="0"/>
        <v>4011/4012</v>
      </c>
      <c r="L44" s="21" t="str">
        <f>VLOOKUP(A44,'Trips&amp;Operators'!$C$1:$G$99911,5,FALSE)</f>
        <v>MACDONALD THOMAS</v>
      </c>
      <c r="M44" s="6">
        <f t="shared" si="1"/>
        <v>2.4340277777810115E-2</v>
      </c>
      <c r="N44" s="7">
        <f t="shared" si="2"/>
        <v>35.050000000046566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-20T06:22:37-0600',mode:absolute,to:'2017-08-20T09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5.2900000000000003E-2</v>
      </c>
      <c r="Z44" s="197">
        <f t="shared" si="8"/>
        <v>23.3293</v>
      </c>
      <c r="AA44" s="197">
        <f t="shared" si="9"/>
        <v>23.276399999999999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 t="shared" si="10"/>
        <v>131</v>
      </c>
      <c r="AE44" s="77" t="str">
        <f t="shared" si="11"/>
        <v>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 &amp; aws s3 cp s3://rtdc.mdm.uploadarchive.raw/RTDC4012/ "%USERPROFILE%\AppData\Local\Temp\OnboardLogs"\RTDC4012\2017-08-21 --exclude "*" --recursive --include "*20170821*" &amp; "%USERPROFILE%\Documents\GitHub\mrs-test-scripts\Headless Mode &amp; Sideloading\WalkAndUnGZ.bat" "%USERPROFILE%\AppData\Local\Temp\OnboardLogs"\RTDC4012\2017-08-21</v>
      </c>
      <c r="AF44" s="74" t="str">
        <f t="shared" si="12"/>
        <v>"C:\Program Files (x86)\AstroGrep\AstroGrep.exe" /e /r /s /spath="%USERPROFILE%\AppData\Local\Temp\OnboardLogs" /stypes="app*4012*20170820*"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35"/>
        <v>"%USERPROFILE%\Documents\GitHub\eaglep3\Utilities\RefineRTDCRunTimes.py" --tripid 131-20 --locoid 4012 --swversion DE.1.0.9.0 --startMP 204:529 --initTime 2017-08-20T07:22:37 --startdatetime 2017-08-20T07:31:10 --delay 1 --endMP 204:233293 --enddatetime 2017-08-20T08:06:13 --enforcementcount 0 &gt;&gt;C:\Users\stu\Documents\GitHub\eaglep3-reporting\EC\2017-08-20-refined-times.txt</v>
      </c>
      <c r="AI44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{"issue":{"subject":"","project_id":79,"tracker_id":40,"status_id":1,"priority_id":2,"assigned_to_id":23,"start_date":"2017-08-20","description":"","custom_fields":[{"id":1,"name":"Subdivision","value":"EC"},{"id":4,"name":"Milepost","value":"23.3293"},{"id":17,"name":"Train ID","value":"131-20"},{"id":16,"name":"Locomotive ID","value":"4012"},{"id":130,"name":"Impact","value":""},{"id":150,"name":"Time of Event (Mountain Time)","value":"08:06:13"},{"id":151,"name":"Denver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37"/>
        <v>start /low /b %USERPROFILE%\Documents\GitHub\eaglep3\Utilities\DownloadLogsFromS3.py --loco 4012 --day 2017-08-20</v>
      </c>
      <c r="AN44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632</v>
      </c>
      <c r="B45" s="7">
        <v>4011</v>
      </c>
      <c r="C45" s="21" t="s">
        <v>198</v>
      </c>
      <c r="D45" s="21" t="s">
        <v>787</v>
      </c>
      <c r="E45" s="13">
        <v>42967.349131944444</v>
      </c>
      <c r="F45" s="13">
        <v>42967.352303240739</v>
      </c>
      <c r="G45" s="7">
        <v>1</v>
      </c>
      <c r="H45" s="21" t="s">
        <v>431</v>
      </c>
      <c r="I45" s="13">
        <v>42967.378032407411</v>
      </c>
      <c r="J45" s="7">
        <v>0</v>
      </c>
      <c r="K45" s="89" t="str">
        <f t="shared" si="0"/>
        <v>4011/4012</v>
      </c>
      <c r="L45" s="21" t="str">
        <f>VLOOKUP(A45,'Trips&amp;Operators'!$C$1:$G$99911,5,FALSE)</f>
        <v>MACDONALD THOMAS</v>
      </c>
      <c r="M45" s="6">
        <f t="shared" si="1"/>
        <v>2.5729166671226267E-2</v>
      </c>
      <c r="N45" s="7">
        <f t="shared" si="2"/>
        <v>37.050000006565824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-20T07:22:45-0600',mode:absolute,to:'2017-08-20T10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23.2972</v>
      </c>
      <c r="Z45" s="197">
        <f t="shared" si="8"/>
        <v>1.5599999999999999E-2</v>
      </c>
      <c r="AA45" s="197">
        <f t="shared" si="9"/>
        <v>23.281600000000001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206">
        <f t="shared" si="10"/>
        <v>132</v>
      </c>
      <c r="AE45" s="77" t="str">
        <f t="shared" si="11"/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AF45" s="74" t="str">
        <f t="shared" si="12"/>
        <v>"C:\Program Files (x86)\AstroGrep\AstroGrep.exe" /e /r /s /spath="%USERPROFILE%\AppData\Local\Temp\OnboardLogs" /stypes="app*4011*20170820*"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35"/>
        <v>"%USERPROFILE%\Documents\GitHub\eaglep3\Utilities\RefineRTDCRunTimes.py" --tripid 132-20 --locoid 4011 --swversion DE.1.0.9.0 --startMP 204:232972 --initTime 2017-08-20T08:22:45 --startdatetime 2017-08-20T08:27:19 --delay 1 --endMP 204:156 --enddatetime 2017-08-20T09:04:22 --enforcementcount 0 &gt;&gt;C:\Users\stu\Documents\GitHub\eaglep3-reporting\EC\2017-08-20-refined-times.txt</v>
      </c>
      <c r="AI45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{"issue":{"subject":"","project_id":79,"tracker_id":40,"status_id":1,"priority_id":2,"assigned_to_id":23,"start_date":"2017-08-20","description":"","custom_fields":[{"id":1,"name":"Subdivision","value":"EC"},{"id":4,"name":"Milepost","value":"0.0156"},{"id":17,"name":"Train ID","value":"132-20"},{"id":16,"name":"Locomotive ID","value":"4011"},{"id":130,"name":"Impact","value":""},{"id":150,"name":"Time of Event (Mountain Time)","value":"09:04:22"},{"id":151,"name":"Denver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37"/>
        <v>start /low /b %USERPROFILE%\Documents\GitHub\eaglep3\Utilities\DownloadLogsFromS3.py --loco 4011 --day 2017-08-20</v>
      </c>
      <c r="AN45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626</v>
      </c>
      <c r="B46" s="7">
        <v>4058</v>
      </c>
      <c r="C46" s="21" t="s">
        <v>198</v>
      </c>
      <c r="D46" s="21" t="s">
        <v>339</v>
      </c>
      <c r="E46" s="13">
        <v>42967.319513888891</v>
      </c>
      <c r="F46" s="13">
        <v>42967.323692129627</v>
      </c>
      <c r="G46" s="7">
        <v>1</v>
      </c>
      <c r="H46" s="21" t="s">
        <v>481</v>
      </c>
      <c r="I46" s="13">
        <v>42967.349259259259</v>
      </c>
      <c r="J46" s="7">
        <v>0</v>
      </c>
      <c r="K46" s="89" t="str">
        <f t="shared" si="0"/>
        <v>4057/4058</v>
      </c>
      <c r="L46" s="21" t="str">
        <f>VLOOKUP(A46,'Trips&amp;Operators'!$C$1:$G$99911,5,FALSE)</f>
        <v>DAVIS WENDY</v>
      </c>
      <c r="M46" s="6">
        <f t="shared" si="1"/>
        <v>2.5567129632690921E-2</v>
      </c>
      <c r="N46" s="7">
        <f t="shared" si="2"/>
        <v>36.816666671074927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-20T06:40:06-0600',mode:absolute,to:'2017-08-20T09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4.4600000000000001E-2</v>
      </c>
      <c r="Z46" s="197">
        <f t="shared" si="8"/>
        <v>23.331099999999999</v>
      </c>
      <c r="AA46" s="197">
        <f t="shared" si="9"/>
        <v>23.2865</v>
      </c>
      <c r="AB46" s="54" t="e">
        <f>VLOOKUP(A46,Enforcements!$C$7:$K$11,8,0)</f>
        <v>#N/A</v>
      </c>
      <c r="AC46" s="51" t="e">
        <f>VLOOKUP(A46,Enforcements!$C$7:$E$11,3,0)</f>
        <v>#N/A</v>
      </c>
      <c r="AD46" s="206">
        <f t="shared" si="10"/>
        <v>133</v>
      </c>
      <c r="AE46" s="77" t="str">
        <f t="shared" si="11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46" s="74" t="str">
        <f t="shared" si="12"/>
        <v>"C:\Program Files (x86)\AstroGrep\AstroGrep.exe" /e /r /s /spath="%USERPROFILE%\AppData\Local\Temp\OnboardLogs" /stypes="app*4058*20170820*"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35"/>
        <v>"%USERPROFILE%\Documents\GitHub\eaglep3\Utilities\RefineRTDCRunTimes.py" --tripid 133-20 --locoid 4058 --swversion DE.1.0.9.0 --startMP 204:446 --initTime 2017-08-20T07:40:06 --startdatetime 2017-08-20T07:46:07 --delay 1 --endMP 204:233311 --enddatetime 2017-08-20T08:22:56 --enforcementcount 0 &gt;&gt;C:\Users\stu\Documents\GitHub\eaglep3-reporting\EC\2017-08-20-refined-times.txt</v>
      </c>
      <c r="AI46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{"issue":{"subject":"","project_id":79,"tracker_id":40,"status_id":1,"priority_id":2,"assigned_to_id":23,"start_date":"2017-08-20","description":"","custom_fields":[{"id":1,"name":"Subdivision","value":"EC"},{"id":4,"name":"Milepost","value":"23.3311"},{"id":17,"name":"Train ID","value":"133-20"},{"id":16,"name":"Locomotive ID","value":"4058"},{"id":130,"name":"Impact","value":""},{"id":150,"name":"Time of Event (Mountain Time)","value":"08:22:56"},{"id":151,"name":"Denver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37"/>
        <v>start /low /b %USERPROFILE%\Documents\GitHub\eaglep3\Utilities\DownloadLogsFromS3.py --loco 4058 --day 2017-08-20</v>
      </c>
      <c r="AN46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635</v>
      </c>
      <c r="B47" s="7">
        <v>4057</v>
      </c>
      <c r="C47" s="21" t="s">
        <v>198</v>
      </c>
      <c r="D47" s="21" t="s">
        <v>433</v>
      </c>
      <c r="E47" s="13">
        <v>42967.359456018516</v>
      </c>
      <c r="F47" s="13">
        <v>42967.362939814811</v>
      </c>
      <c r="G47" s="7">
        <v>1</v>
      </c>
      <c r="H47" s="21" t="s">
        <v>431</v>
      </c>
      <c r="I47" s="13">
        <v>42967.389756944445</v>
      </c>
      <c r="J47" s="7">
        <v>0</v>
      </c>
      <c r="K47" s="89" t="str">
        <f t="shared" si="0"/>
        <v>4057/4058</v>
      </c>
      <c r="L47" s="21" t="str">
        <f>VLOOKUP(A47,'Trips&amp;Operators'!$C$1:$G$99911,5,FALSE)</f>
        <v>DAVIS WENDY</v>
      </c>
      <c r="M47" s="6">
        <f t="shared" si="1"/>
        <v>2.6817129633855075E-2</v>
      </c>
      <c r="N47" s="7">
        <f t="shared" si="2"/>
        <v>38.616666672751307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-20T07:37:37-0600',mode:absolute,to:'2017-08-20T10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23.299800000000001</v>
      </c>
      <c r="Z47" s="197">
        <f t="shared" si="8"/>
        <v>1.5599999999999999E-2</v>
      </c>
      <c r="AA47" s="197">
        <f t="shared" si="9"/>
        <v>23.284200000000002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 t="shared" si="10"/>
        <v>134</v>
      </c>
      <c r="AE47" s="77" t="str">
        <f t="shared" si="11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47" s="74" t="str">
        <f t="shared" si="12"/>
        <v>"C:\Program Files (x86)\AstroGrep\AstroGrep.exe" /e /r /s /spath="%USERPROFILE%\AppData\Local\Temp\OnboardLogs" /stypes="app*4057*20170820*"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35"/>
        <v>"%USERPROFILE%\Documents\GitHub\eaglep3\Utilities\RefineRTDCRunTimes.py" --tripid 134-20 --locoid 4057 --swversion DE.1.0.9.0 --startMP 204:232998 --initTime 2017-08-20T08:37:37 --startdatetime 2017-08-20T08:42:38 --delay 1 --endMP 204:156 --enddatetime 2017-08-20T09:21:15 --enforcementcount 0 &gt;&gt;C:\Users\stu\Documents\GitHub\eaglep3-reporting\EC\2017-08-20-refined-times.txt</v>
      </c>
      <c r="AI47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{"issue":{"subject":"","project_id":79,"tracker_id":40,"status_id":1,"priority_id":2,"assigned_to_id":23,"start_date":"2017-08-20","description":"","custom_fields":[{"id":1,"name":"Subdivision","value":"EC"},{"id":4,"name":"Milepost","value":"0.0156"},{"id":17,"name":"Train ID","value":"134-20"},{"id":16,"name":"Locomotive ID","value":"4057"},{"id":130,"name":"Impact","value":""},{"id":150,"name":"Time of Event (Mountain Time)","value":"09:21:15"},{"id":151,"name":"Denver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37"/>
        <v>start /low /b %USERPROFILE%\Documents\GitHub\eaglep3\Utilities\DownloadLogsFromS3.py --loco 4057 --day 2017-08-20</v>
      </c>
      <c r="AN47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628</v>
      </c>
      <c r="B48" s="7">
        <v>4018</v>
      </c>
      <c r="C48" s="21" t="s">
        <v>198</v>
      </c>
      <c r="D48" s="21" t="s">
        <v>390</v>
      </c>
      <c r="E48" s="13">
        <v>42967.327407407407</v>
      </c>
      <c r="F48" s="13">
        <v>42967.334097222221</v>
      </c>
      <c r="G48" s="7">
        <v>1</v>
      </c>
      <c r="H48" s="21" t="s">
        <v>424</v>
      </c>
      <c r="I48" s="13">
        <v>42967.35837962963</v>
      </c>
      <c r="J48" s="7">
        <v>0</v>
      </c>
      <c r="K48" s="89" t="str">
        <f t="shared" si="0"/>
        <v>4017/4018</v>
      </c>
      <c r="L48" s="21" t="str">
        <f>VLOOKUP(A48,'Trips&amp;Operators'!$C$1:$G$99911,5,FALSE)</f>
        <v>LALONDE GREGORY</v>
      </c>
      <c r="M48" s="6">
        <f t="shared" si="1"/>
        <v>2.4282407408463769E-2</v>
      </c>
      <c r="N48" s="7">
        <f t="shared" si="2"/>
        <v>34.966666668187827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-20T06:51:28-0600',mode:absolute,to:'2017-08-20T09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4.5699999999999998E-2</v>
      </c>
      <c r="Z48" s="197">
        <f t="shared" si="8"/>
        <v>23.3308</v>
      </c>
      <c r="AA48" s="197">
        <f t="shared" si="9"/>
        <v>23.2851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 t="shared" si="10"/>
        <v>135</v>
      </c>
      <c r="AE48" s="77" t="str">
        <f t="shared" si="11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48" s="74" t="str">
        <f t="shared" si="12"/>
        <v>"C:\Program Files (x86)\AstroGrep\AstroGrep.exe" /e /r /s /spath="%USERPROFILE%\AppData\Local\Temp\OnboardLogs" /stypes="app*4018*20170820*"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35"/>
        <v>"%USERPROFILE%\Documents\GitHub\eaglep3\Utilities\RefineRTDCRunTimes.py" --tripid 135-20 --locoid 4018 --swversion DE.1.0.9.0 --startMP 204:457 --initTime 2017-08-20T07:51:28 --startdatetime 2017-08-20T08:01:06 --delay 1 --endMP 204:233308 --enddatetime 2017-08-20T08:36:04 --enforcementcount 0 &gt;&gt;C:\Users\stu\Documents\GitHub\eaglep3-reporting\EC\2017-08-20-refined-times.txt</v>
      </c>
      <c r="AI48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{"issue":{"subject":"","project_id":79,"tracker_id":40,"status_id":1,"priority_id":2,"assigned_to_id":23,"start_date":"2017-08-20","description":"","custom_fields":[{"id":1,"name":"Subdivision","value":"EC"},{"id":4,"name":"Milepost","value":"23.3308"},{"id":17,"name":"Train ID","value":"135-20"},{"id":16,"name":"Locomotive ID","value":"4018"},{"id":130,"name":"Impact","value":""},{"id":150,"name":"Time of Event (Mountain Time)","value":"08:36:04"},{"id":151,"name":"Denver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37"/>
        <v>start /low /b %USERPROFILE%\Documents\GitHub\eaglep3\Utilities\DownloadLogsFromS3.py --loco 4018 --day 2017-08-20</v>
      </c>
      <c r="AN48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636</v>
      </c>
      <c r="B49" s="7">
        <v>4017</v>
      </c>
      <c r="C49" s="21" t="s">
        <v>198</v>
      </c>
      <c r="D49" s="21" t="s">
        <v>486</v>
      </c>
      <c r="E49" s="13">
        <v>42967.360127314816</v>
      </c>
      <c r="F49" s="13">
        <v>42967.373090277775</v>
      </c>
      <c r="G49" s="7">
        <v>1</v>
      </c>
      <c r="H49" s="21" t="s">
        <v>361</v>
      </c>
      <c r="I49" s="13">
        <v>42967.3984837963</v>
      </c>
      <c r="J49" s="7">
        <v>0</v>
      </c>
      <c r="K49" s="89" t="str">
        <f t="shared" si="0"/>
        <v>4017/4018</v>
      </c>
      <c r="L49" s="21" t="str">
        <f>VLOOKUP(A49,'Trips&amp;Operators'!$C$1:$G$99911,5,FALSE)</f>
        <v>LALONDE GREGORY</v>
      </c>
      <c r="M49" s="6">
        <f t="shared" si="1"/>
        <v>2.5393518524651881E-2</v>
      </c>
      <c r="N49" s="7">
        <f t="shared" si="2"/>
        <v>36.566666675498709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-20T07:38:35-0600',mode:absolute,to:'2017-08-20T10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23.3002</v>
      </c>
      <c r="Z49" s="197">
        <f t="shared" si="8"/>
        <v>1.54E-2</v>
      </c>
      <c r="AA49" s="197">
        <f t="shared" si="9"/>
        <v>23.284800000000001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 t="shared" si="10"/>
        <v>136</v>
      </c>
      <c r="AE49" s="77" t="str">
        <f t="shared" si="11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49" s="74" t="str">
        <f t="shared" si="12"/>
        <v>"C:\Program Files (x86)\AstroGrep\AstroGrep.exe" /e /r /s /spath="%USERPROFILE%\AppData\Local\Temp\OnboardLogs" /stypes="app*4017*20170820*"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35"/>
        <v>"%USERPROFILE%\Documents\GitHub\eaglep3\Utilities\RefineRTDCRunTimes.py" --tripid 136-20 --locoid 4017 --swversion DE.1.0.9.0 --startMP 204:233002 --initTime 2017-08-20T08:38:35 --startdatetime 2017-08-20T08:57:15 --delay 1 --endMP 204:154 --enddatetime 2017-08-20T09:33:49 --enforcementcount 0 &gt;&gt;C:\Users\stu\Documents\GitHub\eaglep3-reporting\EC\2017-08-20-refined-times.txt</v>
      </c>
      <c r="AI49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{"issue":{"subject":"","project_id":79,"tracker_id":40,"status_id":1,"priority_id":2,"assigned_to_id":23,"start_date":"2017-08-20","description":"","custom_fields":[{"id":1,"name":"Subdivision","value":"EC"},{"id":4,"name":"Milepost","value":"0.0154"},{"id":17,"name":"Train ID","value":"136-20"},{"id":16,"name":"Locomotive ID","value":"4017"},{"id":130,"name":"Impact","value":""},{"id":150,"name":"Time of Event (Mountain Time)","value":"09:33:49"},{"id":151,"name":"Denver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37"/>
        <v>start /low /b %USERPROFILE%\Documents\GitHub\eaglep3\Utilities\DownloadLogsFromS3.py --loco 4017 --day 2017-08-20</v>
      </c>
      <c r="AN49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630</v>
      </c>
      <c r="B50" s="7">
        <v>4014</v>
      </c>
      <c r="C50" s="21" t="s">
        <v>198</v>
      </c>
      <c r="D50" s="21" t="s">
        <v>416</v>
      </c>
      <c r="E50" s="13">
        <v>42967.338564814818</v>
      </c>
      <c r="F50" s="13">
        <v>42967.344282407408</v>
      </c>
      <c r="G50" s="7">
        <v>1</v>
      </c>
      <c r="H50" s="21" t="s">
        <v>788</v>
      </c>
      <c r="I50" s="13">
        <v>42967.368460648147</v>
      </c>
      <c r="J50" s="7">
        <v>0</v>
      </c>
      <c r="K50" s="89" t="str">
        <f t="shared" si="0"/>
        <v>4013/4014</v>
      </c>
      <c r="L50" s="21" t="str">
        <f>VLOOKUP(A50,'Trips&amp;Operators'!$C$1:$G$99911,5,FALSE)</f>
        <v>MOSES BRADLEY</v>
      </c>
      <c r="M50" s="6">
        <f t="shared" si="1"/>
        <v>2.417824073927477E-2</v>
      </c>
      <c r="N50" s="7">
        <f t="shared" si="2"/>
        <v>34.816666664555669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-20T07:07:32-0600',mode:absolute,to:'2017-08-20T09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4.6600000000000003E-2</v>
      </c>
      <c r="Z50" s="197">
        <f t="shared" si="8"/>
        <v>23.332000000000001</v>
      </c>
      <c r="AA50" s="197">
        <f t="shared" si="9"/>
        <v>23.285399999999999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 t="shared" si="10"/>
        <v>137</v>
      </c>
      <c r="AE50" s="77" t="str">
        <f t="shared" si="11"/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50" s="74" t="str">
        <f t="shared" si="12"/>
        <v>"C:\Program Files (x86)\AstroGrep\AstroGrep.exe" /e /r /s /spath="%USERPROFILE%\AppData\Local\Temp\OnboardLogs" /stypes="app*4014*20170820*" /stext=" 14:.+((SYSTEM_STATE.+slice.+state.+changed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35"/>
        <v>"%USERPROFILE%\Documents\GitHub\eaglep3\Utilities\RefineRTDCRunTimes.py" --tripid 137-20 --locoid 4014 --swversion DE.1.0.9.0 --startMP 204:466 --initTime 2017-08-20T08:07:32 --startdatetime 2017-08-20T08:15:46 --delay 1 --endMP 204:233320 --enddatetime 2017-08-20T08:50:35 --enforcementcount 0 &gt;&gt;C:\Users\stu\Documents\GitHub\eaglep3-reporting\EC\2017-08-20-refined-times.txt</v>
      </c>
      <c r="AI50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{"issue":{"subject":"","project_id":79,"tracker_id":40,"status_id":1,"priority_id":2,"assigned_to_id":23,"start_date":"2017-08-20","description":"","custom_fields":[{"id":1,"name":"Subdivision","value":"EC"},{"id":4,"name":"Milepost","value":"23.332"},{"id":17,"name":"Train ID","value":"137-20"},{"id":16,"name":"Locomotive ID","value":"4014"},{"id":130,"name":"Impact","value":""},{"id":150,"name":"Time of Event (Mountain Time)","value":"08:50:35"},{"id":151,"name":"Denver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37"/>
        <v>start /low /b %USERPROFILE%\Documents\GitHub\eaglep3\Utilities\DownloadLogsFromS3.py --loco 4014 --day 2017-08-20</v>
      </c>
      <c r="AN50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640</v>
      </c>
      <c r="B51" s="7">
        <v>4013</v>
      </c>
      <c r="C51" s="21" t="s">
        <v>198</v>
      </c>
      <c r="D51" s="21" t="s">
        <v>368</v>
      </c>
      <c r="E51" s="13">
        <v>42967.380358796298</v>
      </c>
      <c r="F51" s="13">
        <v>42967.383587962962</v>
      </c>
      <c r="G51" s="7">
        <v>1</v>
      </c>
      <c r="H51" s="21" t="s">
        <v>502</v>
      </c>
      <c r="I51" s="13">
        <v>42967.409768518519</v>
      </c>
      <c r="J51" s="7">
        <v>0</v>
      </c>
      <c r="K51" s="89" t="str">
        <f t="shared" si="0"/>
        <v>4013/4014</v>
      </c>
      <c r="L51" s="21" t="str">
        <f>VLOOKUP(A51,'Trips&amp;Operators'!$C$1:$G$99911,5,FALSE)</f>
        <v>MOSES BRADLEY</v>
      </c>
      <c r="M51" s="6">
        <f t="shared" si="1"/>
        <v>2.6180555556493346E-2</v>
      </c>
      <c r="N51" s="7">
        <f t="shared" si="2"/>
        <v>37.700000001350418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-20T08:07:43-0600',mode:absolute,to:'2017-08-20T10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23.299600000000002</v>
      </c>
      <c r="Z51" s="197">
        <f t="shared" si="8"/>
        <v>1.67E-2</v>
      </c>
      <c r="AA51" s="197">
        <f t="shared" si="9"/>
        <v>23.282900000000001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 t="shared" si="10"/>
        <v>138</v>
      </c>
      <c r="AE51" s="77" t="str">
        <f t="shared" si="11"/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AF51" s="74" t="str">
        <f t="shared" si="12"/>
        <v>"C:\Program Files (x86)\AstroGrep\AstroGrep.exe" /e /r /s /spath="%USERPROFILE%\AppData\Local\Temp\OnboardLogs" /stypes="app*4013*20170820*"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35"/>
        <v>"%USERPROFILE%\Documents\GitHub\eaglep3\Utilities\RefineRTDCRunTimes.py" --tripid 138-20 --locoid 4013 --swversion DE.1.0.9.0 --startMP 204:232996 --initTime 2017-08-20T09:07:43 --startdatetime 2017-08-20T09:12:22 --delay 1 --endMP 204:167 --enddatetime 2017-08-20T09:50:04 --enforcementcount 0 &gt;&gt;C:\Users\stu\Documents\GitHub\eaglep3-reporting\EC\2017-08-20-refined-times.txt</v>
      </c>
      <c r="AI51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{"issue":{"subject":"","project_id":79,"tracker_id":40,"status_id":1,"priority_id":2,"assigned_to_id":23,"start_date":"2017-08-20","description":"","custom_fields":[{"id":1,"name":"Subdivision","value":"EC"},{"id":4,"name":"Milepost","value":"0.0167"},{"id":17,"name":"Train ID","value":"138-20"},{"id":16,"name":"Locomotive ID","value":"4013"},{"id":130,"name":"Impact","value":""},{"id":150,"name":"Time of Event (Mountain Time)","value":"09:50:04"},{"id":151,"name":"Denver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37"/>
        <v>start /low /b %USERPROFILE%\Documents\GitHub\eaglep3\Utilities\DownloadLogsFromS3.py --loco 4013 --day 2017-08-20</v>
      </c>
      <c r="AN51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633</v>
      </c>
      <c r="B52" s="7">
        <v>4006</v>
      </c>
      <c r="C52" s="21" t="s">
        <v>198</v>
      </c>
      <c r="D52" s="21" t="s">
        <v>339</v>
      </c>
      <c r="E52" s="13">
        <v>42967.351851851854</v>
      </c>
      <c r="F52" s="13">
        <v>42967.354803240742</v>
      </c>
      <c r="G52" s="7">
        <v>1</v>
      </c>
      <c r="H52" s="21" t="s">
        <v>458</v>
      </c>
      <c r="I52" s="13">
        <v>42967.379756944443</v>
      </c>
      <c r="J52" s="7">
        <v>0</v>
      </c>
      <c r="K52" s="89" t="str">
        <f t="shared" si="0"/>
        <v>4005/4006</v>
      </c>
      <c r="L52" s="21" t="str">
        <f>VLOOKUP(A52,'Trips&amp;Operators'!$C$1:$G$99911,5,FALSE)</f>
        <v>MAELZER KURT</v>
      </c>
      <c r="M52" s="6">
        <f t="shared" si="1"/>
        <v>2.495370370161254E-2</v>
      </c>
      <c r="N52" s="7">
        <f t="shared" si="2"/>
        <v>35.933333330322057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-20T07:26:40-0600',mode:absolute,to:'2017-08-20T10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7"/>
        <v>4.4600000000000001E-2</v>
      </c>
      <c r="Z52" s="197">
        <f t="shared" si="8"/>
        <v>23.335100000000001</v>
      </c>
      <c r="AA52" s="197">
        <f t="shared" si="9"/>
        <v>23.290500000000002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 t="shared" si="10"/>
        <v>139</v>
      </c>
      <c r="AE52" s="77" t="str">
        <f t="shared" si="11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52" s="74" t="str">
        <f t="shared" si="12"/>
        <v>"C:\Program Files (x86)\AstroGrep\AstroGrep.exe" /e /r /s /spath="%USERPROFILE%\AppData\Local\Temp\OnboardLogs" /stypes="app*4006*20170820*"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35"/>
        <v>"%USERPROFILE%\Documents\GitHub\eaglep3\Utilities\RefineRTDCRunTimes.py" --tripid 139-20 --locoid 4006 --swversion DE.1.0.9.0 --startMP 204:446 --initTime 2017-08-20T08:26:40 --startdatetime 2017-08-20T08:30:55 --delay 1 --endMP 204:233351 --enddatetime 2017-08-20T09:06:51 --enforcementcount 0 &gt;&gt;C:\Users\stu\Documents\GitHub\eaglep3-reporting\EC\2017-08-20-refined-times.txt</v>
      </c>
      <c r="AI52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{"issue":{"subject":"","project_id":79,"tracker_id":40,"status_id":1,"priority_id":2,"assigned_to_id":23,"start_date":"2017-08-20","description":"","custom_fields":[{"id":1,"name":"Subdivision","value":"EC"},{"id":4,"name":"Milepost","value":"23.3351"},{"id":17,"name":"Train ID","value":"139-20"},{"id":16,"name":"Locomotive ID","value":"4006"},{"id":130,"name":"Impact","value":""},{"id":150,"name":"Time of Event (Mountain Time)","value":"09:06:51"},{"id":151,"name":"Denver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37"/>
        <v>start /low /b %USERPROFILE%\Documents\GitHub\eaglep3\Utilities\DownloadLogsFromS3.py --loco 4006 --day 2017-08-20</v>
      </c>
      <c r="AN52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641</v>
      </c>
      <c r="B53" s="7">
        <v>4005</v>
      </c>
      <c r="C53" s="21" t="s">
        <v>198</v>
      </c>
      <c r="D53" s="21" t="s">
        <v>463</v>
      </c>
      <c r="E53" s="13">
        <v>42967.38181712963</v>
      </c>
      <c r="F53" s="13">
        <v>42967.39403935185</v>
      </c>
      <c r="G53" s="7">
        <v>0</v>
      </c>
      <c r="H53" s="21" t="s">
        <v>789</v>
      </c>
      <c r="I53" s="13">
        <v>42967.42</v>
      </c>
      <c r="J53" s="7">
        <v>0</v>
      </c>
      <c r="K53" s="89" t="str">
        <f t="shared" si="0"/>
        <v>4005/4006</v>
      </c>
      <c r="L53" s="21" t="str">
        <f>VLOOKUP(A53,'Trips&amp;Operators'!$C$1:$G$99911,5,FALSE)</f>
        <v>MAELZER KURT</v>
      </c>
      <c r="M53" s="6">
        <f t="shared" si="1"/>
        <v>2.5960648148611654E-2</v>
      </c>
      <c r="N53" s="7">
        <f t="shared" si="2"/>
        <v>37.383333334000781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-20T08:09:49-0600',mode:absolute,to:'2017-08-20T11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7"/>
        <v>23.303599999999999</v>
      </c>
      <c r="Z53" s="197">
        <f t="shared" si="8"/>
        <v>1.29E-2</v>
      </c>
      <c r="AA53" s="197">
        <f t="shared" si="9"/>
        <v>23.290700000000001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 t="shared" si="10"/>
        <v>140</v>
      </c>
      <c r="AE53" s="77" t="str">
        <f t="shared" si="11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53" s="74" t="str">
        <f t="shared" si="12"/>
        <v>"C:\Program Files (x86)\AstroGrep\AstroGrep.exe" /e /r /s /spath="%USERPROFILE%\AppData\Local\Temp\OnboardLogs" /stypes="app*4005*20170820*"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35"/>
        <v>"%USERPROFILE%\Documents\GitHub\eaglep3\Utilities\RefineRTDCRunTimes.py" --tripid 140-20 --locoid 4005 --swversion DE.1.0.9.0 --startMP 204:233036 --initTime 2017-08-20T09:09:49 --startdatetime 2017-08-20T09:27:25 --delay 0 --endMP 204:129 --enddatetime 2017-08-20T10:04:48 --enforcementcount 0 &gt;&gt;C:\Users\stu\Documents\GitHub\eaglep3-reporting\EC\2017-08-20-refined-times.txt</v>
      </c>
      <c r="AI53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{"issue":{"subject":"","project_id":79,"tracker_id":40,"status_id":1,"priority_id":2,"assigned_to_id":23,"start_date":"2017-08-20","description":"","custom_fields":[{"id":1,"name":"Subdivision","value":"EC"},{"id":4,"name":"Milepost","value":"0.0129"},{"id":17,"name":"Train ID","value":"140-20"},{"id":16,"name":"Locomotive ID","value":"4005"},{"id":130,"name":"Impact","value":""},{"id":150,"name":"Time of Event (Mountain Time)","value":"10:04:48"},{"id":151,"name":"Denver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37"/>
        <v>start /low /b %USERPROFILE%\Documents\GitHub\eaglep3\Utilities\DownloadLogsFromS3.py --loco 4005 --day 2017-08-20</v>
      </c>
      <c r="AN53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637</v>
      </c>
      <c r="B54" s="7">
        <v>4016</v>
      </c>
      <c r="C54" s="21" t="s">
        <v>198</v>
      </c>
      <c r="D54" s="21" t="s">
        <v>381</v>
      </c>
      <c r="E54" s="13">
        <v>42967.361400462964</v>
      </c>
      <c r="F54" s="13">
        <v>42967.365115740744</v>
      </c>
      <c r="G54" s="7">
        <v>0</v>
      </c>
      <c r="H54" s="21" t="s">
        <v>434</v>
      </c>
      <c r="I54" s="13">
        <v>42967.389456018522</v>
      </c>
      <c r="J54" s="7">
        <v>0</v>
      </c>
      <c r="K54" s="89" t="str">
        <f t="shared" si="0"/>
        <v>4015/4016</v>
      </c>
      <c r="L54" s="21" t="str">
        <f>VLOOKUP(A54,'Trips&amp;Operators'!$C$1:$G$99911,5,FALSE)</f>
        <v>GUZMAN DANNY</v>
      </c>
      <c r="M54" s="6">
        <f t="shared" si="1"/>
        <v>2.4340277777810115E-2</v>
      </c>
      <c r="N54" s="7">
        <f t="shared" si="2"/>
        <v>35.050000000046566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-20T07:40:25-0600',mode:absolute,to:'2017-08-20T10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4.58E-2</v>
      </c>
      <c r="Z54" s="197">
        <f t="shared" si="8"/>
        <v>23.333200000000001</v>
      </c>
      <c r="AA54" s="197">
        <f t="shared" si="9"/>
        <v>23.287400000000002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 t="shared" si="10"/>
        <v>141</v>
      </c>
      <c r="AE54" s="77" t="str">
        <f t="shared" si="11"/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AF54" s="74" t="str">
        <f t="shared" si="12"/>
        <v>"C:\Program Files (x86)\AstroGrep\AstroGrep.exe" /e /r /s /spath="%USERPROFILE%\AppData\Local\Temp\OnboardLogs" /stypes="app*4016*20170820*"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35"/>
        <v>"%USERPROFILE%\Documents\GitHub\eaglep3\Utilities\RefineRTDCRunTimes.py" --tripid 141-20 --locoid 4016 --swversion DE.1.0.9.0 --startMP 204:458 --initTime 2017-08-20T08:40:25 --startdatetime 2017-08-20T08:45:46 --delay 0 --endMP 204:233332 --enddatetime 2017-08-20T09:20:49 --enforcementcount 0 &gt;&gt;C:\Users\stu\Documents\GitHub\eaglep3-reporting\EC\2017-08-20-refined-times.txt</v>
      </c>
      <c r="AI54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{"issue":{"subject":"","project_id":79,"tracker_id":40,"status_id":1,"priority_id":2,"assigned_to_id":23,"start_date":"2017-08-20","description":"","custom_fields":[{"id":1,"name":"Subdivision","value":"EC"},{"id":4,"name":"Milepost","value":"23.3332"},{"id":17,"name":"Train ID","value":"141-20"},{"id":16,"name":"Locomotive ID","value":"4016"},{"id":130,"name":"Impact","value":""},{"id":150,"name":"Time of Event (Mountain Time)","value":"09:20:49"},{"id":151,"name":"Denver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37"/>
        <v>start /low /b %USERPROFILE%\Documents\GitHub\eaglep3\Utilities\DownloadLogsFromS3.py --loco 4016 --day 2017-08-20</v>
      </c>
      <c r="AN54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533</v>
      </c>
      <c r="B55" s="7">
        <v>4015</v>
      </c>
      <c r="C55" s="21" t="s">
        <v>198</v>
      </c>
      <c r="D55" s="21" t="s">
        <v>790</v>
      </c>
      <c r="E55" s="13">
        <v>42967.401898148149</v>
      </c>
      <c r="F55" s="13">
        <v>42967.404363425929</v>
      </c>
      <c r="G55" s="7">
        <v>1</v>
      </c>
      <c r="H55" s="21" t="s">
        <v>341</v>
      </c>
      <c r="I55" s="13">
        <v>42967.431435185186</v>
      </c>
      <c r="J55" s="7">
        <v>0</v>
      </c>
      <c r="K55" s="89" t="str">
        <f t="shared" si="0"/>
        <v>4015/4016</v>
      </c>
      <c r="L55" s="21" t="str">
        <f>VLOOKUP(A55,'Trips&amp;Operators'!$C$1:$G$99911,5,FALSE)</f>
        <v>ALONZO MATTHEW</v>
      </c>
      <c r="M55" s="6">
        <f t="shared" si="1"/>
        <v>2.7071759257523809E-2</v>
      </c>
      <c r="N55" s="7">
        <f t="shared" si="2"/>
        <v>38.983333330834284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-20T08:38:44-0600',mode:absolute,to:'2017-08-20T11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7"/>
        <v>23.302600000000002</v>
      </c>
      <c r="Z55" s="197">
        <f t="shared" si="8"/>
        <v>1.49E-2</v>
      </c>
      <c r="AA55" s="197">
        <f t="shared" si="9"/>
        <v>23.287700000000001</v>
      </c>
      <c r="AB55" s="54" t="str">
        <f>VLOOKUP(A55,Enforcements!$C$7:$K$11,8,0)</f>
        <v>Bulletin (2)</v>
      </c>
      <c r="AC55" s="51" t="str">
        <f>VLOOKUP(A55,Enforcements!$C$7:$E$11,3,0)</f>
        <v>GRADE CROSSING</v>
      </c>
      <c r="AD55" s="206">
        <f t="shared" si="10"/>
        <v>142</v>
      </c>
      <c r="AE55" s="77" t="str">
        <f t="shared" si="11"/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AF55" s="74" t="str">
        <f t="shared" si="12"/>
        <v>"C:\Program Files (x86)\AstroGrep\AstroGrep.exe" /e /r /s /spath="%USERPROFILE%\AppData\Local\Temp\OnboardLogs" /stypes="app*4015*20170820*"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35"/>
        <v>"%USERPROFILE%\Documents\GitHub\eaglep3\Utilities\RefineRTDCRunTimes.py" --tripid 142-20 --locoid 4015 --swversion DE.1.0.9.0 --startMP 204:233026 --initTime 2017-08-20T09:38:44 --startdatetime 2017-08-20T09:42:17 --delay 1 --endMP 204:149 --enddatetime 2017-08-20T10:21:16 --enforcementcount 0 &gt;&gt;C:\Users\stu\Documents\GitHub\eaglep3-reporting\EC\2017-08-20-refined-times.txt</v>
      </c>
      <c r="AI55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{"issue":{"subject":"","project_id":79,"tracker_id":40,"status_id":1,"priority_id":2,"assigned_to_id":23,"start_date":"2017-08-20","description":"","custom_fields":[{"id":1,"name":"Subdivision","value":"EC"},{"id":4,"name":"Milepost","value":"0.0149"},{"id":17,"name":"Train ID","value":"142-20"},{"id":16,"name":"Locomotive ID","value":"4015"},{"id":130,"name":"Impact","value":""},{"id":150,"name":"Time of Event (Mountain Time)","value":"10:21:16"},{"id":151,"name":"Denver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37"/>
        <v>start /low /b %USERPROFILE%\Documents\GitHub\eaglep3\Utilities\DownloadLogsFromS3.py --loco 4015 --day 2017-08-20</v>
      </c>
      <c r="AN55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638</v>
      </c>
      <c r="B56" s="7">
        <v>4054</v>
      </c>
      <c r="C56" s="21" t="s">
        <v>198</v>
      </c>
      <c r="D56" s="21" t="s">
        <v>339</v>
      </c>
      <c r="E56" s="13">
        <v>42967.371805555558</v>
      </c>
      <c r="F56" s="13">
        <v>42967.375613425924</v>
      </c>
      <c r="G56" s="7">
        <v>1</v>
      </c>
      <c r="H56" s="21" t="s">
        <v>487</v>
      </c>
      <c r="I56" s="13">
        <v>42967.400625000002</v>
      </c>
      <c r="J56" s="7">
        <v>0</v>
      </c>
      <c r="K56" s="89" t="str">
        <f t="shared" si="0"/>
        <v>4053/4054</v>
      </c>
      <c r="L56" s="21" t="str">
        <f>VLOOKUP(A56,'Trips&amp;Operators'!$C$1:$G$99911,5,FALSE)</f>
        <v>WILLIAMS DONTE</v>
      </c>
      <c r="M56" s="6">
        <f t="shared" si="1"/>
        <v>2.5011574078234844E-2</v>
      </c>
      <c r="N56" s="7">
        <f t="shared" si="2"/>
        <v>36.016666672658175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-20T07:55:24-0600',mode:absolute,to:'2017-08-20T10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4.4600000000000001E-2</v>
      </c>
      <c r="Z56" s="197">
        <f t="shared" si="8"/>
        <v>23.331900000000001</v>
      </c>
      <c r="AA56" s="197">
        <f t="shared" si="9"/>
        <v>23.287300000000002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 t="shared" si="10"/>
        <v>143</v>
      </c>
      <c r="AE56" s="77" t="str">
        <f t="shared" si="11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56" s="74" t="str">
        <f t="shared" si="12"/>
        <v>"C:\Program Files (x86)\AstroGrep\AstroGrep.exe" /e /r /s /spath="%USERPROFILE%\AppData\Local\Temp\OnboardLogs" /stypes="app*4054*20170820*"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35"/>
        <v>"%USERPROFILE%\Documents\GitHub\eaglep3\Utilities\RefineRTDCRunTimes.py" --tripid 143-20 --locoid 4054 --swversion DE.1.0.9.0 --startMP 204:446 --initTime 2017-08-20T08:55:24 --startdatetime 2017-08-20T09:00:53 --delay 1 --endMP 204:233319 --enddatetime 2017-08-20T09:36:54 --enforcementcount 0 &gt;&gt;C:\Users\stu\Documents\GitHub\eaglep3-reporting\EC\2017-08-20-refined-times.txt</v>
      </c>
      <c r="AI56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{"issue":{"subject":"","project_id":79,"tracker_id":40,"status_id":1,"priority_id":2,"assigned_to_id":23,"start_date":"2017-08-20","description":"","custom_fields":[{"id":1,"name":"Subdivision","value":"EC"},{"id":4,"name":"Milepost","value":"23.3319"},{"id":17,"name":"Train ID","value":"143-20"},{"id":16,"name":"Locomotive ID","value":"4054"},{"id":130,"name":"Impact","value":""},{"id":150,"name":"Time of Event (Mountain Time)","value":"09:36:54"},{"id":151,"name":"Denver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37"/>
        <v>start /low /b %USERPROFILE%\Documents\GitHub\eaglep3\Utilities\DownloadLogsFromS3.py --loco 4054 --day 2017-08-20</v>
      </c>
      <c r="AN56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648</v>
      </c>
      <c r="B57" s="7">
        <v>4053</v>
      </c>
      <c r="C57" s="21" t="s">
        <v>198</v>
      </c>
      <c r="D57" s="21" t="s">
        <v>422</v>
      </c>
      <c r="E57" s="13">
        <v>42967.411307870374</v>
      </c>
      <c r="F57" s="13">
        <v>42967.414918981478</v>
      </c>
      <c r="G57" s="7">
        <v>1</v>
      </c>
      <c r="H57" s="21" t="s">
        <v>387</v>
      </c>
      <c r="I57" s="13">
        <v>42967.441388888888</v>
      </c>
      <c r="J57" s="7">
        <v>0</v>
      </c>
      <c r="K57" s="89" t="str">
        <f t="shared" si="0"/>
        <v>4053/4054</v>
      </c>
      <c r="L57" s="21" t="str">
        <f>VLOOKUP(A57,'Trips&amp;Operators'!$C$1:$G$99911,5,FALSE)</f>
        <v>WILLIAMS DONTE</v>
      </c>
      <c r="M57" s="6">
        <f t="shared" si="1"/>
        <v>2.6469907410501037E-2</v>
      </c>
      <c r="N57" s="7">
        <f t="shared" si="2"/>
        <v>38.116666671121493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-20T08:52:17-0600',mode:absolute,to:'2017-08-20T11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23.3</v>
      </c>
      <c r="Z57" s="197">
        <f t="shared" si="8"/>
        <v>1.52E-2</v>
      </c>
      <c r="AA57" s="197">
        <f t="shared" si="9"/>
        <v>23.284800000000001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 t="shared" si="10"/>
        <v>144</v>
      </c>
      <c r="AE57" s="77" t="str">
        <f t="shared" si="11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57" s="74" t="str">
        <f t="shared" si="12"/>
        <v>"C:\Program Files (x86)\AstroGrep\AstroGrep.exe" /e /r /s /spath="%USERPROFILE%\AppData\Local\Temp\OnboardLogs" /stypes="app*4053*20170820*"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35"/>
        <v>"%USERPROFILE%\Documents\GitHub\eaglep3\Utilities\RefineRTDCRunTimes.py" --tripid 144-20 --locoid 4053 --swversion DE.1.0.9.0 --startMP 204:233000 --initTime 2017-08-20T09:52:17 --startdatetime 2017-08-20T09:57:29 --delay 1 --endMP 204:152 --enddatetime 2017-08-20T10:35:36 --enforcementcount 0 &gt;&gt;C:\Users\stu\Documents\GitHub\eaglep3-reporting\EC\2017-08-20-refined-times.txt</v>
      </c>
      <c r="AI57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{"issue":{"subject":"","project_id":79,"tracker_id":40,"status_id":1,"priority_id":2,"assigned_to_id":23,"start_date":"2017-08-20","description":"","custom_fields":[{"id":1,"name":"Subdivision","value":"EC"},{"id":4,"name":"Milepost","value":"0.0152"},{"id":17,"name":"Train ID","value":"144-20"},{"id":16,"name":"Locomotive ID","value":"4053"},{"id":130,"name":"Impact","value":""},{"id":150,"name":"Time of Event (Mountain Time)","value":"10:35:36"},{"id":151,"name":"Denver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37"/>
        <v>start /low /b %USERPROFILE%\Documents\GitHub\eaglep3\Utilities\DownloadLogsFromS3.py --loco 4053 --day 2017-08-20</v>
      </c>
      <c r="AN57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642</v>
      </c>
      <c r="B58" s="7">
        <v>4012</v>
      </c>
      <c r="C58" s="21" t="s">
        <v>198</v>
      </c>
      <c r="D58" s="21" t="s">
        <v>381</v>
      </c>
      <c r="E58" s="13">
        <v>42967.383229166669</v>
      </c>
      <c r="F58" s="13">
        <v>42967.386018518519</v>
      </c>
      <c r="G58" s="7">
        <v>1</v>
      </c>
      <c r="H58" s="21" t="s">
        <v>428</v>
      </c>
      <c r="I58" s="13">
        <v>42967.41033564815</v>
      </c>
      <c r="J58" s="7">
        <v>0</v>
      </c>
      <c r="K58" s="89" t="str">
        <f t="shared" si="0"/>
        <v>4011/4012</v>
      </c>
      <c r="L58" s="21" t="str">
        <f>VLOOKUP(A58,'Trips&amp;Operators'!$C$1:$G$99911,5,FALSE)</f>
        <v>MACDONALD THOMAS</v>
      </c>
      <c r="M58" s="6">
        <f t="shared" si="1"/>
        <v>2.4317129631526768E-2</v>
      </c>
      <c r="N58" s="7">
        <f t="shared" si="2"/>
        <v>35.016666669398546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-20T08:11:51-0600',mode:absolute,to:'2017-08-20T10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4.58E-2</v>
      </c>
      <c r="Z58" s="197">
        <f t="shared" si="8"/>
        <v>23.3291</v>
      </c>
      <c r="AA58" s="197">
        <f t="shared" si="9"/>
        <v>23.283300000000001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 t="shared" si="10"/>
        <v>145</v>
      </c>
      <c r="AE58" s="77" t="str">
        <f t="shared" si="11"/>
        <v>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 &amp; aws s3 cp s3://rtdc.mdm.uploadarchive.raw/RTDC4012/ "%USERPROFILE%\AppData\Local\Temp\OnboardLogs"\RTDC4012\2017-08-21 --exclude "*" --recursive --include "*20170821*" &amp; "%USERPROFILE%\Documents\GitHub\mrs-test-scripts\Headless Mode &amp; Sideloading\WalkAndUnGZ.bat" "%USERPROFILE%\AppData\Local\Temp\OnboardLogs"\RTDC4012\2017-08-21</v>
      </c>
      <c r="AF58" s="74" t="str">
        <f t="shared" si="12"/>
        <v>"C:\Program Files (x86)\AstroGrep\AstroGrep.exe" /e /r /s /spath="%USERPROFILE%\AppData\Local\Temp\OnboardLogs" /stypes="app*4012*20170820*"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35"/>
        <v>"%USERPROFILE%\Documents\GitHub\eaglep3\Utilities\RefineRTDCRunTimes.py" --tripid 145-20 --locoid 4012 --swversion DE.1.0.9.0 --startMP 204:458 --initTime 2017-08-20T09:11:51 --startdatetime 2017-08-20T09:15:52 --delay 1 --endMP 204:233291 --enddatetime 2017-08-20T09:50:53 --enforcementcount 0 &gt;&gt;C:\Users\stu\Documents\GitHub\eaglep3-reporting\EC\2017-08-20-refined-times.txt</v>
      </c>
      <c r="AI58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{"issue":{"subject":"","project_id":79,"tracker_id":40,"status_id":1,"priority_id":2,"assigned_to_id":23,"start_date":"2017-08-20","description":"","custom_fields":[{"id":1,"name":"Subdivision","value":"EC"},{"id":4,"name":"Milepost","value":"23.3291"},{"id":17,"name":"Train ID","value":"145-20"},{"id":16,"name":"Locomotive ID","value":"4012"},{"id":130,"name":"Impact","value":""},{"id":150,"name":"Time of Event (Mountain Time)","value":"09:50:53"},{"id":151,"name":"Denver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37"/>
        <v>start /low /b %USERPROFILE%\Documents\GitHub\eaglep3\Utilities\DownloadLogsFromS3.py --loco 4012 --day 2017-08-20</v>
      </c>
      <c r="AN58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652</v>
      </c>
      <c r="B59" s="7">
        <v>4011</v>
      </c>
      <c r="C59" s="21" t="s">
        <v>198</v>
      </c>
      <c r="D59" s="21" t="s">
        <v>791</v>
      </c>
      <c r="E59" s="13">
        <v>42967.423391203702</v>
      </c>
      <c r="F59" s="13">
        <v>42967.425497685188</v>
      </c>
      <c r="G59" s="7">
        <v>1</v>
      </c>
      <c r="H59" s="21" t="s">
        <v>361</v>
      </c>
      <c r="I59" s="13">
        <v>42967.451319444444</v>
      </c>
      <c r="J59" s="7">
        <v>0</v>
      </c>
      <c r="K59" s="89" t="str">
        <f t="shared" si="0"/>
        <v>4011/4012</v>
      </c>
      <c r="L59" s="21" t="str">
        <f>VLOOKUP(A59,'Trips&amp;Operators'!$C$1:$G$99911,5,FALSE)</f>
        <v>MACDONALD THOMAS</v>
      </c>
      <c r="M59" s="6">
        <f t="shared" si="1"/>
        <v>2.5821759256359655E-2</v>
      </c>
      <c r="N59" s="7">
        <f t="shared" si="2"/>
        <v>37.183333329157904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-20T09:09:41-0600',mode:absolute,to:'2017-08-20T11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23.296099999999999</v>
      </c>
      <c r="Z59" s="197">
        <f t="shared" si="8"/>
        <v>1.54E-2</v>
      </c>
      <c r="AA59" s="197">
        <f t="shared" si="9"/>
        <v>23.2807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 t="shared" si="10"/>
        <v>146</v>
      </c>
      <c r="AE59" s="77" t="str">
        <f t="shared" si="11"/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AF59" s="74" t="str">
        <f t="shared" si="12"/>
        <v>"C:\Program Files (x86)\AstroGrep\AstroGrep.exe" /e /r /s /spath="%USERPROFILE%\AppData\Local\Temp\OnboardLogs" /stypes="app*4011*20170820*"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35"/>
        <v>"%USERPROFILE%\Documents\GitHub\eaglep3\Utilities\RefineRTDCRunTimes.py" --tripid 146-20 --locoid 4011 --swversion DE.1.0.9.0 --startMP 204:232961 --initTime 2017-08-20T10:09:41 --startdatetime 2017-08-20T10:12:43 --delay 1 --endMP 204:154 --enddatetime 2017-08-20T10:49:54 --enforcementcount 0 &gt;&gt;C:\Users\stu\Documents\GitHub\eaglep3-reporting\EC\2017-08-20-refined-times.txt</v>
      </c>
      <c r="AI59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{"issue":{"subject":"","project_id":79,"tracker_id":40,"status_id":1,"priority_id":2,"assigned_to_id":23,"start_date":"2017-08-20","description":"","custom_fields":[{"id":1,"name":"Subdivision","value":"EC"},{"id":4,"name":"Milepost","value":"0.0154"},{"id":17,"name":"Train ID","value":"146-20"},{"id":16,"name":"Locomotive ID","value":"4011"},{"id":130,"name":"Impact","value":""},{"id":150,"name":"Time of Event (Mountain Time)","value":"10:49:54"},{"id":151,"name":"Denver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37"/>
        <v>start /low /b %USERPROFILE%\Documents\GitHub\eaglep3\Utilities\DownloadLogsFromS3.py --loco 4011 --day 2017-08-20</v>
      </c>
      <c r="AN59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643</v>
      </c>
      <c r="B60" s="7">
        <v>4058</v>
      </c>
      <c r="C60" s="21" t="s">
        <v>198</v>
      </c>
      <c r="D60" s="21" t="s">
        <v>432</v>
      </c>
      <c r="E60" s="13">
        <v>42967.391192129631</v>
      </c>
      <c r="F60" s="13">
        <v>42967.39638888889</v>
      </c>
      <c r="G60" s="7">
        <v>1</v>
      </c>
      <c r="H60" s="21" t="s">
        <v>792</v>
      </c>
      <c r="I60" s="13">
        <v>42967.422222222223</v>
      </c>
      <c r="J60" s="7">
        <v>0</v>
      </c>
      <c r="K60" s="89" t="str">
        <f t="shared" si="0"/>
        <v>4057/4058</v>
      </c>
      <c r="L60" s="21" t="str">
        <f>VLOOKUP(A60,'Trips&amp;Operators'!$C$1:$G$99911,5,FALSE)</f>
        <v>DAVIS WENDY</v>
      </c>
      <c r="M60" s="6">
        <f t="shared" si="1"/>
        <v>2.5833333333139308E-2</v>
      </c>
      <c r="N60" s="7">
        <f t="shared" si="2"/>
        <v>37.199999999720603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-20T08:23:19-0600',mode:absolute,to:'2017-08-20T11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7"/>
        <v>4.6899999999999997E-2</v>
      </c>
      <c r="Z60" s="197">
        <f t="shared" si="8"/>
        <v>23.3325</v>
      </c>
      <c r="AA60" s="197">
        <f t="shared" si="9"/>
        <v>23.285599999999999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 t="shared" si="10"/>
        <v>147</v>
      </c>
      <c r="AE60" s="77" t="str">
        <f t="shared" si="11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60" s="74" t="str">
        <f t="shared" si="12"/>
        <v>"C:\Program Files (x86)\AstroGrep\AstroGrep.exe" /e /r /s /spath="%USERPROFILE%\AppData\Local\Temp\OnboardLogs" /stypes="app*4058*20170820*"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35"/>
        <v>"%USERPROFILE%\Documents\GitHub\eaglep3\Utilities\RefineRTDCRunTimes.py" --tripid 147-20 --locoid 4058 --swversion DE.1.0.9.0 --startMP 204:469 --initTime 2017-08-20T09:23:19 --startdatetime 2017-08-20T09:30:48 --delay 1 --endMP 204:233325 --enddatetime 2017-08-20T10:08:00 --enforcementcount 0 &gt;&gt;C:\Users\stu\Documents\GitHub\eaglep3-reporting\EC\2017-08-20-refined-times.txt</v>
      </c>
      <c r="AI60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{"issue":{"subject":"","project_id":79,"tracker_id":40,"status_id":1,"priority_id":2,"assigned_to_id":23,"start_date":"2017-08-20","description":"","custom_fields":[{"id":1,"name":"Subdivision","value":"EC"},{"id":4,"name":"Milepost","value":"23.3325"},{"id":17,"name":"Train ID","value":"147-20"},{"id":16,"name":"Locomotive ID","value":"4058"},{"id":130,"name":"Impact","value":""},{"id":150,"name":"Time of Event (Mountain Time)","value":"10:08:00"},{"id":151,"name":"Denver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37"/>
        <v>start /low /b %USERPROFILE%\Documents\GitHub\eaglep3\Utilities\DownloadLogsFromS3.py --loco 4058 --day 2017-08-20</v>
      </c>
      <c r="AN60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653</v>
      </c>
      <c r="B61" s="7">
        <v>4057</v>
      </c>
      <c r="C61" s="21" t="s">
        <v>198</v>
      </c>
      <c r="D61" s="21" t="s">
        <v>456</v>
      </c>
      <c r="E61" s="13">
        <v>42967.432650462964</v>
      </c>
      <c r="F61" s="13">
        <v>42967.435578703706</v>
      </c>
      <c r="G61" s="7">
        <v>1</v>
      </c>
      <c r="H61" s="21" t="s">
        <v>361</v>
      </c>
      <c r="I61" s="13">
        <v>42967.462361111109</v>
      </c>
      <c r="J61" s="7">
        <v>0</v>
      </c>
      <c r="K61" s="89" t="str">
        <f t="shared" si="0"/>
        <v>4057/4058</v>
      </c>
      <c r="L61" s="21" t="str">
        <f>VLOOKUP(A61,'Trips&amp;Operators'!$C$1:$G$99911,5,FALSE)</f>
        <v>DAVIS WENDY</v>
      </c>
      <c r="M61" s="6">
        <f t="shared" si="1"/>
        <v>2.6782407403516117E-2</v>
      </c>
      <c r="N61" s="7">
        <f t="shared" si="2"/>
        <v>38.566666661063209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-20T09:23:01-0600',mode:absolute,to:'2017-08-20T12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7"/>
        <v>23.2987</v>
      </c>
      <c r="Z61" s="197">
        <f t="shared" si="8"/>
        <v>1.54E-2</v>
      </c>
      <c r="AA61" s="197">
        <f t="shared" si="9"/>
        <v>23.283300000000001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206">
        <f t="shared" si="10"/>
        <v>148</v>
      </c>
      <c r="AE61" s="77" t="str">
        <f t="shared" si="11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61" s="74" t="str">
        <f t="shared" si="12"/>
        <v>"C:\Program Files (x86)\AstroGrep\AstroGrep.exe" /e /r /s /spath="%USERPROFILE%\AppData\Local\Temp\OnboardLogs" /stypes="app*4057*20170820*"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35"/>
        <v>"%USERPROFILE%\Documents\GitHub\eaglep3\Utilities\RefineRTDCRunTimes.py" --tripid 148-20 --locoid 4057 --swversion DE.1.0.9.0 --startMP 204:232987 --initTime 2017-08-20T10:23:01 --startdatetime 2017-08-20T10:27:14 --delay 1 --endMP 204:154 --enddatetime 2017-08-20T11:05:48 --enforcementcount 0 &gt;&gt;C:\Users\stu\Documents\GitHub\eaglep3-reporting\EC\2017-08-20-refined-times.txt</v>
      </c>
      <c r="AI61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{"issue":{"subject":"","project_id":79,"tracker_id":40,"status_id":1,"priority_id":2,"assigned_to_id":23,"start_date":"2017-08-20","description":"","custom_fields":[{"id":1,"name":"Subdivision","value":"EC"},{"id":4,"name":"Milepost","value":"0.0154"},{"id":17,"name":"Train ID","value":"148-20"},{"id":16,"name":"Locomotive ID","value":"4057"},{"id":130,"name":"Impact","value":""},{"id":150,"name":"Time of Event (Mountain Time)","value":"11:05:48"},{"id":151,"name":"Denver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37"/>
        <v>start /low /b %USERPROFILE%\Documents\GitHub\eaglep3\Utilities\DownloadLogsFromS3.py --loco 4057 --day 2017-08-20</v>
      </c>
      <c r="AN61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644</v>
      </c>
      <c r="B62" s="7">
        <v>4018</v>
      </c>
      <c r="C62" s="21" t="s">
        <v>198</v>
      </c>
      <c r="D62" s="21" t="s">
        <v>779</v>
      </c>
      <c r="E62" s="13">
        <v>42967.400219907409</v>
      </c>
      <c r="F62" s="13">
        <v>42967.406759259262</v>
      </c>
      <c r="G62" s="7">
        <v>1</v>
      </c>
      <c r="H62" s="21" t="s">
        <v>489</v>
      </c>
      <c r="I62" s="13">
        <v>42967.430590277778</v>
      </c>
      <c r="J62" s="7">
        <v>0</v>
      </c>
      <c r="K62" s="89" t="str">
        <f t="shared" si="0"/>
        <v>4017/4018</v>
      </c>
      <c r="L62" s="21" t="str">
        <f>VLOOKUP(A62,'Trips&amp;Operators'!$C$1:$G$99911,5,FALSE)</f>
        <v>LALONDE GREGORY</v>
      </c>
      <c r="M62" s="6">
        <f t="shared" si="1"/>
        <v>2.3831018515920732E-2</v>
      </c>
      <c r="N62" s="7">
        <f t="shared" si="2"/>
        <v>34.316666662925854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-20T08:36:19-0600',mode:absolute,to:'2017-08-20T11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7"/>
        <v>4.3799999999999999E-2</v>
      </c>
      <c r="Z62" s="197">
        <f t="shared" si="8"/>
        <v>23.331199999999999</v>
      </c>
      <c r="AA62" s="197">
        <f t="shared" si="9"/>
        <v>23.287399999999998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 t="shared" si="10"/>
        <v>149</v>
      </c>
      <c r="AE62" s="77" t="str">
        <f t="shared" si="11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62" s="74" t="str">
        <f t="shared" si="12"/>
        <v>"C:\Program Files (x86)\AstroGrep\AstroGrep.exe" /e /r /s /spath="%USERPROFILE%\AppData\Local\Temp\OnboardLogs" /stypes="app*4018*20170820*"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35"/>
        <v>"%USERPROFILE%\Documents\GitHub\eaglep3\Utilities\RefineRTDCRunTimes.py" --tripid 149-20 --locoid 4018 --swversion DE.1.0.9.0 --startMP 204:438 --initTime 2017-08-20T09:36:19 --startdatetime 2017-08-20T09:45:44 --delay 1 --endMP 204:233312 --enddatetime 2017-08-20T10:20:03 --enforcementcount 0 &gt;&gt;C:\Users\stu\Documents\GitHub\eaglep3-reporting\EC\2017-08-20-refined-times.txt</v>
      </c>
      <c r="AI62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{"issue":{"subject":"","project_id":79,"tracker_id":40,"status_id":1,"priority_id":2,"assigned_to_id":23,"start_date":"2017-08-20","description":"","custom_fields":[{"id":1,"name":"Subdivision","value":"EC"},{"id":4,"name":"Milepost","value":"23.3312"},{"id":17,"name":"Train ID","value":"149-20"},{"id":16,"name":"Locomotive ID","value":"4018"},{"id":130,"name":"Impact","value":""},{"id":150,"name":"Time of Event (Mountain Time)","value":"10:20:03"},{"id":151,"name":"Denver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37"/>
        <v>start /low /b %USERPROFILE%\Documents\GitHub\eaglep3\Utilities\DownloadLogsFromS3.py --loco 4018 --day 2017-08-20</v>
      </c>
      <c r="AN62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654</v>
      </c>
      <c r="B63" s="7">
        <v>4017</v>
      </c>
      <c r="C63" s="21" t="s">
        <v>198</v>
      </c>
      <c r="D63" s="21" t="s">
        <v>500</v>
      </c>
      <c r="E63" s="13">
        <v>42967.43246527778</v>
      </c>
      <c r="F63" s="13">
        <v>42967.446053240739</v>
      </c>
      <c r="G63" s="7">
        <v>2</v>
      </c>
      <c r="H63" s="21" t="s">
        <v>340</v>
      </c>
      <c r="I63" s="13">
        <v>42967.471550925926</v>
      </c>
      <c r="J63" s="7">
        <v>0</v>
      </c>
      <c r="K63" s="89" t="str">
        <f t="shared" si="0"/>
        <v>4017/4018</v>
      </c>
      <c r="L63" s="21" t="str">
        <f>VLOOKUP(A63,'Trips&amp;Operators'!$C$1:$G$99911,5,FALSE)</f>
        <v>LALONDE GREGORY</v>
      </c>
      <c r="M63" s="6">
        <f t="shared" si="1"/>
        <v>2.5497685186564922E-2</v>
      </c>
      <c r="N63" s="7">
        <f t="shared" si="2"/>
        <v>36.716666668653488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-20T09:22:45-0600',mode:absolute,to:'2017-08-20T12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7"/>
        <v>23.298200000000001</v>
      </c>
      <c r="Z63" s="197">
        <f t="shared" si="8"/>
        <v>1.4999999999999999E-2</v>
      </c>
      <c r="AA63" s="197">
        <f t="shared" si="9"/>
        <v>23.283200000000001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 t="shared" si="10"/>
        <v>150</v>
      </c>
      <c r="AE63" s="77" t="str">
        <f t="shared" si="11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63" s="74" t="str">
        <f t="shared" si="12"/>
        <v>"C:\Program Files (x86)\AstroGrep\AstroGrep.exe" /e /r /s /spath="%USERPROFILE%\AppData\Local\Temp\OnboardLogs" /stypes="app*4017*20170820*"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35"/>
        <v>"%USERPROFILE%\Documents\GitHub\eaglep3\Utilities\RefineRTDCRunTimes.py" --tripid 150-20 --locoid 4017 --swversion DE.1.0.9.0 --startMP 204:232982 --initTime 2017-08-20T10:22:45 --startdatetime 2017-08-20T10:42:19 --delay 2 --endMP 204:150 --enddatetime 2017-08-20T11:19:02 --enforcementcount 0 &gt;&gt;C:\Users\stu\Documents\GitHub\eaglep3-reporting\EC\2017-08-20-refined-times.txt</v>
      </c>
      <c r="AI63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{"issue":{"subject":"","project_id":79,"tracker_id":40,"status_id":1,"priority_id":2,"assigned_to_id":23,"start_date":"2017-08-20","description":"","custom_fields":[{"id":1,"name":"Subdivision","value":"EC"},{"id":4,"name":"Milepost","value":"0.015"},{"id":17,"name":"Train ID","value":"150-20"},{"id":16,"name":"Locomotive ID","value":"4017"},{"id":130,"name":"Impact","value":""},{"id":150,"name":"Time of Event (Mountain Time)","value":"11:19:02"},{"id":151,"name":"Denver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37"/>
        <v>start /low /b %USERPROFILE%\Documents\GitHub\eaglep3\Utilities\DownloadLogsFromS3.py --loco 4017 --day 2017-08-20</v>
      </c>
      <c r="AN63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649</v>
      </c>
      <c r="B64" s="7">
        <v>4014</v>
      </c>
      <c r="C64" s="21" t="s">
        <v>198</v>
      </c>
      <c r="D64" s="21" t="s">
        <v>394</v>
      </c>
      <c r="E64" s="13">
        <v>42967.412546296298</v>
      </c>
      <c r="F64" s="13">
        <v>42967.418113425927</v>
      </c>
      <c r="G64" s="7">
        <v>1</v>
      </c>
      <c r="H64" s="21" t="s">
        <v>464</v>
      </c>
      <c r="I64" s="13">
        <v>42967.442546296297</v>
      </c>
      <c r="J64" s="7">
        <v>0</v>
      </c>
      <c r="K64" s="89" t="str">
        <f t="shared" si="0"/>
        <v>4013/4014</v>
      </c>
      <c r="L64" s="21" t="str">
        <f>VLOOKUP(A64,'Trips&amp;Operators'!$C$1:$G$99911,5,FALSE)</f>
        <v>MOSES BRADLEY</v>
      </c>
      <c r="M64" s="6">
        <f t="shared" si="1"/>
        <v>2.4432870370219462E-2</v>
      </c>
      <c r="N64" s="7">
        <f t="shared" si="2"/>
        <v>35.183333333116025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-20T08:54:04-0600',mode:absolute,to:'2017-08-20T11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7"/>
        <v>4.6399999999999997E-2</v>
      </c>
      <c r="Z64" s="197">
        <f t="shared" si="8"/>
        <v>23.331700000000001</v>
      </c>
      <c r="AA64" s="197">
        <f t="shared" si="9"/>
        <v>23.285300000000003</v>
      </c>
      <c r="AB64" s="54" t="e">
        <f>VLOOKUP(A64,Enforcements!$C$7:$K$11,8,0)</f>
        <v>#N/A</v>
      </c>
      <c r="AC64" s="51" t="e">
        <f>VLOOKUP(A64,Enforcements!$C$7:$E$11,3,0)</f>
        <v>#N/A</v>
      </c>
      <c r="AD64" s="206">
        <f t="shared" si="10"/>
        <v>151</v>
      </c>
      <c r="AE64" s="77" t="str">
        <f t="shared" si="11"/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64" s="74" t="str">
        <f t="shared" si="12"/>
        <v>"C:\Program Files (x86)\AstroGrep\AstroGrep.exe" /e /r /s /spath="%USERPROFILE%\AppData\Local\Temp\OnboardLogs" /stypes="app*4014*20170820*"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35"/>
        <v>"%USERPROFILE%\Documents\GitHub\eaglep3\Utilities\RefineRTDCRunTimes.py" --tripid 151-20 --locoid 4014 --swversion DE.1.0.9.0 --startMP 204:464 --initTime 2017-08-20T09:54:04 --startdatetime 2017-08-20T10:02:05 --delay 1 --endMP 204:233317 --enddatetime 2017-08-20T10:37:16 --enforcementcount 0 &gt;&gt;C:\Users\stu\Documents\GitHub\eaglep3-reporting\EC\2017-08-20-refined-times.txt</v>
      </c>
      <c r="AI64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{"issue":{"subject":"","project_id":79,"tracker_id":40,"status_id":1,"priority_id":2,"assigned_to_id":23,"start_date":"2017-08-20","description":"","custom_fields":[{"id":1,"name":"Subdivision","value":"EC"},{"id":4,"name":"Milepost","value":"23.3317"},{"id":17,"name":"Train ID","value":"151-20"},{"id":16,"name":"Locomotive ID","value":"4014"},{"id":130,"name":"Impact","value":""},{"id":150,"name":"Time of Event (Mountain Time)","value":"10:37:16"},{"id":151,"name":"Denver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37"/>
        <v>start /low /b %USERPROFILE%\Documents\GitHub\eaglep3\Utilities\DownloadLogsFromS3.py --loco 4014 --day 2017-08-20</v>
      </c>
      <c r="AN64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660</v>
      </c>
      <c r="B65" s="7">
        <v>4013</v>
      </c>
      <c r="C65" s="21" t="s">
        <v>198</v>
      </c>
      <c r="D65" s="21" t="s">
        <v>422</v>
      </c>
      <c r="E65" s="13">
        <v>42967.449456018519</v>
      </c>
      <c r="F65" s="13">
        <v>42967.456458333334</v>
      </c>
      <c r="G65" s="7">
        <v>2</v>
      </c>
      <c r="H65" s="21" t="s">
        <v>387</v>
      </c>
      <c r="I65" s="13">
        <v>42967.482708333337</v>
      </c>
      <c r="J65" s="7">
        <v>0</v>
      </c>
      <c r="K65" s="89" t="str">
        <f t="shared" si="0"/>
        <v>4013/4014</v>
      </c>
      <c r="L65" s="21" t="str">
        <f>VLOOKUP(A65,'Trips&amp;Operators'!$C$1:$G$99911,5,FALSE)</f>
        <v>MOSES BRADLEY</v>
      </c>
      <c r="M65" s="6">
        <f t="shared" si="1"/>
        <v>2.6250000002619345E-2</v>
      </c>
      <c r="N65" s="7">
        <f t="shared" si="2"/>
        <v>37.800000003771856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-20T09:47:13-0600',mode:absolute,to:'2017-08-20T12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5" s="197" t="str">
        <f>IF(AA65&lt;VLOOKUP(AG65,Variables!$AC$3:$AD$8,2,FALSE),"Y","N")</f>
        <v>N</v>
      </c>
      <c r="X65" s="197">
        <f t="shared" si="6"/>
        <v>1</v>
      </c>
      <c r="Y65" s="197">
        <f t="shared" si="7"/>
        <v>23.3</v>
      </c>
      <c r="Z65" s="197">
        <f t="shared" si="8"/>
        <v>1.52E-2</v>
      </c>
      <c r="AA65" s="197">
        <f t="shared" si="9"/>
        <v>23.284800000000001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 t="shared" si="10"/>
        <v>152</v>
      </c>
      <c r="AE65" s="77" t="str">
        <f t="shared" si="11"/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AF65" s="74" t="str">
        <f t="shared" si="12"/>
        <v>"C:\Program Files (x86)\AstroGrep\AstroGrep.exe" /e /r /s /spath="%USERPROFILE%\AppData\Local\Temp\OnboardLogs" /stypes="app*4013*20170820*"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35"/>
        <v>"%USERPROFILE%\Documents\GitHub\eaglep3\Utilities\RefineRTDCRunTimes.py" --tripid 152-20 --locoid 4013 --swversion DE.1.0.9.0 --startMP 204:233000 --initTime 2017-08-20T10:47:13 --startdatetime 2017-08-20T10:57:18 --delay 2 --endMP 204:152 --enddatetime 2017-08-20T11:35:06 --enforcementcount 0 &gt;&gt;C:\Users\stu\Documents\GitHub\eaglep3-reporting\EC\2017-08-20-refined-times.txt</v>
      </c>
      <c r="AI65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{"issue":{"subject":"","project_id":79,"tracker_id":40,"status_id":1,"priority_id":2,"assigned_to_id":23,"start_date":"2017-08-20","description":"","custom_fields":[{"id":1,"name":"Subdivision","value":"EC"},{"id":4,"name":"Milepost","value":"0.0152"},{"id":17,"name":"Train ID","value":"152-20"},{"id":16,"name":"Locomotive ID","value":"4013"},{"id":130,"name":"Impact","value":""},{"id":150,"name":"Time of Event (Mountain Time)","value":"11:35:06"},{"id":151,"name":"Denver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37"/>
        <v>start /low /b %USERPROFILE%\Documents\GitHub\eaglep3\Utilities\DownloadLogsFromS3.py --loco 4013 --day 2017-08-20</v>
      </c>
      <c r="AN65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650</v>
      </c>
      <c r="B66" s="7">
        <v>4006</v>
      </c>
      <c r="C66" s="21" t="s">
        <v>198</v>
      </c>
      <c r="D66" s="21" t="s">
        <v>345</v>
      </c>
      <c r="E66" s="13">
        <v>42967.422106481485</v>
      </c>
      <c r="F66" s="13">
        <v>42967.42759259259</v>
      </c>
      <c r="G66" s="7">
        <v>1</v>
      </c>
      <c r="H66" s="21" t="s">
        <v>793</v>
      </c>
      <c r="I66" s="13">
        <v>42967.452187499999</v>
      </c>
      <c r="J66" s="7">
        <v>0</v>
      </c>
      <c r="K66" s="89" t="str">
        <f t="shared" si="0"/>
        <v>4005/4006</v>
      </c>
      <c r="L66" s="21" t="str">
        <f>VLOOKUP(A66,'Trips&amp;Operators'!$C$1:$G$99911,5,FALSE)</f>
        <v>SULLIVAN BRANDON</v>
      </c>
      <c r="M66" s="6">
        <f t="shared" si="1"/>
        <v>2.4594907408754807E-2</v>
      </c>
      <c r="N66" s="7">
        <f t="shared" si="2"/>
        <v>35.416666668606922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-20T09:07:50-0600',mode:absolute,to:'2017-08-20T11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7"/>
        <v>4.53E-2</v>
      </c>
      <c r="Z66" s="197">
        <f t="shared" si="8"/>
        <v>23.3355</v>
      </c>
      <c r="AA66" s="197">
        <f t="shared" si="9"/>
        <v>23.290199999999999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 t="shared" si="10"/>
        <v>153</v>
      </c>
      <c r="AE66" s="77" t="str">
        <f t="shared" si="11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66" s="74" t="str">
        <f t="shared" si="12"/>
        <v>"C:\Program Files (x86)\AstroGrep\AstroGrep.exe" /e /r /s /spath="%USERPROFILE%\AppData\Local\Temp\OnboardLogs" /stypes="app*4006*20170820*"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35"/>
        <v>"%USERPROFILE%\Documents\GitHub\eaglep3\Utilities\RefineRTDCRunTimes.py" --tripid 153-20 --locoid 4006 --swversion DE.1.0.9.0 --startMP 204:453 --initTime 2017-08-20T10:07:50 --startdatetime 2017-08-20T10:15:44 --delay 1 --endMP 204:233355 --enddatetime 2017-08-20T10:51:09 --enforcementcount 0 &gt;&gt;C:\Users\stu\Documents\GitHub\eaglep3-reporting\EC\2017-08-20-refined-times.txt</v>
      </c>
      <c r="AI66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{"issue":{"subject":"","project_id":79,"tracker_id":40,"status_id":1,"priority_id":2,"assigned_to_id":23,"start_date":"2017-08-20","description":"","custom_fields":[{"id":1,"name":"Subdivision","value":"EC"},{"id":4,"name":"Milepost","value":"23.3355"},{"id":17,"name":"Train ID","value":"153-20"},{"id":16,"name":"Locomotive ID","value":"4006"},{"id":130,"name":"Impact","value":""},{"id":150,"name":"Time of Event (Mountain Time)","value":"10:51:09"},{"id":151,"name":"Denver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37"/>
        <v>start /low /b %USERPROFILE%\Documents\GitHub\eaglep3\Utilities\DownloadLogsFromS3.py --loco 4006 --day 2017-08-20</v>
      </c>
      <c r="AN66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663</v>
      </c>
      <c r="B67" s="7">
        <v>4005</v>
      </c>
      <c r="C67" s="21" t="s">
        <v>198</v>
      </c>
      <c r="D67" s="21" t="s">
        <v>794</v>
      </c>
      <c r="E67" s="13">
        <v>42967.460543981484</v>
      </c>
      <c r="F67" s="13">
        <v>42967.466874999998</v>
      </c>
      <c r="G67" s="7">
        <v>1</v>
      </c>
      <c r="H67" s="21" t="s">
        <v>361</v>
      </c>
      <c r="I67" s="13">
        <v>42967.493530092594</v>
      </c>
      <c r="J67" s="7">
        <v>0</v>
      </c>
      <c r="K67" s="89" t="str">
        <f t="shared" si="0"/>
        <v>4005/4006</v>
      </c>
      <c r="L67" s="21" t="str">
        <f>VLOOKUP(A67,'Trips&amp;Operators'!$C$1:$G$99911,5,FALSE)</f>
        <v>SULLIVAN BRANDON</v>
      </c>
      <c r="M67" s="6">
        <f t="shared" si="1"/>
        <v>2.6655092595319729E-2</v>
      </c>
      <c r="N67" s="7">
        <f t="shared" si="2"/>
        <v>38.38333333726041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-20T10:03:11-0600',mode:absolute,to:'2017-08-20T12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7"/>
        <v>23.302800000000001</v>
      </c>
      <c r="Z67" s="197">
        <f t="shared" si="8"/>
        <v>1.54E-2</v>
      </c>
      <c r="AA67" s="197">
        <f t="shared" si="9"/>
        <v>23.287400000000002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 t="shared" si="10"/>
        <v>154</v>
      </c>
      <c r="AE67" s="77" t="str">
        <f t="shared" si="11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67" s="74" t="str">
        <f t="shared" si="12"/>
        <v>"C:\Program Files (x86)\AstroGrep\AstroGrep.exe" /e /r /s /spath="%USERPROFILE%\AppData\Local\Temp\OnboardLogs" /stypes="app*4005*20170820*"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35"/>
        <v>"%USERPROFILE%\Documents\GitHub\eaglep3\Utilities\RefineRTDCRunTimes.py" --tripid 154-20 --locoid 4005 --swversion DE.1.0.9.0 --startMP 204:233028 --initTime 2017-08-20T11:03:11 --startdatetime 2017-08-20T11:12:18 --delay 1 --endMP 204:154 --enddatetime 2017-08-20T11:50:41 --enforcementcount 0 &gt;&gt;C:\Users\stu\Documents\GitHub\eaglep3-reporting\EC\2017-08-20-refined-times.txt</v>
      </c>
      <c r="AI67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{"issue":{"subject":"","project_id":79,"tracker_id":40,"status_id":1,"priority_id":2,"assigned_to_id":23,"start_date":"2017-08-20","description":"","custom_fields":[{"id":1,"name":"Subdivision","value":"EC"},{"id":4,"name":"Milepost","value":"0.0154"},{"id":17,"name":"Train ID","value":"154-20"},{"id":16,"name":"Locomotive ID","value":"4005"},{"id":130,"name":"Impact","value":""},{"id":150,"name":"Time of Event (Mountain Time)","value":"11:50:41"},{"id":151,"name":"Denver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37"/>
        <v>start /low /b %USERPROFILE%\Documents\GitHub\eaglep3\Utilities\DownloadLogsFromS3.py --loco 4005 --day 2017-08-20</v>
      </c>
      <c r="AN67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655</v>
      </c>
      <c r="B68" s="7">
        <v>4016</v>
      </c>
      <c r="C68" s="21" t="s">
        <v>198</v>
      </c>
      <c r="D68" s="21" t="s">
        <v>779</v>
      </c>
      <c r="E68" s="13">
        <v>42967.434849537036</v>
      </c>
      <c r="F68" s="13">
        <v>42967.438020833331</v>
      </c>
      <c r="G68" s="7">
        <v>1</v>
      </c>
      <c r="H68" s="21" t="s">
        <v>503</v>
      </c>
      <c r="I68" s="13">
        <v>42967.463530092595</v>
      </c>
      <c r="J68" s="7">
        <v>0</v>
      </c>
      <c r="K68" s="89" t="str">
        <f t="shared" si="0"/>
        <v>4015/4016</v>
      </c>
      <c r="L68" s="21" t="str">
        <f>VLOOKUP(A68,'Trips&amp;Operators'!$C$1:$G$99911,5,FALSE)</f>
        <v>ALONZO MATTHEW</v>
      </c>
      <c r="M68" s="6">
        <f t="shared" si="1"/>
        <v>2.5509259263344575E-2</v>
      </c>
      <c r="N68" s="7">
        <f t="shared" si="2"/>
        <v>36.733333339216188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-20T09:26:11-0600',mode:absolute,to:'2017-08-20T12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7"/>
        <v>4.3799999999999999E-2</v>
      </c>
      <c r="Z68" s="197">
        <f t="shared" si="8"/>
        <v>23.338000000000001</v>
      </c>
      <c r="AA68" s="197">
        <f t="shared" si="9"/>
        <v>23.2942</v>
      </c>
      <c r="AB68" s="54" t="e">
        <f>VLOOKUP(A68,Enforcements!$C$7:$K$11,8,0)</f>
        <v>#N/A</v>
      </c>
      <c r="AC68" s="51" t="e">
        <f>VLOOKUP(A68,Enforcements!$C$7:$E$11,3,0)</f>
        <v>#N/A</v>
      </c>
      <c r="AD68" s="206">
        <f t="shared" si="10"/>
        <v>155</v>
      </c>
      <c r="AE68" s="77" t="str">
        <f t="shared" si="11"/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AF68" s="74" t="str">
        <f t="shared" si="12"/>
        <v>"C:\Program Files (x86)\AstroGrep\AstroGrep.exe" /e /r /s /spath="%USERPROFILE%\AppData\Local\Temp\OnboardLogs" /stypes="app*4016*20170820*"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35"/>
        <v>"%USERPROFILE%\Documents\GitHub\eaglep3\Utilities\RefineRTDCRunTimes.py" --tripid 155-20 --locoid 4016 --swversion DE.1.0.9.0 --startMP 204:438 --initTime 2017-08-20T10:26:11 --startdatetime 2017-08-20T10:30:45 --delay 1 --endMP 204:233380 --enddatetime 2017-08-20T11:07:29 --enforcementcount 0 &gt;&gt;C:\Users\stu\Documents\GitHub\eaglep3-reporting\EC\2017-08-20-refined-times.txt</v>
      </c>
      <c r="AI68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{"issue":{"subject":"","project_id":79,"tracker_id":40,"status_id":1,"priority_id":2,"assigned_to_id":23,"start_date":"2017-08-20","description":"","custom_fields":[{"id":1,"name":"Subdivision","value":"EC"},{"id":4,"name":"Milepost","value":"23.338"},{"id":17,"name":"Train ID","value":"155-20"},{"id":16,"name":"Locomotive ID","value":"4016"},{"id":130,"name":"Impact","value":""},{"id":150,"name":"Time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37"/>
        <v>start /low /b %USERPROFILE%\Documents\GitHub\eaglep3\Utilities\DownloadLogsFromS3.py --loco 4016 --day 2017-08-20</v>
      </c>
      <c r="AN68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664</v>
      </c>
      <c r="B69" s="7">
        <v>4015</v>
      </c>
      <c r="C69" s="21" t="s">
        <v>198</v>
      </c>
      <c r="D69" s="21" t="s">
        <v>484</v>
      </c>
      <c r="E69" s="13">
        <v>42967.467048611114</v>
      </c>
      <c r="F69" s="13">
        <v>42967.47724537037</v>
      </c>
      <c r="G69" s="7">
        <v>1</v>
      </c>
      <c r="H69" s="21" t="s">
        <v>341</v>
      </c>
      <c r="I69" s="13">
        <v>42967.505381944444</v>
      </c>
      <c r="J69" s="7">
        <v>0</v>
      </c>
      <c r="K69" s="89" t="str">
        <f t="shared" si="0"/>
        <v>4015/4016</v>
      </c>
      <c r="L69" s="21" t="str">
        <f>VLOOKUP(A69,'Trips&amp;Operators'!$C$1:$G$99911,5,FALSE)</f>
        <v>GUZMAN DANNY</v>
      </c>
      <c r="M69" s="6">
        <f t="shared" si="1"/>
        <v>2.8136574073869269E-2</v>
      </c>
      <c r="N69" s="7">
        <f t="shared" si="2"/>
        <v>40.516666666371748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-20T10:12:33-0600',mode:absolute,to:'2017-08-20T13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7"/>
        <v>23.3094</v>
      </c>
      <c r="Z69" s="197">
        <f t="shared" si="8"/>
        <v>1.49E-2</v>
      </c>
      <c r="AA69" s="197">
        <f t="shared" si="9"/>
        <v>23.294499999999999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 t="shared" si="10"/>
        <v>156</v>
      </c>
      <c r="AE69" s="77" t="str">
        <f t="shared" si="11"/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AF69" s="74" t="str">
        <f t="shared" si="12"/>
        <v>"C:\Program Files (x86)\AstroGrep\AstroGrep.exe" /e /r /s /spath="%USERPROFILE%\AppData\Local\Temp\OnboardLogs" /stypes="app*4015*20170820*"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35"/>
        <v>"%USERPROFILE%\Documents\GitHub\eaglep3\Utilities\RefineRTDCRunTimes.py" --tripid 156-20 --locoid 4015 --swversion DE.1.0.9.0 --startMP 204:233094 --initTime 2017-08-20T11:12:33 --startdatetime 2017-08-20T11:27:14 --delay 1 --endMP 204:149 --enddatetime 2017-08-20T12:07:45 --enforcementcount 0 &gt;&gt;C:\Users\stu\Documents\GitHub\eaglep3-reporting\EC\2017-08-20-refined-times.txt</v>
      </c>
      <c r="AI69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{"issue":{"subject":"","project_id":79,"tracker_id":40,"status_id":1,"priority_id":2,"assigned_to_id":23,"start_date":"2017-08-20","description":"","custom_fields":[{"id":1,"name":"Subdivision","value":"EC"},{"id":4,"name":"Milepost","value":"0.0149"},{"id":17,"name":"Train ID","value":"156-20"},{"id":16,"name":"Locomotive ID","value":"4015"},{"id":130,"name":"Impact","value":""},{"id":150,"name":"Time of Event (Mountain Time)","value":"12:07:45"},{"id":151,"name":"Denver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37"/>
        <v>start /low /b %USERPROFILE%\Documents\GitHub\eaglep3\Utilities\DownloadLogsFromS3.py --loco 4015 --day 2017-08-20</v>
      </c>
      <c r="AN69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657</v>
      </c>
      <c r="B70" s="7">
        <v>4054</v>
      </c>
      <c r="C70" s="21" t="s">
        <v>198</v>
      </c>
      <c r="D70" s="21" t="s">
        <v>389</v>
      </c>
      <c r="E70" s="13">
        <v>42967.444768518515</v>
      </c>
      <c r="F70" s="13">
        <v>42967.448564814818</v>
      </c>
      <c r="G70" s="7">
        <v>1</v>
      </c>
      <c r="H70" s="21" t="s">
        <v>793</v>
      </c>
      <c r="I70" s="13">
        <v>42967.472442129627</v>
      </c>
      <c r="J70" s="7">
        <v>0</v>
      </c>
      <c r="K70" s="89" t="str">
        <f t="shared" si="0"/>
        <v>4053/4054</v>
      </c>
      <c r="L70" s="21" t="str">
        <f>VLOOKUP(A70,'Trips&amp;Operators'!$C$1:$G$99911,5,FALSE)</f>
        <v>ROMERO CHAD</v>
      </c>
      <c r="M70" s="6">
        <f t="shared" si="1"/>
        <v>2.3877314808487426E-2</v>
      </c>
      <c r="N70" s="7">
        <f t="shared" si="2"/>
        <v>34.383333324221894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-20T09:40:28-0600',mode:absolute,to:'2017-08-20T12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7"/>
        <v>4.4900000000000002E-2</v>
      </c>
      <c r="Z70" s="197">
        <f t="shared" si="8"/>
        <v>23.3355</v>
      </c>
      <c r="AA70" s="197">
        <f t="shared" si="9"/>
        <v>23.290600000000001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 t="shared" si="10"/>
        <v>157</v>
      </c>
      <c r="AE70" s="77" t="str">
        <f t="shared" si="11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70" s="74" t="str">
        <f t="shared" si="12"/>
        <v>"C:\Program Files (x86)\AstroGrep\AstroGrep.exe" /e /r /s /spath="%USERPROFILE%\AppData\Local\Temp\OnboardLogs" /stypes="app*4054*20170820*"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35"/>
        <v>"%USERPROFILE%\Documents\GitHub\eaglep3\Utilities\RefineRTDCRunTimes.py" --tripid 157-20 --locoid 4054 --swversion DE.1.0.9.0 --startMP 204:449 --initTime 2017-08-20T10:40:28 --startdatetime 2017-08-20T10:45:56 --delay 1 --endMP 204:233355 --enddatetime 2017-08-20T11:20:19 --enforcementcount 0 &gt;&gt;C:\Users\stu\Documents\GitHub\eaglep3-reporting\EC\2017-08-20-refined-times.txt</v>
      </c>
      <c r="AI70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{"issue":{"subject":"","project_id":79,"tracker_id":40,"status_id":1,"priority_id":2,"assigned_to_id":23,"start_date":"2017-08-20","description":"","custom_fields":[{"id":1,"name":"Subdivision","value":"EC"},{"id":4,"name":"Milepost","value":"23.3355"},{"id":17,"name":"Train ID","value":"157-20"},{"id":16,"name":"Locomotive ID","value":"4054"},{"id":130,"name":"Impact","value":""},{"id":150,"name":"Time of Event (Mountain Time)","value":"11:20:19"},{"id":151,"name":"Denver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37"/>
        <v>start /low /b %USERPROFILE%\Documents\GitHub\eaglep3\Utilities\DownloadLogsFromS3.py --loco 4054 --day 2017-08-20</v>
      </c>
      <c r="AN70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537</v>
      </c>
      <c r="B71" s="7">
        <v>4053</v>
      </c>
      <c r="C71" s="21" t="s">
        <v>198</v>
      </c>
      <c r="D71" s="21" t="s">
        <v>795</v>
      </c>
      <c r="E71" s="13">
        <v>42967.473738425928</v>
      </c>
      <c r="F71" s="13">
        <v>42967.487719907411</v>
      </c>
      <c r="G71" s="7">
        <v>1</v>
      </c>
      <c r="H71" s="21" t="s">
        <v>498</v>
      </c>
      <c r="I71" s="13">
        <v>42967.516527777778</v>
      </c>
      <c r="J71" s="7">
        <v>0</v>
      </c>
      <c r="K71" s="89" t="str">
        <f t="shared" si="0"/>
        <v>4053/4054</v>
      </c>
      <c r="L71" s="21" t="str">
        <f>VLOOKUP(A71,'Trips&amp;Operators'!$C$1:$G$99911,5,FALSE)</f>
        <v>ROMERO CHAD</v>
      </c>
      <c r="M71" s="6">
        <f t="shared" si="1"/>
        <v>2.880787036701804E-2</v>
      </c>
      <c r="N71" s="7">
        <f t="shared" si="2"/>
        <v>41.483333328505978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-20T10:22:11-0600',mode:absolute,to:'2017-08-20T13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7"/>
        <v>23.308800000000002</v>
      </c>
      <c r="Z71" s="197">
        <f t="shared" si="8"/>
        <v>1.34E-2</v>
      </c>
      <c r="AA71" s="197">
        <f t="shared" si="9"/>
        <v>23.295400000000001</v>
      </c>
      <c r="AB71" s="54" t="e">
        <f>VLOOKUP(A71,Enforcements!$C$7:$K$11,8,0)</f>
        <v>#N/A</v>
      </c>
      <c r="AC71" s="51" t="e">
        <f>VLOOKUP(A71,Enforcements!$C$7:$E$11,3,0)</f>
        <v>#N/A</v>
      </c>
      <c r="AD71" s="206">
        <f t="shared" si="10"/>
        <v>158</v>
      </c>
      <c r="AE71" s="77" t="str">
        <f t="shared" si="11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71" s="74" t="str">
        <f t="shared" si="12"/>
        <v>"C:\Program Files (x86)\AstroGrep\AstroGrep.exe" /e /r /s /spath="%USERPROFILE%\AppData\Local\Temp\OnboardLogs" /stypes="app*4053*20170820*"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35"/>
        <v>"%USERPROFILE%\Documents\GitHub\eaglep3\Utilities\RefineRTDCRunTimes.py" --tripid 158-20 --locoid 4053 --swversion DE.1.0.9.0 --startMP 204:233088 --initTime 2017-08-20T11:22:11 --startdatetime 2017-08-20T11:42:19 --delay 1 --endMP 204:134 --enddatetime 2017-08-20T12:23:48 --enforcementcount 0 &gt;&gt;C:\Users\stu\Documents\GitHub\eaglep3-reporting\EC\2017-08-20-refined-times.txt</v>
      </c>
      <c r="AI71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{"issue":{"subject":"","project_id":79,"tracker_id":40,"status_id":1,"priority_id":2,"assigned_to_id":23,"start_date":"2017-08-20","description":"","custom_fields":[{"id":1,"name":"Subdivision","value":"EC"},{"id":4,"name":"Milepost","value":"0.0134"},{"id":17,"name":"Train ID","value":"158-20"},{"id":16,"name":"Locomotive ID","value":"4053"},{"id":130,"name":"Impact","value":""},{"id":150,"name":"Time of Event (Mountain Time)","value":"12:23:48"},{"id":151,"name":"Denver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37"/>
        <v>start /low /b %USERPROFILE%\Documents\GitHub\eaglep3\Utilities\DownloadLogsFromS3.py --loco 4053 --day 2017-08-20</v>
      </c>
      <c r="AN71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661</v>
      </c>
      <c r="B72" s="7">
        <v>4012</v>
      </c>
      <c r="C72" s="21" t="s">
        <v>198</v>
      </c>
      <c r="D72" s="21" t="s">
        <v>390</v>
      </c>
      <c r="E72" s="13">
        <v>42967.455520833333</v>
      </c>
      <c r="F72" s="13">
        <v>42967.458935185183</v>
      </c>
      <c r="G72" s="7">
        <v>1</v>
      </c>
      <c r="H72" s="21" t="s">
        <v>435</v>
      </c>
      <c r="I72" s="13">
        <v>42967.483437499999</v>
      </c>
      <c r="J72" s="7">
        <v>0</v>
      </c>
      <c r="K72" s="89" t="str">
        <f t="shared" si="0"/>
        <v>4011/4012</v>
      </c>
      <c r="L72" s="21" t="str">
        <f>VLOOKUP(A72,'Trips&amp;Operators'!$C$1:$G$99911,5,FALSE)</f>
        <v>MACDONALD THOMAS</v>
      </c>
      <c r="M72" s="6">
        <f t="shared" si="1"/>
        <v>2.4502314816345461E-2</v>
      </c>
      <c r="N72" s="7">
        <f t="shared" si="2"/>
        <v>35.283333335537463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-20T09:55:57-0600',mode:absolute,to:'2017-08-20T12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7"/>
        <v>4.5699999999999998E-2</v>
      </c>
      <c r="Z72" s="197">
        <f t="shared" si="8"/>
        <v>23.329499999999999</v>
      </c>
      <c r="AA72" s="197">
        <f t="shared" si="9"/>
        <v>23.283799999999999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206">
        <f t="shared" si="10"/>
        <v>159</v>
      </c>
      <c r="AE72" s="77" t="str">
        <f t="shared" si="11"/>
        <v>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 &amp; aws s3 cp s3://rtdc.mdm.uploadarchive.raw/RTDC4012/ "%USERPROFILE%\AppData\Local\Temp\OnboardLogs"\RTDC4012\2017-08-21 --exclude "*" --recursive --include "*20170821*" &amp; "%USERPROFILE%\Documents\GitHub\mrs-test-scripts\Headless Mode &amp; Sideloading\WalkAndUnGZ.bat" "%USERPROFILE%\AppData\Local\Temp\OnboardLogs"\RTDC4012\2017-08-21</v>
      </c>
      <c r="AF72" s="74" t="str">
        <f t="shared" si="12"/>
        <v>"C:\Program Files (x86)\AstroGrep\AstroGrep.exe" /e /r /s /spath="%USERPROFILE%\AppData\Local\Temp\OnboardLogs" /stypes="app*4012*20170820*"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35"/>
        <v>"%USERPROFILE%\Documents\GitHub\eaglep3\Utilities\RefineRTDCRunTimes.py" --tripid 159-20 --locoid 4012 --swversion DE.1.0.9.0 --startMP 204:457 --initTime 2017-08-20T10:55:57 --startdatetime 2017-08-20T11:00:52 --delay 1 --endMP 204:233295 --enddatetime 2017-08-20T11:36:09 --enforcementcount 0 &gt;&gt;C:\Users\stu\Documents\GitHub\eaglep3-reporting\EC\2017-08-20-refined-times.txt</v>
      </c>
      <c r="AI72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{"issue":{"subject":"","project_id":79,"tracker_id":40,"status_id":1,"priority_id":2,"assigned_to_id":23,"start_date":"2017-08-20","description":"","custom_fields":[{"id":1,"name":"Subdivision","value":"EC"},{"id":4,"name":"Milepost","value":"23.3295"},{"id":17,"name":"Train ID","value":"159-20"},{"id":16,"name":"Locomotive ID","value":"4012"},{"id":130,"name":"Impact","value":""},{"id":150,"name":"Time of Event (Mountain Time)","value":"11:36:09"},{"id":151,"name":"Denver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37"/>
        <v>start /low /b %USERPROFILE%\Documents\GitHub\eaglep3\Utilities\DownloadLogsFromS3.py --loco 4012 --day 2017-08-20</v>
      </c>
      <c r="AN72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672</v>
      </c>
      <c r="B73" s="7">
        <v>4011</v>
      </c>
      <c r="C73" s="21" t="s">
        <v>198</v>
      </c>
      <c r="D73" s="21" t="s">
        <v>796</v>
      </c>
      <c r="E73" s="13">
        <v>42967.496145833335</v>
      </c>
      <c r="F73" s="13">
        <v>42967.498263888891</v>
      </c>
      <c r="G73" s="7">
        <v>1</v>
      </c>
      <c r="H73" s="21" t="s">
        <v>341</v>
      </c>
      <c r="I73" s="13">
        <v>42967.52516203704</v>
      </c>
      <c r="J73" s="7">
        <v>0</v>
      </c>
      <c r="K73" s="89" t="str">
        <f t="shared" si="0"/>
        <v>4011/4012</v>
      </c>
      <c r="L73" s="21" t="str">
        <f>VLOOKUP(A73,'Trips&amp;Operators'!$C$1:$G$99911,5,FALSE)</f>
        <v>MACDONALD THOMAS</v>
      </c>
      <c r="M73" s="6">
        <f t="shared" si="1"/>
        <v>2.6898148149484769E-2</v>
      </c>
      <c r="N73" s="7">
        <f t="shared" si="2"/>
        <v>38.733333335258067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-20T10:54:27-0600',mode:absolute,to:'2017-08-20T13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7"/>
        <v>23.298100000000002</v>
      </c>
      <c r="Z73" s="197">
        <f t="shared" si="8"/>
        <v>1.49E-2</v>
      </c>
      <c r="AA73" s="197">
        <f t="shared" si="9"/>
        <v>23.283200000000001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 t="shared" si="10"/>
        <v>160</v>
      </c>
      <c r="AE73" s="77" t="str">
        <f t="shared" si="11"/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AF73" s="74" t="str">
        <f t="shared" si="12"/>
        <v>"C:\Program Files (x86)\AstroGrep\AstroGrep.exe" /e /r /s /spath="%USERPROFILE%\AppData\Local\Temp\OnboardLogs" /stypes="app*4011*20170820*"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35"/>
        <v>"%USERPROFILE%\Documents\GitHub\eaglep3\Utilities\RefineRTDCRunTimes.py" --tripid 160-20 --locoid 4011 --swversion DE.1.0.9.0 --startMP 204:232981 --initTime 2017-08-20T11:54:27 --startdatetime 2017-08-20T11:57:30 --delay 1 --endMP 204:149 --enddatetime 2017-08-20T12:36:14 --enforcementcount 0 &gt;&gt;C:\Users\stu\Documents\GitHub\eaglep3-reporting\EC\2017-08-20-refined-times.txt</v>
      </c>
      <c r="AI73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{"issue":{"subject":"","project_id":79,"tracker_id":40,"status_id":1,"priority_id":2,"assigned_to_id":23,"start_date":"2017-08-20","description":"","custom_fields":[{"id":1,"name":"Subdivision","value":"EC"},{"id":4,"name":"Milepost","value":"0.0149"},{"id":17,"name":"Train ID","value":"160-20"},{"id":16,"name":"Locomotive ID","value":"4011"},{"id":130,"name":"Impact","value":""},{"id":150,"name":"Time of Event (Mountain Time)","value":"12:36:14"},{"id":151,"name":"Denver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37"/>
        <v>start /low /b %USERPROFILE%\Documents\GitHub\eaglep3\Utilities\DownloadLogsFromS3.py --loco 4011 --day 2017-08-20</v>
      </c>
      <c r="AN73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665</v>
      </c>
      <c r="B74" s="7">
        <v>4058</v>
      </c>
      <c r="C74" s="21" t="s">
        <v>198</v>
      </c>
      <c r="D74" s="21" t="s">
        <v>430</v>
      </c>
      <c r="E74" s="13">
        <v>42967.469363425924</v>
      </c>
      <c r="F74" s="13">
        <v>42967.471504629626</v>
      </c>
      <c r="G74" s="7">
        <v>1</v>
      </c>
      <c r="H74" s="21" t="s">
        <v>797</v>
      </c>
      <c r="I74" s="13">
        <v>42967.498414351852</v>
      </c>
      <c r="J74" s="7">
        <v>0</v>
      </c>
      <c r="K74" s="89" t="str">
        <f t="shared" si="0"/>
        <v>4057/4058</v>
      </c>
      <c r="L74" s="21" t="str">
        <f>VLOOKUP(A74,'Trips&amp;Operators'!$C$1:$G$99911,5,FALSE)</f>
        <v>DAVIS MICHAEL</v>
      </c>
      <c r="M74" s="6">
        <f t="shared" si="1"/>
        <v>2.6909722226264421E-2</v>
      </c>
      <c r="N74" s="7">
        <f t="shared" si="2"/>
        <v>38.750000005820766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-20T10:15:53-0600',mode:absolute,to:'2017-08-20T12:57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7"/>
        <v>4.7500000000000001E-2</v>
      </c>
      <c r="Z74" s="197">
        <f t="shared" si="8"/>
        <v>23.3307</v>
      </c>
      <c r="AA74" s="197">
        <f t="shared" si="9"/>
        <v>23.283200000000001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 t="shared" si="10"/>
        <v>161</v>
      </c>
      <c r="AE74" s="77" t="str">
        <f t="shared" si="11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74" s="74" t="str">
        <f t="shared" si="12"/>
        <v>"C:\Program Files (x86)\AstroGrep\AstroGrep.exe" /e /r /s /spath="%USERPROFILE%\AppData\Local\Temp\OnboardLogs" /stypes="app*4058*20170820*"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35"/>
        <v>"%USERPROFILE%\Documents\GitHub\eaglep3\Utilities\RefineRTDCRunTimes.py" --tripid 161-20 --locoid 4058 --swversion DE.1.0.9.0 --startMP 204:475 --initTime 2017-08-20T11:15:53 --startdatetime 2017-08-20T11:18:58 --delay 1 --endMP 204:233307 --enddatetime 2017-08-20T11:57:43 --enforcementcount 0 &gt;&gt;C:\Users\stu\Documents\GitHub\eaglep3-reporting\EC\2017-08-20-refined-times.txt</v>
      </c>
      <c r="AI74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{"issue":{"subject":"","project_id":79,"tracker_id":40,"status_id":1,"priority_id":2,"assigned_to_id":23,"start_date":"2017-08-20","description":"","custom_fields":[{"id":1,"name":"Subdivision","value":"EC"},{"id":4,"name":"Milepost","value":"23.3307"},{"id":17,"name":"Train ID","value":"161-20"},{"id":16,"name":"Locomotive ID","value":"4058"},{"id":130,"name":"Impact","value":""},{"id":150,"name":"Time of Event (Mountain Time)","value":"11:57:43"},{"id":151,"name":"Denver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37"/>
        <v>start /low /b %USERPROFILE%\Documents\GitHub\eaglep3\Utilities\DownloadLogsFromS3.py --loco 4058 --day 2017-08-20</v>
      </c>
      <c r="AN74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541</v>
      </c>
      <c r="B75" s="7">
        <v>4057</v>
      </c>
      <c r="C75" s="21" t="s">
        <v>198</v>
      </c>
      <c r="D75" s="21" t="s">
        <v>485</v>
      </c>
      <c r="E75" s="13">
        <v>42967.50712962963</v>
      </c>
      <c r="F75" s="13">
        <v>42967.509016203701</v>
      </c>
      <c r="G75" s="7">
        <v>1</v>
      </c>
      <c r="H75" s="21" t="s">
        <v>436</v>
      </c>
      <c r="I75" s="13">
        <v>42967.537476851852</v>
      </c>
      <c r="J75" s="7">
        <v>0</v>
      </c>
      <c r="K75" s="89" t="str">
        <f t="shared" si="0"/>
        <v>4057/4058</v>
      </c>
      <c r="L75" s="21" t="str">
        <f>VLOOKUP(A75,'Trips&amp;Operators'!$C$1:$G$99911,5,FALSE)</f>
        <v>DAVIS MICHAEL</v>
      </c>
      <c r="M75" s="6">
        <f t="shared" si="1"/>
        <v>2.846064815093996E-2</v>
      </c>
      <c r="N75" s="7">
        <f t="shared" si="2"/>
        <v>40.983333337353542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-20T11:10:16-0600',mode:absolute,to:'2017-08-20T13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7"/>
        <v>23.2988</v>
      </c>
      <c r="Z75" s="197">
        <f t="shared" si="8"/>
        <v>1.72E-2</v>
      </c>
      <c r="AA75" s="197">
        <f t="shared" si="9"/>
        <v>23.281600000000001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206">
        <f t="shared" si="10"/>
        <v>162</v>
      </c>
      <c r="AE75" s="77" t="str">
        <f t="shared" si="11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75" s="74" t="str">
        <f t="shared" si="12"/>
        <v>"C:\Program Files (x86)\AstroGrep\AstroGrep.exe" /e /r /s /spath="%USERPROFILE%\AppData\Local\Temp\OnboardLogs" /stypes="app*4057*20170820*"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35"/>
        <v>"%USERPROFILE%\Documents\GitHub\eaglep3\Utilities\RefineRTDCRunTimes.py" --tripid 162-20 --locoid 4057 --swversion DE.1.0.9.0 --startMP 204:232988 --initTime 2017-08-20T12:10:16 --startdatetime 2017-08-20T12:12:59 --delay 1 --endMP 204:172 --enddatetime 2017-08-20T12:53:58 --enforcementcount 0 &gt;&gt;C:\Users\stu\Documents\GitHub\eaglep3-reporting\EC\2017-08-20-refined-times.txt</v>
      </c>
      <c r="AI75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{"issue":{"subject":"","project_id":79,"tracker_id":40,"status_id":1,"priority_id":2,"assigned_to_id":23,"start_date":"2017-08-20","description":"","custom_fields":[{"id":1,"name":"Subdivision","value":"EC"},{"id":4,"name":"Milepost","value":"0.0172"},{"id":17,"name":"Train ID","value":"162-20"},{"id":16,"name":"Locomotive ID","value":"4057"},{"id":130,"name":"Impact","value":""},{"id":150,"name":"Time of Event (Mountain Time)","value":"12:53:58"},{"id":151,"name":"Denver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37"/>
        <v>start /low /b %USERPROFILE%\Documents\GitHub\eaglep3\Utilities\DownloadLogsFromS3.py --loco 4057 --day 2017-08-20</v>
      </c>
      <c r="AN75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538</v>
      </c>
      <c r="B76" s="7">
        <v>4018</v>
      </c>
      <c r="C76" s="21" t="s">
        <v>198</v>
      </c>
      <c r="D76" s="21" t="s">
        <v>345</v>
      </c>
      <c r="E76" s="13">
        <v>42967.474282407406</v>
      </c>
      <c r="F76" s="13">
        <v>42967.479814814818</v>
      </c>
      <c r="G76" s="7">
        <v>1</v>
      </c>
      <c r="H76" s="21" t="s">
        <v>504</v>
      </c>
      <c r="I76" s="13">
        <v>42967.506805555553</v>
      </c>
      <c r="J76" s="7">
        <v>0</v>
      </c>
      <c r="K76" s="89" t="str">
        <f t="shared" si="0"/>
        <v>4017/4018</v>
      </c>
      <c r="L76" s="21" t="str">
        <f>VLOOKUP(A76,'Trips&amp;Operators'!$C$1:$G$99911,5,FALSE)</f>
        <v>THOMPSON LESTER</v>
      </c>
      <c r="M76" s="6">
        <f t="shared" si="1"/>
        <v>2.6990740734618157E-2</v>
      </c>
      <c r="N76" s="7">
        <f t="shared" si="2"/>
        <v>38.866666657850146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-20T10:22:58-0600',mode:absolute,to:'2017-08-20T13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7"/>
        <v>4.53E-2</v>
      </c>
      <c r="Z76" s="197">
        <f t="shared" si="8"/>
        <v>23.334900000000001</v>
      </c>
      <c r="AA76" s="197">
        <f t="shared" si="9"/>
        <v>23.2896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 t="shared" si="10"/>
        <v>163</v>
      </c>
      <c r="AE76" s="77" t="str">
        <f t="shared" si="11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76" s="74" t="str">
        <f t="shared" si="12"/>
        <v>"C:\Program Files (x86)\AstroGrep\AstroGrep.exe" /e /r /s /spath="%USERPROFILE%\AppData\Local\Temp\OnboardLogs" /stypes="app*4018*20170820*"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35"/>
        <v>"%USERPROFILE%\Documents\GitHub\eaglep3\Utilities\RefineRTDCRunTimes.py" --tripid 163-20 --locoid 4018 --swversion DE.1.0.9.0 --startMP 204:453 --initTime 2017-08-20T11:22:58 --startdatetime 2017-08-20T11:30:56 --delay 1 --endMP 204:233349 --enddatetime 2017-08-20T12:09:48 --enforcementcount 0 &gt;&gt;C:\Users\stu\Documents\GitHub\eaglep3-reporting\EC\2017-08-20-refined-times.txt</v>
      </c>
      <c r="AI76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{"issue":{"subject":"","project_id":79,"tracker_id":40,"status_id":1,"priority_id":2,"assigned_to_id":23,"start_date":"2017-08-20","description":"","custom_fields":[{"id":1,"name":"Subdivision","value":"EC"},{"id":4,"name":"Milepost","value":"23.3349"},{"id":17,"name":"Train ID","value":"163-20"},{"id":16,"name":"Locomotive ID","value":"4018"},{"id":130,"name":"Impact","value":""},{"id":150,"name":"Time of Event (Mountain Time)","value":"12:09:48"},{"id":151,"name":"Denver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37"/>
        <v>start /low /b %USERPROFILE%\Documents\GitHub\eaglep3\Utilities\DownloadLogsFromS3.py --loco 4018 --day 2017-08-20</v>
      </c>
      <c r="AN76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542</v>
      </c>
      <c r="B77" s="7">
        <v>4017</v>
      </c>
      <c r="C77" s="21" t="s">
        <v>198</v>
      </c>
      <c r="D77" s="21" t="s">
        <v>798</v>
      </c>
      <c r="E77" s="13">
        <v>42967.517256944448</v>
      </c>
      <c r="F77" s="13">
        <v>42967.519432870373</v>
      </c>
      <c r="G77" s="7">
        <v>1</v>
      </c>
      <c r="H77" s="21" t="s">
        <v>397</v>
      </c>
      <c r="I77" s="13">
        <v>42967.547071759262</v>
      </c>
      <c r="J77" s="7">
        <v>0</v>
      </c>
      <c r="K77" s="89" t="str">
        <f t="shared" si="0"/>
        <v>4017/4018</v>
      </c>
      <c r="L77" s="21" t="str">
        <f>VLOOKUP(A77,'Trips&amp;Operators'!$C$1:$G$99911,5,FALSE)</f>
        <v>THOMPSON LESTER</v>
      </c>
      <c r="M77" s="6">
        <f t="shared" si="1"/>
        <v>2.7638888888759539E-2</v>
      </c>
      <c r="N77" s="7">
        <f t="shared" si="2"/>
        <v>39.799999999813735</v>
      </c>
      <c r="O77" s="7"/>
      <c r="P77" s="7"/>
      <c r="Q77" s="22"/>
      <c r="R77" s="170"/>
      <c r="S77" s="213">
        <f t="shared" si="3"/>
        <v>1</v>
      </c>
      <c r="T77" s="195" t="str">
        <f t="shared" si="4"/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si="5"/>
        <v>https://d0f6bd738d7f1b3e5a7ca70fe4ff75f0.us-east-1.aws.found.io/app/kibana#/discover/Steve-Slow-Train-Analysis-(2080s-and-2083s)?_g=(refreshInterval:(display:Off,pause:!f,section:0,value:0),time:(from:'2017-08-20T11:24:51-0600',mode:absolute,to:'2017-08-20T14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7" s="197" t="str">
        <f>IF(AA77&lt;VLOOKUP(AG77,Variables!$AC$3:$AD$8,2,FALSE),"Y","N")</f>
        <v>N</v>
      </c>
      <c r="X77" s="197">
        <f t="shared" si="6"/>
        <v>1</v>
      </c>
      <c r="Y77" s="197">
        <f t="shared" si="7"/>
        <v>23.3049</v>
      </c>
      <c r="Z77" s="197">
        <f t="shared" si="8"/>
        <v>1.4500000000000001E-2</v>
      </c>
      <c r="AA77" s="197">
        <f t="shared" si="9"/>
        <v>23.290399999999998</v>
      </c>
      <c r="AB77" s="54" t="e">
        <f>VLOOKUP(A77,Enforcements!$C$7:$K$11,8,0)</f>
        <v>#N/A</v>
      </c>
      <c r="AC77" s="51" t="e">
        <f>VLOOKUP(A77,Enforcements!$C$7:$E$11,3,0)</f>
        <v>#N/A</v>
      </c>
      <c r="AD77" s="206">
        <f t="shared" si="10"/>
        <v>164</v>
      </c>
      <c r="AE77" s="77" t="str">
        <f t="shared" si="11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77" s="74" t="str">
        <f t="shared" si="12"/>
        <v>"C:\Program Files (x86)\AstroGrep\AstroGrep.exe" /e /r /s /spath="%USERPROFILE%\AppData\Local\Temp\OnboardLogs" /stypes="app*4017*20170820*" /stext=" 19:.+((SYSTEM_STATE.+slice.+state.+changed )|(ment ac)|(multiple cpu faults)|(system.+state.+changed )|(\[timeout)|(PRM\|1\|D)|(kpr)|(kdp)|(train st.+moving)|(\|lc)|(penalty))"</v>
      </c>
      <c r="AG77" s="209" t="str">
        <f t="shared" si="13"/>
        <v>EC</v>
      </c>
      <c r="AH77" s="78" t="str">
        <f t="shared" si="35"/>
        <v>"%USERPROFILE%\Documents\GitHub\eaglep3\Utilities\RefineRTDCRunTimes.py" --tripid 164-20 --locoid 4017 --swversion DE.1.0.9.0 --startMP 204:233049 --initTime 2017-08-20T12:24:51 --startdatetime 2017-08-20T12:27:59 --delay 1 --endMP 204:145 --enddatetime 2017-08-20T13:07:47 --enforcementcount 0 &gt;&gt;C:\Users\stu\Documents\GitHub\eaglep3-reporting\EC\2017-08-20-refined-times.txt</v>
      </c>
      <c r="AI77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{"issue":{"subject":"","project_id":79,"tracker_id":40,"status_id":1,"priority_id":2,"assigned_to_id":23,"start_date":"2017-08-20","description":"","custom_fields":[{"id":1,"name":"Subdivision","value":"EC"},{"id":4,"name":"Milepost","value":"0.0145"},{"id":17,"name":"Train ID","value":"164-20"},{"id":16,"name":"Locomotive ID","value":"4017"},{"id":130,"name":"Impact","value":""},{"id":150,"name":"Time of Event (Mountain Time)","value":"13:07:47"},{"id":151,"name":"Denver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37"/>
        <v>start /low /b %USERPROFILE%\Documents\GitHub\eaglep3\Utilities\DownloadLogsFromS3.py --loco 4017 --day 2017-08-20</v>
      </c>
      <c r="AN77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668</v>
      </c>
      <c r="B78" s="7">
        <v>4014</v>
      </c>
      <c r="C78" s="21" t="s">
        <v>198</v>
      </c>
      <c r="D78" s="21" t="s">
        <v>371</v>
      </c>
      <c r="E78" s="13">
        <v>42967.486157407409</v>
      </c>
      <c r="F78" s="13">
        <v>42967.490057870367</v>
      </c>
      <c r="G78" s="7">
        <v>2</v>
      </c>
      <c r="H78" s="21" t="s">
        <v>501</v>
      </c>
      <c r="I78" s="13">
        <v>42967.51462962963</v>
      </c>
      <c r="J78" s="7">
        <v>0</v>
      </c>
      <c r="K78" s="89" t="str">
        <f t="shared" ref="K78:K141" si="39">IF(ISEVEN(B78),(B78-1)&amp;"/"&amp;B78,B78&amp;"/"&amp;(B78+1))</f>
        <v>4013/4014</v>
      </c>
      <c r="L78" s="21" t="str">
        <f>VLOOKUP(A78,'Trips&amp;Operators'!$C$1:$G$99911,5,FALSE)</f>
        <v>BRUDER RICHARD</v>
      </c>
      <c r="M78" s="6">
        <f t="shared" ref="M78:M141" si="40">I78-F78</f>
        <v>2.457175926247146E-2</v>
      </c>
      <c r="N78" s="7">
        <f t="shared" ref="N78:P141" si="41">24*60*SUM($M78:$M78)</f>
        <v>35.383333337958902</v>
      </c>
      <c r="O78" s="7"/>
      <c r="P78" s="7"/>
      <c r="Q78" s="22"/>
      <c r="R78" s="170"/>
      <c r="S78" s="213">
        <f t="shared" ref="S78:S141" si="42">1/IF(AG78="EC",12,1)*SUM(U78:U78)</f>
        <v>1</v>
      </c>
      <c r="T78" s="195" t="str">
        <f t="shared" ref="T78:T141" si="43">IF(ISEVEN(LEFT(AD78,4)),"Southbound","NorthBound")</f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ref="V78:V141" si="4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-08-20T10:40:04-0600',mode:absolute,to:'2017-08-20T13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8" s="197" t="str">
        <f>IF(AA78&lt;VLOOKUP(AG78,Variables!$AC$3:$AD$8,2,FALSE),"Y","N")</f>
        <v>N</v>
      </c>
      <c r="X78" s="197">
        <f t="shared" ref="X78:X141" si="45">VALUE(LEFT(AD78,4))-VALUE(LEFT(AD77,4))</f>
        <v>1</v>
      </c>
      <c r="Y78" s="197">
        <f t="shared" ref="Y78:Y141" si="46">RIGHT(D78,LEN(D78)-4)/10000</f>
        <v>4.5499999999999999E-2</v>
      </c>
      <c r="Z78" s="197">
        <f t="shared" ref="Z78:Z141" si="47">RIGHT(H78,LEN(H78)-4)/10000</f>
        <v>23.328800000000001</v>
      </c>
      <c r="AA78" s="197">
        <f t="shared" ref="AA78:AA141" si="48">ABS(Z78-Y78)</f>
        <v>23.283300000000001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 t="shared" ref="AD78:AD141" si="49">VALUE(LEFT(A78,LEN(A78)-3))</f>
        <v>165</v>
      </c>
      <c r="AE78" s="77" t="str">
        <f t="shared" ref="AE78:AE141" si="50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78" s="74" t="str">
        <f t="shared" ref="AF78:AF141" si="51"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/stypes="app*4014*20170820*" /stext=" 18:.+((SYSTEM_STATE.+slice.+state.+changed )|(ment ac)|(multiple cpu faults)|(system.+state.+changed )|(\[timeout)|(PRM\|1\|D)|(kpr)|(kdp)|(train st.+moving)|(\|lc)|(penalty))"</v>
      </c>
      <c r="AG78" s="209" t="str">
        <f t="shared" ref="AG78:AG141" si="52">DetSubdiv(A78)</f>
        <v>EC</v>
      </c>
      <c r="AH78" s="78" t="str">
        <f t="shared" si="35"/>
        <v>"%USERPROFILE%\Documents\GitHub\eaglep3\Utilities\RefineRTDCRunTimes.py" --tripid 165-20 --locoid 4014 --swversion DE.1.0.9.0 --startMP 204:455 --initTime 2017-08-20T11:40:04 --startdatetime 2017-08-20T11:45:41 --delay 2 --endMP 204:233288 --enddatetime 2017-08-20T12:21:04 --enforcementcount 0 &gt;&gt;C:\Users\stu\Documents\GitHub\eaglep3-reporting\EC\2017-08-20-refined-times.txt</v>
      </c>
      <c r="AI78" s="96" t="str">
        <f t="shared" si="36"/>
        <v>echo {"issue":{"subject":"","project_id":79,"tracker_id":40,"status_id":1,"priority_id":2,"assigned_to_id":23,"start_date":"2017-08-20","description":"","custom_fields":[{"id":1,"name":"Subdivision","value":"EC"},{"id":4,"name":"Milepost","value":"23.3288"},{"id":17,"name":"Train ID","value":"165-20"},{"id":16,"name":"Locomotive ID","value":"4014"},{"id":130,"name":"Impact","value":""},{"id":150,"name":"Time of Event (Mountain Time)","value":"12:21:04"},{"id":151,"name":"Denver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7"/>
        <v>start /low /b %USERPROFILE%\Documents\GitHub\eaglep3\Utilities\DownloadLogsFromS3.py --loco 4014 --day 2017-08-20</v>
      </c>
      <c r="AN78" s="151" t="str">
        <f t="shared" si="3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678</v>
      </c>
      <c r="B79" s="7">
        <v>4013</v>
      </c>
      <c r="C79" s="21" t="s">
        <v>198</v>
      </c>
      <c r="D79" s="21" t="s">
        <v>799</v>
      </c>
      <c r="E79" s="13">
        <v>42967.526805555557</v>
      </c>
      <c r="F79" s="13">
        <v>42967.529340277775</v>
      </c>
      <c r="G79" s="7">
        <v>1</v>
      </c>
      <c r="H79" s="21" t="s">
        <v>431</v>
      </c>
      <c r="I79" s="13">
        <v>42967.555</v>
      </c>
      <c r="J79" s="7">
        <v>0</v>
      </c>
      <c r="K79" s="89" t="str">
        <f t="shared" si="39"/>
        <v>4013/4014</v>
      </c>
      <c r="L79" s="21" t="str">
        <f>VLOOKUP(A79,'Trips&amp;Operators'!$C$1:$G$99911,5,FALSE)</f>
        <v>BRUDER RICHARD</v>
      </c>
      <c r="M79" s="6">
        <f t="shared" si="40"/>
        <v>2.5659722225100268E-2</v>
      </c>
      <c r="N79" s="7">
        <f t="shared" si="41"/>
        <v>36.950000004144385</v>
      </c>
      <c r="O79" s="7"/>
      <c r="P79" s="7"/>
      <c r="Q79" s="22"/>
      <c r="R79" s="170"/>
      <c r="S79" s="213">
        <f t="shared" si="42"/>
        <v>1</v>
      </c>
      <c r="T79" s="195" t="str">
        <f t="shared" si="43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44"/>
        <v>https://d0f6bd738d7f1b3e5a7ca70fe4ff75f0.us-east-1.aws.found.io/app/kibana#/discover/Steve-Slow-Train-Analysis-(2080s-and-2083s)?_g=(refreshInterval:(display:Off,pause:!f,section:0,value:0),time:(from:'2017-08-20T11:38:36-0600',mode:absolute,to:'2017-08-20T14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9" s="197" t="str">
        <f>IF(AA79&lt;VLOOKUP(AG79,Variables!$AC$3:$AD$8,2,FALSE),"Y","N")</f>
        <v>N</v>
      </c>
      <c r="X79" s="197">
        <f t="shared" si="45"/>
        <v>1</v>
      </c>
      <c r="Y79" s="197">
        <f t="shared" si="46"/>
        <v>23.2973</v>
      </c>
      <c r="Z79" s="197">
        <f t="shared" si="47"/>
        <v>1.5599999999999999E-2</v>
      </c>
      <c r="AA79" s="197">
        <f t="shared" si="48"/>
        <v>23.281700000000001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 t="shared" si="49"/>
        <v>166</v>
      </c>
      <c r="AE79" s="77" t="str">
        <f t="shared" si="50"/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AF79" s="74" t="str">
        <f t="shared" si="51"/>
        <v>"C:\Program Files (x86)\AstroGrep\AstroGrep.exe" /e /r /s /spath="%USERPROFILE%\AppData\Local\Temp\OnboardLogs" /stypes="app*4013*20170820*" /stext=" 19:.+((SYSTEM_STATE.+slice.+state.+changed )|(ment ac)|(multiple cpu faults)|(system.+state.+changed )|(\[timeout)|(PRM\|1\|D)|(kpr)|(kdp)|(train st.+moving)|(\|lc)|(penalty))"</v>
      </c>
      <c r="AG79" s="209" t="str">
        <f t="shared" si="52"/>
        <v>EC</v>
      </c>
      <c r="AH79" s="78" t="str">
        <f t="shared" ref="AH79:AH142" si="53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166-20 --locoid 4013 --swversion DE.1.0.9.0 --startMP 204:232973 --initTime 2017-08-20T12:38:36 --startdatetime 2017-08-20T12:42:15 --delay 1 --endMP 204:156 --enddatetime 2017-08-20T13:19:12 --enforcementcount 0 &gt;&gt;C:\Users\stu\Documents\GitHub\eaglep3-reporting\EC\2017-08-20-refined-times.txt</v>
      </c>
      <c r="AI79" s="96" t="str">
        <f t="shared" ref="AI79:AI142" si="54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{"issue":{"subject":"","project_id":79,"tracker_id":40,"status_id":1,"priority_id":2,"assigned_to_id":23,"start_date":"2017-08-20","description":"","custom_fields":[{"id":1,"name":"Subdivision","value":"EC"},{"id":4,"name":"Milepost","value":"0.0156"},{"id":17,"name":"Train ID","value":"166-20"},{"id":16,"name":"Locomotive ID","value":"4013"},{"id":130,"name":"Impact","value":""},{"id":150,"name":"Time of Event (Mountain Time)","value":"13:19:12"},{"id":151,"name":"Denver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2" si="55">"start /low /b "&amp;dls3logs&amp;" --loco "&amp;B79&amp;" --day "&amp;TEXT(F79,"YYYY-MM-DD")</f>
        <v>start /low /b %USERPROFILE%\Documents\GitHub\eaglep3\Utilities\DownloadLogsFromS3.py --loco 4013 --day 2017-08-20</v>
      </c>
      <c r="AN79" s="151" t="str">
        <f t="shared" ref="AN79:AN142" si="56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671</v>
      </c>
      <c r="B80" s="7">
        <v>4006</v>
      </c>
      <c r="C80" s="21" t="s">
        <v>198</v>
      </c>
      <c r="D80" s="21" t="s">
        <v>440</v>
      </c>
      <c r="E80" s="13">
        <v>42967.494791666664</v>
      </c>
      <c r="F80" s="13">
        <v>42967.500509259262</v>
      </c>
      <c r="G80" s="7">
        <v>1</v>
      </c>
      <c r="H80" s="21" t="s">
        <v>504</v>
      </c>
      <c r="I80" s="13">
        <v>42967.525694444441</v>
      </c>
      <c r="J80" s="7">
        <v>0</v>
      </c>
      <c r="K80" s="89" t="str">
        <f t="shared" si="39"/>
        <v>4005/4006</v>
      </c>
      <c r="L80" s="21" t="str">
        <f>VLOOKUP(A80,'Trips&amp;Operators'!$C$1:$G$99911,5,FALSE)</f>
        <v>SULLIVAN BRANDON</v>
      </c>
      <c r="M80" s="6">
        <f t="shared" si="40"/>
        <v>2.5185185178997926E-2</v>
      </c>
      <c r="N80" s="7">
        <f t="shared" si="41"/>
        <v>36.266666657757014</v>
      </c>
      <c r="O80" s="7"/>
      <c r="P80" s="7"/>
      <c r="Q80" s="22"/>
      <c r="R80" s="170"/>
      <c r="S80" s="213">
        <f t="shared" si="42"/>
        <v>1</v>
      </c>
      <c r="T80" s="195" t="str">
        <f t="shared" si="43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44"/>
        <v>https://d0f6bd738d7f1b3e5a7ca70fe4ff75f0.us-east-1.aws.found.io/app/kibana#/discover/Steve-Slow-Train-Analysis-(2080s-and-2083s)?_g=(refreshInterval:(display:Off,pause:!f,section:0,value:0),time:(from:'2017-08-20T10:52:30-0600',mode:absolute,to:'2017-08-20T13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0" s="197" t="str">
        <f>IF(AA80&lt;VLOOKUP(AG80,Variables!$AC$3:$AD$8,2,FALSE),"Y","N")</f>
        <v>N</v>
      </c>
      <c r="X80" s="197">
        <f t="shared" si="45"/>
        <v>1</v>
      </c>
      <c r="Y80" s="197">
        <f t="shared" si="46"/>
        <v>4.6699999999999998E-2</v>
      </c>
      <c r="Z80" s="197">
        <f t="shared" si="47"/>
        <v>23.334900000000001</v>
      </c>
      <c r="AA80" s="197">
        <f t="shared" si="48"/>
        <v>23.2882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 t="shared" si="49"/>
        <v>167</v>
      </c>
      <c r="AE80" s="77" t="str">
        <f t="shared" si="50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80" s="74" t="str">
        <f t="shared" si="51"/>
        <v>"C:\Program Files (x86)\AstroGrep\AstroGrep.exe" /e /r /s /spath="%USERPROFILE%\AppData\Local\Temp\OnboardLogs" /stypes="app*4006*20170820*" /stext=" 18:.+((SYSTEM_STATE.+slice.+state.+changed )|(ment ac)|(multiple cpu faults)|(system.+state.+changed )|(\[timeout)|(PRM\|1\|D)|(kpr)|(kdp)|(train st.+moving)|(\|lc)|(penalty))"</v>
      </c>
      <c r="AG80" s="209" t="str">
        <f t="shared" si="52"/>
        <v>EC</v>
      </c>
      <c r="AH80" s="78" t="str">
        <f t="shared" si="53"/>
        <v>"%USERPROFILE%\Documents\GitHub\eaglep3\Utilities\RefineRTDCRunTimes.py" --tripid 167-20 --locoid 4006 --swversion DE.1.0.9.0 --startMP 204:467 --initTime 2017-08-20T11:52:30 --startdatetime 2017-08-20T12:00:44 --delay 1 --endMP 204:233349 --enddatetime 2017-08-20T12:37:00 --enforcementcount 0 &gt;&gt;C:\Users\stu\Documents\GitHub\eaglep3-reporting\EC\2017-08-20-refined-times.txt</v>
      </c>
      <c r="AI80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{"issue":{"subject":"","project_id":79,"tracker_id":40,"status_id":1,"priority_id":2,"assigned_to_id":23,"start_date":"2017-08-20","description":"","custom_fields":[{"id":1,"name":"Subdivision","value":"EC"},{"id":4,"name":"Milepost","value":"23.3349"},{"id":17,"name":"Train ID","value":"167-20"},{"id":16,"name":"Locomotive ID","value":"4006"},{"id":130,"name":"Impact","value":""},{"id":150,"name":"Time of Event (Mountain Time)","value":"12:37:00"},{"id":151,"name":"Denver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55"/>
        <v>start /low /b %USERPROFILE%\Documents\GitHub\eaglep3\Utilities\DownloadLogsFromS3.py --loco 4006 --day 2017-08-20</v>
      </c>
      <c r="AN80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682</v>
      </c>
      <c r="B81" s="7">
        <v>4005</v>
      </c>
      <c r="C81" s="21" t="s">
        <v>198</v>
      </c>
      <c r="D81" s="21" t="s">
        <v>800</v>
      </c>
      <c r="E81" s="13">
        <v>42967.534479166665</v>
      </c>
      <c r="F81" s="13">
        <v>42967.539768518516</v>
      </c>
      <c r="G81" s="7">
        <v>1</v>
      </c>
      <c r="H81" s="21" t="s">
        <v>510</v>
      </c>
      <c r="I81" s="13">
        <v>42967.566377314812</v>
      </c>
      <c r="J81" s="7">
        <v>0</v>
      </c>
      <c r="K81" s="89" t="str">
        <f t="shared" si="39"/>
        <v>4005/4006</v>
      </c>
      <c r="L81" s="21" t="str">
        <f>VLOOKUP(A81,'Trips&amp;Operators'!$C$1:$G$99911,5,FALSE)</f>
        <v>SULLIVAN BRANDON</v>
      </c>
      <c r="M81" s="6">
        <f t="shared" si="40"/>
        <v>2.6608796295477077E-2</v>
      </c>
      <c r="N81" s="7">
        <f t="shared" si="41"/>
        <v>38.316666665486991</v>
      </c>
      <c r="O81" s="7"/>
      <c r="P81" s="7"/>
      <c r="Q81" s="22"/>
      <c r="R81" s="170"/>
      <c r="S81" s="213">
        <f t="shared" si="42"/>
        <v>1</v>
      </c>
      <c r="T81" s="195" t="str">
        <f t="shared" si="43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44"/>
        <v>https://d0f6bd738d7f1b3e5a7ca70fe4ff75f0.us-east-1.aws.found.io/app/kibana#/discover/Steve-Slow-Train-Analysis-(2080s-and-2083s)?_g=(refreshInterval:(display:Off,pause:!f,section:0,value:0),time:(from:'2017-08-20T11:49:39-0600',mode:absolute,to:'2017-08-20T14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1" s="197" t="str">
        <f>IF(AA81&lt;VLOOKUP(AG81,Variables!$AC$3:$AD$8,2,FALSE),"Y","N")</f>
        <v>N</v>
      </c>
      <c r="X81" s="197">
        <f t="shared" si="45"/>
        <v>1</v>
      </c>
      <c r="Y81" s="197">
        <f t="shared" si="46"/>
        <v>23.3062</v>
      </c>
      <c r="Z81" s="197">
        <f t="shared" si="47"/>
        <v>1.21E-2</v>
      </c>
      <c r="AA81" s="197">
        <f t="shared" si="48"/>
        <v>23.2941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 t="shared" si="49"/>
        <v>168</v>
      </c>
      <c r="AE81" s="77" t="str">
        <f t="shared" si="50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81" s="74" t="str">
        <f t="shared" si="51"/>
        <v>"C:\Program Files (x86)\AstroGrep\AstroGrep.exe" /e /r /s /spath="%USERPROFILE%\AppData\Local\Temp\OnboardLogs" /stypes="app*4005*20170820*" /stext=" 19:.+((SYSTEM_STATE.+slice.+state.+changed )|(ment ac)|(multiple cpu faults)|(system.+state.+changed )|(\[timeout)|(PRM\|1\|D)|(kpr)|(kdp)|(train st.+moving)|(\|lc)|(penalty))"</v>
      </c>
      <c r="AG81" s="209" t="str">
        <f t="shared" si="52"/>
        <v>EC</v>
      </c>
      <c r="AH81" s="78" t="str">
        <f t="shared" si="53"/>
        <v>"%USERPROFILE%\Documents\GitHub\eaglep3\Utilities\RefineRTDCRunTimes.py" --tripid 168-20 --locoid 4005 --swversion DE.1.0.9.0 --startMP 204:233062 --initTime 2017-08-20T12:49:39 --startdatetime 2017-08-20T12:57:16 --delay 1 --endMP 204:121 --enddatetime 2017-08-20T13:35:35 --enforcementcount 0 &gt;&gt;C:\Users\stu\Documents\GitHub\eaglep3-reporting\EC\2017-08-20-refined-times.txt</v>
      </c>
      <c r="AI81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{"issue":{"subject":"","project_id":79,"tracker_id":40,"status_id":1,"priority_id":2,"assigned_to_id":23,"start_date":"2017-08-20","description":"","custom_fields":[{"id":1,"name":"Subdivision","value":"EC"},{"id":4,"name":"Milepost","value":"0.0121"},{"id":17,"name":"Train ID","value":"168-20"},{"id":16,"name":"Locomotive ID","value":"4005"},{"id":130,"name":"Impact","value":""},{"id":150,"name":"Time of Event (Mountain Time)","value":"13:35:35"},{"id":151,"name":"Denver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5"/>
        <v>start /low /b %USERPROFILE%\Documents\GitHub\eaglep3\Utilities\DownloadLogsFromS3.py --loco 4005 --day 2017-08-20</v>
      </c>
      <c r="AN81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673</v>
      </c>
      <c r="B82" s="7">
        <v>4016</v>
      </c>
      <c r="C82" s="21" t="s">
        <v>198</v>
      </c>
      <c r="D82" s="21" t="s">
        <v>447</v>
      </c>
      <c r="E82" s="13">
        <v>42967.507939814815</v>
      </c>
      <c r="F82" s="13">
        <v>42967.511064814818</v>
      </c>
      <c r="G82" s="7">
        <v>1</v>
      </c>
      <c r="H82" s="21" t="s">
        <v>801</v>
      </c>
      <c r="I82" s="13">
        <v>42967.535798611112</v>
      </c>
      <c r="J82" s="7">
        <v>0</v>
      </c>
      <c r="K82" s="89" t="str">
        <f t="shared" si="39"/>
        <v>4015/4016</v>
      </c>
      <c r="L82" s="21" t="str">
        <f>VLOOKUP(A82,'Trips&amp;Operators'!$C$1:$G$99911,5,FALSE)</f>
        <v>BADERTSCHER DIANE</v>
      </c>
      <c r="M82" s="6">
        <f t="shared" si="40"/>
        <v>2.4733796293730848E-2</v>
      </c>
      <c r="N82" s="7">
        <f t="shared" si="41"/>
        <v>35.61666666297242</v>
      </c>
      <c r="O82" s="7"/>
      <c r="P82" s="7"/>
      <c r="Q82" s="22"/>
      <c r="R82" s="170"/>
      <c r="S82" s="213">
        <f t="shared" si="42"/>
        <v>1</v>
      </c>
      <c r="T82" s="195" t="str">
        <f t="shared" si="43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44"/>
        <v>https://d0f6bd738d7f1b3e5a7ca70fe4ff75f0.us-east-1.aws.found.io/app/kibana#/discover/Steve-Slow-Train-Analysis-(2080s-and-2083s)?_g=(refreshInterval:(display:Off,pause:!f,section:0,value:0),time:(from:'2017-08-20T11:11:26-0600',mode:absolute,to:'2017-08-20T13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2" s="197" t="str">
        <f>IF(AA82&lt;VLOOKUP(AG82,Variables!$AC$3:$AD$8,2,FALSE),"Y","N")</f>
        <v>N</v>
      </c>
      <c r="X82" s="197">
        <f t="shared" si="45"/>
        <v>1</v>
      </c>
      <c r="Y82" s="197">
        <f t="shared" si="46"/>
        <v>4.3700000000000003E-2</v>
      </c>
      <c r="Z82" s="197">
        <f t="shared" si="47"/>
        <v>23.336400000000001</v>
      </c>
      <c r="AA82" s="197">
        <f t="shared" si="48"/>
        <v>23.2927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 t="shared" si="49"/>
        <v>169</v>
      </c>
      <c r="AE82" s="77" t="str">
        <f t="shared" si="50"/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AF82" s="74" t="str">
        <f t="shared" si="51"/>
        <v>"C:\Program Files (x86)\AstroGrep\AstroGrep.exe" /e /r /s /spath="%USERPROFILE%\AppData\Local\Temp\OnboardLogs" /stypes="app*4016*20170820*" /stext=" 18:.+((SYSTEM_STATE.+slice.+state.+changed )|(ment ac)|(multiple cpu faults)|(system.+state.+changed )|(\[timeout)|(PRM\|1\|D)|(kpr)|(kdp)|(train st.+moving)|(\|lc)|(penalty))"</v>
      </c>
      <c r="AG82" s="209" t="str">
        <f t="shared" si="52"/>
        <v>EC</v>
      </c>
      <c r="AH82" s="78" t="str">
        <f t="shared" si="53"/>
        <v>"%USERPROFILE%\Documents\GitHub\eaglep3\Utilities\RefineRTDCRunTimes.py" --tripid 169-20 --locoid 4016 --swversion DE.1.0.9.0 --startMP 204:437 --initTime 2017-08-20T12:11:26 --startdatetime 2017-08-20T12:15:56 --delay 1 --endMP 204:233364 --enddatetime 2017-08-20T12:51:33 --enforcementcount 0 &gt;&gt;C:\Users\stu\Documents\GitHub\eaglep3-reporting\EC\2017-08-20-refined-times.txt</v>
      </c>
      <c r="AI82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{"issue":{"subject":"","project_id":79,"tracker_id":40,"status_id":1,"priority_id":2,"assigned_to_id":23,"start_date":"2017-08-20","description":"","custom_fields":[{"id":1,"name":"Subdivision","value":"EC"},{"id":4,"name":"Milepost","value":"23.3364"},{"id":17,"name":"Train ID","value":"169-20"},{"id":16,"name":"Locomotive ID","value":"4016"},{"id":130,"name":"Impact","value":""},{"id":150,"name":"Time of Event (Mountain Time)","value":"12:51:33"},{"id":151,"name":"Denver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5"/>
        <v>start /low /b %USERPROFILE%\Documents\GitHub\eaglep3\Utilities\DownloadLogsFromS3.py --loco 4016 --day 2017-08-20</v>
      </c>
      <c r="AN82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544</v>
      </c>
      <c r="B83" s="7">
        <v>4015</v>
      </c>
      <c r="C83" s="21" t="s">
        <v>198</v>
      </c>
      <c r="D83" s="21" t="s">
        <v>802</v>
      </c>
      <c r="E83" s="13">
        <v>42967.544363425928</v>
      </c>
      <c r="F83" s="13">
        <v>42967.550208333334</v>
      </c>
      <c r="G83" s="7">
        <v>1</v>
      </c>
      <c r="H83" s="21" t="s">
        <v>348</v>
      </c>
      <c r="I83" s="13">
        <v>42967.577800925923</v>
      </c>
      <c r="J83" s="7">
        <v>0</v>
      </c>
      <c r="K83" s="89" t="str">
        <f t="shared" si="39"/>
        <v>4015/4016</v>
      </c>
      <c r="L83" s="21" t="str">
        <f>VLOOKUP(A83,'Trips&amp;Operators'!$C$1:$G$99911,5,FALSE)</f>
        <v>BADERTSCHER DIANE</v>
      </c>
      <c r="M83" s="6">
        <f t="shared" si="40"/>
        <v>2.7592592588916887E-2</v>
      </c>
      <c r="N83" s="7">
        <f t="shared" si="41"/>
        <v>39.733333328040317</v>
      </c>
      <c r="O83" s="7"/>
      <c r="P83" s="7"/>
      <c r="Q83" s="22"/>
      <c r="R83" s="170"/>
      <c r="S83" s="213">
        <f t="shared" si="42"/>
        <v>1</v>
      </c>
      <c r="T83" s="195" t="str">
        <f t="shared" si="43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44"/>
        <v>https://d0f6bd738d7f1b3e5a7ca70fe4ff75f0.us-east-1.aws.found.io/app/kibana#/discover/Steve-Slow-Train-Analysis-(2080s-and-2083s)?_g=(refreshInterval:(display:Off,pause:!f,section:0,value:0),time:(from:'2017-08-20T12:03:53-0600',mode:absolute,to:'2017-08-20T14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3" s="197" t="str">
        <f>IF(AA83&lt;VLOOKUP(AG83,Variables!$AC$3:$AD$8,2,FALSE),"Y","N")</f>
        <v>N</v>
      </c>
      <c r="X83" s="197">
        <f t="shared" si="45"/>
        <v>1</v>
      </c>
      <c r="Y83" s="197">
        <f t="shared" si="46"/>
        <v>23.3034</v>
      </c>
      <c r="Z83" s="197">
        <f t="shared" si="47"/>
        <v>1.47E-2</v>
      </c>
      <c r="AA83" s="197">
        <f t="shared" si="48"/>
        <v>23.288699999999999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206">
        <f t="shared" si="49"/>
        <v>170</v>
      </c>
      <c r="AE83" s="77" t="str">
        <f t="shared" si="50"/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AF83" s="74" t="str">
        <f t="shared" si="51"/>
        <v>"C:\Program Files (x86)\AstroGrep\AstroGrep.exe" /e /r /s /spath="%USERPROFILE%\AppData\Local\Temp\OnboardLogs" /stypes="app*4015*20170820*" /stext=" 19:.+((SYSTEM_STATE.+slice.+state.+changed )|(ment ac)|(multiple cpu faults)|(system.+state.+changed )|(\[timeout)|(PRM\|1\|D)|(kpr)|(kdp)|(train st.+moving)|(\|lc)|(penalty))"</v>
      </c>
      <c r="AG83" s="209" t="str">
        <f t="shared" si="52"/>
        <v>EC</v>
      </c>
      <c r="AH83" s="78" t="str">
        <f t="shared" si="53"/>
        <v>"%USERPROFILE%\Documents\GitHub\eaglep3\Utilities\RefineRTDCRunTimes.py" --tripid 170-20 --locoid 4015 --swversion DE.1.0.9.0 --startMP 204:233034 --initTime 2017-08-20T13:03:53 --startdatetime 2017-08-20T13:12:18 --delay 1 --endMP 204:147 --enddatetime 2017-08-20T13:52:02 --enforcementcount 0 &gt;&gt;C:\Users\stu\Documents\GitHub\eaglep3-reporting\EC\2017-08-20-refined-times.txt</v>
      </c>
      <c r="AI83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{"issue":{"subject":"","project_id":79,"tracker_id":40,"status_id":1,"priority_id":2,"assigned_to_id":23,"start_date":"2017-08-20","description":"","custom_fields":[{"id":1,"name":"Subdivision","value":"EC"},{"id":4,"name":"Milepost","value":"0.0147"},{"id":17,"name":"Train ID","value":"170-20"},{"id":16,"name":"Locomotive ID","value":"4015"},{"id":130,"name":"Impact","value":""},{"id":150,"name":"Time of Event (Mountain Time)","value":"13:52:02"},{"id":151,"name":"Denver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5"/>
        <v>start /low /b %USERPROFILE%\Documents\GitHub\eaglep3\Utilities\DownloadLogsFromS3.py --loco 4015 --day 2017-08-20</v>
      </c>
      <c r="AN83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676</v>
      </c>
      <c r="B84" s="7">
        <v>4054</v>
      </c>
      <c r="C84" s="21" t="s">
        <v>198</v>
      </c>
      <c r="D84" s="21" t="s">
        <v>371</v>
      </c>
      <c r="E84" s="13">
        <v>42967.51803240741</v>
      </c>
      <c r="F84" s="13">
        <v>42967.521331018521</v>
      </c>
      <c r="G84" s="7">
        <v>1</v>
      </c>
      <c r="H84" s="21" t="s">
        <v>492</v>
      </c>
      <c r="I84" s="13">
        <v>42967.54583333333</v>
      </c>
      <c r="J84" s="7">
        <v>0</v>
      </c>
      <c r="K84" s="89" t="str">
        <f t="shared" si="39"/>
        <v>4053/4054</v>
      </c>
      <c r="L84" s="21" t="str">
        <f>VLOOKUP(A84,'Trips&amp;Operators'!$C$1:$G$99911,5,FALSE)</f>
        <v>ROMERO CHAD</v>
      </c>
      <c r="M84" s="6">
        <f t="shared" si="40"/>
        <v>2.4502314809069503E-2</v>
      </c>
      <c r="N84" s="7">
        <f t="shared" si="41"/>
        <v>35.283333325060084</v>
      </c>
      <c r="O84" s="7"/>
      <c r="P84" s="7"/>
      <c r="Q84" s="22"/>
      <c r="R84" s="170"/>
      <c r="S84" s="213">
        <f t="shared" si="42"/>
        <v>1</v>
      </c>
      <c r="T84" s="195" t="str">
        <f t="shared" si="43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44"/>
        <v>https://d0f6bd738d7f1b3e5a7ca70fe4ff75f0.us-east-1.aws.found.io/app/kibana#/discover/Steve-Slow-Train-Analysis-(2080s-and-2083s)?_g=(refreshInterval:(display:Off,pause:!f,section:0,value:0),time:(from:'2017-08-20T11:25:58-0600',mode:absolute,to:'2017-08-20T14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4" s="197" t="str">
        <f>IF(AA84&lt;VLOOKUP(AG84,Variables!$AC$3:$AD$8,2,FALSE),"Y","N")</f>
        <v>N</v>
      </c>
      <c r="X84" s="197">
        <f t="shared" si="45"/>
        <v>1</v>
      </c>
      <c r="Y84" s="197">
        <f t="shared" si="46"/>
        <v>4.5499999999999999E-2</v>
      </c>
      <c r="Z84" s="197">
        <f t="shared" si="47"/>
        <v>23.340199999999999</v>
      </c>
      <c r="AA84" s="197">
        <f t="shared" si="48"/>
        <v>23.294699999999999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 t="shared" si="49"/>
        <v>171</v>
      </c>
      <c r="AE84" s="77" t="str">
        <f t="shared" si="50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84" s="74" t="str">
        <f t="shared" si="51"/>
        <v>"C:\Program Files (x86)\AstroGrep\AstroGrep.exe" /e /r /s /spath="%USERPROFILE%\AppData\Local\Temp\OnboardLogs" /stypes="app*4054*20170820*" /stext=" 19:.+((SYSTEM_STATE.+slice.+state.+changed )|(ment ac)|(multiple cpu faults)|(system.+state.+changed )|(\[timeout)|(PRM\|1\|D)|(kpr)|(kdp)|(train st.+moving)|(\|lc)|(penalty))"</v>
      </c>
      <c r="AG84" s="209" t="str">
        <f t="shared" si="52"/>
        <v>EC</v>
      </c>
      <c r="AH84" s="78" t="str">
        <f t="shared" si="53"/>
        <v>"%USERPROFILE%\Documents\GitHub\eaglep3\Utilities\RefineRTDCRunTimes.py" --tripid 171-20 --locoid 4054 --swversion DE.1.0.9.0 --startMP 204:455 --initTime 2017-08-20T12:25:58 --startdatetime 2017-08-20T12:30:43 --delay 1 --endMP 204:233402 --enddatetime 2017-08-20T13:06:00 --enforcementcount 0 &gt;&gt;C:\Users\stu\Documents\GitHub\eaglep3-reporting\EC\2017-08-20-refined-times.txt</v>
      </c>
      <c r="AI84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{"issue":{"subject":"","project_id":79,"tracker_id":40,"status_id":1,"priority_id":2,"assigned_to_id":23,"start_date":"2017-08-20","description":"","custom_fields":[{"id":1,"name":"Subdivision","value":"EC"},{"id":4,"name":"Milepost","value":"23.3402"},{"id":17,"name":"Train ID","value":"171-20"},{"id":16,"name":"Locomotive ID","value":"4054"},{"id":130,"name":"Impact","value":""},{"id":150,"name":"Time of Event (Mountain Time)","value":"13:06:00"},{"id":151,"name":"Denver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5"/>
        <v>start /low /b %USERPROFILE%\Documents\GitHub\eaglep3\Utilities\DownloadLogsFromS3.py --loco 4054 --day 2017-08-20</v>
      </c>
      <c r="AN84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685</v>
      </c>
      <c r="B85" s="7">
        <v>4053</v>
      </c>
      <c r="C85" s="21" t="s">
        <v>198</v>
      </c>
      <c r="D85" s="21" t="s">
        <v>803</v>
      </c>
      <c r="E85" s="13">
        <v>42967.547164351854</v>
      </c>
      <c r="F85" s="13">
        <v>42967.560868055552</v>
      </c>
      <c r="G85" s="7">
        <v>1</v>
      </c>
      <c r="H85" s="21" t="s">
        <v>498</v>
      </c>
      <c r="I85" s="13">
        <v>42967.586770833332</v>
      </c>
      <c r="J85" s="7">
        <v>0</v>
      </c>
      <c r="K85" s="89" t="str">
        <f t="shared" si="39"/>
        <v>4053/4054</v>
      </c>
      <c r="L85" s="21" t="str">
        <f>VLOOKUP(A85,'Trips&amp;Operators'!$C$1:$G$99911,5,FALSE)</f>
        <v>ROMERO CHAD</v>
      </c>
      <c r="M85" s="6">
        <f t="shared" si="40"/>
        <v>2.5902777779265307E-2</v>
      </c>
      <c r="N85" s="7">
        <f t="shared" si="41"/>
        <v>37.300000002142042</v>
      </c>
      <c r="O85" s="7"/>
      <c r="P85" s="7"/>
      <c r="Q85" s="22"/>
      <c r="R85" s="170"/>
      <c r="S85" s="213">
        <f t="shared" si="42"/>
        <v>1</v>
      </c>
      <c r="T85" s="195" t="str">
        <f t="shared" si="43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44"/>
        <v>https://d0f6bd738d7f1b3e5a7ca70fe4ff75f0.us-east-1.aws.found.io/app/kibana#/discover/Steve-Slow-Train-Analysis-(2080s-and-2083s)?_g=(refreshInterval:(display:Off,pause:!f,section:0,value:0),time:(from:'2017-08-20T12:07:55-0600',mode:absolute,to:'2017-08-20T15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5" s="197" t="str">
        <f>IF(AA85&lt;VLOOKUP(AG85,Variables!$AC$3:$AD$8,2,FALSE),"Y","N")</f>
        <v>N</v>
      </c>
      <c r="X85" s="197">
        <f t="shared" si="45"/>
        <v>1</v>
      </c>
      <c r="Y85" s="197">
        <f t="shared" si="46"/>
        <v>23.310600000000001</v>
      </c>
      <c r="Z85" s="197">
        <f t="shared" si="47"/>
        <v>1.34E-2</v>
      </c>
      <c r="AA85" s="197">
        <f t="shared" si="48"/>
        <v>23.2972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 t="shared" si="49"/>
        <v>172</v>
      </c>
      <c r="AE85" s="77" t="str">
        <f t="shared" si="50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85" s="74" t="str">
        <f t="shared" si="51"/>
        <v>"C:\Program Files (x86)\AstroGrep\AstroGrep.exe" /e /r /s /spath="%USERPROFILE%\AppData\Local\Temp\OnboardLogs" /stypes="app*4053*20170820*" /stext=" 20:.+((SYSTEM_STATE.+slice.+state.+changed )|(ment ac)|(multiple cpu faults)|(system.+state.+changed )|(\[timeout)|(PRM\|1\|D)|(kpr)|(kdp)|(train st.+moving)|(\|lc)|(penalty))"</v>
      </c>
      <c r="AG85" s="209" t="str">
        <f t="shared" si="52"/>
        <v>EC</v>
      </c>
      <c r="AH85" s="78" t="str">
        <f t="shared" si="53"/>
        <v>"%USERPROFILE%\Documents\GitHub\eaglep3\Utilities\RefineRTDCRunTimes.py" --tripid 172-20 --locoid 4053 --swversion DE.1.0.9.0 --startMP 204:233106 --initTime 2017-08-20T13:07:55 --startdatetime 2017-08-20T13:27:39 --delay 1 --endMP 204:134 --enddatetime 2017-08-20T14:04:57 --enforcementcount 0 &gt;&gt;C:\Users\stu\Documents\GitHub\eaglep3-reporting\EC\2017-08-20-refined-times.txt</v>
      </c>
      <c r="AI85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{"issue":{"subject":"","project_id":79,"tracker_id":40,"status_id":1,"priority_id":2,"assigned_to_id":23,"start_date":"2017-08-20","description":"","custom_fields":[{"id":1,"name":"Subdivision","value":"EC"},{"id":4,"name":"Milepost","value":"0.0134"},{"id":17,"name":"Train ID","value":"172-20"},{"id":16,"name":"Locomotive ID","value":"4053"},{"id":130,"name":"Impact","value":""},{"id":150,"name":"Time of Event (Mountain Time)","value":"14:04:57"},{"id":151,"name":"Denver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5"/>
        <v>start /low /b %USERPROFILE%\Documents\GitHub\eaglep3\Utilities\DownloadLogsFromS3.py --loco 4053 --day 2017-08-20</v>
      </c>
      <c r="AN85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679</v>
      </c>
      <c r="B86" s="7">
        <v>4012</v>
      </c>
      <c r="C86" s="21" t="s">
        <v>198</v>
      </c>
      <c r="D86" s="21" t="s">
        <v>432</v>
      </c>
      <c r="E86" s="13">
        <v>42967.528263888889</v>
      </c>
      <c r="F86" s="13">
        <v>42967.531759259262</v>
      </c>
      <c r="G86" s="7">
        <v>1</v>
      </c>
      <c r="H86" s="21" t="s">
        <v>511</v>
      </c>
      <c r="I86" s="13">
        <v>42967.55605324074</v>
      </c>
      <c r="J86" s="7">
        <v>0</v>
      </c>
      <c r="K86" s="89" t="str">
        <f t="shared" si="39"/>
        <v>4011/4012</v>
      </c>
      <c r="L86" s="21" t="str">
        <f>VLOOKUP(A86,'Trips&amp;Operators'!$C$1:$G$99911,5,FALSE)</f>
        <v>MCREYNOLDS KYLE</v>
      </c>
      <c r="M86" s="6">
        <f t="shared" si="40"/>
        <v>2.4293981477967463E-2</v>
      </c>
      <c r="N86" s="7">
        <f t="shared" si="41"/>
        <v>34.983333328273147</v>
      </c>
      <c r="O86" s="7"/>
      <c r="P86" s="7"/>
      <c r="Q86" s="22"/>
      <c r="R86" s="170"/>
      <c r="S86" s="213">
        <f t="shared" si="42"/>
        <v>1</v>
      </c>
      <c r="T86" s="195" t="str">
        <f t="shared" si="43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44"/>
        <v>https://d0f6bd738d7f1b3e5a7ca70fe4ff75f0.us-east-1.aws.found.io/app/kibana#/discover/Steve-Slow-Train-Analysis-(2080s-and-2083s)?_g=(refreshInterval:(display:Off,pause:!f,section:0,value:0),time:(from:'2017-08-20T11:40:42-0600',mode:absolute,to:'2017-08-20T14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6" s="197" t="str">
        <f>IF(AA86&lt;VLOOKUP(AG86,Variables!$AC$3:$AD$8,2,FALSE),"Y","N")</f>
        <v>N</v>
      </c>
      <c r="X86" s="197">
        <f t="shared" si="45"/>
        <v>1</v>
      </c>
      <c r="Y86" s="197">
        <f t="shared" si="46"/>
        <v>4.6899999999999997E-2</v>
      </c>
      <c r="Z86" s="197">
        <f t="shared" si="47"/>
        <v>23.3414</v>
      </c>
      <c r="AA86" s="197">
        <f t="shared" si="48"/>
        <v>23.294499999999999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 t="shared" si="49"/>
        <v>173</v>
      </c>
      <c r="AE86" s="77" t="str">
        <f t="shared" si="50"/>
        <v>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 &amp; aws s3 cp s3://rtdc.mdm.uploadarchive.raw/RTDC4012/ "%USERPROFILE%\AppData\Local\Temp\OnboardLogs"\RTDC4012\2017-08-21 --exclude "*" --recursive --include "*20170821*" &amp; "%USERPROFILE%\Documents\GitHub\mrs-test-scripts\Headless Mode &amp; Sideloading\WalkAndUnGZ.bat" "%USERPROFILE%\AppData\Local\Temp\OnboardLogs"\RTDC4012\2017-08-21</v>
      </c>
      <c r="AF86" s="74" t="str">
        <f t="shared" si="51"/>
        <v>"C:\Program Files (x86)\AstroGrep\AstroGrep.exe" /e /r /s /spath="%USERPROFILE%\AppData\Local\Temp\OnboardLogs" /stypes="app*4012*20170820*" /stext=" 19:.+((SYSTEM_STATE.+slice.+state.+changed )|(ment ac)|(multiple cpu faults)|(system.+state.+changed )|(\[timeout)|(PRM\|1\|D)|(kpr)|(kdp)|(train st.+moving)|(\|lc)|(penalty))"</v>
      </c>
      <c r="AG86" s="209" t="str">
        <f t="shared" si="52"/>
        <v>EC</v>
      </c>
      <c r="AH86" s="78" t="str">
        <f t="shared" si="53"/>
        <v>"%USERPROFILE%\Documents\GitHub\eaglep3\Utilities\RefineRTDCRunTimes.py" --tripid 173-20 --locoid 4012 --swversion DE.1.0.9.0 --startMP 204:469 --initTime 2017-08-20T12:40:42 --startdatetime 2017-08-20T12:45:44 --delay 1 --endMP 204:233414 --enddatetime 2017-08-20T13:20:43 --enforcementcount 0 &gt;&gt;C:\Users\stu\Documents\GitHub\eaglep3-reporting\EC\2017-08-20-refined-times.txt</v>
      </c>
      <c r="AI86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{"issue":{"subject":"","project_id":79,"tracker_id":40,"status_id":1,"priority_id":2,"assigned_to_id":23,"start_date":"2017-08-20","description":"","custom_fields":[{"id":1,"name":"Subdivision","value":"EC"},{"id":4,"name":"Milepost","value":"23.3414"},{"id":17,"name":"Train ID","value":"173-20"},{"id":16,"name":"Locomotive ID","value":"4012"},{"id":130,"name":"Impact","value":""},{"id":150,"name":"Time of Event (Mountain Time)","value":"13:20:43"},{"id":151,"name":"Denver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5"/>
        <v>start /low /b %USERPROFILE%\Documents\GitHub\eaglep3\Utilities\DownloadLogsFromS3.py --loco 4012 --day 2017-08-20</v>
      </c>
      <c r="AN86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687</v>
      </c>
      <c r="B87" s="7">
        <v>4011</v>
      </c>
      <c r="C87" s="21" t="s">
        <v>198</v>
      </c>
      <c r="D87" s="21" t="s">
        <v>461</v>
      </c>
      <c r="E87" s="13">
        <v>42967.557662037034</v>
      </c>
      <c r="F87" s="13">
        <v>42967.570983796293</v>
      </c>
      <c r="G87" s="7">
        <v>1</v>
      </c>
      <c r="H87" s="21" t="s">
        <v>397</v>
      </c>
      <c r="I87" s="13">
        <v>42967.600752314815</v>
      </c>
      <c r="J87" s="7">
        <v>0</v>
      </c>
      <c r="K87" s="89" t="str">
        <f t="shared" si="39"/>
        <v>4011/4012</v>
      </c>
      <c r="L87" s="21" t="str">
        <f>VLOOKUP(A87,'Trips&amp;Operators'!$C$1:$G$99911,5,FALSE)</f>
        <v>MCREYNOLDS KYLE</v>
      </c>
      <c r="M87" s="6">
        <f t="shared" si="40"/>
        <v>2.976851852145046E-2</v>
      </c>
      <c r="N87" s="7">
        <f t="shared" si="41"/>
        <v>42.866666670888662</v>
      </c>
      <c r="O87" s="7"/>
      <c r="P87" s="7"/>
      <c r="Q87" s="22"/>
      <c r="R87" s="170"/>
      <c r="S87" s="213">
        <f t="shared" si="42"/>
        <v>1</v>
      </c>
      <c r="T87" s="195" t="str">
        <f t="shared" si="43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44"/>
        <v>https://d0f6bd738d7f1b3e5a7ca70fe4ff75f0.us-east-1.aws.found.io/app/kibana#/discover/Steve-Slow-Train-Analysis-(2080s-and-2083s)?_g=(refreshInterval:(display:Off,pause:!f,section:0,value:0),time:(from:'2017-08-20T12:23:02-0600',mode:absolute,to:'2017-08-20T15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197" t="str">
        <f>IF(AA87&lt;VLOOKUP(AG87,Variables!$AC$3:$AD$8,2,FALSE),"Y","N")</f>
        <v>N</v>
      </c>
      <c r="X87" s="197">
        <f t="shared" si="45"/>
        <v>1</v>
      </c>
      <c r="Y87" s="197">
        <f t="shared" si="46"/>
        <v>23.309200000000001</v>
      </c>
      <c r="Z87" s="197">
        <f t="shared" si="47"/>
        <v>1.4500000000000001E-2</v>
      </c>
      <c r="AA87" s="197">
        <f t="shared" si="48"/>
        <v>23.294699999999999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 t="shared" si="49"/>
        <v>174</v>
      </c>
      <c r="AE87" s="77" t="str">
        <f t="shared" si="50"/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AF87" s="74" t="str">
        <f t="shared" si="51"/>
        <v>"C:\Program Files (x86)\AstroGrep\AstroGrep.exe" /e /r /s /spath="%USERPROFILE%\AppData\Local\Temp\OnboardLogs" /stypes="app*4011*20170820*" /stext=" 20:.+((SYSTEM_STATE.+slice.+state.+changed )|(ment ac)|(multiple cpu faults)|(system.+state.+changed )|(\[timeout)|(PRM\|1\|D)|(kpr)|(kdp)|(train st.+moving)|(\|lc)|(penalty))"</v>
      </c>
      <c r="AG87" s="209" t="str">
        <f t="shared" si="52"/>
        <v>EC</v>
      </c>
      <c r="AH87" s="78" t="str">
        <f t="shared" si="53"/>
        <v>"%USERPROFILE%\Documents\GitHub\eaglep3\Utilities\RefineRTDCRunTimes.py" --tripid 174-20 --locoid 4011 --swversion DE.1.0.9.0 --startMP 204:233092 --initTime 2017-08-20T13:23:02 --startdatetime 2017-08-20T13:42:13 --delay 1 --endMP 204:145 --enddatetime 2017-08-20T14:25:05 --enforcementcount 0 &gt;&gt;C:\Users\stu\Documents\GitHub\eaglep3-reporting\EC\2017-08-20-refined-times.txt</v>
      </c>
      <c r="AI87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{"issue":{"subject":"","project_id":79,"tracker_id":40,"status_id":1,"priority_id":2,"assigned_to_id":23,"start_date":"2017-08-20","description":"","custom_fields":[{"id":1,"name":"Subdivision","value":"EC"},{"id":4,"name":"Milepost","value":"0.0145"},{"id":17,"name":"Train ID","value":"174-20"},{"id":16,"name":"Locomotive ID","value":"4011"},{"id":130,"name":"Impact","value":""},{"id":150,"name":"Time of Event (Mountain Time)","value":"14:25:05"},{"id":151,"name":"Denver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5"/>
        <v>start /low /b %USERPROFILE%\Documents\GitHub\eaglep3\Utilities\DownloadLogsFromS3.py --loco 4011 --day 2017-08-20</v>
      </c>
      <c r="AN87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683</v>
      </c>
      <c r="B88" s="7">
        <v>4058</v>
      </c>
      <c r="C88" s="21" t="s">
        <v>198</v>
      </c>
      <c r="D88" s="21" t="s">
        <v>440</v>
      </c>
      <c r="E88" s="13">
        <v>42967.539189814815</v>
      </c>
      <c r="F88" s="13">
        <v>42967.542210648149</v>
      </c>
      <c r="G88" s="7">
        <v>1</v>
      </c>
      <c r="H88" s="21" t="s">
        <v>804</v>
      </c>
      <c r="I88" s="13">
        <v>42967.569293981483</v>
      </c>
      <c r="J88" s="7">
        <v>0</v>
      </c>
      <c r="K88" s="89" t="str">
        <f t="shared" si="39"/>
        <v>4057/4058</v>
      </c>
      <c r="L88" s="21" t="str">
        <f>VLOOKUP(A88,'Trips&amp;Operators'!$C$1:$G$99911,5,FALSE)</f>
        <v>DAVIS MICHAEL</v>
      </c>
      <c r="M88" s="6">
        <f t="shared" si="40"/>
        <v>2.7083333334303461E-2</v>
      </c>
      <c r="N88" s="7">
        <f t="shared" si="41"/>
        <v>39.000000001396984</v>
      </c>
      <c r="O88" s="7"/>
      <c r="P88" s="7"/>
      <c r="Q88" s="22"/>
      <c r="R88" s="170"/>
      <c r="S88" s="213">
        <f t="shared" si="42"/>
        <v>1</v>
      </c>
      <c r="T88" s="195" t="str">
        <f t="shared" si="43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44"/>
        <v>https://d0f6bd738d7f1b3e5a7ca70fe4ff75f0.us-east-1.aws.found.io/app/kibana#/discover/Steve-Slow-Train-Analysis-(2080s-and-2083s)?_g=(refreshInterval:(display:Off,pause:!f,section:0,value:0),time:(from:'2017-08-20T11:56:26-0600',mode:absolute,to:'2017-08-20T14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8" s="197" t="str">
        <f>IF(AA88&lt;VLOOKUP(AG88,Variables!$AC$3:$AD$8,2,FALSE),"Y","N")</f>
        <v>N</v>
      </c>
      <c r="X88" s="197">
        <f t="shared" si="45"/>
        <v>1</v>
      </c>
      <c r="Y88" s="197">
        <f t="shared" si="46"/>
        <v>4.6699999999999998E-2</v>
      </c>
      <c r="Z88" s="197">
        <f t="shared" si="47"/>
        <v>23.334399999999999</v>
      </c>
      <c r="AA88" s="197">
        <f t="shared" si="48"/>
        <v>23.287699999999997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 t="shared" si="49"/>
        <v>175</v>
      </c>
      <c r="AE88" s="77" t="str">
        <f t="shared" si="50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88" s="74" t="str">
        <f t="shared" si="51"/>
        <v>"C:\Program Files (x86)\AstroGrep\AstroGrep.exe" /e /r /s /spath="%USERPROFILE%\AppData\Local\Temp\OnboardLogs" /stypes="app*4058*20170820*" /stext=" 19:.+((SYSTEM_STATE.+slice.+state.+changed )|(ment ac)|(multiple cpu faults)|(system.+state.+changed )|(\[timeout)|(PRM\|1\|D)|(kpr)|(kdp)|(train st.+moving)|(\|lc)|(penalty))"</v>
      </c>
      <c r="AG88" s="209" t="str">
        <f t="shared" si="52"/>
        <v>EC</v>
      </c>
      <c r="AH88" s="78" t="str">
        <f t="shared" si="53"/>
        <v>"%USERPROFILE%\Documents\GitHub\eaglep3\Utilities\RefineRTDCRunTimes.py" --tripid 175-20 --locoid 4058 --swversion DE.1.0.9.0 --startMP 204:467 --initTime 2017-08-20T12:56:26 --startdatetime 2017-08-20T13:00:47 --delay 1 --endMP 204:233344 --enddatetime 2017-08-20T13:39:47 --enforcementcount 0 &gt;&gt;C:\Users\stu\Documents\GitHub\eaglep3-reporting\EC\2017-08-20-refined-times.txt</v>
      </c>
      <c r="AI88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{"issue":{"subject":"","project_id":79,"tracker_id":40,"status_id":1,"priority_id":2,"assigned_to_id":23,"start_date":"2017-08-20","description":"","custom_fields":[{"id":1,"name":"Subdivision","value":"EC"},{"id":4,"name":"Milepost","value":"23.3344"},{"id":17,"name":"Train ID","value":"175-20"},{"id":16,"name":"Locomotive ID","value":"4058"},{"id":130,"name":"Impact","value":""},{"id":150,"name":"Time of Event (Mountain Time)","value":"13:39:47"},{"id":151,"name":"Denver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5"/>
        <v>start /low /b %USERPROFILE%\Documents\GitHub\eaglep3\Utilities\DownloadLogsFromS3.py --loco 4058 --day 2017-08-20</v>
      </c>
      <c r="AN88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690</v>
      </c>
      <c r="B89" s="7">
        <v>4057</v>
      </c>
      <c r="C89" s="21" t="s">
        <v>198</v>
      </c>
      <c r="D89" s="21" t="s">
        <v>497</v>
      </c>
      <c r="E89" s="13">
        <v>42967.579618055555</v>
      </c>
      <c r="F89" s="13">
        <v>42967.581712962965</v>
      </c>
      <c r="G89" s="7">
        <v>1</v>
      </c>
      <c r="H89" s="21" t="s">
        <v>498</v>
      </c>
      <c r="I89" s="13">
        <v>42967.61377314815</v>
      </c>
      <c r="J89" s="7">
        <v>0</v>
      </c>
      <c r="K89" s="89" t="str">
        <f t="shared" si="39"/>
        <v>4057/4058</v>
      </c>
      <c r="L89" s="21" t="str">
        <f>VLOOKUP(A89,'Trips&amp;Operators'!$C$1:$G$99911,5,FALSE)</f>
        <v>DAVIS MICHAEL</v>
      </c>
      <c r="M89" s="6">
        <f t="shared" si="40"/>
        <v>3.2060185185400769E-2</v>
      </c>
      <c r="N89" s="7">
        <f t="shared" si="41"/>
        <v>46.166666666977108</v>
      </c>
      <c r="O89" s="7"/>
      <c r="P89" s="7"/>
      <c r="Q89" s="22"/>
      <c r="R89" s="170"/>
      <c r="S89" s="213">
        <f t="shared" si="42"/>
        <v>1</v>
      </c>
      <c r="T89" s="195" t="str">
        <f t="shared" si="43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44"/>
        <v>https://d0f6bd738d7f1b3e5a7ca70fe4ff75f0.us-east-1.aws.found.io/app/kibana#/discover/Steve-Slow-Train-Analysis-(2080s-and-2083s)?_g=(refreshInterval:(display:Off,pause:!f,section:0,value:0),time:(from:'2017-08-20T12:54:39-0600',mode:absolute,to:'2017-08-20T15:43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9" s="197" t="str">
        <f>IF(AA89&lt;VLOOKUP(AG89,Variables!$AC$3:$AD$8,2,FALSE),"Y","N")</f>
        <v>N</v>
      </c>
      <c r="X89" s="197">
        <f t="shared" si="45"/>
        <v>1</v>
      </c>
      <c r="Y89" s="197">
        <f t="shared" si="46"/>
        <v>23.303000000000001</v>
      </c>
      <c r="Z89" s="197">
        <f t="shared" si="47"/>
        <v>1.34E-2</v>
      </c>
      <c r="AA89" s="197">
        <f t="shared" si="48"/>
        <v>23.2896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 t="shared" si="49"/>
        <v>176</v>
      </c>
      <c r="AE89" s="77" t="str">
        <f t="shared" si="50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89" s="74" t="str">
        <f t="shared" si="51"/>
        <v>"C:\Program Files (x86)\AstroGrep\AstroGrep.exe" /e /r /s /spath="%USERPROFILE%\AppData\Local\Temp\OnboardLogs" /stypes="app*4057*20170820*" /stext=" 20:.+((SYSTEM_STATE.+slice.+state.+changed )|(ment ac)|(multiple cpu faults)|(system.+state.+changed )|(\[timeout)|(PRM\|1\|D)|(kpr)|(kdp)|(train st.+moving)|(\|lc)|(penalty))"</v>
      </c>
      <c r="AG89" s="209" t="str">
        <f t="shared" si="52"/>
        <v>EC</v>
      </c>
      <c r="AH89" s="78" t="str">
        <f t="shared" si="53"/>
        <v>"%USERPROFILE%\Documents\GitHub\eaglep3\Utilities\RefineRTDCRunTimes.py" --tripid 176-20 --locoid 4057 --swversion DE.1.0.9.0 --startMP 204:233030 --initTime 2017-08-20T13:54:39 --startdatetime 2017-08-20T13:57:40 --delay 1 --endMP 204:134 --enddatetime 2017-08-20T14:43:50 --enforcementcount 0 &gt;&gt;C:\Users\stu\Documents\GitHub\eaglep3-reporting\EC\2017-08-20-refined-times.txt</v>
      </c>
      <c r="AI89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{"issue":{"subject":"","project_id":79,"tracker_id":40,"status_id":1,"priority_id":2,"assigned_to_id":23,"start_date":"2017-08-20","description":"","custom_fields":[{"id":1,"name":"Subdivision","value":"EC"},{"id":4,"name":"Milepost","value":"0.0134"},{"id":17,"name":"Train ID","value":"176-20"},{"id":16,"name":"Locomotive ID","value":"4057"},{"id":130,"name":"Impact","value":""},{"id":150,"name":"Time of Event (Mountain Time)","value":"14:43:50"},{"id":151,"name":"Denver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5"/>
        <v>start /low /b %USERPROFILE%\Documents\GitHub\eaglep3\Utilities\DownloadLogsFromS3.py --loco 4057 --day 2017-08-20</v>
      </c>
      <c r="AN89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20:43:50"},{"id":29,"name":"Sharepoint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686</v>
      </c>
      <c r="B90" s="7">
        <v>4018</v>
      </c>
      <c r="C90" s="21" t="s">
        <v>198</v>
      </c>
      <c r="D90" s="21" t="s">
        <v>414</v>
      </c>
      <c r="E90" s="13">
        <v>42967.550868055558</v>
      </c>
      <c r="F90" s="13">
        <v>42967.552685185183</v>
      </c>
      <c r="G90" s="7">
        <v>1</v>
      </c>
      <c r="H90" s="21" t="s">
        <v>805</v>
      </c>
      <c r="I90" s="13">
        <v>42967.577615740738</v>
      </c>
      <c r="J90" s="7">
        <v>0</v>
      </c>
      <c r="K90" s="89" t="str">
        <f t="shared" si="39"/>
        <v>4017/4018</v>
      </c>
      <c r="L90" s="21" t="str">
        <f>VLOOKUP(A90,'Trips&amp;Operators'!$C$1:$G$99911,5,FALSE)</f>
        <v>THOMPSON LESTER</v>
      </c>
      <c r="M90" s="6">
        <f t="shared" si="40"/>
        <v>2.4930555555329192E-2</v>
      </c>
      <c r="N90" s="7">
        <f t="shared" si="41"/>
        <v>35.899999999674037</v>
      </c>
      <c r="O90" s="7"/>
      <c r="P90" s="7"/>
      <c r="Q90" s="22"/>
      <c r="R90" s="170"/>
      <c r="S90" s="213">
        <f t="shared" si="42"/>
        <v>1</v>
      </c>
      <c r="T90" s="195" t="str">
        <f t="shared" si="43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44"/>
        <v>https://d0f6bd738d7f1b3e5a7ca70fe4ff75f0.us-east-1.aws.found.io/app/kibana#/discover/Steve-Slow-Train-Analysis-(2080s-and-2083s)?_g=(refreshInterval:(display:Off,pause:!f,section:0,value:0),time:(from:'2017-08-20T12:13:15-0600',mode:absolute,to:'2017-08-20T14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197" t="str">
        <f>IF(AA90&lt;VLOOKUP(AG90,Variables!$AC$3:$AD$8,2,FALSE),"Y","N")</f>
        <v>N</v>
      </c>
      <c r="X90" s="197">
        <f t="shared" si="45"/>
        <v>1</v>
      </c>
      <c r="Y90" s="197">
        <f t="shared" si="46"/>
        <v>4.4400000000000002E-2</v>
      </c>
      <c r="Z90" s="197">
        <f t="shared" si="47"/>
        <v>23.335699999999999</v>
      </c>
      <c r="AA90" s="197">
        <f t="shared" si="48"/>
        <v>23.2913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 t="shared" si="49"/>
        <v>177</v>
      </c>
      <c r="AE90" s="77" t="str">
        <f t="shared" si="50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90" s="74" t="str">
        <f t="shared" si="51"/>
        <v>"C:\Program Files (x86)\AstroGrep\AstroGrep.exe" /e /r /s /spath="%USERPROFILE%\AppData\Local\Temp\OnboardLogs" /stypes="app*4018*20170820*" /stext=" 19:.+((SYSTEM_STATE.+slice.+state.+changed )|(ment ac)|(multiple cpu faults)|(system.+state.+changed )|(\[timeout)|(PRM\|1\|D)|(kpr)|(kdp)|(train st.+moving)|(\|lc)|(penalty))"</v>
      </c>
      <c r="AG90" s="209" t="str">
        <f t="shared" si="52"/>
        <v>EC</v>
      </c>
      <c r="AH90" s="78" t="str">
        <f t="shared" si="53"/>
        <v>"%USERPROFILE%\Documents\GitHub\eaglep3\Utilities\RefineRTDCRunTimes.py" --tripid 177-20 --locoid 4018 --swversion DE.1.0.9.0 --startMP 204:444 --initTime 2017-08-20T13:13:15 --startdatetime 2017-08-20T13:15:52 --delay 1 --endMP 204:233357 --enddatetime 2017-08-20T13:51:46 --enforcementcount 0 &gt;&gt;C:\Users\stu\Documents\GitHub\eaglep3-reporting\EC\2017-08-20-refined-times.txt</v>
      </c>
      <c r="AI90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{"issue":{"subject":"","project_id":79,"tracker_id":40,"status_id":1,"priority_id":2,"assigned_to_id":23,"start_date":"2017-08-20","description":"","custom_fields":[{"id":1,"name":"Subdivision","value":"EC"},{"id":4,"name":"Milepost","value":"23.3357"},{"id":17,"name":"Train ID","value":"177-20"},{"id":16,"name":"Locomotive ID","value":"4018"},{"id":130,"name":"Impact","value":""},{"id":150,"name":"Time of Event (Mountain Time)","value":"13:51:46"},{"id":151,"name":"Denver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5"/>
        <v>start /low /b %USERPROFILE%\Documents\GitHub\eaglep3\Utilities\DownloadLogsFromS3.py --loco 4018 --day 2017-08-20</v>
      </c>
      <c r="AN90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693</v>
      </c>
      <c r="B91" s="7">
        <v>4017</v>
      </c>
      <c r="C91" s="21" t="s">
        <v>198</v>
      </c>
      <c r="D91" s="21" t="s">
        <v>798</v>
      </c>
      <c r="E91" s="13">
        <v>42967.589988425927</v>
      </c>
      <c r="F91" s="13">
        <v>42967.592129629629</v>
      </c>
      <c r="G91" s="7">
        <v>1</v>
      </c>
      <c r="H91" s="21" t="s">
        <v>347</v>
      </c>
      <c r="I91" s="13">
        <v>42967.620497685188</v>
      </c>
      <c r="J91" s="7">
        <v>0</v>
      </c>
      <c r="K91" s="89" t="str">
        <f t="shared" si="39"/>
        <v>4017/4018</v>
      </c>
      <c r="L91" s="21" t="str">
        <f>VLOOKUP(A91,'Trips&amp;Operators'!$C$1:$G$99911,5,FALSE)</f>
        <v>THOMPSON LESTER</v>
      </c>
      <c r="M91" s="6">
        <f t="shared" si="40"/>
        <v>2.8368055558530614E-2</v>
      </c>
      <c r="N91" s="7">
        <f t="shared" si="41"/>
        <v>40.850000004284084</v>
      </c>
      <c r="O91" s="7"/>
      <c r="P91" s="7"/>
      <c r="Q91" s="22"/>
      <c r="R91" s="170"/>
      <c r="S91" s="213">
        <f t="shared" si="42"/>
        <v>1</v>
      </c>
      <c r="T91" s="195" t="str">
        <f t="shared" si="43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44"/>
        <v>https://d0f6bd738d7f1b3e5a7ca70fe4ff75f0.us-east-1.aws.found.io/app/kibana#/discover/Steve-Slow-Train-Analysis-(2080s-and-2083s)?_g=(refreshInterval:(display:Off,pause:!f,section:0,value:0),time:(from:'2017-08-20T13:09:35-0600',mode:absolute,to:'2017-08-20T15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197" t="str">
        <f>IF(AA91&lt;VLOOKUP(AG91,Variables!$AC$3:$AD$8,2,FALSE),"Y","N")</f>
        <v>N</v>
      </c>
      <c r="X91" s="197">
        <f t="shared" si="45"/>
        <v>1</v>
      </c>
      <c r="Y91" s="197">
        <f t="shared" si="46"/>
        <v>23.3049</v>
      </c>
      <c r="Z91" s="197">
        <f t="shared" si="47"/>
        <v>1.41E-2</v>
      </c>
      <c r="AA91" s="197">
        <f t="shared" si="48"/>
        <v>23.290800000000001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206">
        <f t="shared" si="49"/>
        <v>178</v>
      </c>
      <c r="AE91" s="77" t="str">
        <f t="shared" si="50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91" s="74" t="str">
        <f t="shared" si="51"/>
        <v>"C:\Program Files (x86)\AstroGrep\AstroGrep.exe" /e /r /s /spath="%USERPROFILE%\AppData\Local\Temp\OnboardLogs" /stypes="app*4017*20170820*" /stext=" 20:.+((SYSTEM_STATE.+slice.+state.+changed )|(ment ac)|(multiple cpu faults)|(system.+state.+changed )|(\[timeout)|(PRM\|1\|D)|(kpr)|(kdp)|(train st.+moving)|(\|lc)|(penalty))"</v>
      </c>
      <c r="AG91" s="209" t="str">
        <f t="shared" si="52"/>
        <v>EC</v>
      </c>
      <c r="AH91" s="78" t="str">
        <f t="shared" si="53"/>
        <v>"%USERPROFILE%\Documents\GitHub\eaglep3\Utilities\RefineRTDCRunTimes.py" --tripid 178-20 --locoid 4017 --swversion DE.1.0.9.0 --startMP 204:233049 --initTime 2017-08-20T14:09:35 --startdatetime 2017-08-20T14:12:40 --delay 1 --endMP 204:141 --enddatetime 2017-08-20T14:53:31 --enforcementcount 0 &gt;&gt;C:\Users\stu\Documents\GitHub\eaglep3-reporting\EC\2017-08-20-refined-times.txt</v>
      </c>
      <c r="AI91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{"issue":{"subject":"","project_id":79,"tracker_id":40,"status_id":1,"priority_id":2,"assigned_to_id":23,"start_date":"2017-08-20","description":"","custom_fields":[{"id":1,"name":"Subdivision","value":"EC"},{"id":4,"name":"Milepost","value":"0.0141"},{"id":17,"name":"Train ID","value":"178-20"},{"id":16,"name":"Locomotive ID","value":"4017"},{"id":130,"name":"Impact","value":""},{"id":150,"name":"Time of Event (Mountain Time)","value":"14:53:31"},{"id":151,"name":"Denver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5"/>
        <v>start /low /b %USERPROFILE%\Documents\GitHub\eaglep3\Utilities\DownloadLogsFromS3.py --loco 4017 --day 2017-08-20</v>
      </c>
      <c r="AN91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543</v>
      </c>
      <c r="B92" s="7">
        <v>4014</v>
      </c>
      <c r="C92" s="21" t="s">
        <v>198</v>
      </c>
      <c r="D92" s="21" t="s">
        <v>346</v>
      </c>
      <c r="E92" s="13">
        <v>42967.559050925927</v>
      </c>
      <c r="F92" s="13">
        <v>42967.563148148147</v>
      </c>
      <c r="G92" s="7">
        <v>1</v>
      </c>
      <c r="H92" s="21" t="s">
        <v>806</v>
      </c>
      <c r="I92" s="13">
        <v>42967.574282407404</v>
      </c>
      <c r="J92" s="7">
        <v>0</v>
      </c>
      <c r="K92" s="89" t="str">
        <f t="shared" si="39"/>
        <v>4013/4014</v>
      </c>
      <c r="L92" s="21" t="str">
        <f>VLOOKUP(A92,'Trips&amp;Operators'!$C$1:$G$99911,5,FALSE)</f>
        <v>BRUDER RICHARD</v>
      </c>
      <c r="M92" s="6">
        <f t="shared" si="40"/>
        <v>1.113425925723277E-2</v>
      </c>
      <c r="N92" s="7"/>
      <c r="O92" s="7"/>
      <c r="P92" s="7">
        <f>24*60*SUM($M92:$M93)</f>
        <v>20.133333324920386</v>
      </c>
      <c r="Q92" s="22"/>
      <c r="R92" s="170" t="s">
        <v>938</v>
      </c>
      <c r="S92" s="213">
        <f>1/IF(AG92="EC",12,1)*SUM(U92:U93)</f>
        <v>0.83333333333333326</v>
      </c>
      <c r="T92" s="195" t="str">
        <f t="shared" si="43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9</v>
      </c>
      <c r="V92" s="196" t="str">
        <f t="shared" si="44"/>
        <v>https://d0f6bd738d7f1b3e5a7ca70fe4ff75f0.us-east-1.aws.found.io/app/kibana#/discover/Steve-Slow-Train-Analysis-(2080s-and-2083s)?_g=(refreshInterval:(display:Off,pause:!f,section:0,value:0),time:(from:'2017-08-20T12:25:02-0600',mode:absolute,to:'2017-08-20T14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2" s="197" t="str">
        <f>IF(AA92&lt;VLOOKUP(AG92,Variables!$AC$3:$AD$8,2,FALSE),"Y","N")</f>
        <v>Y</v>
      </c>
      <c r="X92" s="197">
        <f t="shared" si="45"/>
        <v>1</v>
      </c>
      <c r="Y92" s="197">
        <f t="shared" si="46"/>
        <v>4.4699999999999997E-2</v>
      </c>
      <c r="Z92" s="197">
        <f t="shared" si="47"/>
        <v>6.4702000000000002</v>
      </c>
      <c r="AA92" s="197">
        <f t="shared" si="48"/>
        <v>6.4255000000000004</v>
      </c>
      <c r="AB92" s="54" t="str">
        <f>VLOOKUP(A92,Enforcements!$C$7:$K$11,8,0)</f>
        <v>Bulletin (2)</v>
      </c>
      <c r="AC92" s="51" t="str">
        <f>VLOOKUP(A92,Enforcements!$C$7:$E$11,3,0)</f>
        <v>GRADE CROSSING</v>
      </c>
      <c r="AD92" s="206">
        <f t="shared" si="49"/>
        <v>179</v>
      </c>
      <c r="AE92" s="77" t="str">
        <f t="shared" si="50"/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92" s="74" t="str">
        <f t="shared" si="51"/>
        <v>"C:\Program Files (x86)\AstroGrep\AstroGrep.exe" /e /r /s /spath="%USERPROFILE%\AppData\Local\Temp\OnboardLogs" /stypes="app*4014*20170820*" /stext=" 19:.+((SYSTEM_STATE.+slice.+state.+changed )|(ment ac)|(multiple cpu faults)|(system.+state.+changed )|(\[timeout)|(PRM\|1\|D)|(kpr)|(kdp)|(train st.+moving)|(\|lc)|(penalty))"</v>
      </c>
      <c r="AG92" s="209" t="str">
        <f t="shared" si="52"/>
        <v>EC</v>
      </c>
      <c r="AH92" s="78" t="str">
        <f t="shared" si="53"/>
        <v>"%USERPROFILE%\Documents\GitHub\eaglep3\Utilities\RefineRTDCRunTimes.py" --tripid 179-20 --locoid 4014 --swversion DE.1.0.9.0 --startMP 204:447 --initTime 2017-08-20T13:25:02 --startdatetime 2017-08-20T13:30:56 --delay 1 --endMP 204:64702 --enddatetime 2017-08-20T13:46:58 --enforcementcount 0 &gt;&gt;C:\Users\stu\Documents\GitHub\eaglep3-reporting\EC\2017-08-20-refined-times.txt</v>
      </c>
      <c r="AI92" s="96" t="str">
        <f t="shared" si="54"/>
        <v>echo {"issue":{"subject":"Several Wi-MAX data drops","project_id":79,"tracker_id":40,"status_id":1,"priority_id":2,"assigned_to_id":23,"start_date":"2017-08-20","description":"","custom_fields":[{"id":1,"name":"Subdivision","value":"EC"},{"id":4,"name":"Milepost","value":"6.4702"},{"id":17,"name":"Train ID","value":"179-20"},{"id":16,"name":"Locomotive ID","value":"4014"},{"id":130,"name":"Impact","value":""},{"id":150,"name":"Time of Event (Mountain Time)","value":"13:46:58"},{"id":151,"name":"Denver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5"/>
        <v>start /low /b %USERPROFILE%\Documents\GitHub\eaglep3\Utilities\DownloadLogsFromS3.py --loco 4014 --day 2017-08-20</v>
      </c>
      <c r="AN92" s="151" t="str">
        <f t="shared" si="56"/>
        <v>echo {"issue":{"subject":"Several Wi-MAX data drops","project_id":30,"tracker_id":4,"status_id":1,"priority_id":1,"assigned_to_id":10,"start_date":"2017-08-20","description":"","custom_fields":[{"id":30,"name":"Category","value":"Issue"},{"id":3,"name":"Functional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19:46:58"},{"id":29,"name":"Sharepoint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543</v>
      </c>
      <c r="B93" s="7">
        <v>4014</v>
      </c>
      <c r="C93" s="21" t="s">
        <v>198</v>
      </c>
      <c r="D93" s="21" t="s">
        <v>807</v>
      </c>
      <c r="E93" s="13">
        <v>42967.576041666667</v>
      </c>
      <c r="F93" s="13">
        <v>42967.577546296299</v>
      </c>
      <c r="G93" s="7">
        <v>1</v>
      </c>
      <c r="H93" s="21" t="s">
        <v>808</v>
      </c>
      <c r="I93" s="13">
        <v>42967.580393518518</v>
      </c>
      <c r="J93" s="7">
        <v>0</v>
      </c>
      <c r="K93" s="89" t="str">
        <f t="shared" si="39"/>
        <v>4013/4014</v>
      </c>
      <c r="L93" s="21" t="str">
        <f>VLOOKUP(A93,'Trips&amp;Operators'!$C$1:$G$99911,5,FALSE)</f>
        <v>BRUDER RICHARD</v>
      </c>
      <c r="M93" s="6">
        <f t="shared" si="40"/>
        <v>2.8472222184063867E-3</v>
      </c>
      <c r="N93" s="7"/>
      <c r="O93" s="7"/>
      <c r="P93" s="7"/>
      <c r="Q93" s="22"/>
      <c r="R93" s="170"/>
      <c r="S93" s="213"/>
      <c r="T93" s="195" t="str">
        <f t="shared" si="43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</v>
      </c>
      <c r="V93" s="196" t="str">
        <f t="shared" si="44"/>
        <v>https://d0f6bd738d7f1b3e5a7ca70fe4ff75f0.us-east-1.aws.found.io/app/kibana#/discover/Steve-Slow-Train-Analysis-(2080s-and-2083s)?_g=(refreshInterval:(display:Off,pause:!f,section:0,value:0),time:(from:'2017-08-20T12:49:30-0600',mode:absolute,to:'2017-08-20T14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3" s="197" t="str">
        <f>IF(AA93&lt;VLOOKUP(AG93,Variables!$AC$3:$AD$8,2,FALSE),"Y","N")</f>
        <v>Y</v>
      </c>
      <c r="X93" s="197">
        <f t="shared" si="45"/>
        <v>0</v>
      </c>
      <c r="Y93" s="197">
        <f t="shared" si="46"/>
        <v>6.4690000000000003</v>
      </c>
      <c r="Z93" s="197">
        <f t="shared" si="47"/>
        <v>8.6585999999999999</v>
      </c>
      <c r="AA93" s="197">
        <f t="shared" si="48"/>
        <v>2.1895999999999995</v>
      </c>
      <c r="AB93" s="54" t="str">
        <f>VLOOKUP(A93,Enforcements!$C$7:$K$11,8,0)</f>
        <v>Bulletin (2)</v>
      </c>
      <c r="AC93" s="51" t="str">
        <f>VLOOKUP(A93,Enforcements!$C$7:$E$11,3,0)</f>
        <v>GRADE CROSSING</v>
      </c>
      <c r="AD93" s="206">
        <f t="shared" si="49"/>
        <v>179</v>
      </c>
      <c r="AE93" s="77" t="str">
        <f t="shared" si="50"/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93" s="74" t="str">
        <f t="shared" si="51"/>
        <v>"C:\Program Files (x86)\AstroGrep\AstroGrep.exe" /e /r /s /spath="%USERPROFILE%\AppData\Local\Temp\OnboardLogs" /stypes="app*4014*20170820*" /stext=" 19:.+((SYSTEM_STATE.+slice.+state.+changed )|(ment ac)|(multiple cpu faults)|(system.+state.+changed )|(\[timeout)|(PRM\|1\|D)|(kpr)|(kdp)|(train st.+moving)|(\|lc)|(penalty))"</v>
      </c>
      <c r="AG93" s="209" t="str">
        <f t="shared" si="52"/>
        <v>EC</v>
      </c>
      <c r="AH93" s="78" t="str">
        <f t="shared" si="53"/>
        <v>"%USERPROFILE%\Documents\GitHub\eaglep3\Utilities\RefineRTDCRunTimes.py" --tripid 179-20 --locoid 4014 --swversion DE.1.0.9.0 --startMP 204:64690 --initTime 2017-08-20T13:49:30 --startdatetime 2017-08-20T13:51:40 --delay 1 --endMP 204:86586 --enddatetime 2017-08-20T13:55:46 --enforcementcount 0 &gt;&gt;C:\Users\stu\Documents\GitHub\eaglep3-reporting\EC\2017-08-20-refined-times.txt</v>
      </c>
      <c r="AI93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{"issue":{"subject":"","project_id":79,"tracker_id":40,"status_id":1,"priority_id":2,"assigned_to_id":23,"start_date":"2017-08-20","description":"","custom_fields":[{"id":1,"name":"Subdivision","value":"EC"},{"id":4,"name":"Milepost","value":"8.6586"},{"id":17,"name":"Train ID","value":"179-20"},{"id":16,"name":"Locomotive ID","value":"4014"},{"id":130,"name":"Impact","value":""},{"id":150,"name":"Time of Event (Mountain Time)","value":"13:55:46"},{"id":151,"name":"Denver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5"/>
        <v>start /low /b %USERPROFILE%\Documents\GitHub\eaglep3\Utilities\DownloadLogsFromS3.py --loco 4014 --day 2017-08-20</v>
      </c>
      <c r="AN93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694</v>
      </c>
      <c r="B94" s="7">
        <v>4013</v>
      </c>
      <c r="C94" s="21" t="s">
        <v>198</v>
      </c>
      <c r="D94" s="21" t="s">
        <v>456</v>
      </c>
      <c r="E94" s="13">
        <v>42967.60119212963</v>
      </c>
      <c r="F94" s="13">
        <v>42967.603125000001</v>
      </c>
      <c r="G94" s="7">
        <v>1</v>
      </c>
      <c r="H94" s="21" t="s">
        <v>508</v>
      </c>
      <c r="I94" s="13">
        <v>42967.62908564815</v>
      </c>
      <c r="J94" s="7">
        <v>0</v>
      </c>
      <c r="K94" s="89" t="str">
        <f t="shared" si="39"/>
        <v>4013/4014</v>
      </c>
      <c r="L94" s="21" t="str">
        <f>VLOOKUP(A94,'Trips&amp;Operators'!$C$1:$G$99911,5,FALSE)</f>
        <v>BRUDER RICHARD</v>
      </c>
      <c r="M94" s="6">
        <f t="shared" si="40"/>
        <v>2.5960648148611654E-2</v>
      </c>
      <c r="N94" s="7">
        <f t="shared" si="41"/>
        <v>37.383333334000781</v>
      </c>
      <c r="O94" s="7"/>
      <c r="P94" s="7"/>
      <c r="Q94" s="22"/>
      <c r="R94" s="170"/>
      <c r="S94" s="213">
        <f t="shared" si="42"/>
        <v>1</v>
      </c>
      <c r="T94" s="195" t="str">
        <f t="shared" si="43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44"/>
        <v>https://d0f6bd738d7f1b3e5a7ca70fe4ff75f0.us-east-1.aws.found.io/app/kibana#/discover/Steve-Slow-Train-Analysis-(2080s-and-2083s)?_g=(refreshInterval:(display:Off,pause:!f,section:0,value:0),time:(from:'2017-08-20T13:25:43-0600',mode:absolute,to:'2017-08-20T16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4" s="197" t="str">
        <f>IF(AA94&lt;VLOOKUP(AG94,Variables!$AC$3:$AD$8,2,FALSE),"Y","N")</f>
        <v>N</v>
      </c>
      <c r="X94" s="197">
        <f t="shared" si="45"/>
        <v>1</v>
      </c>
      <c r="Y94" s="197">
        <f t="shared" si="46"/>
        <v>23.2987</v>
      </c>
      <c r="Z94" s="197">
        <f t="shared" si="47"/>
        <v>1.18E-2</v>
      </c>
      <c r="AA94" s="197">
        <f t="shared" si="48"/>
        <v>23.286899999999999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 t="shared" si="49"/>
        <v>180</v>
      </c>
      <c r="AE94" s="77" t="str">
        <f t="shared" si="50"/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AF94" s="74" t="str">
        <f t="shared" si="51"/>
        <v>"C:\Program Files (x86)\AstroGrep\AstroGrep.exe" /e /r /s /spath="%USERPROFILE%\AppData\Local\Temp\OnboardLogs" /stypes="app*4013*20170820*" /stext=" 21:.+((SYSTEM_STATE.+slice.+state.+changed )|(ment ac)|(multiple cpu faults)|(system.+state.+changed )|(\[timeout)|(PRM\|1\|D)|(kpr)|(kdp)|(train st.+moving)|(\|lc)|(penalty))"</v>
      </c>
      <c r="AG94" s="209" t="str">
        <f t="shared" si="52"/>
        <v>EC</v>
      </c>
      <c r="AH94" s="78" t="str">
        <f t="shared" si="53"/>
        <v>"%USERPROFILE%\Documents\GitHub\eaglep3\Utilities\RefineRTDCRunTimes.py" --tripid 180-20 --locoid 4013 --swversion DE.1.0.9.0 --startMP 204:232987 --initTime 2017-08-20T14:25:43 --startdatetime 2017-08-20T14:28:30 --delay 1 --endMP 204:118 --enddatetime 2017-08-20T15:05:53 --enforcementcount 0 &gt;&gt;C:\Users\stu\Documents\GitHub\eaglep3-reporting\EC\2017-08-20-refined-times.txt</v>
      </c>
      <c r="AI94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{"issue":{"subject":"","project_id":79,"tracker_id":40,"status_id":1,"priority_id":2,"assigned_to_id":23,"start_date":"2017-08-20","description":"","custom_fields":[{"id":1,"name":"Subdivision","value":"EC"},{"id":4,"name":"Milepost","value":"0.0118"},{"id":17,"name":"Train ID","value":"180-20"},{"id":16,"name":"Locomotive ID","value":"4013"},{"id":130,"name":"Impact","value":""},{"id":150,"name":"Time of Event (Mountain Time)","value":"15:05:53"},{"id":151,"name":"Denver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5"/>
        <v>start /low /b %USERPROFILE%\Documents\GitHub\eaglep3\Utilities\DownloadLogsFromS3.py --loco 4013 --day 2017-08-20</v>
      </c>
      <c r="AN94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689</v>
      </c>
      <c r="B95" s="7">
        <v>4006</v>
      </c>
      <c r="C95" s="21" t="s">
        <v>198</v>
      </c>
      <c r="D95" s="21" t="s">
        <v>371</v>
      </c>
      <c r="E95" s="13">
        <v>42967.568148148152</v>
      </c>
      <c r="F95" s="13">
        <v>42967.573437500003</v>
      </c>
      <c r="G95" s="7">
        <v>2</v>
      </c>
      <c r="H95" s="21" t="s">
        <v>826</v>
      </c>
      <c r="I95" s="13">
        <v>42967.600914351853</v>
      </c>
      <c r="J95" s="7">
        <v>0</v>
      </c>
      <c r="K95" s="89" t="str">
        <f t="shared" si="39"/>
        <v>4005/4006</v>
      </c>
      <c r="L95" s="21" t="str">
        <f>VLOOKUP(A95,'Trips&amp;Operators'!$C$1:$G$99911,5,FALSE)</f>
        <v>SULLIVAN BRANDON</v>
      </c>
      <c r="M95" s="6">
        <f t="shared" si="40"/>
        <v>2.7476851850224193E-2</v>
      </c>
      <c r="N95" s="7">
        <f t="shared" si="41"/>
        <v>39.566666664322838</v>
      </c>
      <c r="O95" s="7"/>
      <c r="P95" s="7"/>
      <c r="Q95" s="22"/>
      <c r="R95" s="170"/>
      <c r="S95" s="213">
        <f t="shared" si="42"/>
        <v>1</v>
      </c>
      <c r="T95" s="195" t="str">
        <f t="shared" si="43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44"/>
        <v>https://d0f6bd738d7f1b3e5a7ca70fe4ff75f0.us-east-1.aws.found.io/app/kibana#/discover/Steve-Slow-Train-Analysis-(2080s-and-2083s)?_g=(refreshInterval:(display:Off,pause:!f,section:0,value:0),time:(from:'2017-08-20T12:38:08-0600',mode:absolute,to:'2017-08-20T15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5" s="197" t="str">
        <f>IF(AA95&lt;VLOOKUP(AG95,Variables!$AC$3:$AD$8,2,FALSE),"Y","N")</f>
        <v>N</v>
      </c>
      <c r="X95" s="197">
        <f t="shared" si="45"/>
        <v>1</v>
      </c>
      <c r="Y95" s="197">
        <f t="shared" si="46"/>
        <v>4.5499999999999999E-2</v>
      </c>
      <c r="Z95" s="197">
        <f t="shared" si="47"/>
        <v>23.335899999999999</v>
      </c>
      <c r="AA95" s="197">
        <f t="shared" si="48"/>
        <v>23.290399999999998</v>
      </c>
      <c r="AB95" s="54" t="e">
        <f>VLOOKUP(A95,Enforcements!$C$7:$K$11,8,0)</f>
        <v>#N/A</v>
      </c>
      <c r="AC95" s="51" t="e">
        <f>VLOOKUP(A95,Enforcements!$C$7:$E$11,3,0)</f>
        <v>#N/A</v>
      </c>
      <c r="AD95" s="206">
        <f t="shared" si="49"/>
        <v>181</v>
      </c>
      <c r="AE95" s="77" t="str">
        <f t="shared" si="50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95" s="74" t="str">
        <f t="shared" si="51"/>
        <v>"C:\Program Files (x86)\AstroGrep\AstroGrep.exe" /e /r /s /spath="%USERPROFILE%\AppData\Local\Temp\OnboardLogs" /stypes="app*4006*20170820*" /stext=" 20:.+((SYSTEM_STATE.+slice.+state.+changed )|(ment ac)|(multiple cpu faults)|(system.+state.+changed )|(\[timeout)|(PRM\|1\|D)|(kpr)|(kdp)|(train st.+moving)|(\|lc)|(penalty))"</v>
      </c>
      <c r="AG95" s="209" t="str">
        <f t="shared" si="52"/>
        <v>EC</v>
      </c>
      <c r="AH95" s="78" t="str">
        <f t="shared" si="53"/>
        <v>"%USERPROFILE%\Documents\GitHub\eaglep3\Utilities\RefineRTDCRunTimes.py" --tripid 181-20 --locoid 4006 --swversion DE.1.0.9.0 --startMP 204:455 --initTime 2017-08-20T13:38:08 --startdatetime 2017-08-20T13:45:45 --delay 2 --endMP 204:233359 --enddatetime 2017-08-20T14:25:19 --enforcementcount 0 &gt;&gt;C:\Users\stu\Documents\GitHub\eaglep3-reporting\EC\2017-08-20-refined-times.txt</v>
      </c>
      <c r="AI95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{"issue":{"subject":"","project_id":79,"tracker_id":40,"status_id":1,"priority_id":2,"assigned_to_id":23,"start_date":"2017-08-20","description":"","custom_fields":[{"id":1,"name":"Subdivision","value":"EC"},{"id":4,"name":"Milepost","value":"23.3359"},{"id":17,"name":"Train ID","value":"181-20"},{"id":16,"name":"Locomotive ID","value":"4006"},{"id":130,"name":"Impact","value":""},{"id":150,"name":"Time of Event (Mountain Time)","value":"14:25:19"},{"id":151,"name":"Denver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5"/>
        <v>start /low /b %USERPROFILE%\Documents\GitHub\eaglep3\Utilities\DownloadLogsFromS3.py --loco 4006 --day 2017-08-20</v>
      </c>
      <c r="AN95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696</v>
      </c>
      <c r="B96" s="7">
        <v>4005</v>
      </c>
      <c r="C96" s="21" t="s">
        <v>198</v>
      </c>
      <c r="D96" s="21" t="s">
        <v>497</v>
      </c>
      <c r="E96" s="13">
        <v>42967.606990740744</v>
      </c>
      <c r="F96" s="13">
        <v>42967.612662037034</v>
      </c>
      <c r="G96" s="7">
        <v>1</v>
      </c>
      <c r="H96" s="21" t="s">
        <v>431</v>
      </c>
      <c r="I96" s="13">
        <v>42967.639340277776</v>
      </c>
      <c r="J96" s="7">
        <v>0</v>
      </c>
      <c r="K96" s="89" t="str">
        <f t="shared" si="39"/>
        <v>4005/4006</v>
      </c>
      <c r="L96" s="21" t="str">
        <f>VLOOKUP(A96,'Trips&amp;Operators'!$C$1:$G$99911,5,FALSE)</f>
        <v>SULLIVAN BRANDON</v>
      </c>
      <c r="M96" s="6">
        <f t="shared" si="40"/>
        <v>2.6678240741603076E-2</v>
      </c>
      <c r="N96" s="7">
        <f t="shared" si="41"/>
        <v>38.41666666790843</v>
      </c>
      <c r="O96" s="7"/>
      <c r="P96" s="7"/>
      <c r="Q96" s="22"/>
      <c r="R96" s="170"/>
      <c r="S96" s="213">
        <f t="shared" si="42"/>
        <v>1</v>
      </c>
      <c r="T96" s="195" t="str">
        <f t="shared" si="43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44"/>
        <v>https://d0f6bd738d7f1b3e5a7ca70fe4ff75f0.us-east-1.aws.found.io/app/kibana#/discover/Steve-Slow-Train-Analysis-(2080s-and-2083s)?_g=(refreshInterval:(display:Off,pause:!f,section:0,value:0),time:(from:'2017-08-20T13:34:04-0600',mode:absolute,to:'2017-08-20T16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6" s="197" t="str">
        <f>IF(AA96&lt;VLOOKUP(AG96,Variables!$AC$3:$AD$8,2,FALSE),"Y","N")</f>
        <v>N</v>
      </c>
      <c r="X96" s="197">
        <f t="shared" si="45"/>
        <v>1</v>
      </c>
      <c r="Y96" s="197">
        <f t="shared" si="46"/>
        <v>23.303000000000001</v>
      </c>
      <c r="Z96" s="197">
        <f t="shared" si="47"/>
        <v>1.5599999999999999E-2</v>
      </c>
      <c r="AA96" s="197">
        <f t="shared" si="48"/>
        <v>23.287400000000002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 t="shared" si="49"/>
        <v>182</v>
      </c>
      <c r="AE96" s="77" t="str">
        <f t="shared" si="50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96" s="74" t="str">
        <f t="shared" si="51"/>
        <v>"C:\Program Files (x86)\AstroGrep\AstroGrep.exe" /e /r /s /spath="%USERPROFILE%\AppData\Local\Temp\OnboardLogs" /stypes="app*4005*20170820*" /stext=" 21:.+((SYSTEM_STATE.+slice.+state.+changed )|(ment ac)|(multiple cpu faults)|(system.+state.+changed )|(\[timeout)|(PRM\|1\|D)|(kpr)|(kdp)|(train st.+moving)|(\|lc)|(penalty))"</v>
      </c>
      <c r="AG96" s="209" t="str">
        <f t="shared" si="52"/>
        <v>EC</v>
      </c>
      <c r="AH96" s="78" t="str">
        <f t="shared" si="53"/>
        <v>"%USERPROFILE%\Documents\GitHub\eaglep3\Utilities\RefineRTDCRunTimes.py" --tripid 182-20 --locoid 4005 --swversion DE.1.0.9.0 --startMP 204:233030 --initTime 2017-08-20T14:34:04 --startdatetime 2017-08-20T14:42:14 --delay 1 --endMP 204:156 --enddatetime 2017-08-20T15:20:39 --enforcementcount 0 &gt;&gt;C:\Users\stu\Documents\GitHub\eaglep3-reporting\EC\2017-08-20-refined-times.txt</v>
      </c>
      <c r="AI96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{"issue":{"subject":"","project_id":79,"tracker_id":40,"status_id":1,"priority_id":2,"assigned_to_id":23,"start_date":"2017-08-20","description":"","custom_fields":[{"id":1,"name":"Subdivision","value":"EC"},{"id":4,"name":"Milepost","value":"0.0156"},{"id":17,"name":"Train ID","value":"182-20"},{"id":16,"name":"Locomotive ID","value":"4005"},{"id":130,"name":"Impact","value":""},{"id":150,"name":"Time of Event (Mountain Time)","value":"15:20:39"},{"id":151,"name":"Denver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5"/>
        <v>start /low /b %USERPROFILE%\Documents\GitHub\eaglep3\Utilities\DownloadLogsFromS3.py --loco 4005 --day 2017-08-20</v>
      </c>
      <c r="AN96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691</v>
      </c>
      <c r="B97" s="7">
        <v>4016</v>
      </c>
      <c r="C97" s="21" t="s">
        <v>198</v>
      </c>
      <c r="D97" s="21" t="s">
        <v>443</v>
      </c>
      <c r="E97" s="13">
        <v>42967.581469907411</v>
      </c>
      <c r="F97" s="13">
        <v>42967.584004629629</v>
      </c>
      <c r="G97" s="7">
        <v>1</v>
      </c>
      <c r="H97" s="21" t="s">
        <v>850</v>
      </c>
      <c r="I97" s="13">
        <v>42967.610567129632</v>
      </c>
      <c r="J97" s="7">
        <v>0</v>
      </c>
      <c r="K97" s="89" t="str">
        <f t="shared" si="39"/>
        <v>4015/4016</v>
      </c>
      <c r="L97" s="21" t="str">
        <f>VLOOKUP(A97,'Trips&amp;Operators'!$C$1:$G$99911,5,FALSE)</f>
        <v>BADERTSCHER DIANE</v>
      </c>
      <c r="M97" s="6">
        <f t="shared" si="40"/>
        <v>2.6562500002910383E-2</v>
      </c>
      <c r="N97" s="7">
        <f t="shared" si="41"/>
        <v>38.250000004190952</v>
      </c>
      <c r="O97" s="7"/>
      <c r="P97" s="7"/>
      <c r="Q97" s="22"/>
      <c r="R97" s="170"/>
      <c r="S97" s="213">
        <f t="shared" si="42"/>
        <v>1</v>
      </c>
      <c r="T97" s="195" t="str">
        <f t="shared" si="43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44"/>
        <v>https://d0f6bd738d7f1b3e5a7ca70fe4ff75f0.us-east-1.aws.found.io/app/kibana#/discover/Steve-Slow-Train-Analysis-(2080s-and-2083s)?_g=(refreshInterval:(display:Off,pause:!f,section:0,value:0),time:(from:'2017-08-20T12:57:19-0600',mode:absolute,to:'2017-08-20T15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7" s="197" t="str">
        <f>IF(AA97&lt;VLOOKUP(AG97,Variables!$AC$3:$AD$8,2,FALSE),"Y","N")</f>
        <v>N</v>
      </c>
      <c r="X97" s="197">
        <f t="shared" si="45"/>
        <v>1</v>
      </c>
      <c r="Y97" s="197">
        <f t="shared" si="46"/>
        <v>4.3499999999999997E-2</v>
      </c>
      <c r="Z97" s="197">
        <f t="shared" si="47"/>
        <v>23.3368</v>
      </c>
      <c r="AA97" s="197">
        <f t="shared" si="48"/>
        <v>23.293299999999999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206">
        <f t="shared" si="49"/>
        <v>183</v>
      </c>
      <c r="AE97" s="77" t="str">
        <f t="shared" si="50"/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AF97" s="74" t="str">
        <f t="shared" si="51"/>
        <v>"C:\Program Files (x86)\AstroGrep\AstroGrep.exe" /e /r /s /spath="%USERPROFILE%\AppData\Local\Temp\OnboardLogs" /stypes="app*4016*20170820*" /stext=" 20:.+((SYSTEM_STATE.+slice.+state.+changed )|(ment ac)|(multiple cpu faults)|(system.+state.+changed )|(\[timeout)|(PRM\|1\|D)|(kpr)|(kdp)|(train st.+moving)|(\|lc)|(penalty))"</v>
      </c>
      <c r="AG97" s="209" t="str">
        <f t="shared" si="52"/>
        <v>EC</v>
      </c>
      <c r="AH97" s="78" t="str">
        <f t="shared" si="53"/>
        <v>"%USERPROFILE%\Documents\GitHub\eaglep3\Utilities\RefineRTDCRunTimes.py" --tripid 183-20 --locoid 4016 --swversion DE.1.0.9.0 --startMP 204:435 --initTime 2017-08-20T13:57:19 --startdatetime 2017-08-20T14:00:58 --delay 1 --endMP 204:233368 --enddatetime 2017-08-20T14:39:13 --enforcementcount 0 &gt;&gt;C:\Users\stu\Documents\GitHub\eaglep3-reporting\EC\2017-08-20-refined-times.txt</v>
      </c>
      <c r="AI97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{"issue":{"subject":"","project_id":79,"tracker_id":40,"status_id":1,"priority_id":2,"assigned_to_id":23,"start_date":"2017-08-20","description":"","custom_fields":[{"id":1,"name":"Subdivision","value":"EC"},{"id":4,"name":"Milepost","value":"23.3368"},{"id":17,"name":"Train ID","value":"183-20"},{"id":16,"name":"Locomotive ID","value":"4016"},{"id":130,"name":"Impact","value":""},{"id":150,"name":"Time of Event (Mountain Time)","value":"14:39:13"},{"id":151,"name":"Denver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5"/>
        <v>start /low /b %USERPROFILE%\Documents\GitHub\eaglep3\Utilities\DownloadLogsFromS3.py --loco 4016 --day 2017-08-20</v>
      </c>
      <c r="AN97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697</v>
      </c>
      <c r="B98" s="7">
        <v>4015</v>
      </c>
      <c r="C98" s="21" t="s">
        <v>198</v>
      </c>
      <c r="D98" s="21" t="s">
        <v>855</v>
      </c>
      <c r="E98" s="13">
        <v>42967.613981481481</v>
      </c>
      <c r="F98" s="13">
        <v>42967.623194444444</v>
      </c>
      <c r="G98" s="7">
        <v>1</v>
      </c>
      <c r="H98" s="21" t="s">
        <v>347</v>
      </c>
      <c r="I98" s="13">
        <v>42967.652997685182</v>
      </c>
      <c r="J98" s="7">
        <v>0</v>
      </c>
      <c r="K98" s="89" t="str">
        <f t="shared" si="39"/>
        <v>4015/4016</v>
      </c>
      <c r="L98" s="21" t="str">
        <f>VLOOKUP(A98,'Trips&amp;Operators'!$C$1:$G$99911,5,FALSE)</f>
        <v>BADERTSCHER DIANE</v>
      </c>
      <c r="M98" s="6">
        <f t="shared" si="40"/>
        <v>2.9803240737237502E-2</v>
      </c>
      <c r="N98" s="7">
        <f t="shared" si="41"/>
        <v>42.916666661622003</v>
      </c>
      <c r="O98" s="7"/>
      <c r="P98" s="7"/>
      <c r="Q98" s="22"/>
      <c r="R98" s="170"/>
      <c r="S98" s="213">
        <f t="shared" si="42"/>
        <v>1</v>
      </c>
      <c r="T98" s="195" t="str">
        <f t="shared" si="43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44"/>
        <v>https://d0f6bd738d7f1b3e5a7ca70fe4ff75f0.us-east-1.aws.found.io/app/kibana#/discover/Steve-Slow-Train-Analysis-(2080s-and-2083s)?_g=(refreshInterval:(display:Off,pause:!f,section:0,value:0),time:(from:'2017-08-20T13:44:08-0600',mode:absolute,to:'2017-08-20T16:40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197" t="str">
        <f>IF(AA98&lt;VLOOKUP(AG98,Variables!$AC$3:$AD$8,2,FALSE),"Y","N")</f>
        <v>N</v>
      </c>
      <c r="X98" s="197">
        <f t="shared" si="45"/>
        <v>1</v>
      </c>
      <c r="Y98" s="197">
        <f t="shared" si="46"/>
        <v>23.303799999999999</v>
      </c>
      <c r="Z98" s="197">
        <f t="shared" si="47"/>
        <v>1.41E-2</v>
      </c>
      <c r="AA98" s="197">
        <f t="shared" si="48"/>
        <v>23.2897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 t="shared" si="49"/>
        <v>184</v>
      </c>
      <c r="AE98" s="77" t="str">
        <f t="shared" si="50"/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AF98" s="74" t="str">
        <f t="shared" si="51"/>
        <v>"C:\Program Files (x86)\AstroGrep\AstroGrep.exe" /e /r /s /spath="%USERPROFILE%\AppData\Local\Temp\OnboardLogs" /stypes="app*4015*20170820*" /stext=" 21:.+((SYSTEM_STATE.+slice.+state.+changed )|(ment ac)|(multiple cpu faults)|(system.+state.+changed )|(\[timeout)|(PRM\|1\|D)|(kpr)|(kdp)|(train st.+moving)|(\|lc)|(penalty))"</v>
      </c>
      <c r="AG98" s="209" t="str">
        <f t="shared" si="52"/>
        <v>EC</v>
      </c>
      <c r="AH98" s="78" t="str">
        <f t="shared" si="53"/>
        <v>"%USERPROFILE%\Documents\GitHub\eaglep3\Utilities\RefineRTDCRunTimes.py" --tripid 184-20 --locoid 4015 --swversion DE.1.0.9.0 --startMP 204:233038 --initTime 2017-08-20T14:44:08 --startdatetime 2017-08-20T14:57:24 --delay 1 --endMP 204:141 --enddatetime 2017-08-20T15:40:19 --enforcementcount 0 &gt;&gt;C:\Users\stu\Documents\GitHub\eaglep3-reporting\EC\2017-08-20-refined-times.txt</v>
      </c>
      <c r="AI98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{"issue":{"subject":"","project_id":79,"tracker_id":40,"status_id":1,"priority_id":2,"assigned_to_id":23,"start_date":"2017-08-20","description":"","custom_fields":[{"id":1,"name":"Subdivision","value":"EC"},{"id":4,"name":"Milepost","value":"0.0141"},{"id":17,"name":"Train ID","value":"184-20"},{"id":16,"name":"Locomotive ID","value":"4015"},{"id":130,"name":"Impact","value":""},{"id":150,"name":"Time of Event (Mountain Time)","value":"15:40:19"},{"id":151,"name":"Denver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55"/>
        <v>start /low /b %USERPROFILE%\Documents\GitHub\eaglep3\Utilities\DownloadLogsFromS3.py --loco 4015 --day 2017-08-20</v>
      </c>
      <c r="AN98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21:40:19"},{"id":29,"name":"Sharepoint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692</v>
      </c>
      <c r="B99" s="7">
        <v>4054</v>
      </c>
      <c r="C99" s="21" t="s">
        <v>198</v>
      </c>
      <c r="D99" s="21" t="s">
        <v>483</v>
      </c>
      <c r="E99" s="13">
        <v>42967.589687500003</v>
      </c>
      <c r="F99" s="13">
        <v>42967.594594907408</v>
      </c>
      <c r="G99" s="7">
        <v>1</v>
      </c>
      <c r="H99" s="21" t="s">
        <v>856</v>
      </c>
      <c r="I99" s="13">
        <v>42967.618900462963</v>
      </c>
      <c r="J99" s="7">
        <v>0</v>
      </c>
      <c r="K99" s="89" t="str">
        <f t="shared" si="39"/>
        <v>4053/4054</v>
      </c>
      <c r="L99" s="21" t="str">
        <f>VLOOKUP(A99,'Trips&amp;Operators'!$C$1:$G$99911,5,FALSE)</f>
        <v>ROMERO CHAD</v>
      </c>
      <c r="M99" s="6">
        <f t="shared" si="40"/>
        <v>2.4305555554747116E-2</v>
      </c>
      <c r="N99" s="7">
        <f t="shared" si="41"/>
        <v>34.999999998835847</v>
      </c>
      <c r="O99" s="7"/>
      <c r="P99" s="7"/>
      <c r="Q99" s="22"/>
      <c r="R99" s="170"/>
      <c r="S99" s="213">
        <f t="shared" si="42"/>
        <v>1</v>
      </c>
      <c r="T99" s="195" t="str">
        <f t="shared" si="43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44"/>
        <v>https://d0f6bd738d7f1b3e5a7ca70fe4ff75f0.us-east-1.aws.found.io/app/kibana#/discover/Steve-Slow-Train-Analysis-(2080s-and-2083s)?_g=(refreshInterval:(display:Off,pause:!f,section:0,value:0),time:(from:'2017-08-20T13:09:09-0600',mode:absolute,to:'2017-08-20T15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9" s="197" t="str">
        <f>IF(AA99&lt;VLOOKUP(AG99,Variables!$AC$3:$AD$8,2,FALSE),"Y","N")</f>
        <v>N</v>
      </c>
      <c r="X99" s="197">
        <f t="shared" si="45"/>
        <v>1</v>
      </c>
      <c r="Y99" s="197">
        <f t="shared" si="46"/>
        <v>4.2599999999999999E-2</v>
      </c>
      <c r="Z99" s="197">
        <f t="shared" si="47"/>
        <v>23.343</v>
      </c>
      <c r="AA99" s="197">
        <f t="shared" si="48"/>
        <v>23.3004</v>
      </c>
      <c r="AB99" s="54" t="e">
        <f>VLOOKUP(A99,Enforcements!$C$7:$K$11,8,0)</f>
        <v>#N/A</v>
      </c>
      <c r="AC99" s="51" t="e">
        <f>VLOOKUP(A99,Enforcements!$C$7:$E$11,3,0)</f>
        <v>#N/A</v>
      </c>
      <c r="AD99" s="206">
        <f t="shared" si="49"/>
        <v>185</v>
      </c>
      <c r="AE99" s="77" t="str">
        <f t="shared" si="50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99" s="74" t="str">
        <f t="shared" si="51"/>
        <v>"C:\Program Files (x86)\AstroGrep\AstroGrep.exe" /e /r /s /spath="%USERPROFILE%\AppData\Local\Temp\OnboardLogs" /stypes="app*4054*20170820*" /stext=" 20:.+((SYSTEM_STATE.+slice.+state.+changed )|(ment ac)|(multiple cpu faults)|(system.+state.+changed )|(\[timeout)|(PRM\|1\|D)|(kpr)|(kdp)|(train st.+moving)|(\|lc)|(penalty))"</v>
      </c>
      <c r="AG99" s="209" t="str">
        <f t="shared" si="52"/>
        <v>EC</v>
      </c>
      <c r="AH99" s="78" t="str">
        <f t="shared" si="53"/>
        <v>"%USERPROFILE%\Documents\GitHub\eaglep3\Utilities\RefineRTDCRunTimes.py" --tripid 185-20 --locoid 4054 --swversion DE.1.0.9.0 --startMP 204:426 --initTime 2017-08-20T14:09:09 --startdatetime 2017-08-20T14:16:13 --delay 1 --endMP 204:233430 --enddatetime 2017-08-20T14:51:13 --enforcementcount 0 &gt;&gt;C:\Users\stu\Documents\GitHub\eaglep3-reporting\EC\2017-08-20-refined-times.txt</v>
      </c>
      <c r="AI99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{"issue":{"subject":"","project_id":79,"tracker_id":40,"status_id":1,"priority_id":2,"assigned_to_id":23,"start_date":"2017-08-20","description":"","custom_fields":[{"id":1,"name":"Subdivision","value":"EC"},{"id":4,"name":"Milepost","value":"23.343"},{"id":17,"name":"Train ID","value":"185-20"},{"id":16,"name":"Locomotive ID","value":"4054"},{"id":130,"name":"Impact","value":""},{"id":150,"name":"Time of Event (Mountain Time)","value":"14:51:13"},{"id":151,"name":"Denver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55"/>
        <v>start /low /b %USERPROFILE%\Documents\GitHub\eaglep3\Utilities\DownloadLogsFromS3.py --loco 4054 --day 2017-08-20</v>
      </c>
      <c r="AN99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548</v>
      </c>
      <c r="B100" s="7">
        <v>4053</v>
      </c>
      <c r="C100" s="21" t="s">
        <v>198</v>
      </c>
      <c r="D100" s="21" t="s">
        <v>795</v>
      </c>
      <c r="E100" s="13">
        <v>42967.620370370372</v>
      </c>
      <c r="F100" s="13">
        <v>42967.63349537037</v>
      </c>
      <c r="G100" s="7">
        <v>1</v>
      </c>
      <c r="H100" s="21" t="s">
        <v>348</v>
      </c>
      <c r="I100" s="13">
        <v>42967.6640162037</v>
      </c>
      <c r="J100" s="7">
        <v>0</v>
      </c>
      <c r="K100" s="89" t="str">
        <f t="shared" si="39"/>
        <v>4053/4054</v>
      </c>
      <c r="L100" s="21" t="str">
        <f>VLOOKUP(A100,'Trips&amp;Operators'!$C$1:$G$99911,5,FALSE)</f>
        <v>ROMERO CHAD</v>
      </c>
      <c r="M100" s="6">
        <f t="shared" si="40"/>
        <v>3.0520833330228925E-2</v>
      </c>
      <c r="N100" s="7">
        <f t="shared" si="41"/>
        <v>43.949999995529652</v>
      </c>
      <c r="O100" s="7"/>
      <c r="P100" s="7"/>
      <c r="Q100" s="22"/>
      <c r="R100" s="170"/>
      <c r="S100" s="213">
        <f t="shared" si="42"/>
        <v>1</v>
      </c>
      <c r="T100" s="195" t="str">
        <f t="shared" si="43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44"/>
        <v>https://d0f6bd738d7f1b3e5a7ca70fe4ff75f0.us-east-1.aws.found.io/app/kibana#/discover/Steve-Slow-Train-Analysis-(2080s-and-2083s)?_g=(refreshInterval:(display:Off,pause:!f,section:0,value:0),time:(from:'2017-08-20T13:53:20-0600',mode:absolute,to:'2017-08-20T16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197" t="str">
        <f>IF(AA100&lt;VLOOKUP(AG100,Variables!$AC$3:$AD$8,2,FALSE),"Y","N")</f>
        <v>N</v>
      </c>
      <c r="X100" s="197">
        <f t="shared" si="45"/>
        <v>1</v>
      </c>
      <c r="Y100" s="197">
        <f t="shared" si="46"/>
        <v>23.308800000000002</v>
      </c>
      <c r="Z100" s="197">
        <f t="shared" si="47"/>
        <v>1.47E-2</v>
      </c>
      <c r="AA100" s="197">
        <f t="shared" si="48"/>
        <v>23.2941</v>
      </c>
      <c r="AB100" s="54" t="str">
        <f>VLOOKUP(A100,Enforcements!$C$7:$K$11,8,0)</f>
        <v>Bulletin (2)</v>
      </c>
      <c r="AC100" s="51" t="str">
        <f>VLOOKUP(A100,Enforcements!$C$7:$E$11,3,0)</f>
        <v>GRADE CROSSING</v>
      </c>
      <c r="AD100" s="206">
        <f t="shared" si="49"/>
        <v>186</v>
      </c>
      <c r="AE100" s="77" t="str">
        <f t="shared" si="50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100" s="74" t="str">
        <f t="shared" si="51"/>
        <v>"C:\Program Files (x86)\AstroGrep\AstroGrep.exe" /e /r /s /spath="%USERPROFILE%\AppData\Local\Temp\OnboardLogs" /stypes="app*4053*20170820*" /stext=" 21:.+((SYSTEM_STATE.+slice.+state.+changed )|(ment ac)|(multiple cpu faults)|(system.+state.+changed )|(\[timeout)|(PRM\|1\|D)|(kpr)|(kdp)|(train st.+moving)|(\|lc)|(penalty))"</v>
      </c>
      <c r="AG100" s="209" t="str">
        <f t="shared" si="52"/>
        <v>EC</v>
      </c>
      <c r="AH100" s="78" t="str">
        <f t="shared" si="53"/>
        <v>"%USERPROFILE%\Documents\GitHub\eaglep3\Utilities\RefineRTDCRunTimes.py" --tripid 186-20 --locoid 4053 --swversion DE.1.0.9.0 --startMP 204:233088 --initTime 2017-08-20T14:53:20 --startdatetime 2017-08-20T15:12:14 --delay 1 --endMP 204:147 --enddatetime 2017-08-20T15:56:11 --enforcementcount 0 &gt;&gt;C:\Users\stu\Documents\GitHub\eaglep3-reporting\EC\2017-08-20-refined-times.txt</v>
      </c>
      <c r="AI100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{"issue":{"subject":"","project_id":79,"tracker_id":40,"status_id":1,"priority_id":2,"assigned_to_id":23,"start_date":"2017-08-20","description":"","custom_fields":[{"id":1,"name":"Subdivision","value":"EC"},{"id":4,"name":"Milepost","value":"0.0147"},{"id":17,"name":"Train ID","value":"186-20"},{"id":16,"name":"Locomotive ID","value":"4053"},{"id":130,"name":"Impact","value":""},{"id":150,"name":"Time of Event (Mountain Time)","value":"15:56:11"},{"id":151,"name":"Denver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5"/>
        <v>start /low /b %USERPROFILE%\Documents\GitHub\eaglep3\Utilities\DownloadLogsFromS3.py --loco 4053 --day 2017-08-20</v>
      </c>
      <c r="AN100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21:56:11"},{"id":29,"name":"Sharepoint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695</v>
      </c>
      <c r="B101" s="7">
        <v>4012</v>
      </c>
      <c r="C101" s="21" t="s">
        <v>198</v>
      </c>
      <c r="D101" s="21" t="s">
        <v>339</v>
      </c>
      <c r="E101" s="13">
        <v>42967.602268518516</v>
      </c>
      <c r="F101" s="13">
        <v>42967.604675925926</v>
      </c>
      <c r="G101" s="7">
        <v>1</v>
      </c>
      <c r="H101" s="21" t="s">
        <v>504</v>
      </c>
      <c r="I101" s="13">
        <v>42967.62903935185</v>
      </c>
      <c r="J101" s="7">
        <v>0</v>
      </c>
      <c r="K101" s="89" t="str">
        <f t="shared" si="39"/>
        <v>4011/4012</v>
      </c>
      <c r="L101" s="21" t="str">
        <f>VLOOKUP(A101,'Trips&amp;Operators'!$C$1:$G$99911,5,FALSE)</f>
        <v>MCREYNOLDS KYLE</v>
      </c>
      <c r="M101" s="6">
        <f t="shared" si="40"/>
        <v>2.4363425924093463E-2</v>
      </c>
      <c r="N101" s="7">
        <f t="shared" si="41"/>
        <v>35.083333330694586</v>
      </c>
      <c r="O101" s="7"/>
      <c r="P101" s="7"/>
      <c r="Q101" s="22"/>
      <c r="R101" s="170"/>
      <c r="S101" s="213">
        <f t="shared" si="42"/>
        <v>1</v>
      </c>
      <c r="T101" s="195" t="str">
        <f t="shared" si="43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44"/>
        <v>https://d0f6bd738d7f1b3e5a7ca70fe4ff75f0.us-east-1.aws.found.io/app/kibana#/discover/Steve-Slow-Train-Analysis-(2080s-and-2083s)?_g=(refreshInterval:(display:Off,pause:!f,section:0,value:0),time:(from:'2017-08-20T13:27:16-0600',mode:absolute,to:'2017-08-20T16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197" t="str">
        <f>IF(AA101&lt;VLOOKUP(AG101,Variables!$AC$3:$AD$8,2,FALSE),"Y","N")</f>
        <v>N</v>
      </c>
      <c r="X101" s="197">
        <f t="shared" si="45"/>
        <v>1</v>
      </c>
      <c r="Y101" s="197">
        <f t="shared" si="46"/>
        <v>4.4600000000000001E-2</v>
      </c>
      <c r="Z101" s="197">
        <f t="shared" si="47"/>
        <v>23.334900000000001</v>
      </c>
      <c r="AA101" s="197">
        <f t="shared" si="48"/>
        <v>23.290300000000002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 t="shared" si="49"/>
        <v>187</v>
      </c>
      <c r="AE101" s="77" t="str">
        <f t="shared" si="50"/>
        <v>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 &amp; aws s3 cp s3://rtdc.mdm.uploadarchive.raw/RTDC4012/ "%USERPROFILE%\AppData\Local\Temp\OnboardLogs"\RTDC4012\2017-08-21 --exclude "*" --recursive --include "*20170821*" &amp; "%USERPROFILE%\Documents\GitHub\mrs-test-scripts\Headless Mode &amp; Sideloading\WalkAndUnGZ.bat" "%USERPROFILE%\AppData\Local\Temp\OnboardLogs"\RTDC4012\2017-08-21</v>
      </c>
      <c r="AF101" s="74" t="str">
        <f t="shared" si="51"/>
        <v>"C:\Program Files (x86)\AstroGrep\AstroGrep.exe" /e /r /s /spath="%USERPROFILE%\AppData\Local\Temp\OnboardLogs" /stypes="app*4012*20170820*" /stext=" 21:.+((SYSTEM_STATE.+slice.+state.+changed )|(ment ac)|(multiple cpu faults)|(system.+state.+changed )|(\[timeout)|(PRM\|1\|D)|(kpr)|(kdp)|(train st.+moving)|(\|lc)|(penalty))"</v>
      </c>
      <c r="AG101" s="209" t="str">
        <f t="shared" si="52"/>
        <v>EC</v>
      </c>
      <c r="AH101" s="78" t="str">
        <f t="shared" si="53"/>
        <v>"%USERPROFILE%\Documents\GitHub\eaglep3\Utilities\RefineRTDCRunTimes.py" --tripid 187-20 --locoid 4012 --swversion DE.1.0.9.0 --startMP 204:446 --initTime 2017-08-20T14:27:16 --startdatetime 2017-08-20T14:30:44 --delay 1 --endMP 204:233349 --enddatetime 2017-08-20T15:05:49 --enforcementcount 0 &gt;&gt;C:\Users\stu\Documents\GitHub\eaglep3-reporting\EC\2017-08-20-refined-times.txt</v>
      </c>
      <c r="AI101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{"issue":{"subject":"","project_id":79,"tracker_id":40,"status_id":1,"priority_id":2,"assigned_to_id":23,"start_date":"2017-08-20","description":"","custom_fields":[{"id":1,"name":"Subdivision","value":"EC"},{"id":4,"name":"Milepost","value":"23.3349"},{"id":17,"name":"Train ID","value":"187-20"},{"id":16,"name":"Locomotive ID","value":"4012"},{"id":130,"name":"Impact","value":""},{"id":150,"name":"Time of Event (Mountain Time)","value":"15:05:49"},{"id":151,"name":"Denver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5"/>
        <v>start /low /b %USERPROFILE%\Documents\GitHub\eaglep3\Utilities\DownloadLogsFromS3.py --loco 4012 --day 2017-08-20</v>
      </c>
      <c r="AN101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21:05:49"},{"id":29,"name":"Sharepoint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700</v>
      </c>
      <c r="B102" s="7">
        <v>4011</v>
      </c>
      <c r="C102" s="21" t="s">
        <v>198</v>
      </c>
      <c r="D102" s="21" t="s">
        <v>857</v>
      </c>
      <c r="E102" s="13">
        <v>42967.630567129629</v>
      </c>
      <c r="F102" s="13">
        <v>42967.644050925926</v>
      </c>
      <c r="G102" s="7">
        <v>1</v>
      </c>
      <c r="H102" s="21" t="s">
        <v>340</v>
      </c>
      <c r="I102" s="13">
        <v>42967.673125000001</v>
      </c>
      <c r="J102" s="7">
        <v>0</v>
      </c>
      <c r="K102" s="89" t="str">
        <f t="shared" si="39"/>
        <v>4011/4012</v>
      </c>
      <c r="L102" s="21" t="str">
        <f>VLOOKUP(A102,'Trips&amp;Operators'!$C$1:$G$99911,5,FALSE)</f>
        <v>MCREYNOLDS KYLE</v>
      </c>
      <c r="M102" s="6">
        <f t="shared" si="40"/>
        <v>2.9074074074742384E-2</v>
      </c>
      <c r="N102" s="7">
        <f t="shared" si="41"/>
        <v>41.866666667629033</v>
      </c>
      <c r="O102" s="7"/>
      <c r="P102" s="7"/>
      <c r="Q102" s="22"/>
      <c r="R102" s="170"/>
      <c r="S102" s="213">
        <f t="shared" si="42"/>
        <v>1</v>
      </c>
      <c r="T102" s="195" t="str">
        <f t="shared" si="43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44"/>
        <v>https://d0f6bd738d7f1b3e5a7ca70fe4ff75f0.us-east-1.aws.found.io/app/kibana#/discover/Steve-Slow-Train-Analysis-(2080s-and-2083s)?_g=(refreshInterval:(display:Off,pause:!f,section:0,value:0),time:(from:'2017-08-20T14:08:01-0600',mode:absolute,to:'2017-08-20T17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197" t="str">
        <f>IF(AA102&lt;VLOOKUP(AG102,Variables!$AC$3:$AD$8,2,FALSE),"Y","N")</f>
        <v>N</v>
      </c>
      <c r="X102" s="197">
        <f t="shared" si="45"/>
        <v>1</v>
      </c>
      <c r="Y102" s="197">
        <f t="shared" si="46"/>
        <v>23.303999999999998</v>
      </c>
      <c r="Z102" s="197">
        <f t="shared" si="47"/>
        <v>1.4999999999999999E-2</v>
      </c>
      <c r="AA102" s="197">
        <f t="shared" si="48"/>
        <v>23.288999999999998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 t="shared" si="49"/>
        <v>188</v>
      </c>
      <c r="AE102" s="77" t="str">
        <f t="shared" si="50"/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AF102" s="74" t="str">
        <f t="shared" si="51"/>
        <v>"C:\Program Files (x86)\AstroGrep\AstroGrep.exe" /e /r /s /spath="%USERPROFILE%\AppData\Local\Temp\OnboardLogs" /stypes="app*4011*20170820*" /stext=" 22:.+((SYSTEM_STATE.+slice.+state.+changed )|(ment ac)|(multiple cpu faults)|(system.+state.+changed )|(\[timeout)|(PRM\|1\|D)|(kpr)|(kdp)|(train st.+moving)|(\|lc)|(penalty))"</v>
      </c>
      <c r="AG102" s="209" t="str">
        <f t="shared" si="52"/>
        <v>EC</v>
      </c>
      <c r="AH102" s="78" t="str">
        <f t="shared" si="53"/>
        <v>"%USERPROFILE%\Documents\GitHub\eaglep3\Utilities\RefineRTDCRunTimes.py" --tripid 188-20 --locoid 4011 --swversion DE.1.0.9.0 --startMP 204:233040 --initTime 2017-08-20T15:08:01 --startdatetime 2017-08-20T15:27:26 --delay 1 --endMP 204:150 --enddatetime 2017-08-20T16:09:18 --enforcementcount 0 &gt;&gt;C:\Users\stu\Documents\GitHub\eaglep3-reporting\EC\2017-08-20-refined-times.txt</v>
      </c>
      <c r="AI102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{"issue":{"subject":"","project_id":79,"tracker_id":40,"status_id":1,"priority_id":2,"assigned_to_id":23,"start_date":"2017-08-20","description":"","custom_fields":[{"id":1,"name":"Subdivision","value":"EC"},{"id":4,"name":"Milepost","value":"0.015"},{"id":17,"name":"Train ID","value":"188-20"},{"id":16,"name":"Locomotive ID","value":"4011"},{"id":130,"name":"Impact","value":""},{"id":150,"name":"Time of Event (Mountain Time)","value":"16:09:18"},{"id":151,"name":"Denver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5"/>
        <v>start /low /b %USERPROFILE%\Documents\GitHub\eaglep3\Utilities\DownloadLogsFromS3.py --loco 4011 --day 2017-08-20</v>
      </c>
      <c r="AN102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698</v>
      </c>
      <c r="B103" s="7">
        <v>4058</v>
      </c>
      <c r="C103" s="21" t="s">
        <v>198</v>
      </c>
      <c r="D103" s="21" t="s">
        <v>857</v>
      </c>
      <c r="E103" s="13">
        <v>42967.630567129629</v>
      </c>
      <c r="F103" s="13">
        <v>42967.61619212963</v>
      </c>
      <c r="G103" s="7">
        <v>1</v>
      </c>
      <c r="H103" s="21" t="s">
        <v>340</v>
      </c>
      <c r="I103" s="13">
        <v>42967.617361111108</v>
      </c>
      <c r="J103" s="7">
        <v>0</v>
      </c>
      <c r="K103" s="89" t="str">
        <f t="shared" ref="K103" si="57">IF(ISEVEN(B103),(B103-1)&amp;"/"&amp;B103,B103&amp;"/"&amp;(B103+1))</f>
        <v>4057/4058</v>
      </c>
      <c r="L103" s="21" t="str">
        <f>VLOOKUP(A103,'Trips&amp;Operators'!$C$1:$G$99911,5,FALSE)</f>
        <v>DAVIS MICHAEL</v>
      </c>
      <c r="M103" s="6">
        <f t="shared" ref="M103" si="58">I103-F103</f>
        <v>1.1689814782585017E-3</v>
      </c>
      <c r="N103" s="7"/>
      <c r="O103" s="7"/>
      <c r="P103" s="7">
        <f t="shared" si="41"/>
        <v>1.6833333286922425</v>
      </c>
      <c r="Q103" s="22"/>
      <c r="R103" s="170" t="s">
        <v>934</v>
      </c>
      <c r="S103" s="213">
        <f t="shared" ref="S103" si="59">1/IF(AG103="EC",12,1)*SUM(U103:U103)</f>
        <v>0</v>
      </c>
      <c r="T103" s="195" t="str">
        <f t="shared" ref="T103" si="60">IF(ISEVEN(LEFT(AD103,4)),"Southbound","NorthBound")</f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0</v>
      </c>
      <c r="V103" s="196" t="str">
        <f t="shared" ref="V103" si="61"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-08-20T14:08:01-0600',mode:absolute,to:'2017-08-20T15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3" s="197" t="str">
        <f>IF(AA103&lt;VLOOKUP(AG103,Variables!$AC$3:$AD$8,2,FALSE),"Y","N")</f>
        <v>N</v>
      </c>
      <c r="X103" s="197">
        <f t="shared" ref="X103:X104" si="62">VALUE(LEFT(AD103,4))-VALUE(LEFT(AD102,4))</f>
        <v>1</v>
      </c>
      <c r="Y103" s="197">
        <f t="shared" ref="Y103" si="63">RIGHT(D103,LEN(D103)-4)/10000</f>
        <v>23.303999999999998</v>
      </c>
      <c r="Z103" s="197">
        <f t="shared" ref="Z103" si="64">RIGHT(H103,LEN(H103)-4)/10000</f>
        <v>1.4999999999999999E-2</v>
      </c>
      <c r="AA103" s="197">
        <f t="shared" ref="AA103" si="65">ABS(Z103-Y103)</f>
        <v>23.288999999999998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6">
        <f t="shared" ref="AD103" si="66">VALUE(LEFT(A103,LEN(A103)-3))</f>
        <v>189</v>
      </c>
      <c r="AE103" s="77" t="str">
        <f t="shared" ref="AE103" si="67"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103" s="74" t="str">
        <f t="shared" ref="AF103" si="68"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/stypes="app*4058*20170820*" /stext=" 20:.+((SYSTEM_STATE.+slice.+state.+changed )|(ment ac)|(multiple cpu faults)|(system.+state.+changed )|(\[timeout)|(PRM\|1\|D)|(kpr)|(kdp)|(train st.+moving)|(\|lc)|(penalty))"</v>
      </c>
      <c r="AG103" s="209" t="str">
        <f t="shared" ref="AG103" si="69">DetSubdiv(A103)</f>
        <v>EC</v>
      </c>
      <c r="AH103" s="78" t="str">
        <f t="shared" ref="AH103" si="70"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189-20 --locoid 4058 --swversion DE.1.0.9.0 --startMP 204:233040 --initTime 2017-08-20T15:08:01 --startdatetime 2017-08-20T14:47:19 --delay 1 --endMP 204:150 --enddatetime 2017-08-20T14:49:00 --enforcementcount 0 &gt;&gt;C:\Users\stu\Documents\GitHub\eaglep3-reporting\EC\2017-08-20-refined-times.txt</v>
      </c>
      <c r="AI103" s="96" t="str">
        <f t="shared" ref="AI103" si="71"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Z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failure","project_id":79,"tracker_id":40,"status_id":1,"priority_id":2,"assigned_to_id":23,"start_date":"2017-08-20","description":"","custom_fields":[{"id":1,"name":"Subdivision","value":"EC"},{"id":4,"name":"Milepost","value":"0.015"},{"id":17,"name":"Train ID","value":"189-20"},{"id":16,"name":"Locomotive ID","value":"4058"},{"id":130,"name":"Impact","value":""},{"id":150,"name":"Time of Event (Mountain Time)","value":"14:49:00"},{"id":151,"name":"Denver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ref="AM103" si="72">"start /low /b "&amp;dls3logs&amp;" --loco "&amp;B103&amp;" --day "&amp;TEXT(F103,"YYYY-MM-DD")</f>
        <v>start /low /b %USERPROFILE%\Documents\GitHub\eaglep3\Utilities\DownloadLogsFromS3.py --loco 4058 --day 2017-08-20</v>
      </c>
      <c r="AN103" s="151" t="str">
        <f t="shared" ref="AN103" si="73">"echo {""issue"":{""subject"":"""&amp;R103&amp;""",""project_id"":30,""tracker_id"":4,""status_id"":"&amp;redmine_status_wcr&amp;",""priority_id"":"&amp;redmine_priority_wcr&amp;",""assigned_to_id"":"&amp;redmine_assignee_wcr&amp;",""start_date"":"""&amp;TEXT(I103-utc_offset/24,"YYYY-mm-dd")&amp;""",""description"":"""&amp;AJ103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4" spans="1:91" s="20" customFormat="1" x14ac:dyDescent="0.25">
      <c r="A104" s="32" t="s">
        <v>704</v>
      </c>
      <c r="B104" s="7">
        <v>4057</v>
      </c>
      <c r="C104" s="21" t="s">
        <v>198</v>
      </c>
      <c r="D104" s="21" t="s">
        <v>773</v>
      </c>
      <c r="E104" s="13">
        <v>42967.653055555558</v>
      </c>
      <c r="F104" s="13">
        <v>42967.654861111114</v>
      </c>
      <c r="G104" s="7">
        <v>1</v>
      </c>
      <c r="H104" s="21" t="s">
        <v>348</v>
      </c>
      <c r="I104" s="13">
        <v>42967.683078703703</v>
      </c>
      <c r="J104" s="7">
        <v>0</v>
      </c>
      <c r="K104" s="89" t="str">
        <f t="shared" si="39"/>
        <v>4057/4058</v>
      </c>
      <c r="L104" s="21" t="str">
        <f>VLOOKUP(A104,'Trips&amp;Operators'!$C$1:$G$99911,5,FALSE)</f>
        <v>DAVIS MICHAEL</v>
      </c>
      <c r="M104" s="6">
        <f t="shared" si="40"/>
        <v>2.8217592589498963E-2</v>
      </c>
      <c r="N104" s="7">
        <f t="shared" si="41"/>
        <v>40.633333328878507</v>
      </c>
      <c r="O104" s="7"/>
      <c r="P104" s="7"/>
      <c r="Q104" s="22"/>
      <c r="R104" s="170"/>
      <c r="S104" s="213">
        <f t="shared" si="42"/>
        <v>1</v>
      </c>
      <c r="T104" s="195" t="str">
        <f t="shared" si="43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44"/>
        <v>https://d0f6bd738d7f1b3e5a7ca70fe4ff75f0.us-east-1.aws.found.io/app/kibana#/discover/Steve-Slow-Train-Analysis-(2080s-and-2083s)?_g=(refreshInterval:(display:Off,pause:!f,section:0,value:0),time:(from:'2017-08-20T14:40:24-0600',mode:absolute,to:'2017-08-20T17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4" s="197" t="str">
        <f>IF(AA104&lt;VLOOKUP(AG104,Variables!$AC$3:$AD$8,2,FALSE),"Y","N")</f>
        <v>N</v>
      </c>
      <c r="X104" s="197">
        <f t="shared" si="62"/>
        <v>1</v>
      </c>
      <c r="Y104" s="197">
        <f t="shared" si="46"/>
        <v>23.302099999999999</v>
      </c>
      <c r="Z104" s="197">
        <f t="shared" si="47"/>
        <v>1.47E-2</v>
      </c>
      <c r="AA104" s="197">
        <f t="shared" si="48"/>
        <v>23.287399999999998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 t="shared" si="49"/>
        <v>190</v>
      </c>
      <c r="AE104" s="77" t="str">
        <f t="shared" si="50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104" s="74" t="str">
        <f t="shared" si="51"/>
        <v>"C:\Program Files (x86)\AstroGrep\AstroGrep.exe" /e /r /s /spath="%USERPROFILE%\AppData\Local\Temp\OnboardLogs" /stypes="app*4057*20170820*" /stext=" 22:.+((SYSTEM_STATE.+slice.+state.+changed )|(ment ac)|(multiple cpu faults)|(system.+state.+changed )|(\[timeout)|(PRM\|1\|D)|(kpr)|(kdp)|(train st.+moving)|(\|lc)|(penalty))"</v>
      </c>
      <c r="AG104" s="209" t="str">
        <f t="shared" si="52"/>
        <v>EC</v>
      </c>
      <c r="AH104" s="78" t="str">
        <f t="shared" si="53"/>
        <v>"%USERPROFILE%\Documents\GitHub\eaglep3\Utilities\RefineRTDCRunTimes.py" --tripid 190-20 --locoid 4057 --swversion DE.1.0.9.0 --startMP 204:233021 --initTime 2017-08-20T15:40:24 --startdatetime 2017-08-20T15:43:00 --delay 1 --endMP 204:147 --enddatetime 2017-08-20T16:23:38 --enforcementcount 0 &gt;&gt;C:\Users\stu\Documents\GitHub\eaglep3-reporting\EC\2017-08-20-refined-times.txt</v>
      </c>
      <c r="AI104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{"issue":{"subject":"","project_id":79,"tracker_id":40,"status_id":1,"priority_id":2,"assigned_to_id":23,"start_date":"2017-08-20","description":"","custom_fields":[{"id":1,"name":"Subdivision","value":"EC"},{"id":4,"name":"Milepost","value":"0.0147"},{"id":17,"name":"Train ID","value":"190-20"},{"id":16,"name":"Locomotive ID","value":"4057"},{"id":130,"name":"Impact","value":""},{"id":150,"name":"Time of Event (Mountain Time)","value":"16:23:38"},{"id":151,"name":"Denver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5"/>
        <v>start /low /b %USERPROFILE%\Documents\GitHub\eaglep3\Utilities\DownloadLogsFromS3.py --loco 4057 --day 2017-08-20</v>
      </c>
      <c r="AN104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699</v>
      </c>
      <c r="B105" s="7">
        <v>4018</v>
      </c>
      <c r="C105" s="21" t="s">
        <v>198</v>
      </c>
      <c r="D105" s="21" t="s">
        <v>390</v>
      </c>
      <c r="E105" s="13">
        <v>42967.623564814814</v>
      </c>
      <c r="F105" s="13">
        <v>42967.626319444447</v>
      </c>
      <c r="G105" s="7">
        <v>1</v>
      </c>
      <c r="H105" s="21" t="s">
        <v>862</v>
      </c>
      <c r="I105" s="13">
        <v>42967.652754629627</v>
      </c>
      <c r="J105" s="7">
        <v>0</v>
      </c>
      <c r="K105" s="89" t="str">
        <f t="shared" si="39"/>
        <v>4017/4018</v>
      </c>
      <c r="L105" s="21" t="str">
        <f>VLOOKUP(A105,'Trips&amp;Operators'!$C$1:$G$99911,5,FALSE)</f>
        <v>THOMPSON LESTER</v>
      </c>
      <c r="M105" s="6">
        <f t="shared" si="40"/>
        <v>2.643518518016208E-2</v>
      </c>
      <c r="N105" s="7">
        <f t="shared" si="41"/>
        <v>38.066666659433395</v>
      </c>
      <c r="O105" s="7"/>
      <c r="P105" s="7"/>
      <c r="Q105" s="22"/>
      <c r="R105" s="170"/>
      <c r="S105" s="213">
        <f t="shared" si="42"/>
        <v>1</v>
      </c>
      <c r="T105" s="195" t="str">
        <f t="shared" si="43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44"/>
        <v>https://d0f6bd738d7f1b3e5a7ca70fe4ff75f0.us-east-1.aws.found.io/app/kibana#/discover/Steve-Slow-Train-Analysis-(2080s-and-2083s)?_g=(refreshInterval:(display:Off,pause:!f,section:0,value:0),time:(from:'2017-08-20T13:57:56-0600',mode:absolute,to:'2017-08-20T16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197" t="str">
        <f>IF(AA105&lt;VLOOKUP(AG105,Variables!$AC$3:$AD$8,2,FALSE),"Y","N")</f>
        <v>N</v>
      </c>
      <c r="X105" s="197">
        <f t="shared" si="45"/>
        <v>1</v>
      </c>
      <c r="Y105" s="197">
        <f t="shared" si="46"/>
        <v>4.5699999999999998E-2</v>
      </c>
      <c r="Z105" s="197">
        <f t="shared" si="47"/>
        <v>23.333600000000001</v>
      </c>
      <c r="AA105" s="197">
        <f t="shared" si="48"/>
        <v>23.2879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 t="shared" si="49"/>
        <v>191</v>
      </c>
      <c r="AE105" s="77" t="str">
        <f t="shared" si="50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105" s="74" t="str">
        <f t="shared" si="51"/>
        <v>"C:\Program Files (x86)\AstroGrep\AstroGrep.exe" /e /r /s /spath="%USERPROFILE%\AppData\Local\Temp\OnboardLogs" /stypes="app*4018*20170820*" /stext=" 21:.+((SYSTEM_STATE.+slice.+state.+changed )|(ment ac)|(multiple cpu faults)|(system.+state.+changed )|(\[timeout)|(PRM\|1\|D)|(kpr)|(kdp)|(train st.+moving)|(\|lc)|(penalty))"</v>
      </c>
      <c r="AG105" s="209" t="str">
        <f t="shared" si="52"/>
        <v>EC</v>
      </c>
      <c r="AH105" s="78" t="str">
        <f t="shared" si="53"/>
        <v>"%USERPROFILE%\Documents\GitHub\eaglep3\Utilities\RefineRTDCRunTimes.py" --tripid 191-20 --locoid 4018 --swversion DE.1.0.9.0 --startMP 204:457 --initTime 2017-08-20T14:57:56 --startdatetime 2017-08-20T15:01:54 --delay 1 --endMP 204:233336 --enddatetime 2017-08-20T15:39:58 --enforcementcount 0 &gt;&gt;C:\Users\stu\Documents\GitHub\eaglep3-reporting\EC\2017-08-20-refined-times.txt</v>
      </c>
      <c r="AI105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{"issue":{"subject":"","project_id":79,"tracker_id":40,"status_id":1,"priority_id":2,"assigned_to_id":23,"start_date":"2017-08-20","description":"","custom_fields":[{"id":1,"name":"Subdivision","value":"EC"},{"id":4,"name":"Milepost","value":"23.3336"},{"id":17,"name":"Train ID","value":"191-20"},{"id":16,"name":"Locomotive ID","value":"4018"},{"id":130,"name":"Impact","value":""},{"id":150,"name":"Time of Event (Mountain Time)","value":"15:39:58"},{"id":151,"name":"Denver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5"/>
        <v>start /low /b %USERPROFILE%\Documents\GitHub\eaglep3\Utilities\DownloadLogsFromS3.py --loco 4018 --day 2017-08-20</v>
      </c>
      <c r="AN105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21:39:58"},{"id":29,"name":"Sharepoint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550</v>
      </c>
      <c r="B106" s="7">
        <v>4017</v>
      </c>
      <c r="C106" s="21" t="s">
        <v>198</v>
      </c>
      <c r="D106" s="21" t="s">
        <v>863</v>
      </c>
      <c r="E106" s="13">
        <v>42967.663402777776</v>
      </c>
      <c r="F106" s="13">
        <v>42967.664861111109</v>
      </c>
      <c r="G106" s="7">
        <v>1</v>
      </c>
      <c r="H106" s="21" t="s">
        <v>462</v>
      </c>
      <c r="I106" s="13">
        <v>42967.696273148147</v>
      </c>
      <c r="J106" s="7">
        <v>0</v>
      </c>
      <c r="K106" s="89" t="str">
        <f t="shared" si="39"/>
        <v>4017/4018</v>
      </c>
      <c r="L106" s="21" t="str">
        <f>VLOOKUP(A106,'Trips&amp;Operators'!$C$1:$G$99911,5,FALSE)</f>
        <v>THOMPSON LESTER</v>
      </c>
      <c r="M106" s="6">
        <f t="shared" si="40"/>
        <v>3.1412037038535345E-2</v>
      </c>
      <c r="N106" s="7">
        <f t="shared" si="41"/>
        <v>45.233333335490897</v>
      </c>
      <c r="O106" s="7"/>
      <c r="P106" s="7"/>
      <c r="Q106" s="22"/>
      <c r="R106" s="170"/>
      <c r="S106" s="213">
        <f t="shared" si="42"/>
        <v>1</v>
      </c>
      <c r="T106" s="195" t="str">
        <f t="shared" si="43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44"/>
        <v>https://d0f6bd738d7f1b3e5a7ca70fe4ff75f0.us-east-1.aws.found.io/app/kibana#/discover/Steve-Slow-Train-Analysis-(2080s-and-2083s)?_g=(refreshInterval:(display:Off,pause:!f,section:0,value:0),time:(from:'2017-08-20T14:55:18-0600',mode:absolute,to:'2017-08-20T17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197" t="str">
        <f>IF(AA106&lt;VLOOKUP(AG106,Variables!$AC$3:$AD$8,2,FALSE),"Y","N")</f>
        <v>N</v>
      </c>
      <c r="X106" s="197">
        <f t="shared" si="45"/>
        <v>1</v>
      </c>
      <c r="Y106" s="197">
        <f t="shared" si="46"/>
        <v>23.3032</v>
      </c>
      <c r="Z106" s="197">
        <f t="shared" si="47"/>
        <v>1.2999999999999999E-2</v>
      </c>
      <c r="AA106" s="197">
        <f t="shared" si="48"/>
        <v>23.290199999999999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 t="shared" si="49"/>
        <v>192</v>
      </c>
      <c r="AE106" s="77" t="str">
        <f t="shared" si="50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106" s="74" t="str">
        <f t="shared" si="51"/>
        <v>"C:\Program Files (x86)\AstroGrep\AstroGrep.exe" /e /r /s /spath="%USERPROFILE%\AppData\Local\Temp\OnboardLogs" /stypes="app*4017*20170820*" /stext=" 22:.+((SYSTEM_STATE.+slice.+state.+changed )|(ment ac)|(multiple cpu faults)|(system.+state.+changed )|(\[timeout)|(PRM\|1\|D)|(kpr)|(kdp)|(train st.+moving)|(\|lc)|(penalty))"</v>
      </c>
      <c r="AG106" s="209" t="str">
        <f t="shared" si="52"/>
        <v>EC</v>
      </c>
      <c r="AH106" s="78" t="str">
        <f t="shared" si="53"/>
        <v>"%USERPROFILE%\Documents\GitHub\eaglep3\Utilities\RefineRTDCRunTimes.py" --tripid 192-20 --locoid 4017 --swversion DE.1.0.9.0 --startMP 204:233032 --initTime 2017-08-20T15:55:18 --startdatetime 2017-08-20T15:57:24 --delay 1 --endMP 204:130 --enddatetime 2017-08-20T16:42:38 --enforcementcount 0 &gt;&gt;C:\Users\stu\Documents\GitHub\eaglep3-reporting\EC\2017-08-20-refined-times.txt</v>
      </c>
      <c r="AI106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{"issue":{"subject":"","project_id":79,"tracker_id":40,"status_id":1,"priority_id":2,"assigned_to_id":23,"start_date":"2017-08-20","description":"","custom_fields":[{"id":1,"name":"Subdivision","value":"EC"},{"id":4,"name":"Milepost","value":"0.013"},{"id":17,"name":"Train ID","value":"192-20"},{"id":16,"name":"Locomotive ID","value":"4017"},{"id":130,"name":"Impact","value":""},{"id":150,"name":"Time of Event (Mountain Time)","value":"16:42:38"},{"id":151,"name":"Denver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5"/>
        <v>start /low /b %USERPROFILE%\Documents\GitHub\eaglep3\Utilities\DownloadLogsFromS3.py --loco 4017 --day 2017-08-20</v>
      </c>
      <c r="AN106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22:42:38"},{"id":29,"name":"Sharepoint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701</v>
      </c>
      <c r="B107" s="7">
        <v>4014</v>
      </c>
      <c r="C107" s="21" t="s">
        <v>198</v>
      </c>
      <c r="D107" s="21" t="s">
        <v>447</v>
      </c>
      <c r="E107" s="13">
        <v>42967.632476851853</v>
      </c>
      <c r="F107" s="13">
        <v>42967.635972222219</v>
      </c>
      <c r="G107" s="7">
        <v>1</v>
      </c>
      <c r="H107" s="21" t="s">
        <v>507</v>
      </c>
      <c r="I107" s="13">
        <v>42967.661898148152</v>
      </c>
      <c r="J107" s="7">
        <v>0</v>
      </c>
      <c r="K107" s="89" t="str">
        <f t="shared" si="39"/>
        <v>4013/4014</v>
      </c>
      <c r="L107" s="21" t="str">
        <f>VLOOKUP(A107,'Trips&amp;Operators'!$C$1:$G$99911,5,FALSE)</f>
        <v>BRUDER RICHARD</v>
      </c>
      <c r="M107" s="6">
        <f t="shared" si="40"/>
        <v>2.5925925932824612E-2</v>
      </c>
      <c r="N107" s="7">
        <f t="shared" si="41"/>
        <v>37.333333343267441</v>
      </c>
      <c r="O107" s="7"/>
      <c r="P107" s="7"/>
      <c r="Q107" s="22"/>
      <c r="R107" s="170"/>
      <c r="S107" s="213">
        <f t="shared" si="42"/>
        <v>1</v>
      </c>
      <c r="T107" s="195" t="str">
        <f t="shared" si="43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44"/>
        <v>https://d0f6bd738d7f1b3e5a7ca70fe4ff75f0.us-east-1.aws.found.io/app/kibana#/discover/Steve-Slow-Train-Analysis-(2080s-and-2083s)?_g=(refreshInterval:(display:Off,pause:!f,section:0,value:0),time:(from:'2017-08-20T14:10:46-0600',mode:absolute,to:'2017-08-20T16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7" s="197" t="str">
        <f>IF(AA107&lt;VLOOKUP(AG107,Variables!$AC$3:$AD$8,2,FALSE),"Y","N")</f>
        <v>N</v>
      </c>
      <c r="X107" s="197">
        <f t="shared" si="45"/>
        <v>1</v>
      </c>
      <c r="Y107" s="197">
        <f t="shared" si="46"/>
        <v>4.3700000000000003E-2</v>
      </c>
      <c r="Z107" s="197">
        <f t="shared" si="47"/>
        <v>23.3309</v>
      </c>
      <c r="AA107" s="197">
        <f t="shared" si="48"/>
        <v>23.287199999999999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6">
        <f t="shared" si="49"/>
        <v>193</v>
      </c>
      <c r="AE107" s="77" t="str">
        <f t="shared" si="50"/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107" s="74" t="str">
        <f t="shared" si="51"/>
        <v>"C:\Program Files (x86)\AstroGrep\AstroGrep.exe" /e /r /s /spath="%USERPROFILE%\AppData\Local\Temp\OnboardLogs" /stypes="app*4014*20170820*" /stext=" 21:.+((SYSTEM_STATE.+slice.+state.+changed )|(ment ac)|(multiple cpu faults)|(system.+state.+changed )|(\[timeout)|(PRM\|1\|D)|(kpr)|(kdp)|(train st.+moving)|(\|lc)|(penalty))"</v>
      </c>
      <c r="AG107" s="209" t="str">
        <f t="shared" si="52"/>
        <v>EC</v>
      </c>
      <c r="AH107" s="78" t="str">
        <f t="shared" si="53"/>
        <v>"%USERPROFILE%\Documents\GitHub\eaglep3\Utilities\RefineRTDCRunTimes.py" --tripid 193-20 --locoid 4014 --swversion DE.1.0.9.0 --startMP 204:437 --initTime 2017-08-20T15:10:46 --startdatetime 2017-08-20T15:15:48 --delay 1 --endMP 204:233309 --enddatetime 2017-08-20T15:53:08 --enforcementcount 0 &gt;&gt;C:\Users\stu\Documents\GitHub\eaglep3-reporting\EC\2017-08-20-refined-times.txt</v>
      </c>
      <c r="AI107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{"issue":{"subject":"","project_id":79,"tracker_id":40,"status_id":1,"priority_id":2,"assigned_to_id":23,"start_date":"2017-08-20","description":"","custom_fields":[{"id":1,"name":"Subdivision","value":"EC"},{"id":4,"name":"Milepost","value":"23.3309"},{"id":17,"name":"Train ID","value":"193-20"},{"id":16,"name":"Locomotive ID","value":"4014"},{"id":130,"name":"Impact","value":""},{"id":150,"name":"Time of Event (Mountain Time)","value":"15:53:08"},{"id":151,"name":"Denver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5"/>
        <v>start /low /b %USERPROFILE%\Documents\GitHub\eaglep3\Utilities\DownloadLogsFromS3.py --loco 4014 --day 2017-08-20</v>
      </c>
      <c r="AN107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21:53:08"},{"id":29,"name":"Sharepoint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708</v>
      </c>
      <c r="B108" s="7">
        <v>4013</v>
      </c>
      <c r="C108" s="21" t="s">
        <v>198</v>
      </c>
      <c r="D108" s="21" t="s">
        <v>785</v>
      </c>
      <c r="E108" s="13">
        <v>42967.672881944447</v>
      </c>
      <c r="F108" s="13">
        <v>42967.675185185188</v>
      </c>
      <c r="G108" s="7">
        <v>1</v>
      </c>
      <c r="H108" s="21" t="s">
        <v>399</v>
      </c>
      <c r="I108" s="13">
        <v>42967.703865740739</v>
      </c>
      <c r="J108" s="7">
        <v>0</v>
      </c>
      <c r="K108" s="89" t="str">
        <f t="shared" si="39"/>
        <v>4013/4014</v>
      </c>
      <c r="L108" s="21" t="str">
        <f>VLOOKUP(A108,'Trips&amp;Operators'!$C$1:$G$99911,5,FALSE)</f>
        <v>BRUDER RICHARD</v>
      </c>
      <c r="M108" s="6">
        <f t="shared" si="40"/>
        <v>2.8680555551545694E-2</v>
      </c>
      <c r="N108" s="7">
        <f t="shared" si="41"/>
        <v>41.2999999942258</v>
      </c>
      <c r="O108" s="7"/>
      <c r="P108" s="7"/>
      <c r="Q108" s="22"/>
      <c r="R108" s="170"/>
      <c r="S108" s="213">
        <f t="shared" si="42"/>
        <v>1</v>
      </c>
      <c r="T108" s="195" t="str">
        <f t="shared" si="43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44"/>
        <v>https://d0f6bd738d7f1b3e5a7ca70fe4ff75f0.us-east-1.aws.found.io/app/kibana#/discover/Steve-Slow-Train-Analysis-(2080s-and-2083s)?_g=(refreshInterval:(display:Off,pause:!f,section:0,value:0),time:(from:'2017-08-20T15:08:57-0600',mode:absolute,to:'2017-08-20T17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8" s="197" t="str">
        <f>IF(AA108&lt;VLOOKUP(AG108,Variables!$AC$3:$AD$8,2,FALSE),"Y","N")</f>
        <v>N</v>
      </c>
      <c r="X108" s="197">
        <f t="shared" si="45"/>
        <v>1</v>
      </c>
      <c r="Y108" s="197">
        <f t="shared" si="46"/>
        <v>23.298400000000001</v>
      </c>
      <c r="Z108" s="197">
        <f t="shared" si="47"/>
        <v>1.6E-2</v>
      </c>
      <c r="AA108" s="197">
        <f t="shared" si="48"/>
        <v>23.282400000000003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6">
        <f t="shared" si="49"/>
        <v>194</v>
      </c>
      <c r="AE108" s="77" t="str">
        <f t="shared" si="50"/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AF108" s="74" t="str">
        <f t="shared" si="51"/>
        <v>"C:\Program Files (x86)\AstroGrep\AstroGrep.exe" /e /r /s /spath="%USERPROFILE%\AppData\Local\Temp\OnboardLogs" /stypes="app*4013*20170820*" /stext=" 22:.+((SYSTEM_STATE.+slice.+state.+changed )|(ment ac)|(multiple cpu faults)|(system.+state.+changed )|(\[timeout)|(PRM\|1\|D)|(kpr)|(kdp)|(train st.+moving)|(\|lc)|(penalty))"</v>
      </c>
      <c r="AG108" s="209" t="str">
        <f t="shared" si="52"/>
        <v>EC</v>
      </c>
      <c r="AH108" s="78" t="str">
        <f t="shared" si="53"/>
        <v>"%USERPROFILE%\Documents\GitHub\eaglep3\Utilities\RefineRTDCRunTimes.py" --tripid 194-20 --locoid 4013 --swversion DE.1.0.9.0 --startMP 204:232984 --initTime 2017-08-20T16:08:57 --startdatetime 2017-08-20T16:12:16 --delay 1 --endMP 204:160 --enddatetime 2017-08-20T16:53:34 --enforcementcount 0 &gt;&gt;C:\Users\stu\Documents\GitHub\eaglep3-reporting\EC\2017-08-20-refined-times.txt</v>
      </c>
      <c r="AI108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{"issue":{"subject":"","project_id":79,"tracker_id":40,"status_id":1,"priority_id":2,"assigned_to_id":23,"start_date":"2017-08-20","description":"","custom_fields":[{"id":1,"name":"Subdivision","value":"EC"},{"id":4,"name":"Milepost","value":"0.016"},{"id":17,"name":"Train ID","value":"194-20"},{"id":16,"name":"Locomotive ID","value":"4013"},{"id":130,"name":"Impact","value":""},{"id":150,"name":"Time of Event (Mountain Time)","value":"16:53:34"},{"id":151,"name":"Denver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5"/>
        <v>start /low /b %USERPROFILE%\Documents\GitHub\eaglep3\Utilities\DownloadLogsFromS3.py --loco 4013 --day 2017-08-20</v>
      </c>
      <c r="AN108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702</v>
      </c>
      <c r="B109" s="7">
        <v>4006</v>
      </c>
      <c r="C109" s="21" t="s">
        <v>198</v>
      </c>
      <c r="D109" s="21" t="s">
        <v>499</v>
      </c>
      <c r="E109" s="13">
        <v>42967.641145833331</v>
      </c>
      <c r="F109" s="13">
        <v>42967.64634259259</v>
      </c>
      <c r="G109" s="7">
        <v>1</v>
      </c>
      <c r="H109" s="21" t="s">
        <v>864</v>
      </c>
      <c r="I109" s="13">
        <v>42967.671377314815</v>
      </c>
      <c r="J109" s="7">
        <v>0</v>
      </c>
      <c r="K109" s="89" t="str">
        <f t="shared" si="39"/>
        <v>4005/4006</v>
      </c>
      <c r="L109" s="21" t="str">
        <f>VLOOKUP(A109,'Trips&amp;Operators'!$C$1:$G$99911,5,FALSE)</f>
        <v>SULLIVAN BRANDON</v>
      </c>
      <c r="M109" s="6">
        <f t="shared" si="40"/>
        <v>2.5034722224518191E-2</v>
      </c>
      <c r="N109" s="7">
        <f t="shared" si="41"/>
        <v>36.050000003306195</v>
      </c>
      <c r="O109" s="7"/>
      <c r="P109" s="7"/>
      <c r="Q109" s="22"/>
      <c r="R109" s="170"/>
      <c r="S109" s="213">
        <f t="shared" si="42"/>
        <v>1</v>
      </c>
      <c r="T109" s="195" t="str">
        <f t="shared" si="43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44"/>
        <v>https://d0f6bd738d7f1b3e5a7ca70fe4ff75f0.us-east-1.aws.found.io/app/kibana#/discover/Steve-Slow-Train-Analysis-(2080s-and-2083s)?_g=(refreshInterval:(display:Off,pause:!f,section:0,value:0),time:(from:'2017-08-20T14:23:15-0600',mode:absolute,to:'2017-08-20T17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9" s="197" t="str">
        <f>IF(AA109&lt;VLOOKUP(AG109,Variables!$AC$3:$AD$8,2,FALSE),"Y","N")</f>
        <v>N</v>
      </c>
      <c r="X109" s="197">
        <f t="shared" si="45"/>
        <v>1</v>
      </c>
      <c r="Y109" s="197">
        <f t="shared" si="46"/>
        <v>4.8399999999999999E-2</v>
      </c>
      <c r="Z109" s="197">
        <f t="shared" si="47"/>
        <v>23.336600000000001</v>
      </c>
      <c r="AA109" s="197">
        <f t="shared" si="48"/>
        <v>23.2882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 t="shared" si="49"/>
        <v>195</v>
      </c>
      <c r="AE109" s="77" t="str">
        <f t="shared" si="50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109" s="74" t="str">
        <f t="shared" si="51"/>
        <v>"C:\Program Files (x86)\AstroGrep\AstroGrep.exe" /e /r /s /spath="%USERPROFILE%\AppData\Local\Temp\OnboardLogs" /stypes="app*4006*20170820*" /stext=" 22:.+((SYSTEM_STATE.+slice.+state.+changed )|(ment ac)|(multiple cpu faults)|(system.+state.+changed )|(\[timeout)|(PRM\|1\|D)|(kpr)|(kdp)|(train st.+moving)|(\|lc)|(penalty))"</v>
      </c>
      <c r="AG109" s="209" t="str">
        <f t="shared" si="52"/>
        <v>EC</v>
      </c>
      <c r="AH109" s="78" t="str">
        <f t="shared" si="53"/>
        <v>"%USERPROFILE%\Documents\GitHub\eaglep3\Utilities\RefineRTDCRunTimes.py" --tripid 195-20 --locoid 4006 --swversion DE.1.0.9.0 --startMP 204:484 --initTime 2017-08-20T15:23:15 --startdatetime 2017-08-20T15:30:44 --delay 1 --endMP 204:233366 --enddatetime 2017-08-20T16:06:47 --enforcementcount 0 &gt;&gt;C:\Users\stu\Documents\GitHub\eaglep3-reporting\EC\2017-08-20-refined-times.txt</v>
      </c>
      <c r="AI109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{"issue":{"subject":"","project_id":79,"tracker_id":40,"status_id":1,"priority_id":2,"assigned_to_id":23,"start_date":"2017-08-20","description":"","custom_fields":[{"id":1,"name":"Subdivision","value":"EC"},{"id":4,"name":"Milepost","value":"23.3366"},{"id":17,"name":"Train ID","value":"195-20"},{"id":16,"name":"Locomotive ID","value":"4006"},{"id":130,"name":"Impact","value":""},{"id":150,"name":"Time of Event (Mountain Time)","value":"16:06:47"},{"id":151,"name":"Denver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5"/>
        <v>start /low /b %USERPROFILE%\Documents\GitHub\eaglep3\Utilities\DownloadLogsFromS3.py --loco 4006 --day 2017-08-20</v>
      </c>
      <c r="AN109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711</v>
      </c>
      <c r="B110" s="7">
        <v>4005</v>
      </c>
      <c r="C110" s="21" t="s">
        <v>198</v>
      </c>
      <c r="D110" s="21" t="s">
        <v>865</v>
      </c>
      <c r="E110" s="13">
        <v>42967.679027777776</v>
      </c>
      <c r="F110" s="13">
        <v>42967.685590277775</v>
      </c>
      <c r="G110" s="7">
        <v>2</v>
      </c>
      <c r="H110" s="21" t="s">
        <v>386</v>
      </c>
      <c r="I110" s="13">
        <v>42967.717048611114</v>
      </c>
      <c r="J110" s="7">
        <v>0</v>
      </c>
      <c r="K110" s="89" t="str">
        <f t="shared" si="39"/>
        <v>4005/4006</v>
      </c>
      <c r="L110" s="21" t="str">
        <f>VLOOKUP(A110,'Trips&amp;Operators'!$C$1:$G$99911,5,FALSE)</f>
        <v>SULLIVAN BRANDON</v>
      </c>
      <c r="M110" s="6">
        <f t="shared" si="40"/>
        <v>3.1458333338377997E-2</v>
      </c>
      <c r="N110" s="7">
        <f t="shared" si="41"/>
        <v>45.300000007264316</v>
      </c>
      <c r="O110" s="7"/>
      <c r="P110" s="7"/>
      <c r="Q110" s="22"/>
      <c r="R110" s="170"/>
      <c r="S110" s="213">
        <f t="shared" si="42"/>
        <v>1</v>
      </c>
      <c r="T110" s="195" t="str">
        <f t="shared" si="43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44"/>
        <v>https://d0f6bd738d7f1b3e5a7ca70fe4ff75f0.us-east-1.aws.found.io/app/kibana#/discover/Steve-Slow-Train-Analysis-(2080s-and-2083s)?_g=(refreshInterval:(display:Off,pause:!f,section:0,value:0),time:(from:'2017-08-20T15:17:48-0600',mode:absolute,to:'2017-08-20T18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46"/>
        <v>23.306999999999999</v>
      </c>
      <c r="Z110" s="197">
        <f t="shared" si="47"/>
        <v>1.5800000000000002E-2</v>
      </c>
      <c r="AA110" s="197">
        <f t="shared" si="48"/>
        <v>23.2912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 t="shared" si="49"/>
        <v>196</v>
      </c>
      <c r="AE110" s="77" t="str">
        <f t="shared" si="50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110" s="74" t="str">
        <f t="shared" si="51"/>
        <v>"C:\Program Files (x86)\AstroGrep\AstroGrep.exe" /e /r /s /spath="%USERPROFILE%\AppData\Local\Temp\OnboardLogs" /stypes="app*4005*20170820*" /stext=" 23:.+((SYSTEM_STATE.+slice.+state.+changed )|(ment ac)|(multiple cpu faults)|(system.+state.+changed )|(\[timeout)|(PRM\|1\|D)|(kpr)|(kdp)|(train st.+moving)|(\|lc)|(penalty))"</v>
      </c>
      <c r="AG110" s="209" t="str">
        <f t="shared" si="52"/>
        <v>EC</v>
      </c>
      <c r="AH110" s="78" t="str">
        <f t="shared" si="53"/>
        <v>"%USERPROFILE%\Documents\GitHub\eaglep3\Utilities\RefineRTDCRunTimes.py" --tripid 196-20 --locoid 4005 --swversion DE.1.0.9.0 --startMP 204:233070 --initTime 2017-08-20T16:17:48 --startdatetime 2017-08-20T16:27:15 --delay 2 --endMP 204:158 --enddatetime 2017-08-20T17:12:33 --enforcementcount 0 &gt;&gt;C:\Users\stu\Documents\GitHub\eaglep3-reporting\EC\2017-08-20-refined-times.txt</v>
      </c>
      <c r="AI110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{"issue":{"subject":"","project_id":79,"tracker_id":40,"status_id":1,"priority_id":2,"assigned_to_id":23,"start_date":"2017-08-20","description":"","custom_fields":[{"id":1,"name":"Subdivision","value":"EC"},{"id":4,"name":"Milepost","value":"0.0158"},{"id":17,"name":"Train ID","value":"196-20"},{"id":16,"name":"Locomotive ID","value":"4005"},{"id":130,"name":"Impact","value":""},{"id":150,"name":"Time of Event (Mountain Time)","value":"17:12:33"},{"id":151,"name":"Denver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5"/>
        <v>start /low /b %USERPROFILE%\Documents\GitHub\eaglep3\Utilities\DownloadLogsFromS3.py --loco 4005 --day 2017-08-20</v>
      </c>
      <c r="AN110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23:12:33"},{"id":29,"name":"Sharepoint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549</v>
      </c>
      <c r="B111" s="7">
        <v>4016</v>
      </c>
      <c r="C111" s="21" t="s">
        <v>198</v>
      </c>
      <c r="D111" s="21" t="s">
        <v>414</v>
      </c>
      <c r="E111" s="13">
        <v>42967.656030092592</v>
      </c>
      <c r="F111" s="13">
        <v>42967.657361111109</v>
      </c>
      <c r="G111" s="7">
        <v>1</v>
      </c>
      <c r="H111" s="21" t="s">
        <v>793</v>
      </c>
      <c r="I111" s="13">
        <v>42967.682997685188</v>
      </c>
      <c r="J111" s="7">
        <v>0</v>
      </c>
      <c r="K111" s="89" t="str">
        <f t="shared" si="39"/>
        <v>4015/4016</v>
      </c>
      <c r="L111" s="21" t="str">
        <f>VLOOKUP(A111,'Trips&amp;Operators'!$C$1:$G$99911,5,FALSE)</f>
        <v>BADERTSCHER DIANE</v>
      </c>
      <c r="M111" s="6">
        <f t="shared" si="40"/>
        <v>2.5636574078816921E-2</v>
      </c>
      <c r="N111" s="7">
        <f t="shared" si="41"/>
        <v>36.916666673496366</v>
      </c>
      <c r="O111" s="7"/>
      <c r="P111" s="7"/>
      <c r="Q111" s="22"/>
      <c r="R111" s="170"/>
      <c r="S111" s="213">
        <f t="shared" si="42"/>
        <v>1</v>
      </c>
      <c r="T111" s="195" t="str">
        <f t="shared" si="43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44"/>
        <v>https://d0f6bd738d7f1b3e5a7ca70fe4ff75f0.us-east-1.aws.found.io/app/kibana#/discover/Steve-Slow-Train-Analysis-(2080s-and-2083s)?_g=(refreshInterval:(display:Off,pause:!f,section:0,value:0),time:(from:'2017-08-20T14:44:41-0600',mode:absolute,to:'2017-08-20T17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46"/>
        <v>4.4400000000000002E-2</v>
      </c>
      <c r="Z111" s="197">
        <f t="shared" si="47"/>
        <v>23.3355</v>
      </c>
      <c r="AA111" s="197">
        <f t="shared" si="48"/>
        <v>23.2911</v>
      </c>
      <c r="AB111" s="54" t="str">
        <f>VLOOKUP(A111,Enforcements!$C$7:$K$11,8,0)</f>
        <v>Bulletin (2)</v>
      </c>
      <c r="AC111" s="51" t="str">
        <f>VLOOKUP(A111,Enforcements!$C$7:$E$11,3,0)</f>
        <v>GRADE CROSSING</v>
      </c>
      <c r="AD111" s="206">
        <f t="shared" si="49"/>
        <v>197</v>
      </c>
      <c r="AE111" s="77" t="str">
        <f t="shared" si="50"/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AF111" s="74" t="str">
        <f t="shared" si="51"/>
        <v>"C:\Program Files (x86)\AstroGrep\AstroGrep.exe" /e /r /s /spath="%USERPROFILE%\AppData\Local\Temp\OnboardLogs" /stypes="app*4016*20170820*" /stext=" 22:.+((SYSTEM_STATE.+slice.+state.+changed )|(ment ac)|(multiple cpu faults)|(system.+state.+changed )|(\[timeout)|(PRM\|1\|D)|(kpr)|(kdp)|(train st.+moving)|(\|lc)|(penalty))"</v>
      </c>
      <c r="AG111" s="209" t="str">
        <f t="shared" si="52"/>
        <v>EC</v>
      </c>
      <c r="AH111" s="78" t="str">
        <f t="shared" si="53"/>
        <v>"%USERPROFILE%\Documents\GitHub\eaglep3\Utilities\RefineRTDCRunTimes.py" --tripid 197-20 --locoid 4016 --swversion DE.1.0.9.0 --startMP 204:444 --initTime 2017-08-20T15:44:41 --startdatetime 2017-08-20T15:46:36 --delay 1 --endMP 204:233355 --enddatetime 2017-08-20T16:23:31 --enforcementcount 0 &gt;&gt;C:\Users\stu\Documents\GitHub\eaglep3-reporting\EC\2017-08-20-refined-times.txt</v>
      </c>
      <c r="AI111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{"issue":{"subject":"","project_id":79,"tracker_id":40,"status_id":1,"priority_id":2,"assigned_to_id":23,"start_date":"2017-08-20","description":"","custom_fields":[{"id":1,"name":"Subdivision","value":"EC"},{"id":4,"name":"Milepost","value":"23.3355"},{"id":17,"name":"Train ID","value":"197-20"},{"id":16,"name":"Locomotive ID","value":"4016"},{"id":130,"name":"Impact","value":""},{"id":150,"name":"Time of Event (Mountain Time)","value":"16:23:31"},{"id":151,"name":"Denver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5"/>
        <v>start /low /b %USERPROFILE%\Documents\GitHub\eaglep3\Utilities\DownloadLogsFromS3.py --loco 4016 --day 2017-08-20</v>
      </c>
      <c r="AN111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713</v>
      </c>
      <c r="B112" s="7">
        <v>4015</v>
      </c>
      <c r="C112" s="21" t="s">
        <v>198</v>
      </c>
      <c r="D112" s="21" t="s">
        <v>463</v>
      </c>
      <c r="E112" s="13">
        <v>42967.686724537038</v>
      </c>
      <c r="F112" s="13">
        <v>42967.696087962962</v>
      </c>
      <c r="G112" s="7">
        <v>1</v>
      </c>
      <c r="H112" s="21" t="s">
        <v>789</v>
      </c>
      <c r="I112" s="13">
        <v>42967.728101851855</v>
      </c>
      <c r="J112" s="7">
        <v>0</v>
      </c>
      <c r="K112" s="89" t="str">
        <f t="shared" si="39"/>
        <v>4015/4016</v>
      </c>
      <c r="L112" s="21" t="str">
        <f>VLOOKUP(A112,'Trips&amp;Operators'!$C$1:$G$99911,5,FALSE)</f>
        <v>BADERTSCHER DIANE</v>
      </c>
      <c r="M112" s="6">
        <f t="shared" si="40"/>
        <v>3.2013888892834075E-2</v>
      </c>
      <c r="N112" s="7">
        <f t="shared" si="41"/>
        <v>46.100000005681068</v>
      </c>
      <c r="O112" s="7"/>
      <c r="P112" s="7"/>
      <c r="Q112" s="22"/>
      <c r="R112" s="170"/>
      <c r="S112" s="213">
        <f t="shared" si="42"/>
        <v>1</v>
      </c>
      <c r="T112" s="195" t="str">
        <f t="shared" si="43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44"/>
        <v>https://d0f6bd738d7f1b3e5a7ca70fe4ff75f0.us-east-1.aws.found.io/app/kibana#/discover/Steve-Slow-Train-Analysis-(2080s-and-2083s)?_g=(refreshInterval:(display:Off,pause:!f,section:0,value:0),time:(from:'2017-08-20T15:28:53-0600',mode:absolute,to:'2017-08-20T18:28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si="46"/>
        <v>23.303599999999999</v>
      </c>
      <c r="Z112" s="197">
        <f t="shared" si="47"/>
        <v>1.29E-2</v>
      </c>
      <c r="AA112" s="197">
        <f t="shared" si="48"/>
        <v>23.290700000000001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6">
        <f t="shared" si="49"/>
        <v>198</v>
      </c>
      <c r="AE112" s="77" t="str">
        <f t="shared" si="50"/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AF112" s="74" t="str">
        <f t="shared" si="51"/>
        <v>"C:\Program Files (x86)\AstroGrep\AstroGrep.exe" /e /r /s /spath="%USERPROFILE%\AppData\Local\Temp\OnboardLogs" /stypes="app*4015*20170820*" /stext=" 23:.+((SYSTEM_STATE.+slice.+state.+changed )|(ment ac)|(multiple cpu faults)|(system.+state.+changed )|(\[timeout)|(PRM\|1\|D)|(kpr)|(kdp)|(train st.+moving)|(\|lc)|(penalty))"</v>
      </c>
      <c r="AG112" s="209" t="str">
        <f t="shared" si="52"/>
        <v>EC</v>
      </c>
      <c r="AH112" s="78" t="str">
        <f t="shared" si="53"/>
        <v>"%USERPROFILE%\Documents\GitHub\eaglep3\Utilities\RefineRTDCRunTimes.py" --tripid 198-20 --locoid 4015 --swversion DE.1.0.9.0 --startMP 204:233036 --initTime 2017-08-20T16:28:53 --startdatetime 2017-08-20T16:42:22 --delay 1 --endMP 204:129 --enddatetime 2017-08-20T17:28:28 --enforcementcount 0 &gt;&gt;C:\Users\stu\Documents\GitHub\eaglep3-reporting\EC\2017-08-20-refined-times.txt</v>
      </c>
      <c r="AI112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{"issue":{"subject":"","project_id":79,"tracker_id":40,"status_id":1,"priority_id":2,"assigned_to_id":23,"start_date":"2017-08-20","description":"","custom_fields":[{"id":1,"name":"Subdivision","value":"EC"},{"id":4,"name":"Milepost","value":"0.0129"},{"id":17,"name":"Train ID","value":"198-20"},{"id":16,"name":"Locomotive ID","value":"4015"},{"id":130,"name":"Impact","value":""},{"id":150,"name":"Time of Event (Mountain Time)","value":"17:28:28"},{"id":151,"name":"Denver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5"/>
        <v>start /low /b %USERPROFILE%\Documents\GitHub\eaglep3\Utilities\DownloadLogsFromS3.py --loco 4015 --day 2017-08-20</v>
      </c>
      <c r="AN112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23:28:28"},{"id":29,"name":"Sharepoint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551</v>
      </c>
      <c r="B113" s="7">
        <v>4054</v>
      </c>
      <c r="C113" s="21" t="s">
        <v>198</v>
      </c>
      <c r="D113" s="21" t="s">
        <v>394</v>
      </c>
      <c r="E113" s="13">
        <v>42967.667094907411</v>
      </c>
      <c r="F113" s="13">
        <v>42967.670092592591</v>
      </c>
      <c r="G113" s="7">
        <v>1</v>
      </c>
      <c r="H113" s="21" t="s">
        <v>866</v>
      </c>
      <c r="I113" s="13">
        <v>42967.695868055554</v>
      </c>
      <c r="J113" s="7">
        <v>0</v>
      </c>
      <c r="K113" s="89" t="str">
        <f t="shared" si="39"/>
        <v>4053/4054</v>
      </c>
      <c r="L113" s="21" t="str">
        <f>VLOOKUP(A113,'Trips&amp;Operators'!$C$1:$G$99911,5,FALSE)</f>
        <v>ROMERO CHAD</v>
      </c>
      <c r="M113" s="6">
        <f t="shared" si="40"/>
        <v>2.5775462963792961E-2</v>
      </c>
      <c r="N113" s="7">
        <f t="shared" si="41"/>
        <v>37.116666667861864</v>
      </c>
      <c r="O113" s="7"/>
      <c r="P113" s="7"/>
      <c r="Q113" s="22"/>
      <c r="R113" s="170"/>
      <c r="S113" s="213">
        <f t="shared" si="42"/>
        <v>1</v>
      </c>
      <c r="T113" s="195" t="str">
        <f t="shared" si="43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44"/>
        <v>https://d0f6bd738d7f1b3e5a7ca70fe4ff75f0.us-east-1.aws.found.io/app/kibana#/discover/Steve-Slow-Train-Analysis-(2080s-and-2083s)?_g=(refreshInterval:(display:Off,pause:!f,section:0,value:0),time:(from:'2017-08-20T15:00:37-0600',mode:absolute,to:'2017-08-20T17:42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3" s="197" t="str">
        <f>IF(AA113&lt;VLOOKUP(AG113,Variables!$AC$3:$AD$8,2,FALSE),"Y","N")</f>
        <v>N</v>
      </c>
      <c r="X113" s="197">
        <f t="shared" si="45"/>
        <v>1</v>
      </c>
      <c r="Y113" s="197">
        <f t="shared" si="46"/>
        <v>4.6399999999999997E-2</v>
      </c>
      <c r="Z113" s="197">
        <f t="shared" si="47"/>
        <v>23.328900000000001</v>
      </c>
      <c r="AA113" s="197">
        <f t="shared" si="48"/>
        <v>23.282500000000002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 t="shared" si="49"/>
        <v>199</v>
      </c>
      <c r="AE113" s="77" t="str">
        <f t="shared" si="50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113" s="74" t="str">
        <f t="shared" si="51"/>
        <v>"C:\Program Files (x86)\AstroGrep\AstroGrep.exe" /e /r /s /spath="%USERPROFILE%\AppData\Local\Temp\OnboardLogs" /stypes="app*4054*20170820*" /stext=" 22:.+((SYSTEM_STATE.+slice.+state.+changed )|(ment ac)|(multiple cpu faults)|(system.+state.+changed )|(\[timeout)|(PRM\|1\|D)|(kpr)|(kdp)|(train st.+moving)|(\|lc)|(penalty))"</v>
      </c>
      <c r="AG113" s="209" t="str">
        <f t="shared" si="52"/>
        <v>EC</v>
      </c>
      <c r="AH113" s="78" t="str">
        <f t="shared" si="53"/>
        <v>"%USERPROFILE%\Documents\GitHub\eaglep3\Utilities\RefineRTDCRunTimes.py" --tripid 199-20 --locoid 4054 --swversion DE.1.0.9.0 --startMP 204:464 --initTime 2017-08-20T16:00:37 --startdatetime 2017-08-20T16:04:56 --delay 1 --endMP 204:233289 --enddatetime 2017-08-20T16:42:03 --enforcementcount 0 &gt;&gt;C:\Users\stu\Documents\GitHub\eaglep3-reporting\EC\2017-08-20-refined-times.txt</v>
      </c>
      <c r="AI113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{"issue":{"subject":"","project_id":79,"tracker_id":40,"status_id":1,"priority_id":2,"assigned_to_id":23,"start_date":"2017-08-20","description":"","custom_fields":[{"id":1,"name":"Subdivision","value":"EC"},{"id":4,"name":"Milepost","value":"23.3289"},{"id":17,"name":"Train ID","value":"199-20"},{"id":16,"name":"Locomotive ID","value":"4054"},{"id":130,"name":"Impact","value":""},{"id":150,"name":"Time of Event (Mountain Time)","value":"16:42:03"},{"id":151,"name":"Denver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5"/>
        <v>start /low /b %USERPROFILE%\Documents\GitHub\eaglep3\Utilities\DownloadLogsFromS3.py --loco 4054 --day 2017-08-20</v>
      </c>
      <c r="AN113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22:42:03"},{"id":29,"name":"Sharepoint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714</v>
      </c>
      <c r="B114" s="7">
        <v>4053</v>
      </c>
      <c r="C114" s="21" t="s">
        <v>198</v>
      </c>
      <c r="D114" s="21" t="s">
        <v>459</v>
      </c>
      <c r="E114" s="13">
        <v>42967.697476851848</v>
      </c>
      <c r="F114" s="13">
        <v>42967.706423611111</v>
      </c>
      <c r="G114" s="7">
        <v>1</v>
      </c>
      <c r="H114" s="21" t="s">
        <v>341</v>
      </c>
      <c r="I114" s="13">
        <v>42967.732418981483</v>
      </c>
      <c r="J114" s="7">
        <v>0</v>
      </c>
      <c r="K114" s="89" t="str">
        <f t="shared" si="39"/>
        <v>4053/4054</v>
      </c>
      <c r="L114" s="21" t="str">
        <f>VLOOKUP(A114,'Trips&amp;Operators'!$C$1:$G$99911,5,FALSE)</f>
        <v>ROMERO CHAD</v>
      </c>
      <c r="M114" s="6">
        <f t="shared" si="40"/>
        <v>2.5995370371674653E-2</v>
      </c>
      <c r="N114" s="7">
        <f t="shared" si="41"/>
        <v>37.433333335211501</v>
      </c>
      <c r="O114" s="7"/>
      <c r="P114" s="7"/>
      <c r="Q114" s="22"/>
      <c r="R114" s="170"/>
      <c r="S114" s="213">
        <f t="shared" si="42"/>
        <v>1</v>
      </c>
      <c r="T114" s="195" t="str">
        <f t="shared" si="43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44"/>
        <v>https://d0f6bd738d7f1b3e5a7ca70fe4ff75f0.us-east-1.aws.found.io/app/kibana#/discover/Steve-Slow-Train-Analysis-(2080s-and-2083s)?_g=(refreshInterval:(display:Off,pause:!f,section:0,value:0),time:(from:'2017-08-20T15:44:22-0600',mode:absolute,to:'2017-08-20T18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4" s="197" t="str">
        <f>IF(AA114&lt;VLOOKUP(AG114,Variables!$AC$3:$AD$8,2,FALSE),"Y","N")</f>
        <v>N</v>
      </c>
      <c r="X114" s="197">
        <f t="shared" si="45"/>
        <v>1</v>
      </c>
      <c r="Y114" s="197">
        <f t="shared" si="46"/>
        <v>23.298300000000001</v>
      </c>
      <c r="Z114" s="197">
        <f t="shared" si="47"/>
        <v>1.49E-2</v>
      </c>
      <c r="AA114" s="197">
        <f t="shared" si="48"/>
        <v>23.2834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 t="shared" si="49"/>
        <v>200</v>
      </c>
      <c r="AE114" s="77" t="str">
        <f t="shared" si="50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114" s="74" t="str">
        <f t="shared" si="51"/>
        <v>"C:\Program Files (x86)\AstroGrep\AstroGrep.exe" /e /r /s /spath="%USERPROFILE%\AppData\Local\Temp\OnboardLogs" /stypes="app*4053*20170820*" /stext=" 23:.+((SYSTEM_STATE.+slice.+state.+changed )|(ment ac)|(multiple cpu faults)|(system.+state.+changed )|(\[timeout)|(PRM\|1\|D)|(kpr)|(kdp)|(train st.+moving)|(\|lc)|(penalty))"</v>
      </c>
      <c r="AG114" s="209" t="str">
        <f t="shared" si="52"/>
        <v>EC</v>
      </c>
      <c r="AH114" s="78" t="str">
        <f t="shared" si="53"/>
        <v>"%USERPROFILE%\Documents\GitHub\eaglep3\Utilities\RefineRTDCRunTimes.py" --tripid 200-20 --locoid 4053 --swversion DE.1.0.9.0 --startMP 204:232983 --initTime 2017-08-20T16:44:22 --startdatetime 2017-08-20T16:57:15 --delay 1 --endMP 204:149 --enddatetime 2017-08-20T17:34:41 --enforcementcount 0 &gt;&gt;C:\Users\stu\Documents\GitHub\eaglep3-reporting\EC\2017-08-20-refined-times.txt</v>
      </c>
      <c r="AI114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{"issue":{"subject":"","project_id":79,"tracker_id":40,"status_id":1,"priority_id":2,"assigned_to_id":23,"start_date":"2017-08-20","description":"","custom_fields":[{"id":1,"name":"Subdivision","value":"EC"},{"id":4,"name":"Milepost","value":"0.0149"},{"id":17,"name":"Train ID","value":"200-20"},{"id":16,"name":"Locomotive ID","value":"4053"},{"id":130,"name":"Impact","value":""},{"id":150,"name":"Time of Event (Mountain Time)","value":"17:34:41"},{"id":151,"name":"Denver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5"/>
        <v>start /low /b %USERPROFILE%\Documents\GitHub\eaglep3\Utilities\DownloadLogsFromS3.py --loco 4053 --day 2017-08-20</v>
      </c>
      <c r="AN114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709</v>
      </c>
      <c r="B115" s="7">
        <v>4012</v>
      </c>
      <c r="C115" s="21" t="s">
        <v>198</v>
      </c>
      <c r="D115" s="21" t="s">
        <v>346</v>
      </c>
      <c r="E115" s="13">
        <v>42967.674560185187</v>
      </c>
      <c r="F115" s="13">
        <v>42967.677604166667</v>
      </c>
      <c r="G115" s="7">
        <v>1</v>
      </c>
      <c r="H115" s="21" t="s">
        <v>867</v>
      </c>
      <c r="I115" s="13">
        <v>42967.704375000001</v>
      </c>
      <c r="J115" s="7">
        <v>0</v>
      </c>
      <c r="K115" s="89" t="str">
        <f t="shared" si="39"/>
        <v>4011/4012</v>
      </c>
      <c r="L115" s="21" t="str">
        <f>VLOOKUP(A115,'Trips&amp;Operators'!$C$1:$G$99911,5,FALSE)</f>
        <v>MCREYNOLDS KYLE</v>
      </c>
      <c r="M115" s="6">
        <f t="shared" si="40"/>
        <v>2.6770833334012423E-2</v>
      </c>
      <c r="N115" s="7">
        <f t="shared" si="41"/>
        <v>38.550000000977889</v>
      </c>
      <c r="O115" s="7"/>
      <c r="P115" s="7"/>
      <c r="Q115" s="22"/>
      <c r="R115" s="170"/>
      <c r="S115" s="213">
        <f t="shared" si="42"/>
        <v>1</v>
      </c>
      <c r="T115" s="195" t="str">
        <f t="shared" si="43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44"/>
        <v>https://d0f6bd738d7f1b3e5a7ca70fe4ff75f0.us-east-1.aws.found.io/app/kibana#/discover/Steve-Slow-Train-Analysis-(2080s-and-2083s)?_g=(refreshInterval:(display:Off,pause:!f,section:0,value:0),time:(from:'2017-08-20T15:11:22-0600',mode:absolute,to:'2017-08-20T17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197" t="str">
        <f>IF(AA115&lt;VLOOKUP(AG115,Variables!$AC$3:$AD$8,2,FALSE),"Y","N")</f>
        <v>N</v>
      </c>
      <c r="X115" s="197">
        <f t="shared" si="45"/>
        <v>1</v>
      </c>
      <c r="Y115" s="197">
        <f t="shared" si="46"/>
        <v>4.4699999999999997E-2</v>
      </c>
      <c r="Z115" s="197">
        <f t="shared" si="47"/>
        <v>23.337199999999999</v>
      </c>
      <c r="AA115" s="197">
        <f t="shared" si="48"/>
        <v>23.2925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6">
        <f t="shared" si="49"/>
        <v>201</v>
      </c>
      <c r="AE115" s="77" t="str">
        <f t="shared" si="50"/>
        <v>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 &amp; aws s3 cp s3://rtdc.mdm.uploadarchive.raw/RTDC4012/ "%USERPROFILE%\AppData\Local\Temp\OnboardLogs"\RTDC4012\2017-08-21 --exclude "*" --recursive --include "*20170821*" &amp; "%USERPROFILE%\Documents\GitHub\mrs-test-scripts\Headless Mode &amp; Sideloading\WalkAndUnGZ.bat" "%USERPROFILE%\AppData\Local\Temp\OnboardLogs"\RTDC4012\2017-08-21</v>
      </c>
      <c r="AF115" s="74" t="str">
        <f t="shared" si="51"/>
        <v>"C:\Program Files (x86)\AstroGrep\AstroGrep.exe" /e /r /s /spath="%USERPROFILE%\AppData\Local\Temp\OnboardLogs" /stypes="app*4012*20170820*" /stext=" 22:.+((SYSTEM_STATE.+slice.+state.+changed )|(ment ac)|(multiple cpu faults)|(system.+state.+changed )|(\[timeout)|(PRM\|1\|D)|(kpr)|(kdp)|(train st.+moving)|(\|lc)|(penalty))"</v>
      </c>
      <c r="AG115" s="209" t="str">
        <f t="shared" si="52"/>
        <v>EC</v>
      </c>
      <c r="AH115" s="78" t="str">
        <f t="shared" si="53"/>
        <v>"%USERPROFILE%\Documents\GitHub\eaglep3\Utilities\RefineRTDCRunTimes.py" --tripid 201-20 --locoid 4012 --swversion DE.1.0.9.0 --startMP 204:447 --initTime 2017-08-20T16:11:22 --startdatetime 2017-08-20T16:15:45 --delay 1 --endMP 204:233372 --enddatetime 2017-08-20T16:54:18 --enforcementcount 0 &gt;&gt;C:\Users\stu\Documents\GitHub\eaglep3-reporting\EC\2017-08-20-refined-times.txt</v>
      </c>
      <c r="AI115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{"issue":{"subject":"","project_id":79,"tracker_id":40,"status_id":1,"priority_id":2,"assigned_to_id":23,"start_date":"2017-08-20","description":"","custom_fields":[{"id":1,"name":"Subdivision","value":"EC"},{"id":4,"name":"Milepost","value":"23.3372"},{"id":17,"name":"Train ID","value":"201-20"},{"id":16,"name":"Locomotive ID","value":"4012"},{"id":130,"name":"Impact","value":""},{"id":150,"name":"Time of Event (Mountain Time)","value":"16:54:18"},{"id":151,"name":"Denver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5"/>
        <v>start /low /b %USERPROFILE%\Documents\GitHub\eaglep3\Utilities\DownloadLogsFromS3.py --loco 4012 --day 2017-08-20</v>
      </c>
      <c r="AN115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717</v>
      </c>
      <c r="B116" s="7">
        <v>4011</v>
      </c>
      <c r="C116" s="21" t="s">
        <v>198</v>
      </c>
      <c r="D116" s="21" t="s">
        <v>441</v>
      </c>
      <c r="E116" s="13">
        <v>42967.717905092592</v>
      </c>
      <c r="F116" s="13">
        <v>42967.713043981479</v>
      </c>
      <c r="G116" s="7">
        <v>1</v>
      </c>
      <c r="H116" s="21" t="s">
        <v>387</v>
      </c>
      <c r="I116" s="13">
        <v>42967.745509259257</v>
      </c>
      <c r="J116" s="7">
        <v>0</v>
      </c>
      <c r="K116" s="89" t="str">
        <f t="shared" si="39"/>
        <v>4011/4012</v>
      </c>
      <c r="L116" s="21" t="str">
        <f>VLOOKUP(A116,'Trips&amp;Operators'!$C$1:$G$99911,5,FALSE)</f>
        <v>MCREYNOLDS KYLE</v>
      </c>
      <c r="M116" s="6">
        <f t="shared" si="40"/>
        <v>3.2465277778101154E-2</v>
      </c>
      <c r="N116" s="7">
        <f t="shared" si="41"/>
        <v>46.750000000465661</v>
      </c>
      <c r="O116" s="7"/>
      <c r="P116" s="7"/>
      <c r="Q116" s="22"/>
      <c r="R116" s="170" t="s">
        <v>935</v>
      </c>
      <c r="S116" s="213">
        <f t="shared" si="42"/>
        <v>1</v>
      </c>
      <c r="T116" s="195" t="str">
        <f t="shared" si="43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44"/>
        <v>https://d0f6bd738d7f1b3e5a7ca70fe4ff75f0.us-east-1.aws.found.io/app/kibana#/discover/Steve-Slow-Train-Analysis-(2080s-and-2083s)?_g=(refreshInterval:(display:Off,pause:!f,section:0,value:0),time:(from:'2017-08-20T16:13:47-0600',mode:absolute,to:'2017-08-20T18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46"/>
        <v>23.302299999999999</v>
      </c>
      <c r="Z116" s="197">
        <f t="shared" si="47"/>
        <v>1.52E-2</v>
      </c>
      <c r="AA116" s="197">
        <f t="shared" si="48"/>
        <v>23.287099999999999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6">
        <f t="shared" si="49"/>
        <v>202</v>
      </c>
      <c r="AE116" s="77" t="str">
        <f t="shared" si="50"/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AF116" s="74" t="str">
        <f t="shared" si="51"/>
        <v>"C:\Program Files (x86)\AstroGrep\AstroGrep.exe" /e /r /s /spath="%USERPROFILE%\AppData\Local\Temp\OnboardLogs" /stypes="app*4011*20170820*" /stext=" 23:.+((SYSTEM_STATE.+slice.+state.+changed )|(ment ac)|(multiple cpu faults)|(system.+state.+changed )|(\[timeout)|(PRM\|1\|D)|(kpr)|(kdp)|(train st.+moving)|(\|lc)|(penalty))"</v>
      </c>
      <c r="AG116" s="209" t="str">
        <f t="shared" si="52"/>
        <v>EC</v>
      </c>
      <c r="AH116" s="78" t="str">
        <f t="shared" si="53"/>
        <v>"%USERPROFILE%\Documents\GitHub\eaglep3\Utilities\RefineRTDCRunTimes.py" --tripid 202-20 --locoid 4011 --swversion DE.1.0.9.0 --startMP 204:233023 --initTime 2017-08-20T17:13:47 --startdatetime 2017-08-20T17:06:47 --delay 1 --endMP 204:152 --enddatetime 2017-08-20T17:53:32 --enforcementcount 0 &gt;&gt;C:\Users\stu\Documents\GitHub\eaglep3-reporting\EC\2017-08-20-refined-times.txt</v>
      </c>
      <c r="AI116" s="96" t="str">
        <f t="shared" si="54"/>
        <v>echo {"issue":{"subject":"Delayed by onboard in-route failure","project_id":79,"tracker_id":40,"status_id":1,"priority_id":2,"assigned_to_id":23,"start_date":"2017-08-20","description":"","custom_fields":[{"id":1,"name":"Subdivision","value":"EC"},{"id":4,"name":"Milepost","value":"0.0152"},{"id":17,"name":"Train ID","value":"202-20"},{"id":16,"name":"Locomotive ID","value":"4011"},{"id":130,"name":"Impact","value":""},{"id":150,"name":"Time of Event (Mountain Time)","value":"17:53:32"},{"id":151,"name":"Denver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5"/>
        <v>start /low /b %USERPROFILE%\Documents\GitHub\eaglep3\Utilities\DownloadLogsFromS3.py --loco 4011 --day 2017-08-20</v>
      </c>
      <c r="AN116" s="151" t="str">
        <f t="shared" si="56"/>
        <v>echo {"issue":{"subject":"Delayed by onboard in-route failure","project_id":30,"tracker_id":4,"status_id":1,"priority_id":1,"assigned_to_id":10,"start_date":"2017-08-20","description":"","custom_fields":[{"id":30,"name":"Category","value":"Issue"},{"id":3,"name":"Functional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712</v>
      </c>
      <c r="B117" s="7">
        <v>4058</v>
      </c>
      <c r="C117" s="21" t="s">
        <v>198</v>
      </c>
      <c r="D117" s="21" t="s">
        <v>415</v>
      </c>
      <c r="E117" s="13">
        <v>42967.690081018518</v>
      </c>
      <c r="F117" s="13">
        <v>42967.691250000003</v>
      </c>
      <c r="G117" s="7">
        <v>0</v>
      </c>
      <c r="H117" s="21" t="s">
        <v>868</v>
      </c>
      <c r="I117" s="13">
        <v>42967.721435185187</v>
      </c>
      <c r="J117" s="7">
        <v>0</v>
      </c>
      <c r="K117" s="89" t="str">
        <f t="shared" si="39"/>
        <v>4057/4058</v>
      </c>
      <c r="L117" s="21" t="str">
        <f>VLOOKUP(A117,'Trips&amp;Operators'!$C$1:$G$99911,5,FALSE)</f>
        <v>DAVIS MICHAEL</v>
      </c>
      <c r="M117" s="6">
        <f t="shared" si="40"/>
        <v>3.0185185183654539E-2</v>
      </c>
      <c r="N117" s="7">
        <f t="shared" si="41"/>
        <v>43.466666664462537</v>
      </c>
      <c r="O117" s="7"/>
      <c r="P117" s="7"/>
      <c r="Q117" s="22"/>
      <c r="R117" s="170"/>
      <c r="S117" s="213">
        <f t="shared" si="42"/>
        <v>1</v>
      </c>
      <c r="T117" s="195" t="str">
        <f t="shared" si="43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44"/>
        <v>https://d0f6bd738d7f1b3e5a7ca70fe4ff75f0.us-east-1.aws.found.io/app/kibana#/discover/Steve-Slow-Train-Analysis-(2080s-and-2083s)?_g=(refreshInterval:(display:Off,pause:!f,section:0,value:0),time:(from:'2017-08-20T15:33:43-0600',mode:absolute,to:'2017-08-20T18:18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46"/>
        <v>4.7100000000000003E-2</v>
      </c>
      <c r="Z117" s="197">
        <f t="shared" si="47"/>
        <v>23.342099999999999</v>
      </c>
      <c r="AA117" s="197">
        <f t="shared" si="48"/>
        <v>23.294999999999998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 t="shared" si="49"/>
        <v>203</v>
      </c>
      <c r="AE117" s="77" t="str">
        <f t="shared" si="50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117" s="74" t="str">
        <f t="shared" si="51"/>
        <v>"C:\Program Files (x86)\AstroGrep\AstroGrep.exe" /e /r /s /spath="%USERPROFILE%\AppData\Local\Temp\OnboardLogs" /stypes="app*4058*20170820*" /stext=" 23:.+((SYSTEM_STATE.+slice.+state.+changed )|(ment ac)|(multiple cpu faults)|(system.+state.+changed )|(\[timeout)|(PRM\|1\|D)|(kpr)|(kdp)|(train st.+moving)|(\|lc)|(penalty))"</v>
      </c>
      <c r="AG117" s="209" t="str">
        <f t="shared" si="52"/>
        <v>EC</v>
      </c>
      <c r="AH117" s="78" t="str">
        <f t="shared" si="53"/>
        <v>"%USERPROFILE%\Documents\GitHub\eaglep3\Utilities\RefineRTDCRunTimes.py" --tripid 203-20 --locoid 4058 --swversion DE.1.0.9.0 --startMP 204:471 --initTime 2017-08-20T16:33:43 --startdatetime 2017-08-20T16:35:24 --delay 0 --endMP 204:233421 --enddatetime 2017-08-20T17:18:52 --enforcementcount 0 &gt;&gt;C:\Users\stu\Documents\GitHub\eaglep3-reporting\EC\2017-08-20-refined-times.txt</v>
      </c>
      <c r="AI117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{"issue":{"subject":"","project_id":79,"tracker_id":40,"status_id":1,"priority_id":2,"assigned_to_id":23,"start_date":"2017-08-20","description":"","custom_fields":[{"id":1,"name":"Subdivision","value":"EC"},{"id":4,"name":"Milepost","value":"23.3421"},{"id":17,"name":"Train ID","value":"203-20"},{"id":16,"name":"Locomotive ID","value":"4058"},{"id":130,"name":"Impact","value":""},{"id":150,"name":"Time of Event (Mountain Time)","value":"17:18:52"},{"id":151,"name":"Denver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5"/>
        <v>start /low /b %USERPROFILE%\Documents\GitHub\eaglep3\Utilities\DownloadLogsFromS3.py --loco 4058 --day 2017-08-20</v>
      </c>
      <c r="AN117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557</v>
      </c>
      <c r="B118" s="7">
        <v>4057</v>
      </c>
      <c r="C118" s="21" t="s">
        <v>198</v>
      </c>
      <c r="D118" s="21" t="s">
        <v>506</v>
      </c>
      <c r="E118" s="13">
        <v>42967.725729166668</v>
      </c>
      <c r="F118" s="13">
        <v>42967.728101851855</v>
      </c>
      <c r="G118" s="7">
        <v>2</v>
      </c>
      <c r="H118" s="21" t="s">
        <v>869</v>
      </c>
      <c r="I118" s="13">
        <v>42967.756203703706</v>
      </c>
      <c r="J118" s="7">
        <v>0</v>
      </c>
      <c r="K118" s="89" t="str">
        <f t="shared" si="39"/>
        <v>4057/4058</v>
      </c>
      <c r="L118" s="21" t="str">
        <f>VLOOKUP(A118,'Trips&amp;Operators'!$C$1:$G$99911,5,FALSE)</f>
        <v>DAVIS MICHAEL</v>
      </c>
      <c r="M118" s="6">
        <f t="shared" si="40"/>
        <v>2.810185185080627E-2</v>
      </c>
      <c r="N118" s="7">
        <f t="shared" si="41"/>
        <v>40.466666665161029</v>
      </c>
      <c r="O118" s="7"/>
      <c r="P118" s="7"/>
      <c r="Q118" s="22"/>
      <c r="R118" s="170"/>
      <c r="S118" s="213">
        <f t="shared" si="42"/>
        <v>1</v>
      </c>
      <c r="T118" s="195" t="str">
        <f t="shared" si="43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44"/>
        <v>https://d0f6bd738d7f1b3e5a7ca70fe4ff75f0.us-east-1.aws.found.io/app/kibana#/discover/Steve-Slow-Train-Analysis-(2080s-and-2083s)?_g=(refreshInterval:(display:Off,pause:!f,section:0,value:0),time:(from:'2017-08-20T16:25:03-0600',mode:absolute,to:'2017-08-20T19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8" s="197" t="str">
        <f>IF(AA118&lt;VLOOKUP(AG118,Variables!$AC$3:$AD$8,2,FALSE),"Y","N")</f>
        <v>N</v>
      </c>
      <c r="X118" s="197">
        <f t="shared" si="45"/>
        <v>1</v>
      </c>
      <c r="Y118" s="197">
        <f t="shared" si="46"/>
        <v>23.305499999999999</v>
      </c>
      <c r="Z118" s="197">
        <f t="shared" si="47"/>
        <v>1.7399999999999999E-2</v>
      </c>
      <c r="AA118" s="197">
        <f t="shared" si="48"/>
        <v>23.2881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 t="shared" si="49"/>
        <v>204</v>
      </c>
      <c r="AE118" s="77" t="str">
        <f t="shared" si="50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118" s="74" t="str">
        <f t="shared" si="51"/>
        <v>"C:\Program Files (x86)\AstroGrep\AstroGrep.exe" /e /r /s /spath="%USERPROFILE%\AppData\Local\Temp\OnboardLogs" /stypes="app*4057*20170821*" /stext=" 00:.+((SYSTEM_STATE.+slice.+state.+changed )|(ment ac)|(multiple cpu faults)|(system.+state.+changed )|(\[timeout)|(PRM\|1\|D)|(kpr)|(kdp)|(train st.+moving)|(\|lc)|(penalty))"</v>
      </c>
      <c r="AG118" s="209" t="str">
        <f t="shared" si="52"/>
        <v>EC</v>
      </c>
      <c r="AH118" s="78" t="str">
        <f t="shared" si="53"/>
        <v>"%USERPROFILE%\Documents\GitHub\eaglep3\Utilities\RefineRTDCRunTimes.py" --tripid 204-20 --locoid 4057 --swversion DE.1.0.9.0 --startMP 204:233055 --initTime 2017-08-20T17:25:03 --startdatetime 2017-08-20T17:28:28 --delay 2 --endMP 204:174 --enddatetime 2017-08-20T18:08:56 --enforcementcount 0 &gt;&gt;C:\Users\stu\Documents\GitHub\eaglep3-reporting\EC\2017-08-20-refined-times.txt</v>
      </c>
      <c r="AI118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{"issue":{"subject":"","project_id":79,"tracker_id":40,"status_id":1,"priority_id":2,"assigned_to_id":23,"start_date":"2017-08-20","description":"","custom_fields":[{"id":1,"name":"Subdivision","value":"EC"},{"id":4,"name":"Milepost","value":"0.0174"},{"id":17,"name":"Train ID","value":"204-20"},{"id":16,"name":"Locomotive ID","value":"4057"},{"id":130,"name":"Impact","value":""},{"id":150,"name":"Time of Event (Mountain Time)","value":"18:08:56"},{"id":151,"name":"Denver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5"/>
        <v>start /low /b %USERPROFILE%\Documents\GitHub\eaglep3\Utilities\DownloadLogsFromS3.py --loco 4057 --day 2017-08-20</v>
      </c>
      <c r="AN118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715</v>
      </c>
      <c r="B119" s="7">
        <v>4018</v>
      </c>
      <c r="C119" s="21" t="s">
        <v>198</v>
      </c>
      <c r="D119" s="21" t="s">
        <v>432</v>
      </c>
      <c r="E119" s="13">
        <v>42967.699097222219</v>
      </c>
      <c r="F119" s="13">
        <v>42967.700439814813</v>
      </c>
      <c r="G119" s="7">
        <v>1</v>
      </c>
      <c r="H119" s="21" t="s">
        <v>870</v>
      </c>
      <c r="I119" s="13">
        <v>42967.726643518516</v>
      </c>
      <c r="J119" s="7">
        <v>0</v>
      </c>
      <c r="K119" s="89" t="str">
        <f t="shared" si="39"/>
        <v>4017/4018</v>
      </c>
      <c r="L119" s="21" t="str">
        <f>VLOOKUP(A119,'Trips&amp;Operators'!$C$1:$G$99911,5,FALSE)</f>
        <v>THOMPSON LESTER</v>
      </c>
      <c r="M119" s="6">
        <f t="shared" si="40"/>
        <v>2.6203703702776693E-2</v>
      </c>
      <c r="N119" s="7">
        <f t="shared" si="41"/>
        <v>37.733333331998438</v>
      </c>
      <c r="O119" s="7"/>
      <c r="P119" s="7"/>
      <c r="Q119" s="22"/>
      <c r="R119" s="170"/>
      <c r="S119" s="213">
        <f t="shared" si="42"/>
        <v>1</v>
      </c>
      <c r="T119" s="195" t="str">
        <f t="shared" si="43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44"/>
        <v>https://d0f6bd738d7f1b3e5a7ca70fe4ff75f0.us-east-1.aws.found.io/app/kibana#/discover/Steve-Slow-Train-Analysis-(2080s-and-2083s)?_g=(refreshInterval:(display:Off,pause:!f,section:0,value:0),time:(from:'2017-08-20T15:46:42-0600',mode:absolute,to:'2017-08-20T18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197" t="str">
        <f>IF(AA119&lt;VLOOKUP(AG119,Variables!$AC$3:$AD$8,2,FALSE),"Y","N")</f>
        <v>N</v>
      </c>
      <c r="X119" s="197">
        <f t="shared" si="45"/>
        <v>1</v>
      </c>
      <c r="Y119" s="197">
        <f t="shared" si="46"/>
        <v>4.6899999999999997E-2</v>
      </c>
      <c r="Z119" s="197">
        <f t="shared" si="47"/>
        <v>23.334700000000002</v>
      </c>
      <c r="AA119" s="197">
        <f t="shared" si="48"/>
        <v>23.287800000000001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6">
        <f t="shared" si="49"/>
        <v>205</v>
      </c>
      <c r="AE119" s="77" t="str">
        <f t="shared" si="50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119" s="74" t="str">
        <f t="shared" si="51"/>
        <v>"C:\Program Files (x86)\AstroGrep\AstroGrep.exe" /e /r /s /spath="%USERPROFILE%\AppData\Local\Temp\OnboardLogs" /stypes="app*4018*20170820*" /stext=" 23:.+((SYSTEM_STATE.+slice.+state.+changed )|(ment ac)|(multiple cpu faults)|(system.+state.+changed )|(\[timeout)|(PRM\|1\|D)|(kpr)|(kdp)|(train st.+moving)|(\|lc)|(penalty))"</v>
      </c>
      <c r="AG119" s="209" t="str">
        <f t="shared" si="52"/>
        <v>EC</v>
      </c>
      <c r="AH119" s="78" t="str">
        <f t="shared" si="53"/>
        <v>"%USERPROFILE%\Documents\GitHub\eaglep3\Utilities\RefineRTDCRunTimes.py" --tripid 205-20 --locoid 4018 --swversion DE.1.0.9.0 --startMP 204:469 --initTime 2017-08-20T16:46:42 --startdatetime 2017-08-20T16:48:38 --delay 1 --endMP 204:233347 --enddatetime 2017-08-20T17:26:22 --enforcementcount 0 &gt;&gt;C:\Users\stu\Documents\GitHub\eaglep3-reporting\EC\2017-08-20-refined-times.txt</v>
      </c>
      <c r="AI119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{"issue":{"subject":"","project_id":79,"tracker_id":40,"status_id":1,"priority_id":2,"assigned_to_id":23,"start_date":"2017-08-20","description":"","custom_fields":[{"id":1,"name":"Subdivision","value":"EC"},{"id":4,"name":"Milepost","value":"23.3347"},{"id":17,"name":"Train ID","value":"205-20"},{"id":16,"name":"Locomotive ID","value":"4018"},{"id":130,"name":"Impact","value":""},{"id":150,"name":"Time of Event (Mountain Time)","value":"17:26:22"},{"id":151,"name":"Denver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5"/>
        <v>start /low /b %USERPROFILE%\Documents\GitHub\eaglep3\Utilities\DownloadLogsFromS3.py --loco 4018 --day 2017-08-20</v>
      </c>
      <c r="AN119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553</v>
      </c>
      <c r="B120" s="7">
        <v>4017</v>
      </c>
      <c r="C120" s="21" t="s">
        <v>198</v>
      </c>
      <c r="D120" s="21" t="s">
        <v>855</v>
      </c>
      <c r="E120" s="13">
        <v>42967.735138888886</v>
      </c>
      <c r="F120" s="13">
        <v>42967.737719907411</v>
      </c>
      <c r="G120" s="7">
        <v>1</v>
      </c>
      <c r="H120" s="21" t="s">
        <v>341</v>
      </c>
      <c r="I120" s="13">
        <v>42967.765439814815</v>
      </c>
      <c r="J120" s="7">
        <v>0</v>
      </c>
      <c r="K120" s="89" t="str">
        <f t="shared" si="39"/>
        <v>4017/4018</v>
      </c>
      <c r="L120" s="21" t="str">
        <f>VLOOKUP(A120,'Trips&amp;Operators'!$C$1:$G$99911,5,FALSE)</f>
        <v>THOMPSON LESTER</v>
      </c>
      <c r="M120" s="6">
        <f t="shared" si="40"/>
        <v>2.7719907404389232E-2</v>
      </c>
      <c r="N120" s="7">
        <f t="shared" si="41"/>
        <v>39.916666662320495</v>
      </c>
      <c r="O120" s="7"/>
      <c r="P120" s="7"/>
      <c r="Q120" s="22"/>
      <c r="R120" s="170"/>
      <c r="S120" s="213">
        <f t="shared" si="42"/>
        <v>1</v>
      </c>
      <c r="T120" s="195" t="str">
        <f t="shared" si="43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44"/>
        <v>https://d0f6bd738d7f1b3e5a7ca70fe4ff75f0.us-east-1.aws.found.io/app/kibana#/discover/Steve-Slow-Train-Analysis-(2080s-and-2083s)?_g=(refreshInterval:(display:Off,pause:!f,section:0,value:0),time:(from:'2017-08-20T16:38:36-0600',mode:absolute,to:'2017-08-20T19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197" t="str">
        <f>IF(AA120&lt;VLOOKUP(AG120,Variables!$AC$3:$AD$8,2,FALSE),"Y","N")</f>
        <v>N</v>
      </c>
      <c r="X120" s="197">
        <f t="shared" si="45"/>
        <v>1</v>
      </c>
      <c r="Y120" s="197">
        <f t="shared" si="46"/>
        <v>23.303799999999999</v>
      </c>
      <c r="Z120" s="197">
        <f t="shared" si="47"/>
        <v>1.49E-2</v>
      </c>
      <c r="AA120" s="197">
        <f t="shared" si="48"/>
        <v>23.288899999999998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 t="shared" si="49"/>
        <v>206</v>
      </c>
      <c r="AE120" s="77" t="str">
        <f t="shared" si="50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120" s="74" t="str">
        <f t="shared" si="51"/>
        <v>"C:\Program Files (x86)\AstroGrep\AstroGrep.exe" /e /r /s /spath="%USERPROFILE%\AppData\Local\Temp\OnboardLogs" /stypes="app*4017*20170821*" /stext=" 00:.+((SYSTEM_STATE.+slice.+state.+changed )|(ment ac)|(multiple cpu faults)|(system.+state.+changed )|(\[timeout)|(PRM\|1\|D)|(kpr)|(kdp)|(train st.+moving)|(\|lc)|(penalty))"</v>
      </c>
      <c r="AG120" s="209" t="str">
        <f t="shared" si="52"/>
        <v>EC</v>
      </c>
      <c r="AH120" s="78" t="str">
        <f t="shared" si="53"/>
        <v>"%USERPROFILE%\Documents\GitHub\eaglep3\Utilities\RefineRTDCRunTimes.py" --tripid 206-20 --locoid 4017 --swversion DE.1.0.9.0 --startMP 204:233038 --initTime 2017-08-20T17:38:36 --startdatetime 2017-08-20T17:42:19 --delay 1 --endMP 204:149 --enddatetime 2017-08-20T18:22:14 --enforcementcount 0 &gt;&gt;C:\Users\stu\Documents\GitHub\eaglep3-reporting\EC\2017-08-20-refined-times.txt</v>
      </c>
      <c r="AI120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{"issue":{"subject":"","project_id":79,"tracker_id":40,"status_id":1,"priority_id":2,"assigned_to_id":23,"start_date":"2017-08-20","description":"","custom_fields":[{"id":1,"name":"Subdivision","value":"EC"},{"id":4,"name":"Milepost","value":"0.0149"},{"id":17,"name":"Train ID","value":"206-20"},{"id":16,"name":"Locomotive ID","value":"4017"},{"id":130,"name":"Impact","value":""},{"id":150,"name":"Time of Event (Mountain Time)","value":"18:22:14"},{"id":151,"name":"Denver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5"/>
        <v>start /low /b %USERPROFILE%\Documents\GitHub\eaglep3\Utilities\DownloadLogsFromS3.py --loco 4017 --day 2017-08-20</v>
      </c>
      <c r="AN120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716</v>
      </c>
      <c r="B121" s="7">
        <v>4014</v>
      </c>
      <c r="C121" s="21" t="s">
        <v>198</v>
      </c>
      <c r="D121" s="21" t="s">
        <v>394</v>
      </c>
      <c r="E121" s="13">
        <v>42967.705636574072</v>
      </c>
      <c r="F121" s="13">
        <v>42967.708865740744</v>
      </c>
      <c r="G121" s="7">
        <v>1</v>
      </c>
      <c r="H121" s="21" t="s">
        <v>435</v>
      </c>
      <c r="I121" s="13">
        <v>42967.733912037038</v>
      </c>
      <c r="J121" s="7">
        <v>0</v>
      </c>
      <c r="K121" s="89" t="str">
        <f t="shared" si="39"/>
        <v>4013/4014</v>
      </c>
      <c r="L121" s="21" t="str">
        <f>VLOOKUP(A121,'Trips&amp;Operators'!$C$1:$G$99911,5,FALSE)</f>
        <v>BRUDER RICHARD</v>
      </c>
      <c r="M121" s="6">
        <f t="shared" si="40"/>
        <v>2.5046296294021886E-2</v>
      </c>
      <c r="N121" s="7">
        <f t="shared" si="41"/>
        <v>36.066666663391516</v>
      </c>
      <c r="O121" s="7"/>
      <c r="P121" s="7"/>
      <c r="Q121" s="22"/>
      <c r="R121" s="170"/>
      <c r="S121" s="213">
        <f t="shared" si="42"/>
        <v>1</v>
      </c>
      <c r="T121" s="195" t="str">
        <f t="shared" si="43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44"/>
        <v>https://d0f6bd738d7f1b3e5a7ca70fe4ff75f0.us-east-1.aws.found.io/app/kibana#/discover/Steve-Slow-Train-Analysis-(2080s-and-2083s)?_g=(refreshInterval:(display:Off,pause:!f,section:0,value:0),time:(from:'2017-08-20T15:56:07-0600',mode:absolute,to:'2017-08-20T18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197" t="str">
        <f>IF(AA121&lt;VLOOKUP(AG121,Variables!$AC$3:$AD$8,2,FALSE),"Y","N")</f>
        <v>N</v>
      </c>
      <c r="X121" s="197">
        <f t="shared" si="45"/>
        <v>1</v>
      </c>
      <c r="Y121" s="197">
        <f t="shared" si="46"/>
        <v>4.6399999999999997E-2</v>
      </c>
      <c r="Z121" s="197">
        <f t="shared" si="47"/>
        <v>23.329499999999999</v>
      </c>
      <c r="AA121" s="197">
        <f t="shared" si="48"/>
        <v>23.283100000000001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6">
        <f t="shared" si="49"/>
        <v>207</v>
      </c>
      <c r="AE121" s="77" t="str">
        <f t="shared" si="50"/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121" s="74" t="str">
        <f t="shared" si="51"/>
        <v>"C:\Program Files (x86)\AstroGrep\AstroGrep.exe" /e /r /s /spath="%USERPROFILE%\AppData\Local\Temp\OnboardLogs" /stypes="app*4014*20170820*" /stext=" 23:.+((SYSTEM_STATE.+slice.+state.+changed )|(ment ac)|(multiple cpu faults)|(system.+state.+changed )|(\[timeout)|(PRM\|1\|D)|(kpr)|(kdp)|(train st.+moving)|(\|lc)|(penalty))"</v>
      </c>
      <c r="AG121" s="209" t="str">
        <f t="shared" si="52"/>
        <v>EC</v>
      </c>
      <c r="AH121" s="78" t="str">
        <f t="shared" si="53"/>
        <v>"%USERPROFILE%\Documents\GitHub\eaglep3\Utilities\RefineRTDCRunTimes.py" --tripid 207-20 --locoid 4014 --swversion DE.1.0.9.0 --startMP 204:464 --initTime 2017-08-20T16:56:07 --startdatetime 2017-08-20T17:00:46 --delay 1 --endMP 204:233295 --enddatetime 2017-08-20T17:36:50 --enforcementcount 0 &gt;&gt;C:\Users\stu\Documents\GitHub\eaglep3-reporting\EC\2017-08-20-refined-times.txt</v>
      </c>
      <c r="AI121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{"issue":{"subject":"","project_id":79,"tracker_id":40,"status_id":1,"priority_id":2,"assigned_to_id":23,"start_date":"2017-08-20","description":"","custom_fields":[{"id":1,"name":"Subdivision","value":"EC"},{"id":4,"name":"Milepost","value":"23.3295"},{"id":17,"name":"Train ID","value":"207-20"},{"id":16,"name":"Locomotive ID","value":"4014"},{"id":130,"name":"Impact","value":""},{"id":150,"name":"Time of Event (Mountain Time)","value":"17:36:50"},{"id":151,"name":"Denver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5"/>
        <v>start /low /b %USERPROFILE%\Documents\GitHub\eaglep3\Utilities\DownloadLogsFromS3.py --loco 4014 --day 2017-08-20</v>
      </c>
      <c r="AN121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559</v>
      </c>
      <c r="B122" s="7">
        <v>4013</v>
      </c>
      <c r="C122" s="21" t="s">
        <v>198</v>
      </c>
      <c r="D122" s="21" t="s">
        <v>488</v>
      </c>
      <c r="E122" s="13">
        <v>42967.745868055557</v>
      </c>
      <c r="F122" s="13">
        <v>42967.748136574075</v>
      </c>
      <c r="G122" s="7">
        <v>2</v>
      </c>
      <c r="H122" s="21" t="s">
        <v>871</v>
      </c>
      <c r="I122" s="13">
        <v>42967.775416666664</v>
      </c>
      <c r="J122" s="7">
        <v>0</v>
      </c>
      <c r="K122" s="89" t="str">
        <f t="shared" si="39"/>
        <v>4013/4014</v>
      </c>
      <c r="L122" s="21" t="str">
        <f>VLOOKUP(A122,'Trips&amp;Operators'!$C$1:$G$99911,5,FALSE)</f>
        <v>BRUDER RICHARD</v>
      </c>
      <c r="M122" s="6">
        <f t="shared" si="40"/>
        <v>2.7280092588625848E-2</v>
      </c>
      <c r="N122" s="7">
        <f t="shared" si="41"/>
        <v>39.283333327621222</v>
      </c>
      <c r="O122" s="7"/>
      <c r="P122" s="7"/>
      <c r="Q122" s="22"/>
      <c r="R122" s="170"/>
      <c r="S122" s="213">
        <f t="shared" si="42"/>
        <v>1</v>
      </c>
      <c r="T122" s="195" t="str">
        <f t="shared" si="43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44"/>
        <v>https://d0f6bd738d7f1b3e5a7ca70fe4ff75f0.us-east-1.aws.found.io/app/kibana#/discover/Steve-Slow-Train-Analysis-(2080s-and-2083s)?_g=(refreshInterval:(display:Off,pause:!f,section:0,value:0),time:(from:'2017-08-20T16:54:03-0600',mode:absolute,to:'2017-08-20T19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197" t="str">
        <f>IF(AA122&lt;VLOOKUP(AG122,Variables!$AC$3:$AD$8,2,FALSE),"Y","N")</f>
        <v>N</v>
      </c>
      <c r="X122" s="197">
        <f t="shared" si="45"/>
        <v>1</v>
      </c>
      <c r="Y122" s="197">
        <f t="shared" si="46"/>
        <v>23.299299999999999</v>
      </c>
      <c r="Z122" s="197">
        <f t="shared" si="47"/>
        <v>7.1999999999999998E-3</v>
      </c>
      <c r="AA122" s="197">
        <f t="shared" si="48"/>
        <v>23.292099999999998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 t="shared" si="49"/>
        <v>208</v>
      </c>
      <c r="AE122" s="77" t="str">
        <f t="shared" si="50"/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AF122" s="74" t="str">
        <f t="shared" si="51"/>
        <v>"C:\Program Files (x86)\AstroGrep\AstroGrep.exe" /e /r /s /spath="%USERPROFILE%\AppData\Local\Temp\OnboardLogs" /stypes="app*4013*20170821*" /stext=" 00:.+((SYSTEM_STATE.+slice.+state.+changed )|(ment ac)|(multiple cpu faults)|(system.+state.+changed )|(\[timeout)|(PRM\|1\|D)|(kpr)|(kdp)|(train st.+moving)|(\|lc)|(penalty))"</v>
      </c>
      <c r="AG122" s="209" t="str">
        <f t="shared" si="52"/>
        <v>EC</v>
      </c>
      <c r="AH122" s="78" t="str">
        <f t="shared" si="53"/>
        <v>"%USERPROFILE%\Documents\GitHub\eaglep3\Utilities\RefineRTDCRunTimes.py" --tripid 208-20 --locoid 4013 --swversion DE.1.0.9.0 --startMP 204:232993 --initTime 2017-08-20T17:54:03 --startdatetime 2017-08-20T17:57:19 --delay 2 --endMP 204:72 --enddatetime 2017-08-20T18:36:36 --enforcementcount 0 &gt;&gt;C:\Users\stu\Documents\GitHub\eaglep3-reporting\EC\2017-08-20-refined-times.txt</v>
      </c>
      <c r="AI122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{"issue":{"subject":"","project_id":79,"tracker_id":40,"status_id":1,"priority_id":2,"assigned_to_id":23,"start_date":"2017-08-20","description":"","custom_fields":[{"id":1,"name":"Subdivision","value":"EC"},{"id":4,"name":"Milepost","value":"0.0072"},{"id":17,"name":"Train ID","value":"208-20"},{"id":16,"name":"Locomotive ID","value":"4013"},{"id":130,"name":"Impact","value":""},{"id":150,"name":"Time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5"/>
        <v>start /low /b %USERPROFILE%\Documents\GitHub\eaglep3\Utilities\DownloadLogsFromS3.py --loco 4013 --day 2017-08-20</v>
      </c>
      <c r="AN122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719</v>
      </c>
      <c r="B123" s="7">
        <v>4006</v>
      </c>
      <c r="C123" s="21" t="s">
        <v>198</v>
      </c>
      <c r="D123" s="21" t="s">
        <v>388</v>
      </c>
      <c r="E123" s="13">
        <v>42967.719143518516</v>
      </c>
      <c r="F123" s="13">
        <v>42967.720381944448</v>
      </c>
      <c r="G123" s="7">
        <v>1</v>
      </c>
      <c r="H123" s="21" t="s">
        <v>445</v>
      </c>
      <c r="I123" s="13">
        <v>42967.745428240742</v>
      </c>
      <c r="J123" s="7">
        <v>0</v>
      </c>
      <c r="K123" s="89" t="str">
        <f t="shared" si="39"/>
        <v>4005/4006</v>
      </c>
      <c r="L123" s="21" t="str">
        <f>VLOOKUP(A123,'Trips&amp;Operators'!$C$1:$G$99911,5,FALSE)</f>
        <v>DUNCAN SHEILA</v>
      </c>
      <c r="M123" s="6">
        <f t="shared" si="40"/>
        <v>2.5046296294021886E-2</v>
      </c>
      <c r="N123" s="7">
        <f t="shared" si="41"/>
        <v>36.066666663391516</v>
      </c>
      <c r="O123" s="7"/>
      <c r="P123" s="7"/>
      <c r="Q123" s="22"/>
      <c r="R123" s="170"/>
      <c r="S123" s="213">
        <f t="shared" si="42"/>
        <v>1</v>
      </c>
      <c r="T123" s="195" t="str">
        <f t="shared" si="43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44"/>
        <v>https://d0f6bd738d7f1b3e5a7ca70fe4ff75f0.us-east-1.aws.found.io/app/kibana#/discover/Steve-Slow-Train-Analysis-(2080s-and-2083s)?_g=(refreshInterval:(display:Off,pause:!f,section:0,value:0),time:(from:'2017-08-20T16:15:34-0600',mode:absolute,to:'2017-08-20T18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3" s="197" t="str">
        <f>IF(AA123&lt;VLOOKUP(AG123,Variables!$AC$3:$AD$8,2,FALSE),"Y","N")</f>
        <v>N</v>
      </c>
      <c r="X123" s="197">
        <f t="shared" si="45"/>
        <v>1</v>
      </c>
      <c r="Y123" s="197">
        <f t="shared" si="46"/>
        <v>4.5999999999999999E-2</v>
      </c>
      <c r="Z123" s="197">
        <f t="shared" si="47"/>
        <v>23.328199999999999</v>
      </c>
      <c r="AA123" s="197">
        <f t="shared" si="48"/>
        <v>23.2822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 t="shared" si="49"/>
        <v>209</v>
      </c>
      <c r="AE123" s="77" t="str">
        <f t="shared" si="50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123" s="74" t="str">
        <f t="shared" si="51"/>
        <v>"C:\Program Files (x86)\AstroGrep\AstroGrep.exe" /e /r /s /spath="%USERPROFILE%\AppData\Local\Temp\OnboardLogs" /stypes="app*4006*20170820*" /stext=" 23:.+((SYSTEM_STATE.+slice.+state.+changed )|(ment ac)|(multiple cpu faults)|(system.+state.+changed )|(\[timeout)|(PRM\|1\|D)|(kpr)|(kdp)|(train st.+moving)|(\|lc)|(penalty))"</v>
      </c>
      <c r="AG123" s="209" t="str">
        <f t="shared" si="52"/>
        <v>EC</v>
      </c>
      <c r="AH123" s="78" t="str">
        <f t="shared" si="53"/>
        <v>"%USERPROFILE%\Documents\GitHub\eaglep3\Utilities\RefineRTDCRunTimes.py" --tripid 209-20 --locoid 4006 --swversion DE.1.0.9.0 --startMP 204:460 --initTime 2017-08-20T17:15:34 --startdatetime 2017-08-20T17:17:21 --delay 1 --endMP 204:233282 --enddatetime 2017-08-20T17:53:25 --enforcementcount 0 &gt;&gt;C:\Users\stu\Documents\GitHub\eaglep3-reporting\EC\2017-08-20-refined-times.txt</v>
      </c>
      <c r="AI123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{"issue":{"subject":"","project_id":79,"tracker_id":40,"status_id":1,"priority_id":2,"assigned_to_id":23,"start_date":"2017-08-20","description":"","custom_fields":[{"id":1,"name":"Subdivision","value":"EC"},{"id":4,"name":"Milepost","value":"23.3282"},{"id":17,"name":"Train ID","value":"209-20"},{"id":16,"name":"Locomotive ID","value":"4006"},{"id":130,"name":"Impact","value":""},{"id":150,"name":"Time of Event (Mountain Time)","value":"17:53:25"},{"id":151,"name":"Denver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5"/>
        <v>start /low /b %USERPROFILE%\Documents\GitHub\eaglep3\Utilities\DownloadLogsFromS3.py --loco 4006 --day 2017-08-20</v>
      </c>
      <c r="AN123" s="151" t="str">
        <f t="shared" si="5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723</v>
      </c>
      <c r="B124" s="7">
        <v>4005</v>
      </c>
      <c r="C124" s="21" t="s">
        <v>198</v>
      </c>
      <c r="D124" s="21" t="s">
        <v>423</v>
      </c>
      <c r="E124" s="13">
        <v>42967.753703703704</v>
      </c>
      <c r="F124" s="13">
        <v>42967.75849537037</v>
      </c>
      <c r="G124" s="7">
        <v>1</v>
      </c>
      <c r="H124" s="21" t="s">
        <v>342</v>
      </c>
      <c r="I124" s="13">
        <v>42967.784918981481</v>
      </c>
      <c r="J124" s="7">
        <v>0</v>
      </c>
      <c r="K124" s="89" t="str">
        <f t="shared" si="39"/>
        <v>4005/4006</v>
      </c>
      <c r="L124" s="21" t="str">
        <f>VLOOKUP(A124,'Trips&amp;Operators'!$C$1:$G$99911,5,FALSE)</f>
        <v>DUNCAN SHEILA</v>
      </c>
      <c r="M124" s="6">
        <f t="shared" si="40"/>
        <v>2.6423611110658385E-2</v>
      </c>
      <c r="N124" s="7">
        <f t="shared" si="41"/>
        <v>38.049999999348074</v>
      </c>
      <c r="O124" s="7"/>
      <c r="P124" s="7"/>
      <c r="Q124" s="22"/>
      <c r="R124" s="170"/>
      <c r="S124" s="213">
        <f t="shared" si="42"/>
        <v>1</v>
      </c>
      <c r="T124" s="195" t="str">
        <f t="shared" si="43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44"/>
        <v>https://d0f6bd738d7f1b3e5a7ca70fe4ff75f0.us-east-1.aws.found.io/app/kibana#/discover/Steve-Slow-Train-Analysis-(2080s-and-2083s)?_g=(refreshInterval:(display:Off,pause:!f,section:0,value:0),time:(from:'2017-08-20T17:05:20-0600',mode:absolute,to:'2017-08-20T19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 t="shared" si="46"/>
        <v>23.2986</v>
      </c>
      <c r="Z124" s="197">
        <f t="shared" si="47"/>
        <v>1.43E-2</v>
      </c>
      <c r="AA124" s="197">
        <f t="shared" si="48"/>
        <v>23.284300000000002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 t="shared" si="49"/>
        <v>210</v>
      </c>
      <c r="AE124" s="77" t="str">
        <f t="shared" si="50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124" s="74" t="str">
        <f t="shared" si="51"/>
        <v>"C:\Program Files (x86)\AstroGrep\AstroGrep.exe" /e /r /s /spath="%USERPROFILE%\AppData\Local\Temp\OnboardLogs" /stypes="app*4005*20170821*" /stext=" 00:.+((SYSTEM_STATE.+slice.+state.+changed )|(ment ac)|(multiple cpu faults)|(system.+state.+changed )|(\[timeout)|(PRM\|1\|D)|(kpr)|(kdp)|(train st.+moving)|(\|lc)|(penalty))"</v>
      </c>
      <c r="AG124" s="209" t="str">
        <f t="shared" si="52"/>
        <v>EC</v>
      </c>
      <c r="AH124" s="78" t="str">
        <f t="shared" si="53"/>
        <v>"%USERPROFILE%\Documents\GitHub\eaglep3\Utilities\RefineRTDCRunTimes.py" --tripid 210-20 --locoid 4005 --swversion DE.1.0.9.0 --startMP 204:232986 --initTime 2017-08-20T18:05:20 --startdatetime 2017-08-20T18:12:14 --delay 1 --endMP 204:143 --enddatetime 2017-08-20T18:50:17 --enforcementcount 0 &gt;&gt;C:\Users\stu\Documents\GitHub\eaglep3-reporting\EC\2017-08-20-refined-times.txt</v>
      </c>
      <c r="AI124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{"issue":{"subject":"","project_id":79,"tracker_id":40,"status_id":1,"priority_id":2,"assigned_to_id":23,"start_date":"2017-08-20","description":"","custom_fields":[{"id":1,"name":"Subdivision","value":"EC"},{"id":4,"name":"Milepost","value":"0.0143"},{"id":17,"name":"Train ID","value":"210-20"},{"id":16,"name":"Locomotive ID","value":"4005"},{"id":130,"name":"Impact","value":""},{"id":150,"name":"Time of Event (Mountain Time)","value":"18:50:17"},{"id":151,"name":"Denver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5"/>
        <v>start /low /b %USERPROFILE%\Documents\GitHub\eaglep3\Utilities\DownloadLogsFromS3.py --loco 4005 --day 2017-08-20</v>
      </c>
      <c r="AN124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720</v>
      </c>
      <c r="B125" s="7">
        <v>4016</v>
      </c>
      <c r="C125" s="21" t="s">
        <v>198</v>
      </c>
      <c r="D125" s="21" t="s">
        <v>389</v>
      </c>
      <c r="E125" s="13">
        <v>42967.730092592596</v>
      </c>
      <c r="F125" s="13">
        <v>42967.731516203705</v>
      </c>
      <c r="G125" s="7">
        <v>1</v>
      </c>
      <c r="H125" s="21" t="s">
        <v>872</v>
      </c>
      <c r="I125" s="13">
        <v>42967.756539351853</v>
      </c>
      <c r="J125" s="7">
        <v>0</v>
      </c>
      <c r="K125" s="89" t="str">
        <f t="shared" si="39"/>
        <v>4015/4016</v>
      </c>
      <c r="L125" s="21" t="str">
        <f>VLOOKUP(A125,'Trips&amp;Operators'!$C$1:$G$99911,5,FALSE)</f>
        <v>BADERTSCHER DIANE</v>
      </c>
      <c r="M125" s="6">
        <f t="shared" si="40"/>
        <v>2.5023148147738539E-2</v>
      </c>
      <c r="N125" s="7">
        <f t="shared" si="41"/>
        <v>36.033333332743496</v>
      </c>
      <c r="O125" s="7"/>
      <c r="P125" s="7"/>
      <c r="Q125" s="22"/>
      <c r="R125" s="170"/>
      <c r="S125" s="213">
        <f t="shared" si="42"/>
        <v>1</v>
      </c>
      <c r="T125" s="195" t="str">
        <f t="shared" si="43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44"/>
        <v>https://d0f6bd738d7f1b3e5a7ca70fe4ff75f0.us-east-1.aws.found.io/app/kibana#/discover/Steve-Slow-Train-Analysis-(2080s-and-2083s)?_g=(refreshInterval:(display:Off,pause:!f,section:0,value:0),time:(from:'2017-08-20T16:31:20-0600',mode:absolute,to:'2017-08-20T19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197" t="str">
        <f>IF(AA125&lt;VLOOKUP(AG125,Variables!$AC$3:$AD$8,2,FALSE),"Y","N")</f>
        <v>N</v>
      </c>
      <c r="X125" s="197">
        <f t="shared" si="45"/>
        <v>1</v>
      </c>
      <c r="Y125" s="197">
        <f t="shared" si="46"/>
        <v>4.4900000000000002E-2</v>
      </c>
      <c r="Z125" s="197">
        <f t="shared" si="47"/>
        <v>23.334</v>
      </c>
      <c r="AA125" s="197">
        <f t="shared" si="48"/>
        <v>23.289100000000001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 t="shared" si="49"/>
        <v>211</v>
      </c>
      <c r="AE125" s="77" t="str">
        <f t="shared" si="50"/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AF125" s="74" t="str">
        <f t="shared" si="51"/>
        <v>"C:\Program Files (x86)\AstroGrep\AstroGrep.exe" /e /r /s /spath="%USERPROFILE%\AppData\Local\Temp\OnboardLogs" /stypes="app*4016*20170821*" /stext=" 00:.+((SYSTEM_STATE.+slice.+state.+changed )|(ment ac)|(multiple cpu faults)|(system.+state.+changed )|(\[timeout)|(PRM\|1\|D)|(kpr)|(kdp)|(train st.+moving)|(\|lc)|(penalty))"</v>
      </c>
      <c r="AG125" s="209" t="str">
        <f t="shared" si="52"/>
        <v>EC</v>
      </c>
      <c r="AH125" s="78" t="str">
        <f t="shared" si="53"/>
        <v>"%USERPROFILE%\Documents\GitHub\eaglep3\Utilities\RefineRTDCRunTimes.py" --tripid 211-20 --locoid 4016 --swversion DE.1.0.9.0 --startMP 204:449 --initTime 2017-08-20T17:31:20 --startdatetime 2017-08-20T17:33:23 --delay 1 --endMP 204:233340 --enddatetime 2017-08-20T18:09:25 --enforcementcount 0 &gt;&gt;C:\Users\stu\Documents\GitHub\eaglep3-reporting\EC\2017-08-20-refined-times.txt</v>
      </c>
      <c r="AI125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{"issue":{"subject":"","project_id":79,"tracker_id":40,"status_id":1,"priority_id":2,"assigned_to_id":23,"start_date":"2017-08-20","description":"","custom_fields":[{"id":1,"name":"Subdivision","value":"EC"},{"id":4,"name":"Milepost","value":"23.334"},{"id":17,"name":"Train ID","value":"211-20"},{"id":16,"name":"Locomotive ID","value":"4016"},{"id":130,"name":"Impact","value":""},{"id":150,"name":"Time of Event (Mountain Time)","value":"18:09:25"},{"id":151,"name":"Denver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5"/>
        <v>start /low /b %USERPROFILE%\Documents\GitHub\eaglep3\Utilities\DownloadLogsFromS3.py --loco 4016 --day 2017-08-20</v>
      </c>
      <c r="AN125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724</v>
      </c>
      <c r="B126" s="7">
        <v>4015</v>
      </c>
      <c r="C126" s="21" t="s">
        <v>198</v>
      </c>
      <c r="D126" s="21" t="s">
        <v>873</v>
      </c>
      <c r="E126" s="13">
        <v>42967.761828703704</v>
      </c>
      <c r="F126" s="13">
        <v>42967.768923611111</v>
      </c>
      <c r="G126" s="7">
        <v>1</v>
      </c>
      <c r="H126" s="21" t="s">
        <v>510</v>
      </c>
      <c r="I126" s="13">
        <v>42967.795902777776</v>
      </c>
      <c r="J126" s="7">
        <v>0</v>
      </c>
      <c r="K126" s="89" t="str">
        <f t="shared" si="39"/>
        <v>4015/4016</v>
      </c>
      <c r="L126" s="21" t="str">
        <f>VLOOKUP(A126,'Trips&amp;Operators'!$C$1:$G$99911,5,FALSE)</f>
        <v>BADERTSCHER DIANE</v>
      </c>
      <c r="M126" s="6">
        <f t="shared" si="40"/>
        <v>2.6979166665114462E-2</v>
      </c>
      <c r="N126" s="7">
        <f t="shared" si="41"/>
        <v>38.849999997764826</v>
      </c>
      <c r="O126" s="7"/>
      <c r="P126" s="7"/>
      <c r="Q126" s="22"/>
      <c r="R126" s="170"/>
      <c r="S126" s="213">
        <f t="shared" si="42"/>
        <v>1</v>
      </c>
      <c r="T126" s="195" t="str">
        <f t="shared" si="43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44"/>
        <v>https://d0f6bd738d7f1b3e5a7ca70fe4ff75f0.us-east-1.aws.found.io/app/kibana#/discover/Steve-Slow-Train-Analysis-(2080s-and-2083s)?_g=(refreshInterval:(display:Off,pause:!f,section:0,value:0),time:(from:'2017-08-20T17:17:02-0600',mode:absolute,to:'2017-08-20T20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197" t="str">
        <f>IF(AA126&lt;VLOOKUP(AG126,Variables!$AC$3:$AD$8,2,FALSE),"Y","N")</f>
        <v>N</v>
      </c>
      <c r="X126" s="197">
        <f t="shared" si="45"/>
        <v>1</v>
      </c>
      <c r="Y126" s="197">
        <f t="shared" si="46"/>
        <v>23.302700000000002</v>
      </c>
      <c r="Z126" s="197">
        <f t="shared" si="47"/>
        <v>1.21E-2</v>
      </c>
      <c r="AA126" s="197">
        <f t="shared" si="48"/>
        <v>23.290600000000001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 t="shared" si="49"/>
        <v>212</v>
      </c>
      <c r="AE126" s="77" t="str">
        <f t="shared" si="50"/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AF126" s="74" t="str">
        <f t="shared" si="51"/>
        <v>"C:\Program Files (x86)\AstroGrep\AstroGrep.exe" /e /r /s /spath="%USERPROFILE%\AppData\Local\Temp\OnboardLogs" /stypes="app*4015*20170821*" /stext=" 01:.+((SYSTEM_STATE.+slice.+state.+changed )|(ment ac)|(multiple cpu faults)|(system.+state.+changed )|(\[timeout)|(PRM\|1\|D)|(kpr)|(kdp)|(train st.+moving)|(\|lc)|(penalty))"</v>
      </c>
      <c r="AG126" s="209" t="str">
        <f t="shared" si="52"/>
        <v>EC</v>
      </c>
      <c r="AH126" s="78" t="str">
        <f t="shared" si="53"/>
        <v>"%USERPROFILE%\Documents\GitHub\eaglep3\Utilities\RefineRTDCRunTimes.py" --tripid 212-20 --locoid 4015 --swversion DE.1.0.9.0 --startMP 204:233027 --initTime 2017-08-20T18:17:02 --startdatetime 2017-08-20T18:27:15 --delay 1 --endMP 204:121 --enddatetime 2017-08-20T19:06:06 --enforcementcount 0 &gt;&gt;C:\Users\stu\Documents\GitHub\eaglep3-reporting\EC\2017-08-20-refined-times.txt</v>
      </c>
      <c r="AI126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{"issue":{"subject":"","project_id":79,"tracker_id":40,"status_id":1,"priority_id":2,"assigned_to_id":23,"start_date":"2017-08-20","description":"","custom_fields":[{"id":1,"name":"Subdivision","value":"EC"},{"id":4,"name":"Milepost","value":"0.0121"},{"id":17,"name":"Train ID","value":"212-20"},{"id":16,"name":"Locomotive ID","value":"4015"},{"id":130,"name":"Impact","value":""},{"id":150,"name":"Time of Event (Mountain Time)","value":"19:06:06"},{"id":151,"name":"Denver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5"/>
        <v>start /low /b %USERPROFILE%\Documents\GitHub\eaglep3\Utilities\DownloadLogsFromS3.py --loco 4015 --day 2017-08-20</v>
      </c>
      <c r="AN126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721</v>
      </c>
      <c r="B127" s="7">
        <v>4054</v>
      </c>
      <c r="C127" s="21" t="s">
        <v>198</v>
      </c>
      <c r="D127" s="21" t="s">
        <v>343</v>
      </c>
      <c r="E127" s="13">
        <v>42967.734849537039</v>
      </c>
      <c r="F127" s="13">
        <v>42967.740474537037</v>
      </c>
      <c r="G127" s="7">
        <v>1</v>
      </c>
      <c r="H127" s="21" t="s">
        <v>435</v>
      </c>
      <c r="I127" s="13">
        <v>42967.765335648146</v>
      </c>
      <c r="J127" s="7">
        <v>0</v>
      </c>
      <c r="K127" s="89" t="str">
        <f t="shared" si="39"/>
        <v>4053/4054</v>
      </c>
      <c r="L127" s="21" t="str">
        <f>VLOOKUP(A127,'Trips&amp;Operators'!$C$1:$G$99911,5,FALSE)</f>
        <v>SMITH MICHAEL</v>
      </c>
      <c r="M127" s="6">
        <f t="shared" si="40"/>
        <v>2.4861111109203193E-2</v>
      </c>
      <c r="N127" s="7">
        <f t="shared" si="41"/>
        <v>35.799999997252598</v>
      </c>
      <c r="O127" s="7"/>
      <c r="P127" s="7"/>
      <c r="Q127" s="22"/>
      <c r="R127" s="170"/>
      <c r="S127" s="213">
        <f t="shared" si="42"/>
        <v>1</v>
      </c>
      <c r="T127" s="195" t="str">
        <f t="shared" si="43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44"/>
        <v>https://d0f6bd738d7f1b3e5a7ca70fe4ff75f0.us-east-1.aws.found.io/app/kibana#/discover/Steve-Slow-Train-Analysis-(2080s-and-2083s)?_g=(refreshInterval:(display:Off,pause:!f,section:0,value:0),time:(from:'2017-08-20T16:38:11-0600',mode:absolute,to:'2017-08-20T19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7" s="197" t="str">
        <f>IF(AA127&lt;VLOOKUP(AG127,Variables!$AC$3:$AD$8,2,FALSE),"Y","N")</f>
        <v>N</v>
      </c>
      <c r="X127" s="197">
        <f t="shared" si="45"/>
        <v>1</v>
      </c>
      <c r="Y127" s="197">
        <f t="shared" si="46"/>
        <v>4.5100000000000001E-2</v>
      </c>
      <c r="Z127" s="197">
        <f t="shared" si="47"/>
        <v>23.329499999999999</v>
      </c>
      <c r="AA127" s="197">
        <f t="shared" si="48"/>
        <v>23.284399999999998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 t="shared" si="49"/>
        <v>213</v>
      </c>
      <c r="AE127" s="77" t="str">
        <f t="shared" si="50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127" s="74" t="str">
        <f t="shared" si="51"/>
        <v>"C:\Program Files (x86)\AstroGrep\AstroGrep.exe" /e /r /s /spath="%USERPROFILE%\AppData\Local\Temp\OnboardLogs" /stypes="app*4054*20170821*" /stext=" 00:.+((SYSTEM_STATE.+slice.+state.+changed )|(ment ac)|(multiple cpu faults)|(system.+state.+changed )|(\[timeout)|(PRM\|1\|D)|(kpr)|(kdp)|(train st.+moving)|(\|lc)|(penalty))"</v>
      </c>
      <c r="AG127" s="209" t="str">
        <f t="shared" si="52"/>
        <v>EC</v>
      </c>
      <c r="AH127" s="78" t="str">
        <f t="shared" si="53"/>
        <v>"%USERPROFILE%\Documents\GitHub\eaglep3\Utilities\RefineRTDCRunTimes.py" --tripid 213-20 --locoid 4054 --swversion DE.1.0.9.0 --startMP 204:451 --initTime 2017-08-20T17:38:11 --startdatetime 2017-08-20T17:46:17 --delay 1 --endMP 204:233295 --enddatetime 2017-08-20T18:22:05 --enforcementcount 0 &gt;&gt;C:\Users\stu\Documents\GitHub\eaglep3-reporting\EC\2017-08-20-refined-times.txt</v>
      </c>
      <c r="AI127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{"issue":{"subject":"","project_id":79,"tracker_id":40,"status_id":1,"priority_id":2,"assigned_to_id":23,"start_date":"2017-08-20","description":"","custom_fields":[{"id":1,"name":"Subdivision","value":"EC"},{"id":4,"name":"Milepost","value":"23.3295"},{"id":17,"name":"Train ID","value":"213-20"},{"id":16,"name":"Locomotive ID","value":"4054"},{"id":130,"name":"Impact","value":""},{"id":150,"name":"Time of Event (Mountain Time)","value":"18:22:05"},{"id":151,"name":"Denver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5"/>
        <v>start /low /b %USERPROFILE%\Documents\GitHub\eaglep3\Utilities\DownloadLogsFromS3.py --loco 4054 --day 2017-08-20</v>
      </c>
      <c r="AN127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725</v>
      </c>
      <c r="B128" s="7">
        <v>4053</v>
      </c>
      <c r="C128" s="21" t="s">
        <v>198</v>
      </c>
      <c r="D128" s="21" t="s">
        <v>874</v>
      </c>
      <c r="E128" s="13">
        <v>42967.770694444444</v>
      </c>
      <c r="F128" s="13">
        <v>42967.779374999998</v>
      </c>
      <c r="G128" s="7">
        <v>1</v>
      </c>
      <c r="H128" s="21" t="s">
        <v>397</v>
      </c>
      <c r="I128" s="13">
        <v>42967.805856481478</v>
      </c>
      <c r="J128" s="7">
        <v>0</v>
      </c>
      <c r="K128" s="89" t="str">
        <f t="shared" si="39"/>
        <v>4053/4054</v>
      </c>
      <c r="L128" s="21" t="str">
        <f>VLOOKUP(A128,'Trips&amp;Operators'!$C$1:$G$99911,5,FALSE)</f>
        <v>SMITH MICHAEL</v>
      </c>
      <c r="M128" s="6">
        <f t="shared" si="40"/>
        <v>2.6481481480004732E-2</v>
      </c>
      <c r="N128" s="7">
        <f t="shared" si="41"/>
        <v>38.133333331206813</v>
      </c>
      <c r="O128" s="7"/>
      <c r="P128" s="7"/>
      <c r="Q128" s="22"/>
      <c r="R128" s="170"/>
      <c r="S128" s="213">
        <f t="shared" si="42"/>
        <v>1</v>
      </c>
      <c r="T128" s="195" t="str">
        <f t="shared" si="43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44"/>
        <v>https://d0f6bd738d7f1b3e5a7ca70fe4ff75f0.us-east-1.aws.found.io/app/kibana#/discover/Steve-Slow-Train-Analysis-(2080s-and-2083s)?_g=(refreshInterval:(display:Off,pause:!f,section:0,value:0),time:(from:'2017-08-20T17:29:48-0600',mode:absolute,to:'2017-08-20T20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8" s="197" t="str">
        <f>IF(AA128&lt;VLOOKUP(AG128,Variables!$AC$3:$AD$8,2,FALSE),"Y","N")</f>
        <v>N</v>
      </c>
      <c r="X128" s="197">
        <f t="shared" si="45"/>
        <v>1</v>
      </c>
      <c r="Y128" s="197">
        <f t="shared" si="46"/>
        <v>23.298999999999999</v>
      </c>
      <c r="Z128" s="197">
        <f t="shared" si="47"/>
        <v>1.4500000000000001E-2</v>
      </c>
      <c r="AA128" s="197">
        <f t="shared" si="48"/>
        <v>23.284499999999998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6">
        <f t="shared" si="49"/>
        <v>214</v>
      </c>
      <c r="AE128" s="77" t="str">
        <f t="shared" si="50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128" s="74" t="str">
        <f t="shared" si="51"/>
        <v>"C:\Program Files (x86)\AstroGrep\AstroGrep.exe" /e /r /s /spath="%USERPROFILE%\AppData\Local\Temp\OnboardLogs" /stypes="app*4053*20170821*" /stext=" 01:.+((SYSTEM_STATE.+slice.+state.+changed )|(ment ac)|(multiple cpu faults)|(system.+state.+changed )|(\[timeout)|(PRM\|1\|D)|(kpr)|(kdp)|(train st.+moving)|(\|lc)|(penalty))"</v>
      </c>
      <c r="AG128" s="209" t="str">
        <f t="shared" si="52"/>
        <v>EC</v>
      </c>
      <c r="AH128" s="78" t="str">
        <f t="shared" si="53"/>
        <v>"%USERPROFILE%\Documents\GitHub\eaglep3\Utilities\RefineRTDCRunTimes.py" --tripid 214-20 --locoid 4053 --swversion DE.1.0.9.0 --startMP 204:232990 --initTime 2017-08-20T18:29:48 --startdatetime 2017-08-20T18:42:18 --delay 1 --endMP 204:145 --enddatetime 2017-08-20T19:20:26 --enforcementcount 0 &gt;&gt;C:\Users\stu\Documents\GitHub\eaglep3-reporting\EC\2017-08-20-refined-times.txt</v>
      </c>
      <c r="AI128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{"issue":{"subject":"","project_id":79,"tracker_id":40,"status_id":1,"priority_id":2,"assigned_to_id":23,"start_date":"2017-08-20","description":"","custom_fields":[{"id":1,"name":"Subdivision","value":"EC"},{"id":4,"name":"Milepost","value":"0.0145"},{"id":17,"name":"Train ID","value":"214-20"},{"id":16,"name":"Locomotive ID","value":"4053"},{"id":130,"name":"Impact","value":""},{"id":150,"name":"Time of Event (Mountain Time)","value":"19:20:26"},{"id":151,"name":"Denver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5"/>
        <v>start /low /b %USERPROFILE%\Documents\GitHub\eaglep3\Utilities\DownloadLogsFromS3.py --loco 4053 --day 2017-08-20</v>
      </c>
      <c r="AN128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722</v>
      </c>
      <c r="B129" s="7">
        <v>4012</v>
      </c>
      <c r="C129" s="21" t="s">
        <v>198</v>
      </c>
      <c r="D129" s="21" t="s">
        <v>388</v>
      </c>
      <c r="E129" s="13">
        <v>42967.748831018522</v>
      </c>
      <c r="F129" s="13">
        <v>42967.750613425924</v>
      </c>
      <c r="G129" s="7">
        <v>1</v>
      </c>
      <c r="H129" s="21" t="s">
        <v>504</v>
      </c>
      <c r="I129" s="13">
        <v>42967.775069444448</v>
      </c>
      <c r="J129" s="7">
        <v>0</v>
      </c>
      <c r="K129" s="89" t="str">
        <f t="shared" si="39"/>
        <v>4011/4012</v>
      </c>
      <c r="L129" s="21" t="str">
        <f>VLOOKUP(A129,'Trips&amp;Operators'!$C$1:$G$99911,5,FALSE)</f>
        <v>MCREYNOLDS KYLE</v>
      </c>
      <c r="M129" s="6">
        <f t="shared" si="40"/>
        <v>2.4456018523778766E-2</v>
      </c>
      <c r="N129" s="7">
        <f t="shared" si="41"/>
        <v>35.216666674241424</v>
      </c>
      <c r="O129" s="7"/>
      <c r="P129" s="7"/>
      <c r="Q129" s="22"/>
      <c r="R129" s="170"/>
      <c r="S129" s="213">
        <f t="shared" si="42"/>
        <v>1</v>
      </c>
      <c r="T129" s="195" t="str">
        <f t="shared" si="43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44"/>
        <v>https://d0f6bd738d7f1b3e5a7ca70fe4ff75f0.us-east-1.aws.found.io/app/kibana#/discover/Steve-Slow-Train-Analysis-(2080s-and-2083s)?_g=(refreshInterval:(display:Off,pause:!f,section:0,value:0),time:(from:'2017-08-20T16:58:19-0600',mode:absolute,to:'2017-08-20T19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197" t="str">
        <f>IF(AA129&lt;VLOOKUP(AG129,Variables!$AC$3:$AD$8,2,FALSE),"Y","N")</f>
        <v>N</v>
      </c>
      <c r="X129" s="197">
        <f t="shared" si="45"/>
        <v>1</v>
      </c>
      <c r="Y129" s="197">
        <f t="shared" si="46"/>
        <v>4.5999999999999999E-2</v>
      </c>
      <c r="Z129" s="197">
        <f t="shared" si="47"/>
        <v>23.334900000000001</v>
      </c>
      <c r="AA129" s="197">
        <f t="shared" si="48"/>
        <v>23.288900000000002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6">
        <f t="shared" si="49"/>
        <v>215</v>
      </c>
      <c r="AE129" s="77" t="str">
        <f t="shared" si="50"/>
        <v>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 &amp; aws s3 cp s3://rtdc.mdm.uploadarchive.raw/RTDC4012/ "%USERPROFILE%\AppData\Local\Temp\OnboardLogs"\RTDC4012\2017-08-21 --exclude "*" --recursive --include "*20170821*" &amp; "%USERPROFILE%\Documents\GitHub\mrs-test-scripts\Headless Mode &amp; Sideloading\WalkAndUnGZ.bat" "%USERPROFILE%\AppData\Local\Temp\OnboardLogs"\RTDC4012\2017-08-21</v>
      </c>
      <c r="AF129" s="74" t="str">
        <f t="shared" si="51"/>
        <v>"C:\Program Files (x86)\AstroGrep\AstroGrep.exe" /e /r /s /spath="%USERPROFILE%\AppData\Local\Temp\OnboardLogs" /stypes="app*4012*20170821*" /stext=" 00:.+((SYSTEM_STATE.+slice.+state.+changed )|(ment ac)|(multiple cpu faults)|(system.+state.+changed )|(\[timeout)|(PRM\|1\|D)|(kpr)|(kdp)|(train st.+moving)|(\|lc)|(penalty))"</v>
      </c>
      <c r="AG129" s="209" t="str">
        <f t="shared" si="52"/>
        <v>EC</v>
      </c>
      <c r="AH129" s="78" t="str">
        <f t="shared" si="53"/>
        <v>"%USERPROFILE%\Documents\GitHub\eaglep3\Utilities\RefineRTDCRunTimes.py" --tripid 215-20 --locoid 4012 --swversion DE.1.0.9.0 --startMP 204:460 --initTime 2017-08-20T17:58:19 --startdatetime 2017-08-20T18:00:53 --delay 1 --endMP 204:233349 --enddatetime 2017-08-20T18:36:06 --enforcementcount 0 &gt;&gt;C:\Users\stu\Documents\GitHub\eaglep3-reporting\EC\2017-08-20-refined-times.txt</v>
      </c>
      <c r="AI129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{"issue":{"subject":"","project_id":79,"tracker_id":40,"status_id":1,"priority_id":2,"assigned_to_id":23,"start_date":"2017-08-20","description":"","custom_fields":[{"id":1,"name":"Subdivision","value":"EC"},{"id":4,"name":"Milepost","value":"23.3349"},{"id":17,"name":"Train ID","value":"215-20"},{"id":16,"name":"Locomotive ID","value":"4012"},{"id":130,"name":"Impact","value":""},{"id":150,"name":"Time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5"/>
        <v>start /low /b %USERPROFILE%\Documents\GitHub\eaglep3\Utilities\DownloadLogsFromS3.py --loco 4012 --day 2017-08-20</v>
      </c>
      <c r="AN129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731</v>
      </c>
      <c r="B130" s="7">
        <v>4011</v>
      </c>
      <c r="C130" s="21" t="s">
        <v>198</v>
      </c>
      <c r="D130" s="21" t="s">
        <v>496</v>
      </c>
      <c r="E130" s="13">
        <v>42967.782199074078</v>
      </c>
      <c r="F130" s="13">
        <v>42967.789733796293</v>
      </c>
      <c r="G130" s="7">
        <v>0</v>
      </c>
      <c r="H130" s="21" t="s">
        <v>361</v>
      </c>
      <c r="I130" s="13">
        <v>42967.816666666666</v>
      </c>
      <c r="J130" s="7">
        <v>0</v>
      </c>
      <c r="K130" s="89" t="str">
        <f t="shared" si="39"/>
        <v>4011/4012</v>
      </c>
      <c r="L130" s="21" t="str">
        <f>VLOOKUP(A130,'Trips&amp;Operators'!$C$1:$G$99911,5,FALSE)</f>
        <v>MCREYNOLDS KYLE</v>
      </c>
      <c r="M130" s="6">
        <f t="shared" si="40"/>
        <v>2.6932870372547768E-2</v>
      </c>
      <c r="N130" s="7">
        <f t="shared" si="41"/>
        <v>38.783333336468786</v>
      </c>
      <c r="O130" s="7"/>
      <c r="P130" s="7"/>
      <c r="Q130" s="22"/>
      <c r="R130" s="170"/>
      <c r="S130" s="213">
        <f t="shared" si="42"/>
        <v>1</v>
      </c>
      <c r="T130" s="195" t="str">
        <f t="shared" si="43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44"/>
        <v>https://d0f6bd738d7f1b3e5a7ca70fe4ff75f0.us-east-1.aws.found.io/app/kibana#/discover/Steve-Slow-Train-Analysis-(2080s-and-2083s)?_g=(refreshInterval:(display:Off,pause:!f,section:0,value:0),time:(from:'2017-08-20T17:46:22-0600',mode:absolute,to:'2017-08-20T20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0" s="197" t="str">
        <f>IF(AA130&lt;VLOOKUP(AG130,Variables!$AC$3:$AD$8,2,FALSE),"Y","N")</f>
        <v>N</v>
      </c>
      <c r="X130" s="197">
        <f t="shared" si="45"/>
        <v>1</v>
      </c>
      <c r="Y130" s="197">
        <f t="shared" si="46"/>
        <v>23.306000000000001</v>
      </c>
      <c r="Z130" s="197">
        <f t="shared" si="47"/>
        <v>1.54E-2</v>
      </c>
      <c r="AA130" s="197">
        <f t="shared" si="48"/>
        <v>23.290600000000001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6">
        <f t="shared" si="49"/>
        <v>216</v>
      </c>
      <c r="AE130" s="77" t="str">
        <f t="shared" si="50"/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AF130" s="74" t="str">
        <f t="shared" si="51"/>
        <v>"C:\Program Files (x86)\AstroGrep\AstroGrep.exe" /e /r /s /spath="%USERPROFILE%\AppData\Local\Temp\OnboardLogs" /stypes="app*4011*20170821*" /stext=" 01:.+((SYSTEM_STATE.+slice.+state.+changed )|(ment ac)|(multiple cpu faults)|(system.+state.+changed )|(\[timeout)|(PRM\|1\|D)|(kpr)|(kdp)|(train st.+moving)|(\|lc)|(penalty))"</v>
      </c>
      <c r="AG130" s="209" t="str">
        <f t="shared" si="52"/>
        <v>EC</v>
      </c>
      <c r="AH130" s="78" t="str">
        <f t="shared" si="53"/>
        <v>"%USERPROFILE%\Documents\GitHub\eaglep3\Utilities\RefineRTDCRunTimes.py" --tripid 216-20 --locoid 4011 --swversion DE.1.0.9.0 --startMP 204:233060 --initTime 2017-08-20T18:46:22 --startdatetime 2017-08-20T18:57:13 --delay 0 --endMP 204:154 --enddatetime 2017-08-20T19:36:00 --enforcementcount 0 &gt;&gt;C:\Users\stu\Documents\GitHub\eaglep3-reporting\EC\2017-08-20-refined-times.txt</v>
      </c>
      <c r="AI130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{"issue":{"subject":"","project_id":79,"tracker_id":40,"status_id":1,"priority_id":2,"assigned_to_id":23,"start_date":"2017-08-20","description":"","custom_fields":[{"id":1,"name":"Subdivision","value":"EC"},{"id":4,"name":"Milepost","value":"0.0154"},{"id":17,"name":"Train ID","value":"216-20"},{"id":16,"name":"Locomotive ID","value":"4011"},{"id":130,"name":"Impact","value":""},{"id":150,"name":"Time of Event (Mountain Time)","value":"19:36:00"},{"id":151,"name":"Denver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5"/>
        <v>start /low /b %USERPROFILE%\Documents\GitHub\eaglep3\Utilities\DownloadLogsFromS3.py --loco 4011 --day 2017-08-20</v>
      </c>
      <c r="AN130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561</v>
      </c>
      <c r="B131" s="7">
        <v>4058</v>
      </c>
      <c r="C131" s="21" t="s">
        <v>198</v>
      </c>
      <c r="D131" s="21" t="s">
        <v>875</v>
      </c>
      <c r="E131" s="13">
        <v>42967.757916666669</v>
      </c>
      <c r="F131" s="13">
        <v>42967.760972222219</v>
      </c>
      <c r="G131" s="7">
        <v>1</v>
      </c>
      <c r="H131" s="21" t="s">
        <v>876</v>
      </c>
      <c r="I131" s="13">
        <v>42967.786041666666</v>
      </c>
      <c r="J131" s="7">
        <v>0</v>
      </c>
      <c r="K131" s="89" t="str">
        <f t="shared" si="39"/>
        <v>4057/4058</v>
      </c>
      <c r="L131" s="21" t="str">
        <f>VLOOKUP(A131,'Trips&amp;Operators'!$C$1:$G$99911,5,FALSE)</f>
        <v>PERKINS DARREN</v>
      </c>
      <c r="M131" s="6">
        <f t="shared" si="40"/>
        <v>2.5069444447581191E-2</v>
      </c>
      <c r="N131" s="7">
        <f t="shared" si="41"/>
        <v>36.100000004516914</v>
      </c>
      <c r="O131" s="7"/>
      <c r="P131" s="7"/>
      <c r="Q131" s="22"/>
      <c r="R131" s="170"/>
      <c r="S131" s="213">
        <f t="shared" si="42"/>
        <v>1</v>
      </c>
      <c r="T131" s="195" t="str">
        <f t="shared" si="43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44"/>
        <v>https://d0f6bd738d7f1b3e5a7ca70fe4ff75f0.us-east-1.aws.found.io/app/kibana#/discover/Steve-Slow-Train-Analysis-(2080s-and-2083s)?_g=(refreshInterval:(display:Off,pause:!f,section:0,value:0),time:(from:'2017-08-20T17:11:24-0600',mode:absolute,to:'2017-08-20T19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1" s="197" t="str">
        <f>IF(AA131&lt;VLOOKUP(AG131,Variables!$AC$3:$AD$8,2,FALSE),"Y","N")</f>
        <v>N</v>
      </c>
      <c r="X131" s="197">
        <f t="shared" si="45"/>
        <v>1</v>
      </c>
      <c r="Y131" s="197">
        <f t="shared" si="46"/>
        <v>4.9500000000000002E-2</v>
      </c>
      <c r="Z131" s="197">
        <f t="shared" si="47"/>
        <v>23.338699999999999</v>
      </c>
      <c r="AA131" s="197">
        <f t="shared" si="48"/>
        <v>23.289200000000001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 t="shared" si="49"/>
        <v>217</v>
      </c>
      <c r="AE131" s="77" t="str">
        <f t="shared" si="50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131" s="74" t="str">
        <f t="shared" si="51"/>
        <v>"C:\Program Files (x86)\AstroGrep\AstroGrep.exe" /e /r /s /spath="%USERPROFILE%\AppData\Local\Temp\OnboardLogs" /stypes="app*4058*20170821*" /stext=" 00:.+((SYSTEM_STATE.+slice.+state.+changed )|(ment ac)|(multiple cpu faults)|(system.+state.+changed )|(\[timeout)|(PRM\|1\|D)|(kpr)|(kdp)|(train st.+moving)|(\|lc)|(penalty))"</v>
      </c>
      <c r="AG131" s="209" t="str">
        <f t="shared" si="52"/>
        <v>EC</v>
      </c>
      <c r="AH131" s="78" t="str">
        <f t="shared" si="53"/>
        <v>"%USERPROFILE%\Documents\GitHub\eaglep3\Utilities\RefineRTDCRunTimes.py" --tripid 217-20 --locoid 4058 --swversion DE.1.0.9.0 --startMP 204:495 --initTime 2017-08-20T18:11:24 --startdatetime 2017-08-20T18:15:48 --delay 1 --endMP 204:233387 --enddatetime 2017-08-20T18:51:54 --enforcementcount 0 &gt;&gt;C:\Users\stu\Documents\GitHub\eaglep3-reporting\EC\2017-08-20-refined-times.txt</v>
      </c>
      <c r="AI131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{"issue":{"subject":"","project_id":79,"tracker_id":40,"status_id":1,"priority_id":2,"assigned_to_id":23,"start_date":"2017-08-20","description":"","custom_fields":[{"id":1,"name":"Subdivision","value":"EC"},{"id":4,"name":"Milepost","value":"23.3387"},{"id":17,"name":"Train ID","value":"217-20"},{"id":16,"name":"Locomotive ID","value":"4058"},{"id":130,"name":"Impact","value":""},{"id":150,"name":"Time of Event (Mountain Time)","value":"18:51:54"},{"id":151,"name":"Denver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5"/>
        <v>start /low /b %USERPROFILE%\Documents\GitHub\eaglep3\Utilities\DownloadLogsFromS3.py --loco 4058 --day 2017-08-20</v>
      </c>
      <c r="AN131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733</v>
      </c>
      <c r="B132" s="7">
        <v>4057</v>
      </c>
      <c r="C132" s="21" t="s">
        <v>198</v>
      </c>
      <c r="D132" s="21" t="s">
        <v>877</v>
      </c>
      <c r="E132" s="13">
        <v>42967.793715277781</v>
      </c>
      <c r="F132" s="13">
        <v>42967.800185185188</v>
      </c>
      <c r="G132" s="7">
        <v>1</v>
      </c>
      <c r="H132" s="21" t="s">
        <v>446</v>
      </c>
      <c r="I132" s="13">
        <v>42967.826388888891</v>
      </c>
      <c r="J132" s="7">
        <v>0</v>
      </c>
      <c r="K132" s="89" t="str">
        <f t="shared" si="39"/>
        <v>4057/4058</v>
      </c>
      <c r="L132" s="21" t="str">
        <f>VLOOKUP(A132,'Trips&amp;Operators'!$C$1:$G$99911,5,FALSE)</f>
        <v>PERKINS DARREN</v>
      </c>
      <c r="M132" s="6">
        <f t="shared" si="40"/>
        <v>2.6203703702776693E-2</v>
      </c>
      <c r="N132" s="7">
        <f t="shared" si="41"/>
        <v>37.733333331998438</v>
      </c>
      <c r="O132" s="7"/>
      <c r="P132" s="7"/>
      <c r="Q132" s="22"/>
      <c r="R132" s="170"/>
      <c r="S132" s="213">
        <f t="shared" si="42"/>
        <v>1</v>
      </c>
      <c r="T132" s="195" t="str">
        <f t="shared" si="43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44"/>
        <v>https://d0f6bd738d7f1b3e5a7ca70fe4ff75f0.us-east-1.aws.found.io/app/kibana#/discover/Steve-Slow-Train-Analysis-(2080s-and-2083s)?_g=(refreshInterval:(display:Off,pause:!f,section:0,value:0),time:(from:'2017-08-20T18:02:57-0600',mode:absolute,to:'2017-08-20T20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2" s="197" t="str">
        <f>IF(AA132&lt;VLOOKUP(AG132,Variables!$AC$3:$AD$8,2,FALSE),"Y","N")</f>
        <v>N</v>
      </c>
      <c r="X132" s="197">
        <f t="shared" si="45"/>
        <v>1</v>
      </c>
      <c r="Y132" s="197">
        <f t="shared" si="46"/>
        <v>23.307099999999998</v>
      </c>
      <c r="Z132" s="197">
        <f t="shared" si="47"/>
        <v>1.32E-2</v>
      </c>
      <c r="AA132" s="197">
        <f t="shared" si="48"/>
        <v>23.293899999999997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6">
        <f t="shared" si="49"/>
        <v>218</v>
      </c>
      <c r="AE132" s="77" t="str">
        <f t="shared" si="50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132" s="74" t="str">
        <f t="shared" si="51"/>
        <v>"C:\Program Files (x86)\AstroGrep\AstroGrep.exe" /e /r /s /spath="%USERPROFILE%\AppData\Local\Temp\OnboardLogs" /stypes="app*4057*20170821*" /stext=" 01:.+((SYSTEM_STATE.+slice.+state.+changed )|(ment ac)|(multiple cpu faults)|(system.+state.+changed )|(\[timeout)|(PRM\|1\|D)|(kpr)|(kdp)|(train st.+moving)|(\|lc)|(penalty))"</v>
      </c>
      <c r="AG132" s="209" t="str">
        <f t="shared" si="52"/>
        <v>EC</v>
      </c>
      <c r="AH132" s="78" t="str">
        <f t="shared" si="53"/>
        <v>"%USERPROFILE%\Documents\GitHub\eaglep3\Utilities\RefineRTDCRunTimes.py" --tripid 218-20 --locoid 4057 --swversion DE.1.0.9.0 --startMP 204:233071 --initTime 2017-08-20T19:02:57 --startdatetime 2017-08-20T19:12:16 --delay 1 --endMP 204:132 --enddatetime 2017-08-20T19:50:00 --enforcementcount 0 &gt;&gt;C:\Users\stu\Documents\GitHub\eaglep3-reporting\EC\2017-08-20-refined-times.txt</v>
      </c>
      <c r="AI132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{"issue":{"subject":"","project_id":79,"tracker_id":40,"status_id":1,"priority_id":2,"assigned_to_id":23,"start_date":"2017-08-20","description":"","custom_fields":[{"id":1,"name":"Subdivision","value":"EC"},{"id":4,"name":"Milepost","value":"0.0132"},{"id":17,"name":"Train ID","value":"218-20"},{"id":16,"name":"Locomotive ID","value":"4057"},{"id":130,"name":"Impact","value":""},{"id":150,"name":"Time of Event (Mountain Time)","value":"19:50:00"},{"id":151,"name":"Denver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5"/>
        <v>start /low /b %USERPROFILE%\Documents\GitHub\eaglep3\Utilities\DownloadLogsFromS3.py --loco 4057 --day 2017-08-20</v>
      </c>
      <c r="AN132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726</v>
      </c>
      <c r="B133" s="7">
        <v>4018</v>
      </c>
      <c r="C133" s="21" t="s">
        <v>198</v>
      </c>
      <c r="D133" s="21" t="s">
        <v>390</v>
      </c>
      <c r="E133" s="13">
        <v>42967.77138888889</v>
      </c>
      <c r="F133" s="13">
        <v>42967.773090277777</v>
      </c>
      <c r="G133" s="7">
        <v>1</v>
      </c>
      <c r="H133" s="21" t="s">
        <v>878</v>
      </c>
      <c r="I133" s="13">
        <v>42967.79828703704</v>
      </c>
      <c r="J133" s="7">
        <v>0</v>
      </c>
      <c r="K133" s="89" t="str">
        <f t="shared" si="39"/>
        <v>4017/4018</v>
      </c>
      <c r="L133" s="21" t="str">
        <f>VLOOKUP(A133,'Trips&amp;Operators'!$C$1:$G$99911,5,FALSE)</f>
        <v>HUFFSMITH MONTY</v>
      </c>
      <c r="M133" s="6">
        <f t="shared" si="40"/>
        <v>2.5196759263053536E-2</v>
      </c>
      <c r="N133" s="7">
        <f t="shared" si="41"/>
        <v>36.283333338797092</v>
      </c>
      <c r="O133" s="7"/>
      <c r="P133" s="7"/>
      <c r="Q133" s="22"/>
      <c r="R133" s="170"/>
      <c r="S133" s="213">
        <f t="shared" si="42"/>
        <v>1</v>
      </c>
      <c r="T133" s="195" t="str">
        <f t="shared" si="43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44"/>
        <v>https://d0f6bd738d7f1b3e5a7ca70fe4ff75f0.us-east-1.aws.found.io/app/kibana#/discover/Steve-Slow-Train-Analysis-(2080s-and-2083s)?_g=(refreshInterval:(display:Off,pause:!f,section:0,value:0),time:(from:'2017-08-20T17:30:48-0600',mode:absolute,to:'2017-08-20T20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197" t="str">
        <f>IF(AA133&lt;VLOOKUP(AG133,Variables!$AC$3:$AD$8,2,FALSE),"Y","N")</f>
        <v>N</v>
      </c>
      <c r="X133" s="197">
        <f t="shared" si="45"/>
        <v>1</v>
      </c>
      <c r="Y133" s="197">
        <f t="shared" si="46"/>
        <v>4.5699999999999998E-2</v>
      </c>
      <c r="Z133" s="197">
        <f t="shared" si="47"/>
        <v>23.334599999999998</v>
      </c>
      <c r="AA133" s="197">
        <f t="shared" si="48"/>
        <v>23.288899999999998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 t="shared" si="49"/>
        <v>219</v>
      </c>
      <c r="AE133" s="77" t="str">
        <f t="shared" si="50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133" s="74" t="str">
        <f t="shared" si="51"/>
        <v>"C:\Program Files (x86)\AstroGrep\AstroGrep.exe" /e /r /s /spath="%USERPROFILE%\AppData\Local\Temp\OnboardLogs" /stypes="app*4018*20170821*" /stext=" 01:.+((SYSTEM_STATE.+slice.+state.+changed )|(ment ac)|(multiple cpu faults)|(system.+state.+changed )|(\[timeout)|(PRM\|1\|D)|(kpr)|(kdp)|(train st.+moving)|(\|lc)|(penalty))"</v>
      </c>
      <c r="AG133" s="209" t="str">
        <f t="shared" si="52"/>
        <v>EC</v>
      </c>
      <c r="AH133" s="78" t="str">
        <f t="shared" si="53"/>
        <v>"%USERPROFILE%\Documents\GitHub\eaglep3\Utilities\RefineRTDCRunTimes.py" --tripid 219-20 --locoid 4018 --swversion DE.1.0.9.0 --startMP 204:457 --initTime 2017-08-20T18:30:48 --startdatetime 2017-08-20T18:33:15 --delay 1 --endMP 204:233346 --enddatetime 2017-08-20T19:09:32 --enforcementcount 0 &gt;&gt;C:\Users\stu\Documents\GitHub\eaglep3-reporting\EC\2017-08-20-refined-times.txt</v>
      </c>
      <c r="AI133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{"issue":{"subject":"","project_id":79,"tracker_id":40,"status_id":1,"priority_id":2,"assigned_to_id":23,"start_date":"2017-08-20","description":"","custom_fields":[{"id":1,"name":"Subdivision","value":"EC"},{"id":4,"name":"Milepost","value":"23.3346"},{"id":17,"name":"Train ID","value":"219-20"},{"id":16,"name":"Locomotive ID","value":"4018"},{"id":130,"name":"Impact","value":""},{"id":150,"name":"Time of Event (Mountain Time)","value":"19:09:32"},{"id":151,"name":"Denver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5"/>
        <v>start /low /b %USERPROFILE%\Documents\GitHub\eaglep3\Utilities\DownloadLogsFromS3.py --loco 4018 --day 2017-08-20</v>
      </c>
      <c r="AN133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738</v>
      </c>
      <c r="B134" s="7">
        <v>4017</v>
      </c>
      <c r="C134" s="21" t="s">
        <v>198</v>
      </c>
      <c r="D134" s="21" t="s">
        <v>798</v>
      </c>
      <c r="E134" s="13">
        <v>42967.804907407408</v>
      </c>
      <c r="F134" s="13">
        <v>42967.810648148145</v>
      </c>
      <c r="G134" s="7">
        <v>1</v>
      </c>
      <c r="H134" s="21" t="s">
        <v>879</v>
      </c>
      <c r="I134" s="13">
        <v>42967.837581018517</v>
      </c>
      <c r="J134" s="7">
        <v>0</v>
      </c>
      <c r="K134" s="89" t="str">
        <f t="shared" si="39"/>
        <v>4017/4018</v>
      </c>
      <c r="L134" s="21" t="str">
        <f>VLOOKUP(A134,'Trips&amp;Operators'!$C$1:$G$99911,5,FALSE)</f>
        <v>HUFFSMITH MONTY</v>
      </c>
      <c r="M134" s="6">
        <f t="shared" si="40"/>
        <v>2.6932870372547768E-2</v>
      </c>
      <c r="N134" s="7">
        <f t="shared" si="41"/>
        <v>38.783333336468786</v>
      </c>
      <c r="O134" s="7"/>
      <c r="P134" s="7"/>
      <c r="Q134" s="22"/>
      <c r="R134" s="170"/>
      <c r="S134" s="213">
        <f t="shared" si="42"/>
        <v>1</v>
      </c>
      <c r="T134" s="195" t="str">
        <f t="shared" si="43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44"/>
        <v>https://d0f6bd738d7f1b3e5a7ca70fe4ff75f0.us-east-1.aws.found.io/app/kibana#/discover/Steve-Slow-Train-Analysis-(2080s-and-2083s)?_g=(refreshInterval:(display:Off,pause:!f,section:0,value:0),time:(from:'2017-08-20T18:19:04-0600',mode:absolute,to:'2017-08-20T21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197" t="str">
        <f>IF(AA134&lt;VLOOKUP(AG134,Variables!$AC$3:$AD$8,2,FALSE),"Y","N")</f>
        <v>N</v>
      </c>
      <c r="X134" s="197">
        <f t="shared" si="45"/>
        <v>1</v>
      </c>
      <c r="Y134" s="197">
        <f t="shared" si="46"/>
        <v>23.3049</v>
      </c>
      <c r="Z134" s="197">
        <f t="shared" si="47"/>
        <v>1.1599999999999999E-2</v>
      </c>
      <c r="AA134" s="197">
        <f t="shared" si="48"/>
        <v>23.293299999999999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 t="shared" si="49"/>
        <v>220</v>
      </c>
      <c r="AE134" s="77" t="str">
        <f t="shared" si="50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134" s="74" t="str">
        <f t="shared" si="51"/>
        <v>"C:\Program Files (x86)\AstroGrep\AstroGrep.exe" /e /r /s /spath="%USERPROFILE%\AppData\Local\Temp\OnboardLogs" /stypes="app*4017*20170821*" /stext=" 02:.+((SYSTEM_STATE.+slice.+state.+changed )|(ment ac)|(multiple cpu faults)|(system.+state.+changed )|(\[timeout)|(PRM\|1\|D)|(kpr)|(kdp)|(train st.+moving)|(\|lc)|(penalty))"</v>
      </c>
      <c r="AG134" s="209" t="str">
        <f t="shared" si="52"/>
        <v>EC</v>
      </c>
      <c r="AH134" s="78" t="str">
        <f t="shared" si="53"/>
        <v>"%USERPROFILE%\Documents\GitHub\eaglep3\Utilities\RefineRTDCRunTimes.py" --tripid 220-20 --locoid 4017 --swversion DE.1.0.9.0 --startMP 204:233049 --initTime 2017-08-20T19:19:04 --startdatetime 2017-08-20T19:27:20 --delay 1 --endMP 204:116 --enddatetime 2017-08-20T20:06:07 --enforcementcount 0 &gt;&gt;C:\Users\stu\Documents\GitHub\eaglep3-reporting\EC\2017-08-20-refined-times.txt</v>
      </c>
      <c r="AI134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{"issue":{"subject":"","project_id":79,"tracker_id":40,"status_id":1,"priority_id":2,"assigned_to_id":23,"start_date":"2017-08-20","description":"","custom_fields":[{"id":1,"name":"Subdivision","value":"EC"},{"id":4,"name":"Milepost","value":"0.0116"},{"id":17,"name":"Train ID","value":"220-20"},{"id":16,"name":"Locomotive ID","value":"4017"},{"id":130,"name":"Impact","value":""},{"id":150,"name":"Time of Event (Mountain Time)","value":"20:06:07"},{"id":151,"name":"Denver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5"/>
        <v>start /low /b %USERPROFILE%\Documents\GitHub\eaglep3\Utilities\DownloadLogsFromS3.py --loco 4017 --day 2017-08-20</v>
      </c>
      <c r="AN134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02:06:07"},{"id":29,"name":"Sharepoint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732</v>
      </c>
      <c r="B135" s="7">
        <v>4006</v>
      </c>
      <c r="C135" s="21" t="s">
        <v>198</v>
      </c>
      <c r="D135" s="21" t="s">
        <v>346</v>
      </c>
      <c r="E135" s="13">
        <v>42967.786446759259</v>
      </c>
      <c r="F135" s="13">
        <v>42967.792164351849</v>
      </c>
      <c r="G135" s="7">
        <v>1</v>
      </c>
      <c r="H135" s="21" t="s">
        <v>428</v>
      </c>
      <c r="I135" s="13">
        <v>42967.817256944443</v>
      </c>
      <c r="J135" s="7">
        <v>0</v>
      </c>
      <c r="K135" s="89" t="str">
        <f t="shared" si="39"/>
        <v>4005/4006</v>
      </c>
      <c r="L135" s="21" t="str">
        <f>VLOOKUP(A135,'Trips&amp;Operators'!$C$1:$G$99911,5,FALSE)</f>
        <v>DUNCAN SHEILA</v>
      </c>
      <c r="M135" s="6">
        <f t="shared" si="40"/>
        <v>2.5092592593864538E-2</v>
      </c>
      <c r="N135" s="7">
        <f t="shared" si="41"/>
        <v>36.133333335164934</v>
      </c>
      <c r="O135" s="7"/>
      <c r="P135" s="7"/>
      <c r="Q135" s="22"/>
      <c r="R135" s="170"/>
      <c r="S135" s="213">
        <f t="shared" si="42"/>
        <v>1</v>
      </c>
      <c r="T135" s="195" t="str">
        <f t="shared" si="43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44"/>
        <v>https://d0f6bd738d7f1b3e5a7ca70fe4ff75f0.us-east-1.aws.found.io/app/kibana#/discover/Steve-Slow-Train-Analysis-(2080s-and-2083s)?_g=(refreshInterval:(display:Off,pause:!f,section:0,value:0),time:(from:'2017-08-20T17:52:29-0600',mode:absolute,to:'2017-08-20T20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5" s="197" t="str">
        <f>IF(AA135&lt;VLOOKUP(AG135,Variables!$AC$3:$AD$8,2,FALSE),"Y","N")</f>
        <v>N</v>
      </c>
      <c r="X135" s="197">
        <f t="shared" si="45"/>
        <v>1</v>
      </c>
      <c r="Y135" s="197">
        <f t="shared" si="46"/>
        <v>4.4699999999999997E-2</v>
      </c>
      <c r="Z135" s="197">
        <f t="shared" si="47"/>
        <v>23.3291</v>
      </c>
      <c r="AA135" s="197">
        <f t="shared" si="48"/>
        <v>23.284400000000002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 t="shared" si="49"/>
        <v>221</v>
      </c>
      <c r="AE135" s="77" t="str">
        <f t="shared" si="50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135" s="74" t="str">
        <f t="shared" si="51"/>
        <v>"C:\Program Files (x86)\AstroGrep\AstroGrep.exe" /e /r /s /spath="%USERPROFILE%\AppData\Local\Temp\OnboardLogs" /stypes="app*4006*20170821*" /stext=" 01:.+((SYSTEM_STATE.+slice.+state.+changed )|(ment ac)|(multiple cpu faults)|(system.+state.+changed )|(\[timeout)|(PRM\|1\|D)|(kpr)|(kdp)|(train st.+moving)|(\|lc)|(penalty))"</v>
      </c>
      <c r="AG135" s="209" t="str">
        <f t="shared" si="52"/>
        <v>EC</v>
      </c>
      <c r="AH135" s="78" t="str">
        <f t="shared" si="53"/>
        <v>"%USERPROFILE%\Documents\GitHub\eaglep3\Utilities\RefineRTDCRunTimes.py" --tripid 221-20 --locoid 4006 --swversion DE.1.0.9.0 --startMP 204:447 --initTime 2017-08-20T18:52:29 --startdatetime 2017-08-20T19:00:43 --delay 1 --endMP 204:233291 --enddatetime 2017-08-20T19:36:51 --enforcementcount 0 &gt;&gt;C:\Users\stu\Documents\GitHub\eaglep3-reporting\EC\2017-08-20-refined-times.txt</v>
      </c>
      <c r="AI135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{"issue":{"subject":"","project_id":79,"tracker_id":40,"status_id":1,"priority_id":2,"assigned_to_id":23,"start_date":"2017-08-20","description":"","custom_fields":[{"id":1,"name":"Subdivision","value":"EC"},{"id":4,"name":"Milepost","value":"23.3291"},{"id":17,"name":"Train ID","value":"221-20"},{"id":16,"name":"Locomotive ID","value":"4006"},{"id":130,"name":"Impact","value":""},{"id":150,"name":"Time of Event (Mountain Time)","value":"19:36:51"},{"id":151,"name":"Denver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5"/>
        <v>start /low /b %USERPROFILE%\Documents\GitHub\eaglep3\Utilities\DownloadLogsFromS3.py --loco 4006 --day 2017-08-20</v>
      </c>
      <c r="AN135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741</v>
      </c>
      <c r="B136" s="7">
        <v>4005</v>
      </c>
      <c r="C136" s="21" t="s">
        <v>198</v>
      </c>
      <c r="D136" s="21" t="s">
        <v>880</v>
      </c>
      <c r="E136" s="13">
        <v>42967.828460648147</v>
      </c>
      <c r="F136" s="13">
        <v>42967.831423611111</v>
      </c>
      <c r="G136" s="7">
        <v>1</v>
      </c>
      <c r="H136" s="21" t="s">
        <v>387</v>
      </c>
      <c r="I136" s="13">
        <v>42967.858240740738</v>
      </c>
      <c r="J136" s="7">
        <v>0</v>
      </c>
      <c r="K136" s="89" t="str">
        <f t="shared" si="39"/>
        <v>4005/4006</v>
      </c>
      <c r="L136" s="21" t="str">
        <f>VLOOKUP(A136,'Trips&amp;Operators'!$C$1:$G$99911,5,FALSE)</f>
        <v>DUNCAN SHEILA</v>
      </c>
      <c r="M136" s="6">
        <f t="shared" si="40"/>
        <v>2.6817129626579117E-2</v>
      </c>
      <c r="N136" s="7">
        <f t="shared" si="41"/>
        <v>38.616666662273929</v>
      </c>
      <c r="O136" s="7"/>
      <c r="P136" s="7"/>
      <c r="Q136" s="22"/>
      <c r="R136" s="170"/>
      <c r="S136" s="213">
        <f t="shared" si="42"/>
        <v>1</v>
      </c>
      <c r="T136" s="195" t="str">
        <f t="shared" si="43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44"/>
        <v>https://d0f6bd738d7f1b3e5a7ca70fe4ff75f0.us-east-1.aws.found.io/app/kibana#/discover/Steve-Slow-Train-Analysis-(2080s-and-2083s)?_g=(refreshInterval:(display:Off,pause:!f,section:0,value:0),time:(from:'2017-08-20T18:52:59-0600',mode:absolute,to:'2017-08-20T21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6" s="197" t="str">
        <f>IF(AA136&lt;VLOOKUP(AG136,Variables!$AC$3:$AD$8,2,FALSE),"Y","N")</f>
        <v>N</v>
      </c>
      <c r="X136" s="197">
        <f t="shared" si="45"/>
        <v>1</v>
      </c>
      <c r="Y136" s="197">
        <f t="shared" si="46"/>
        <v>23.296700000000001</v>
      </c>
      <c r="Z136" s="197">
        <f t="shared" si="47"/>
        <v>1.52E-2</v>
      </c>
      <c r="AA136" s="197">
        <f t="shared" si="48"/>
        <v>23.281500000000001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 t="shared" si="49"/>
        <v>222</v>
      </c>
      <c r="AE136" s="77" t="str">
        <f t="shared" si="50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136" s="74" t="str">
        <f t="shared" si="51"/>
        <v>"C:\Program Files (x86)\AstroGrep\AstroGrep.exe" /e /r /s /spath="%USERPROFILE%\AppData\Local\Temp\OnboardLogs" /stypes="app*4005*20170821*" /stext=" 02:.+((SYSTEM_STATE.+slice.+state.+changed )|(ment ac)|(multiple cpu faults)|(system.+state.+changed )|(\[timeout)|(PRM\|1\|D)|(kpr)|(kdp)|(train st.+moving)|(\|lc)|(penalty))"</v>
      </c>
      <c r="AG136" s="209" t="str">
        <f t="shared" si="52"/>
        <v>EC</v>
      </c>
      <c r="AH136" s="78" t="str">
        <f t="shared" si="53"/>
        <v>"%USERPROFILE%\Documents\GitHub\eaglep3\Utilities\RefineRTDCRunTimes.py" --tripid 222-20 --locoid 4005 --swversion DE.1.0.9.0 --startMP 204:232967 --initTime 2017-08-20T19:52:59 --startdatetime 2017-08-20T19:57:15 --delay 1 --endMP 204:152 --enddatetime 2017-08-20T20:35:52 --enforcementcount 0 &gt;&gt;C:\Users\stu\Documents\GitHub\eaglep3-reporting\EC\2017-08-20-refined-times.txt</v>
      </c>
      <c r="AI136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{"issue":{"subject":"","project_id":79,"tracker_id":40,"status_id":1,"priority_id":2,"assigned_to_id":23,"start_date":"2017-08-20","description":"","custom_fields":[{"id":1,"name":"Subdivision","value":"EC"},{"id":4,"name":"Milepost","value":"0.0152"},{"id":17,"name":"Train ID","value":"222-20"},{"id":16,"name":"Locomotive ID","value":"4005"},{"id":130,"name":"Impact","value":""},{"id":150,"name":"Time of Event (Mountain Time)","value":"20:35:52"},{"id":151,"name":"Denver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5"/>
        <v>start /low /b %USERPROFILE%\Documents\GitHub\eaglep3\Utilities\DownloadLogsFromS3.py --loco 4005 --day 2017-08-20</v>
      </c>
      <c r="AN136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739</v>
      </c>
      <c r="B137" s="7">
        <v>4054</v>
      </c>
      <c r="C137" s="21" t="s">
        <v>198</v>
      </c>
      <c r="D137" s="21" t="s">
        <v>402</v>
      </c>
      <c r="E137" s="13">
        <v>42967.809293981481</v>
      </c>
      <c r="F137" s="13">
        <v>42967.813055555554</v>
      </c>
      <c r="G137" s="7">
        <v>1</v>
      </c>
      <c r="H137" s="21" t="s">
        <v>465</v>
      </c>
      <c r="I137" s="13">
        <v>42967.837777777779</v>
      </c>
      <c r="J137" s="7">
        <v>0</v>
      </c>
      <c r="K137" s="89" t="str">
        <f t="shared" si="39"/>
        <v>4053/4054</v>
      </c>
      <c r="L137" s="21" t="str">
        <f>VLOOKUP(A137,'Trips&amp;Operators'!$C$1:$G$99911,5,FALSE)</f>
        <v>SMITH MICHAEL</v>
      </c>
      <c r="M137" s="6">
        <f t="shared" si="40"/>
        <v>2.4722222224227153E-2</v>
      </c>
      <c r="N137" s="7">
        <f t="shared" si="41"/>
        <v>35.6000000028871</v>
      </c>
      <c r="O137" s="7"/>
      <c r="P137" s="7"/>
      <c r="Q137" s="22"/>
      <c r="R137" s="170"/>
      <c r="S137" s="213">
        <f t="shared" si="42"/>
        <v>1</v>
      </c>
      <c r="T137" s="195" t="str">
        <f t="shared" si="43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44"/>
        <v>https://d0f6bd738d7f1b3e5a7ca70fe4ff75f0.us-east-1.aws.found.io/app/kibana#/discover/Steve-Slow-Train-Analysis-(2080s-and-2083s)?_g=(refreshInterval:(display:Off,pause:!f,section:0,value:0),time:(from:'2017-08-20T18:25:23-0600',mode:absolute,to:'2017-08-20T21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7" s="197" t="str">
        <f>IF(AA137&lt;VLOOKUP(AG137,Variables!$AC$3:$AD$8,2,FALSE),"Y","N")</f>
        <v>N</v>
      </c>
      <c r="X137" s="197">
        <f t="shared" si="45"/>
        <v>1</v>
      </c>
      <c r="Y137" s="197">
        <f t="shared" si="46"/>
        <v>4.4200000000000003E-2</v>
      </c>
      <c r="Z137" s="197">
        <f t="shared" si="47"/>
        <v>23.331399999999999</v>
      </c>
      <c r="AA137" s="197">
        <f t="shared" si="48"/>
        <v>23.287199999999999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 t="shared" si="49"/>
        <v>223</v>
      </c>
      <c r="AE137" s="77" t="str">
        <f t="shared" si="50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137" s="74" t="str">
        <f t="shared" si="51"/>
        <v>"C:\Program Files (x86)\AstroGrep\AstroGrep.exe" /e /r /s /spath="%USERPROFILE%\AppData\Local\Temp\OnboardLogs" /stypes="app*4054*20170821*" /stext=" 02:.+((SYSTEM_STATE.+slice.+state.+changed )|(ment ac)|(multiple cpu faults)|(system.+state.+changed )|(\[timeout)|(PRM\|1\|D)|(kpr)|(kdp)|(train st.+moving)|(\|lc)|(penalty))"</v>
      </c>
      <c r="AG137" s="209" t="str">
        <f t="shared" si="52"/>
        <v>EC</v>
      </c>
      <c r="AH137" s="78" t="str">
        <f t="shared" si="53"/>
        <v>"%USERPROFILE%\Documents\GitHub\eaglep3\Utilities\RefineRTDCRunTimes.py" --tripid 223-20 --locoid 4054 --swversion DE.1.0.9.0 --startMP 204:442 --initTime 2017-08-20T19:25:23 --startdatetime 2017-08-20T19:30:48 --delay 1 --endMP 204:233314 --enddatetime 2017-08-20T20:06:24 --enforcementcount 0 &gt;&gt;C:\Users\stu\Documents\GitHub\eaglep3-reporting\EC\2017-08-20-refined-times.txt</v>
      </c>
      <c r="AI137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{"issue":{"subject":"","project_id":79,"tracker_id":40,"status_id":1,"priority_id":2,"assigned_to_id":23,"start_date":"2017-08-20","description":"","custom_fields":[{"id":1,"name":"Subdivision","value":"EC"},{"id":4,"name":"Milepost","value":"23.3314"},{"id":17,"name":"Train ID","value":"223-20"},{"id":16,"name":"Locomotive ID","value":"4054"},{"id":130,"name":"Impact","value":""},{"id":150,"name":"Time of Event (Mountain Time)","value":"20:06:24"},{"id":151,"name":"Denver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5"/>
        <v>start /low /b %USERPROFILE%\Documents\GitHub\eaglep3\Utilities\DownloadLogsFromS3.py --loco 4054 --day 2017-08-20</v>
      </c>
      <c r="AN137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743</v>
      </c>
      <c r="B138" s="7">
        <v>4053</v>
      </c>
      <c r="C138" s="21" t="s">
        <v>198</v>
      </c>
      <c r="D138" s="21" t="s">
        <v>457</v>
      </c>
      <c r="E138" s="13">
        <v>42967.845127314817</v>
      </c>
      <c r="F138" s="13">
        <v>42967.852314814816</v>
      </c>
      <c r="G138" s="7">
        <v>1</v>
      </c>
      <c r="H138" s="21" t="s">
        <v>342</v>
      </c>
      <c r="I138" s="13">
        <v>42967.87841435185</v>
      </c>
      <c r="J138" s="7">
        <v>0</v>
      </c>
      <c r="K138" s="89" t="str">
        <f t="shared" si="39"/>
        <v>4053/4054</v>
      </c>
      <c r="L138" s="21" t="str">
        <f>VLOOKUP(A138,'Trips&amp;Operators'!$C$1:$G$99911,5,FALSE)</f>
        <v>SMITH MICHAEL</v>
      </c>
      <c r="M138" s="6">
        <f t="shared" si="40"/>
        <v>2.6099537033587694E-2</v>
      </c>
      <c r="N138" s="7">
        <f t="shared" si="41"/>
        <v>37.58333332836628</v>
      </c>
      <c r="O138" s="7"/>
      <c r="P138" s="7"/>
      <c r="Q138" s="22"/>
      <c r="R138" s="170"/>
      <c r="S138" s="213">
        <f t="shared" si="42"/>
        <v>1</v>
      </c>
      <c r="T138" s="195" t="str">
        <f t="shared" si="43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44"/>
        <v>https://d0f6bd738d7f1b3e5a7ca70fe4ff75f0.us-east-1.aws.found.io/app/kibana#/discover/Steve-Slow-Train-Analysis-(2080s-and-2083s)?_g=(refreshInterval:(display:Off,pause:!f,section:0,value:0),time:(from:'2017-08-20T19:16:59-0600',mode:absolute,to:'2017-08-20T22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97" t="str">
        <f>IF(AA138&lt;VLOOKUP(AG138,Variables!$AC$3:$AD$8,2,FALSE),"Y","N")</f>
        <v>N</v>
      </c>
      <c r="X138" s="197">
        <f t="shared" si="45"/>
        <v>1</v>
      </c>
      <c r="Y138" s="197">
        <f t="shared" si="46"/>
        <v>23.3004</v>
      </c>
      <c r="Z138" s="197">
        <f t="shared" si="47"/>
        <v>1.43E-2</v>
      </c>
      <c r="AA138" s="197">
        <f t="shared" si="48"/>
        <v>23.286100000000001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 t="shared" si="49"/>
        <v>224</v>
      </c>
      <c r="AE138" s="77" t="str">
        <f t="shared" si="50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138" s="74" t="str">
        <f t="shared" si="51"/>
        <v>"C:\Program Files (x86)\AstroGrep\AstroGrep.exe" /e /r /s /spath="%USERPROFILE%\AppData\Local\Temp\OnboardLogs" /stypes="app*4053*20170821*" /stext=" 03:.+((SYSTEM_STATE.+slice.+state.+changed )|(ment ac)|(multiple cpu faults)|(system.+state.+changed )|(\[timeout)|(PRM\|1\|D)|(kpr)|(kdp)|(train st.+moving)|(\|lc)|(penalty))"</v>
      </c>
      <c r="AG138" s="209" t="str">
        <f t="shared" si="52"/>
        <v>EC</v>
      </c>
      <c r="AH138" s="78" t="str">
        <f t="shared" si="53"/>
        <v>"%USERPROFILE%\Documents\GitHub\eaglep3\Utilities\RefineRTDCRunTimes.py" --tripid 224-20 --locoid 4053 --swversion DE.1.0.9.0 --startMP 204:233004 --initTime 2017-08-20T20:16:59 --startdatetime 2017-08-20T20:27:20 --delay 1 --endMP 204:143 --enddatetime 2017-08-20T21:04:55 --enforcementcount 0 &gt;&gt;C:\Users\stu\Documents\GitHub\eaglep3-reporting\EC\2017-08-20-refined-times.txt</v>
      </c>
      <c r="AI138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{"issue":{"subject":"","project_id":79,"tracker_id":40,"status_id":1,"priority_id":2,"assigned_to_id":23,"start_date":"2017-08-20","description":"","custom_fields":[{"id":1,"name":"Subdivision","value":"EC"},{"id":4,"name":"Milepost","value":"0.0143"},{"id":17,"name":"Train ID","value":"224-20"},{"id":16,"name":"Locomotive ID","value":"4053"},{"id":130,"name":"Impact","value":""},{"id":150,"name":"Time of Event (Mountain Time)","value":"21:04:55"},{"id":151,"name":"Denver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5"/>
        <v>start /low /b %USERPROFILE%\Documents\GitHub\eaglep3\Utilities\DownloadLogsFromS3.py --loco 4053 --day 2017-08-20</v>
      </c>
      <c r="AN138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563</v>
      </c>
      <c r="B139" s="7">
        <v>4058</v>
      </c>
      <c r="C139" s="21" t="s">
        <v>198</v>
      </c>
      <c r="D139" s="21" t="s">
        <v>443</v>
      </c>
      <c r="E139" s="13">
        <v>42967.828148148146</v>
      </c>
      <c r="F139" s="13">
        <v>42967.834004629629</v>
      </c>
      <c r="G139" s="7">
        <v>1</v>
      </c>
      <c r="H139" s="21" t="s">
        <v>881</v>
      </c>
      <c r="I139" s="13">
        <v>42967.858761574076</v>
      </c>
      <c r="J139" s="7">
        <v>0</v>
      </c>
      <c r="K139" s="89" t="str">
        <f t="shared" si="39"/>
        <v>4057/4058</v>
      </c>
      <c r="L139" s="21" t="str">
        <f>VLOOKUP(A139,'Trips&amp;Operators'!$C$1:$G$99911,5,FALSE)</f>
        <v>PERKINS DARREN</v>
      </c>
      <c r="M139" s="6">
        <f t="shared" si="40"/>
        <v>2.4756944447290152E-2</v>
      </c>
      <c r="N139" s="7">
        <f t="shared" si="41"/>
        <v>35.650000004097819</v>
      </c>
      <c r="O139" s="7"/>
      <c r="P139" s="7"/>
      <c r="Q139" s="22"/>
      <c r="R139" s="170"/>
      <c r="S139" s="213">
        <f t="shared" si="42"/>
        <v>1</v>
      </c>
      <c r="T139" s="195" t="str">
        <f t="shared" si="43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44"/>
        <v>https://d0f6bd738d7f1b3e5a7ca70fe4ff75f0.us-east-1.aws.found.io/app/kibana#/discover/Steve-Slow-Train-Analysis-(2080s-and-2083s)?_g=(refreshInterval:(display:Off,pause:!f,section:0,value:0),time:(from:'2017-08-20T18:52:32-0600',mode:absolute,to:'2017-08-20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9" s="197" t="str">
        <f>IF(AA139&lt;VLOOKUP(AG139,Variables!$AC$3:$AD$8,2,FALSE),"Y","N")</f>
        <v>N</v>
      </c>
      <c r="X139" s="197">
        <f t="shared" si="45"/>
        <v>1</v>
      </c>
      <c r="Y139" s="197">
        <f t="shared" si="46"/>
        <v>4.3499999999999997E-2</v>
      </c>
      <c r="Z139" s="197">
        <f t="shared" si="47"/>
        <v>23.340599999999998</v>
      </c>
      <c r="AA139" s="197">
        <f t="shared" si="48"/>
        <v>23.297099999999997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 t="shared" si="49"/>
        <v>225</v>
      </c>
      <c r="AE139" s="77" t="str">
        <f t="shared" si="50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139" s="74" t="str">
        <f t="shared" si="51"/>
        <v>"C:\Program Files (x86)\AstroGrep\AstroGrep.exe" /e /r /s /spath="%USERPROFILE%\AppData\Local\Temp\OnboardLogs" /stypes="app*4058*20170821*" /stext=" 02:.+((SYSTEM_STATE.+slice.+state.+changed )|(ment ac)|(multiple cpu faults)|(system.+state.+changed )|(\[timeout)|(PRM\|1\|D)|(kpr)|(kdp)|(train st.+moving)|(\|lc)|(penalty))"</v>
      </c>
      <c r="AG139" s="209" t="str">
        <f t="shared" si="52"/>
        <v>EC</v>
      </c>
      <c r="AH139" s="78" t="str">
        <f t="shared" si="53"/>
        <v>"%USERPROFILE%\Documents\GitHub\eaglep3\Utilities\RefineRTDCRunTimes.py" --tripid 225-20 --locoid 4058 --swversion DE.1.0.9.0 --startMP 204:435 --initTime 2017-08-20T19:52:32 --startdatetime 2017-08-20T20:00:58 --delay 1 --endMP 204:233406 --enddatetime 2017-08-20T20:36:37 --enforcementcount 0 &gt;&gt;C:\Users\stu\Documents\GitHub\eaglep3-reporting\EC\2017-08-20-refined-times.txt</v>
      </c>
      <c r="AI139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{"issue":{"subject":"","project_id":79,"tracker_id":40,"status_id":1,"priority_id":2,"assigned_to_id":23,"start_date":"2017-08-20","description":"","custom_fields":[{"id":1,"name":"Subdivision","value":"EC"},{"id":4,"name":"Milepost","value":"23.3406"},{"id":17,"name":"Train ID","value":"225-20"},{"id":16,"name":"Locomotive ID","value":"4058"},{"id":130,"name":"Impact","value":""},{"id":150,"name":"Time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5"/>
        <v>start /low /b %USERPROFILE%\Documents\GitHub\eaglep3\Utilities\DownloadLogsFromS3.py --loco 4058 --day 2017-08-20</v>
      </c>
      <c r="AN139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746</v>
      </c>
      <c r="B140" s="7">
        <v>4057</v>
      </c>
      <c r="C140" s="21" t="s">
        <v>198</v>
      </c>
      <c r="D140" s="21" t="s">
        <v>505</v>
      </c>
      <c r="E140" s="13">
        <v>42967.861018518517</v>
      </c>
      <c r="F140" s="13">
        <v>42967.873495370368</v>
      </c>
      <c r="G140" s="7">
        <v>1</v>
      </c>
      <c r="H140" s="21" t="s">
        <v>882</v>
      </c>
      <c r="I140" s="13">
        <v>42967.89949074074</v>
      </c>
      <c r="J140" s="7">
        <v>0</v>
      </c>
      <c r="K140" s="89" t="str">
        <f t="shared" si="39"/>
        <v>4057/4058</v>
      </c>
      <c r="L140" s="21" t="str">
        <f>VLOOKUP(A140,'Trips&amp;Operators'!$C$1:$G$99911,5,FALSE)</f>
        <v>PERKINS DARREN</v>
      </c>
      <c r="M140" s="6">
        <f t="shared" si="40"/>
        <v>2.5995370371674653E-2</v>
      </c>
      <c r="N140" s="7">
        <f t="shared" si="41"/>
        <v>37.433333335211501</v>
      </c>
      <c r="O140" s="7"/>
      <c r="P140" s="7"/>
      <c r="Q140" s="22"/>
      <c r="R140" s="170"/>
      <c r="S140" s="213">
        <f t="shared" si="42"/>
        <v>1</v>
      </c>
      <c r="T140" s="195" t="str">
        <f t="shared" si="43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44"/>
        <v>https://d0f6bd738d7f1b3e5a7ca70fe4ff75f0.us-east-1.aws.found.io/app/kibana#/discover/Steve-Slow-Train-Analysis-(2080s-and-2083s)?_g=(refreshInterval:(display:Off,pause:!f,section:0,value:0),time:(from:'2017-08-20T19:39:52-0600',mode:absolute,to:'2017-08-20T22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0" s="197" t="str">
        <f>IF(AA140&lt;VLOOKUP(AG140,Variables!$AC$3:$AD$8,2,FALSE),"Y","N")</f>
        <v>N</v>
      </c>
      <c r="X140" s="197">
        <f t="shared" si="45"/>
        <v>1</v>
      </c>
      <c r="Y140" s="197">
        <f t="shared" si="46"/>
        <v>23.3093</v>
      </c>
      <c r="Z140" s="197">
        <f t="shared" si="47"/>
        <v>1.2500000000000001E-2</v>
      </c>
      <c r="AA140" s="197">
        <f t="shared" si="48"/>
        <v>23.296800000000001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6">
        <f t="shared" si="49"/>
        <v>226</v>
      </c>
      <c r="AE140" s="77" t="str">
        <f t="shared" si="50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140" s="74" t="str">
        <f t="shared" si="51"/>
        <v>"C:\Program Files (x86)\AstroGrep\AstroGrep.exe" /e /r /s /spath="%USERPROFILE%\AppData\Local\Temp\OnboardLogs" /stypes="app*4057*20170821*" /stext=" 03:.+((SYSTEM_STATE.+slice.+state.+changed )|(ment ac)|(multiple cpu faults)|(system.+state.+changed )|(\[timeout)|(PRM\|1\|D)|(kpr)|(kdp)|(train st.+moving)|(\|lc)|(penalty))"</v>
      </c>
      <c r="AG140" s="209" t="str">
        <f t="shared" si="52"/>
        <v>EC</v>
      </c>
      <c r="AH140" s="78" t="str">
        <f t="shared" si="53"/>
        <v>"%USERPROFILE%\Documents\GitHub\eaglep3\Utilities\RefineRTDCRunTimes.py" --tripid 226-20 --locoid 4057 --swversion DE.1.0.9.0 --startMP 204:233093 --initTime 2017-08-20T20:39:52 --startdatetime 2017-08-20T20:57:50 --delay 1 --endMP 204:125 --enddatetime 2017-08-20T21:35:16 --enforcementcount 0 &gt;&gt;C:\Users\stu\Documents\GitHub\eaglep3-reporting\EC\2017-08-20-refined-times.txt</v>
      </c>
      <c r="AI140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{"issue":{"subject":"","project_id":79,"tracker_id":40,"status_id":1,"priority_id":2,"assigned_to_id":23,"start_date":"2017-08-20","description":"","custom_fields":[{"id":1,"name":"Subdivision","value":"EC"},{"id":4,"name":"Milepost","value":"0.0125"},{"id":17,"name":"Train ID","value":"226-20"},{"id":16,"name":"Locomotive ID","value":"4057"},{"id":130,"name":"Impact","value":""},{"id":150,"name":"Time of Event (Mountain Time)","value":"21:35:16"},{"id":151,"name":"Denver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5"/>
        <v>start /low /b %USERPROFILE%\Documents\GitHub\eaglep3\Utilities\DownloadLogsFromS3.py --loco 4057 --day 2017-08-20</v>
      </c>
      <c r="AN140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03:35:16"},{"id":29,"name":"Sharepoint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744</v>
      </c>
      <c r="B141" s="7">
        <v>4018</v>
      </c>
      <c r="C141" s="21" t="s">
        <v>198</v>
      </c>
      <c r="D141" s="21" t="s">
        <v>429</v>
      </c>
      <c r="E141" s="13">
        <v>42967.8512962963</v>
      </c>
      <c r="F141" s="13">
        <v>42967.854733796295</v>
      </c>
      <c r="G141" s="7">
        <v>1</v>
      </c>
      <c r="H141" s="21" t="s">
        <v>491</v>
      </c>
      <c r="I141" s="13">
        <v>42967.878946759258</v>
      </c>
      <c r="J141" s="7">
        <v>0</v>
      </c>
      <c r="K141" s="89" t="str">
        <f t="shared" si="39"/>
        <v>4017/4018</v>
      </c>
      <c r="L141" s="21" t="str">
        <f>VLOOKUP(A141,'Trips&amp;Operators'!$C$1:$G$99911,5,FALSE)</f>
        <v>BIRENBAUM THOMAS</v>
      </c>
      <c r="M141" s="6">
        <f t="shared" si="40"/>
        <v>2.421296296233777E-2</v>
      </c>
      <c r="N141" s="7">
        <f t="shared" si="41"/>
        <v>34.866666665766388</v>
      </c>
      <c r="O141" s="7"/>
      <c r="P141" s="7"/>
      <c r="Q141" s="22"/>
      <c r="R141" s="170"/>
      <c r="S141" s="213">
        <f t="shared" si="42"/>
        <v>1</v>
      </c>
      <c r="T141" s="195" t="str">
        <f t="shared" si="43"/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si="44"/>
        <v>https://d0f6bd738d7f1b3e5a7ca70fe4ff75f0.us-east-1.aws.found.io/app/kibana#/discover/Steve-Slow-Train-Analysis-(2080s-and-2083s)?_g=(refreshInterval:(display:Off,pause:!f,section:0,value:0),time:(from:'2017-08-20T19:25:52-0600',mode:absolute,to:'2017-08-20T22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197" t="str">
        <f>IF(AA141&lt;VLOOKUP(AG141,Variables!$AC$3:$AD$8,2,FALSE),"Y","N")</f>
        <v>N</v>
      </c>
      <c r="X141" s="197">
        <f t="shared" si="45"/>
        <v>1</v>
      </c>
      <c r="Y141" s="197">
        <f t="shared" si="46"/>
        <v>4.2700000000000002E-2</v>
      </c>
      <c r="Z141" s="197">
        <f t="shared" si="47"/>
        <v>23.33</v>
      </c>
      <c r="AA141" s="197">
        <f t="shared" si="48"/>
        <v>23.287299999999998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 t="shared" si="49"/>
        <v>227</v>
      </c>
      <c r="AE141" s="77" t="str">
        <f t="shared" si="50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141" s="74" t="str">
        <f t="shared" si="51"/>
        <v>"C:\Program Files (x86)\AstroGrep\AstroGrep.exe" /e /r /s /spath="%USERPROFILE%\AppData\Local\Temp\OnboardLogs" /stypes="app*4018*20170821*" /stext=" 03:.+((SYSTEM_STATE.+slice.+state.+changed )|(ment ac)|(multiple cpu faults)|(system.+state.+changed )|(\[timeout)|(PRM\|1\|D)|(kpr)|(kdp)|(train st.+moving)|(\|lc)|(penalty))"</v>
      </c>
      <c r="AG141" s="209" t="str">
        <f t="shared" si="52"/>
        <v>EC</v>
      </c>
      <c r="AH141" s="78" t="str">
        <f t="shared" si="53"/>
        <v>"%USERPROFILE%\Documents\GitHub\eaglep3\Utilities\RefineRTDCRunTimes.py" --tripid 227-20 --locoid 4018 --swversion DE.1.0.9.0 --startMP 204:427 --initTime 2017-08-20T20:25:52 --startdatetime 2017-08-20T20:30:49 --delay 1 --endMP 204:233300 --enddatetime 2017-08-20T21:05:41 --enforcementcount 0 &gt;&gt;C:\Users\stu\Documents\GitHub\eaglep3-reporting\EC\2017-08-20-refined-times.txt</v>
      </c>
      <c r="AI141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{"issue":{"subject":"","project_id":79,"tracker_id":40,"status_id":1,"priority_id":2,"assigned_to_id":23,"start_date":"2017-08-20","description":"","custom_fields":[{"id":1,"name":"Subdivision","value":"EC"},{"id":4,"name":"Milepost","value":"23.33"},{"id":17,"name":"Train ID","value":"227-20"},{"id":16,"name":"Locomotive ID","value":"4018"},{"id":130,"name":"Impact","value":""},{"id":150,"name":"Time of Event (Mountain Time)","value":"21:05:41"},{"id":151,"name":"Denver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5"/>
        <v>start /low /b %USERPROFILE%\Documents\GitHub\eaglep3\Utilities\DownloadLogsFromS3.py --loco 4018 --day 2017-08-20</v>
      </c>
      <c r="AN141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03:05:41"},{"id":29,"name":"Sharepoint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749</v>
      </c>
      <c r="B142" s="7">
        <v>4017</v>
      </c>
      <c r="C142" s="21" t="s">
        <v>198</v>
      </c>
      <c r="D142" s="21" t="s">
        <v>488</v>
      </c>
      <c r="E142" s="13">
        <v>42967.890740740739</v>
      </c>
      <c r="F142" s="13">
        <v>42967.893946759257</v>
      </c>
      <c r="G142" s="7">
        <v>1</v>
      </c>
      <c r="H142" s="21" t="s">
        <v>399</v>
      </c>
      <c r="I142" s="13">
        <v>42967.919756944444</v>
      </c>
      <c r="J142" s="7">
        <v>0</v>
      </c>
      <c r="K142" s="89" t="str">
        <f t="shared" ref="K142:K204" si="74">IF(ISEVEN(B142),(B142-1)&amp;"/"&amp;B142,B142&amp;"/"&amp;(B142+1))</f>
        <v>4017/4018</v>
      </c>
      <c r="L142" s="21" t="str">
        <f>VLOOKUP(A142,'Trips&amp;Operators'!$C$1:$G$99911,5,FALSE)</f>
        <v>BIRENBAUM THOMAS</v>
      </c>
      <c r="M142" s="6">
        <f t="shared" ref="M142:M204" si="75">I142-F142</f>
        <v>2.5810185186855961E-2</v>
      </c>
      <c r="N142" s="7">
        <f t="shared" ref="N142:P204" si="76">24*60*SUM($M142:$M142)</f>
        <v>37.166666669072583</v>
      </c>
      <c r="O142" s="7"/>
      <c r="P142" s="7"/>
      <c r="Q142" s="22"/>
      <c r="R142" s="170"/>
      <c r="S142" s="213">
        <f t="shared" ref="S142:S204" si="77">1/IF(AG142="EC",12,1)*SUM(U142:U142)</f>
        <v>1</v>
      </c>
      <c r="T142" s="195" t="str">
        <f t="shared" ref="T142:T204" si="78"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ref="V142:V204" si="7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-08-20T20:22:40-0600',mode:absolute,to:'2017-08-20T23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197" t="str">
        <f>IF(AA142&lt;VLOOKUP(AG142,Variables!$AC$3:$AD$8,2,FALSE),"Y","N")</f>
        <v>N</v>
      </c>
      <c r="X142" s="197">
        <f t="shared" ref="X142:X204" si="80">VALUE(LEFT(AD142,4))-VALUE(LEFT(AD141,4))</f>
        <v>1</v>
      </c>
      <c r="Y142" s="197">
        <f t="shared" ref="Y142:Y204" si="81">RIGHT(D142,LEN(D142)-4)/10000</f>
        <v>23.299299999999999</v>
      </c>
      <c r="Z142" s="197">
        <f t="shared" ref="Z142:Z204" si="82">RIGHT(H142,LEN(H142)-4)/10000</f>
        <v>1.6E-2</v>
      </c>
      <c r="AA142" s="197">
        <f t="shared" ref="AA142:AA204" si="83">ABS(Z142-Y142)</f>
        <v>23.283300000000001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 t="shared" ref="AD142:AD204" si="84">VALUE(LEFT(A142,LEN(A142)-3))</f>
        <v>228</v>
      </c>
      <c r="AE142" s="77" t="str">
        <f t="shared" ref="AE142:AE204" si="85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142" s="74" t="str">
        <f t="shared" ref="AF142:AF204" si="86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/stypes="app*4017*20170821*" /stext=" 04:.+((SYSTEM_STATE.+slice.+state.+changed )|(ment ac)|(multiple cpu faults)|(system.+state.+changed )|(\[timeout)|(PRM\|1\|D)|(kpr)|(kdp)|(train st.+moving)|(\|lc)|(penalty))"</v>
      </c>
      <c r="AG142" s="209" t="str">
        <f t="shared" ref="AG142:AG204" si="87">DetSubdiv(A142)</f>
        <v>EC</v>
      </c>
      <c r="AH142" s="78" t="str">
        <f t="shared" si="53"/>
        <v>"%USERPROFILE%\Documents\GitHub\eaglep3\Utilities\RefineRTDCRunTimes.py" --tripid 228-20 --locoid 4017 --swversion DE.1.0.9.0 --startMP 204:232993 --initTime 2017-08-20T21:22:40 --startdatetime 2017-08-20T21:27:17 --delay 1 --endMP 204:160 --enddatetime 2017-08-20T22:04:27 --enforcementcount 0 &gt;&gt;C:\Users\stu\Documents\GitHub\eaglep3-reporting\EC\2017-08-20-refined-times.txt</v>
      </c>
      <c r="AI142" s="96" t="str">
        <f t="shared" si="54"/>
        <v>echo {"issue":{"subject":"","project_id":79,"tracker_id":40,"status_id":1,"priority_id":2,"assigned_to_id":23,"start_date":"2017-08-20","description":"","custom_fields":[{"id":1,"name":"Subdivision","value":"EC"},{"id":4,"name":"Milepost","value":"0.016"},{"id":17,"name":"Train ID","value":"228-20"},{"id":16,"name":"Locomotive ID","value":"4017"},{"id":130,"name":"Impact","value":""},{"id":150,"name":"Time of Event (Mountain Time)","value":"22:04:27"},{"id":151,"name":"Denver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5"/>
        <v>start /low /b %USERPROFILE%\Documents\GitHub\eaglep3\Utilities\DownloadLogsFromS3.py --loco 4017 --day 2017-08-20</v>
      </c>
      <c r="AN142" s="151" t="str">
        <f t="shared" si="56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04:04:27"},{"id":29,"name":"Sharepoint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747</v>
      </c>
      <c r="B143" s="7">
        <v>4006</v>
      </c>
      <c r="C143" s="21" t="s">
        <v>198</v>
      </c>
      <c r="D143" s="21" t="s">
        <v>371</v>
      </c>
      <c r="E143" s="13">
        <v>42967.862280092595</v>
      </c>
      <c r="F143" s="13">
        <v>42967.875509259262</v>
      </c>
      <c r="G143" s="7">
        <v>1</v>
      </c>
      <c r="H143" s="21" t="s">
        <v>883</v>
      </c>
      <c r="I143" s="13">
        <v>42967.901886574073</v>
      </c>
      <c r="J143" s="7">
        <v>0</v>
      </c>
      <c r="K143" s="89" t="str">
        <f t="shared" si="74"/>
        <v>4005/4006</v>
      </c>
      <c r="L143" s="21" t="str">
        <f>VLOOKUP(A143,'Trips&amp;Operators'!$C$1:$G$99911,5,FALSE)</f>
        <v>DUNCAN SHEILA</v>
      </c>
      <c r="M143" s="6">
        <f t="shared" si="75"/>
        <v>2.6377314810815733E-2</v>
      </c>
      <c r="N143" s="7">
        <f t="shared" si="76"/>
        <v>37.983333327574655</v>
      </c>
      <c r="O143" s="7"/>
      <c r="P143" s="7"/>
      <c r="Q143" s="22"/>
      <c r="R143" s="170"/>
      <c r="S143" s="213">
        <f t="shared" si="77"/>
        <v>1</v>
      </c>
      <c r="T143" s="195" t="str">
        <f t="shared" si="78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79"/>
        <v>https://d0f6bd738d7f1b3e5a7ca70fe4ff75f0.us-east-1.aws.found.io/app/kibana#/discover/Steve-Slow-Train-Analysis-(2080s-and-2083s)?_g=(refreshInterval:(display:Off,pause:!f,section:0,value:0),time:(from:'2017-08-20T19:41:41-0600',mode:absolute,to:'2017-08-20T22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3" s="197" t="str">
        <f>IF(AA143&lt;VLOOKUP(AG143,Variables!$AC$3:$AD$8,2,FALSE),"Y","N")</f>
        <v>N</v>
      </c>
      <c r="X143" s="197">
        <f t="shared" si="80"/>
        <v>1</v>
      </c>
      <c r="Y143" s="197">
        <f t="shared" si="81"/>
        <v>4.5499999999999999E-2</v>
      </c>
      <c r="Z143" s="197">
        <f t="shared" si="82"/>
        <v>23.324200000000001</v>
      </c>
      <c r="AA143" s="197">
        <f t="shared" si="83"/>
        <v>23.278700000000001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 t="shared" si="84"/>
        <v>229</v>
      </c>
      <c r="AE143" s="77" t="str">
        <f t="shared" si="85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143" s="74" t="str">
        <f t="shared" si="86"/>
        <v>"C:\Program Files (x86)\AstroGrep\AstroGrep.exe" /e /r /s /spath="%USERPROFILE%\AppData\Local\Temp\OnboardLogs" /stypes="app*4006*20170821*" /stext=" 03:.+((SYSTEM_STATE.+slice.+state.+changed )|(ment ac)|(multiple cpu faults)|(system.+state.+changed )|(\[timeout)|(PRM\|1\|D)|(kpr)|(kdp)|(train st.+moving)|(\|lc)|(penalty))"</v>
      </c>
      <c r="AG143" s="209" t="str">
        <f t="shared" si="87"/>
        <v>EC</v>
      </c>
      <c r="AH143" s="78" t="str">
        <f t="shared" ref="AH143:AH205" si="88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229-20 --locoid 4006 --swversion DE.1.0.9.0 --startMP 204:455 --initTime 2017-08-20T20:41:41 --startdatetime 2017-08-20T21:00:44 --delay 1 --endMP 204:233242 --enddatetime 2017-08-20T21:38:43 --enforcementcount 0 &gt;&gt;C:\Users\stu\Documents\GitHub\eaglep3-reporting\EC\2017-08-20-refined-times.txt</v>
      </c>
      <c r="AI143" s="96" t="str">
        <f t="shared" ref="AI143:AI205" si="89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{"issue":{"subject":"","project_id":79,"tracker_id":40,"status_id":1,"priority_id":2,"assigned_to_id":23,"start_date":"2017-08-20","description":"","custom_fields":[{"id":1,"name":"Subdivision","value":"EC"},{"id":4,"name":"Milepost","value":"23.3242"},{"id":17,"name":"Train ID","value":"229-20"},{"id":16,"name":"Locomotive ID","value":"4006"},{"id":130,"name":"Impact","value":""},{"id":150,"name":"Time of Event (Mountain Time)","value":"21:38:43"},{"id":151,"name":"Denver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5" si="90">"start /low /b "&amp;dls3logs&amp;" --loco "&amp;B143&amp;" --day "&amp;TEXT(F143,"YYYY-MM-DD")</f>
        <v>start /low /b %USERPROFILE%\Documents\GitHub\eaglep3\Utilities\DownloadLogsFromS3.py --loco 4006 --day 2017-08-20</v>
      </c>
      <c r="AN143" s="151" t="str">
        <f t="shared" ref="AN143:AN205" si="91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03:38:43"},{"id":29,"name":"Sharepoint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568</v>
      </c>
      <c r="B144" s="7">
        <v>4005</v>
      </c>
      <c r="C144" s="21" t="s">
        <v>198</v>
      </c>
      <c r="D144" s="21" t="s">
        <v>512</v>
      </c>
      <c r="E144" s="13">
        <v>42967.910405092596</v>
      </c>
      <c r="F144" s="13">
        <v>42967.914872685185</v>
      </c>
      <c r="G144" s="7">
        <v>1</v>
      </c>
      <c r="H144" s="21" t="s">
        <v>340</v>
      </c>
      <c r="I144" s="13">
        <v>42967.941377314812</v>
      </c>
      <c r="J144" s="7">
        <v>0</v>
      </c>
      <c r="K144" s="89" t="str">
        <f t="shared" si="74"/>
        <v>4005/4006</v>
      </c>
      <c r="L144" s="21" t="str">
        <f>VLOOKUP(A144,'Trips&amp;Operators'!$C$1:$G$99911,5,FALSE)</f>
        <v>DUNCAN SHEILA</v>
      </c>
      <c r="M144" s="6">
        <f t="shared" si="75"/>
        <v>2.6504629626288079E-2</v>
      </c>
      <c r="N144" s="7">
        <f t="shared" si="76"/>
        <v>38.166666661854833</v>
      </c>
      <c r="O144" s="7"/>
      <c r="P144" s="7"/>
      <c r="Q144" s="22"/>
      <c r="R144" s="170"/>
      <c r="S144" s="213">
        <f t="shared" si="77"/>
        <v>1</v>
      </c>
      <c r="T144" s="195" t="str">
        <f t="shared" si="78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79"/>
        <v>https://d0f6bd738d7f1b3e5a7ca70fe4ff75f0.us-east-1.aws.found.io/app/kibana#/discover/Steve-Slow-Train-Analysis-(2080s-and-2083s)?_g=(refreshInterval:(display:Off,pause:!f,section:0,value:0),time:(from:'2017-08-20T20:50:59-0600',mode:absolute,to:'2017-08-20T23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4" s="197" t="str">
        <f>IF(AA144&lt;VLOOKUP(AG144,Variables!$AC$3:$AD$8,2,FALSE),"Y","N")</f>
        <v>N</v>
      </c>
      <c r="X144" s="197">
        <f t="shared" si="80"/>
        <v>1</v>
      </c>
      <c r="Y144" s="197">
        <f t="shared" si="81"/>
        <v>23.298500000000001</v>
      </c>
      <c r="Z144" s="197">
        <f t="shared" si="82"/>
        <v>1.4999999999999999E-2</v>
      </c>
      <c r="AA144" s="197">
        <f t="shared" si="83"/>
        <v>23.2835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 t="shared" si="84"/>
        <v>230</v>
      </c>
      <c r="AE144" s="77" t="str">
        <f t="shared" si="85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144" s="74" t="str">
        <f t="shared" si="86"/>
        <v>"C:\Program Files (x86)\AstroGrep\AstroGrep.exe" /e /r /s /spath="%USERPROFILE%\AppData\Local\Temp\OnboardLogs" /stypes="app*4005*20170821*" /stext=" 04:.+((SYSTEM_STATE.+slice.+state.+changed )|(ment ac)|(multiple cpu faults)|(system.+state.+changed )|(\[timeout)|(PRM\|1\|D)|(kpr)|(kdp)|(train st.+moving)|(\|lc)|(penalty))"</v>
      </c>
      <c r="AG144" s="209" t="str">
        <f t="shared" si="87"/>
        <v>EC</v>
      </c>
      <c r="AH144" s="78" t="str">
        <f t="shared" si="88"/>
        <v>"%USERPROFILE%\Documents\GitHub\eaglep3\Utilities\RefineRTDCRunTimes.py" --tripid 230-20 --locoid 4005 --swversion DE.1.0.9.0 --startMP 204:232985 --initTime 2017-08-20T21:50:59 --startdatetime 2017-08-20T21:57:25 --delay 1 --endMP 204:150 --enddatetime 2017-08-20T22:35:35 --enforcementcount 0 &gt;&gt;C:\Users\stu\Documents\GitHub\eaglep3-reporting\EC\2017-08-20-refined-times.txt</v>
      </c>
      <c r="AI144" s="96" t="str">
        <f t="shared" si="89"/>
        <v>echo {"issue":{"subject":"","project_id":79,"tracker_id":40,"status_id":1,"priority_id":2,"assigned_to_id":23,"start_date":"2017-08-20","description":"","custom_fields":[{"id":1,"name":"Subdivision","value":"EC"},{"id":4,"name":"Milepost","value":"0.015"},{"id":17,"name":"Train ID","value":"230-20"},{"id":16,"name":"Locomotive ID","value":"4005"},{"id":130,"name":"Impact","value":""},{"id":150,"name":"Time of Event (Mountain Time)","value":"22:35:35"},{"id":151,"name":"Denver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90"/>
        <v>start /low /b %USERPROFILE%\Documents\GitHub\eaglep3\Utilities\DownloadLogsFromS3.py --loco 4005 --day 2017-08-20</v>
      </c>
      <c r="AN144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04:35:35"},{"id":29,"name":"Sharepoint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748</v>
      </c>
      <c r="B145" s="7">
        <v>4054</v>
      </c>
      <c r="C145" s="21" t="s">
        <v>198</v>
      </c>
      <c r="D145" s="21" t="s">
        <v>343</v>
      </c>
      <c r="E145" s="13">
        <v>42967.887731481482</v>
      </c>
      <c r="F145" s="13">
        <v>42967.896365740744</v>
      </c>
      <c r="G145" s="7">
        <v>1</v>
      </c>
      <c r="H145" s="21" t="s">
        <v>774</v>
      </c>
      <c r="I145" s="13">
        <v>42967.92083333333</v>
      </c>
      <c r="J145" s="7">
        <v>0</v>
      </c>
      <c r="K145" s="89" t="str">
        <f t="shared" si="74"/>
        <v>4053/4054</v>
      </c>
      <c r="L145" s="21" t="str">
        <f>VLOOKUP(A145,'Trips&amp;Operators'!$C$1:$G$99911,5,FALSE)</f>
        <v>SMITH MICHAEL</v>
      </c>
      <c r="M145" s="6">
        <f t="shared" si="75"/>
        <v>2.4467592586006504E-2</v>
      </c>
      <c r="N145" s="7">
        <f t="shared" si="76"/>
        <v>35.233333323849365</v>
      </c>
      <c r="O145" s="7"/>
      <c r="P145" s="7"/>
      <c r="Q145" s="22"/>
      <c r="R145" s="170"/>
      <c r="S145" s="213">
        <f t="shared" si="77"/>
        <v>1</v>
      </c>
      <c r="T145" s="195" t="str">
        <f t="shared" si="78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79"/>
        <v>https://d0f6bd738d7f1b3e5a7ca70fe4ff75f0.us-east-1.aws.found.io/app/kibana#/discover/Steve-Slow-Train-Analysis-(2080s-and-2083s)?_g=(refreshInterval:(display:Off,pause:!f,section:0,value:0),time:(from:'2017-08-20T20:18:20-0600',mode:absolute,to:'2017-08-20T23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5" s="197" t="str">
        <f>IF(AA145&lt;VLOOKUP(AG145,Variables!$AC$3:$AD$8,2,FALSE),"Y","N")</f>
        <v>N</v>
      </c>
      <c r="X145" s="197">
        <f t="shared" si="80"/>
        <v>1</v>
      </c>
      <c r="Y145" s="197">
        <f t="shared" si="81"/>
        <v>4.5100000000000001E-2</v>
      </c>
      <c r="Z145" s="197">
        <f t="shared" si="82"/>
        <v>23.331499999999998</v>
      </c>
      <c r="AA145" s="197">
        <f t="shared" si="83"/>
        <v>23.286399999999997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 t="shared" si="84"/>
        <v>231</v>
      </c>
      <c r="AE145" s="77" t="str">
        <f t="shared" si="85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145" s="74" t="str">
        <f t="shared" si="86"/>
        <v>"C:\Program Files (x86)\AstroGrep\AstroGrep.exe" /e /r /s /spath="%USERPROFILE%\AppData\Local\Temp\OnboardLogs" /stypes="app*4054*20170821*" /stext=" 04:.+((SYSTEM_STATE.+slice.+state.+changed )|(ment ac)|(multiple cpu faults)|(system.+state.+changed )|(\[timeout)|(PRM\|1\|D)|(kpr)|(kdp)|(train st.+moving)|(\|lc)|(penalty))"</v>
      </c>
      <c r="AG145" s="209" t="str">
        <f t="shared" si="87"/>
        <v>EC</v>
      </c>
      <c r="AH145" s="78" t="str">
        <f t="shared" si="88"/>
        <v>"%USERPROFILE%\Documents\GitHub\eaglep3\Utilities\RefineRTDCRunTimes.py" --tripid 231-20 --locoid 4054 --swversion DE.1.0.9.0 --startMP 204:451 --initTime 2017-08-20T21:18:20 --startdatetime 2017-08-20T21:30:46 --delay 1 --endMP 204:233315 --enddatetime 2017-08-20T22:06:00 --enforcementcount 0 &gt;&gt;C:\Users\stu\Documents\GitHub\eaglep3-reporting\EC\2017-08-20-refined-times.txt</v>
      </c>
      <c r="AI145" s="96" t="str">
        <f t="shared" si="89"/>
        <v>echo {"issue":{"subject":"","project_id":79,"tracker_id":40,"status_id":1,"priority_id":2,"assigned_to_id":23,"start_date":"2017-08-20","description":"","custom_fields":[{"id":1,"name":"Subdivision","value":"EC"},{"id":4,"name":"Milepost","value":"23.3315"},{"id":17,"name":"Train ID","value":"231-20"},{"id":16,"name":"Locomotive ID","value":"4054"},{"id":130,"name":"Impact","value":""},{"id":150,"name":"Time of Event (Mountain Time)","value":"22:06:00"},{"id":151,"name":"Denver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90"/>
        <v>start /low /b %USERPROFILE%\Documents\GitHub\eaglep3\Utilities\DownloadLogsFromS3.py --loco 4054 --day 2017-08-20</v>
      </c>
      <c r="AN145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752</v>
      </c>
      <c r="B146" s="7">
        <v>4053</v>
      </c>
      <c r="C146" s="21" t="s">
        <v>198</v>
      </c>
      <c r="D146" s="21" t="s">
        <v>488</v>
      </c>
      <c r="E146" s="13">
        <v>42967.93236111111</v>
      </c>
      <c r="F146" s="13">
        <v>42967.935763888891</v>
      </c>
      <c r="G146" s="7">
        <v>1</v>
      </c>
      <c r="H146" s="21" t="s">
        <v>400</v>
      </c>
      <c r="I146" s="13">
        <v>42967.961956018517</v>
      </c>
      <c r="J146" s="7">
        <v>0</v>
      </c>
      <c r="K146" s="89" t="str">
        <f t="shared" si="74"/>
        <v>4053/4054</v>
      </c>
      <c r="L146" s="21" t="str">
        <f>VLOOKUP(A146,'Trips&amp;Operators'!$C$1:$G$99911,5,FALSE)</f>
        <v>SMITH MICHAEL</v>
      </c>
      <c r="M146" s="6">
        <f t="shared" si="75"/>
        <v>2.619212962599704E-2</v>
      </c>
      <c r="N146" s="7">
        <f t="shared" si="76"/>
        <v>37.716666661435738</v>
      </c>
      <c r="O146" s="7"/>
      <c r="P146" s="7"/>
      <c r="Q146" s="22"/>
      <c r="R146" s="170"/>
      <c r="S146" s="213">
        <f t="shared" si="77"/>
        <v>1</v>
      </c>
      <c r="T146" s="195" t="str">
        <f t="shared" si="78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79"/>
        <v>https://d0f6bd738d7f1b3e5a7ca70fe4ff75f0.us-east-1.aws.found.io/app/kibana#/discover/Steve-Slow-Train-Analysis-(2080s-and-2083s)?_g=(refreshInterval:(display:Off,pause:!f,section:0,value:0),time:(from:'2017-08-20T21:22:36-0600',mode:absolute,to:'2017-08-21T00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6" s="197" t="str">
        <f>IF(AA146&lt;VLOOKUP(AG146,Variables!$AC$3:$AD$8,2,FALSE),"Y","N")</f>
        <v>N</v>
      </c>
      <c r="X146" s="197">
        <f t="shared" si="80"/>
        <v>1</v>
      </c>
      <c r="Y146" s="197">
        <f t="shared" si="81"/>
        <v>23.299299999999999</v>
      </c>
      <c r="Z146" s="197">
        <f t="shared" si="82"/>
        <v>1.6299999999999999E-2</v>
      </c>
      <c r="AA146" s="197">
        <f t="shared" si="83"/>
        <v>23.282999999999998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 t="shared" si="84"/>
        <v>232</v>
      </c>
      <c r="AE146" s="77" t="str">
        <f t="shared" si="85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146" s="74" t="str">
        <f t="shared" si="86"/>
        <v>"C:\Program Files (x86)\AstroGrep\AstroGrep.exe" /e /r /s /spath="%USERPROFILE%\AppData\Local\Temp\OnboardLogs" /stypes="app*4053*20170821*" /stext=" 05:.+((SYSTEM_STATE.+slice.+state.+changed )|(ment ac)|(multiple cpu faults)|(system.+state.+changed )|(\[timeout)|(PRM\|1\|D)|(kpr)|(kdp)|(train st.+moving)|(\|lc)|(penalty))"</v>
      </c>
      <c r="AG146" s="209" t="str">
        <f t="shared" si="87"/>
        <v>EC</v>
      </c>
      <c r="AH146" s="78" t="str">
        <f t="shared" si="88"/>
        <v>"%USERPROFILE%\Documents\GitHub\eaglep3\Utilities\RefineRTDCRunTimes.py" --tripid 232-20 --locoid 4053 --swversion DE.1.0.9.0 --startMP 204:232993 --initTime 2017-08-20T22:22:36 --startdatetime 2017-08-20T22:27:30 --delay 1 --endMP 204:163 --enddatetime 2017-08-20T23:05:13 --enforcementcount 0 &gt;&gt;C:\Users\stu\Documents\GitHub\eaglep3-reporting\EC\2017-08-20-refined-times.txt</v>
      </c>
      <c r="AI146" s="96" t="str">
        <f t="shared" si="89"/>
        <v>echo {"issue":{"subject":"","project_id":79,"tracker_id":40,"status_id":1,"priority_id":2,"assigned_to_id":23,"start_date":"2017-08-20","description":"","custom_fields":[{"id":1,"name":"Subdivision","value":"EC"},{"id":4,"name":"Milepost","value":"0.0163"},{"id":17,"name":"Train ID","value":"232-20"},{"id":16,"name":"Locomotive ID","value":"4053"},{"id":130,"name":"Impact","value":""},{"id":150,"name":"Time of Event (Mountain Time)","value":"23:05:13"},{"id":151,"name":"Denver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90"/>
        <v>start /low /b %USERPROFILE%\Documents\GitHub\eaglep3\Utilities\DownloadLogsFromS3.py --loco 4053 --day 2017-08-20</v>
      </c>
      <c r="AN146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05:05:13"},{"id":29,"name":"Sharepoint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750</v>
      </c>
      <c r="B147" s="7">
        <v>4058</v>
      </c>
      <c r="C147" s="21" t="s">
        <v>198</v>
      </c>
      <c r="D147" s="21" t="s">
        <v>414</v>
      </c>
      <c r="E147" s="13">
        <v>42967.904374999998</v>
      </c>
      <c r="F147" s="13">
        <v>42967.917187500003</v>
      </c>
      <c r="G147" s="7">
        <v>1</v>
      </c>
      <c r="H147" s="21" t="s">
        <v>876</v>
      </c>
      <c r="I147" s="13">
        <v>42967.941689814812</v>
      </c>
      <c r="J147" s="7">
        <v>0</v>
      </c>
      <c r="K147" s="89" t="str">
        <f t="shared" si="74"/>
        <v>4057/4058</v>
      </c>
      <c r="L147" s="21" t="str">
        <f>VLOOKUP(A147,'Trips&amp;Operators'!$C$1:$G$99911,5,FALSE)</f>
        <v>PERKINS DARREN</v>
      </c>
      <c r="M147" s="6">
        <f t="shared" si="75"/>
        <v>2.4502314809069503E-2</v>
      </c>
      <c r="N147" s="7">
        <f t="shared" si="76"/>
        <v>35.283333325060084</v>
      </c>
      <c r="O147" s="7"/>
      <c r="P147" s="7"/>
      <c r="Q147" s="22"/>
      <c r="R147" s="170"/>
      <c r="S147" s="213">
        <f t="shared" si="77"/>
        <v>1</v>
      </c>
      <c r="T147" s="195" t="str">
        <f t="shared" si="78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79"/>
        <v>https://d0f6bd738d7f1b3e5a7ca70fe4ff75f0.us-east-1.aws.found.io/app/kibana#/discover/Steve-Slow-Train-Analysis-(2080s-and-2083s)?_g=(refreshInterval:(display:Off,pause:!f,section:0,value:0),time:(from:'2017-08-20T20:42:18-0600',mode:absolute,to:'2017-08-20T23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7" s="197" t="str">
        <f>IF(AA147&lt;VLOOKUP(AG147,Variables!$AC$3:$AD$8,2,FALSE),"Y","N")</f>
        <v>N</v>
      </c>
      <c r="X147" s="197">
        <f t="shared" si="80"/>
        <v>1</v>
      </c>
      <c r="Y147" s="197">
        <f t="shared" si="81"/>
        <v>4.4400000000000002E-2</v>
      </c>
      <c r="Z147" s="197">
        <f t="shared" si="82"/>
        <v>23.338699999999999</v>
      </c>
      <c r="AA147" s="197">
        <f t="shared" si="83"/>
        <v>23.2943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 t="shared" si="84"/>
        <v>233</v>
      </c>
      <c r="AE147" s="77" t="str">
        <f t="shared" si="85"/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AF147" s="74" t="str">
        <f t="shared" si="86"/>
        <v>"C:\Program Files (x86)\AstroGrep\AstroGrep.exe" /e /r /s /spath="%USERPROFILE%\AppData\Local\Temp\OnboardLogs" /stypes="app*4058*20170821*" /stext=" 04:.+((SYSTEM_STATE.+slice.+state.+changed )|(ment ac)|(multiple cpu faults)|(system.+state.+changed )|(\[timeout)|(PRM\|1\|D)|(kpr)|(kdp)|(train st.+moving)|(\|lc)|(penalty))"</v>
      </c>
      <c r="AG147" s="209" t="str">
        <f t="shared" si="87"/>
        <v>EC</v>
      </c>
      <c r="AH147" s="78" t="str">
        <f t="shared" si="88"/>
        <v>"%USERPROFILE%\Documents\GitHub\eaglep3\Utilities\RefineRTDCRunTimes.py" --tripid 233-20 --locoid 4058 --swversion DE.1.0.9.0 --startMP 204:444 --initTime 2017-08-20T21:42:18 --startdatetime 2017-08-20T22:00:45 --delay 1 --endMP 204:233387 --enddatetime 2017-08-20T22:36:02 --enforcementcount 0 &gt;&gt;C:\Users\stu\Documents\GitHub\eaglep3-reporting\EC\2017-08-20-refined-times.txt</v>
      </c>
      <c r="AI147" s="96" t="str">
        <f t="shared" si="89"/>
        <v>echo {"issue":{"subject":"","project_id":79,"tracker_id":40,"status_id":1,"priority_id":2,"assigned_to_id":23,"start_date":"2017-08-20","description":"","custom_fields":[{"id":1,"name":"Subdivision","value":"EC"},{"id":4,"name":"Milepost","value":"23.3387"},{"id":17,"name":"Train ID","value":"233-20"},{"id":16,"name":"Locomotive ID","value":"4058"},{"id":130,"name":"Impact","value":""},{"id":150,"name":"Time of Event (Mountain Time)","value":"22:36:02"},{"id":151,"name":"Denver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90"/>
        <v>start /low /b %USERPROFILE%\Documents\GitHub\eaglep3\Utilities\DownloadLogsFromS3.py --loco 4058 --day 2017-08-20</v>
      </c>
      <c r="AN147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04:36:02"},{"id":29,"name":"Sharepoint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754</v>
      </c>
      <c r="B148" s="7">
        <v>4057</v>
      </c>
      <c r="C148" s="21" t="s">
        <v>198</v>
      </c>
      <c r="D148" s="21" t="s">
        <v>484</v>
      </c>
      <c r="E148" s="13">
        <v>42967.943437499998</v>
      </c>
      <c r="F148" s="13">
        <v>42967.956388888888</v>
      </c>
      <c r="G148" s="7">
        <v>1</v>
      </c>
      <c r="H148" s="21" t="s">
        <v>884</v>
      </c>
      <c r="I148" s="13">
        <v>42967.983287037037</v>
      </c>
      <c r="J148" s="7">
        <v>0</v>
      </c>
      <c r="K148" s="89" t="str">
        <f t="shared" si="74"/>
        <v>4057/4058</v>
      </c>
      <c r="L148" s="21" t="str">
        <f>VLOOKUP(A148,'Trips&amp;Operators'!$C$1:$G$99911,5,FALSE)</f>
        <v>PERKINS DARREN</v>
      </c>
      <c r="M148" s="6">
        <f t="shared" si="75"/>
        <v>2.6898148149484769E-2</v>
      </c>
      <c r="N148" s="7">
        <f t="shared" si="76"/>
        <v>38.733333335258067</v>
      </c>
      <c r="O148" s="7"/>
      <c r="P148" s="7"/>
      <c r="Q148" s="22"/>
      <c r="R148" s="170"/>
      <c r="S148" s="213">
        <f t="shared" si="77"/>
        <v>1</v>
      </c>
      <c r="T148" s="195" t="str">
        <f t="shared" si="78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79"/>
        <v>https://d0f6bd738d7f1b3e5a7ca70fe4ff75f0.us-east-1.aws.found.io/app/kibana#/discover/Steve-Slow-Train-Analysis-(2080s-and-2083s)?_g=(refreshInterval:(display:Off,pause:!f,section:0,value:0),time:(from:'2017-08-20T21:38:33-0600',mode:absolute,to:'2017-08-21T00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8" s="197" t="str">
        <f>IF(AA148&lt;VLOOKUP(AG148,Variables!$AC$3:$AD$8,2,FALSE),"Y","N")</f>
        <v>N</v>
      </c>
      <c r="X148" s="197">
        <f t="shared" si="80"/>
        <v>1</v>
      </c>
      <c r="Y148" s="197">
        <f t="shared" si="81"/>
        <v>23.3094</v>
      </c>
      <c r="Z148" s="197">
        <f t="shared" si="82"/>
        <v>1.09E-2</v>
      </c>
      <c r="AA148" s="197">
        <f t="shared" si="83"/>
        <v>23.298500000000001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6">
        <f t="shared" si="84"/>
        <v>234</v>
      </c>
      <c r="AE148" s="77" t="str">
        <f t="shared" si="85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148" s="74" t="str">
        <f t="shared" si="86"/>
        <v>"C:\Program Files (x86)\AstroGrep\AstroGrep.exe" /e /r /s /spath="%USERPROFILE%\AppData\Local\Temp\OnboardLogs" /stypes="app*4057*20170821*" /stext=" 05:.+((SYSTEM_STATE.+slice.+state.+changed )|(ment ac)|(multiple cpu faults)|(system.+state.+changed )|(\[timeout)|(PRM\|1\|D)|(kpr)|(kdp)|(train st.+moving)|(\|lc)|(penalty))"</v>
      </c>
      <c r="AG148" s="209" t="str">
        <f t="shared" si="87"/>
        <v>EC</v>
      </c>
      <c r="AH148" s="78" t="str">
        <f t="shared" si="88"/>
        <v>"%USERPROFILE%\Documents\GitHub\eaglep3\Utilities\RefineRTDCRunTimes.py" --tripid 234-20 --locoid 4057 --swversion DE.1.0.9.0 --startMP 204:233094 --initTime 2017-08-20T22:38:33 --startdatetime 2017-08-20T22:57:12 --delay 1 --endMP 204:109 --enddatetime 2017-08-20T23:35:56 --enforcementcount 0 &gt;&gt;C:\Users\stu\Documents\GitHub\eaglep3-reporting\EC\2017-08-20-refined-times.txt</v>
      </c>
      <c r="AI148" s="96" t="str">
        <f t="shared" si="89"/>
        <v>echo {"issue":{"subject":"","project_id":79,"tracker_id":40,"status_id":1,"priority_id":2,"assigned_to_id":23,"start_date":"2017-08-20","description":"","custom_fields":[{"id":1,"name":"Subdivision","value":"EC"},{"id":4,"name":"Milepost","value":"0.0109"},{"id":17,"name":"Train ID","value":"234-20"},{"id":16,"name":"Locomotive ID","value":"4057"},{"id":130,"name":"Impact","value":""},{"id":150,"name":"Time of Event (Mountain Time)","value":"23:35:56"},{"id":151,"name":"Denver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90"/>
        <v>start /low /b %USERPROFILE%\Documents\GitHub\eaglep3\Utilities\DownloadLogsFromS3.py --loco 4057 --day 2017-08-20</v>
      </c>
      <c r="AN148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05:35:56"},{"id":29,"name":"Sharepoint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751</v>
      </c>
      <c r="B149" s="7">
        <v>4018</v>
      </c>
      <c r="C149" s="21" t="s">
        <v>198</v>
      </c>
      <c r="D149" s="21" t="s">
        <v>360</v>
      </c>
      <c r="E149" s="13">
        <v>42967.927291666667</v>
      </c>
      <c r="F149" s="13">
        <v>42967.938287037039</v>
      </c>
      <c r="G149" s="7">
        <v>1</v>
      </c>
      <c r="H149" s="21" t="s">
        <v>425</v>
      </c>
      <c r="I149" s="13">
        <v>42967.963750000003</v>
      </c>
      <c r="J149" s="7">
        <v>0</v>
      </c>
      <c r="K149" s="89" t="str">
        <f t="shared" si="74"/>
        <v>4017/4018</v>
      </c>
      <c r="L149" s="21" t="str">
        <f>VLOOKUP(A149,'Trips&amp;Operators'!$C$1:$G$99911,5,FALSE)</f>
        <v>ZEWDU DEREJE</v>
      </c>
      <c r="M149" s="6">
        <f t="shared" si="75"/>
        <v>2.5462962963501923E-2</v>
      </c>
      <c r="N149" s="7">
        <f t="shared" si="76"/>
        <v>36.666666667442769</v>
      </c>
      <c r="O149" s="7"/>
      <c r="P149" s="7"/>
      <c r="Q149" s="22"/>
      <c r="R149" s="170"/>
      <c r="S149" s="213">
        <f t="shared" si="77"/>
        <v>1</v>
      </c>
      <c r="T149" s="195" t="str">
        <f t="shared" si="78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79"/>
        <v>https://d0f6bd738d7f1b3e5a7ca70fe4ff75f0.us-east-1.aws.found.io/app/kibana#/discover/Steve-Slow-Train-Analysis-(2080s-and-2083s)?_g=(refreshInterval:(display:Off,pause:!f,section:0,value:0),time:(from:'2017-08-20T21:15:18-0600',mode:absolute,to:'2017-08-21T00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197" t="str">
        <f>IF(AA149&lt;VLOOKUP(AG149,Variables!$AC$3:$AD$8,2,FALSE),"Y","N")</f>
        <v>N</v>
      </c>
      <c r="X149" s="197">
        <f t="shared" si="80"/>
        <v>1</v>
      </c>
      <c r="Y149" s="197">
        <f t="shared" si="81"/>
        <v>4.6199999999999998E-2</v>
      </c>
      <c r="Z149" s="197">
        <f t="shared" si="82"/>
        <v>23.330200000000001</v>
      </c>
      <c r="AA149" s="197">
        <f t="shared" si="83"/>
        <v>23.284000000000002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 t="shared" si="84"/>
        <v>235</v>
      </c>
      <c r="AE149" s="77" t="str">
        <f t="shared" si="85"/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AF149" s="74" t="str">
        <f t="shared" si="86"/>
        <v>"C:\Program Files (x86)\AstroGrep\AstroGrep.exe" /e /r /s /spath="%USERPROFILE%\AppData\Local\Temp\OnboardLogs" /stypes="app*4018*20170821*" /stext=" 05:.+((SYSTEM_STATE.+slice.+state.+changed )|(ment ac)|(multiple cpu faults)|(system.+state.+changed )|(\[timeout)|(PRM\|1\|D)|(kpr)|(kdp)|(train st.+moving)|(\|lc)|(penalty))"</v>
      </c>
      <c r="AG149" s="209" t="str">
        <f t="shared" si="87"/>
        <v>EC</v>
      </c>
      <c r="AH149" s="78" t="str">
        <f t="shared" si="88"/>
        <v>"%USERPROFILE%\Documents\GitHub\eaglep3\Utilities\RefineRTDCRunTimes.py" --tripid 235-20 --locoid 4018 --swversion DE.1.0.9.0 --startMP 204:462 --initTime 2017-08-20T22:15:18 --startdatetime 2017-08-20T22:31:08 --delay 1 --endMP 204:233302 --enddatetime 2017-08-20T23:07:48 --enforcementcount 0 &gt;&gt;C:\Users\stu\Documents\GitHub\eaglep3-reporting\EC\2017-08-20-refined-times.txt</v>
      </c>
      <c r="AI149" s="96" t="str">
        <f t="shared" si="89"/>
        <v>echo {"issue":{"subject":"","project_id":79,"tracker_id":40,"status_id":1,"priority_id":2,"assigned_to_id":23,"start_date":"2017-08-20","description":"","custom_fields":[{"id":1,"name":"Subdivision","value":"EC"},{"id":4,"name":"Milepost","value":"23.3302"},{"id":17,"name":"Train ID","value":"235-20"},{"id":16,"name":"Locomotive ID","value":"4018"},{"id":130,"name":"Impact","value":""},{"id":150,"name":"Time of Event (Mountain Time)","value":"23:07:48"},{"id":151,"name":"Denver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90"/>
        <v>start /low /b %USERPROFILE%\Documents\GitHub\eaglep3\Utilities\DownloadLogsFromS3.py --loco 4018 --day 2017-08-20</v>
      </c>
      <c r="AN149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05:07:48"},{"id":29,"name":"Sharepoint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755</v>
      </c>
      <c r="B150" s="7">
        <v>4017</v>
      </c>
      <c r="C150" s="21" t="s">
        <v>198</v>
      </c>
      <c r="D150" s="21" t="s">
        <v>437</v>
      </c>
      <c r="E150" s="13">
        <v>42967.971180555556</v>
      </c>
      <c r="F150" s="13">
        <v>42967.977256944447</v>
      </c>
      <c r="G150" s="7">
        <v>1</v>
      </c>
      <c r="H150" s="21" t="s">
        <v>386</v>
      </c>
      <c r="I150" s="13">
        <v>42968.003587962965</v>
      </c>
      <c r="J150" s="7">
        <v>0</v>
      </c>
      <c r="K150" s="89" t="str">
        <f t="shared" si="74"/>
        <v>4017/4018</v>
      </c>
      <c r="L150" s="21" t="str">
        <f>VLOOKUP(A150,'Trips&amp;Operators'!$C$1:$G$99911,5,FALSE)</f>
        <v>ZEWDU DEREJE</v>
      </c>
      <c r="M150" s="6">
        <f t="shared" si="75"/>
        <v>2.6331018518249039E-2</v>
      </c>
      <c r="N150" s="7">
        <f t="shared" si="76"/>
        <v>37.916666666278616</v>
      </c>
      <c r="O150" s="7"/>
      <c r="P150" s="7"/>
      <c r="Q150" s="22"/>
      <c r="R150" s="170"/>
      <c r="S150" s="213">
        <f t="shared" si="77"/>
        <v>1</v>
      </c>
      <c r="T150" s="195" t="str">
        <f t="shared" si="78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79"/>
        <v>https://d0f6bd738d7f1b3e5a7ca70fe4ff75f0.us-east-1.aws.found.io/app/kibana#/discover/Steve-Slow-Train-Analysis-(2080s-and-2083s)?_g=(refreshInterval:(display:Off,pause:!f,section:0,value:0),time:(from:'2017-08-20T22:18:30-0600',mode:absolute,to:'2017-08-21T01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197" t="str">
        <f>IF(AA150&lt;VLOOKUP(AG150,Variables!$AC$3:$AD$8,2,FALSE),"Y","N")</f>
        <v>N</v>
      </c>
      <c r="X150" s="197">
        <f t="shared" si="80"/>
        <v>1</v>
      </c>
      <c r="Y150" s="197">
        <f t="shared" si="81"/>
        <v>23.2989</v>
      </c>
      <c r="Z150" s="197">
        <f t="shared" si="82"/>
        <v>1.5800000000000002E-2</v>
      </c>
      <c r="AA150" s="197">
        <f t="shared" si="83"/>
        <v>23.283100000000001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6">
        <f t="shared" si="84"/>
        <v>236</v>
      </c>
      <c r="AE150" s="77" t="str">
        <f t="shared" si="85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150" s="74" t="str">
        <f t="shared" si="86"/>
        <v>"C:\Program Files (x86)\AstroGrep\AstroGrep.exe" /e /r /s /spath="%USERPROFILE%\AppData\Local\Temp\OnboardLogs" /stypes="app*4017*20170821*" /stext=" 06:.+((SYSTEM_STATE.+slice.+state.+changed )|(ment ac)|(multiple cpu faults)|(system.+state.+changed )|(\[timeout)|(PRM\|1\|D)|(kpr)|(kdp)|(train st.+moving)|(\|lc)|(penalty))"</v>
      </c>
      <c r="AG150" s="209" t="str">
        <f t="shared" si="87"/>
        <v>EC</v>
      </c>
      <c r="AH150" s="78" t="str">
        <f t="shared" si="88"/>
        <v>"%USERPROFILE%\Documents\GitHub\eaglep3\Utilities\RefineRTDCRunTimes.py" --tripid 236-20 --locoid 4017 --swversion DE.1.0.9.0 --startMP 204:232989 --initTime 2017-08-20T23:18:30 --startdatetime 2017-08-20T23:27:15 --delay 1 --endMP 204:158 --enddatetime 2017-08-21T00:05:10 --enforcementcount 0 &gt;&gt;C:\Users\stu\Documents\GitHub\eaglep3-reporting\EC\2017-08-20-refined-times.txt</v>
      </c>
      <c r="AI150" s="96" t="str">
        <f t="shared" si="89"/>
        <v>echo {"issue":{"subject":"","project_id":79,"tracker_id":40,"status_id":1,"priority_id":2,"assigned_to_id":23,"start_date":"2017-08-21","description":"","custom_fields":[{"id":1,"name":"Subdivision","value":"EC"},{"id":4,"name":"Milepost","value":"0.0158"},{"id":17,"name":"Train ID","value":"236-20"},{"id":16,"name":"Locomotive ID","value":"4017"},{"id":130,"name":"Impact","value":""},{"id":150,"name":"Time of Event (Mountain Time)","value":"00:05:10"},{"id":151,"name":"Denver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90"/>
        <v>start /low /b %USERPROFILE%\Documents\GitHub\eaglep3\Utilities\DownloadLogsFromS3.py --loco 4017 --day 2017-08-20</v>
      </c>
      <c r="AN150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06:05:10"},{"id":29,"name":"Sharepoint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753</v>
      </c>
      <c r="B151" s="7">
        <v>4006</v>
      </c>
      <c r="C151" s="21" t="s">
        <v>198</v>
      </c>
      <c r="D151" s="21" t="s">
        <v>394</v>
      </c>
      <c r="E151" s="13">
        <v>42967.942777777775</v>
      </c>
      <c r="F151" s="13">
        <v>42967.95884259259</v>
      </c>
      <c r="G151" s="7">
        <v>1</v>
      </c>
      <c r="H151" s="21" t="s">
        <v>509</v>
      </c>
      <c r="I151" s="13">
        <v>42967.983182870368</v>
      </c>
      <c r="J151" s="7">
        <v>0</v>
      </c>
      <c r="K151" s="89" t="str">
        <f t="shared" si="74"/>
        <v>4005/4006</v>
      </c>
      <c r="L151" s="21" t="str">
        <f>VLOOKUP(A151,'Trips&amp;Operators'!$C$1:$G$99911,5,FALSE)</f>
        <v>DUNCAN SHEILA</v>
      </c>
      <c r="M151" s="6">
        <f t="shared" si="75"/>
        <v>2.4340277777810115E-2</v>
      </c>
      <c r="N151" s="7">
        <f t="shared" si="76"/>
        <v>35.050000000046566</v>
      </c>
      <c r="O151" s="7"/>
      <c r="P151" s="7"/>
      <c r="Q151" s="22"/>
      <c r="R151" s="170"/>
      <c r="S151" s="213">
        <f t="shared" si="77"/>
        <v>1</v>
      </c>
      <c r="T151" s="195" t="str">
        <f t="shared" si="78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79"/>
        <v>https://d0f6bd738d7f1b3e5a7ca70fe4ff75f0.us-east-1.aws.found.io/app/kibana#/discover/Steve-Slow-Train-Analysis-(2080s-and-2083s)?_g=(refreshInterval:(display:Off,pause:!f,section:0,value:0),time:(from:'2017-08-20T21:37:36-0600',mode:absolute,to:'2017-08-21T00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1" s="197" t="str">
        <f>IF(AA151&lt;VLOOKUP(AG151,Variables!$AC$3:$AD$8,2,FALSE),"Y","N")</f>
        <v>N</v>
      </c>
      <c r="X151" s="197">
        <f t="shared" si="80"/>
        <v>1</v>
      </c>
      <c r="Y151" s="197">
        <f t="shared" si="81"/>
        <v>4.6399999999999997E-2</v>
      </c>
      <c r="Z151" s="197">
        <f t="shared" si="82"/>
        <v>23.332599999999999</v>
      </c>
      <c r="AA151" s="197">
        <f t="shared" si="83"/>
        <v>23.286200000000001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 t="shared" si="84"/>
        <v>237</v>
      </c>
      <c r="AE151" s="77" t="str">
        <f t="shared" si="85"/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AF151" s="74" t="str">
        <f t="shared" si="86"/>
        <v>"C:\Program Files (x86)\AstroGrep\AstroGrep.exe" /e /r /s /spath="%USERPROFILE%\AppData\Local\Temp\OnboardLogs" /stypes="app*4006*20170821*" /stext=" 05:.+((SYSTEM_STATE.+slice.+state.+changed )|(ment ac)|(multiple cpu faults)|(system.+state.+changed )|(\[timeout)|(PRM\|1\|D)|(kpr)|(kdp)|(train st.+moving)|(\|lc)|(penalty))"</v>
      </c>
      <c r="AG151" s="209" t="str">
        <f t="shared" si="87"/>
        <v>EC</v>
      </c>
      <c r="AH151" s="78" t="str">
        <f t="shared" si="88"/>
        <v>"%USERPROFILE%\Documents\GitHub\eaglep3\Utilities\RefineRTDCRunTimes.py" --tripid 237-20 --locoid 4006 --swversion DE.1.0.9.0 --startMP 204:464 --initTime 2017-08-20T22:37:36 --startdatetime 2017-08-20T23:00:44 --delay 1 --endMP 204:233326 --enddatetime 2017-08-20T23:35:47 --enforcementcount 0 &gt;&gt;C:\Users\stu\Documents\GitHub\eaglep3-reporting\EC\2017-08-20-refined-times.txt</v>
      </c>
      <c r="AI151" s="96" t="str">
        <f t="shared" si="89"/>
        <v>echo {"issue":{"subject":"","project_id":79,"tracker_id":40,"status_id":1,"priority_id":2,"assigned_to_id":23,"start_date":"2017-08-20","description":"","custom_fields":[{"id":1,"name":"Subdivision","value":"EC"},{"id":4,"name":"Milepost","value":"23.3326"},{"id":17,"name":"Train ID","value":"237-20"},{"id":16,"name":"Locomotive ID","value":"4006"},{"id":130,"name":"Impact","value":""},{"id":150,"name":"Time of Event (Mountain Time)","value":"23:35:47"},{"id":151,"name":"Denver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90"/>
        <v>start /low /b %USERPROFILE%\Documents\GitHub\eaglep3\Utilities\DownloadLogsFromS3.py --loco 4006 --day 2017-08-20</v>
      </c>
      <c r="AN151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757</v>
      </c>
      <c r="B152" s="7">
        <v>4005</v>
      </c>
      <c r="C152" s="21" t="s">
        <v>198</v>
      </c>
      <c r="D152" s="21" t="s">
        <v>482</v>
      </c>
      <c r="E152" s="13">
        <v>42967.984675925924</v>
      </c>
      <c r="F152" s="13">
        <v>42967.998090277775</v>
      </c>
      <c r="G152" s="7">
        <v>0</v>
      </c>
      <c r="H152" s="21" t="s">
        <v>397</v>
      </c>
      <c r="I152" s="13">
        <v>42968.025347222225</v>
      </c>
      <c r="J152" s="7">
        <v>0</v>
      </c>
      <c r="K152" s="89" t="str">
        <f t="shared" si="74"/>
        <v>4005/4006</v>
      </c>
      <c r="L152" s="21" t="str">
        <f>VLOOKUP(A152,'Trips&amp;Operators'!$C$1:$G$99911,5,FALSE)</f>
        <v>DUNCAN SHEILA</v>
      </c>
      <c r="M152" s="6">
        <f t="shared" si="75"/>
        <v>2.7256944449618459E-2</v>
      </c>
      <c r="N152" s="7">
        <f t="shared" si="76"/>
        <v>39.250000007450581</v>
      </c>
      <c r="O152" s="7"/>
      <c r="P152" s="7"/>
      <c r="Q152" s="22"/>
      <c r="R152" s="170"/>
      <c r="S152" s="213">
        <f t="shared" si="77"/>
        <v>1</v>
      </c>
      <c r="T152" s="195" t="str">
        <f t="shared" si="78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79"/>
        <v>https://d0f6bd738d7f1b3e5a7ca70fe4ff75f0.us-east-1.aws.found.io/app/kibana#/discover/Steve-Slow-Train-Analysis-(2080s-and-2083s)?_g=(refreshInterval:(display:Off,pause:!f,section:0,value:0),time:(from:'2017-08-20T22:37:56-0600',mode:absolute,to:'2017-08-21T01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2" s="197" t="str">
        <f>IF(AA152&lt;VLOOKUP(AG152,Variables!$AC$3:$AD$8,2,FALSE),"Y","N")</f>
        <v>N</v>
      </c>
      <c r="X152" s="197">
        <f t="shared" si="80"/>
        <v>1</v>
      </c>
      <c r="Y152" s="197">
        <f t="shared" si="81"/>
        <v>23.302499999999998</v>
      </c>
      <c r="Z152" s="197">
        <f t="shared" si="82"/>
        <v>1.4500000000000001E-2</v>
      </c>
      <c r="AA152" s="197">
        <f t="shared" si="83"/>
        <v>23.287999999999997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 t="shared" si="84"/>
        <v>238</v>
      </c>
      <c r="AE152" s="77" t="str">
        <f t="shared" si="85"/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AF152" s="74" t="str">
        <f t="shared" si="86"/>
        <v>"C:\Program Files (x86)\AstroGrep\AstroGrep.exe" /e /r /s /spath="%USERPROFILE%\AppData\Local\Temp\OnboardLogs" /stypes="app*4005*20170821*" /stext=" 06:.+((SYSTEM_STATE.+slice.+state.+changed )|(ment ac)|(multiple cpu faults)|(system.+state.+changed )|(\[timeout)|(PRM\|1\|D)|(kpr)|(kdp)|(train st.+moving)|(\|lc)|(penalty))"</v>
      </c>
      <c r="AG152" s="209" t="str">
        <f t="shared" si="87"/>
        <v>EC</v>
      </c>
      <c r="AH152" s="78" t="str">
        <f t="shared" si="88"/>
        <v>"%USERPROFILE%\Documents\GitHub\eaglep3\Utilities\RefineRTDCRunTimes.py" --tripid 238-20 --locoid 4005 --swversion DE.1.0.9.0 --startMP 204:233025 --initTime 2017-08-20T23:37:56 --startdatetime 2017-08-20T23:57:15 --delay 0 --endMP 204:145 --enddatetime 2017-08-21T00:36:30 --enforcementcount 0 &gt;&gt;C:\Users\stu\Documents\GitHub\eaglep3-reporting\EC\2017-08-20-refined-times.txt</v>
      </c>
      <c r="AI152" s="96" t="str">
        <f t="shared" si="89"/>
        <v>echo {"issue":{"subject":"","project_id":79,"tracker_id":40,"status_id":1,"priority_id":2,"assigned_to_id":23,"start_date":"2017-08-21","description":"","custom_fields":[{"id":1,"name":"Subdivision","value":"EC"},{"id":4,"name":"Milepost","value":"0.0145"},{"id":17,"name":"Train ID","value":"238-20"},{"id":16,"name":"Locomotive ID","value":"4005"},{"id":130,"name":"Impact","value":""},{"id":150,"name":"Time of Event (Mountain Time)","value":"00:36:30"},{"id":151,"name":"Denver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90"/>
        <v>start /low /b %USERPROFILE%\Documents\GitHub\eaglep3\Utilities\DownloadLogsFromS3.py --loco 4005 --day 2017-08-20</v>
      </c>
      <c r="AN152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06:36:30"},{"id":29,"name":"Sharepoint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756</v>
      </c>
      <c r="B153" s="7">
        <v>4054</v>
      </c>
      <c r="C153" s="21" t="s">
        <v>198</v>
      </c>
      <c r="D153" s="21" t="s">
        <v>430</v>
      </c>
      <c r="E153" s="13">
        <v>42967.971967592595</v>
      </c>
      <c r="F153" s="13">
        <v>42967.979699074072</v>
      </c>
      <c r="G153" s="7">
        <v>1</v>
      </c>
      <c r="H153" s="21" t="s">
        <v>425</v>
      </c>
      <c r="I153" s="13">
        <v>42968.004328703704</v>
      </c>
      <c r="J153" s="7">
        <v>0</v>
      </c>
      <c r="K153" s="89" t="str">
        <f t="shared" si="74"/>
        <v>4053/4054</v>
      </c>
      <c r="L153" s="21" t="str">
        <f>VLOOKUP(A153,'Trips&amp;Operators'!$C$1:$G$99911,5,FALSE)</f>
        <v>SMITH MICHAEL</v>
      </c>
      <c r="M153" s="6">
        <f t="shared" si="75"/>
        <v>2.4629629631817807E-2</v>
      </c>
      <c r="N153" s="7">
        <f t="shared" si="76"/>
        <v>35.466666669817641</v>
      </c>
      <c r="O153" s="7"/>
      <c r="P153" s="7"/>
      <c r="Q153" s="22"/>
      <c r="R153" s="170"/>
      <c r="S153" s="213">
        <f t="shared" si="77"/>
        <v>1</v>
      </c>
      <c r="T153" s="195" t="str">
        <f t="shared" si="78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79"/>
        <v>https://d0f6bd738d7f1b3e5a7ca70fe4ff75f0.us-east-1.aws.found.io/app/kibana#/discover/Steve-Slow-Train-Analysis-(2080s-and-2083s)?_g=(refreshInterval:(display:Off,pause:!f,section:0,value:0),time:(from:'2017-08-20T22:19:38-0600',mode:absolute,to:'2017-08-21T01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3" s="197" t="str">
        <f>IF(AA153&lt;VLOOKUP(AG153,Variables!$AC$3:$AD$8,2,FALSE),"Y","N")</f>
        <v>N</v>
      </c>
      <c r="X153" s="197">
        <f t="shared" si="80"/>
        <v>1</v>
      </c>
      <c r="Y153" s="197">
        <f t="shared" si="81"/>
        <v>4.7500000000000001E-2</v>
      </c>
      <c r="Z153" s="197">
        <f t="shared" si="82"/>
        <v>23.330200000000001</v>
      </c>
      <c r="AA153" s="197">
        <f t="shared" si="83"/>
        <v>23.282700000000002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 t="shared" si="84"/>
        <v>239</v>
      </c>
      <c r="AE153" s="77" t="str">
        <f t="shared" si="85"/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AF153" s="74" t="str">
        <f t="shared" si="86"/>
        <v>"C:\Program Files (x86)\AstroGrep\AstroGrep.exe" /e /r /s /spath="%USERPROFILE%\AppData\Local\Temp\OnboardLogs" /stypes="app*4054*20170821*" /stext=" 06:.+((SYSTEM_STATE.+slice.+state.+changed )|(ment ac)|(multiple cpu faults)|(system.+state.+changed )|(\[timeout)|(PRM\|1\|D)|(kpr)|(kdp)|(train st.+moving)|(\|lc)|(penalty))"</v>
      </c>
      <c r="AG153" s="209" t="str">
        <f t="shared" si="87"/>
        <v>EC</v>
      </c>
      <c r="AH153" s="78" t="str">
        <f t="shared" si="88"/>
        <v>"%USERPROFILE%\Documents\GitHub\eaglep3\Utilities\RefineRTDCRunTimes.py" --tripid 239-20 --locoid 4054 --swversion DE.1.0.9.0 --startMP 204:475 --initTime 2017-08-20T23:19:38 --startdatetime 2017-08-20T23:30:46 --delay 1 --endMP 204:233302 --enddatetime 2017-08-21T00:06:14 --enforcementcount 0 &gt;&gt;C:\Users\stu\Documents\GitHub\eaglep3-reporting\EC\2017-08-20-refined-times.txt</v>
      </c>
      <c r="AI153" s="96" t="str">
        <f t="shared" si="89"/>
        <v>echo {"issue":{"subject":"","project_id":79,"tracker_id":40,"status_id":1,"priority_id":2,"assigned_to_id":23,"start_date":"2017-08-21","description":"","custom_fields":[{"id":1,"name":"Subdivision","value":"EC"},{"id":4,"name":"Milepost","value":"23.3302"},{"id":17,"name":"Train ID","value":"239-20"},{"id":16,"name":"Locomotive ID","value":"4054"},{"id":130,"name":"Impact","value":""},{"id":150,"name":"Time of Event (Mountain Time)","value":"00:06:14"},{"id":151,"name":"Denver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90"/>
        <v>start /low /b %USERPROFILE%\Documents\GitHub\eaglep3\Utilities\DownloadLogsFromS3.py --loco 4054 --day 2017-08-20</v>
      </c>
      <c r="AN153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06:06:14"},{"id":29,"name":"Sharepoint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758</v>
      </c>
      <c r="B154" s="7">
        <v>4053</v>
      </c>
      <c r="C154" s="21" t="s">
        <v>198</v>
      </c>
      <c r="D154" s="21" t="s">
        <v>420</v>
      </c>
      <c r="E154" s="13">
        <v>42968.015474537038</v>
      </c>
      <c r="F154" s="13">
        <v>42968.018958333334</v>
      </c>
      <c r="G154" s="7">
        <v>1</v>
      </c>
      <c r="H154" s="21" t="s">
        <v>885</v>
      </c>
      <c r="I154" s="13">
        <v>42968.045451388891</v>
      </c>
      <c r="J154" s="7">
        <v>0</v>
      </c>
      <c r="K154" s="89" t="str">
        <f t="shared" si="74"/>
        <v>4053/4054</v>
      </c>
      <c r="L154" s="21" t="str">
        <f>VLOOKUP(A154,'Trips&amp;Operators'!$C$1:$G$99911,5,FALSE)</f>
        <v>SMITH MICHAEL</v>
      </c>
      <c r="M154" s="6">
        <f t="shared" si="75"/>
        <v>2.6493055556784384E-2</v>
      </c>
      <c r="N154" s="7">
        <f t="shared" si="76"/>
        <v>38.150000001769513</v>
      </c>
      <c r="O154" s="7"/>
      <c r="P154" s="7"/>
      <c r="Q154" s="22"/>
      <c r="R154" s="170"/>
      <c r="S154" s="213">
        <f t="shared" si="77"/>
        <v>1</v>
      </c>
      <c r="T154" s="195" t="str">
        <f t="shared" si="78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79"/>
        <v>https://d0f6bd738d7f1b3e5a7ca70fe4ff75f0.us-east-1.aws.found.io/app/kibana#/discover/Steve-Slow-Train-Analysis-(2080s-and-2083s)?_g=(refreshInterval:(display:Off,pause:!f,section:0,value:0),time:(from:'2017-08-20T23:22:17-0600',mode:absolute,to:'2017-08-21T02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4" s="197" t="str">
        <f>IF(AA154&lt;VLOOKUP(AG154,Variables!$AC$3:$AD$8,2,FALSE),"Y","N")</f>
        <v>N</v>
      </c>
      <c r="X154" s="197">
        <f t="shared" si="80"/>
        <v>1</v>
      </c>
      <c r="Y154" s="197">
        <f t="shared" si="81"/>
        <v>23.299399999999999</v>
      </c>
      <c r="Z154" s="197">
        <f t="shared" si="82"/>
        <v>1.0999999999999999E-2</v>
      </c>
      <c r="AA154" s="197">
        <f t="shared" si="83"/>
        <v>23.288399999999999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 t="shared" si="84"/>
        <v>240</v>
      </c>
      <c r="AE154" s="77" t="str">
        <f t="shared" si="85"/>
        <v>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 &amp; 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</v>
      </c>
      <c r="AF154" s="74" t="str">
        <f t="shared" si="86"/>
        <v>"C:\Program Files (x86)\AstroGrep\AstroGrep.exe" /e /r /s /spath="%USERPROFILE%\AppData\Local\Temp\OnboardLogs" /stypes="app*4053*20170821*" /stext=" 07:.+((SYSTEM_STATE.+slice.+state.+changed )|(ment ac)|(multiple cpu faults)|(system.+state.+changed )|(\[timeout)|(PRM\|1\|D)|(kpr)|(kdp)|(train st.+moving)|(\|lc)|(penalty))"</v>
      </c>
      <c r="AG154" s="209" t="str">
        <f t="shared" si="87"/>
        <v>EC</v>
      </c>
      <c r="AH154" s="78" t="str">
        <f t="shared" si="88"/>
        <v>"%USERPROFILE%\Documents\GitHub\eaglep3\Utilities\RefineRTDCRunTimes.py" --tripid 240-20 --locoid 4053 --swversion DE.1.0.9.0 --startMP 204:232994 --initTime 2017-08-21T00:22:17 --startdatetime 2017-08-21T00:27:18 --delay 1 --endMP 204:110 --enddatetime 2017-08-21T01:05:27 --enforcementcount 0 &gt;&gt;C:\Users\stu\Documents\GitHub\eaglep3-reporting\EC\2017-08-20-refined-times.txt</v>
      </c>
      <c r="AI154" s="96" t="str">
        <f t="shared" si="89"/>
        <v>echo {"issue":{"subject":"","project_id":79,"tracker_id":40,"status_id":1,"priority_id":2,"assigned_to_id":23,"start_date":"2017-08-21","description":"","custom_fields":[{"id":1,"name":"Subdivision","value":"EC"},{"id":4,"name":"Milepost","value":"0.011"},{"id":17,"name":"Train ID","value":"240-20"},{"id":16,"name":"Locomotive ID","value":"4053"},{"id":130,"name":"Impact","value":""},{"id":150,"name":"Time of Event (Mountain Time)","value":"01:05:27"},{"id":151,"name":"Denver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90"/>
        <v>start /low /b %USERPROFILE%\Documents\GitHub\eaglep3\Utilities\DownloadLogsFromS3.py --loco 4053 --day 2017-08-21</v>
      </c>
      <c r="AN154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07:05:27"},{"id":29,"name":"Sharepoint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570</v>
      </c>
      <c r="B155" s="7">
        <v>4058</v>
      </c>
      <c r="C155" s="21" t="s">
        <v>198</v>
      </c>
      <c r="D155" s="21" t="s">
        <v>429</v>
      </c>
      <c r="E155" s="13">
        <v>42967.984884259262</v>
      </c>
      <c r="F155" s="13">
        <v>42968.000532407408</v>
      </c>
      <c r="G155" s="7">
        <v>1</v>
      </c>
      <c r="H155" s="21" t="s">
        <v>886</v>
      </c>
      <c r="I155" s="13">
        <v>42968.024930555555</v>
      </c>
      <c r="J155" s="7">
        <v>0</v>
      </c>
      <c r="K155" s="89" t="str">
        <f t="shared" si="74"/>
        <v>4057/4058</v>
      </c>
      <c r="L155" s="21" t="str">
        <f>VLOOKUP(A155,'Trips&amp;Operators'!$C$1:$G$99911,5,FALSE)</f>
        <v>PERKINS DARREN</v>
      </c>
      <c r="M155" s="6">
        <f t="shared" si="75"/>
        <v>2.4398148147156462E-2</v>
      </c>
      <c r="N155" s="7">
        <f t="shared" si="76"/>
        <v>35.133333331905305</v>
      </c>
      <c r="O155" s="7"/>
      <c r="P155" s="7"/>
      <c r="Q155" s="22"/>
      <c r="R155" s="170"/>
      <c r="S155" s="213">
        <f t="shared" si="77"/>
        <v>1</v>
      </c>
      <c r="T155" s="195" t="str">
        <f t="shared" si="78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79"/>
        <v>https://d0f6bd738d7f1b3e5a7ca70fe4ff75f0.us-east-1.aws.found.io/app/kibana#/discover/Steve-Slow-Train-Analysis-(2080s-and-2083s)?_g=(refreshInterval:(display:Off,pause:!f,section:0,value:0),time:(from:'2017-08-20T22:38:14-0600',mode:absolute,to:'2017-08-21T01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5" s="197" t="str">
        <f>IF(AA155&lt;VLOOKUP(AG155,Variables!$AC$3:$AD$8,2,FALSE),"Y","N")</f>
        <v>N</v>
      </c>
      <c r="X155" s="197">
        <f t="shared" si="80"/>
        <v>1</v>
      </c>
      <c r="Y155" s="197">
        <f t="shared" si="81"/>
        <v>4.2700000000000002E-2</v>
      </c>
      <c r="Z155" s="197">
        <f t="shared" si="82"/>
        <v>23.342199999999998</v>
      </c>
      <c r="AA155" s="197">
        <f t="shared" si="83"/>
        <v>23.299499999999998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 t="shared" si="84"/>
        <v>241</v>
      </c>
      <c r="AE155" s="77" t="str">
        <f t="shared" si="85"/>
        <v>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 &amp; 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</v>
      </c>
      <c r="AF155" s="74" t="str">
        <f t="shared" si="86"/>
        <v>"C:\Program Files (x86)\AstroGrep\AstroGrep.exe" /e /r /s /spath="%USERPROFILE%\AppData\Local\Temp\OnboardLogs" /stypes="app*4058*20170821*" /stext=" 06:.+((SYSTEM_STATE.+slice.+state.+changed )|(ment ac)|(multiple cpu faults)|(system.+state.+changed )|(\[timeout)|(PRM\|1\|D)|(kpr)|(kdp)|(train st.+moving)|(\|lc)|(penalty))"</v>
      </c>
      <c r="AG155" s="209" t="str">
        <f t="shared" si="87"/>
        <v>EC</v>
      </c>
      <c r="AH155" s="78" t="str">
        <f t="shared" si="88"/>
        <v>"%USERPROFILE%\Documents\GitHub\eaglep3\Utilities\RefineRTDCRunTimes.py" --tripid 241-20 --locoid 4058 --swversion DE.1.0.9.0 --startMP 204:427 --initTime 2017-08-20T23:38:14 --startdatetime 2017-08-21T00:00:46 --delay 1 --endMP 204:233422 --enddatetime 2017-08-21T00:35:54 --enforcementcount 0 &gt;&gt;C:\Users\stu\Documents\GitHub\eaglep3-reporting\EC\2017-08-20-refined-times.txt</v>
      </c>
      <c r="AI155" s="96" t="str">
        <f t="shared" si="89"/>
        <v>echo {"issue":{"subject":"","project_id":79,"tracker_id":40,"status_id":1,"priority_id":2,"assigned_to_id":23,"start_date":"2017-08-21","description":"","custom_fields":[{"id":1,"name":"Subdivision","value":"EC"},{"id":4,"name":"Milepost","value":"23.3422"},{"id":17,"name":"Train ID","value":"241-20"},{"id":16,"name":"Locomotive ID","value":"4058"},{"id":130,"name":"Impact","value":""},{"id":150,"name":"Time of Event (Mountain Time)","value":"00:35:54"},{"id":151,"name":"Denver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90"/>
        <v>start /low /b %USERPROFILE%\Documents\GitHub\eaglep3\Utilities\DownloadLogsFromS3.py --loco 4058 --day 2017-08-21</v>
      </c>
      <c r="AN155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06:35:54"},{"id":29,"name":"Sharepoint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761</v>
      </c>
      <c r="B156" s="7">
        <v>4057</v>
      </c>
      <c r="C156" s="21" t="s">
        <v>198</v>
      </c>
      <c r="D156" s="21" t="s">
        <v>429</v>
      </c>
      <c r="E156" s="13">
        <v>42967.984884259262</v>
      </c>
      <c r="F156" s="13">
        <v>42968.039756944447</v>
      </c>
      <c r="G156" s="7">
        <v>1</v>
      </c>
      <c r="H156" s="21" t="s">
        <v>886</v>
      </c>
      <c r="I156" s="13">
        <v>42968.065868055557</v>
      </c>
      <c r="J156" s="7">
        <v>0</v>
      </c>
      <c r="K156" s="89" t="str">
        <f t="shared" ref="K156" si="92">IF(ISEVEN(B156),(B156-1)&amp;"/"&amp;B156,B156&amp;"/"&amp;(B156+1))</f>
        <v>4057/4058</v>
      </c>
      <c r="L156" s="21" t="str">
        <f>VLOOKUP(A156,'Trips&amp;Operators'!$C$1:$G$99911,5,FALSE)</f>
        <v>PERKINS DARREN</v>
      </c>
      <c r="M156" s="6">
        <f t="shared" ref="M156" si="93">I156-F156</f>
        <v>2.6111111110367347E-2</v>
      </c>
      <c r="N156" s="7">
        <f t="shared" si="76"/>
        <v>37.599999998928979</v>
      </c>
      <c r="O156" s="7"/>
      <c r="P156" s="7"/>
      <c r="Q156" s="22"/>
      <c r="R156" s="170"/>
      <c r="S156" s="213">
        <f t="shared" ref="S156" si="94">1/IF(AG156="EC",12,1)*SUM(U156:U156)</f>
        <v>1</v>
      </c>
      <c r="T156" s="195" t="str">
        <f t="shared" ref="T156" si="95">IF(ISEVEN(LEFT(AD156,4)),"Southbound","NorthBound")</f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ref="V156" si="96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-08-20T22:38:14-0600',mode:absolute,to:'2017-08-21T02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6" s="197" t="str">
        <f>IF(AA156&lt;VLOOKUP(AG156,Variables!$AC$3:$AD$8,2,FALSE),"Y","N")</f>
        <v>N</v>
      </c>
      <c r="X156" s="197">
        <f t="shared" ref="X156:X157" si="97">VALUE(LEFT(AD156,4))-VALUE(LEFT(AD155,4))</f>
        <v>1</v>
      </c>
      <c r="Y156" s="197">
        <v>23.299399999999999</v>
      </c>
      <c r="Z156" s="197">
        <v>1.0999999999999999E-2</v>
      </c>
      <c r="AA156" s="197">
        <f t="shared" ref="AA156" si="98">ABS(Z156-Y156)</f>
        <v>23.288399999999999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 t="shared" ref="AD156" si="99">VALUE(LEFT(A156,LEN(A156)-3))</f>
        <v>242</v>
      </c>
      <c r="AE156" s="77" t="str">
        <f t="shared" ref="AE156" si="100"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 &amp; aws s3 cp s3://rtdc.mdm.uploadarchive.raw/RTDC4057/ "%USERPROFILE%\AppData\Local\Temp\OnboardLogs"\RTDC4057\2017-08-22 --exclude "*" --recursive --include "*20170822*" &amp; "%USERPROFILE%\Documents\GitHub\mrs-test-scripts\Headless Mode &amp; Sideloading\WalkAndUnGZ.bat" "%USERPROFILE%\AppData\Local\Temp\OnboardLogs"\RTDC4057\2017-08-22</v>
      </c>
      <c r="AF156" s="74" t="str">
        <f t="shared" ref="AF156" si="101"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/stypes="app*4057*20170821*" /stext=" 07:.+((SYSTEM_STATE.+slice.+state.+changed )|(ment ac)|(multiple cpu faults)|(system.+state.+changed )|(\[timeout)|(PRM\|1\|D)|(kpr)|(kdp)|(train st.+moving)|(\|lc)|(penalty))"</v>
      </c>
      <c r="AG156" s="209" t="str">
        <f t="shared" ref="AG156" si="102">DetSubdiv(A156)</f>
        <v>EC</v>
      </c>
      <c r="AH156" s="78" t="str">
        <f t="shared" ref="AH156" si="103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242-20 --locoid 4057 --swversion DE.1.0.9.0 --startMP 204:427 --initTime 2017-08-20T23:38:14 --startdatetime 2017-08-21T00:57:15 --delay 1 --endMP 204:233422 --enddatetime 2017-08-21T01:34:51 --enforcementcount 0 &gt;&gt;C:\Users\stu\Documents\GitHub\eaglep3-reporting\EC\2017-08-20-refined-times.txt</v>
      </c>
      <c r="AI156" s="96" t="str">
        <f t="shared" ref="AI156" si="104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{"issue":{"subject":"","project_id":79,"tracker_id":40,"status_id":1,"priority_id":2,"assigned_to_id":23,"start_date":"2017-08-21","description":"","custom_fields":[{"id":1,"name":"Subdivision","value":"EC"},{"id":4,"name":"Milepost","value":"0.011"},{"id":17,"name":"Train ID","value":"242-20"},{"id":16,"name":"Locomotive ID","value":"4057"},{"id":130,"name":"Impact","value":""},{"id":150,"name":"Time of Event (Mountain Time)","value":"01:34:51"},{"id":151,"name":"Denver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ref="AM156" si="105">"start /low /b "&amp;dls3logs&amp;" --loco "&amp;B156&amp;" --day "&amp;TEXT(F156,"YYYY-MM-DD")</f>
        <v>start /low /b %USERPROFILE%\Documents\GitHub\eaglep3\Utilities\DownloadLogsFromS3.py --loco 4057 --day 2017-08-21</v>
      </c>
      <c r="AN156" s="151" t="str">
        <f t="shared" ref="AN156" si="106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07:34:51"},{"id":29,"name":"Sharepoint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759</v>
      </c>
      <c r="B157" s="7">
        <v>4018</v>
      </c>
      <c r="C157" s="21" t="s">
        <v>198</v>
      </c>
      <c r="D157" s="21" t="s">
        <v>346</v>
      </c>
      <c r="E157" s="13">
        <v>42968.017592592594</v>
      </c>
      <c r="F157" s="13">
        <v>42968.021365740744</v>
      </c>
      <c r="G157" s="7">
        <v>1</v>
      </c>
      <c r="H157" s="21" t="s">
        <v>490</v>
      </c>
      <c r="I157" s="13">
        <v>42968.045092592591</v>
      </c>
      <c r="J157" s="7">
        <v>0</v>
      </c>
      <c r="K157" s="89" t="str">
        <f t="shared" si="74"/>
        <v>4017/4018</v>
      </c>
      <c r="L157" s="21" t="str">
        <f>VLOOKUP(A157,'Trips&amp;Operators'!$C$1:$G$99911,5,FALSE)</f>
        <v>BIRENBAUM THOMAS</v>
      </c>
      <c r="M157" s="6">
        <f t="shared" si="75"/>
        <v>2.3726851846731734E-2</v>
      </c>
      <c r="N157" s="7">
        <f t="shared" si="76"/>
        <v>34.166666659293696</v>
      </c>
      <c r="O157" s="7"/>
      <c r="P157" s="7"/>
      <c r="Q157" s="22"/>
      <c r="R157" s="170"/>
      <c r="S157" s="213">
        <f t="shared" si="77"/>
        <v>1</v>
      </c>
      <c r="T157" s="195" t="str">
        <f t="shared" si="78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79"/>
        <v>https://d0f6bd738d7f1b3e5a7ca70fe4ff75f0.us-east-1.aws.found.io/app/kibana#/discover/Steve-Slow-Train-Analysis-(2080s-and-2083s)?_g=(refreshInterval:(display:Off,pause:!f,section:0,value:0),time:(from:'2017-08-20T23:25:20-0600',mode:absolute,to:'2017-08-21T02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197" t="str">
        <f>IF(AA157&lt;VLOOKUP(AG157,Variables!$AC$3:$AD$8,2,FALSE),"Y","N")</f>
        <v>N</v>
      </c>
      <c r="X157" s="197">
        <f t="shared" si="97"/>
        <v>1</v>
      </c>
      <c r="Y157" s="197">
        <f t="shared" si="81"/>
        <v>4.4699999999999997E-2</v>
      </c>
      <c r="Z157" s="197">
        <f t="shared" si="82"/>
        <v>23.328399999999998</v>
      </c>
      <c r="AA157" s="197">
        <f t="shared" si="83"/>
        <v>23.2837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 t="shared" si="84"/>
        <v>243</v>
      </c>
      <c r="AE157" s="77" t="str">
        <f t="shared" si="85"/>
        <v>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 &amp; 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</v>
      </c>
      <c r="AF157" s="74" t="str">
        <f t="shared" si="86"/>
        <v>"C:\Program Files (x86)\AstroGrep\AstroGrep.exe" /e /r /s /spath="%USERPROFILE%\AppData\Local\Temp\OnboardLogs" /stypes="app*4018*20170821*" /stext=" 07:.+((SYSTEM_STATE.+slice.+state.+changed )|(ment ac)|(multiple cpu faults)|(system.+state.+changed )|(\[timeout)|(PRM\|1\|D)|(kpr)|(kdp)|(train st.+moving)|(\|lc)|(penalty))"</v>
      </c>
      <c r="AG157" s="209" t="str">
        <f t="shared" si="87"/>
        <v>EC</v>
      </c>
      <c r="AH157" s="78" t="str">
        <f t="shared" si="88"/>
        <v>"%USERPROFILE%\Documents\GitHub\eaglep3\Utilities\RefineRTDCRunTimes.py" --tripid 243-20 --locoid 4018 --swversion DE.1.0.9.0 --startMP 204:447 --initTime 2017-08-21T00:25:20 --startdatetime 2017-08-21T00:30:46 --delay 1 --endMP 204:233284 --enddatetime 2017-08-21T01:04:56 --enforcementcount 0 &gt;&gt;C:\Users\stu\Documents\GitHub\eaglep3-reporting\EC\2017-08-20-refined-times.txt</v>
      </c>
      <c r="AI157" s="96" t="str">
        <f t="shared" si="89"/>
        <v>echo {"issue":{"subject":"","project_id":79,"tracker_id":40,"status_id":1,"priority_id":2,"assigned_to_id":23,"start_date":"2017-08-21","description":"","custom_fields":[{"id":1,"name":"Subdivision","value":"EC"},{"id":4,"name":"Milepost","value":"23.3284"},{"id":17,"name":"Train ID","value":"243-20"},{"id":16,"name":"Locomotive ID","value":"4018"},{"id":130,"name":"Impact","value":""},{"id":150,"name":"Time of Event (Mountain Time)","value":"01:04:56"},{"id":151,"name":"Denver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90"/>
        <v>start /low /b %USERPROFILE%\Documents\GitHub\eaglep3\Utilities\DownloadLogsFromS3.py --loco 4018 --day 2017-08-21</v>
      </c>
      <c r="AN157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07:04:56"},{"id":29,"name":"Sharepoint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763</v>
      </c>
      <c r="B158" s="7">
        <v>4017</v>
      </c>
      <c r="C158" s="21" t="s">
        <v>198</v>
      </c>
      <c r="D158" s="21" t="s">
        <v>791</v>
      </c>
      <c r="E158" s="13">
        <v>42968.057604166665</v>
      </c>
      <c r="F158" s="13">
        <v>42968.060543981483</v>
      </c>
      <c r="G158" s="7">
        <v>1</v>
      </c>
      <c r="H158" s="21" t="s">
        <v>887</v>
      </c>
      <c r="I158" s="13">
        <v>42968.085856481484</v>
      </c>
      <c r="J158" s="7">
        <v>0</v>
      </c>
      <c r="K158" s="89" t="str">
        <f t="shared" si="74"/>
        <v>4017/4018</v>
      </c>
      <c r="L158" s="21" t="str">
        <f>VLOOKUP(A158,'Trips&amp;Operators'!$C$1:$G$99911,5,FALSE)</f>
        <v>BIRENBAUM THOMAS</v>
      </c>
      <c r="M158" s="6">
        <f t="shared" si="75"/>
        <v>2.531250000174623E-2</v>
      </c>
      <c r="N158" s="7">
        <f t="shared" si="76"/>
        <v>36.450000002514571</v>
      </c>
      <c r="O158" s="7"/>
      <c r="P158" s="7"/>
      <c r="Q158" s="22"/>
      <c r="R158" s="170"/>
      <c r="S158" s="213">
        <f t="shared" si="77"/>
        <v>1</v>
      </c>
      <c r="T158" s="195" t="str">
        <f t="shared" si="78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79"/>
        <v>https://d0f6bd738d7f1b3e5a7ca70fe4ff75f0.us-east-1.aws.found.io/app/kibana#/discover/Steve-Slow-Train-Analysis-(2080s-and-2083s)?_g=(refreshInterval:(display:Off,pause:!f,section:0,value:0),time:(from:'2017-08-21T00:22:57-0600',mode:absolute,to:'2017-08-21T03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197" t="str">
        <f>IF(AA158&lt;VLOOKUP(AG158,Variables!$AC$3:$AD$8,2,FALSE),"Y","N")</f>
        <v>N</v>
      </c>
      <c r="X158" s="197">
        <f t="shared" si="80"/>
        <v>1</v>
      </c>
      <c r="Y158" s="197">
        <f t="shared" si="81"/>
        <v>23.296099999999999</v>
      </c>
      <c r="Z158" s="197">
        <f t="shared" si="82"/>
        <v>3.7999999999999999E-2</v>
      </c>
      <c r="AA158" s="197">
        <f t="shared" si="83"/>
        <v>23.258099999999999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 t="shared" si="84"/>
        <v>244</v>
      </c>
      <c r="AE158" s="77" t="str">
        <f t="shared" si="85"/>
        <v>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 &amp; 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</v>
      </c>
      <c r="AF158" s="74" t="str">
        <f t="shared" si="86"/>
        <v>"C:\Program Files (x86)\AstroGrep\AstroGrep.exe" /e /r /s /spath="%USERPROFILE%\AppData\Local\Temp\OnboardLogs" /stypes="app*4017*20170821*" /stext=" 08:.+((SYSTEM_STATE.+slice.+state.+changed )|(ment ac)|(multiple cpu faults)|(system.+state.+changed )|(\[timeout)|(PRM\|1\|D)|(kpr)|(kdp)|(train st.+moving)|(\|lc)|(penalty))"</v>
      </c>
      <c r="AG158" s="209" t="str">
        <f t="shared" si="87"/>
        <v>EC</v>
      </c>
      <c r="AH158" s="78" t="str">
        <f t="shared" si="88"/>
        <v>"%USERPROFILE%\Documents\GitHub\eaglep3\Utilities\RefineRTDCRunTimes.py" --tripid 244-20 --locoid 4017 --swversion DE.1.0.9.0 --startMP 204:232961 --initTime 2017-08-21T01:22:57 --startdatetime 2017-08-21T01:27:11 --delay 1 --endMP 204:380 --enddatetime 2017-08-21T02:03:38 --enforcementcount 0 &gt;&gt;C:\Users\stu\Documents\GitHub\eaglep3-reporting\EC\2017-08-20-refined-times.txt</v>
      </c>
      <c r="AI158" s="96" t="str">
        <f t="shared" si="89"/>
        <v>echo {"issue":{"subject":"","project_id":79,"tracker_id":40,"status_id":1,"priority_id":2,"assigned_to_id":23,"start_date":"2017-08-21","description":"","custom_fields":[{"id":1,"name":"Subdivision","value":"EC"},{"id":4,"name":"Milepost","value":"0.038"},{"id":17,"name":"Train ID","value":"244-20"},{"id":16,"name":"Locomotive ID","value":"4017"},{"id":130,"name":"Impact","value":""},{"id":150,"name":"Time of Event (Mountain Time)","value":"02:03:38"},{"id":151,"name":"Denver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90"/>
        <v>start /low /b %USERPROFILE%\Documents\GitHub\eaglep3\Utilities\DownloadLogsFromS3.py --loco 4017 --day 2017-08-21</v>
      </c>
      <c r="AN158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08:03:38"},{"id":29,"name":"Sharepoint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608</v>
      </c>
      <c r="B159" s="7">
        <v>4027</v>
      </c>
      <c r="C159" s="21" t="s">
        <v>198</v>
      </c>
      <c r="D159" s="21" t="s">
        <v>809</v>
      </c>
      <c r="E159" s="13">
        <v>42967.234942129631</v>
      </c>
      <c r="F159" s="13">
        <v>42967.236481481479</v>
      </c>
      <c r="G159" s="7">
        <v>1</v>
      </c>
      <c r="H159" s="21" t="s">
        <v>521</v>
      </c>
      <c r="I159" s="13">
        <v>42967.247083333335</v>
      </c>
      <c r="J159" s="7">
        <v>0</v>
      </c>
      <c r="K159" s="89" t="str">
        <f t="shared" si="74"/>
        <v>4027/4028</v>
      </c>
      <c r="L159" s="21" t="str">
        <f>VLOOKUP(A159,'Trips&amp;Operators'!$C$1:$G$99911,5,FALSE)</f>
        <v>ROBINSON KADDIBA</v>
      </c>
      <c r="M159" s="6">
        <f t="shared" si="75"/>
        <v>1.0601851856335998E-2</v>
      </c>
      <c r="N159" s="7">
        <f t="shared" si="76"/>
        <v>15.266666673123837</v>
      </c>
      <c r="O159" s="7"/>
      <c r="P159" s="7"/>
      <c r="Q159" s="22"/>
      <c r="R159" s="170"/>
      <c r="S159" s="213">
        <f t="shared" si="77"/>
        <v>1</v>
      </c>
      <c r="T159" s="195" t="str">
        <f t="shared" si="78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79"/>
        <v>https://d0f6bd738d7f1b3e5a7ca70fe4ff75f0.us-east-1.aws.found.io/app/kibana#/discover/Steve-Slow-Train-Analysis-(2080s-and-2083s)?_g=(refreshInterval:(display:Off,pause:!f,section:0,value:0),time:(from:'2017-08-20T04:38:19-0600',mode:absolute,to:'2017-08-20T06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197" t="str">
        <f>IF(AA159&lt;VLOOKUP(AG159,Variables!$AC$3:$AD$8,2,FALSE),"Y","N")</f>
        <v>N</v>
      </c>
      <c r="X159" s="197">
        <f t="shared" si="80"/>
        <v>1556</v>
      </c>
      <c r="Y159" s="197">
        <f t="shared" si="81"/>
        <v>5.8704000000000001</v>
      </c>
      <c r="Z159" s="197">
        <f t="shared" si="82"/>
        <v>6.7299999999999999E-2</v>
      </c>
      <c r="AA159" s="197">
        <f t="shared" si="83"/>
        <v>5.8030999999999997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 t="shared" si="84"/>
        <v>1800</v>
      </c>
      <c r="AE159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59" s="74" t="str">
        <f t="shared" si="86"/>
        <v>"C:\Program Files (x86)\AstroGrep\AstroGrep.exe" /e /r /s /spath="%USERPROFILE%\AppData\Local\Temp\OnboardLogs" /stypes="app*4027*20170820*" /stext=" 11:.+((SYSTEM_STATE.+slice.+state.+changed )|(ment ac)|(multiple cpu faults)|(system.+state.+changed )|(\[timeout)|(PRM\|1\|D)|(kpr)|(kdp)|(train st.+moving)|(\|lc)|(penalty))"</v>
      </c>
      <c r="AG159" s="209" t="str">
        <f t="shared" si="87"/>
        <v>NW</v>
      </c>
      <c r="AH159" s="78" t="str">
        <f t="shared" si="88"/>
        <v>"%USERPROFILE%\Documents\GitHub\eaglep3\Utilities\RefineRTDCRunTimes.py" --tripid 1800-20 --locoid 4027 --swversion DE.1.0.9.0 --startMP 300:58704 --initTime 2017-08-20T05:38:19 --startdatetime 2017-08-20T05:40:32 --delay 1 --endMP 204:673 --enddatetime 2017-08-20T05:55:48 --enforcementcount 0 &gt;&gt;C:\Users\stu\Documents\GitHub\eaglep3-reporting\EC\2017-08-20-refined-times.txt</v>
      </c>
      <c r="AI159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{"issue":{"subject":"","project_id":79,"tracker_id":40,"status_id":1,"priority_id":2,"assigned_to_id":23,"start_date":"2017-08-20","description":"","custom_fields":[{"id":1,"name":"Subdivision","value":"NW"},{"id":4,"name":"Milepost","value":"0.0673"},{"id":17,"name":"Train ID","value":"1800-20"},{"id":16,"name":"Locomotive ID","value":"4027"},{"id":130,"name":"Impact","value":""},{"id":150,"name":"Time of Event (Mountain Time)","value":"05:55:48"},{"id":151,"name":"Denver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90"/>
        <v>start /low /b %USERPROFILE%\Documents\GitHub\eaglep3\Utilities\DownloadLogsFromS3.py --loco 4027 --day 2017-08-20</v>
      </c>
      <c r="AN159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613</v>
      </c>
      <c r="B160" s="7">
        <v>4028</v>
      </c>
      <c r="C160" s="21" t="s">
        <v>198</v>
      </c>
      <c r="D160" s="21" t="s">
        <v>810</v>
      </c>
      <c r="E160" s="13">
        <v>42967.249085648145</v>
      </c>
      <c r="F160" s="13">
        <v>42967.264745370368</v>
      </c>
      <c r="G160" s="7">
        <v>1</v>
      </c>
      <c r="H160" s="21" t="s">
        <v>811</v>
      </c>
      <c r="I160" s="13">
        <v>42967.274780092594</v>
      </c>
      <c r="J160" s="7">
        <v>0</v>
      </c>
      <c r="K160" s="89" t="str">
        <f t="shared" si="74"/>
        <v>4027/4028</v>
      </c>
      <c r="L160" s="21" t="str">
        <f>VLOOKUP(A160,'Trips&amp;Operators'!$C$1:$G$99911,5,FALSE)</f>
        <v>ROBINSON KADDIBA</v>
      </c>
      <c r="M160" s="6">
        <f t="shared" si="75"/>
        <v>1.0034722225100268E-2</v>
      </c>
      <c r="N160" s="7">
        <f t="shared" si="76"/>
        <v>14.450000004144385</v>
      </c>
      <c r="O160" s="7"/>
      <c r="P160" s="7"/>
      <c r="Q160" s="22"/>
      <c r="R160" s="170"/>
      <c r="S160" s="213">
        <f t="shared" si="77"/>
        <v>1</v>
      </c>
      <c r="T160" s="195" t="str">
        <f t="shared" si="78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79"/>
        <v>https://d0f6bd738d7f1b3e5a7ca70fe4ff75f0.us-east-1.aws.found.io/app/kibana#/discover/Steve-Slow-Train-Analysis-(2080s-and-2083s)?_g=(refreshInterval:(display:Off,pause:!f,section:0,value:0),time:(from:'2017-08-20T04:58:41-0600',mode:absolute,to:'2017-08-20T07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197" t="str">
        <f>IF(AA160&lt;VLOOKUP(AG160,Variables!$AC$3:$AD$8,2,FALSE),"Y","N")</f>
        <v>N</v>
      </c>
      <c r="X160" s="197">
        <f t="shared" si="80"/>
        <v>1</v>
      </c>
      <c r="Y160" s="197">
        <f t="shared" si="81"/>
        <v>9.4600000000000004E-2</v>
      </c>
      <c r="Z160" s="197">
        <f t="shared" si="82"/>
        <v>5.8952</v>
      </c>
      <c r="AA160" s="197">
        <f t="shared" si="83"/>
        <v>5.8006000000000002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 t="shared" si="84"/>
        <v>1801</v>
      </c>
      <c r="AE160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60" s="74" t="str">
        <f t="shared" si="86"/>
        <v>"C:\Program Files (x86)\AstroGrep\AstroGrep.exe" /e /r /s /spath="%USERPROFILE%\AppData\Local\Temp\OnboardLogs" /stypes="app*4028*20170820*" /stext=" 12:.+((SYSTEM_STATE.+slice.+state.+changed )|(ment ac)|(multiple cpu faults)|(system.+state.+changed )|(\[timeout)|(PRM\|1\|D)|(kpr)|(kdp)|(train st.+moving)|(\|lc)|(penalty))"</v>
      </c>
      <c r="AG160" s="209" t="str">
        <f t="shared" si="87"/>
        <v>NW</v>
      </c>
      <c r="AH160" s="78" t="str">
        <f t="shared" si="88"/>
        <v>"%USERPROFILE%\Documents\GitHub\eaglep3\Utilities\RefineRTDCRunTimes.py" --tripid 1801-20 --locoid 4028 --swversion DE.1.0.9.0 --startMP 204:946 --initTime 2017-08-20T05:58:41 --startdatetime 2017-08-20T06:21:14 --delay 1 --endMP 300:58952 --enddatetime 2017-08-20T06:35:41 --enforcementcount 0 &gt;&gt;C:\Users\stu\Documents\GitHub\eaglep3-reporting\EC\2017-08-20-refined-times.txt</v>
      </c>
      <c r="AI160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{"issue":{"subject":"","project_id":79,"tracker_id":40,"status_id":1,"priority_id":2,"assigned_to_id":23,"start_date":"2017-08-20","description":"","custom_fields":[{"id":1,"name":"Subdivision","value":"NW"},{"id":4,"name":"Milepost","value":"5.8952"},{"id":17,"name":"Train ID","value":"1801-20"},{"id":16,"name":"Locomotive ID","value":"4028"},{"id":130,"name":"Impact","value":""},{"id":150,"name":"Time of Event (Mountain Time)","value":"06:35:41"},{"id":151,"name":"Denver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90"/>
        <v>start /low /b %USERPROFILE%\Documents\GitHub\eaglep3\Utilities\DownloadLogsFromS3.py --loco 4028 --day 2017-08-20</v>
      </c>
      <c r="AN160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530</v>
      </c>
      <c r="B161" s="7">
        <v>4027</v>
      </c>
      <c r="C161" s="21" t="s">
        <v>198</v>
      </c>
      <c r="D161" s="21" t="s">
        <v>812</v>
      </c>
      <c r="E161" s="13">
        <v>42967.278495370374</v>
      </c>
      <c r="F161" s="13">
        <v>42967.279328703706</v>
      </c>
      <c r="G161" s="7">
        <v>1</v>
      </c>
      <c r="H161" s="21" t="s">
        <v>813</v>
      </c>
      <c r="I161" s="13">
        <v>42967.289884259262</v>
      </c>
      <c r="J161" s="7">
        <v>0</v>
      </c>
      <c r="K161" s="89" t="str">
        <f t="shared" si="74"/>
        <v>4027/4028</v>
      </c>
      <c r="L161" s="21" t="str">
        <f>VLOOKUP(A161,'Trips&amp;Operators'!$C$1:$G$99911,5,FALSE)</f>
        <v>ROBINSON KADDIBA</v>
      </c>
      <c r="M161" s="6">
        <f t="shared" si="75"/>
        <v>1.0555555556493346E-2</v>
      </c>
      <c r="N161" s="7">
        <f t="shared" si="76"/>
        <v>15.200000001350418</v>
      </c>
      <c r="O161" s="7"/>
      <c r="P161" s="7"/>
      <c r="Q161" s="22"/>
      <c r="R161" s="170" t="s">
        <v>936</v>
      </c>
      <c r="S161" s="213">
        <f t="shared" si="77"/>
        <v>1</v>
      </c>
      <c r="T161" s="195" t="str">
        <f t="shared" si="78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79"/>
        <v>https://d0f6bd738d7f1b3e5a7ca70fe4ff75f0.us-east-1.aws.found.io/app/kibana#/discover/Steve-Slow-Train-Analysis-(2080s-and-2083s)?_g=(refreshInterval:(display:Off,pause:!f,section:0,value:0),time:(from:'2017-08-20T05:41:02-0600',mode:absolute,to:'2017-08-20T07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197" t="str">
        <f>IF(AA161&lt;VLOOKUP(AG161,Variables!$AC$3:$AD$8,2,FALSE),"Y","N")</f>
        <v>N</v>
      </c>
      <c r="X161" s="197">
        <f t="shared" si="80"/>
        <v>1</v>
      </c>
      <c r="Y161" s="197">
        <f t="shared" si="81"/>
        <v>5.8266999999999998</v>
      </c>
      <c r="Z161" s="197">
        <f t="shared" si="82"/>
        <v>6.4500000000000002E-2</v>
      </c>
      <c r="AA161" s="197">
        <f t="shared" si="83"/>
        <v>5.7622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 t="shared" si="84"/>
        <v>1802</v>
      </c>
      <c r="AE161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61" s="74" t="str">
        <f t="shared" si="86"/>
        <v>"C:\Program Files (x86)\AstroGrep\AstroGrep.exe" /e /r /s /spath="%USERPROFILE%\AppData\Local\Temp\OnboardLogs" /stypes="app*4027*20170820*" /stext=" 12:.+((SYSTEM_STATE.+slice.+state.+changed )|(ment ac)|(multiple cpu faults)|(system.+state.+changed )|(\[timeout)|(PRM\|1\|D)|(kpr)|(kdp)|(train st.+moving)|(\|lc)|(penalty))"</v>
      </c>
      <c r="AG161" s="209" t="str">
        <f t="shared" si="87"/>
        <v>NW</v>
      </c>
      <c r="AH161" s="78" t="str">
        <f t="shared" si="88"/>
        <v>"%USERPROFILE%\Documents\GitHub\eaglep3\Utilities\RefineRTDCRunTimes.py" --tripid 1802-20 --locoid 4027 --swversion DE.1.0.9.0 --startMP 300:58267 --initTime 2017-08-20T06:41:02 --startdatetime 2017-08-20T06:42:14 --delay 1 --endMP 204:645 --enddatetime 2017-08-20T06:57:26 --enforcementcount 0 &gt;&gt;C:\Users\stu\Documents\GitHub\eaglep3-reporting\EC\2017-08-20-refined-times.txt</v>
      </c>
      <c r="AI161" s="96" t="str">
        <f t="shared" si="89"/>
        <v>echo {"issue":{"subject":"Went active past Westminster 2S","project_id":79,"tracker_id":40,"status_id":1,"priority_id":2,"assigned_to_id":23,"start_date":"2017-08-20","description":"","custom_fields":[{"id":1,"name":"Subdivision","value":"NW"},{"id":4,"name":"Milepost","value":"0.0645"},{"id":17,"name":"Train ID","value":"1802-20"},{"id":16,"name":"Locomotive ID","value":"4027"},{"id":130,"name":"Impact","value":""},{"id":150,"name":"Time of Event (Mountain Time)","value":"06:57:26"},{"id":151,"name":"Denver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90"/>
        <v>start /low /b %USERPROFILE%\Documents\GitHub\eaglep3\Utilities\DownloadLogsFromS3.py --loco 4027 --day 2017-08-20</v>
      </c>
      <c r="AN161" s="151" t="str">
        <f t="shared" si="91"/>
        <v>echo {"issue":{"subject":"Went active past Westminster 2S","project_id":30,"tracker_id":4,"status_id":1,"priority_id":1,"assigned_to_id":10,"start_date":"2017-08-20","description":"","custom_fields":[{"id":30,"name":"Category","value":"Issue"},{"id":3,"name":"Functional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12:57:26"},{"id":29,"name":"Sharepoint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620</v>
      </c>
      <c r="B162" s="7">
        <v>4028</v>
      </c>
      <c r="C162" s="21" t="s">
        <v>198</v>
      </c>
      <c r="D162" s="21" t="s">
        <v>814</v>
      </c>
      <c r="E162" s="13">
        <v>42967.290925925925</v>
      </c>
      <c r="F162" s="13">
        <v>42967.30641203704</v>
      </c>
      <c r="G162" s="7">
        <v>1</v>
      </c>
      <c r="H162" s="21" t="s">
        <v>815</v>
      </c>
      <c r="I162" s="13">
        <v>42967.316284722219</v>
      </c>
      <c r="J162" s="7">
        <v>0</v>
      </c>
      <c r="K162" s="89" t="str">
        <f t="shared" si="74"/>
        <v>4027/4028</v>
      </c>
      <c r="L162" s="21" t="str">
        <f>VLOOKUP(A162,'Trips&amp;Operators'!$C$1:$G$99911,5,FALSE)</f>
        <v>ROBINSON KADDIBA</v>
      </c>
      <c r="M162" s="6">
        <f t="shared" si="75"/>
        <v>9.8726851792889647E-3</v>
      </c>
      <c r="N162" s="7">
        <f t="shared" si="76"/>
        <v>14.216666658176109</v>
      </c>
      <c r="O162" s="7"/>
      <c r="P162" s="7"/>
      <c r="Q162" s="22"/>
      <c r="R162" s="170"/>
      <c r="S162" s="213">
        <f t="shared" si="77"/>
        <v>1</v>
      </c>
      <c r="T162" s="195" t="str">
        <f t="shared" si="78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79"/>
        <v>https://d0f6bd738d7f1b3e5a7ca70fe4ff75f0.us-east-1.aws.found.io/app/kibana#/discover/Steve-Slow-Train-Analysis-(2080s-and-2083s)?_g=(refreshInterval:(display:Off,pause:!f,section:0,value:0),time:(from:'2017-08-20T05:58:56-0600',mode:absolute,to:'2017-08-20T08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2" s="197" t="str">
        <f>IF(AA162&lt;VLOOKUP(AG162,Variables!$AC$3:$AD$8,2,FALSE),"Y","N")</f>
        <v>N</v>
      </c>
      <c r="X162" s="197">
        <f t="shared" si="80"/>
        <v>1</v>
      </c>
      <c r="Y162" s="197">
        <f t="shared" si="81"/>
        <v>9.5000000000000001E-2</v>
      </c>
      <c r="Z162" s="197">
        <f t="shared" si="82"/>
        <v>5.8948</v>
      </c>
      <c r="AA162" s="197">
        <f t="shared" si="83"/>
        <v>5.7998000000000003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 t="shared" si="84"/>
        <v>1803</v>
      </c>
      <c r="AE162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62" s="74" t="str">
        <f t="shared" si="86"/>
        <v>"C:\Program Files (x86)\AstroGrep\AstroGrep.exe" /e /r /s /spath="%USERPROFILE%\AppData\Local\Temp\OnboardLogs" /stypes="app*4028*20170820*" /stext=" 13:.+((SYSTEM_STATE.+slice.+state.+changed )|(ment ac)|(multiple cpu faults)|(system.+state.+changed )|(\[timeout)|(PRM\|1\|D)|(kpr)|(kdp)|(train st.+moving)|(\|lc)|(penalty))"</v>
      </c>
      <c r="AG162" s="209" t="str">
        <f t="shared" si="87"/>
        <v>NW</v>
      </c>
      <c r="AH162" s="78" t="str">
        <f t="shared" si="88"/>
        <v>"%USERPROFILE%\Documents\GitHub\eaglep3\Utilities\RefineRTDCRunTimes.py" --tripid 1803-20 --locoid 4028 --swversion DE.1.0.9.0 --startMP 204:950 --initTime 2017-08-20T06:58:56 --startdatetime 2017-08-20T07:21:14 --delay 1 --endMP 300:58948 --enddatetime 2017-08-20T07:35:27 --enforcementcount 0 &gt;&gt;C:\Users\stu\Documents\GitHub\eaglep3-reporting\EC\2017-08-20-refined-times.txt</v>
      </c>
      <c r="AI162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{"issue":{"subject":"","project_id":79,"tracker_id":40,"status_id":1,"priority_id":2,"assigned_to_id":23,"start_date":"2017-08-20","description":"","custom_fields":[{"id":1,"name":"Subdivision","value":"NW"},{"id":4,"name":"Milepost","value":"5.8948"},{"id":17,"name":"Train ID","value":"1803-20"},{"id":16,"name":"Locomotive ID","value":"4028"},{"id":130,"name":"Impact","value":""},{"id":150,"name":"Time of Event (Mountain Time)","value":"07:35:27"},{"id":151,"name":"Denver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90"/>
        <v>start /low /b %USERPROFILE%\Documents\GitHub\eaglep3\Utilities\DownloadLogsFromS3.py --loco 4028 --day 2017-08-20</v>
      </c>
      <c r="AN162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625</v>
      </c>
      <c r="B163" s="7">
        <v>4027</v>
      </c>
      <c r="C163" s="21" t="s">
        <v>198</v>
      </c>
      <c r="D163" s="21" t="s">
        <v>816</v>
      </c>
      <c r="E163" s="13">
        <v>42967.317233796297</v>
      </c>
      <c r="F163" s="13">
        <v>42967.318611111114</v>
      </c>
      <c r="G163" s="7">
        <v>1</v>
      </c>
      <c r="H163" s="21" t="s">
        <v>817</v>
      </c>
      <c r="I163" s="13">
        <v>42967.330092592594</v>
      </c>
      <c r="J163" s="7">
        <v>0</v>
      </c>
      <c r="K163" s="89" t="str">
        <f t="shared" si="74"/>
        <v>4027/4028</v>
      </c>
      <c r="L163" s="21" t="str">
        <f>VLOOKUP(A163,'Trips&amp;Operators'!$C$1:$G$99911,5,FALSE)</f>
        <v>ROBINSON KADDIBA</v>
      </c>
      <c r="M163" s="6">
        <f t="shared" si="75"/>
        <v>1.1481481480586808E-2</v>
      </c>
      <c r="N163" s="7">
        <f t="shared" si="76"/>
        <v>16.533333332045004</v>
      </c>
      <c r="O163" s="7"/>
      <c r="P163" s="7"/>
      <c r="Q163" s="22"/>
      <c r="R163" s="170"/>
      <c r="S163" s="213">
        <f t="shared" si="77"/>
        <v>1</v>
      </c>
      <c r="T163" s="195" t="str">
        <f t="shared" si="78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79"/>
        <v>https://d0f6bd738d7f1b3e5a7ca70fe4ff75f0.us-east-1.aws.found.io/app/kibana#/discover/Steve-Slow-Train-Analysis-(2080s-and-2083s)?_g=(refreshInterval:(display:Off,pause:!f,section:0,value:0),time:(from:'2017-08-20T06:36:49-0600',mode:absolute,to:'2017-08-20T08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197" t="str">
        <f>IF(AA163&lt;VLOOKUP(AG163,Variables!$AC$3:$AD$8,2,FALSE),"Y","N")</f>
        <v>N</v>
      </c>
      <c r="X163" s="197">
        <f t="shared" si="80"/>
        <v>1</v>
      </c>
      <c r="Y163" s="197">
        <f t="shared" si="81"/>
        <v>5.8630000000000004</v>
      </c>
      <c r="Z163" s="197">
        <f t="shared" si="82"/>
        <v>6.59E-2</v>
      </c>
      <c r="AA163" s="197">
        <f t="shared" si="83"/>
        <v>5.7971000000000004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 t="shared" si="84"/>
        <v>1804</v>
      </c>
      <c r="AE163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63" s="74" t="str">
        <f t="shared" si="86"/>
        <v>"C:\Program Files (x86)\AstroGrep\AstroGrep.exe" /e /r /s /spath="%USERPROFILE%\AppData\Local\Temp\OnboardLogs" /stypes="app*4027*20170820*" /stext=" 13:.+((SYSTEM_STATE.+slice.+state.+changed )|(ment ac)|(multiple cpu faults)|(system.+state.+changed )|(\[timeout)|(PRM\|1\|D)|(kpr)|(kdp)|(train st.+moving)|(\|lc)|(penalty))"</v>
      </c>
      <c r="AG163" s="209" t="str">
        <f t="shared" si="87"/>
        <v>NW</v>
      </c>
      <c r="AH163" s="78" t="str">
        <f t="shared" si="88"/>
        <v>"%USERPROFILE%\Documents\GitHub\eaglep3\Utilities\RefineRTDCRunTimes.py" --tripid 1804-20 --locoid 4027 --swversion DE.1.0.9.0 --startMP 300:58630 --initTime 2017-08-20T07:36:49 --startdatetime 2017-08-20T07:38:48 --delay 1 --endMP 204:659 --enddatetime 2017-08-20T07:55:20 --enforcementcount 0 &gt;&gt;C:\Users\stu\Documents\GitHub\eaglep3-reporting\EC\2017-08-20-refined-times.txt</v>
      </c>
      <c r="AI163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{"issue":{"subject":"","project_id":79,"tracker_id":40,"status_id":1,"priority_id":2,"assigned_to_id":23,"start_date":"2017-08-20","description":"","custom_fields":[{"id":1,"name":"Subdivision","value":"NW"},{"id":4,"name":"Milepost","value":"0.0659"},{"id":17,"name":"Train ID","value":"1804-20"},{"id":16,"name":"Locomotive ID","value":"4027"},{"id":130,"name":"Impact","value":""},{"id":150,"name":"Time of Event (Mountain Time)","value":"07:55:20"},{"id":151,"name":"Denver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90"/>
        <v>start /low /b %USERPROFILE%\Documents\GitHub\eaglep3\Utilities\DownloadLogsFromS3.py --loco 4027 --day 2017-08-20</v>
      </c>
      <c r="AN163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13:55:20"},{"id":29,"name":"Sharepoint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629</v>
      </c>
      <c r="B164" s="7">
        <v>4028</v>
      </c>
      <c r="C164" s="21" t="s">
        <v>198</v>
      </c>
      <c r="D164" s="21" t="s">
        <v>818</v>
      </c>
      <c r="E164" s="13">
        <v>42967.331550925926</v>
      </c>
      <c r="F164" s="13">
        <v>42967.348124999997</v>
      </c>
      <c r="G164" s="7">
        <v>1</v>
      </c>
      <c r="H164" s="21" t="s">
        <v>819</v>
      </c>
      <c r="I164" s="13">
        <v>42967.357708333337</v>
      </c>
      <c r="J164" s="7">
        <v>0</v>
      </c>
      <c r="K164" s="89" t="str">
        <f t="shared" si="74"/>
        <v>4027/4028</v>
      </c>
      <c r="L164" s="21" t="str">
        <f>VLOOKUP(A164,'Trips&amp;Operators'!$C$1:$G$99911,5,FALSE)</f>
        <v>ROBINSON KADDIBA</v>
      </c>
      <c r="M164" s="6">
        <f t="shared" si="75"/>
        <v>9.5833333398331888E-3</v>
      </c>
      <c r="N164" s="7">
        <f t="shared" si="76"/>
        <v>13.800000009359792</v>
      </c>
      <c r="O164" s="7"/>
      <c r="P164" s="7"/>
      <c r="Q164" s="22"/>
      <c r="R164" s="170"/>
      <c r="S164" s="213">
        <f t="shared" si="77"/>
        <v>1</v>
      </c>
      <c r="T164" s="195" t="str">
        <f t="shared" si="78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79"/>
        <v>https://d0f6bd738d7f1b3e5a7ca70fe4ff75f0.us-east-1.aws.found.io/app/kibana#/discover/Steve-Slow-Train-Analysis-(2080s-and-2083s)?_g=(refreshInterval:(display:Off,pause:!f,section:0,value:0),time:(from:'2017-08-20T06:57:26-0600',mode:absolute,to:'2017-08-20T09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197" t="str">
        <f>IF(AA164&lt;VLOOKUP(AG164,Variables!$AC$3:$AD$8,2,FALSE),"Y","N")</f>
        <v>N</v>
      </c>
      <c r="X164" s="197">
        <f t="shared" si="80"/>
        <v>1</v>
      </c>
      <c r="Y164" s="197">
        <f t="shared" si="81"/>
        <v>9.5299999999999996E-2</v>
      </c>
      <c r="Z164" s="197">
        <f t="shared" si="82"/>
        <v>5.8975</v>
      </c>
      <c r="AA164" s="197">
        <f t="shared" si="83"/>
        <v>5.8022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 t="shared" si="84"/>
        <v>1805</v>
      </c>
      <c r="AE164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64" s="74" t="str">
        <f t="shared" si="86"/>
        <v>"C:\Program Files (x86)\AstroGrep\AstroGrep.exe" /e /r /s /spath="%USERPROFILE%\AppData\Local\Temp\OnboardLogs" /stypes="app*4028*20170820*" /stext=" 14:.+((SYSTEM_STATE.+slice.+state.+changed )|(ment ac)|(multiple cpu faults)|(system.+state.+changed )|(\[timeout)|(PRM\|1\|D)|(kpr)|(kdp)|(train st.+moving)|(\|lc)|(penalty))"</v>
      </c>
      <c r="AG164" s="209" t="str">
        <f t="shared" si="87"/>
        <v>NW</v>
      </c>
      <c r="AH164" s="78" t="str">
        <f t="shared" si="88"/>
        <v>"%USERPROFILE%\Documents\GitHub\eaglep3\Utilities\RefineRTDCRunTimes.py" --tripid 1805-20 --locoid 4028 --swversion DE.1.0.9.0 --startMP 204:953 --initTime 2017-08-20T07:57:26 --startdatetime 2017-08-20T08:21:18 --delay 1 --endMP 300:58975 --enddatetime 2017-08-20T08:35:06 --enforcementcount 0 &gt;&gt;C:\Users\stu\Documents\GitHub\eaglep3-reporting\EC\2017-08-20-refined-times.txt</v>
      </c>
      <c r="AI164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{"issue":{"subject":"","project_id":79,"tracker_id":40,"status_id":1,"priority_id":2,"assigned_to_id":23,"start_date":"2017-08-20","description":"","custom_fields":[{"id":1,"name":"Subdivision","value":"NW"},{"id":4,"name":"Milepost","value":"5.8975"},{"id":17,"name":"Train ID","value":"1805-20"},{"id":16,"name":"Locomotive ID","value":"4028"},{"id":130,"name":"Impact","value":""},{"id":150,"name":"Time of Event (Mountain Time)","value":"08:35:06"},{"id":151,"name":"Denver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90"/>
        <v>start /low /b %USERPROFILE%\Documents\GitHub\eaglep3\Utilities\DownloadLogsFromS3.py --loco 4028 --day 2017-08-20</v>
      </c>
      <c r="AN164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634</v>
      </c>
      <c r="B165" s="7">
        <v>4027</v>
      </c>
      <c r="C165" s="21" t="s">
        <v>198</v>
      </c>
      <c r="D165" s="21" t="s">
        <v>820</v>
      </c>
      <c r="E165" s="13">
        <v>42967.359363425923</v>
      </c>
      <c r="F165" s="13">
        <v>42967.360682870371</v>
      </c>
      <c r="G165" s="7">
        <v>1</v>
      </c>
      <c r="H165" s="21" t="s">
        <v>821</v>
      </c>
      <c r="I165" s="13">
        <v>42967.371620370373</v>
      </c>
      <c r="J165" s="7">
        <v>0</v>
      </c>
      <c r="K165" s="89" t="str">
        <f t="shared" si="74"/>
        <v>4027/4028</v>
      </c>
      <c r="L165" s="21" t="str">
        <f>VLOOKUP(A165,'Trips&amp;Operators'!$C$1:$G$99911,5,FALSE)</f>
        <v>ROBINSON KADDIBA</v>
      </c>
      <c r="M165" s="6">
        <f t="shared" si="75"/>
        <v>1.0937500002910383E-2</v>
      </c>
      <c r="N165" s="7">
        <f t="shared" si="76"/>
        <v>15.750000004190952</v>
      </c>
      <c r="O165" s="7"/>
      <c r="P165" s="7"/>
      <c r="Q165" s="22"/>
      <c r="R165" s="170"/>
      <c r="S165" s="213">
        <f t="shared" si="77"/>
        <v>1</v>
      </c>
      <c r="T165" s="195" t="str">
        <f t="shared" si="78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79"/>
        <v>https://d0f6bd738d7f1b3e5a7ca70fe4ff75f0.us-east-1.aws.found.io/app/kibana#/discover/Steve-Slow-Train-Analysis-(2080s-and-2083s)?_g=(refreshInterval:(display:Off,pause:!f,section:0,value:0),time:(from:'2017-08-20T07:37:29-0600',mode:absolute,to:'2017-08-20T09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5" s="197" t="str">
        <f>IF(AA165&lt;VLOOKUP(AG165,Variables!$AC$3:$AD$8,2,FALSE),"Y","N")</f>
        <v>N</v>
      </c>
      <c r="X165" s="197">
        <f t="shared" si="80"/>
        <v>1</v>
      </c>
      <c r="Y165" s="197">
        <f t="shared" si="81"/>
        <v>5.8663999999999996</v>
      </c>
      <c r="Z165" s="197">
        <f t="shared" si="82"/>
        <v>6.7100000000000007E-2</v>
      </c>
      <c r="AA165" s="197">
        <f t="shared" si="83"/>
        <v>5.7992999999999997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 t="shared" si="84"/>
        <v>1806</v>
      </c>
      <c r="AE165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65" s="74" t="str">
        <f t="shared" si="86"/>
        <v>"C:\Program Files (x86)\AstroGrep\AstroGrep.exe" /e /r /s /spath="%USERPROFILE%\AppData\Local\Temp\OnboardLogs" /stypes="app*4027*20170820*" /stext=" 14:.+((SYSTEM_STATE.+slice.+state.+changed )|(ment ac)|(multiple cpu faults)|(system.+state.+changed )|(\[timeout)|(PRM\|1\|D)|(kpr)|(kdp)|(train st.+moving)|(\|lc)|(penalty))"</v>
      </c>
      <c r="AG165" s="209" t="str">
        <f t="shared" si="87"/>
        <v>NW</v>
      </c>
      <c r="AH165" s="78" t="str">
        <f t="shared" si="88"/>
        <v>"%USERPROFILE%\Documents\GitHub\eaglep3\Utilities\RefineRTDCRunTimes.py" --tripid 1806-20 --locoid 4027 --swversion DE.1.0.9.0 --startMP 300:58664 --initTime 2017-08-20T08:37:29 --startdatetime 2017-08-20T08:39:23 --delay 1 --endMP 204:671 --enddatetime 2017-08-20T08:55:08 --enforcementcount 0 &gt;&gt;C:\Users\stu\Documents\GitHub\eaglep3-reporting\EC\2017-08-20-refined-times.txt</v>
      </c>
      <c r="AI165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{"issue":{"subject":"","project_id":79,"tracker_id":40,"status_id":1,"priority_id":2,"assigned_to_id":23,"start_date":"2017-08-20","description":"","custom_fields":[{"id":1,"name":"Subdivision","value":"NW"},{"id":4,"name":"Milepost","value":"0.0671"},{"id":17,"name":"Train ID","value":"1806-20"},{"id":16,"name":"Locomotive ID","value":"4027"},{"id":130,"name":"Impact","value":""},{"id":150,"name":"Time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90"/>
        <v>start /low /b %USERPROFILE%\Documents\GitHub\eaglep3\Utilities\DownloadLogsFromS3.py --loco 4027 --day 2017-08-20</v>
      </c>
      <c r="AN165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639</v>
      </c>
      <c r="B166" s="7">
        <v>4028</v>
      </c>
      <c r="C166" s="21" t="s">
        <v>198</v>
      </c>
      <c r="D166" s="21" t="s">
        <v>822</v>
      </c>
      <c r="E166" s="13">
        <v>42967.37400462963</v>
      </c>
      <c r="F166" s="13">
        <v>42967.389872685184</v>
      </c>
      <c r="G166" s="7">
        <v>1</v>
      </c>
      <c r="H166" s="21" t="s">
        <v>823</v>
      </c>
      <c r="I166" s="13">
        <v>42967.399247685185</v>
      </c>
      <c r="J166" s="7">
        <v>0</v>
      </c>
      <c r="K166" s="89" t="str">
        <f t="shared" si="74"/>
        <v>4027/4028</v>
      </c>
      <c r="L166" s="21" t="str">
        <f>VLOOKUP(A166,'Trips&amp;Operators'!$C$1:$G$99911,5,FALSE)</f>
        <v>ROBINSON KADDIBA</v>
      </c>
      <c r="M166" s="6">
        <f t="shared" si="75"/>
        <v>9.3750000014551915E-3</v>
      </c>
      <c r="N166" s="7">
        <f t="shared" si="76"/>
        <v>13.500000002095476</v>
      </c>
      <c r="O166" s="7"/>
      <c r="P166" s="7"/>
      <c r="Q166" s="22"/>
      <c r="R166" s="170"/>
      <c r="S166" s="213">
        <f t="shared" si="77"/>
        <v>1</v>
      </c>
      <c r="T166" s="195" t="str">
        <f t="shared" si="78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79"/>
        <v>https://d0f6bd738d7f1b3e5a7ca70fe4ff75f0.us-east-1.aws.found.io/app/kibana#/discover/Steve-Slow-Train-Analysis-(2080s-and-2083s)?_g=(refreshInterval:(display:Off,pause:!f,section:0,value:0),time:(from:'2017-08-20T07:58:34-0600',mode:absolute,to:'2017-08-20T10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6" s="197" t="str">
        <f>IF(AA166&lt;VLOOKUP(AG166,Variables!$AC$3:$AD$8,2,FALSE),"Y","N")</f>
        <v>N</v>
      </c>
      <c r="X166" s="197">
        <f t="shared" si="80"/>
        <v>1</v>
      </c>
      <c r="Y166" s="197">
        <f t="shared" si="81"/>
        <v>9.6000000000000002E-2</v>
      </c>
      <c r="Z166" s="197">
        <f t="shared" si="82"/>
        <v>5.8936999999999999</v>
      </c>
      <c r="AA166" s="197">
        <f t="shared" si="83"/>
        <v>5.7976999999999999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 t="shared" si="84"/>
        <v>1807</v>
      </c>
      <c r="AE166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66" s="74" t="str">
        <f t="shared" si="86"/>
        <v>"C:\Program Files (x86)\AstroGrep\AstroGrep.exe" /e /r /s /spath="%USERPROFILE%\AppData\Local\Temp\OnboardLogs" /stypes="app*4028*20170820*" /stext=" 15:.+((SYSTEM_STATE.+slice.+state.+changed )|(ment ac)|(multiple cpu faults)|(system.+state.+changed )|(\[timeout)|(PRM\|1\|D)|(kpr)|(kdp)|(train st.+moving)|(\|lc)|(penalty))"</v>
      </c>
      <c r="AG166" s="209" t="str">
        <f t="shared" si="87"/>
        <v>NW</v>
      </c>
      <c r="AH166" s="78" t="str">
        <f t="shared" si="88"/>
        <v>"%USERPROFILE%\Documents\GitHub\eaglep3\Utilities\RefineRTDCRunTimes.py" --tripid 1807-20 --locoid 4028 --swversion DE.1.0.9.0 --startMP 204:960 --initTime 2017-08-20T08:58:34 --startdatetime 2017-08-20T09:21:25 --delay 1 --endMP 300:58937 --enddatetime 2017-08-20T09:34:55 --enforcementcount 0 &gt;&gt;C:\Users\stu\Documents\GitHub\eaglep3-reporting\EC\2017-08-20-refined-times.txt</v>
      </c>
      <c r="AI166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{"issue":{"subject":"","project_id":79,"tracker_id":40,"status_id":1,"priority_id":2,"assigned_to_id":23,"start_date":"2017-08-20","description":"","custom_fields":[{"id":1,"name":"Subdivision","value":"NW"},{"id":4,"name":"Milepost","value":"5.8937"},{"id":17,"name":"Train ID","value":"1807-20"},{"id":16,"name":"Locomotive ID","value":"4028"},{"id":130,"name":"Impact","value":""},{"id":150,"name":"Time of Event (Mountain Time)","value":"09:34:55"},{"id":151,"name":"Denver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90"/>
        <v>start /low /b %USERPROFILE%\Documents\GitHub\eaglep3\Utilities\DownloadLogsFromS3.py --loco 4028 --day 2017-08-20</v>
      </c>
      <c r="AN166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645</v>
      </c>
      <c r="B167" s="7">
        <v>4027</v>
      </c>
      <c r="C167" s="21" t="s">
        <v>198</v>
      </c>
      <c r="D167" s="21" t="s">
        <v>449</v>
      </c>
      <c r="E167" s="13">
        <v>42967.400196759256</v>
      </c>
      <c r="F167" s="13">
        <v>42967.401747685188</v>
      </c>
      <c r="G167" s="7">
        <v>1</v>
      </c>
      <c r="H167" s="21" t="s">
        <v>521</v>
      </c>
      <c r="I167" s="13">
        <v>42967.413402777776</v>
      </c>
      <c r="J167" s="7">
        <v>0</v>
      </c>
      <c r="K167" s="89" t="str">
        <f t="shared" si="74"/>
        <v>4027/4028</v>
      </c>
      <c r="L167" s="21" t="str">
        <f>VLOOKUP(A167,'Trips&amp;Operators'!$C$1:$G$99911,5,FALSE)</f>
        <v>ROBINSON KADDIBA</v>
      </c>
      <c r="M167" s="6">
        <f t="shared" si="75"/>
        <v>1.1655092588625848E-2</v>
      </c>
      <c r="N167" s="7">
        <f t="shared" si="76"/>
        <v>16.783333327621222</v>
      </c>
      <c r="O167" s="7"/>
      <c r="P167" s="7"/>
      <c r="Q167" s="22"/>
      <c r="R167" s="170"/>
      <c r="S167" s="213">
        <f t="shared" si="77"/>
        <v>1</v>
      </c>
      <c r="T167" s="195" t="str">
        <f t="shared" si="78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79"/>
        <v>https://d0f6bd738d7f1b3e5a7ca70fe4ff75f0.us-east-1.aws.found.io/app/kibana#/discover/Steve-Slow-Train-Analysis-(2080s-and-2083s)?_g=(refreshInterval:(display:Off,pause:!f,section:0,value:0),time:(from:'2017-08-20T08:36:17-0600',mode:absolute,to:'2017-08-20T10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197" t="str">
        <f>IF(AA167&lt;VLOOKUP(AG167,Variables!$AC$3:$AD$8,2,FALSE),"Y","N")</f>
        <v>N</v>
      </c>
      <c r="X167" s="197">
        <f t="shared" si="80"/>
        <v>1</v>
      </c>
      <c r="Y167" s="197">
        <f t="shared" si="81"/>
        <v>5.8623000000000003</v>
      </c>
      <c r="Z167" s="197">
        <f t="shared" si="82"/>
        <v>6.7299999999999999E-2</v>
      </c>
      <c r="AA167" s="197">
        <f t="shared" si="83"/>
        <v>5.7949999999999999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 t="shared" si="84"/>
        <v>1808</v>
      </c>
      <c r="AE167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67" s="74" t="str">
        <f t="shared" si="86"/>
        <v>"C:\Program Files (x86)\AstroGrep\AstroGrep.exe" /e /r /s /spath="%USERPROFILE%\AppData\Local\Temp\OnboardLogs" /stypes="app*4027*20170820*" /stext=" 15:.+((SYSTEM_STATE.+slice.+state.+changed )|(ment ac)|(multiple cpu faults)|(system.+state.+changed )|(\[timeout)|(PRM\|1\|D)|(kpr)|(kdp)|(train st.+moving)|(\|lc)|(penalty))"</v>
      </c>
      <c r="AG167" s="209" t="str">
        <f t="shared" si="87"/>
        <v>NW</v>
      </c>
      <c r="AH167" s="78" t="str">
        <f t="shared" si="88"/>
        <v>"%USERPROFILE%\Documents\GitHub\eaglep3\Utilities\RefineRTDCRunTimes.py" --tripid 1808-20 --locoid 4027 --swversion DE.1.0.9.0 --startMP 300:58623 --initTime 2017-08-20T09:36:17 --startdatetime 2017-08-20T09:38:31 --delay 1 --endMP 204:673 --enddatetime 2017-08-20T09:55:18 --enforcementcount 0 &gt;&gt;C:\Users\stu\Documents\GitHub\eaglep3-reporting\EC\2017-08-20-refined-times.txt</v>
      </c>
      <c r="AI167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{"issue":{"subject":"","project_id":79,"tracker_id":40,"status_id":1,"priority_id":2,"assigned_to_id":23,"start_date":"2017-08-20","description":"","custom_fields":[{"id":1,"name":"Subdivision","value":"NW"},{"id":4,"name":"Milepost","value":"0.0673"},{"id":17,"name":"Train ID","value":"1808-20"},{"id":16,"name":"Locomotive ID","value":"4027"},{"id":130,"name":"Impact","value":""},{"id":150,"name":"Time of Event (Mountain Time)","value":"09:55:18"},{"id":151,"name":"Denver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90"/>
        <v>start /low /b %USERPROFILE%\Documents\GitHub\eaglep3\Utilities\DownloadLogsFromS3.py --loco 4027 --day 2017-08-20</v>
      </c>
      <c r="AN167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15:55:18"},{"id":29,"name":"Sharepoint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534</v>
      </c>
      <c r="B168" s="7">
        <v>4028</v>
      </c>
      <c r="C168" s="21" t="s">
        <v>198</v>
      </c>
      <c r="D168" s="21" t="s">
        <v>824</v>
      </c>
      <c r="E168" s="13">
        <v>42967.414942129632</v>
      </c>
      <c r="F168" s="13">
        <v>42967.43141203704</v>
      </c>
      <c r="G168" s="7">
        <v>0</v>
      </c>
      <c r="H168" s="21" t="s">
        <v>825</v>
      </c>
      <c r="I168" s="13">
        <v>42967.441134259258</v>
      </c>
      <c r="J168" s="7">
        <v>0</v>
      </c>
      <c r="K168" s="89" t="str">
        <f t="shared" si="74"/>
        <v>4027/4028</v>
      </c>
      <c r="L168" s="21" t="str">
        <f>VLOOKUP(A168,'Trips&amp;Operators'!$C$1:$G$99911,5,FALSE)</f>
        <v>ROBINSON KADDIBA</v>
      </c>
      <c r="M168" s="6">
        <f t="shared" si="75"/>
        <v>9.7222222175332718E-3</v>
      </c>
      <c r="N168" s="7">
        <f t="shared" si="76"/>
        <v>13.999999993247911</v>
      </c>
      <c r="O168" s="7"/>
      <c r="P168" s="7"/>
      <c r="Q168" s="22"/>
      <c r="R168" s="170"/>
      <c r="S168" s="213">
        <f t="shared" si="77"/>
        <v>1</v>
      </c>
      <c r="T168" s="195" t="str">
        <f t="shared" si="78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79"/>
        <v>https://d0f6bd738d7f1b3e5a7ca70fe4ff75f0.us-east-1.aws.found.io/app/kibana#/discover/Steve-Slow-Train-Analysis-(2080s-and-2083s)?_g=(refreshInterval:(display:Off,pause:!f,section:0,value:0),time:(from:'2017-08-20T08:57:31-0600',mode:absolute,to:'2017-08-20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197" t="str">
        <f>IF(AA168&lt;VLOOKUP(AG168,Variables!$AC$3:$AD$8,2,FALSE),"Y","N")</f>
        <v>N</v>
      </c>
      <c r="X168" s="197">
        <f t="shared" si="80"/>
        <v>1</v>
      </c>
      <c r="Y168" s="197">
        <f t="shared" si="81"/>
        <v>9.5799999999999996E-2</v>
      </c>
      <c r="Z168" s="197">
        <f t="shared" si="82"/>
        <v>5.8930999999999996</v>
      </c>
      <c r="AA168" s="197">
        <f t="shared" si="83"/>
        <v>5.7972999999999999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 t="shared" si="84"/>
        <v>1809</v>
      </c>
      <c r="AE168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68" s="74" t="str">
        <f t="shared" si="86"/>
        <v>"C:\Program Files (x86)\AstroGrep\AstroGrep.exe" /e /r /s /spath="%USERPROFILE%\AppData\Local\Temp\OnboardLogs" /stypes="app*4028*20170820*" /stext=" 16:.+((SYSTEM_STATE.+slice.+state.+changed )|(ment ac)|(multiple cpu faults)|(system.+state.+changed )|(\[timeout)|(PRM\|1\|D)|(kpr)|(kdp)|(train st.+moving)|(\|lc)|(penalty))"</v>
      </c>
      <c r="AG168" s="209" t="str">
        <f t="shared" si="87"/>
        <v>NW</v>
      </c>
      <c r="AH168" s="78" t="str">
        <f t="shared" si="88"/>
        <v>"%USERPROFILE%\Documents\GitHub\eaglep3\Utilities\RefineRTDCRunTimes.py" --tripid 1809-20 --locoid 4028 --swversion DE.1.0.9.0 --startMP 204:958 --initTime 2017-08-20T09:57:31 --startdatetime 2017-08-20T10:21:14 --delay 0 --endMP 300:58931 --enddatetime 2017-08-20T10:35:14 --enforcementcount 0 &gt;&gt;C:\Users\stu\Documents\GitHub\eaglep3-reporting\EC\2017-08-20-refined-times.txt</v>
      </c>
      <c r="AI168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{"issue":{"subject":"","project_id":79,"tracker_id":40,"status_id":1,"priority_id":2,"assigned_to_id":23,"start_date":"2017-08-20","description":"","custom_fields":[{"id":1,"name":"Subdivision","value":"NW"},{"id":4,"name":"Milepost","value":"5.8931"},{"id":17,"name":"Train ID","value":"1809-20"},{"id":16,"name":"Locomotive ID","value":"4028"},{"id":130,"name":"Impact","value":""},{"id":150,"name":"Time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90"/>
        <v>start /low /b %USERPROFILE%\Documents\GitHub\eaglep3\Utilities\DownloadLogsFromS3.py --loco 4028 --day 2017-08-20</v>
      </c>
      <c r="AN168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656</v>
      </c>
      <c r="B169" s="7">
        <v>4027</v>
      </c>
      <c r="C169" s="21" t="s">
        <v>198</v>
      </c>
      <c r="D169" s="21" t="s">
        <v>827</v>
      </c>
      <c r="E169" s="13">
        <v>42967.441932870373</v>
      </c>
      <c r="F169" s="13">
        <v>42967.44327546296</v>
      </c>
      <c r="G169" s="7">
        <v>1</v>
      </c>
      <c r="H169" s="21" t="s">
        <v>828</v>
      </c>
      <c r="I169" s="13">
        <v>42967.455196759256</v>
      </c>
      <c r="J169" s="7">
        <v>0</v>
      </c>
      <c r="K169" s="89" t="str">
        <f t="shared" si="74"/>
        <v>4027/4028</v>
      </c>
      <c r="L169" s="21" t="str">
        <f>VLOOKUP(A169,'Trips&amp;Operators'!$C$1:$G$99911,5,FALSE)</f>
        <v>ROBINSON KADDIBA</v>
      </c>
      <c r="M169" s="6">
        <f t="shared" si="75"/>
        <v>1.1921296296350192E-2</v>
      </c>
      <c r="N169" s="7">
        <f t="shared" si="76"/>
        <v>17.166666666744277</v>
      </c>
      <c r="O169" s="7"/>
      <c r="P169" s="7"/>
      <c r="Q169" s="22"/>
      <c r="R169" s="170"/>
      <c r="S169" s="213">
        <f t="shared" si="77"/>
        <v>1</v>
      </c>
      <c r="T169" s="195" t="str">
        <f t="shared" si="78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79"/>
        <v>https://d0f6bd738d7f1b3e5a7ca70fe4ff75f0.us-east-1.aws.found.io/app/kibana#/discover/Steve-Slow-Train-Analysis-(2080s-and-2083s)?_g=(refreshInterval:(display:Off,pause:!f,section:0,value:0),time:(from:'2017-08-20T09:36:23-0600',mode:absolute,to:'2017-08-20T11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197" t="str">
        <f>IF(AA169&lt;VLOOKUP(AG169,Variables!$AC$3:$AD$8,2,FALSE),"Y","N")</f>
        <v>N</v>
      </c>
      <c r="X169" s="197">
        <f t="shared" si="80"/>
        <v>1</v>
      </c>
      <c r="Y169" s="197">
        <f t="shared" si="81"/>
        <v>5.8619000000000003</v>
      </c>
      <c r="Z169" s="197">
        <f t="shared" si="82"/>
        <v>6.7000000000000004E-2</v>
      </c>
      <c r="AA169" s="197">
        <f t="shared" si="83"/>
        <v>5.7949000000000002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 t="shared" si="84"/>
        <v>1810</v>
      </c>
      <c r="AE169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69" s="74" t="str">
        <f t="shared" si="86"/>
        <v>"C:\Program Files (x86)\AstroGrep\AstroGrep.exe" /e /r /s /spath="%USERPROFILE%\AppData\Local\Temp\OnboardLogs" /stypes="app*4027*20170820*" /stext=" 16:.+((SYSTEM_STATE.+slice.+state.+changed )|(ment ac)|(multiple cpu faults)|(system.+state.+changed )|(\[timeout)|(PRM\|1\|D)|(kpr)|(kdp)|(train st.+moving)|(\|lc)|(penalty))"</v>
      </c>
      <c r="AG169" s="209" t="str">
        <f t="shared" si="87"/>
        <v>NW</v>
      </c>
      <c r="AH169" s="78" t="str">
        <f t="shared" si="88"/>
        <v>"%USERPROFILE%\Documents\GitHub\eaglep3\Utilities\RefineRTDCRunTimes.py" --tripid 1810-20 --locoid 4027 --swversion DE.1.0.9.0 --startMP 300:58619 --initTime 2017-08-20T10:36:23 --startdatetime 2017-08-20T10:38:19 --delay 1 --endMP 204:670 --enddatetime 2017-08-20T10:55:29 --enforcementcount 0 &gt;&gt;C:\Users\stu\Documents\GitHub\eaglep3-reporting\EC\2017-08-20-refined-times.txt</v>
      </c>
      <c r="AI169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{"issue":{"subject":"","project_id":79,"tracker_id":40,"status_id":1,"priority_id":2,"assigned_to_id":23,"start_date":"2017-08-20","description":"","custom_fields":[{"id":1,"name":"Subdivision","value":"NW"},{"id":4,"name":"Milepost","value":"0.067"},{"id":17,"name":"Train ID","value":"1810-20"},{"id":16,"name":"Locomotive ID","value":"4027"},{"id":130,"name":"Impact","value":""},{"id":150,"name":"Time of Event (Mountain Time)","value":"10:55:29"},{"id":151,"name":"Denver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90"/>
        <v>start /low /b %USERPROFILE%\Documents\GitHub\eaglep3\Utilities\DownloadLogsFromS3.py --loco 4027 --day 2017-08-20</v>
      </c>
      <c r="AN169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16:55:29"},{"id":29,"name":"Sharepoint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662</v>
      </c>
      <c r="B170" s="7">
        <v>4028</v>
      </c>
      <c r="C170" s="21" t="s">
        <v>198</v>
      </c>
      <c r="D170" s="21" t="s">
        <v>818</v>
      </c>
      <c r="E170" s="13">
        <v>42967.457280092596</v>
      </c>
      <c r="F170" s="13">
        <v>42967.473090277781</v>
      </c>
      <c r="G170" s="7">
        <v>1</v>
      </c>
      <c r="H170" s="21" t="s">
        <v>522</v>
      </c>
      <c r="I170" s="13">
        <v>42967.482662037037</v>
      </c>
      <c r="J170" s="7">
        <v>0</v>
      </c>
      <c r="K170" s="89" t="str">
        <f t="shared" si="74"/>
        <v>4027/4028</v>
      </c>
      <c r="L170" s="21" t="str">
        <f>VLOOKUP(A170,'Trips&amp;Operators'!$C$1:$G$99911,5,FALSE)</f>
        <v>ROBINSON KADDIBA</v>
      </c>
      <c r="M170" s="6">
        <f t="shared" si="75"/>
        <v>9.5717592557775788E-3</v>
      </c>
      <c r="N170" s="7">
        <f t="shared" si="76"/>
        <v>13.783333328319713</v>
      </c>
      <c r="O170" s="7"/>
      <c r="P170" s="7"/>
      <c r="Q170" s="22"/>
      <c r="R170" s="170"/>
      <c r="S170" s="213">
        <f t="shared" si="77"/>
        <v>1</v>
      </c>
      <c r="T170" s="195" t="str">
        <f t="shared" si="78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79"/>
        <v>https://d0f6bd738d7f1b3e5a7ca70fe4ff75f0.us-east-1.aws.found.io/app/kibana#/discover/Steve-Slow-Train-Analysis-(2080s-and-2083s)?_g=(refreshInterval:(display:Off,pause:!f,section:0,value:0),time:(from:'2017-08-20T09:58:29-0600',mode:absolute,to:'2017-08-20T12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197" t="str">
        <f>IF(AA170&lt;VLOOKUP(AG170,Variables!$AC$3:$AD$8,2,FALSE),"Y","N")</f>
        <v>N</v>
      </c>
      <c r="X170" s="197">
        <f t="shared" si="80"/>
        <v>1</v>
      </c>
      <c r="Y170" s="197">
        <f t="shared" si="81"/>
        <v>9.5299999999999996E-2</v>
      </c>
      <c r="Z170" s="197">
        <f t="shared" si="82"/>
        <v>5.8929</v>
      </c>
      <c r="AA170" s="197">
        <f t="shared" si="83"/>
        <v>5.7976000000000001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 t="shared" si="84"/>
        <v>1811</v>
      </c>
      <c r="AE170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70" s="74" t="str">
        <f t="shared" si="86"/>
        <v>"C:\Program Files (x86)\AstroGrep\AstroGrep.exe" /e /r /s /spath="%USERPROFILE%\AppData\Local\Temp\OnboardLogs" /stypes="app*4028*20170820*" /stext=" 17:.+((SYSTEM_STATE.+slice.+state.+changed )|(ment ac)|(multiple cpu faults)|(system.+state.+changed )|(\[timeout)|(PRM\|1\|D)|(kpr)|(kdp)|(train st.+moving)|(\|lc)|(penalty))"</v>
      </c>
      <c r="AG170" s="209" t="str">
        <f t="shared" si="87"/>
        <v>NW</v>
      </c>
      <c r="AH170" s="78" t="str">
        <f t="shared" si="88"/>
        <v>"%USERPROFILE%\Documents\GitHub\eaglep3\Utilities\RefineRTDCRunTimes.py" --tripid 1811-20 --locoid 4028 --swversion DE.1.0.9.0 --startMP 204:953 --initTime 2017-08-20T10:58:29 --startdatetime 2017-08-20T11:21:15 --delay 1 --endMP 300:58929 --enddatetime 2017-08-20T11:35:02 --enforcementcount 0 &gt;&gt;C:\Users\stu\Documents\GitHub\eaglep3-reporting\EC\2017-08-20-refined-times.txt</v>
      </c>
      <c r="AI170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{"issue":{"subject":"","project_id":79,"tracker_id":40,"status_id":1,"priority_id":2,"assigned_to_id":23,"start_date":"2017-08-20","description":"","custom_fields":[{"id":1,"name":"Subdivision","value":"NW"},{"id":4,"name":"Milepost","value":"5.8929"},{"id":17,"name":"Train ID","value":"1811-20"},{"id":16,"name":"Locomotive ID","value":"4028"},{"id":130,"name":"Impact","value":""},{"id":150,"name":"Time of Event (Mountain Time)","value":"11:35:02"},{"id":151,"name":"Denver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90"/>
        <v>start /low /b %USERPROFILE%\Documents\GitHub\eaglep3\Utilities\DownloadLogsFromS3.py --loco 4028 --day 2017-08-20</v>
      </c>
      <c r="AN170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535</v>
      </c>
      <c r="B171" s="7">
        <v>4027</v>
      </c>
      <c r="C171" s="21" t="s">
        <v>198</v>
      </c>
      <c r="D171" s="21" t="s">
        <v>523</v>
      </c>
      <c r="E171" s="13">
        <v>42967.483622685184</v>
      </c>
      <c r="F171" s="13">
        <v>42967.485324074078</v>
      </c>
      <c r="G171" s="7">
        <v>1</v>
      </c>
      <c r="H171" s="21" t="s">
        <v>829</v>
      </c>
      <c r="I171" s="13">
        <v>42967.493518518517</v>
      </c>
      <c r="J171" s="7">
        <v>0</v>
      </c>
      <c r="K171" s="89" t="str">
        <f t="shared" si="74"/>
        <v>4027/4028</v>
      </c>
      <c r="L171" s="21" t="str">
        <f>VLOOKUP(A171,'Trips&amp;Operators'!$C$1:$G$99911,5,FALSE)</f>
        <v>ROBINSON KADDIBA</v>
      </c>
      <c r="M171" s="6">
        <f t="shared" si="75"/>
        <v>8.1944444391410798E-3</v>
      </c>
      <c r="N171" s="7"/>
      <c r="O171" s="7"/>
      <c r="P171" s="7">
        <f t="shared" si="76"/>
        <v>11.799999992363155</v>
      </c>
      <c r="Q171" s="22"/>
      <c r="R171" s="170" t="s">
        <v>933</v>
      </c>
      <c r="S171" s="213">
        <f t="shared" si="77"/>
        <v>0</v>
      </c>
      <c r="T171" s="195" t="str">
        <f t="shared" si="78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96" t="str">
        <f t="shared" si="79"/>
        <v>https://d0f6bd738d7f1b3e5a7ca70fe4ff75f0.us-east-1.aws.found.io/app/kibana#/discover/Steve-Slow-Train-Analysis-(2080s-and-2083s)?_g=(refreshInterval:(display:Off,pause:!f,section:0,value:0),time:(from:'2017-08-20T10:36:25-0600',mode:absolute,to:'2017-08-20T12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197" t="str">
        <f>IF(AA171&lt;VLOOKUP(AG171,Variables!$AC$3:$AD$8,2,FALSE),"Y","N")</f>
        <v>Y</v>
      </c>
      <c r="X171" s="197">
        <f t="shared" si="80"/>
        <v>1</v>
      </c>
      <c r="Y171" s="197">
        <f t="shared" si="81"/>
        <v>5.8611000000000004</v>
      </c>
      <c r="Z171" s="197">
        <f t="shared" si="82"/>
        <v>1.5769</v>
      </c>
      <c r="AA171" s="197">
        <f t="shared" si="83"/>
        <v>4.2842000000000002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 t="shared" si="84"/>
        <v>1812</v>
      </c>
      <c r="AE171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71" s="74" t="str">
        <f t="shared" si="86"/>
        <v>"C:\Program Files (x86)\AstroGrep\AstroGrep.exe" /e /r /s /spath="%USERPROFILE%\AppData\Local\Temp\OnboardLogs" /stypes="app*4027*20170820*" /stext=" 17:.+((SYSTEM_STATE.+slice.+state.+changed )|(ment ac)|(multiple cpu faults)|(system.+state.+changed )|(\[timeout)|(PRM\|1\|D)|(kpr)|(kdp)|(train st.+moving)|(\|lc)|(penalty))"</v>
      </c>
      <c r="AG171" s="209" t="str">
        <f t="shared" si="87"/>
        <v>NW</v>
      </c>
      <c r="AH171" s="78" t="str">
        <f t="shared" si="88"/>
        <v>"%USERPROFILE%\Documents\GitHub\eaglep3\Utilities\RefineRTDCRunTimes.py" --tripid 1812-20 --locoid 4027 --swversion DE.1.0.9.0 --startMP 300:58611 --initTime 2017-08-20T11:36:25 --startdatetime 2017-08-20T11:38:52 --delay 1 --endMP 300:15769 --enddatetime 2017-08-20T11:50:40 --enforcementcount 0 &gt;&gt;C:\Users\stu\Documents\GitHub\eaglep3-reporting\EC\2017-08-20-refined-times.txt</v>
      </c>
      <c r="AI171" s="96" t="str">
        <f t="shared" si="89"/>
        <v>echo {"issue":{"subject":"Wi-MAX data drop","project_id":79,"tracker_id":40,"status_id":1,"priority_id":2,"assigned_to_id":23,"start_date":"2017-08-20","description":"","custom_fields":[{"id":1,"name":"Subdivision","value":"NW"},{"id":4,"name":"Milepost","value":"1.5769"},{"id":17,"name":"Train ID","value":"1812-20"},{"id":16,"name":"Locomotive ID","value":"4027"},{"id":130,"name":"Impact","value":""},{"id":150,"name":"Time of Event (Mountain Time)","value":"11:50:40"},{"id":151,"name":"Denver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90"/>
        <v>start /low /b %USERPROFILE%\Documents\GitHub\eaglep3\Utilities\DownloadLogsFromS3.py --loco 4027 --day 2017-08-20</v>
      </c>
      <c r="AN171" s="151" t="str">
        <f t="shared" si="91"/>
        <v>echo {"issue":{"subject":"Wi-MAX data drop","project_id":30,"tracker_id":4,"status_id":1,"priority_id":1,"assigned_to_id":10,"start_date":"2017-08-20","description":"","custom_fields":[{"id":30,"name":"Category","value":"Issue"},{"id":3,"name":"Functional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539</v>
      </c>
      <c r="B172" s="7">
        <v>4028</v>
      </c>
      <c r="C172" s="21" t="s">
        <v>198</v>
      </c>
      <c r="D172" s="21" t="s">
        <v>814</v>
      </c>
      <c r="E172" s="13">
        <v>42967.500937500001</v>
      </c>
      <c r="F172" s="13">
        <v>42967.515219907407</v>
      </c>
      <c r="G172" s="7">
        <v>1</v>
      </c>
      <c r="H172" s="21" t="s">
        <v>516</v>
      </c>
      <c r="I172" s="13">
        <v>42967.524826388886</v>
      </c>
      <c r="J172" s="7">
        <v>0</v>
      </c>
      <c r="K172" s="89" t="str">
        <f t="shared" si="74"/>
        <v>4027/4028</v>
      </c>
      <c r="L172" s="21" t="str">
        <f>VLOOKUP(A172,'Trips&amp;Operators'!$C$1:$G$99911,5,FALSE)</f>
        <v>ROBINSON KADDIBA</v>
      </c>
      <c r="M172" s="6">
        <f t="shared" si="75"/>
        <v>9.6064814788405783E-3</v>
      </c>
      <c r="N172" s="7">
        <f t="shared" si="76"/>
        <v>13.833333329530433</v>
      </c>
      <c r="O172" s="7"/>
      <c r="P172" s="7"/>
      <c r="Q172" s="22"/>
      <c r="R172" s="170"/>
      <c r="S172" s="213">
        <f t="shared" si="77"/>
        <v>1</v>
      </c>
      <c r="T172" s="195" t="str">
        <f t="shared" si="78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79"/>
        <v>https://d0f6bd738d7f1b3e5a7ca70fe4ff75f0.us-east-1.aws.found.io/app/kibana#/discover/Steve-Slow-Train-Analysis-(2080s-and-2083s)?_g=(refreshInterval:(display:Off,pause:!f,section:0,value:0),time:(from:'2017-08-20T11:01:21-0600',mode:absolute,to:'2017-08-20T13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197" t="str">
        <f>IF(AA172&lt;VLOOKUP(AG172,Variables!$AC$3:$AD$8,2,FALSE),"Y","N")</f>
        <v>N</v>
      </c>
      <c r="X172" s="197">
        <f t="shared" si="80"/>
        <v>1</v>
      </c>
      <c r="Y172" s="197">
        <f t="shared" si="81"/>
        <v>9.5000000000000001E-2</v>
      </c>
      <c r="Z172" s="197">
        <f t="shared" si="82"/>
        <v>5.9005000000000001</v>
      </c>
      <c r="AA172" s="197">
        <f t="shared" si="83"/>
        <v>5.8055000000000003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 t="shared" si="84"/>
        <v>1813</v>
      </c>
      <c r="AE172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72" s="74" t="str">
        <f t="shared" si="86"/>
        <v>"C:\Program Files (x86)\AstroGrep\AstroGrep.exe" /e /r /s /spath="%USERPROFILE%\AppData\Local\Temp\OnboardLogs" /stypes="app*4028*20170820*" /stext=" 18:.+((SYSTEM_STATE.+slice.+state.+changed )|(ment ac)|(multiple cpu faults)|(system.+state.+changed )|(\[timeout)|(PRM\|1\|D)|(kpr)|(kdp)|(train st.+moving)|(\|lc)|(penalty))"</v>
      </c>
      <c r="AG172" s="209" t="str">
        <f t="shared" si="87"/>
        <v>NW</v>
      </c>
      <c r="AH172" s="78" t="str">
        <f t="shared" si="88"/>
        <v>"%USERPROFILE%\Documents\GitHub\eaglep3\Utilities\RefineRTDCRunTimes.py" --tripid 1813-20 --locoid 4028 --swversion DE.1.0.9.0 --startMP 204:950 --initTime 2017-08-20T12:01:21 --startdatetime 2017-08-20T12:21:55 --delay 1 --endMP 300:59005 --enddatetime 2017-08-20T12:35:45 --enforcementcount 0 &gt;&gt;C:\Users\stu\Documents\GitHub\eaglep3-reporting\EC\2017-08-20-refined-times.txt</v>
      </c>
      <c r="AI172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{"issue":{"subject":"","project_id":79,"tracker_id":40,"status_id":1,"priority_id":2,"assigned_to_id":23,"start_date":"2017-08-20","description":"","custom_fields":[{"id":1,"name":"Subdivision","value":"NW"},{"id":4,"name":"Milepost","value":"5.9005"},{"id":17,"name":"Train ID","value":"1813-20"},{"id":16,"name":"Locomotive ID","value":"4028"},{"id":130,"name":"Impact","value":""},{"id":150,"name":"Time of Event (Mountain Time)","value":"12:35:45"},{"id":151,"name":"Denver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90"/>
        <v>start /low /b %USERPROFILE%\Documents\GitHub\eaglep3\Utilities\DownloadLogsFromS3.py --loco 4028 --day 2017-08-20</v>
      </c>
      <c r="AN172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677</v>
      </c>
      <c r="B173" s="7">
        <v>4027</v>
      </c>
      <c r="C173" s="21" t="s">
        <v>198</v>
      </c>
      <c r="D173" s="21" t="s">
        <v>518</v>
      </c>
      <c r="E173" s="13">
        <v>42967.525613425925</v>
      </c>
      <c r="F173" s="13">
        <v>42967.527129629627</v>
      </c>
      <c r="G173" s="7">
        <v>1</v>
      </c>
      <c r="H173" s="21" t="s">
        <v>830</v>
      </c>
      <c r="I173" s="13">
        <v>42967.538275462961</v>
      </c>
      <c r="J173" s="7">
        <v>0</v>
      </c>
      <c r="K173" s="89" t="str">
        <f t="shared" si="74"/>
        <v>4027/4028</v>
      </c>
      <c r="L173" s="21" t="str">
        <f>VLOOKUP(A173,'Trips&amp;Operators'!$C$1:$G$99911,5,FALSE)</f>
        <v>ROBINSON KADDIBA</v>
      </c>
      <c r="M173" s="6">
        <f t="shared" si="75"/>
        <v>1.1145833334012423E-2</v>
      </c>
      <c r="N173" s="7">
        <f t="shared" si="76"/>
        <v>16.050000000977889</v>
      </c>
      <c r="O173" s="7"/>
      <c r="P173" s="7"/>
      <c r="Q173" s="22"/>
      <c r="R173" s="170"/>
      <c r="S173" s="213">
        <f t="shared" si="77"/>
        <v>1</v>
      </c>
      <c r="T173" s="195" t="str">
        <f t="shared" si="78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79"/>
        <v>https://d0f6bd738d7f1b3e5a7ca70fe4ff75f0.us-east-1.aws.found.io/app/kibana#/discover/Steve-Slow-Train-Analysis-(2080s-and-2083s)?_g=(refreshInterval:(display:Off,pause:!f,section:0,value:0),time:(from:'2017-08-20T11:36:53-0600',mode:absolute,to:'2017-08-20T13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197" t="str">
        <f>IF(AA173&lt;VLOOKUP(AG173,Variables!$AC$3:$AD$8,2,FALSE),"Y","N")</f>
        <v>N</v>
      </c>
      <c r="X173" s="197">
        <f t="shared" si="80"/>
        <v>1</v>
      </c>
      <c r="Y173" s="197">
        <f t="shared" si="81"/>
        <v>5.8692000000000002</v>
      </c>
      <c r="Z173" s="197">
        <f t="shared" si="82"/>
        <v>6.9800000000000001E-2</v>
      </c>
      <c r="AA173" s="197">
        <f t="shared" si="83"/>
        <v>5.7994000000000003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 t="shared" si="84"/>
        <v>1814</v>
      </c>
      <c r="AE173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73" s="74" t="str">
        <f t="shared" si="86"/>
        <v>"C:\Program Files (x86)\AstroGrep\AstroGrep.exe" /e /r /s /spath="%USERPROFILE%\AppData\Local\Temp\OnboardLogs" /stypes="app*4027*20170820*" /stext=" 18:.+((SYSTEM_STATE.+slice.+state.+changed )|(ment ac)|(multiple cpu faults)|(system.+state.+changed )|(\[timeout)|(PRM\|1\|D)|(kpr)|(kdp)|(train st.+moving)|(\|lc)|(penalty))"</v>
      </c>
      <c r="AG173" s="209" t="str">
        <f t="shared" si="87"/>
        <v>NW</v>
      </c>
      <c r="AH173" s="78" t="str">
        <f t="shared" si="88"/>
        <v>"%USERPROFILE%\Documents\GitHub\eaglep3\Utilities\RefineRTDCRunTimes.py" --tripid 1814-20 --locoid 4027 --swversion DE.1.0.9.0 --startMP 300:58692 --initTime 2017-08-20T12:36:53 --startdatetime 2017-08-20T12:39:04 --delay 1 --endMP 204:698 --enddatetime 2017-08-20T12:55:07 --enforcementcount 0 &gt;&gt;C:\Users\stu\Documents\GitHub\eaglep3-reporting\EC\2017-08-20-refined-times.txt</v>
      </c>
      <c r="AI173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{"issue":{"subject":"","project_id":79,"tracker_id":40,"status_id":1,"priority_id":2,"assigned_to_id":23,"start_date":"2017-08-20","description":"","custom_fields":[{"id":1,"name":"Subdivision","value":"NW"},{"id":4,"name":"Milepost","value":"0.0698"},{"id":17,"name":"Train ID","value":"1814-20"},{"id":16,"name":"Locomotive ID","value":"4027"},{"id":130,"name":"Impact","value":""},{"id":150,"name":"Time of Event (Mountain Time)","value":"12:55:07"},{"id":151,"name":"Denver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90"/>
        <v>start /low /b %USERPROFILE%\Documents\GitHub\eaglep3\Utilities\DownloadLogsFromS3.py --loco 4027 --day 2017-08-20</v>
      </c>
      <c r="AN173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18:55:07"},{"id":29,"name":"Sharepoint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684</v>
      </c>
      <c r="B174" s="7">
        <v>4028</v>
      </c>
      <c r="C174" s="21" t="s">
        <v>198</v>
      </c>
      <c r="D174" s="21" t="s">
        <v>519</v>
      </c>
      <c r="E174" s="13">
        <v>42967.540393518517</v>
      </c>
      <c r="F174" s="13">
        <v>42967.556712962964</v>
      </c>
      <c r="G174" s="7">
        <v>1</v>
      </c>
      <c r="H174" s="21" t="s">
        <v>831</v>
      </c>
      <c r="I174" s="13">
        <v>42967.566307870373</v>
      </c>
      <c r="J174" s="7">
        <v>0</v>
      </c>
      <c r="K174" s="89" t="str">
        <f t="shared" si="74"/>
        <v>4027/4028</v>
      </c>
      <c r="L174" s="21" t="str">
        <f>VLOOKUP(A174,'Trips&amp;Operators'!$C$1:$G$99911,5,FALSE)</f>
        <v>ROBINSON KADDIBA</v>
      </c>
      <c r="M174" s="6">
        <f t="shared" si="75"/>
        <v>9.5949074093368836E-3</v>
      </c>
      <c r="N174" s="7">
        <f t="shared" si="76"/>
        <v>13.816666669445112</v>
      </c>
      <c r="O174" s="7"/>
      <c r="P174" s="7"/>
      <c r="Q174" s="22"/>
      <c r="R174" s="170"/>
      <c r="S174" s="213">
        <f t="shared" si="77"/>
        <v>1</v>
      </c>
      <c r="T174" s="195" t="str">
        <f t="shared" si="78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79"/>
        <v>https://d0f6bd738d7f1b3e5a7ca70fe4ff75f0.us-east-1.aws.found.io/app/kibana#/discover/Steve-Slow-Train-Analysis-(2080s-and-2083s)?_g=(refreshInterval:(display:Off,pause:!f,section:0,value:0),time:(from:'2017-08-20T11:58:10-0600',mode:absolute,to:'2017-08-20T14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197" t="str">
        <f>IF(AA174&lt;VLOOKUP(AG174,Variables!$AC$3:$AD$8,2,FALSE),"Y","N")</f>
        <v>N</v>
      </c>
      <c r="X174" s="197">
        <f t="shared" si="80"/>
        <v>1</v>
      </c>
      <c r="Y174" s="197">
        <f t="shared" si="81"/>
        <v>9.8500000000000004E-2</v>
      </c>
      <c r="Z174" s="197">
        <f t="shared" si="82"/>
        <v>5.8967000000000001</v>
      </c>
      <c r="AA174" s="197">
        <f t="shared" si="83"/>
        <v>5.7982000000000005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 t="shared" si="84"/>
        <v>1815</v>
      </c>
      <c r="AE174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74" s="74" t="str">
        <f t="shared" si="86"/>
        <v>"C:\Program Files (x86)\AstroGrep\AstroGrep.exe" /e /r /s /spath="%USERPROFILE%\AppData\Local\Temp\OnboardLogs" /stypes="app*4028*20170820*" /stext=" 19:.+((SYSTEM_STATE.+slice.+state.+changed )|(ment ac)|(multiple cpu faults)|(system.+state.+changed )|(\[timeout)|(PRM\|1\|D)|(kpr)|(kdp)|(train st.+moving)|(\|lc)|(penalty))"</v>
      </c>
      <c r="AG174" s="209" t="str">
        <f t="shared" si="87"/>
        <v>NW</v>
      </c>
      <c r="AH174" s="78" t="str">
        <f t="shared" si="88"/>
        <v>"%USERPROFILE%\Documents\GitHub\eaglep3\Utilities\RefineRTDCRunTimes.py" --tripid 1815-20 --locoid 4028 --swversion DE.1.0.9.0 --startMP 204:985 --initTime 2017-08-20T12:58:10 --startdatetime 2017-08-20T13:21:40 --delay 1 --endMP 300:58967 --enddatetime 2017-08-20T13:35:29 --enforcementcount 0 &gt;&gt;C:\Users\stu\Documents\GitHub\eaglep3-reporting\EC\2017-08-20-refined-times.txt</v>
      </c>
      <c r="AI174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{"issue":{"subject":"","project_id":79,"tracker_id":40,"status_id":1,"priority_id":2,"assigned_to_id":23,"start_date":"2017-08-20","description":"","custom_fields":[{"id":1,"name":"Subdivision","value":"NW"},{"id":4,"name":"Milepost","value":"5.8967"},{"id":17,"name":"Train ID","value":"1815-20"},{"id":16,"name":"Locomotive ID","value":"4028"},{"id":130,"name":"Impact","value":""},{"id":150,"name":"Time of Event (Mountain Time)","value":"13:35:29"},{"id":151,"name":"Denver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90"/>
        <v>start /low /b %USERPROFILE%\Documents\GitHub\eaglep3\Utilities\DownloadLogsFromS3.py --loco 4028 --day 2017-08-20</v>
      </c>
      <c r="AN174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688</v>
      </c>
      <c r="B175" s="7">
        <v>4027</v>
      </c>
      <c r="C175" s="21" t="s">
        <v>198</v>
      </c>
      <c r="D175" s="21" t="s">
        <v>832</v>
      </c>
      <c r="E175" s="13">
        <v>42967.567233796297</v>
      </c>
      <c r="F175" s="13">
        <v>42967.568472222221</v>
      </c>
      <c r="G175" s="7">
        <v>1</v>
      </c>
      <c r="H175" s="21" t="s">
        <v>524</v>
      </c>
      <c r="I175" s="13">
        <v>42967.579409722224</v>
      </c>
      <c r="J175" s="7">
        <v>0</v>
      </c>
      <c r="K175" s="89" t="str">
        <f t="shared" si="74"/>
        <v>4027/4028</v>
      </c>
      <c r="L175" s="21" t="str">
        <f>VLOOKUP(A175,'Trips&amp;Operators'!$C$1:$G$99911,5,FALSE)</f>
        <v>ROBINSON KADDIBA</v>
      </c>
      <c r="M175" s="6">
        <f t="shared" si="75"/>
        <v>1.0937500002910383E-2</v>
      </c>
      <c r="N175" s="7">
        <f t="shared" si="76"/>
        <v>15.750000004190952</v>
      </c>
      <c r="O175" s="7"/>
      <c r="P175" s="7"/>
      <c r="Q175" s="22"/>
      <c r="R175" s="170"/>
      <c r="S175" s="213">
        <f t="shared" si="77"/>
        <v>1</v>
      </c>
      <c r="T175" s="195" t="str">
        <f t="shared" si="78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79"/>
        <v>https://d0f6bd738d7f1b3e5a7ca70fe4ff75f0.us-east-1.aws.found.io/app/kibana#/discover/Steve-Slow-Train-Analysis-(2080s-and-2083s)?_g=(refreshInterval:(display:Off,pause:!f,section:0,value:0),time:(from:'2017-08-20T12:36:49-0600',mode:absolute,to:'2017-08-20T14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197" t="str">
        <f>IF(AA175&lt;VLOOKUP(AG175,Variables!$AC$3:$AD$8,2,FALSE),"Y","N")</f>
        <v>N</v>
      </c>
      <c r="X175" s="197">
        <f t="shared" si="80"/>
        <v>1</v>
      </c>
      <c r="Y175" s="197">
        <f t="shared" si="81"/>
        <v>5.8648999999999996</v>
      </c>
      <c r="Z175" s="197">
        <f t="shared" si="82"/>
        <v>6.7799999999999999E-2</v>
      </c>
      <c r="AA175" s="197">
        <f t="shared" si="83"/>
        <v>5.7970999999999995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 t="shared" si="84"/>
        <v>1816</v>
      </c>
      <c r="AE175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75" s="74" t="str">
        <f t="shared" si="86"/>
        <v>"C:\Program Files (x86)\AstroGrep\AstroGrep.exe" /e /r /s /spath="%USERPROFILE%\AppData\Local\Temp\OnboardLogs" /stypes="app*4027*20170820*" /stext=" 19:.+((SYSTEM_STATE.+slice.+state.+changed )|(ment ac)|(multiple cpu faults)|(system.+state.+changed )|(\[timeout)|(PRM\|1\|D)|(kpr)|(kdp)|(train st.+moving)|(\|lc)|(penalty))"</v>
      </c>
      <c r="AG175" s="209" t="str">
        <f t="shared" si="87"/>
        <v>NW</v>
      </c>
      <c r="AH175" s="78" t="str">
        <f t="shared" si="88"/>
        <v>"%USERPROFILE%\Documents\GitHub\eaglep3\Utilities\RefineRTDCRunTimes.py" --tripid 1816-20 --locoid 4027 --swversion DE.1.0.9.0 --startMP 300:58649 --initTime 2017-08-20T13:36:49 --startdatetime 2017-08-20T13:38:36 --delay 1 --endMP 204:678 --enddatetime 2017-08-20T13:54:21 --enforcementcount 0 &gt;&gt;C:\Users\stu\Documents\GitHub\eaglep3-reporting\EC\2017-08-20-refined-times.txt</v>
      </c>
      <c r="AI175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{"issue":{"subject":"","project_id":79,"tracker_id":40,"status_id":1,"priority_id":2,"assigned_to_id":23,"start_date":"2017-08-20","description":"","custom_fields":[{"id":1,"name":"Subdivision","value":"NW"},{"id":4,"name":"Milepost","value":"0.0678"},{"id":17,"name":"Train ID","value":"1816-20"},{"id":16,"name":"Locomotive ID","value":"4027"},{"id":130,"name":"Impact","value":""},{"id":150,"name":"Time of Event (Mountain Time)","value":"13:54:21"},{"id":151,"name":"Denver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90"/>
        <v>start /low /b %USERPROFILE%\Documents\GitHub\eaglep3\Utilities\DownloadLogsFromS3.py --loco 4027 --day 2017-08-20</v>
      </c>
      <c r="AN175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19:54:21"},{"id":29,"name":"Sharepoint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545</v>
      </c>
      <c r="B176" s="7">
        <v>4028</v>
      </c>
      <c r="C176" s="21" t="s">
        <v>198</v>
      </c>
      <c r="D176" s="21" t="s">
        <v>520</v>
      </c>
      <c r="E176" s="13">
        <v>42967.582673611112</v>
      </c>
      <c r="F176" s="13">
        <v>42967.598113425927</v>
      </c>
      <c r="G176" s="7">
        <v>3</v>
      </c>
      <c r="H176" s="21" t="s">
        <v>833</v>
      </c>
      <c r="I176" s="13">
        <v>42967.608055555553</v>
      </c>
      <c r="J176" s="7">
        <v>0</v>
      </c>
      <c r="K176" s="89" t="str">
        <f t="shared" si="74"/>
        <v>4027/4028</v>
      </c>
      <c r="L176" s="21" t="str">
        <f>VLOOKUP(A176,'Trips&amp;Operators'!$C$1:$G$99911,5,FALSE)</f>
        <v>HOLCOMB KAMDEN</v>
      </c>
      <c r="M176" s="6">
        <f t="shared" si="75"/>
        <v>9.9421296254149638E-3</v>
      </c>
      <c r="N176" s="7">
        <f t="shared" si="76"/>
        <v>14.316666660597548</v>
      </c>
      <c r="O176" s="7"/>
      <c r="P176" s="7"/>
      <c r="Q176" s="22"/>
      <c r="R176" s="170"/>
      <c r="S176" s="213">
        <f t="shared" si="77"/>
        <v>1</v>
      </c>
      <c r="T176" s="195" t="str">
        <f t="shared" si="78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79"/>
        <v>https://d0f6bd738d7f1b3e5a7ca70fe4ff75f0.us-east-1.aws.found.io/app/kibana#/discover/Steve-Slow-Train-Analysis-(2080s-and-2083s)?_g=(refreshInterval:(display:Off,pause:!f,section:0,value:0),time:(from:'2017-08-20T12:59:03-0600',mode:absolute,to:'2017-08-20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197" t="str">
        <f>IF(AA176&lt;VLOOKUP(AG176,Variables!$AC$3:$AD$8,2,FALSE),"Y","N")</f>
        <v>N</v>
      </c>
      <c r="X176" s="197">
        <f t="shared" si="80"/>
        <v>1</v>
      </c>
      <c r="Y176" s="197">
        <f t="shared" si="81"/>
        <v>9.8599999999999993E-2</v>
      </c>
      <c r="Z176" s="197">
        <f t="shared" si="82"/>
        <v>5.8994999999999997</v>
      </c>
      <c r="AA176" s="197">
        <f t="shared" si="83"/>
        <v>5.8008999999999995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 t="shared" si="84"/>
        <v>1817</v>
      </c>
      <c r="AE176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76" s="74" t="str">
        <f t="shared" si="86"/>
        <v>"C:\Program Files (x86)\AstroGrep\AstroGrep.exe" /e /r /s /spath="%USERPROFILE%\AppData\Local\Temp\OnboardLogs" /stypes="app*4028*20170820*" /stext=" 20:.+((SYSTEM_STATE.+slice.+state.+changed )|(ment ac)|(multiple cpu faults)|(system.+state.+changed )|(\[timeout)|(PRM\|1\|D)|(kpr)|(kdp)|(train st.+moving)|(\|lc)|(penalty))"</v>
      </c>
      <c r="AG176" s="209" t="str">
        <f t="shared" si="87"/>
        <v>NW</v>
      </c>
      <c r="AH176" s="78" t="str">
        <f t="shared" si="88"/>
        <v>"%USERPROFILE%\Documents\GitHub\eaglep3\Utilities\RefineRTDCRunTimes.py" --tripid 1817-20 --locoid 4028 --swversion DE.1.0.9.0 --startMP 204:986 --initTime 2017-08-20T13:59:03 --startdatetime 2017-08-20T14:21:17 --delay 3 --endMP 300:58995 --enddatetime 2017-08-20T14:35:36 --enforcementcount 0 &gt;&gt;C:\Users\stu\Documents\GitHub\eaglep3-reporting\EC\2017-08-20-refined-times.txt</v>
      </c>
      <c r="AI176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{"issue":{"subject":"","project_id":79,"tracker_id":40,"status_id":1,"priority_id":2,"assigned_to_id":23,"start_date":"2017-08-20","description":"","custom_fields":[{"id":1,"name":"Subdivision","value":"NW"},{"id":4,"name":"Milepost","value":"5.8995"},{"id":17,"name":"Train ID","value":"1817-20"},{"id":16,"name":"Locomotive ID","value":"4028"},{"id":130,"name":"Impact","value":""},{"id":150,"name":"Time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90"/>
        <v>start /low /b %USERPROFILE%\Documents\GitHub\eaglep3\Utilities\DownloadLogsFromS3.py --loco 4028 --day 2017-08-20</v>
      </c>
      <c r="AN176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546</v>
      </c>
      <c r="B177" s="7">
        <v>4027</v>
      </c>
      <c r="C177" s="21" t="s">
        <v>198</v>
      </c>
      <c r="D177" s="21" t="s">
        <v>834</v>
      </c>
      <c r="E177" s="13">
        <v>42967.609050925923</v>
      </c>
      <c r="F177" s="13">
        <v>42967.610520833332</v>
      </c>
      <c r="G177" s="7">
        <v>1</v>
      </c>
      <c r="H177" s="21" t="s">
        <v>835</v>
      </c>
      <c r="I177" s="13">
        <v>42967.62296296296</v>
      </c>
      <c r="J177" s="7">
        <v>0</v>
      </c>
      <c r="K177" s="89" t="str">
        <f t="shared" si="74"/>
        <v>4027/4028</v>
      </c>
      <c r="L177" s="21" t="str">
        <f>VLOOKUP(A177,'Trips&amp;Operators'!$C$1:$G$99911,5,FALSE)</f>
        <v>HOLCOMB KAMDEN</v>
      </c>
      <c r="M177" s="6">
        <f t="shared" si="75"/>
        <v>1.244212962774327E-2</v>
      </c>
      <c r="N177" s="7">
        <f t="shared" si="76"/>
        <v>17.916666663950309</v>
      </c>
      <c r="O177" s="7"/>
      <c r="P177" s="7"/>
      <c r="Q177" s="22"/>
      <c r="R177" s="170"/>
      <c r="S177" s="213">
        <f t="shared" si="77"/>
        <v>1</v>
      </c>
      <c r="T177" s="195" t="str">
        <f t="shared" si="78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79"/>
        <v>https://d0f6bd738d7f1b3e5a7ca70fe4ff75f0.us-east-1.aws.found.io/app/kibana#/discover/Steve-Slow-Train-Analysis-(2080s-and-2083s)?_g=(refreshInterval:(display:Off,pause:!f,section:0,value:0),time:(from:'2017-08-20T13:37:02-0600',mode:absolute,to:'2017-08-20T15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197" t="str">
        <f>IF(AA177&lt;VLOOKUP(AG177,Variables!$AC$3:$AD$8,2,FALSE),"Y","N")</f>
        <v>N</v>
      </c>
      <c r="X177" s="197">
        <f t="shared" si="80"/>
        <v>1</v>
      </c>
      <c r="Y177" s="197">
        <f t="shared" si="81"/>
        <v>5.8685</v>
      </c>
      <c r="Z177" s="197">
        <f t="shared" si="82"/>
        <v>7.5399999999999995E-2</v>
      </c>
      <c r="AA177" s="197">
        <f t="shared" si="83"/>
        <v>5.7930999999999999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 t="shared" si="84"/>
        <v>1818</v>
      </c>
      <c r="AE177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77" s="74" t="str">
        <f t="shared" si="86"/>
        <v>"C:\Program Files (x86)\AstroGrep\AstroGrep.exe" /e /r /s /spath="%USERPROFILE%\AppData\Local\Temp\OnboardLogs" /stypes="app*4027*20170820*" /stext=" 20:.+((SYSTEM_STATE.+slice.+state.+changed )|(ment ac)|(multiple cpu faults)|(system.+state.+changed )|(\[timeout)|(PRM\|1\|D)|(kpr)|(kdp)|(train st.+moving)|(\|lc)|(penalty))"</v>
      </c>
      <c r="AG177" s="209" t="str">
        <f t="shared" si="87"/>
        <v>NW</v>
      </c>
      <c r="AH177" s="78" t="str">
        <f t="shared" si="88"/>
        <v>"%USERPROFILE%\Documents\GitHub\eaglep3\Utilities\RefineRTDCRunTimes.py" --tripid 1818-20 --locoid 4027 --swversion DE.1.0.9.0 --startMP 300:58685 --initTime 2017-08-20T14:37:02 --startdatetime 2017-08-20T14:39:09 --delay 1 --endMP 204:754 --enddatetime 2017-08-20T14:57:04 --enforcementcount 0 &gt;&gt;C:\Users\stu\Documents\GitHub\eaglep3-reporting\EC\2017-08-20-refined-times.txt</v>
      </c>
      <c r="AI177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{"issue":{"subject":"","project_id":79,"tracker_id":40,"status_id":1,"priority_id":2,"assigned_to_id":23,"start_date":"2017-08-20","description":"","custom_fields":[{"id":1,"name":"Subdivision","value":"NW"},{"id":4,"name":"Milepost","value":"0.0754"},{"id":17,"name":"Train ID","value":"1818-20"},{"id":16,"name":"Locomotive ID","value":"4027"},{"id":130,"name":"Impact","value":""},{"id":150,"name":"Time of Event (Mountain Time)","value":"14:57:04"},{"id":151,"name":"Denver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90"/>
        <v>start /low /b %USERPROFILE%\Documents\GitHub\eaglep3\Utilities\DownloadLogsFromS3.py --loco 4027 --day 2017-08-20</v>
      </c>
      <c r="AN177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20:57:04"},{"id":29,"name":"Sharepoint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547</v>
      </c>
      <c r="B178" s="7">
        <v>4028</v>
      </c>
      <c r="C178" s="21" t="s">
        <v>198</v>
      </c>
      <c r="D178" s="21" t="s">
        <v>525</v>
      </c>
      <c r="E178" s="13">
        <v>42967.636053240742</v>
      </c>
      <c r="F178" s="13">
        <v>42967.639907407407</v>
      </c>
      <c r="G178" s="7">
        <v>1</v>
      </c>
      <c r="H178" s="21" t="s">
        <v>836</v>
      </c>
      <c r="I178" s="13">
        <v>42967.648981481485</v>
      </c>
      <c r="J178" s="7">
        <v>0</v>
      </c>
      <c r="K178" s="89" t="str">
        <f t="shared" si="74"/>
        <v>4027/4028</v>
      </c>
      <c r="L178" s="21" t="str">
        <f>VLOOKUP(A178,'Trips&amp;Operators'!$C$1:$G$99911,5,FALSE)</f>
        <v>HOLCOMB KAMDEN</v>
      </c>
      <c r="M178" s="6">
        <f t="shared" si="75"/>
        <v>9.0740740779438056E-3</v>
      </c>
      <c r="N178" s="7">
        <f t="shared" si="76"/>
        <v>13.06666667223908</v>
      </c>
      <c r="O178" s="7"/>
      <c r="P178" s="7"/>
      <c r="Q178" s="22"/>
      <c r="R178" s="170"/>
      <c r="S178" s="213">
        <f t="shared" si="77"/>
        <v>1</v>
      </c>
      <c r="T178" s="195" t="str">
        <f t="shared" si="78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79"/>
        <v>https://d0f6bd738d7f1b3e5a7ca70fe4ff75f0.us-east-1.aws.found.io/app/kibana#/discover/Steve-Slow-Train-Analysis-(2080s-and-2083s)?_g=(refreshInterval:(display:Off,pause:!f,section:0,value:0),time:(from:'2017-08-20T14:15:55-0600',mode:absolute,to:'2017-08-20T16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197" t="str">
        <f>IF(AA178&lt;VLOOKUP(AG178,Variables!$AC$3:$AD$8,2,FALSE),"Y","N")</f>
        <v>N</v>
      </c>
      <c r="X178" s="197">
        <f t="shared" si="80"/>
        <v>1</v>
      </c>
      <c r="Y178" s="197">
        <f t="shared" si="81"/>
        <v>0.1048</v>
      </c>
      <c r="Z178" s="197">
        <f t="shared" si="82"/>
        <v>5.8749000000000002</v>
      </c>
      <c r="AA178" s="197">
        <f t="shared" si="83"/>
        <v>5.7701000000000002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 t="shared" si="84"/>
        <v>1819</v>
      </c>
      <c r="AE178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78" s="74" t="str">
        <f t="shared" si="86"/>
        <v>"C:\Program Files (x86)\AstroGrep\AstroGrep.exe" /e /r /s /spath="%USERPROFILE%\AppData\Local\Temp\OnboardLogs" /stypes="app*4028*20170820*" /stext=" 21:.+((SYSTEM_STATE.+slice.+state.+changed )|(ment ac)|(multiple cpu faults)|(system.+state.+changed )|(\[timeout)|(PRM\|1\|D)|(kpr)|(kdp)|(train st.+moving)|(\|lc)|(penalty))"</v>
      </c>
      <c r="AG178" s="209" t="str">
        <f t="shared" si="87"/>
        <v>NW</v>
      </c>
      <c r="AH178" s="78" t="str">
        <f t="shared" si="88"/>
        <v>"%USERPROFILE%\Documents\GitHub\eaglep3\Utilities\RefineRTDCRunTimes.py" --tripid 1819-20 --locoid 4028 --swversion DE.1.0.9.0 --startMP 204:1048 --initTime 2017-08-20T15:15:55 --startdatetime 2017-08-20T15:21:28 --delay 1 --endMP 300:58749 --enddatetime 2017-08-20T15:34:32 --enforcementcount 0 &gt;&gt;C:\Users\stu\Documents\GitHub\eaglep3-reporting\EC\2017-08-20-refined-times.txt</v>
      </c>
      <c r="AI178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{"issue":{"subject":"","project_id":79,"tracker_id":40,"status_id":1,"priority_id":2,"assigned_to_id":23,"start_date":"2017-08-20","description":"","custom_fields":[{"id":1,"name":"Subdivision","value":"NW"},{"id":4,"name":"Milepost","value":"5.8749"},{"id":17,"name":"Train ID","value":"1819-20"},{"id":16,"name":"Locomotive ID","value":"4028"},{"id":130,"name":"Impact","value":""},{"id":150,"name":"Time of Event (Mountain Time)","value":"15:34:32"},{"id":151,"name":"Denver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90"/>
        <v>start /low /b %USERPROFILE%\Documents\GitHub\eaglep3\Utilities\DownloadLogsFromS3.py --loco 4028 --day 2017-08-20</v>
      </c>
      <c r="AN178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21:34:32"},{"id":29,"name":"Sharepoint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703</v>
      </c>
      <c r="B179" s="7">
        <v>4027</v>
      </c>
      <c r="C179" s="21" t="s">
        <v>198</v>
      </c>
      <c r="D179" s="21" t="s">
        <v>837</v>
      </c>
      <c r="E179" s="13">
        <v>42967.65079861111</v>
      </c>
      <c r="F179" s="13">
        <v>42967.652037037034</v>
      </c>
      <c r="G179" s="7">
        <v>1</v>
      </c>
      <c r="H179" s="21" t="s">
        <v>838</v>
      </c>
      <c r="I179" s="13">
        <v>42967.662824074076</v>
      </c>
      <c r="J179" s="7">
        <v>0</v>
      </c>
      <c r="K179" s="89" t="str">
        <f t="shared" si="74"/>
        <v>4027/4028</v>
      </c>
      <c r="L179" s="21" t="str">
        <f>VLOOKUP(A179,'Trips&amp;Operators'!$C$1:$G$99911,5,FALSE)</f>
        <v>HOLCOMB KAMDEN</v>
      </c>
      <c r="M179" s="6">
        <f t="shared" si="75"/>
        <v>1.078703704115469E-2</v>
      </c>
      <c r="N179" s="7">
        <f t="shared" si="76"/>
        <v>15.533333339262754</v>
      </c>
      <c r="O179" s="7"/>
      <c r="P179" s="7"/>
      <c r="Q179" s="22"/>
      <c r="R179" s="170"/>
      <c r="S179" s="213">
        <f t="shared" si="77"/>
        <v>1</v>
      </c>
      <c r="T179" s="195" t="str">
        <f t="shared" si="78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79"/>
        <v>https://d0f6bd738d7f1b3e5a7ca70fe4ff75f0.us-east-1.aws.found.io/app/kibana#/discover/Steve-Slow-Train-Analysis-(2080s-and-2083s)?_g=(refreshInterval:(display:Off,pause:!f,section:0,value:0),time:(from:'2017-08-20T14:37:09-0600',mode:absolute,to:'2017-08-20T16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197" t="str">
        <f>IF(AA179&lt;VLOOKUP(AG179,Variables!$AC$3:$AD$8,2,FALSE),"Y","N")</f>
        <v>N</v>
      </c>
      <c r="X179" s="197">
        <f t="shared" si="80"/>
        <v>1</v>
      </c>
      <c r="Y179" s="197">
        <f t="shared" si="81"/>
        <v>5.8673000000000002</v>
      </c>
      <c r="Z179" s="197">
        <f t="shared" si="82"/>
        <v>6.7699999999999996E-2</v>
      </c>
      <c r="AA179" s="197">
        <f t="shared" si="83"/>
        <v>5.7995999999999999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 t="shared" si="84"/>
        <v>1820</v>
      </c>
      <c r="AE179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79" s="74" t="str">
        <f t="shared" si="86"/>
        <v>"C:\Program Files (x86)\AstroGrep\AstroGrep.exe" /e /r /s /spath="%USERPROFILE%\AppData\Local\Temp\OnboardLogs" /stypes="app*4027*20170820*" /stext=" 21:.+((SYSTEM_STATE.+slice.+state.+changed )|(ment ac)|(multiple cpu faults)|(system.+state.+changed )|(\[timeout)|(PRM\|1\|D)|(kpr)|(kdp)|(train st.+moving)|(\|lc)|(penalty))"</v>
      </c>
      <c r="AG179" s="209" t="str">
        <f t="shared" si="87"/>
        <v>NW</v>
      </c>
      <c r="AH179" s="78" t="str">
        <f t="shared" si="88"/>
        <v>"%USERPROFILE%\Documents\GitHub\eaglep3\Utilities\RefineRTDCRunTimes.py" --tripid 1820-20 --locoid 4027 --swversion DE.1.0.9.0 --startMP 300:58673 --initTime 2017-08-20T15:37:09 --startdatetime 2017-08-20T15:38:56 --delay 1 --endMP 204:677 --enddatetime 2017-08-20T15:54:28 --enforcementcount 0 &gt;&gt;C:\Users\stu\Documents\GitHub\eaglep3-reporting\EC\2017-08-20-refined-times.txt</v>
      </c>
      <c r="AI179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{"issue":{"subject":"","project_id":79,"tracker_id":40,"status_id":1,"priority_id":2,"assigned_to_id":23,"start_date":"2017-08-20","description":"","custom_fields":[{"id":1,"name":"Subdivision","value":"NW"},{"id":4,"name":"Milepost","value":"0.0677"},{"id":17,"name":"Train ID","value":"1820-20"},{"id":16,"name":"Locomotive ID","value":"4027"},{"id":130,"name":"Impact","value":""},{"id":150,"name":"Time of Event (Mountain Time)","value":"15:54:28"},{"id":151,"name":"Denver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90"/>
        <v>start /low /b %USERPROFILE%\Documents\GitHub\eaglep3\Utilities\DownloadLogsFromS3.py --loco 4027 --day 2017-08-20</v>
      </c>
      <c r="AN179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710</v>
      </c>
      <c r="B180" s="7">
        <v>4028</v>
      </c>
      <c r="C180" s="21" t="s">
        <v>198</v>
      </c>
      <c r="D180" s="21" t="s">
        <v>839</v>
      </c>
      <c r="E180" s="13">
        <v>42967.679212962961</v>
      </c>
      <c r="F180" s="13">
        <v>42967.681550925925</v>
      </c>
      <c r="G180" s="7">
        <v>0</v>
      </c>
      <c r="H180" s="21" t="s">
        <v>840</v>
      </c>
      <c r="I180" s="13">
        <v>42967.690682870372</v>
      </c>
      <c r="J180" s="7">
        <v>0</v>
      </c>
      <c r="K180" s="89" t="str">
        <f t="shared" si="74"/>
        <v>4027/4028</v>
      </c>
      <c r="L180" s="21" t="str">
        <f>VLOOKUP(A180,'Trips&amp;Operators'!$C$1:$G$99911,5,FALSE)</f>
        <v>HOLCOMB KAMDEN</v>
      </c>
      <c r="M180" s="6">
        <f t="shared" si="75"/>
        <v>9.1319444472901523E-3</v>
      </c>
      <c r="N180" s="7">
        <f t="shared" si="76"/>
        <v>13.150000004097819</v>
      </c>
      <c r="O180" s="7"/>
      <c r="P180" s="7"/>
      <c r="Q180" s="22"/>
      <c r="R180" s="170"/>
      <c r="S180" s="213">
        <f t="shared" si="77"/>
        <v>1</v>
      </c>
      <c r="T180" s="195" t="str">
        <f t="shared" si="78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79"/>
        <v>https://d0f6bd738d7f1b3e5a7ca70fe4ff75f0.us-east-1.aws.found.io/app/kibana#/discover/Steve-Slow-Train-Analysis-(2080s-and-2083s)?_g=(refreshInterval:(display:Off,pause:!f,section:0,value:0),time:(from:'2017-08-20T15:18:04-0600',mode:absolute,to:'2017-08-20T17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197" t="str">
        <f>IF(AA180&lt;VLOOKUP(AG180,Variables!$AC$3:$AD$8,2,FALSE),"Y","N")</f>
        <v>N</v>
      </c>
      <c r="X180" s="197">
        <f t="shared" si="80"/>
        <v>1</v>
      </c>
      <c r="Y180" s="197">
        <f t="shared" si="81"/>
        <v>9.64E-2</v>
      </c>
      <c r="Z180" s="197">
        <f t="shared" si="82"/>
        <v>5.8997000000000002</v>
      </c>
      <c r="AA180" s="197">
        <f t="shared" si="83"/>
        <v>5.8033000000000001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 t="shared" si="84"/>
        <v>1821</v>
      </c>
      <c r="AE180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80" s="74" t="str">
        <f t="shared" si="86"/>
        <v>"C:\Program Files (x86)\AstroGrep\AstroGrep.exe" /e /r /s /spath="%USERPROFILE%\AppData\Local\Temp\OnboardLogs" /stypes="app*4028*20170820*" /stext=" 22:.+((SYSTEM_STATE.+slice.+state.+changed )|(ment ac)|(multiple cpu faults)|(system.+state.+changed )|(\[timeout)|(PRM\|1\|D)|(kpr)|(kdp)|(train st.+moving)|(\|lc)|(penalty))"</v>
      </c>
      <c r="AG180" s="209" t="str">
        <f t="shared" si="87"/>
        <v>NW</v>
      </c>
      <c r="AH180" s="78" t="str">
        <f t="shared" si="88"/>
        <v>"%USERPROFILE%\Documents\GitHub\eaglep3\Utilities\RefineRTDCRunTimes.py" --tripid 1821-20 --locoid 4028 --swversion DE.1.0.9.0 --startMP 204:964 --initTime 2017-08-20T16:18:04 --startdatetime 2017-08-20T16:21:26 --delay 0 --endMP 300:58997 --enddatetime 2017-08-20T16:34:35 --enforcementcount 0 &gt;&gt;C:\Users\stu\Documents\GitHub\eaglep3-reporting\EC\2017-08-20-refined-times.txt</v>
      </c>
      <c r="AI180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{"issue":{"subject":"","project_id":79,"tracker_id":40,"status_id":1,"priority_id":2,"assigned_to_id":23,"start_date":"2017-08-20","description":"","custom_fields":[{"id":1,"name":"Subdivision","value":"NW"},{"id":4,"name":"Milepost","value":"5.8997"},{"id":17,"name":"Train ID","value":"1821-20"},{"id":16,"name":"Locomotive ID","value":"4028"},{"id":130,"name":"Impact","value":""},{"id":150,"name":"Time of Event (Mountain Time)","value":"16:34:35"},{"id":151,"name":"Denver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90"/>
        <v>start /low /b %USERPROFILE%\Documents\GitHub\eaglep3\Utilities\DownloadLogsFromS3.py --loco 4028 --day 2017-08-20</v>
      </c>
      <c r="AN180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552</v>
      </c>
      <c r="B181" s="7">
        <v>4027</v>
      </c>
      <c r="C181" s="21" t="s">
        <v>198</v>
      </c>
      <c r="D181" s="21" t="s">
        <v>841</v>
      </c>
      <c r="E181" s="13">
        <v>42967.691666666666</v>
      </c>
      <c r="F181" s="13">
        <v>42967.693506944444</v>
      </c>
      <c r="G181" s="7">
        <v>1</v>
      </c>
      <c r="H181" s="21" t="s">
        <v>842</v>
      </c>
      <c r="I181" s="13">
        <v>42967.704548611109</v>
      </c>
      <c r="J181" s="7">
        <v>0</v>
      </c>
      <c r="K181" s="89" t="str">
        <f t="shared" si="74"/>
        <v>4027/4028</v>
      </c>
      <c r="L181" s="21" t="str">
        <f>VLOOKUP(A181,'Trips&amp;Operators'!$C$1:$G$99911,5,FALSE)</f>
        <v>HOLCOMB KAMDEN</v>
      </c>
      <c r="M181" s="6">
        <f t="shared" si="75"/>
        <v>1.1041666664823424E-2</v>
      </c>
      <c r="N181" s="7">
        <f t="shared" si="76"/>
        <v>15.899999997345731</v>
      </c>
      <c r="O181" s="7"/>
      <c r="P181" s="7"/>
      <c r="Q181" s="22"/>
      <c r="R181" s="170"/>
      <c r="S181" s="213">
        <f t="shared" si="77"/>
        <v>1</v>
      </c>
      <c r="T181" s="195" t="str">
        <f t="shared" si="78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79"/>
        <v>https://d0f6bd738d7f1b3e5a7ca70fe4ff75f0.us-east-1.aws.found.io/app/kibana#/discover/Steve-Slow-Train-Analysis-(2080s-and-2083s)?_g=(refreshInterval:(display:Off,pause:!f,section:0,value:0),time:(from:'2017-08-20T15:36:00-0600',mode:absolute,to:'2017-08-20T17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197" t="str">
        <f>IF(AA181&lt;VLOOKUP(AG181,Variables!$AC$3:$AD$8,2,FALSE),"Y","N")</f>
        <v>N</v>
      </c>
      <c r="X181" s="197">
        <f t="shared" si="80"/>
        <v>1</v>
      </c>
      <c r="Y181" s="197">
        <f t="shared" si="81"/>
        <v>5.8672000000000004</v>
      </c>
      <c r="Z181" s="197">
        <f t="shared" si="82"/>
        <v>7.0599999999999996E-2</v>
      </c>
      <c r="AA181" s="197">
        <f t="shared" si="83"/>
        <v>5.7966000000000006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 t="shared" si="84"/>
        <v>1822</v>
      </c>
      <c r="AE181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81" s="74" t="str">
        <f t="shared" si="86"/>
        <v>"C:\Program Files (x86)\AstroGrep\AstroGrep.exe" /e /r /s /spath="%USERPROFILE%\AppData\Local\Temp\OnboardLogs" /stypes="app*4027*20170820*" /stext=" 22:.+((SYSTEM_STATE.+slice.+state.+changed )|(ment ac)|(multiple cpu faults)|(system.+state.+changed )|(\[timeout)|(PRM\|1\|D)|(kpr)|(kdp)|(train st.+moving)|(\|lc)|(penalty))"</v>
      </c>
      <c r="AG181" s="209" t="str">
        <f t="shared" si="87"/>
        <v>NW</v>
      </c>
      <c r="AH181" s="78" t="str">
        <f t="shared" si="88"/>
        <v>"%USERPROFILE%\Documents\GitHub\eaglep3\Utilities\RefineRTDCRunTimes.py" --tripid 1822-20 --locoid 4027 --swversion DE.1.0.9.0 --startMP 300:58672 --initTime 2017-08-20T16:36:00 --startdatetime 2017-08-20T16:38:39 --delay 1 --endMP 204:706 --enddatetime 2017-08-20T16:54:33 --enforcementcount 0 &gt;&gt;C:\Users\stu\Documents\GitHub\eaglep3-reporting\EC\2017-08-20-refined-times.txt</v>
      </c>
      <c r="AI181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{"issue":{"subject":"","project_id":79,"tracker_id":40,"status_id":1,"priority_id":2,"assigned_to_id":23,"start_date":"2017-08-20","description":"","custom_fields":[{"id":1,"name":"Subdivision","value":"NW"},{"id":4,"name":"Milepost","value":"0.0706"},{"id":17,"name":"Train ID","value":"1822-20"},{"id":16,"name":"Locomotive ID","value":"4027"},{"id":130,"name":"Impact","value":""},{"id":150,"name":"Time of Event (Mountain Time)","value":"16:54:33"},{"id":151,"name":"Denver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90"/>
        <v>start /low /b %USERPROFILE%\Documents\GitHub\eaglep3\Utilities\DownloadLogsFromS3.py --loco 4027 --day 2017-08-20</v>
      </c>
      <c r="AN181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718</v>
      </c>
      <c r="B182" s="7">
        <v>4028</v>
      </c>
      <c r="C182" s="21" t="s">
        <v>198</v>
      </c>
      <c r="D182" s="21" t="s">
        <v>843</v>
      </c>
      <c r="E182" s="13">
        <v>42967.718530092592</v>
      </c>
      <c r="F182" s="13">
        <v>42967.73642361111</v>
      </c>
      <c r="G182" s="7">
        <v>0</v>
      </c>
      <c r="H182" s="21" t="s">
        <v>833</v>
      </c>
      <c r="I182" s="13">
        <v>42967.74659722222</v>
      </c>
      <c r="J182" s="7">
        <v>0</v>
      </c>
      <c r="K182" s="89" t="str">
        <f t="shared" si="74"/>
        <v>4027/4028</v>
      </c>
      <c r="L182" s="21" t="str">
        <f>VLOOKUP(A182,'Trips&amp;Operators'!$C$1:$G$99911,5,FALSE)</f>
        <v>HOLCOMB KAMDEN</v>
      </c>
      <c r="M182" s="6">
        <f t="shared" si="75"/>
        <v>1.0173611110076308E-2</v>
      </c>
      <c r="N182" s="7">
        <f t="shared" si="76"/>
        <v>14.649999998509884</v>
      </c>
      <c r="O182" s="7"/>
      <c r="P182" s="7"/>
      <c r="Q182" s="22"/>
      <c r="R182" s="170"/>
      <c r="S182" s="213">
        <f t="shared" si="77"/>
        <v>1</v>
      </c>
      <c r="T182" s="195" t="str">
        <f t="shared" si="78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79"/>
        <v>https://d0f6bd738d7f1b3e5a7ca70fe4ff75f0.us-east-1.aws.found.io/app/kibana#/discover/Steve-Slow-Train-Analysis-(2080s-and-2083s)?_g=(refreshInterval:(display:Off,pause:!f,section:0,value:0),time:(from:'2017-08-20T16:14:41-0600',mode:absolute,to:'2017-08-20T18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197" t="str">
        <f>IF(AA182&lt;VLOOKUP(AG182,Variables!$AC$3:$AD$8,2,FALSE),"Y","N")</f>
        <v>N</v>
      </c>
      <c r="X182" s="197">
        <f t="shared" si="80"/>
        <v>1</v>
      </c>
      <c r="Y182" s="197">
        <f t="shared" si="81"/>
        <v>0.1</v>
      </c>
      <c r="Z182" s="197">
        <f t="shared" si="82"/>
        <v>5.8994999999999997</v>
      </c>
      <c r="AA182" s="197">
        <f t="shared" si="83"/>
        <v>5.7995000000000001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 t="shared" si="84"/>
        <v>1823</v>
      </c>
      <c r="AE182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82" s="74" t="str">
        <f t="shared" si="86"/>
        <v>"C:\Program Files (x86)\AstroGrep\AstroGrep.exe" /e /r /s /spath="%USERPROFILE%\AppData\Local\Temp\OnboardLogs" /stypes="app*4028*20170820*" /stext=" 23:.+((SYSTEM_STATE.+slice.+state.+changed )|(ment ac)|(multiple cpu faults)|(system.+state.+changed )|(\[timeout)|(PRM\|1\|D)|(kpr)|(kdp)|(train st.+moving)|(\|lc)|(penalty))"</v>
      </c>
      <c r="AG182" s="209" t="str">
        <f t="shared" si="87"/>
        <v>NW</v>
      </c>
      <c r="AH182" s="78" t="str">
        <f t="shared" si="88"/>
        <v>"%USERPROFILE%\Documents\GitHub\eaglep3\Utilities\RefineRTDCRunTimes.py" --tripid 1823-20 --locoid 4028 --swversion DE.1.0.9.0 --startMP 204:1000 --initTime 2017-08-20T17:14:41 --startdatetime 2017-08-20T17:40:27 --delay 0 --endMP 300:58995 --enddatetime 2017-08-20T17:55:06 --enforcementcount 0 &gt;&gt;C:\Users\stu\Documents\GitHub\eaglep3-reporting\EC\2017-08-20-refined-times.txt</v>
      </c>
      <c r="AI182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{"issue":{"subject":"","project_id":79,"tracker_id":40,"status_id":1,"priority_id":2,"assigned_to_id":23,"start_date":"2017-08-20","description":"","custom_fields":[{"id":1,"name":"Subdivision","value":"NW"},{"id":4,"name":"Milepost","value":"5.8995"},{"id":17,"name":"Train ID","value":"1823-20"},{"id":16,"name":"Locomotive ID","value":"4028"},{"id":130,"name":"Impact","value":""},{"id":150,"name":"Time of Event (Mountain Time)","value":"17:55:06"},{"id":151,"name":"Denver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90"/>
        <v>start /low /b %USERPROFILE%\Documents\GitHub\eaglep3\Utilities\DownloadLogsFromS3.py --loco 4028 --day 2017-08-20</v>
      </c>
      <c r="AN182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554</v>
      </c>
      <c r="B183" s="7">
        <v>4027</v>
      </c>
      <c r="C183" s="21" t="s">
        <v>198</v>
      </c>
      <c r="D183" s="21" t="s">
        <v>844</v>
      </c>
      <c r="E183" s="13">
        <v>42967.735034722224</v>
      </c>
      <c r="F183" s="13">
        <v>42967.73642361111</v>
      </c>
      <c r="G183" s="7">
        <v>1</v>
      </c>
      <c r="H183" s="21" t="s">
        <v>468</v>
      </c>
      <c r="I183" s="13">
        <v>42967.74659722222</v>
      </c>
      <c r="J183" s="7">
        <v>0</v>
      </c>
      <c r="K183" s="89" t="str">
        <f t="shared" si="74"/>
        <v>4027/4028</v>
      </c>
      <c r="L183" s="21" t="str">
        <f>VLOOKUP(A183,'Trips&amp;Operators'!$C$1:$G$99911,5,FALSE)</f>
        <v>HOLCOMB KAMDEN</v>
      </c>
      <c r="M183" s="6">
        <f t="shared" si="75"/>
        <v>1.0173611110076308E-2</v>
      </c>
      <c r="N183" s="7">
        <f t="shared" si="76"/>
        <v>14.649999998509884</v>
      </c>
      <c r="O183" s="7"/>
      <c r="P183" s="7"/>
      <c r="Q183" s="22"/>
      <c r="R183" s="170"/>
      <c r="S183" s="213">
        <f t="shared" si="77"/>
        <v>1</v>
      </c>
      <c r="T183" s="195" t="str">
        <f t="shared" si="78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79"/>
        <v>https://d0f6bd738d7f1b3e5a7ca70fe4ff75f0.us-east-1.aws.found.io/app/kibana#/discover/Steve-Slow-Train-Analysis-(2080s-and-2083s)?_g=(refreshInterval:(display:Off,pause:!f,section:0,value:0),time:(from:'2017-08-20T16:38:27-0600',mode:absolute,to:'2017-08-20T18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197" t="str">
        <f>IF(AA183&lt;VLOOKUP(AG183,Variables!$AC$3:$AD$8,2,FALSE),"Y","N")</f>
        <v>N</v>
      </c>
      <c r="X183" s="197">
        <f t="shared" si="80"/>
        <v>1</v>
      </c>
      <c r="Y183" s="197">
        <f t="shared" si="81"/>
        <v>5.8677000000000001</v>
      </c>
      <c r="Z183" s="197">
        <f t="shared" si="82"/>
        <v>6.8400000000000002E-2</v>
      </c>
      <c r="AA183" s="197">
        <f t="shared" si="83"/>
        <v>5.7993000000000006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 t="shared" si="84"/>
        <v>1824</v>
      </c>
      <c r="AE183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83" s="74" t="str">
        <f t="shared" si="86"/>
        <v>"C:\Program Files (x86)\AstroGrep\AstroGrep.exe" /e /r /s /spath="%USERPROFILE%\AppData\Local\Temp\OnboardLogs" /stypes="app*4027*20170820*" /stext=" 23:.+((SYSTEM_STATE.+slice.+state.+changed )|(ment ac)|(multiple cpu faults)|(system.+state.+changed )|(\[timeout)|(PRM\|1\|D)|(kpr)|(kdp)|(train st.+moving)|(\|lc)|(penalty))"</v>
      </c>
      <c r="AG183" s="209" t="str">
        <f t="shared" si="87"/>
        <v>NW</v>
      </c>
      <c r="AH183" s="78" t="str">
        <f t="shared" si="88"/>
        <v>"%USERPROFILE%\Documents\GitHub\eaglep3\Utilities\RefineRTDCRunTimes.py" --tripid 1824-20 --locoid 4027 --swversion DE.1.0.9.0 --startMP 300:58677 --initTime 2017-08-20T17:38:27 --startdatetime 2017-08-20T17:40:27 --delay 1 --endMP 204:684 --enddatetime 2017-08-20T17:55:06 --enforcementcount 0 &gt;&gt;C:\Users\stu\Documents\GitHub\eaglep3-reporting\EC\2017-08-20-refined-times.txt</v>
      </c>
      <c r="AI183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{"issue":{"subject":"","project_id":79,"tracker_id":40,"status_id":1,"priority_id":2,"assigned_to_id":23,"start_date":"2017-08-20","description":"","custom_fields":[{"id":1,"name":"Subdivision","value":"NW"},{"id":4,"name":"Milepost","value":"0.0684"},{"id":17,"name":"Train ID","value":"1824-20"},{"id":16,"name":"Locomotive ID","value":"4027"},{"id":130,"name":"Impact","value":""},{"id":150,"name":"Time of Event (Mountain Time)","value":"17:55:06"},{"id":151,"name":"Denver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90"/>
        <v>start /low /b %USERPROFILE%\Documents\GitHub\eaglep3\Utilities\DownloadLogsFromS3.py --loco 4027 --day 2017-08-20</v>
      </c>
      <c r="AN183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558</v>
      </c>
      <c r="B184" s="7">
        <v>4028</v>
      </c>
      <c r="C184" s="21" t="s">
        <v>198</v>
      </c>
      <c r="D184" s="21" t="s">
        <v>517</v>
      </c>
      <c r="E184" s="13">
        <v>42967.763148148151</v>
      </c>
      <c r="F184" s="13">
        <v>42967.764768518522</v>
      </c>
      <c r="G184" s="7">
        <v>1</v>
      </c>
      <c r="H184" s="21" t="s">
        <v>845</v>
      </c>
      <c r="I184" s="13">
        <v>42967.774456018517</v>
      </c>
      <c r="J184" s="7">
        <v>0</v>
      </c>
      <c r="K184" s="89" t="str">
        <f t="shared" si="74"/>
        <v>4027/4028</v>
      </c>
      <c r="L184" s="21" t="str">
        <f>VLOOKUP(A184,'Trips&amp;Operators'!$C$1:$G$99911,5,FALSE)</f>
        <v>HOLCOMB KAMDEN</v>
      </c>
      <c r="M184" s="6">
        <f t="shared" si="75"/>
        <v>9.6874999944702722E-3</v>
      </c>
      <c r="N184" s="7">
        <f t="shared" si="76"/>
        <v>13.949999992037192</v>
      </c>
      <c r="O184" s="7"/>
      <c r="P184" s="7"/>
      <c r="Q184" s="22"/>
      <c r="R184" s="170"/>
      <c r="S184" s="213">
        <f t="shared" si="77"/>
        <v>1</v>
      </c>
      <c r="T184" s="195" t="str">
        <f t="shared" si="78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79"/>
        <v>https://d0f6bd738d7f1b3e5a7ca70fe4ff75f0.us-east-1.aws.found.io/app/kibana#/discover/Steve-Slow-Train-Analysis-(2080s-and-2083s)?_g=(refreshInterval:(display:Off,pause:!f,section:0,value:0),time:(from:'2017-08-20T17:18:56-0600',mode:absolute,to:'2017-08-20T19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197" t="str">
        <f>IF(AA184&lt;VLOOKUP(AG184,Variables!$AC$3:$AD$8,2,FALSE),"Y","N")</f>
        <v>N</v>
      </c>
      <c r="X184" s="197">
        <f t="shared" si="80"/>
        <v>1</v>
      </c>
      <c r="Y184" s="197">
        <f t="shared" si="81"/>
        <v>9.6500000000000002E-2</v>
      </c>
      <c r="Z184" s="197">
        <f t="shared" si="82"/>
        <v>5.899</v>
      </c>
      <c r="AA184" s="197">
        <f t="shared" si="83"/>
        <v>5.8025000000000002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 t="shared" si="84"/>
        <v>1825</v>
      </c>
      <c r="AE184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84" s="74" t="str">
        <f t="shared" si="86"/>
        <v>"C:\Program Files (x86)\AstroGrep\AstroGrep.exe" /e /r /s /spath="%USERPROFILE%\AppData\Local\Temp\OnboardLogs" /stypes="app*4028*20170821*" /stext=" 00:.+((SYSTEM_STATE.+slice.+state.+changed )|(ment ac)|(multiple cpu faults)|(system.+state.+changed )|(\[timeout)|(PRM\|1\|D)|(kpr)|(kdp)|(train st.+moving)|(\|lc)|(penalty))"</v>
      </c>
      <c r="AG184" s="209" t="str">
        <f t="shared" si="87"/>
        <v>NW</v>
      </c>
      <c r="AH184" s="78" t="str">
        <f t="shared" si="88"/>
        <v>"%USERPROFILE%\Documents\GitHub\eaglep3\Utilities\RefineRTDCRunTimes.py" --tripid 1825-20 --locoid 4028 --swversion DE.1.0.9.0 --startMP 204:965 --initTime 2017-08-20T18:18:56 --startdatetime 2017-08-20T18:21:16 --delay 1 --endMP 300:58990 --enddatetime 2017-08-20T18:35:13 --enforcementcount 0 &gt;&gt;C:\Users\stu\Documents\GitHub\eaglep3-reporting\EC\2017-08-20-refined-times.txt</v>
      </c>
      <c r="AI184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{"issue":{"subject":"","project_id":79,"tracker_id":40,"status_id":1,"priority_id":2,"assigned_to_id":23,"start_date":"2017-08-20","description":"","custom_fields":[{"id":1,"name":"Subdivision","value":"NW"},{"id":4,"name":"Milepost","value":"5.899"},{"id":17,"name":"Train ID","value":"1825-20"},{"id":16,"name":"Locomotive ID","value":"4028"},{"id":130,"name":"Impact","value":""},{"id":150,"name":"Time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90"/>
        <v>start /low /b %USERPROFILE%\Documents\GitHub\eaglep3\Utilities\DownloadLogsFromS3.py --loco 4028 --day 2017-08-20</v>
      </c>
      <c r="AN184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729</v>
      </c>
      <c r="B185" s="7">
        <v>4027</v>
      </c>
      <c r="C185" s="21" t="s">
        <v>198</v>
      </c>
      <c r="D185" s="21" t="s">
        <v>844</v>
      </c>
      <c r="E185" s="13">
        <v>42967.775462962964</v>
      </c>
      <c r="F185" s="13">
        <v>42967.776666666665</v>
      </c>
      <c r="G185" s="7">
        <v>1</v>
      </c>
      <c r="H185" s="21" t="s">
        <v>846</v>
      </c>
      <c r="I185" s="13">
        <v>42967.790833333333</v>
      </c>
      <c r="J185" s="7">
        <v>0</v>
      </c>
      <c r="K185" s="89" t="str">
        <f t="shared" si="74"/>
        <v>4027/4028</v>
      </c>
      <c r="L185" s="21" t="str">
        <f>VLOOKUP(A185,'Trips&amp;Operators'!$C$1:$G$99911,5,FALSE)</f>
        <v>HOLCOMB KAMDEN</v>
      </c>
      <c r="M185" s="6">
        <f t="shared" si="75"/>
        <v>1.4166666667733807E-2</v>
      </c>
      <c r="N185" s="7">
        <f t="shared" si="76"/>
        <v>20.400000001536682</v>
      </c>
      <c r="O185" s="7"/>
      <c r="P185" s="7"/>
      <c r="Q185" s="22"/>
      <c r="R185" s="170"/>
      <c r="S185" s="213">
        <f t="shared" si="77"/>
        <v>1</v>
      </c>
      <c r="T185" s="195" t="str">
        <f t="shared" si="78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79"/>
        <v>https://d0f6bd738d7f1b3e5a7ca70fe4ff75f0.us-east-1.aws.found.io/app/kibana#/discover/Steve-Slow-Train-Analysis-(2080s-and-2083s)?_g=(refreshInterval:(display:Off,pause:!f,section:0,value:0),time:(from:'2017-08-20T17:36:40-0600',mode:absolute,to:'2017-08-20T19:58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197" t="str">
        <f>IF(AA185&lt;VLOOKUP(AG185,Variables!$AC$3:$AD$8,2,FALSE),"Y","N")</f>
        <v>N</v>
      </c>
      <c r="X185" s="197">
        <f t="shared" si="80"/>
        <v>1</v>
      </c>
      <c r="Y185" s="197">
        <f t="shared" si="81"/>
        <v>5.8677000000000001</v>
      </c>
      <c r="Z185" s="197">
        <f t="shared" si="82"/>
        <v>6.8199999999999997E-2</v>
      </c>
      <c r="AA185" s="197">
        <f t="shared" si="83"/>
        <v>5.7995000000000001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 t="shared" si="84"/>
        <v>1826</v>
      </c>
      <c r="AE185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85" s="74" t="str">
        <f t="shared" si="86"/>
        <v>"C:\Program Files (x86)\AstroGrep\AstroGrep.exe" /e /r /s /spath="%USERPROFILE%\AppData\Local\Temp\OnboardLogs" /stypes="app*4027*20170821*" /stext=" 00:.+((SYSTEM_STATE.+slice.+state.+changed )|(ment ac)|(multiple cpu faults)|(system.+state.+changed )|(\[timeout)|(PRM\|1\|D)|(kpr)|(kdp)|(train st.+moving)|(\|lc)|(penalty))"</v>
      </c>
      <c r="AG185" s="209" t="str">
        <f t="shared" si="87"/>
        <v>NW</v>
      </c>
      <c r="AH185" s="78" t="str">
        <f t="shared" si="88"/>
        <v>"%USERPROFILE%\Documents\GitHub\eaglep3\Utilities\RefineRTDCRunTimes.py" --tripid 1826-20 --locoid 4027 --swversion DE.1.0.9.0 --startMP 300:58677 --initTime 2017-08-20T18:36:40 --startdatetime 2017-08-20T18:38:24 --delay 1 --endMP 204:682 --enddatetime 2017-08-20T18:58:48 --enforcementcount 0 &gt;&gt;C:\Users\stu\Documents\GitHub\eaglep3-reporting\EC\2017-08-20-refined-times.txt</v>
      </c>
      <c r="AI185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{"issue":{"subject":"","project_id":79,"tracker_id":40,"status_id":1,"priority_id":2,"assigned_to_id":23,"start_date":"2017-08-20","description":"","custom_fields":[{"id":1,"name":"Subdivision","value":"NW"},{"id":4,"name":"Milepost","value":"0.0682"},{"id":17,"name":"Train ID","value":"1826-20"},{"id":16,"name":"Locomotive ID","value":"4027"},{"id":130,"name":"Impact","value":""},{"id":150,"name":"Time of Event (Mountain Time)","value":"18:58:48"},{"id":151,"name":"Denver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90"/>
        <v>start /low /b %USERPROFILE%\Documents\GitHub\eaglep3\Utilities\DownloadLogsFromS3.py --loco 4027 --day 2017-08-20</v>
      </c>
      <c r="AN185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00:58:48"},{"id":29,"name":"Sharepoint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735</v>
      </c>
      <c r="B186" s="7">
        <v>4028</v>
      </c>
      <c r="C186" s="21" t="s">
        <v>198</v>
      </c>
      <c r="D186" s="21" t="s">
        <v>517</v>
      </c>
      <c r="E186" s="13">
        <v>42967.803425925929</v>
      </c>
      <c r="F186" s="13">
        <v>42967.806585648148</v>
      </c>
      <c r="G186" s="7">
        <v>1</v>
      </c>
      <c r="H186" s="21" t="s">
        <v>847</v>
      </c>
      <c r="I186" s="13">
        <v>42967.816678240742</v>
      </c>
      <c r="J186" s="7">
        <v>0</v>
      </c>
      <c r="K186" s="89" t="str">
        <f t="shared" si="74"/>
        <v>4027/4028</v>
      </c>
      <c r="L186" s="21" t="str">
        <f>VLOOKUP(A186,'Trips&amp;Operators'!$C$1:$G$99911,5,FALSE)</f>
        <v>HOLCOMB KAMDEN</v>
      </c>
      <c r="M186" s="6">
        <f t="shared" si="75"/>
        <v>1.0092592594446614E-2</v>
      </c>
      <c r="N186" s="7">
        <f t="shared" si="76"/>
        <v>14.533333336003125</v>
      </c>
      <c r="O186" s="7"/>
      <c r="P186" s="7"/>
      <c r="Q186" s="22"/>
      <c r="R186" s="170"/>
      <c r="S186" s="213">
        <f t="shared" si="77"/>
        <v>1</v>
      </c>
      <c r="T186" s="195" t="str">
        <f t="shared" si="78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79"/>
        <v>https://d0f6bd738d7f1b3e5a7ca70fe4ff75f0.us-east-1.aws.found.io/app/kibana#/discover/Steve-Slow-Train-Analysis-(2080s-and-2083s)?_g=(refreshInterval:(display:Off,pause:!f,section:0,value:0),time:(from:'2017-08-20T18:16:56-0600',mode:absolute,to:'2017-08-20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197" t="str">
        <f>IF(AA186&lt;VLOOKUP(AG186,Variables!$AC$3:$AD$8,2,FALSE),"Y","N")</f>
        <v>N</v>
      </c>
      <c r="X186" s="197">
        <f t="shared" si="80"/>
        <v>1</v>
      </c>
      <c r="Y186" s="197">
        <f t="shared" si="81"/>
        <v>9.6500000000000002E-2</v>
      </c>
      <c r="Z186" s="197">
        <f t="shared" si="82"/>
        <v>5.8993000000000002</v>
      </c>
      <c r="AA186" s="197">
        <f t="shared" si="83"/>
        <v>5.8028000000000004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 t="shared" si="84"/>
        <v>1827</v>
      </c>
      <c r="AE186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86" s="74" t="str">
        <f t="shared" si="86"/>
        <v>"C:\Program Files (x86)\AstroGrep\AstroGrep.exe" /e /r /s /spath="%USERPROFILE%\AppData\Local\Temp\OnboardLogs" /stypes="app*4028*20170821*" /stext=" 01:.+((SYSTEM_STATE.+slice.+state.+changed )|(ment ac)|(multiple cpu faults)|(system.+state.+changed )|(\[timeout)|(PRM\|1\|D)|(kpr)|(kdp)|(train st.+moving)|(\|lc)|(penalty))"</v>
      </c>
      <c r="AG186" s="209" t="str">
        <f t="shared" si="87"/>
        <v>NW</v>
      </c>
      <c r="AH186" s="78" t="str">
        <f t="shared" si="88"/>
        <v>"%USERPROFILE%\Documents\GitHub\eaglep3\Utilities\RefineRTDCRunTimes.py" --tripid 1827-20 --locoid 4028 --swversion DE.1.0.9.0 --startMP 204:965 --initTime 2017-08-20T19:16:56 --startdatetime 2017-08-20T19:21:29 --delay 1 --endMP 300:58993 --enddatetime 2017-08-20T19:36:01 --enforcementcount 0 &gt;&gt;C:\Users\stu\Documents\GitHub\eaglep3-reporting\EC\2017-08-20-refined-times.txt</v>
      </c>
      <c r="AI186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{"issue":{"subject":"","project_id":79,"tracker_id":40,"status_id":1,"priority_id":2,"assigned_to_id":23,"start_date":"2017-08-20","description":"","custom_fields":[{"id":1,"name":"Subdivision","value":"NW"},{"id":4,"name":"Milepost","value":"5.8993"},{"id":17,"name":"Train ID","value":"1827-20"},{"id":16,"name":"Locomotive ID","value":"4028"},{"id":130,"name":"Impact","value":""},{"id":150,"name":"Time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90"/>
        <v>start /low /b %USERPROFILE%\Documents\GitHub\eaglep3\Utilities\DownloadLogsFromS3.py --loco 4028 --day 2017-08-20</v>
      </c>
      <c r="AN186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562</v>
      </c>
      <c r="B187" s="7">
        <v>4027</v>
      </c>
      <c r="C187" s="21" t="s">
        <v>198</v>
      </c>
      <c r="D187" s="21" t="s">
        <v>844</v>
      </c>
      <c r="E187" s="13">
        <v>42967.817499999997</v>
      </c>
      <c r="F187" s="13">
        <v>42967.819432870368</v>
      </c>
      <c r="G187" s="7">
        <v>1</v>
      </c>
      <c r="H187" s="21" t="s">
        <v>469</v>
      </c>
      <c r="I187" s="13">
        <v>42967.83090277778</v>
      </c>
      <c r="J187" s="7">
        <v>0</v>
      </c>
      <c r="K187" s="89" t="str">
        <f t="shared" si="74"/>
        <v>4027/4028</v>
      </c>
      <c r="L187" s="21" t="str">
        <f>VLOOKUP(A187,'Trips&amp;Operators'!$C$1:$G$99911,5,FALSE)</f>
        <v>HOLCOMB KAMDEN</v>
      </c>
      <c r="M187" s="6">
        <f t="shared" si="75"/>
        <v>1.1469907411083113E-2</v>
      </c>
      <c r="N187" s="7">
        <f t="shared" si="76"/>
        <v>16.516666671959683</v>
      </c>
      <c r="O187" s="7"/>
      <c r="P187" s="7"/>
      <c r="Q187" s="22"/>
      <c r="R187" s="170"/>
      <c r="S187" s="213">
        <f t="shared" si="77"/>
        <v>1</v>
      </c>
      <c r="T187" s="195" t="str">
        <f t="shared" si="78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79"/>
        <v>https://d0f6bd738d7f1b3e5a7ca70fe4ff75f0.us-east-1.aws.found.io/app/kibana#/discover/Steve-Slow-Train-Analysis-(2080s-and-2083s)?_g=(refreshInterval:(display:Off,pause:!f,section:0,value:0),time:(from:'2017-08-20T18:37:12-0600',mode:absolute,to:'2017-08-20T20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197" t="str">
        <f>IF(AA187&lt;VLOOKUP(AG187,Variables!$AC$3:$AD$8,2,FALSE),"Y","N")</f>
        <v>N</v>
      </c>
      <c r="X187" s="197">
        <f t="shared" si="80"/>
        <v>1</v>
      </c>
      <c r="Y187" s="197">
        <f t="shared" si="81"/>
        <v>5.8677000000000001</v>
      </c>
      <c r="Z187" s="197">
        <f t="shared" si="82"/>
        <v>6.8000000000000005E-2</v>
      </c>
      <c r="AA187" s="197">
        <f t="shared" si="83"/>
        <v>5.7997000000000005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 t="shared" si="84"/>
        <v>1828</v>
      </c>
      <c r="AE187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87" s="74" t="str">
        <f t="shared" si="86"/>
        <v>"C:\Program Files (x86)\AstroGrep\AstroGrep.exe" /e /r /s /spath="%USERPROFILE%\AppData\Local\Temp\OnboardLogs" /stypes="app*4027*20170821*" /stext=" 01:.+((SYSTEM_STATE.+slice.+state.+changed )|(ment ac)|(multiple cpu faults)|(system.+state.+changed )|(\[timeout)|(PRM\|1\|D)|(kpr)|(kdp)|(train st.+moving)|(\|lc)|(penalty))"</v>
      </c>
      <c r="AG187" s="209" t="str">
        <f t="shared" si="87"/>
        <v>NW</v>
      </c>
      <c r="AH187" s="78" t="str">
        <f t="shared" si="88"/>
        <v>"%USERPROFILE%\Documents\GitHub\eaglep3\Utilities\RefineRTDCRunTimes.py" --tripid 1828-20 --locoid 4027 --swversion DE.1.0.9.0 --startMP 300:58677 --initTime 2017-08-20T19:37:12 --startdatetime 2017-08-20T19:39:59 --delay 1 --endMP 204:680 --enddatetime 2017-08-20T19:56:30 --enforcementcount 0 &gt;&gt;C:\Users\stu\Documents\GitHub\eaglep3-reporting\EC\2017-08-20-refined-times.txt</v>
      </c>
      <c r="AI187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{"issue":{"subject":"","project_id":79,"tracker_id":40,"status_id":1,"priority_id":2,"assigned_to_id":23,"start_date":"2017-08-20","description":"","custom_fields":[{"id":1,"name":"Subdivision","value":"NW"},{"id":4,"name":"Milepost","value":"0.068"},{"id":17,"name":"Train ID","value":"1828-20"},{"id":16,"name":"Locomotive ID","value":"4027"},{"id":130,"name":"Impact","value":""},{"id":150,"name":"Time of Event (Mountain Time)","value":"19:56:30"},{"id":151,"name":"Denver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90"/>
        <v>start /low /b %USERPROFILE%\Documents\GitHub\eaglep3\Utilities\DownloadLogsFromS3.py --loco 4027 --day 2017-08-20</v>
      </c>
      <c r="AN187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742</v>
      </c>
      <c r="B188" s="7">
        <v>4028</v>
      </c>
      <c r="C188" s="21" t="s">
        <v>198</v>
      </c>
      <c r="D188" s="21" t="s">
        <v>848</v>
      </c>
      <c r="E188" s="13">
        <v>42967.842465277776</v>
      </c>
      <c r="F188" s="13">
        <v>42967.848171296297</v>
      </c>
      <c r="G188" s="7">
        <v>1</v>
      </c>
      <c r="H188" s="21" t="s">
        <v>849</v>
      </c>
      <c r="I188" s="13">
        <v>42967.857662037037</v>
      </c>
      <c r="J188" s="7">
        <v>0</v>
      </c>
      <c r="K188" s="89" t="str">
        <f t="shared" si="74"/>
        <v>4027/4028</v>
      </c>
      <c r="L188" s="21" t="str">
        <f>VLOOKUP(A188,'Trips&amp;Operators'!$C$1:$G$99911,5,FALSE)</f>
        <v>HOLCOMB KAMDEN</v>
      </c>
      <c r="M188" s="6">
        <f t="shared" si="75"/>
        <v>9.4907407401478849E-3</v>
      </c>
      <c r="N188" s="7">
        <f t="shared" si="76"/>
        <v>13.666666665812954</v>
      </c>
      <c r="O188" s="7"/>
      <c r="P188" s="7"/>
      <c r="Q188" s="22"/>
      <c r="R188" s="170"/>
      <c r="S188" s="213">
        <f t="shared" si="77"/>
        <v>1</v>
      </c>
      <c r="T188" s="195" t="str">
        <f t="shared" si="78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79"/>
        <v>https://d0f6bd738d7f1b3e5a7ca70fe4ff75f0.us-east-1.aws.found.io/app/kibana#/discover/Steve-Slow-Train-Analysis-(2080s-and-2083s)?_g=(refreshInterval:(display:Off,pause:!f,section:0,value:0),time:(from:'2017-08-20T19:13:09-0600',mode:absolute,to:'2017-08-20T21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197" t="str">
        <f>IF(AA188&lt;VLOOKUP(AG188,Variables!$AC$3:$AD$8,2,FALSE),"Y","N")</f>
        <v>N</v>
      </c>
      <c r="X188" s="197">
        <f t="shared" si="80"/>
        <v>1</v>
      </c>
      <c r="Y188" s="197">
        <f t="shared" si="81"/>
        <v>9.6699999999999994E-2</v>
      </c>
      <c r="Z188" s="197">
        <f t="shared" si="82"/>
        <v>5.8987999999999996</v>
      </c>
      <c r="AA188" s="197">
        <f t="shared" si="83"/>
        <v>5.8020999999999994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 t="shared" si="84"/>
        <v>1829</v>
      </c>
      <c r="AE188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88" s="74" t="str">
        <f t="shared" si="86"/>
        <v>"C:\Program Files (x86)\AstroGrep\AstroGrep.exe" /e /r /s /spath="%USERPROFILE%\AppData\Local\Temp\OnboardLogs" /stypes="app*4028*20170821*" /stext=" 02:.+((SYSTEM_STATE.+slice.+state.+changed )|(ment ac)|(multiple cpu faults)|(system.+state.+changed )|(\[timeout)|(PRM\|1\|D)|(kpr)|(kdp)|(train st.+moving)|(\|lc)|(penalty))"</v>
      </c>
      <c r="AG188" s="209" t="str">
        <f t="shared" si="87"/>
        <v>NW</v>
      </c>
      <c r="AH188" s="78" t="str">
        <f t="shared" si="88"/>
        <v>"%USERPROFILE%\Documents\GitHub\eaglep3\Utilities\RefineRTDCRunTimes.py" --tripid 1829-20 --locoid 4028 --swversion DE.1.0.9.0 --startMP 204:967 --initTime 2017-08-20T20:13:09 --startdatetime 2017-08-20T20:21:22 --delay 1 --endMP 300:58988 --enddatetime 2017-08-20T20:35:02 --enforcementcount 0 &gt;&gt;C:\Users\stu\Documents\GitHub\eaglep3-reporting\EC\2017-08-20-refined-times.txt</v>
      </c>
      <c r="AI188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{"issue":{"subject":"","project_id":79,"tracker_id":40,"status_id":1,"priority_id":2,"assigned_to_id":23,"start_date":"2017-08-20","description":"","custom_fields":[{"id":1,"name":"Subdivision","value":"NW"},{"id":4,"name":"Milepost","value":"5.8988"},{"id":17,"name":"Train ID","value":"1829-20"},{"id":16,"name":"Locomotive ID","value":"4028"},{"id":130,"name":"Impact","value":""},{"id":150,"name":"Time of Event (Mountain Time)","value":"20:35:02"},{"id":151,"name":"Denver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90"/>
        <v>start /low /b %USERPROFILE%\Documents\GitHub\eaglep3\Utilities\DownloadLogsFromS3.py --loco 4028 --day 2017-08-20</v>
      </c>
      <c r="AN188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02:35:02"},{"id":29,"name":"Sharepoint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745</v>
      </c>
      <c r="B189" s="7">
        <v>4027</v>
      </c>
      <c r="C189" s="21" t="s">
        <v>198</v>
      </c>
      <c r="D189" s="21" t="s">
        <v>851</v>
      </c>
      <c r="E189" s="13">
        <v>42967.858425925922</v>
      </c>
      <c r="F189" s="13">
        <v>42967.860266203701</v>
      </c>
      <c r="G189" s="7">
        <v>1</v>
      </c>
      <c r="H189" s="21" t="s">
        <v>828</v>
      </c>
      <c r="I189" s="13">
        <v>42967.871354166666</v>
      </c>
      <c r="J189" s="7">
        <v>0</v>
      </c>
      <c r="K189" s="89" t="str">
        <f t="shared" si="74"/>
        <v>4027/4028</v>
      </c>
      <c r="L189" s="21" t="str">
        <f>VLOOKUP(A189,'Trips&amp;Operators'!$C$1:$G$99911,5,FALSE)</f>
        <v>HOLCOMB KAMDEN</v>
      </c>
      <c r="M189" s="6">
        <f t="shared" si="75"/>
        <v>1.1087962964666076E-2</v>
      </c>
      <c r="N189" s="7">
        <f t="shared" si="76"/>
        <v>15.966666669119149</v>
      </c>
      <c r="O189" s="7"/>
      <c r="P189" s="7"/>
      <c r="Q189" s="22"/>
      <c r="R189" s="170"/>
      <c r="S189" s="213">
        <f t="shared" si="77"/>
        <v>1</v>
      </c>
      <c r="T189" s="195" t="str">
        <f t="shared" si="78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79"/>
        <v>https://d0f6bd738d7f1b3e5a7ca70fe4ff75f0.us-east-1.aws.found.io/app/kibana#/discover/Steve-Slow-Train-Analysis-(2080s-and-2083s)?_g=(refreshInterval:(display:Off,pause:!f,section:0,value:0),time:(from:'2017-08-20T19:36:08-0600',mode:absolute,to:'2017-08-20T21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197" t="str">
        <f>IF(AA189&lt;VLOOKUP(AG189,Variables!$AC$3:$AD$8,2,FALSE),"Y","N")</f>
        <v>N</v>
      </c>
      <c r="X189" s="197">
        <f t="shared" si="80"/>
        <v>1</v>
      </c>
      <c r="Y189" s="197">
        <f t="shared" si="81"/>
        <v>5.8678999999999997</v>
      </c>
      <c r="Z189" s="197">
        <f t="shared" si="82"/>
        <v>6.7000000000000004E-2</v>
      </c>
      <c r="AA189" s="197">
        <f t="shared" si="83"/>
        <v>5.8008999999999995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 t="shared" si="84"/>
        <v>1830</v>
      </c>
      <c r="AE189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89" s="74" t="str">
        <f t="shared" si="86"/>
        <v>"C:\Program Files (x86)\AstroGrep\AstroGrep.exe" /e /r /s /spath="%USERPROFILE%\AppData\Local\Temp\OnboardLogs" /stypes="app*4027*20170821*" /stext=" 02:.+((SYSTEM_STATE.+slice.+state.+changed )|(ment ac)|(multiple cpu faults)|(system.+state.+changed )|(\[timeout)|(PRM\|1\|D)|(kpr)|(kdp)|(train st.+moving)|(\|lc)|(penalty))"</v>
      </c>
      <c r="AG189" s="209" t="str">
        <f t="shared" si="87"/>
        <v>NW</v>
      </c>
      <c r="AH189" s="78" t="str">
        <f t="shared" si="88"/>
        <v>"%USERPROFILE%\Documents\GitHub\eaglep3\Utilities\RefineRTDCRunTimes.py" --tripid 1830-20 --locoid 4027 --swversion DE.1.0.9.0 --startMP 300:58679 --initTime 2017-08-20T20:36:08 --startdatetime 2017-08-20T20:38:47 --delay 1 --endMP 204:670 --enddatetime 2017-08-20T20:54:45 --enforcementcount 0 &gt;&gt;C:\Users\stu\Documents\GitHub\eaglep3-reporting\EC\2017-08-20-refined-times.txt</v>
      </c>
      <c r="AI189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{"issue":{"subject":"","project_id":79,"tracker_id":40,"status_id":1,"priority_id":2,"assigned_to_id":23,"start_date":"2017-08-20","description":"","custom_fields":[{"id":1,"name":"Subdivision","value":"NW"},{"id":4,"name":"Milepost","value":"0.067"},{"id":17,"name":"Train ID","value":"1830-20"},{"id":16,"name":"Locomotive ID","value":"4027"},{"id":130,"name":"Impact","value":""},{"id":150,"name":"Time of Event (Mountain Time)","value":"20:54:45"},{"id":151,"name":"Denver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90"/>
        <v>start /low /b %USERPROFILE%\Documents\GitHub\eaglep3\Utilities\DownloadLogsFromS3.py --loco 4027 --day 2017-08-20</v>
      </c>
      <c r="AN189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02:54:45"},{"id":29,"name":"Sharepoint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564</v>
      </c>
      <c r="B190" s="7">
        <v>4028</v>
      </c>
      <c r="C190" s="21" t="s">
        <v>198</v>
      </c>
      <c r="D190" s="21" t="s">
        <v>470</v>
      </c>
      <c r="E190" s="13">
        <v>42967.885509259257</v>
      </c>
      <c r="F190" s="13">
        <v>42967.890104166669</v>
      </c>
      <c r="G190" s="7">
        <v>1</v>
      </c>
      <c r="H190" s="21" t="s">
        <v>852</v>
      </c>
      <c r="I190" s="13">
        <v>42967.899594907409</v>
      </c>
      <c r="J190" s="7">
        <v>0</v>
      </c>
      <c r="K190" s="89" t="str">
        <f t="shared" si="74"/>
        <v>4027/4028</v>
      </c>
      <c r="L190" s="21" t="str">
        <f>VLOOKUP(A190,'Trips&amp;Operators'!$C$1:$G$99911,5,FALSE)</f>
        <v>HOLCOMB KAMDEN</v>
      </c>
      <c r="M190" s="6">
        <f t="shared" si="75"/>
        <v>9.4907407401478849E-3</v>
      </c>
      <c r="N190" s="7">
        <f t="shared" si="76"/>
        <v>13.666666665812954</v>
      </c>
      <c r="O190" s="7"/>
      <c r="P190" s="7"/>
      <c r="Q190" s="22"/>
      <c r="R190" s="170"/>
      <c r="S190" s="213">
        <f t="shared" si="77"/>
        <v>1</v>
      </c>
      <c r="T190" s="195" t="str">
        <f t="shared" si="78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79"/>
        <v>https://d0f6bd738d7f1b3e5a7ca70fe4ff75f0.us-east-1.aws.found.io/app/kibana#/discover/Steve-Slow-Train-Analysis-(2080s-and-2083s)?_g=(refreshInterval:(display:Off,pause:!f,section:0,value:0),time:(from:'2017-08-20T20:15:08-0600',mode:absolute,to:'2017-08-20T22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197" t="str">
        <f>IF(AA190&lt;VLOOKUP(AG190,Variables!$AC$3:$AD$8,2,FALSE),"Y","N")</f>
        <v>N</v>
      </c>
      <c r="X190" s="197">
        <f t="shared" si="80"/>
        <v>1</v>
      </c>
      <c r="Y190" s="197">
        <f t="shared" si="81"/>
        <v>9.7199999999999995E-2</v>
      </c>
      <c r="Z190" s="197">
        <f t="shared" si="82"/>
        <v>5.8998999999999997</v>
      </c>
      <c r="AA190" s="197">
        <f t="shared" si="83"/>
        <v>5.8026999999999997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 t="shared" si="84"/>
        <v>1831</v>
      </c>
      <c r="AE190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90" s="74" t="str">
        <f t="shared" si="86"/>
        <v>"C:\Program Files (x86)\AstroGrep\AstroGrep.exe" /e /r /s /spath="%USERPROFILE%\AppData\Local\Temp\OnboardLogs" /stypes="app*4028*20170821*" /stext=" 03:.+((SYSTEM_STATE.+slice.+state.+changed )|(ment ac)|(multiple cpu faults)|(system.+state.+changed )|(\[timeout)|(PRM\|1\|D)|(kpr)|(kdp)|(train st.+moving)|(\|lc)|(penalty))"</v>
      </c>
      <c r="AG190" s="209" t="str">
        <f t="shared" si="87"/>
        <v>NW</v>
      </c>
      <c r="AH190" s="78" t="str">
        <f t="shared" si="88"/>
        <v>"%USERPROFILE%\Documents\GitHub\eaglep3\Utilities\RefineRTDCRunTimes.py" --tripid 1831-20 --locoid 4028 --swversion DE.1.0.9.0 --startMP 204:972 --initTime 2017-08-20T21:15:08 --startdatetime 2017-08-20T21:21:45 --delay 1 --endMP 300:58999 --enddatetime 2017-08-20T21:35:25 --enforcementcount 0 &gt;&gt;C:\Users\stu\Documents\GitHub\eaglep3-reporting\EC\2017-08-20-refined-times.txt</v>
      </c>
      <c r="AI190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{"issue":{"subject":"","project_id":79,"tracker_id":40,"status_id":1,"priority_id":2,"assigned_to_id":23,"start_date":"2017-08-20","description":"","custom_fields":[{"id":1,"name":"Subdivision","value":"NW"},{"id":4,"name":"Milepost","value":"5.8999"},{"id":17,"name":"Train ID","value":"1831-20"},{"id":16,"name":"Locomotive ID","value":"4028"},{"id":130,"name":"Impact","value":""},{"id":150,"name":"Time of Event (Mountain Time)","value":"21:35:25"},{"id":151,"name":"Denver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90"/>
        <v>start /low /b %USERPROFILE%\Documents\GitHub\eaglep3\Utilities\DownloadLogsFromS3.py --loco 4028 --day 2017-08-20</v>
      </c>
      <c r="AN190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565</v>
      </c>
      <c r="B191" s="7">
        <v>4027</v>
      </c>
      <c r="C191" s="21" t="s">
        <v>198</v>
      </c>
      <c r="D191" s="21" t="s">
        <v>853</v>
      </c>
      <c r="E191" s="13">
        <v>42967.900578703702</v>
      </c>
      <c r="F191" s="13">
        <v>42967.90216435185</v>
      </c>
      <c r="G191" s="7">
        <v>1</v>
      </c>
      <c r="H191" s="21" t="s">
        <v>830</v>
      </c>
      <c r="I191" s="13">
        <v>42967.913206018522</v>
      </c>
      <c r="J191" s="7">
        <v>0</v>
      </c>
      <c r="K191" s="89" t="str">
        <f t="shared" si="74"/>
        <v>4027/4028</v>
      </c>
      <c r="L191" s="21" t="str">
        <f>VLOOKUP(A191,'Trips&amp;Operators'!$C$1:$G$99911,5,FALSE)</f>
        <v>HOLCOMB KAMDEN</v>
      </c>
      <c r="M191" s="6">
        <f t="shared" si="75"/>
        <v>1.1041666672099382E-2</v>
      </c>
      <c r="N191" s="7">
        <f t="shared" si="76"/>
        <v>15.90000000782311</v>
      </c>
      <c r="O191" s="7"/>
      <c r="P191" s="7"/>
      <c r="Q191" s="22"/>
      <c r="R191" s="170"/>
      <c r="S191" s="213">
        <f t="shared" si="77"/>
        <v>1</v>
      </c>
      <c r="T191" s="195" t="str">
        <f t="shared" si="78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79"/>
        <v>https://d0f6bd738d7f1b3e5a7ca70fe4ff75f0.us-east-1.aws.found.io/app/kibana#/discover/Steve-Slow-Train-Analysis-(2080s-and-2083s)?_g=(refreshInterval:(display:Off,pause:!f,section:0,value:0),time:(from:'2017-08-20T20:36:50-0600',mode:absolute,to:'2017-08-20T22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197" t="str">
        <f>IF(AA191&lt;VLOOKUP(AG191,Variables!$AC$3:$AD$8,2,FALSE),"Y","N")</f>
        <v>N</v>
      </c>
      <c r="X191" s="197">
        <f t="shared" si="80"/>
        <v>1</v>
      </c>
      <c r="Y191" s="197">
        <f t="shared" si="81"/>
        <v>5.8682999999999996</v>
      </c>
      <c r="Z191" s="197">
        <f t="shared" si="82"/>
        <v>6.9800000000000001E-2</v>
      </c>
      <c r="AA191" s="197">
        <f t="shared" si="83"/>
        <v>5.7984999999999998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 t="shared" si="84"/>
        <v>1832</v>
      </c>
      <c r="AE191" s="77" t="str">
        <f t="shared" si="85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191" s="74" t="str">
        <f t="shared" si="86"/>
        <v>"C:\Program Files (x86)\AstroGrep\AstroGrep.exe" /e /r /s /spath="%USERPROFILE%\AppData\Local\Temp\OnboardLogs" /stypes="app*4027*20170821*" /stext=" 03:.+((SYSTEM_STATE.+slice.+state.+changed )|(ment ac)|(multiple cpu faults)|(system.+state.+changed )|(\[timeout)|(PRM\|1\|D)|(kpr)|(kdp)|(train st.+moving)|(\|lc)|(penalty))"</v>
      </c>
      <c r="AG191" s="209" t="str">
        <f t="shared" si="87"/>
        <v>NW</v>
      </c>
      <c r="AH191" s="78" t="str">
        <f t="shared" si="88"/>
        <v>"%USERPROFILE%\Documents\GitHub\eaglep3\Utilities\RefineRTDCRunTimes.py" --tripid 1832-20 --locoid 4027 --swversion DE.1.0.9.0 --startMP 300:58683 --initTime 2017-08-20T21:36:50 --startdatetime 2017-08-20T21:39:07 --delay 1 --endMP 204:698 --enddatetime 2017-08-20T21:55:01 --enforcementcount 0 &gt;&gt;C:\Users\stu\Documents\GitHub\eaglep3-reporting\EC\2017-08-20-refined-times.txt</v>
      </c>
      <c r="AI191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{"issue":{"subject":"","project_id":79,"tracker_id":40,"status_id":1,"priority_id":2,"assigned_to_id":23,"start_date":"2017-08-20","description":"","custom_fields":[{"id":1,"name":"Subdivision","value":"NW"},{"id":4,"name":"Milepost","value":"0.0698"},{"id":17,"name":"Train ID","value":"1832-20"},{"id":16,"name":"Locomotive ID","value":"4027"},{"id":130,"name":"Impact","value":""},{"id":150,"name":"Time of Event (Mountain Time)","value":"21:55:01"},{"id":151,"name":"Denver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90"/>
        <v>start /low /b %USERPROFILE%\Documents\GitHub\eaglep3\Utilities\DownloadLogsFromS3.py --loco 4027 --day 2017-08-20</v>
      </c>
      <c r="AN191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566</v>
      </c>
      <c r="B192" s="7">
        <v>4028</v>
      </c>
      <c r="C192" s="21" t="s">
        <v>198</v>
      </c>
      <c r="D192" s="21" t="s">
        <v>854</v>
      </c>
      <c r="E192" s="13">
        <v>42967.9296875</v>
      </c>
      <c r="F192" s="13">
        <v>42967.931458333333</v>
      </c>
      <c r="G192" s="7">
        <v>1</v>
      </c>
      <c r="H192" s="21" t="s">
        <v>852</v>
      </c>
      <c r="I192" s="13">
        <v>42967.941666666666</v>
      </c>
      <c r="J192" s="7">
        <v>0</v>
      </c>
      <c r="K192" s="89" t="str">
        <f t="shared" si="74"/>
        <v>4027/4028</v>
      </c>
      <c r="L192" s="21" t="str">
        <f>VLOOKUP(A192,'Trips&amp;Operators'!$C$1:$G$99911,5,FALSE)</f>
        <v>HOLCOMB KAMDEN</v>
      </c>
      <c r="M192" s="6">
        <f t="shared" si="75"/>
        <v>1.0208333333139308E-2</v>
      </c>
      <c r="N192" s="7">
        <f t="shared" si="76"/>
        <v>14.699999999720603</v>
      </c>
      <c r="O192" s="7"/>
      <c r="P192" s="7"/>
      <c r="Q192" s="22"/>
      <c r="R192" s="170"/>
      <c r="S192" s="213">
        <f t="shared" si="77"/>
        <v>1</v>
      </c>
      <c r="T192" s="195" t="str">
        <f t="shared" si="78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79"/>
        <v>https://d0f6bd738d7f1b3e5a7ca70fe4ff75f0.us-east-1.aws.found.io/app/kibana#/discover/Steve-Slow-Train-Analysis-(2080s-and-2083s)?_g=(refreshInterval:(display:Off,pause:!f,section:0,value:0),time:(from:'2017-08-20T21:18:45-0600',mode:absolute,to:'2017-08-20T23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197" t="str">
        <f>IF(AA192&lt;VLOOKUP(AG192,Variables!$AC$3:$AD$8,2,FALSE),"Y","N")</f>
        <v>N</v>
      </c>
      <c r="X192" s="197">
        <f t="shared" si="80"/>
        <v>1</v>
      </c>
      <c r="Y192" s="197">
        <f t="shared" si="81"/>
        <v>9.9500000000000005E-2</v>
      </c>
      <c r="Z192" s="197">
        <f t="shared" si="82"/>
        <v>5.8998999999999997</v>
      </c>
      <c r="AA192" s="197">
        <f t="shared" si="83"/>
        <v>5.8003999999999998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 t="shared" si="84"/>
        <v>1833</v>
      </c>
      <c r="AE192" s="77" t="str">
        <f t="shared" si="85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192" s="74" t="str">
        <f t="shared" si="86"/>
        <v>"C:\Program Files (x86)\AstroGrep\AstroGrep.exe" /e /r /s /spath="%USERPROFILE%\AppData\Local\Temp\OnboardLogs" /stypes="app*4028*20170821*" /stext=" 04:.+((SYSTEM_STATE.+slice.+state.+changed )|(ment ac)|(multiple cpu faults)|(system.+state.+changed )|(\[timeout)|(PRM\|1\|D)|(kpr)|(kdp)|(train st.+moving)|(\|lc)|(penalty))"</v>
      </c>
      <c r="AG192" s="209" t="str">
        <f t="shared" si="87"/>
        <v>NW</v>
      </c>
      <c r="AH192" s="78" t="str">
        <f t="shared" si="88"/>
        <v>"%USERPROFILE%\Documents\GitHub\eaglep3\Utilities\RefineRTDCRunTimes.py" --tripid 1833-20 --locoid 4028 --swversion DE.1.0.9.0 --startMP 204:995 --initTime 2017-08-20T22:18:45 --startdatetime 2017-08-20T22:21:18 --delay 1 --endMP 300:58999 --enddatetime 2017-08-20T22:36:00 --enforcementcount 0 &gt;&gt;C:\Users\stu\Documents\GitHub\eaglep3-reporting\EC\2017-08-20-refined-times.txt</v>
      </c>
      <c r="AI192" s="96" t="str">
        <f t="shared" si="89"/>
        <v>echo {"issue":{"subject":"","project_id":79,"tracker_id":40,"status_id":1,"priority_id":2,"assigned_to_id":23,"start_date":"2017-08-20","description":"","custom_fields":[{"id":1,"name":"Subdivision","value":"NW"},{"id":4,"name":"Milepost","value":"5.8999"},{"id":17,"name":"Train ID","value":"1833-20"},{"id":16,"name":"Locomotive ID","value":"4028"},{"id":130,"name":"Impact","value":""},{"id":150,"name":"Time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90"/>
        <v>start /low /b %USERPROFILE%\Documents\GitHub\eaglep3\Utilities\DownloadLogsFromS3.py --loco 4028 --day 2017-08-20</v>
      </c>
      <c r="AN192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04:36:00"},{"id":29,"name":"Sharepoint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766</v>
      </c>
      <c r="B193" s="7">
        <v>4063</v>
      </c>
      <c r="C193" s="21" t="s">
        <v>198</v>
      </c>
      <c r="D193" s="21" t="s">
        <v>888</v>
      </c>
      <c r="E193" s="13">
        <v>42968.112708333334</v>
      </c>
      <c r="F193" s="13">
        <v>42968.115995370368</v>
      </c>
      <c r="G193" s="7">
        <v>4</v>
      </c>
      <c r="H193" s="21" t="s">
        <v>348</v>
      </c>
      <c r="I193" s="13">
        <v>42968.121342592596</v>
      </c>
      <c r="J193" s="7">
        <v>0</v>
      </c>
      <c r="K193" s="89" t="str">
        <f t="shared" si="74"/>
        <v>4063/4064</v>
      </c>
      <c r="L193" s="21" t="str">
        <f>VLOOKUP(A193,'Trips&amp;Operators'!$C$1:$G$99911,5,FALSE)</f>
        <v>MAELZER KURT</v>
      </c>
      <c r="M193" s="6">
        <f t="shared" si="75"/>
        <v>5.3472222280106507E-3</v>
      </c>
      <c r="N193" s="7">
        <f t="shared" si="76"/>
        <v>7.700000008335337</v>
      </c>
      <c r="O193" s="7"/>
      <c r="P193" s="7"/>
      <c r="Q193" s="22"/>
      <c r="R193" s="170"/>
      <c r="S193" s="213">
        <f t="shared" si="77"/>
        <v>1</v>
      </c>
      <c r="T193" s="195" t="str">
        <f t="shared" si="78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79"/>
        <v>https://d0f6bd738d7f1b3e5a7ca70fe4ff75f0.us-east-1.aws.found.io/app/kibana#/discover/Steve-Slow-Train-Analysis-(2080s-and-2083s)?_g=(refreshInterval:(display:Off,pause:!f,section:0,value:0),time:(from:'2017-08-21T01:42:18-0600',mode:absolute,to:'2017-08-21T03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3" s="197" t="str">
        <f>IF(AA193&lt;VLOOKUP(AG193,Variables!$AC$3:$AD$8,2,FALSE),"Y","N")</f>
        <v>Y</v>
      </c>
      <c r="X193" s="197">
        <f t="shared" si="80"/>
        <v>-1533</v>
      </c>
      <c r="Y193" s="197">
        <f t="shared" si="81"/>
        <v>2.2119</v>
      </c>
      <c r="Z193" s="197">
        <f t="shared" si="82"/>
        <v>1.47E-2</v>
      </c>
      <c r="AA193" s="197">
        <f t="shared" si="83"/>
        <v>2.1972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 t="shared" si="84"/>
        <v>300</v>
      </c>
      <c r="AE193" s="77" t="str">
        <f t="shared" si="85"/>
        <v>aws s3 cp s3://rtdc.mdm.uploadarchive.raw/RTDC4063/ "%USERPROFILE%\AppData\Local\Temp\OnboardLogs"\RTDC4063\2017-08-21 --exclude "*" --recursive --include "*20170821*" &amp; "%USERPROFILE%\Documents\GitHub\mrs-test-scripts\Headless Mode &amp; Sideloading\WalkAndUnGZ.bat" "%USERPROFILE%\AppData\Local\Temp\OnboardLogs"\RTDC4063\2017-08-21 &amp; aws s3 cp s3://rtdc.mdm.uploadarchive.raw/RTDC4063/ "%USERPROFILE%\AppData\Local\Temp\OnboardLogs"\RTDC4063\2017-08-22 --exclude "*" --recursive --include "*20170822*" &amp; "%USERPROFILE%\Documents\GitHub\mrs-test-scripts\Headless Mode &amp; Sideloading\WalkAndUnGZ.bat" "%USERPROFILE%\AppData\Local\Temp\OnboardLogs"\RTDC4063\2017-08-22</v>
      </c>
      <c r="AF193" s="74" t="str">
        <f t="shared" si="86"/>
        <v>"C:\Program Files (x86)\AstroGrep\AstroGrep.exe" /e /r /s /spath="%USERPROFILE%\AppData\Local\Temp\OnboardLogs" /stypes="app*4063*20170821*" /stext=" 08:.+((SYSTEM_STATE.+slice.+state.+changed )|(ment ac)|(multiple cpu faults)|(system.+state.+changed )|(\[timeout)|(PRM\|1\|D)|(kpr)|(kdp)|(train st.+moving)|(\|lc)|(penalty))"</v>
      </c>
      <c r="AG193" s="209" t="str">
        <f t="shared" si="87"/>
        <v>Other</v>
      </c>
      <c r="AH193" s="78" t="str">
        <f t="shared" si="88"/>
        <v>"%USERPROFILE%\Documents\GitHub\eaglep3\Utilities\RefineRTDCRunTimes.py" --tripid 300-21 --locoid 4063 --swversion DE.1.0.9.0 --startMP 300:22119 --initTime 2017-08-21T02:42:18 --startdatetime 2017-08-21T02:47:02 --delay 4 --endMP 204:147 --enddatetime 2017-08-21T02:54:44 --enforcementcount 0 &gt;&gt;C:\Users\stu\Documents\GitHub\eaglep3-reporting\EC\2017-08-20-refined-times.txt</v>
      </c>
      <c r="AI193" s="96" t="str">
        <f t="shared" si="89"/>
        <v>echo {"issue":{"subject":"","project_id":79,"tracker_id":40,"status_id":1,"priority_id":2,"assigned_to_id":23,"start_date":"2017-08-21","description":"","custom_fields":[{"id":1,"name":"Subdivision","value":"Other"},{"id":4,"name":"Milepost","value":"0.0147"},{"id":17,"name":"Train ID","value":"300-21"},{"id":16,"name":"Locomotive ID","value":"4063"},{"id":130,"name":"Impact","value":""},{"id":150,"name":"Time of Event (Mountain Time)","value":"02:54:44"},{"id":151,"name":"Denver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90"/>
        <v>start /low /b %USERPROFILE%\Documents\GitHub\eaglep3\Utilities\DownloadLogsFromS3.py --loco 4063 --day 2017-08-21</v>
      </c>
      <c r="AN193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08:54:44"},{"id":29,"name":"Sharepoint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730</v>
      </c>
      <c r="B194" s="7">
        <v>4014</v>
      </c>
      <c r="C194" s="21" t="s">
        <v>198</v>
      </c>
      <c r="D194" s="21" t="s">
        <v>889</v>
      </c>
      <c r="E194" s="13">
        <v>42967.777025462965</v>
      </c>
      <c r="F194" s="13">
        <v>42967.778831018521</v>
      </c>
      <c r="G194" s="7">
        <v>1</v>
      </c>
      <c r="H194" s="21" t="s">
        <v>890</v>
      </c>
      <c r="I194" s="13">
        <v>42967.792951388888</v>
      </c>
      <c r="J194" s="7">
        <v>0</v>
      </c>
      <c r="K194" s="89" t="str">
        <f t="shared" si="74"/>
        <v>4013/4014</v>
      </c>
      <c r="L194" s="21" t="str">
        <f>VLOOKUP(A194,'Trips&amp;Operators'!$C$1:$G$99911,5,FALSE)</f>
        <v>BRUDER RICHARD</v>
      </c>
      <c r="M194" s="6">
        <f t="shared" si="75"/>
        <v>1.4120370367891155E-2</v>
      </c>
      <c r="N194" s="7">
        <f t="shared" si="76"/>
        <v>20.333333329763263</v>
      </c>
      <c r="O194" s="7"/>
      <c r="P194" s="7"/>
      <c r="Q194" s="22"/>
      <c r="R194" s="170"/>
      <c r="S194" s="213">
        <f t="shared" si="77"/>
        <v>1</v>
      </c>
      <c r="T194" s="195" t="str">
        <f t="shared" si="78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79"/>
        <v>https://d0f6bd738d7f1b3e5a7ca70fe4ff75f0.us-east-1.aws.found.io/app/kibana#/discover/Steve-Slow-Train-Analysis-(2080s-and-2083s)?_g=(refreshInterval:(display:Off,pause:!f,section:0,value:0),time:(from:'2017-08-20T17:38:55-0600',mode:absolute,to:'2017-08-20T20:01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197" t="str">
        <f>IF(AA194&lt;VLOOKUP(AG194,Variables!$AC$3:$AD$8,2,FALSE),"Y","N")</f>
        <v>Y</v>
      </c>
      <c r="X194" s="197">
        <f t="shared" si="80"/>
        <v>1</v>
      </c>
      <c r="Y194" s="197">
        <f t="shared" si="81"/>
        <v>3.7400000000000003E-2</v>
      </c>
      <c r="Z194" s="197">
        <f t="shared" si="82"/>
        <v>2.4220000000000002</v>
      </c>
      <c r="AA194" s="197">
        <f t="shared" si="83"/>
        <v>2.3846000000000003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 t="shared" si="84"/>
        <v>301</v>
      </c>
      <c r="AE194" s="77" t="str">
        <f t="shared" si="85"/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AF194" s="74" t="str">
        <f t="shared" si="86"/>
        <v>"C:\Program Files (x86)\AstroGrep\AstroGrep.exe" /e /r /s /spath="%USERPROFILE%\AppData\Local\Temp\OnboardLogs" /stypes="app*4014*20170821*" /stext=" 01:.+((SYSTEM_STATE.+slice.+state.+changed )|(ment ac)|(multiple cpu faults)|(system.+state.+changed )|(\[timeout)|(PRM\|1\|D)|(kpr)|(kdp)|(train st.+moving)|(\|lc)|(penalty))"</v>
      </c>
      <c r="AG194" s="209" t="str">
        <f t="shared" si="87"/>
        <v>Other</v>
      </c>
      <c r="AH194" s="78" t="str">
        <f t="shared" si="88"/>
        <v>"%USERPROFILE%\Documents\GitHub\eaglep3\Utilities\RefineRTDCRunTimes.py" --tripid 301-20 --locoid 4014 --swversion DE.1.0.9.0 --startMP 204:374 --initTime 2017-08-20T18:38:55 --startdatetime 2017-08-20T18:41:31 --delay 1 --endMP 300:24220 --enddatetime 2017-08-20T19:01:51 --enforcementcount 0 &gt;&gt;C:\Users\stu\Documents\GitHub\eaglep3-reporting\EC\2017-08-20-refined-times.txt</v>
      </c>
      <c r="AI194" s="96" t="str">
        <f t="shared" si="89"/>
        <v>echo {"issue":{"subject":"","project_id":79,"tracker_id":40,"status_id":1,"priority_id":2,"assigned_to_id":23,"start_date":"2017-08-20","description":"","custom_fields":[{"id":1,"name":"Subdivision","value":"Other"},{"id":4,"name":"Milepost","value":"2.422"},{"id":17,"name":"Train ID","value":"301-20"},{"id":16,"name":"Locomotive ID","value":"4014"},{"id":130,"name":"Impact","value":""},{"id":150,"name":"Time of Event (Mountain Time)","value":"19:01:51"},{"id":151,"name":"Denver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90"/>
        <v>start /low /b %USERPROFILE%\Documents\GitHub\eaglep3\Utilities\DownloadLogsFromS3.py --loco 4014 --day 2017-08-20</v>
      </c>
      <c r="AN194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01:01:51"},{"id":29,"name":"Sharepoint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584</v>
      </c>
      <c r="B195" s="7">
        <v>4053</v>
      </c>
      <c r="C195" s="21" t="s">
        <v>198</v>
      </c>
      <c r="D195" s="21" t="s">
        <v>891</v>
      </c>
      <c r="E195" s="13">
        <v>42967.135243055556</v>
      </c>
      <c r="F195" s="13">
        <v>42967.139016203706</v>
      </c>
      <c r="G195" s="7">
        <v>5</v>
      </c>
      <c r="H195" s="21" t="s">
        <v>400</v>
      </c>
      <c r="I195" s="13">
        <v>42967.144780092596</v>
      </c>
      <c r="J195" s="7">
        <v>0</v>
      </c>
      <c r="K195" s="89" t="str">
        <f t="shared" si="74"/>
        <v>4053/4054</v>
      </c>
      <c r="L195" s="21" t="str">
        <f>VLOOKUP(A195,'Trips&amp;Operators'!$C$1:$G$99911,5,FALSE)</f>
        <v>WILLIAMS DONTE</v>
      </c>
      <c r="M195" s="6">
        <f t="shared" si="75"/>
        <v>5.7638888902147301E-3</v>
      </c>
      <c r="N195" s="7">
        <f t="shared" si="76"/>
        <v>8.3000000019092113</v>
      </c>
      <c r="O195" s="7"/>
      <c r="P195" s="7"/>
      <c r="Q195" s="22"/>
      <c r="R195" s="170"/>
      <c r="S195" s="213">
        <f t="shared" si="77"/>
        <v>1</v>
      </c>
      <c r="T195" s="195" t="str">
        <f t="shared" si="78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79"/>
        <v>https://d0f6bd738d7f1b3e5a7ca70fe4ff75f0.us-east-1.aws.found.io/app/kibana#/discover/Steve-Slow-Train-Analysis-(2080s-and-2083s)?_g=(refreshInterval:(display:Off,pause:!f,section:0,value:0),time:(from:'2017-08-20T02:14:45-0600',mode:absolute,to:'2017-08-20T04:28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5" s="197" t="str">
        <f>IF(AA195&lt;VLOOKUP(AG195,Variables!$AC$3:$AD$8,2,FALSE),"Y","N")</f>
        <v>Y</v>
      </c>
      <c r="X195" s="197">
        <f t="shared" si="80"/>
        <v>1</v>
      </c>
      <c r="Y195" s="197">
        <f t="shared" si="81"/>
        <v>2.3668999999999998</v>
      </c>
      <c r="Z195" s="197">
        <f t="shared" si="82"/>
        <v>1.6299999999999999E-2</v>
      </c>
      <c r="AA195" s="197">
        <f t="shared" si="83"/>
        <v>2.3505999999999996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 t="shared" si="84"/>
        <v>302</v>
      </c>
      <c r="AE195" s="77" t="str">
        <f t="shared" si="85"/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AF195" s="74" t="str">
        <f t="shared" si="86"/>
        <v>"C:\Program Files (x86)\AstroGrep\AstroGrep.exe" /e /r /s /spath="%USERPROFILE%\AppData\Local\Temp\OnboardLogs" /stypes="app*4053*20170820*" /stext=" 09:.+((SYSTEM_STATE.+slice.+state.+changed )|(ment ac)|(multiple cpu faults)|(system.+state.+changed )|(\[timeout)|(PRM\|1\|D)|(kpr)|(kdp)|(train st.+moving)|(\|lc)|(penalty))"</v>
      </c>
      <c r="AG195" s="209" t="str">
        <f t="shared" si="87"/>
        <v>Other</v>
      </c>
      <c r="AH195" s="78" t="str">
        <f t="shared" si="88"/>
        <v>"%USERPROFILE%\Documents\GitHub\eaglep3\Utilities\RefineRTDCRunTimes.py" --tripid 302-20 --locoid 4053 --swversion DE.1.0.9.0 --startMP 300:23669 --initTime 2017-08-20T03:14:45 --startdatetime 2017-08-20T03:20:11 --delay 5 --endMP 204:163 --enddatetime 2017-08-20T03:28:29 --enforcementcount 0 &gt;&gt;C:\Users\stu\Documents\GitHub\eaglep3-reporting\EC\2017-08-20-refined-times.txt</v>
      </c>
      <c r="AI195" s="96" t="str">
        <f t="shared" si="89"/>
        <v>echo {"issue":{"subject":"","project_id":79,"tracker_id":40,"status_id":1,"priority_id":2,"assigned_to_id":23,"start_date":"2017-08-20","description":"","custom_fields":[{"id":1,"name":"Subdivision","value":"Other"},{"id":4,"name":"Milepost","value":"0.0163"},{"id":17,"name":"Train ID","value":"302-20"},{"id":16,"name":"Locomotive ID","value":"4053"},{"id":130,"name":"Impact","value":""},{"id":150,"name":"Time of Event (Mountain Time)","value":"03:28:29"},{"id":151,"name":"Denver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90"/>
        <v>start /low /b %USERPROFILE%\Documents\GitHub\eaglep3\Utilities\DownloadLogsFromS3.py --loco 4053 --day 2017-08-20</v>
      </c>
      <c r="AN195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09:28:29"},{"id":29,"name":"Sharepoint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734</v>
      </c>
      <c r="B196" s="7">
        <v>4016</v>
      </c>
      <c r="C196" s="21" t="s">
        <v>198</v>
      </c>
      <c r="D196" s="21" t="s">
        <v>439</v>
      </c>
      <c r="E196" s="13">
        <v>42967.798078703701</v>
      </c>
      <c r="F196" s="13">
        <v>42967.805844907409</v>
      </c>
      <c r="G196" s="7">
        <v>1</v>
      </c>
      <c r="H196" s="21" t="s">
        <v>892</v>
      </c>
      <c r="I196" s="13">
        <v>42967.813425925924</v>
      </c>
      <c r="J196" s="7">
        <v>0</v>
      </c>
      <c r="K196" s="89" t="str">
        <f t="shared" si="74"/>
        <v>4015/4016</v>
      </c>
      <c r="L196" s="21" t="str">
        <f>VLOOKUP(A196,'Trips&amp;Operators'!$C$1:$G$99911,5,FALSE)</f>
        <v>BADERTSCHER DIANE</v>
      </c>
      <c r="M196" s="6">
        <f t="shared" si="75"/>
        <v>7.5810185153386556E-3</v>
      </c>
      <c r="N196" s="7">
        <f t="shared" si="76"/>
        <v>10.916666662087664</v>
      </c>
      <c r="O196" s="7"/>
      <c r="P196" s="7"/>
      <c r="Q196" s="22"/>
      <c r="R196" s="170"/>
      <c r="S196" s="213">
        <f t="shared" si="77"/>
        <v>1</v>
      </c>
      <c r="T196" s="195" t="str">
        <f t="shared" si="78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79"/>
        <v>https://d0f6bd738d7f1b3e5a7ca70fe4ff75f0.us-east-1.aws.found.io/app/kibana#/discover/Steve-Slow-Train-Analysis-(2080s-and-2083s)?_g=(refreshInterval:(display:Off,pause:!f,section:0,value:0),time:(from:'2017-08-20T18:09:14-0600',mode:absolute,to:'2017-08-20T20:31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97" t="str">
        <f>IF(AA196&lt;VLOOKUP(AG196,Variables!$AC$3:$AD$8,2,FALSE),"Y","N")</f>
        <v>Y</v>
      </c>
      <c r="X196" s="197">
        <f t="shared" si="80"/>
        <v>1</v>
      </c>
      <c r="Y196" s="197">
        <f t="shared" si="81"/>
        <v>4.24E-2</v>
      </c>
      <c r="Z196" s="197">
        <f t="shared" si="82"/>
        <v>2.4192999999999998</v>
      </c>
      <c r="AA196" s="197">
        <f t="shared" si="83"/>
        <v>2.3768999999999996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 t="shared" si="84"/>
        <v>303</v>
      </c>
      <c r="AE196" s="77" t="str">
        <f t="shared" si="85"/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AF196" s="74" t="str">
        <f t="shared" si="86"/>
        <v>"C:\Program Files (x86)\AstroGrep\AstroGrep.exe" /e /r /s /spath="%USERPROFILE%\AppData\Local\Temp\OnboardLogs" /stypes="app*4016*20170821*" /stext=" 01:.+((SYSTEM_STATE.+slice.+state.+changed )|(ment ac)|(multiple cpu faults)|(system.+state.+changed )|(\[timeout)|(PRM\|1\|D)|(kpr)|(kdp)|(train st.+moving)|(\|lc)|(penalty))"</v>
      </c>
      <c r="AG196" s="209" t="str">
        <f t="shared" si="87"/>
        <v>Other</v>
      </c>
      <c r="AH196" s="78" t="str">
        <f t="shared" si="88"/>
        <v>"%USERPROFILE%\Documents\GitHub\eaglep3\Utilities\RefineRTDCRunTimes.py" --tripid 303-20 --locoid 4016 --swversion DE.1.0.9.0 --startMP 204:424 --initTime 2017-08-20T19:09:14 --startdatetime 2017-08-20T19:20:25 --delay 1 --endMP 300:24193 --enddatetime 2017-08-20T19:31:20 --enforcementcount 0 &gt;&gt;C:\Users\stu\Documents\GitHub\eaglep3-reporting\EC\2017-08-20-refined-times.txt</v>
      </c>
      <c r="AI196" s="96" t="str">
        <f t="shared" si="89"/>
        <v>echo {"issue":{"subject":"","project_id":79,"tracker_id":40,"status_id":1,"priority_id":2,"assigned_to_id":23,"start_date":"2017-08-20","description":"","custom_fields":[{"id":1,"name":"Subdivision","value":"Other"},{"id":4,"name":"Milepost","value":"2.4193"},{"id":17,"name":"Train ID","value":"303-20"},{"id":16,"name":"Locomotive ID","value":"4016"},{"id":130,"name":"Impact","value":""},{"id":150,"name":"Time of Event (Mountain Time)","value":"19:31:20"},{"id":151,"name":"Denver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90"/>
        <v>start /low /b %USERPROFILE%\Documents\GitHub\eaglep3\Utilities\DownloadLogsFromS3.py --loco 4016 --day 2017-08-20</v>
      </c>
      <c r="AN196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01:31:20"},{"id":29,"name":"Sharepoint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585</v>
      </c>
      <c r="B197" s="7">
        <v>4057</v>
      </c>
      <c r="C197" s="21" t="s">
        <v>198</v>
      </c>
      <c r="D197" s="21" t="s">
        <v>893</v>
      </c>
      <c r="E197" s="13">
        <v>42967.161527777775</v>
      </c>
      <c r="F197" s="13">
        <v>42967.164293981485</v>
      </c>
      <c r="G197" s="7">
        <v>3</v>
      </c>
      <c r="H197" s="21" t="s">
        <v>387</v>
      </c>
      <c r="I197" s="13">
        <v>42967.169768518521</v>
      </c>
      <c r="J197" s="7">
        <v>0</v>
      </c>
      <c r="K197" s="89" t="str">
        <f t="shared" si="74"/>
        <v>4057/4058</v>
      </c>
      <c r="L197" s="21" t="str">
        <f>VLOOKUP(A197,'Trips&amp;Operators'!$C$1:$G$99911,5,FALSE)</f>
        <v>DAVIS WENDY</v>
      </c>
      <c r="M197" s="6">
        <f t="shared" si="75"/>
        <v>5.4745370362070389E-3</v>
      </c>
      <c r="N197" s="7">
        <f t="shared" si="76"/>
        <v>7.883333332138136</v>
      </c>
      <c r="O197" s="7"/>
      <c r="P197" s="7"/>
      <c r="Q197" s="22"/>
      <c r="R197" s="170"/>
      <c r="S197" s="213">
        <f t="shared" si="77"/>
        <v>1</v>
      </c>
      <c r="T197" s="195" t="str">
        <f t="shared" si="78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79"/>
        <v>https://d0f6bd738d7f1b3e5a7ca70fe4ff75f0.us-east-1.aws.found.io/app/kibana#/discover/Steve-Slow-Train-Analysis-(2080s-and-2083s)?_g=(refreshInterval:(display:Off,pause:!f,section:0,value:0),time:(from:'2017-08-20T02:52:36-0600',mode:absolute,to:'2017-08-20T05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7" s="197" t="str">
        <f>IF(AA197&lt;VLOOKUP(AG197,Variables!$AC$3:$AD$8,2,FALSE),"Y","N")</f>
        <v>Y</v>
      </c>
      <c r="X197" s="197">
        <f t="shared" si="80"/>
        <v>1</v>
      </c>
      <c r="Y197" s="197">
        <f t="shared" si="81"/>
        <v>2.2671000000000001</v>
      </c>
      <c r="Z197" s="197">
        <f t="shared" si="82"/>
        <v>1.52E-2</v>
      </c>
      <c r="AA197" s="197">
        <f t="shared" si="83"/>
        <v>2.2519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 t="shared" si="84"/>
        <v>304</v>
      </c>
      <c r="AE197" s="77" t="str">
        <f t="shared" si="85"/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AF197" s="74" t="str">
        <f t="shared" si="86"/>
        <v>"C:\Program Files (x86)\AstroGrep\AstroGrep.exe" /e /r /s /spath="%USERPROFILE%\AppData\Local\Temp\OnboardLogs" /stypes="app*4057*20170820*" /stext=" 10:.+((SYSTEM_STATE.+slice.+state.+changed )|(ment ac)|(multiple cpu faults)|(system.+state.+changed )|(\[timeout)|(PRM\|1\|D)|(kpr)|(kdp)|(train st.+moving)|(\|lc)|(penalty))"</v>
      </c>
      <c r="AG197" s="209" t="str">
        <f t="shared" si="87"/>
        <v>Other</v>
      </c>
      <c r="AH197" s="78" t="str">
        <f t="shared" si="88"/>
        <v>"%USERPROFILE%\Documents\GitHub\eaglep3\Utilities\RefineRTDCRunTimes.py" --tripid 304-20 --locoid 4057 --swversion DE.1.0.9.0 --startMP 300:22671 --initTime 2017-08-20T03:52:36 --startdatetime 2017-08-20T03:56:35 --delay 3 --endMP 204:152 --enddatetime 2017-08-20T04:04:28 --enforcementcount 0 &gt;&gt;C:\Users\stu\Documents\GitHub\eaglep3-reporting\EC\2017-08-20-refined-times.txt</v>
      </c>
      <c r="AI197" s="96" t="str">
        <f t="shared" si="89"/>
        <v>echo {"issue":{"subject":"","project_id":79,"tracker_id":40,"status_id":1,"priority_id":2,"assigned_to_id":23,"start_date":"2017-08-20","description":"","custom_fields":[{"id":1,"name":"Subdivision","value":"Other"},{"id":4,"name":"Milepost","value":"0.0152"},{"id":17,"name":"Train ID","value":"304-20"},{"id":16,"name":"Locomotive ID","value":"4057"},{"id":130,"name":"Impact","value":""},{"id":150,"name":"Time of Event (Mountain Time)","value":"04:04:28"},{"id":151,"name":"Denver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90"/>
        <v>start /low /b %USERPROFILE%\Documents\GitHub\eaglep3\Utilities\DownloadLogsFromS3.py --loco 4057 --day 2017-08-20</v>
      </c>
      <c r="AN197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10:04:28"},{"id":29,"name":"Sharepoint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740</v>
      </c>
      <c r="B198" s="7">
        <v>4012</v>
      </c>
      <c r="C198" s="21" t="s">
        <v>198</v>
      </c>
      <c r="D198" s="21" t="s">
        <v>394</v>
      </c>
      <c r="E198" s="13">
        <v>42967.819155092591</v>
      </c>
      <c r="F198" s="13">
        <v>42967.820590277777</v>
      </c>
      <c r="G198" s="7">
        <v>1</v>
      </c>
      <c r="H198" s="21" t="s">
        <v>344</v>
      </c>
      <c r="I198" s="13">
        <v>42967.827048611114</v>
      </c>
      <c r="J198" s="7">
        <v>0</v>
      </c>
      <c r="K198" s="89" t="str">
        <f t="shared" si="74"/>
        <v>4011/4012</v>
      </c>
      <c r="L198" s="21" t="str">
        <f>VLOOKUP(A198,'Trips&amp;Operators'!$C$1:$G$99911,5,FALSE)</f>
        <v>MCREYNOLDS KYLE</v>
      </c>
      <c r="M198" s="6">
        <f t="shared" si="75"/>
        <v>6.4583333369228058E-3</v>
      </c>
      <c r="N198" s="7">
        <f t="shared" si="76"/>
        <v>9.3000000051688403</v>
      </c>
      <c r="O198" s="7"/>
      <c r="P198" s="7"/>
      <c r="Q198" s="22"/>
      <c r="R198" s="170"/>
      <c r="S198" s="213">
        <f t="shared" si="77"/>
        <v>1</v>
      </c>
      <c r="T198" s="195" t="str">
        <f t="shared" si="78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79"/>
        <v>https://d0f6bd738d7f1b3e5a7ca70fe4ff75f0.us-east-1.aws.found.io/app/kibana#/discover/Steve-Slow-Train-Analysis-(2080s-and-2083s)?_g=(refreshInterval:(display:Off,pause:!f,section:0,value:0),time:(from:'2017-08-20T18:39:35-0600',mode:absolute,to:'2017-08-20T20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97" t="str">
        <f>IF(AA198&lt;VLOOKUP(AG198,Variables!$AC$3:$AD$8,2,FALSE),"Y","N")</f>
        <v>Y</v>
      </c>
      <c r="X198" s="197">
        <f t="shared" si="80"/>
        <v>1</v>
      </c>
      <c r="Y198" s="197">
        <f t="shared" si="81"/>
        <v>4.6399999999999997E-2</v>
      </c>
      <c r="Z198" s="197">
        <f t="shared" si="82"/>
        <v>2.3346</v>
      </c>
      <c r="AA198" s="197">
        <f t="shared" si="83"/>
        <v>2.2881999999999998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 t="shared" si="84"/>
        <v>305</v>
      </c>
      <c r="AE198" s="77" t="str">
        <f t="shared" si="85"/>
        <v>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 &amp; aws s3 cp s3://rtdc.mdm.uploadarchive.raw/RTDC4012/ "%USERPROFILE%\AppData\Local\Temp\OnboardLogs"\RTDC4012\2017-08-21 --exclude "*" --recursive --include "*20170821*" &amp; "%USERPROFILE%\Documents\GitHub\mrs-test-scripts\Headless Mode &amp; Sideloading\WalkAndUnGZ.bat" "%USERPROFILE%\AppData\Local\Temp\OnboardLogs"\RTDC4012\2017-08-21</v>
      </c>
      <c r="AF198" s="74" t="str">
        <f t="shared" si="86"/>
        <v>"C:\Program Files (x86)\AstroGrep\AstroGrep.exe" /e /r /s /spath="%USERPROFILE%\AppData\Local\Temp\OnboardLogs" /stypes="app*4012*20170821*" /stext=" 01:.+((SYSTEM_STATE.+slice.+state.+changed )|(ment ac)|(multiple cpu faults)|(system.+state.+changed )|(\[timeout)|(PRM\|1\|D)|(kpr)|(kdp)|(train st.+moving)|(\|lc)|(penalty))"</v>
      </c>
      <c r="AG198" s="209" t="str">
        <f t="shared" si="87"/>
        <v>Other</v>
      </c>
      <c r="AH198" s="78" t="str">
        <f t="shared" si="88"/>
        <v>"%USERPROFILE%\Documents\GitHub\eaglep3\Utilities\RefineRTDCRunTimes.py" --tripid 305-20 --locoid 4012 --swversion DE.1.0.9.0 --startMP 204:464 --initTime 2017-08-20T19:39:35 --startdatetime 2017-08-20T19:41:39 --delay 1 --endMP 300:23346 --enddatetime 2017-08-20T19:50:57 --enforcementcount 0 &gt;&gt;C:\Users\stu\Documents\GitHub\eaglep3-reporting\EC\2017-08-20-refined-times.txt</v>
      </c>
      <c r="AI198" s="96" t="str">
        <f t="shared" si="89"/>
        <v>echo {"issue":{"subject":"","project_id":79,"tracker_id":40,"status_id":1,"priority_id":2,"assigned_to_id":23,"start_date":"2017-08-20","description":"","custom_fields":[{"id":1,"name":"Subdivision","value":"Other"},{"id":4,"name":"Milepost","value":"2.3346"},{"id":17,"name":"Train ID","value":"305-20"},{"id":16,"name":"Locomotive ID","value":"4012"},{"id":130,"name":"Impact","value":""},{"id":150,"name":"Time of Event (Mountain Time)","value":"19:50:57"},{"id":151,"name":"Denver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90"/>
        <v>start /low /b %USERPROFILE%\Documents\GitHub\eaglep3\Utilities\DownloadLogsFromS3.py --loco 4012 --day 2017-08-20</v>
      </c>
      <c r="AN198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587</v>
      </c>
      <c r="B199" s="7">
        <v>4017</v>
      </c>
      <c r="C199" s="21" t="s">
        <v>198</v>
      </c>
      <c r="D199" s="21" t="s">
        <v>894</v>
      </c>
      <c r="E199" s="13">
        <v>42967.165578703702</v>
      </c>
      <c r="F199" s="13">
        <v>42967.170219907406</v>
      </c>
      <c r="G199" s="7">
        <v>1</v>
      </c>
      <c r="H199" s="21" t="s">
        <v>401</v>
      </c>
      <c r="I199" s="13">
        <v>42967.176192129627</v>
      </c>
      <c r="J199" s="7">
        <v>0</v>
      </c>
      <c r="K199" s="89" t="str">
        <f t="shared" si="74"/>
        <v>4017/4018</v>
      </c>
      <c r="L199" s="21" t="str">
        <f>VLOOKUP(A199,'Trips&amp;Operators'!$C$1:$G$99911,5,FALSE)</f>
        <v>LALONDE GREGORY</v>
      </c>
      <c r="M199" s="6">
        <f t="shared" si="75"/>
        <v>5.9722222213167697E-3</v>
      </c>
      <c r="N199" s="7">
        <f t="shared" si="76"/>
        <v>8.5999999986961484</v>
      </c>
      <c r="O199" s="7"/>
      <c r="P199" s="7"/>
      <c r="Q199" s="22"/>
      <c r="R199" s="170"/>
      <c r="S199" s="213">
        <f t="shared" si="77"/>
        <v>1</v>
      </c>
      <c r="T199" s="195" t="str">
        <f t="shared" si="78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79"/>
        <v>https://d0f6bd738d7f1b3e5a7ca70fe4ff75f0.us-east-1.aws.found.io/app/kibana#/discover/Steve-Slow-Train-Analysis-(2080s-and-2083s)?_g=(refreshInterval:(display:Off,pause:!f,section:0,value:0),time:(from:'2017-08-20T02:58:26-0600',mode:absolute,to:'2017-08-20T05:13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197" t="str">
        <f>IF(AA199&lt;VLOOKUP(AG199,Variables!$AC$3:$AD$8,2,FALSE),"Y","N")</f>
        <v>Y</v>
      </c>
      <c r="X199" s="197">
        <f t="shared" si="80"/>
        <v>1</v>
      </c>
      <c r="Y199" s="197">
        <f t="shared" si="81"/>
        <v>2.6474000000000002</v>
      </c>
      <c r="Z199" s="197">
        <f t="shared" si="82"/>
        <v>1.38E-2</v>
      </c>
      <c r="AA199" s="197">
        <f t="shared" si="83"/>
        <v>2.6336000000000004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 t="shared" si="84"/>
        <v>306</v>
      </c>
      <c r="AE199" s="77" t="str">
        <f t="shared" si="85"/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AF199" s="74" t="str">
        <f t="shared" si="86"/>
        <v>"C:\Program Files (x86)\AstroGrep\AstroGrep.exe" /e /r /s /spath="%USERPROFILE%\AppData\Local\Temp\OnboardLogs" /stypes="app*4017*20170820*" /stext=" 10:.+((SYSTEM_STATE.+slice.+state.+changed )|(ment ac)|(multiple cpu faults)|(system.+state.+changed )|(\[timeout)|(PRM\|1\|D)|(kpr)|(kdp)|(train st.+moving)|(\|lc)|(penalty))"</v>
      </c>
      <c r="AG199" s="209" t="str">
        <f t="shared" si="87"/>
        <v>Other</v>
      </c>
      <c r="AH199" s="78" t="str">
        <f t="shared" si="88"/>
        <v>"%USERPROFILE%\Documents\GitHub\eaglep3\Utilities\RefineRTDCRunTimes.py" --tripid 306-20 --locoid 4017 --swversion DE.1.0.9.0 --startMP 300:26474 --initTime 2017-08-20T03:58:26 --startdatetime 2017-08-20T04:05:07 --delay 1 --endMP 204:138 --enddatetime 2017-08-20T04:13:43 --enforcementcount 0 &gt;&gt;C:\Users\stu\Documents\GitHub\eaglep3-reporting\EC\2017-08-20-refined-times.txt</v>
      </c>
      <c r="AI199" s="96" t="str">
        <f t="shared" si="89"/>
        <v>echo {"issue":{"subject":"","project_id":79,"tracker_id":40,"status_id":1,"priority_id":2,"assigned_to_id":23,"start_date":"2017-08-20","description":"","custom_fields":[{"id":1,"name":"Subdivision","value":"Other"},{"id":4,"name":"Milepost","value":"0.0138"},{"id":17,"name":"Train ID","value":"306-20"},{"id":16,"name":"Locomotive ID","value":"4017"},{"id":130,"name":"Impact","value":""},{"id":150,"name":"Time of Event (Mountain Time)","value":"04:13:43"},{"id":151,"name":"Denver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90"/>
        <v>start /low /b %USERPROFILE%\Documents\GitHub\eaglep3\Utilities\DownloadLogsFromS3.py --loco 4017 --day 2017-08-20</v>
      </c>
      <c r="AN199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10:13:43"},{"id":29,"name":"Sharepoint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760</v>
      </c>
      <c r="B200" s="7">
        <v>4006</v>
      </c>
      <c r="C200" s="21" t="s">
        <v>198</v>
      </c>
      <c r="D200" s="21" t="s">
        <v>343</v>
      </c>
      <c r="E200" s="13">
        <v>42968.027337962965</v>
      </c>
      <c r="F200" s="13">
        <v>42968.028611111113</v>
      </c>
      <c r="G200" s="7">
        <v>1</v>
      </c>
      <c r="H200" s="21" t="s">
        <v>344</v>
      </c>
      <c r="I200" s="13">
        <v>42968.041400462964</v>
      </c>
      <c r="J200" s="7">
        <v>0</v>
      </c>
      <c r="K200" s="89" t="str">
        <f t="shared" si="74"/>
        <v>4005/4006</v>
      </c>
      <c r="L200" s="21" t="str">
        <f>VLOOKUP(A200,'Trips&amp;Operators'!$C$1:$G$99911,5,FALSE)</f>
        <v>DUNCAN SHEILA</v>
      </c>
      <c r="M200" s="6">
        <f t="shared" si="75"/>
        <v>1.2789351851097308E-2</v>
      </c>
      <c r="N200" s="7">
        <f t="shared" si="76"/>
        <v>18.416666665580124</v>
      </c>
      <c r="O200" s="7"/>
      <c r="P200" s="7"/>
      <c r="Q200" s="22"/>
      <c r="R200" s="170"/>
      <c r="S200" s="213">
        <f t="shared" si="77"/>
        <v>1</v>
      </c>
      <c r="T200" s="195" t="str">
        <f t="shared" si="78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79"/>
        <v>https://d0f6bd738d7f1b3e5a7ca70fe4ff75f0.us-east-1.aws.found.io/app/kibana#/discover/Steve-Slow-Train-Analysis-(2080s-and-2083s)?_g=(refreshInterval:(display:Off,pause:!f,section:0,value:0),time:(from:'2017-08-20T23:39:22-0600',mode:absolute,to:'2017-08-21T01:59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197" t="str">
        <f>IF(AA200&lt;VLOOKUP(AG200,Variables!$AC$3:$AD$8,2,FALSE),"Y","N")</f>
        <v>Y</v>
      </c>
      <c r="X200" s="197">
        <f t="shared" si="80"/>
        <v>1</v>
      </c>
      <c r="Y200" s="197">
        <f t="shared" si="81"/>
        <v>4.5100000000000001E-2</v>
      </c>
      <c r="Z200" s="197">
        <f t="shared" si="82"/>
        <v>2.3346</v>
      </c>
      <c r="AA200" s="197">
        <f t="shared" si="83"/>
        <v>2.2894999999999999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 t="shared" si="84"/>
        <v>307</v>
      </c>
      <c r="AE200" s="77" t="str">
        <f t="shared" si="85"/>
        <v>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 &amp; 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</v>
      </c>
      <c r="AF200" s="74" t="str">
        <f t="shared" si="86"/>
        <v>"C:\Program Files (x86)\AstroGrep\AstroGrep.exe" /e /r /s /spath="%USERPROFILE%\AppData\Local\Temp\OnboardLogs" /stypes="app*4006*20170821*" /stext=" 06:.+((SYSTEM_STATE.+slice.+state.+changed )|(ment ac)|(multiple cpu faults)|(system.+state.+changed )|(\[timeout)|(PRM\|1\|D)|(kpr)|(kdp)|(train st.+moving)|(\|lc)|(penalty))"</v>
      </c>
      <c r="AG200" s="209" t="str">
        <f t="shared" si="87"/>
        <v>Other</v>
      </c>
      <c r="AH200" s="78" t="str">
        <f t="shared" si="88"/>
        <v>"%USERPROFILE%\Documents\GitHub\eaglep3\Utilities\RefineRTDCRunTimes.py" --tripid 307-20 --locoid 4006 --swversion DE.1.0.9.0 --startMP 204:451 --initTime 2017-08-21T00:39:22 --startdatetime 2017-08-21T00:41:12 --delay 1 --endMP 300:23346 --enddatetime 2017-08-21T00:59:37 --enforcementcount 0 &gt;&gt;C:\Users\stu\Documents\GitHub\eaglep3-reporting\EC\2017-08-20-refined-times.txt</v>
      </c>
      <c r="AI200" s="96" t="str">
        <f t="shared" si="89"/>
        <v>echo {"issue":{"subject":"","project_id":79,"tracker_id":40,"status_id":1,"priority_id":2,"assigned_to_id":23,"start_date":"2017-08-21","description":"","custom_fields":[{"id":1,"name":"Subdivision","value":"Other"},{"id":4,"name":"Milepost","value":"2.3346"},{"id":17,"name":"Train ID","value":"307-20"},{"id":16,"name":"Locomotive ID","value":"4006"},{"id":130,"name":"Impact","value":""},{"id":150,"name":"Time of Event (Mountain Time)","value":"00:59:37"},{"id":151,"name":"Denver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90"/>
        <v>start /low /b %USERPROFILE%\Documents\GitHub\eaglep3\Utilities\DownloadLogsFromS3.py --loco 4006 --day 2017-08-21</v>
      </c>
      <c r="AN200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06:59:37"},{"id":29,"name":"Sharepoint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594</v>
      </c>
      <c r="B201" s="7">
        <v>4013</v>
      </c>
      <c r="C201" s="21" t="s">
        <v>198</v>
      </c>
      <c r="D201" s="21" t="s">
        <v>895</v>
      </c>
      <c r="E201" s="13">
        <v>42967.178414351853</v>
      </c>
      <c r="F201" s="13">
        <v>42967.182708333334</v>
      </c>
      <c r="G201" s="7">
        <v>6</v>
      </c>
      <c r="H201" s="21" t="s">
        <v>386</v>
      </c>
      <c r="I201" s="13">
        <v>42967.190949074073</v>
      </c>
      <c r="J201" s="7">
        <v>0</v>
      </c>
      <c r="K201" s="89" t="str">
        <f t="shared" si="74"/>
        <v>4013/4014</v>
      </c>
      <c r="L201" s="21" t="str">
        <f>VLOOKUP(A201,'Trips&amp;Operators'!$C$1:$G$99911,5,FALSE)</f>
        <v>MOSES BRADLEY</v>
      </c>
      <c r="M201" s="6">
        <f t="shared" si="75"/>
        <v>8.2407407389837317E-3</v>
      </c>
      <c r="N201" s="7">
        <f t="shared" si="76"/>
        <v>11.866666664136574</v>
      </c>
      <c r="O201" s="7"/>
      <c r="P201" s="7"/>
      <c r="Q201" s="22"/>
      <c r="R201" s="170"/>
      <c r="S201" s="213">
        <f t="shared" si="77"/>
        <v>1</v>
      </c>
      <c r="T201" s="195" t="str">
        <f t="shared" si="78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79"/>
        <v>https://d0f6bd738d7f1b3e5a7ca70fe4ff75f0.us-east-1.aws.found.io/app/kibana#/discover/Steve-Slow-Train-Analysis-(2080s-and-2083s)?_g=(refreshInterval:(display:Off,pause:!f,section:0,value:0),time:(from:'2017-08-20T03:16:55-0600',mode:absolute,to:'2017-08-20T05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1" s="197" t="str">
        <f>IF(AA201&lt;VLOOKUP(AG201,Variables!$AC$3:$AD$8,2,FALSE),"Y","N")</f>
        <v>Y</v>
      </c>
      <c r="X201" s="197">
        <f t="shared" si="80"/>
        <v>1</v>
      </c>
      <c r="Y201" s="197">
        <f t="shared" si="81"/>
        <v>2.2216</v>
      </c>
      <c r="Z201" s="197">
        <f t="shared" si="82"/>
        <v>1.5800000000000002E-2</v>
      </c>
      <c r="AA201" s="197">
        <f t="shared" si="83"/>
        <v>2.2058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 t="shared" si="84"/>
        <v>308</v>
      </c>
      <c r="AE201" s="77" t="str">
        <f t="shared" si="85"/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AF201" s="74" t="str">
        <f t="shared" si="86"/>
        <v>"C:\Program Files (x86)\AstroGrep\AstroGrep.exe" /e /r /s /spath="%USERPROFILE%\AppData\Local\Temp\OnboardLogs" /stypes="app*4013*20170820*" /stext=" 10:.+((SYSTEM_STATE.+slice.+state.+changed )|(ment ac)|(multiple cpu faults)|(system.+state.+changed )|(\[timeout)|(PRM\|1\|D)|(kpr)|(kdp)|(train st.+moving)|(\|lc)|(penalty))"</v>
      </c>
      <c r="AG201" s="209" t="str">
        <f t="shared" si="87"/>
        <v>Other</v>
      </c>
      <c r="AH201" s="78" t="str">
        <f t="shared" si="88"/>
        <v>"%USERPROFILE%\Documents\GitHub\eaglep3\Utilities\RefineRTDCRunTimes.py" --tripid 308-20 --locoid 4013 --swversion DE.1.0.9.0 --startMP 300:22216 --initTime 2017-08-20T04:16:55 --startdatetime 2017-08-20T04:23:06 --delay 6 --endMP 204:158 --enddatetime 2017-08-20T04:34:58 --enforcementcount 0 &gt;&gt;C:\Users\stu\Documents\GitHub\eaglep3-reporting\EC\2017-08-20-refined-times.txt</v>
      </c>
      <c r="AI201" s="96" t="str">
        <f t="shared" si="89"/>
        <v>echo {"issue":{"subject":"","project_id":79,"tracker_id":40,"status_id":1,"priority_id":2,"assigned_to_id":23,"start_date":"2017-08-20","description":"","custom_fields":[{"id":1,"name":"Subdivision","value":"Other"},{"id":4,"name":"Milepost","value":"0.0158"},{"id":17,"name":"Train ID","value":"308-20"},{"id":16,"name":"Locomotive ID","value":"4013"},{"id":130,"name":"Impact","value":""},{"id":150,"name":"Time of Event (Mountain Time)","value":"04:34:58"},{"id":151,"name":"Denver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90"/>
        <v>start /low /b %USERPROFILE%\Documents\GitHub\eaglep3\Utilities\DownloadLogsFromS3.py --loco 4013 --day 2017-08-20</v>
      </c>
      <c r="AN201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762</v>
      </c>
      <c r="B202" s="7">
        <v>4054</v>
      </c>
      <c r="C202" s="21" t="s">
        <v>198</v>
      </c>
      <c r="D202" s="21" t="s">
        <v>442</v>
      </c>
      <c r="E202" s="13">
        <v>42968.048078703701</v>
      </c>
      <c r="F202" s="13">
        <v>42968.049722222226</v>
      </c>
      <c r="G202" s="7">
        <v>1</v>
      </c>
      <c r="H202" s="21" t="s">
        <v>466</v>
      </c>
      <c r="I202" s="13">
        <v>42968.056689814817</v>
      </c>
      <c r="J202" s="7">
        <v>0</v>
      </c>
      <c r="K202" s="89" t="str">
        <f t="shared" si="74"/>
        <v>4053/4054</v>
      </c>
      <c r="L202" s="21" t="str">
        <f>VLOOKUP(A202,'Trips&amp;Operators'!$C$1:$G$99911,5,FALSE)</f>
        <v>SMITH MICHAEL</v>
      </c>
      <c r="M202" s="6">
        <f t="shared" si="75"/>
        <v>6.9675925915362313E-3</v>
      </c>
      <c r="N202" s="7">
        <f t="shared" si="76"/>
        <v>10.033333331812173</v>
      </c>
      <c r="O202" s="7"/>
      <c r="P202" s="7"/>
      <c r="Q202" s="22"/>
      <c r="R202" s="170"/>
      <c r="S202" s="213">
        <f t="shared" si="77"/>
        <v>1</v>
      </c>
      <c r="T202" s="195" t="str">
        <f t="shared" si="78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79"/>
        <v>https://d0f6bd738d7f1b3e5a7ca70fe4ff75f0.us-east-1.aws.found.io/app/kibana#/discover/Steve-Slow-Train-Analysis-(2080s-and-2083s)?_g=(refreshInterval:(display:Off,pause:!f,section:0,value:0),time:(from:'2017-08-21T00:09:14-0600',mode:absolute,to:'2017-08-21T02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2" s="197" t="str">
        <f>IF(AA202&lt;VLOOKUP(AG202,Variables!$AC$3:$AD$8,2,FALSE),"Y","N")</f>
        <v>Y</v>
      </c>
      <c r="X202" s="197">
        <f t="shared" si="80"/>
        <v>1</v>
      </c>
      <c r="Y202" s="197">
        <f t="shared" si="81"/>
        <v>4.3099999999999999E-2</v>
      </c>
      <c r="Z202" s="197">
        <f t="shared" si="82"/>
        <v>2.3304</v>
      </c>
      <c r="AA202" s="197">
        <f t="shared" si="83"/>
        <v>2.2873000000000001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 t="shared" si="84"/>
        <v>309</v>
      </c>
      <c r="AE202" s="77" t="str">
        <f t="shared" si="85"/>
        <v>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 &amp; 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</v>
      </c>
      <c r="AF202" s="74" t="str">
        <f t="shared" si="86"/>
        <v>"C:\Program Files (x86)\AstroGrep\AstroGrep.exe" /e /r /s /spath="%USERPROFILE%\AppData\Local\Temp\OnboardLogs" /stypes="app*4054*20170821*" /stext=" 07:.+((SYSTEM_STATE.+slice.+state.+changed )|(ment ac)|(multiple cpu faults)|(system.+state.+changed )|(\[timeout)|(PRM\|1\|D)|(kpr)|(kdp)|(train st.+moving)|(\|lc)|(penalty))"</v>
      </c>
      <c r="AG202" s="209" t="str">
        <f t="shared" si="87"/>
        <v>Other</v>
      </c>
      <c r="AH202" s="78" t="str">
        <f t="shared" si="88"/>
        <v>"%USERPROFILE%\Documents\GitHub\eaglep3\Utilities\RefineRTDCRunTimes.py" --tripid 309-20 --locoid 4054 --swversion DE.1.0.9.0 --startMP 204:431 --initTime 2017-08-21T01:09:14 --startdatetime 2017-08-21T01:11:36 --delay 1 --endMP 300:23304 --enddatetime 2017-08-21T01:21:38 --enforcementcount 0 &gt;&gt;C:\Users\stu\Documents\GitHub\eaglep3-reporting\EC\2017-08-20-refined-times.txt</v>
      </c>
      <c r="AI202" s="96" t="str">
        <f t="shared" si="89"/>
        <v>echo {"issue":{"subject":"","project_id":79,"tracker_id":40,"status_id":1,"priority_id":2,"assigned_to_id":23,"start_date":"2017-08-21","description":"","custom_fields":[{"id":1,"name":"Subdivision","value":"Other"},{"id":4,"name":"Milepost","value":"2.3304"},{"id":17,"name":"Train ID","value":"309-20"},{"id":16,"name":"Locomotive ID","value":"4054"},{"id":130,"name":"Impact","value":""},{"id":150,"name":"Time of Event (Mountain Time)","value":"01:21:38"},{"id":151,"name":"Denver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90"/>
        <v>start /low /b %USERPROFILE%\Documents\GitHub\eaglep3\Utilities\DownloadLogsFromS3.py --loco 4054 --day 2017-08-21</v>
      </c>
      <c r="AN202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07:21:38"},{"id":29,"name":"Sharepoint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599</v>
      </c>
      <c r="B203" s="7">
        <v>4015</v>
      </c>
      <c r="C203" s="21" t="s">
        <v>198</v>
      </c>
      <c r="D203" s="21" t="s">
        <v>896</v>
      </c>
      <c r="E203" s="13">
        <v>42967.199537037035</v>
      </c>
      <c r="F203" s="13">
        <v>42967.204351851855</v>
      </c>
      <c r="G203" s="7">
        <v>6</v>
      </c>
      <c r="H203" s="21" t="s">
        <v>399</v>
      </c>
      <c r="I203" s="13">
        <v>42967.212291666663</v>
      </c>
      <c r="J203" s="7">
        <v>0</v>
      </c>
      <c r="K203" s="89" t="str">
        <f t="shared" si="74"/>
        <v>4015/4016</v>
      </c>
      <c r="L203" s="21" t="str">
        <f>VLOOKUP(A203,'Trips&amp;Operators'!$C$1:$G$99911,5,FALSE)</f>
        <v>GUZMAN DANNY</v>
      </c>
      <c r="M203" s="6">
        <f t="shared" si="75"/>
        <v>7.9398148081963882E-3</v>
      </c>
      <c r="N203" s="7">
        <f t="shared" si="76"/>
        <v>11.433333323802799</v>
      </c>
      <c r="O203" s="7"/>
      <c r="P203" s="7"/>
      <c r="Q203" s="22"/>
      <c r="R203" s="170"/>
      <c r="S203" s="213">
        <f t="shared" si="77"/>
        <v>1</v>
      </c>
      <c r="T203" s="195" t="str">
        <f t="shared" si="78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79"/>
        <v>https://d0f6bd738d7f1b3e5a7ca70fe4ff75f0.us-east-1.aws.found.io/app/kibana#/discover/Steve-Slow-Train-Analysis-(2080s-and-2083s)?_g=(refreshInterval:(display:Off,pause:!f,section:0,value:0),time:(from:'2017-08-20T03:47:20-0600',mode:absolute,to:'2017-08-20T06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3" s="197" t="str">
        <f>IF(AA203&lt;VLOOKUP(AG203,Variables!$AC$3:$AD$8,2,FALSE),"Y","N")</f>
        <v>Y</v>
      </c>
      <c r="X203" s="197">
        <f t="shared" si="80"/>
        <v>1</v>
      </c>
      <c r="Y203" s="197">
        <f t="shared" si="81"/>
        <v>2.3567</v>
      </c>
      <c r="Z203" s="197">
        <f t="shared" si="82"/>
        <v>1.6E-2</v>
      </c>
      <c r="AA203" s="197">
        <f t="shared" si="83"/>
        <v>2.3407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 t="shared" si="84"/>
        <v>310</v>
      </c>
      <c r="AE203" s="77" t="str">
        <f t="shared" si="85"/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AF203" s="74" t="str">
        <f t="shared" si="86"/>
        <v>"C:\Program Files (x86)\AstroGrep\AstroGrep.exe" /e /r /s /spath="%USERPROFILE%\AppData\Local\Temp\OnboardLogs" /stypes="app*4015*20170820*" /stext=" 11:.+((SYSTEM_STATE.+slice.+state.+changed )|(ment ac)|(multiple cpu faults)|(system.+state.+changed )|(\[timeout)|(PRM\|1\|D)|(kpr)|(kdp)|(train st.+moving)|(\|lc)|(penalty))"</v>
      </c>
      <c r="AG203" s="209" t="str">
        <f t="shared" si="87"/>
        <v>Other</v>
      </c>
      <c r="AH203" s="78" t="str">
        <f t="shared" si="88"/>
        <v>"%USERPROFILE%\Documents\GitHub\eaglep3\Utilities\RefineRTDCRunTimes.py" --tripid 310-20 --locoid 4015 --swversion DE.1.0.9.0 --startMP 300:23567 --initTime 2017-08-20T04:47:20 --startdatetime 2017-08-20T04:54:16 --delay 6 --endMP 204:160 --enddatetime 2017-08-20T05:05:42 --enforcementcount 0 &gt;&gt;C:\Users\stu\Documents\GitHub\eaglep3-reporting\EC\2017-08-20-refined-times.txt</v>
      </c>
      <c r="AI203" s="96" t="str">
        <f t="shared" si="89"/>
        <v>echo {"issue":{"subject":"","project_id":79,"tracker_id":40,"status_id":1,"priority_id":2,"assigned_to_id":23,"start_date":"2017-08-20","description":"","custom_fields":[{"id":1,"name":"Subdivision","value":"Other"},{"id":4,"name":"Milepost","value":"0.016"},{"id":17,"name":"Train ID","value":"310-20"},{"id":16,"name":"Locomotive ID","value":"4015"},{"id":130,"name":"Impact","value":""},{"id":150,"name":"Time of Event (Mountain Time)","value":"05:05:42"},{"id":151,"name":"Denver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90"/>
        <v>start /low /b %USERPROFILE%\Documents\GitHub\eaglep3\Utilities\DownloadLogsFromS3.py --loco 4015 --day 2017-08-20</v>
      </c>
      <c r="AN203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579</v>
      </c>
      <c r="B204" s="7">
        <v>4008</v>
      </c>
      <c r="C204" s="21" t="s">
        <v>198</v>
      </c>
      <c r="D204" s="21" t="s">
        <v>897</v>
      </c>
      <c r="E204" s="13">
        <v>42967.088819444441</v>
      </c>
      <c r="F204" s="13">
        <v>42967.090162037035</v>
      </c>
      <c r="G204" s="7">
        <v>1</v>
      </c>
      <c r="H204" s="21" t="s">
        <v>515</v>
      </c>
      <c r="I204" s="13">
        <v>42967.099004629628</v>
      </c>
      <c r="J204" s="7">
        <v>0</v>
      </c>
      <c r="K204" s="89" t="str">
        <f t="shared" si="74"/>
        <v>4007/4008</v>
      </c>
      <c r="L204" s="21" t="str">
        <f>VLOOKUP(A204,'Trips&amp;Operators'!$C$1:$G$99911,5,FALSE)</f>
        <v>ZEWDU DEREJE</v>
      </c>
      <c r="M204" s="6">
        <f t="shared" si="75"/>
        <v>8.8425925932824612E-3</v>
      </c>
      <c r="N204" s="7">
        <f t="shared" si="76"/>
        <v>12.733333334326744</v>
      </c>
      <c r="O204" s="7"/>
      <c r="P204" s="7"/>
      <c r="Q204" s="22"/>
      <c r="R204" s="170"/>
      <c r="S204" s="213">
        <f t="shared" si="77"/>
        <v>1</v>
      </c>
      <c r="T204" s="195" t="str">
        <f t="shared" si="78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79"/>
        <v>https://d0f6bd738d7f1b3e5a7ca70fe4ff75f0.us-east-1.aws.found.io/app/kibana#/discover/Steve-Slow-Train-Analysis-(2080s-and-2083s)?_g=(refreshInterval:(display:Off,pause:!f,section:0,value:0),time:(from:'2017-08-20T01:07:54-0600',mode:absolute,to:'2017-08-20T03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97" t="str">
        <f>IF(AA204&lt;VLOOKUP(AG204,Variables!$AC$3:$AD$8,2,FALSE),"Y","N")</f>
        <v>Y</v>
      </c>
      <c r="X204" s="197">
        <f t="shared" si="80"/>
        <v>1</v>
      </c>
      <c r="Y204" s="197">
        <f t="shared" si="81"/>
        <v>5.0799999999999998E-2</v>
      </c>
      <c r="Z204" s="197">
        <f t="shared" si="82"/>
        <v>2.3311999999999999</v>
      </c>
      <c r="AA204" s="197">
        <f t="shared" si="83"/>
        <v>2.2803999999999998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 t="shared" si="84"/>
        <v>311</v>
      </c>
      <c r="AE204" s="77" t="str">
        <f t="shared" si="85"/>
        <v>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 &amp; 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</v>
      </c>
      <c r="AF204" s="74" t="str">
        <f t="shared" si="86"/>
        <v>"C:\Program Files (x86)\AstroGrep\AstroGrep.exe" /e /r /s /spath="%USERPROFILE%\AppData\Local\Temp\OnboardLogs" /stypes="app*4008*20170820*" /stext=" 08:.+((SYSTEM_STATE.+slice.+state.+changed )|(ment ac)|(multiple cpu faults)|(system.+state.+changed )|(\[timeout)|(PRM\|1\|D)|(kpr)|(kdp)|(train st.+moving)|(\|lc)|(penalty))"</v>
      </c>
      <c r="AG204" s="209" t="str">
        <f t="shared" si="87"/>
        <v>Other</v>
      </c>
      <c r="AH204" s="78" t="str">
        <f t="shared" si="88"/>
        <v>"%USERPROFILE%\Documents\GitHub\eaglep3\Utilities\RefineRTDCRunTimes.py" --tripid 311-19 --locoid 4008 --swversion DE.1.0.9.0 --startMP 204:508 --initTime 2017-08-20T02:07:54 --startdatetime 2017-08-20T02:09:50 --delay 1 --endMP 300:23312 --enddatetime 2017-08-20T02:22:34 --enforcementcount 0 &gt;&gt;C:\Users\stu\Documents\GitHub\eaglep3-reporting\EC\2017-08-20-refined-times.txt</v>
      </c>
      <c r="AI204" s="96" t="str">
        <f t="shared" si="89"/>
        <v>echo {"issue":{"subject":"","project_id":79,"tracker_id":40,"status_id":1,"priority_id":2,"assigned_to_id":23,"start_date":"2017-08-20","description":"","custom_fields":[{"id":1,"name":"Subdivision","value":"Other"},{"id":4,"name":"Milepost","value":"2.3312"},{"id":17,"name":"Train ID","value":"311-19"},{"id":16,"name":"Locomotive ID","value":"4008"},{"id":130,"name":"Impact","value":""},{"id":150,"name":"Time of Event (Mountain Time)","value":"02:22:34"},{"id":151,"name":"Denver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90"/>
        <v>start /low /b %USERPROFILE%\Documents\GitHub\eaglep3\Utilities\DownloadLogsFromS3.py --loco 4008 --day 2017-08-20</v>
      </c>
      <c r="AN204" s="151" t="str">
        <f t="shared" si="91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764</v>
      </c>
      <c r="B205" s="7">
        <v>4058</v>
      </c>
      <c r="C205" s="21" t="s">
        <v>198</v>
      </c>
      <c r="D205" s="21" t="s">
        <v>460</v>
      </c>
      <c r="E205" s="13">
        <v>42968.069189814814</v>
      </c>
      <c r="F205" s="13">
        <v>42968.070625</v>
      </c>
      <c r="G205" s="7">
        <v>1</v>
      </c>
      <c r="H205" s="21" t="s">
        <v>513</v>
      </c>
      <c r="I205" s="13">
        <v>42968.079930555556</v>
      </c>
      <c r="J205" s="7">
        <v>0</v>
      </c>
      <c r="K205" s="89" t="str">
        <f t="shared" ref="K205:K219" si="107">IF(ISEVEN(B205),(B205-1)&amp;"/"&amp;B205,B205&amp;"/"&amp;(B205+1))</f>
        <v>4057/4058</v>
      </c>
      <c r="L205" s="21" t="str">
        <f>VLOOKUP(A205,'Trips&amp;Operators'!$C$1:$G$99911,5,FALSE)</f>
        <v>PERKINS DARREN</v>
      </c>
      <c r="M205" s="6">
        <f t="shared" ref="M205:M219" si="108">I205-F205</f>
        <v>9.3055555553291924E-3</v>
      </c>
      <c r="N205" s="7">
        <f t="shared" ref="N205:N219" si="109">24*60*SUM($M205:$M205)</f>
        <v>13.399999999674037</v>
      </c>
      <c r="O205" s="7"/>
      <c r="P205" s="7"/>
      <c r="Q205" s="22"/>
      <c r="R205" s="170"/>
      <c r="S205" s="213">
        <f t="shared" ref="S205:S219" si="110">1/IF(AG205="EC",12,1)*SUM(U205:U205)</f>
        <v>1</v>
      </c>
      <c r="T205" s="195" t="str">
        <f t="shared" ref="T205:T219" si="111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19" si="11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-21T00:39:38-0600',mode:absolute,to:'2017-08-21T02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5" s="197" t="str">
        <f>IF(AA205&lt;VLOOKUP(AG205,Variables!$AC$3:$AD$8,2,FALSE),"Y","N")</f>
        <v>Y</v>
      </c>
      <c r="X205" s="197">
        <f t="shared" ref="X205:X219" si="113">VALUE(LEFT(AD205,4))-VALUE(LEFT(AD204,4))</f>
        <v>0</v>
      </c>
      <c r="Y205" s="197">
        <f t="shared" ref="Y205:Y219" si="114">RIGHT(D205,LEN(D205)-4)/10000</f>
        <v>4.3999999999999997E-2</v>
      </c>
      <c r="Z205" s="197">
        <f t="shared" ref="Z205:Z219" si="115">RIGHT(H205,LEN(H205)-4)/10000</f>
        <v>2.3300999999999998</v>
      </c>
      <c r="AA205" s="197">
        <f t="shared" ref="AA205:AA268" si="116">ABS(Z205-Y205)</f>
        <v>2.2860999999999998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 t="shared" ref="AD205:AD219" si="117">VALUE(LEFT(A205,LEN(A205)-3))</f>
        <v>311</v>
      </c>
      <c r="AE205" s="77" t="str">
        <f t="shared" ref="AE205:AE219" si="11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 &amp; 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</v>
      </c>
      <c r="AF205" s="74" t="str">
        <f t="shared" ref="AF205:AF219" si="11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/stypes="app*4058*20170821*" /stext=" 07:.+((SYSTEM_STATE.+slice.+state.+changed )|(ment ac)|(multiple cpu faults)|(system.+state.+changed )|(\[timeout)|(PRM\|1\|D)|(kpr)|(kdp)|(train st.+moving)|(\|lc)|(penalty))"</v>
      </c>
      <c r="AG205" s="209" t="str">
        <f t="shared" ref="AG205:AG219" si="120">DetSubdiv(A205)</f>
        <v>Other</v>
      </c>
      <c r="AH205" s="78" t="str">
        <f t="shared" si="88"/>
        <v>"%USERPROFILE%\Documents\GitHub\eaglep3\Utilities\RefineRTDCRunTimes.py" --tripid 311-20 --locoid 4058 --swversion DE.1.0.9.0 --startMP 204:440 --initTime 2017-08-21T01:39:38 --startdatetime 2017-08-21T01:41:42 --delay 1 --endMP 300:23301 --enddatetime 2017-08-21T01:55:06 --enforcementcount 0 &gt;&gt;C:\Users\stu\Documents\GitHub\eaglep3-reporting\EC\2017-08-20-refined-times.txt</v>
      </c>
      <c r="AI205" s="96" t="str">
        <f t="shared" si="89"/>
        <v>echo {"issue":{"subject":"","project_id":79,"tracker_id":40,"status_id":1,"priority_id":2,"assigned_to_id":23,"start_date":"2017-08-21","description":"","custom_fields":[{"id":1,"name":"Subdivision","value":"Other"},{"id":4,"name":"Milepost","value":"2.3301"},{"id":17,"name":"Train ID","value":"311-20"},{"id":16,"name":"Locomotive ID","value":"4058"},{"id":130,"name":"Impact","value":""},{"id":150,"name":"Time of Event (Mountain Time)","value":"01:55:06"},{"id":151,"name":"Denver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90"/>
        <v>start /low /b %USERPROFILE%\Documents\GitHub\eaglep3\Utilities\DownloadLogsFromS3.py --loco 4058 --day 2017-08-21</v>
      </c>
      <c r="AN205" s="151" t="str">
        <f t="shared" si="9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07:55:06"},{"id":29,"name":"Sharepoint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604</v>
      </c>
      <c r="B206" s="7">
        <v>4011</v>
      </c>
      <c r="C206" s="21" t="s">
        <v>198</v>
      </c>
      <c r="D206" s="21" t="s">
        <v>898</v>
      </c>
      <c r="E206" s="13">
        <v>42967.22315972222</v>
      </c>
      <c r="F206" s="13">
        <v>42967.226944444446</v>
      </c>
      <c r="G206" s="7">
        <v>2</v>
      </c>
      <c r="H206" s="21" t="s">
        <v>397</v>
      </c>
      <c r="I206" s="13">
        <v>42967.233622685184</v>
      </c>
      <c r="J206" s="7">
        <v>0</v>
      </c>
      <c r="K206" s="89" t="str">
        <f t="shared" si="107"/>
        <v>4011/4012</v>
      </c>
      <c r="L206" s="21" t="str">
        <f>VLOOKUP(A206,'Trips&amp;Operators'!$C$1:$G$99911,5,FALSE)</f>
        <v>MACDONALD THOMAS</v>
      </c>
      <c r="M206" s="6">
        <f t="shared" si="108"/>
        <v>6.6782407375285402E-3</v>
      </c>
      <c r="N206" s="7">
        <f t="shared" si="109"/>
        <v>9.6166666620410979</v>
      </c>
      <c r="O206" s="7"/>
      <c r="P206" s="7"/>
      <c r="Q206" s="22"/>
      <c r="R206" s="170"/>
      <c r="S206" s="213">
        <f t="shared" si="110"/>
        <v>1</v>
      </c>
      <c r="T206" s="195" t="str">
        <f t="shared" si="111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112"/>
        <v>https://d0f6bd738d7f1b3e5a7ca70fe4ff75f0.us-east-1.aws.found.io/app/kibana#/discover/Steve-Slow-Train-Analysis-(2080s-and-2083s)?_g=(refreshInterval:(display:Off,pause:!f,section:0,value:0),time:(from:'2017-08-20T04:21:21-0600',mode:absolute,to:'2017-08-20T06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6" s="197" t="str">
        <f>IF(AA206&lt;VLOOKUP(AG206,Variables!$AC$3:$AD$8,2,FALSE),"Y","N")</f>
        <v>Y</v>
      </c>
      <c r="X206" s="197">
        <f t="shared" si="113"/>
        <v>1</v>
      </c>
      <c r="Y206" s="197">
        <f t="shared" si="114"/>
        <v>2.5764</v>
      </c>
      <c r="Z206" s="197">
        <f t="shared" si="115"/>
        <v>1.4500000000000001E-2</v>
      </c>
      <c r="AA206" s="197">
        <f t="shared" si="116"/>
        <v>2.5619000000000001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 t="shared" si="117"/>
        <v>312</v>
      </c>
      <c r="AE206" s="77" t="str">
        <f t="shared" si="118"/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AF206" s="74" t="str">
        <f t="shared" si="119"/>
        <v>"C:\Program Files (x86)\AstroGrep\AstroGrep.exe" /e /r /s /spath="%USERPROFILE%\AppData\Local\Temp\OnboardLogs" /stypes="app*4011*20170820*" /stext=" 11:.+((SYSTEM_STATE.+slice.+state.+changed )|(ment ac)|(multiple cpu faults)|(system.+state.+changed )|(\[timeout)|(PRM\|1\|D)|(kpr)|(kdp)|(train st.+moving)|(\|lc)|(penalty))"</v>
      </c>
      <c r="AG206" s="209" t="str">
        <f t="shared" si="120"/>
        <v>Other</v>
      </c>
      <c r="AH206" s="78" t="str">
        <f t="shared" ref="AH206:AH219" si="121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312-20 --locoid 4011 --swversion DE.1.0.9.0 --startMP 300:25764 --initTime 2017-08-20T05:21:21 --startdatetime 2017-08-20T05:26:48 --delay 2 --endMP 204:145 --enddatetime 2017-08-20T05:36:25 --enforcementcount 0 &gt;&gt;C:\Users\stu\Documents\GitHub\eaglep3-reporting\EC\2017-08-20-refined-times.txt</v>
      </c>
      <c r="AI206" s="96" t="str">
        <f t="shared" ref="AI206:AI219" si="122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{"issue":{"subject":"","project_id":79,"tracker_id":40,"status_id":1,"priority_id":2,"assigned_to_id":23,"start_date":"2017-08-20","description":"","custom_fields":[{"id":1,"name":"Subdivision","value":"Other"},{"id":4,"name":"Milepost","value":"0.0145"},{"id":17,"name":"Train ID","value":"312-20"},{"id":16,"name":"Locomotive ID","value":"4011"},{"id":130,"name":"Impact","value":""},{"id":150,"name":"Time of Event (Mountain Time)","value":"05:36:25"},{"id":151,"name":"Denver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ref="AM206:AM219" si="123">"start /low /b "&amp;dls3logs&amp;" --loco "&amp;B206&amp;" --day "&amp;TEXT(F206,"YYYY-MM-DD")</f>
        <v>start /low /b %USERPROFILE%\Documents\GitHub\eaglep3\Utilities\DownloadLogsFromS3.py --loco 4011 --day 2017-08-20</v>
      </c>
      <c r="AN206" s="151" t="str">
        <f t="shared" ref="AN206:AN219" si="124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580</v>
      </c>
      <c r="B207" s="7">
        <v>4062</v>
      </c>
      <c r="C207" s="21" t="s">
        <v>198</v>
      </c>
      <c r="D207" s="21" t="s">
        <v>371</v>
      </c>
      <c r="E207" s="13">
        <v>42967.110752314817</v>
      </c>
      <c r="F207" s="13">
        <v>42967.112245370372</v>
      </c>
      <c r="G207" s="7">
        <v>1</v>
      </c>
      <c r="H207" s="21" t="s">
        <v>448</v>
      </c>
      <c r="I207" s="13">
        <v>42967.119467592594</v>
      </c>
      <c r="J207" s="7">
        <v>0</v>
      </c>
      <c r="K207" s="89" t="str">
        <f t="shared" si="107"/>
        <v>4061/4062</v>
      </c>
      <c r="L207" s="21" t="str">
        <f>VLOOKUP(A207,'Trips&amp;Operators'!$C$1:$G$99911,5,FALSE)</f>
        <v>RESPASS AARON</v>
      </c>
      <c r="M207" s="6">
        <f t="shared" si="108"/>
        <v>7.2222222224809229E-3</v>
      </c>
      <c r="N207" s="7">
        <f t="shared" si="109"/>
        <v>10.400000000372529</v>
      </c>
      <c r="O207" s="7"/>
      <c r="P207" s="7"/>
      <c r="Q207" s="22"/>
      <c r="R207" s="170"/>
      <c r="S207" s="213">
        <f t="shared" si="110"/>
        <v>1</v>
      </c>
      <c r="T207" s="195" t="str">
        <f t="shared" si="111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112"/>
        <v>https://d0f6bd738d7f1b3e5a7ca70fe4ff75f0.us-east-1.aws.found.io/app/kibana#/discover/Steve-Slow-Train-Analysis-(2080s-and-2083s)?_g=(refreshInterval:(display:Off,pause:!f,section:0,value:0),time:(from:'2017-08-20T01:39:29-0600',mode:absolute,to:'2017-08-20T03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7" s="197" t="str">
        <f>IF(AA207&lt;VLOOKUP(AG207,Variables!$AC$3:$AD$8,2,FALSE),"Y","N")</f>
        <v>Y</v>
      </c>
      <c r="X207" s="197">
        <f t="shared" si="113"/>
        <v>1</v>
      </c>
      <c r="Y207" s="197">
        <f t="shared" si="114"/>
        <v>4.5499999999999999E-2</v>
      </c>
      <c r="Z207" s="197">
        <f t="shared" si="115"/>
        <v>2.331</v>
      </c>
      <c r="AA207" s="197">
        <f t="shared" si="116"/>
        <v>2.2854999999999999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 t="shared" si="117"/>
        <v>313</v>
      </c>
      <c r="AE207" s="77" t="str">
        <f t="shared" si="118"/>
        <v>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 &amp; aws s3 cp s3://rtdc.mdm.uploadarchive.raw/RTDC4062/ "%USERPROFILE%\AppData\Local\Temp\OnboardLogs"\RTDC4062\2017-08-21 --exclude "*" --recursive --include "*20170821*" &amp; "%USERPROFILE%\Documents\GitHub\mrs-test-scripts\Headless Mode &amp; Sideloading\WalkAndUnGZ.bat" "%USERPROFILE%\AppData\Local\Temp\OnboardLogs"\RTDC4062\2017-08-21</v>
      </c>
      <c r="AF207" s="74" t="str">
        <f t="shared" si="119"/>
        <v>"C:\Program Files (x86)\AstroGrep\AstroGrep.exe" /e /r /s /spath="%USERPROFILE%\AppData\Local\Temp\OnboardLogs" /stypes="app*4062*20170820*" /stext=" 08:.+((SYSTEM_STATE.+slice.+state.+changed )|(ment ac)|(multiple cpu faults)|(system.+state.+changed )|(\[timeout)|(PRM\|1\|D)|(kpr)|(kdp)|(train st.+moving)|(\|lc)|(penalty))"</v>
      </c>
      <c r="AG207" s="209" t="str">
        <f t="shared" si="120"/>
        <v>Other</v>
      </c>
      <c r="AH207" s="78" t="str">
        <f t="shared" si="121"/>
        <v>"%USERPROFILE%\Documents\GitHub\eaglep3\Utilities\RefineRTDCRunTimes.py" --tripid 313-19 --locoid 4062 --swversion DE.1.0.9.0 --startMP 204:455 --initTime 2017-08-20T02:39:29 --startdatetime 2017-08-20T02:41:38 --delay 1 --endMP 300:23310 --enddatetime 2017-08-20T02:52:02 --enforcementcount 0 &gt;&gt;C:\Users\stu\Documents\GitHub\eaglep3-reporting\EC\2017-08-20-refined-times.txt</v>
      </c>
      <c r="AI207" s="96" t="str">
        <f t="shared" si="122"/>
        <v>echo {"issue":{"subject":"","project_id":79,"tracker_id":40,"status_id":1,"priority_id":2,"assigned_to_id":23,"start_date":"2017-08-20","description":"","custom_fields":[{"id":1,"name":"Subdivision","value":"Other"},{"id":4,"name":"Milepost","value":"2.331"},{"id":17,"name":"Train ID","value":"313-19"},{"id":16,"name":"Locomotive ID","value":"4062"},{"id":130,"name":"Impact","value":""},{"id":150,"name":"Time of Event (Mountain Time)","value":"02:52:02"},{"id":151,"name":"Denver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23"/>
        <v>start /low /b %USERPROFILE%\Documents\GitHub\eaglep3\Utilities\DownloadLogsFromS3.py --loco 4062 --day 2017-08-20</v>
      </c>
      <c r="AN207" s="151" t="str">
        <f t="shared" si="12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08:52:02"},{"id":29,"name":"Sharepoint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765</v>
      </c>
      <c r="B208" s="7">
        <v>4018</v>
      </c>
      <c r="C208" s="21" t="s">
        <v>198</v>
      </c>
      <c r="D208" s="21" t="s">
        <v>828</v>
      </c>
      <c r="E208" s="13">
        <v>42968.087754629632</v>
      </c>
      <c r="F208" s="13">
        <v>42968.088865740741</v>
      </c>
      <c r="G208" s="7">
        <v>0</v>
      </c>
      <c r="H208" s="21" t="s">
        <v>467</v>
      </c>
      <c r="I208" s="13">
        <v>42968.097314814811</v>
      </c>
      <c r="J208" s="7">
        <v>0</v>
      </c>
      <c r="K208" s="89" t="str">
        <f t="shared" si="107"/>
        <v>4017/4018</v>
      </c>
      <c r="L208" s="21" t="str">
        <f>VLOOKUP(A208,'Trips&amp;Operators'!$C$1:$G$99911,5,FALSE)</f>
        <v>BIRENBAUM THOMAS</v>
      </c>
      <c r="M208" s="6">
        <f t="shared" si="108"/>
        <v>8.4490740700857714E-3</v>
      </c>
      <c r="N208" s="7">
        <f t="shared" si="109"/>
        <v>12.166666660923511</v>
      </c>
      <c r="O208" s="7"/>
      <c r="P208" s="7"/>
      <c r="Q208" s="22"/>
      <c r="R208" s="170"/>
      <c r="S208" s="213">
        <f t="shared" si="110"/>
        <v>1</v>
      </c>
      <c r="T208" s="195" t="str">
        <f t="shared" si="111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112"/>
        <v>https://d0f6bd738d7f1b3e5a7ca70fe4ff75f0.us-east-1.aws.found.io/app/kibana#/discover/Steve-Slow-Train-Analysis-(2080s-and-2083s)?_g=(refreshInterval:(display:Off,pause:!f,section:0,value:0),time:(from:'2017-08-21T01:06:22-0600',mode:absolute,to:'2017-08-21T03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8" s="197" t="str">
        <f>IF(AA208&lt;VLOOKUP(AG208,Variables!$AC$3:$AD$8,2,FALSE),"Y","N")</f>
        <v>Y</v>
      </c>
      <c r="X208" s="197">
        <f t="shared" si="113"/>
        <v>0</v>
      </c>
      <c r="Y208" s="197">
        <f t="shared" si="114"/>
        <v>6.7000000000000004E-2</v>
      </c>
      <c r="Z208" s="197">
        <f t="shared" si="115"/>
        <v>2.3308</v>
      </c>
      <c r="AA208" s="197">
        <f t="shared" si="116"/>
        <v>2.2637999999999998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 t="shared" si="117"/>
        <v>313</v>
      </c>
      <c r="AE208" s="77" t="str">
        <f t="shared" si="118"/>
        <v>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 &amp; 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</v>
      </c>
      <c r="AF208" s="74" t="str">
        <f t="shared" si="119"/>
        <v>"C:\Program Files (x86)\AstroGrep\AstroGrep.exe" /e /r /s /spath="%USERPROFILE%\AppData\Local\Temp\OnboardLogs" /stypes="app*4018*20170821*" /stext=" 08:.+((SYSTEM_STATE.+slice.+state.+changed )|(ment ac)|(multiple cpu faults)|(system.+state.+changed )|(\[timeout)|(PRM\|1\|D)|(kpr)|(kdp)|(train st.+moving)|(\|lc)|(penalty))"</v>
      </c>
      <c r="AG208" s="209" t="str">
        <f t="shared" si="120"/>
        <v>Other</v>
      </c>
      <c r="AH208" s="78" t="str">
        <f t="shared" si="121"/>
        <v>"%USERPROFILE%\Documents\GitHub\eaglep3\Utilities\RefineRTDCRunTimes.py" --tripid 313-20 --locoid 4018 --swversion DE.1.0.9.0 --startMP 204:670 --initTime 2017-08-21T02:06:22 --startdatetime 2017-08-21T02:07:58 --delay 0 --endMP 300:23308 --enddatetime 2017-08-21T02:20:08 --enforcementcount 0 &gt;&gt;C:\Users\stu\Documents\GitHub\eaglep3-reporting\EC\2017-08-20-refined-times.txt</v>
      </c>
      <c r="AI208" s="96" t="str">
        <f t="shared" si="122"/>
        <v>echo {"issue":{"subject":"","project_id":79,"tracker_id":40,"status_id":1,"priority_id":2,"assigned_to_id":23,"start_date":"2017-08-21","description":"","custom_fields":[{"id":1,"name":"Subdivision","value":"Other"},{"id":4,"name":"Milepost","value":"2.3308"},{"id":17,"name":"Train ID","value":"313-20"},{"id":16,"name":"Locomotive ID","value":"4018"},{"id":130,"name":"Impact","value":""},{"id":150,"name":"Time of Event (Mountain Time)","value":"02:20:08"},{"id":151,"name":"Denver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23"/>
        <v>start /low /b %USERPROFILE%\Documents\GitHub\eaglep3\Utilities\DownloadLogsFromS3.py --loco 4018 --day 2017-08-21</v>
      </c>
      <c r="AN208" s="151" t="str">
        <f t="shared" si="124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08:20:08"},{"id":29,"name":"Sharepoint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528</v>
      </c>
      <c r="B209" s="7">
        <v>4028</v>
      </c>
      <c r="C209" s="21" t="s">
        <v>198</v>
      </c>
      <c r="D209" s="21" t="s">
        <v>858</v>
      </c>
      <c r="E209" s="13">
        <v>42967.221956018519</v>
      </c>
      <c r="F209" s="13">
        <v>42967.225405092591</v>
      </c>
      <c r="G209" s="7">
        <v>4</v>
      </c>
      <c r="H209" s="21" t="s">
        <v>859</v>
      </c>
      <c r="I209" s="13">
        <v>42967.22724537037</v>
      </c>
      <c r="J209" s="7">
        <v>0</v>
      </c>
      <c r="K209" s="89" t="str">
        <f t="shared" si="107"/>
        <v>4027/4028</v>
      </c>
      <c r="L209" s="21" t="str">
        <f>VLOOKUP(A209,'Trips&amp;Operators'!$C$1:$G$99911,5,FALSE)</f>
        <v>ROBINSON KADDIBA</v>
      </c>
      <c r="M209" s="6">
        <f t="shared" si="108"/>
        <v>1.8402777786832303E-3</v>
      </c>
      <c r="N209" s="7">
        <f t="shared" si="109"/>
        <v>2.6500000013038516</v>
      </c>
      <c r="O209" s="7"/>
      <c r="P209" s="7"/>
      <c r="Q209" s="22"/>
      <c r="R209" s="170"/>
      <c r="S209" s="213">
        <f t="shared" si="110"/>
        <v>0</v>
      </c>
      <c r="T209" s="195" t="str">
        <f t="shared" si="111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112"/>
        <v>https://d0f6bd738d7f1b3e5a7ca70fe4ff75f0.us-east-1.aws.found.io/app/kibana#/discover/Steve-Slow-Train-Analysis-(2080s-and-2083s)?_g=(refreshInterval:(display:Off,pause:!f,section:0,value:0),time:(from:'2017-08-20T04:19:37-0600',mode:absolute,to:'2017-08-20T06:27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9" s="197" t="str">
        <f>IF(AA209&lt;VLOOKUP(AG209,Variables!$AC$3:$AD$8,2,FALSE),"Y","N")</f>
        <v>Y</v>
      </c>
      <c r="X209" s="197">
        <f t="shared" si="113"/>
        <v>1588</v>
      </c>
      <c r="Y209" s="197">
        <f t="shared" si="114"/>
        <v>2.9165999999999999</v>
      </c>
      <c r="Z209" s="197">
        <f t="shared" si="115"/>
        <v>3.3039999999999998</v>
      </c>
      <c r="AA209" s="197">
        <f t="shared" si="116"/>
        <v>0.38739999999999997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 t="shared" si="117"/>
        <v>1901</v>
      </c>
      <c r="AE209" s="77" t="str">
        <f t="shared" si="118"/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AF209" s="74" t="str">
        <f t="shared" si="119"/>
        <v>"C:\Program Files (x86)\AstroGrep\AstroGrep.exe" /e /r /s /spath="%USERPROFILE%\AppData\Local\Temp\OnboardLogs" /stypes="app*4028*20170820*" /stext=" 11:.+((SYSTEM_STATE.+slice.+state.+changed )|(ment ac)|(multiple cpu faults)|(system.+state.+changed )|(\[timeout)|(PRM\|1\|D)|(kpr)|(kdp)|(train st.+moving)|(\|lc)|(penalty))"</v>
      </c>
      <c r="AG209" s="209" t="str">
        <f t="shared" si="120"/>
        <v>Other</v>
      </c>
      <c r="AH209" s="78" t="str">
        <f t="shared" si="121"/>
        <v>"%USERPROFILE%\Documents\GitHub\eaglep3\Utilities\RefineRTDCRunTimes.py" --tripid 1901-20 --locoid 4028 --swversion DE.1.0.9.0 --startMP 300:29166 --initTime 2017-08-20T05:19:37 --startdatetime 2017-08-20T05:24:35 --delay 4 --endMP 300:33040 --enddatetime 2017-08-20T05:27:14 --enforcementcount 0 &gt;&gt;C:\Users\stu\Documents\GitHub\eaglep3-reporting\EC\2017-08-20-refined-times.txt</v>
      </c>
      <c r="AI209" s="96" t="str">
        <f t="shared" si="122"/>
        <v>echo {"issue":{"subject":"","project_id":79,"tracker_id":40,"status_id":1,"priority_id":2,"assigned_to_id":23,"start_date":"2017-08-20","description":"","custom_fields":[{"id":1,"name":"Subdivision","value":"Other"},{"id":4,"name":"Milepost","value":"3.304"},{"id":17,"name":"Train ID","value":"1901-20"},{"id":16,"name":"Locomotive ID","value":"4028"},{"id":130,"name":"Impact","value":""},{"id":150,"name":"Time of Event (Mountain Time)","value":"05:27:14"},{"id":151,"name":"Denver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23"/>
        <v>start /low /b %USERPROFILE%\Documents\GitHub\eaglep3\Utilities\DownloadLogsFromS3.py --loco 4028 --day 2017-08-20</v>
      </c>
      <c r="AN209" s="151" t="str">
        <f t="shared" si="12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11:27:14"},{"id":29,"name":"Sharepoint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569</v>
      </c>
      <c r="B210" s="7">
        <v>4027</v>
      </c>
      <c r="C210" s="21" t="s">
        <v>198</v>
      </c>
      <c r="D210" s="21" t="s">
        <v>860</v>
      </c>
      <c r="E210" s="13">
        <v>42967.943252314813</v>
      </c>
      <c r="F210" s="13">
        <v>42967.944745370369</v>
      </c>
      <c r="G210" s="7">
        <v>1</v>
      </c>
      <c r="H210" s="21" t="s">
        <v>861</v>
      </c>
      <c r="I210" s="13">
        <v>42967.953831018516</v>
      </c>
      <c r="J210" s="7">
        <v>0</v>
      </c>
      <c r="K210" s="89" t="str">
        <f t="shared" si="107"/>
        <v>4027/4028</v>
      </c>
      <c r="L210" s="21" t="str">
        <f>VLOOKUP(A210,'Trips&amp;Operators'!$C$1:$G$99911,5,FALSE)</f>
        <v>HOLCOMB KAMDEN</v>
      </c>
      <c r="M210" s="6">
        <f t="shared" si="108"/>
        <v>9.0856481474475004E-3</v>
      </c>
      <c r="N210" s="7">
        <f t="shared" si="109"/>
        <v>13.083333332324401</v>
      </c>
      <c r="O210" s="7"/>
      <c r="P210" s="7"/>
      <c r="Q210" s="22"/>
      <c r="R210" s="170"/>
      <c r="S210" s="213">
        <f t="shared" si="110"/>
        <v>0</v>
      </c>
      <c r="T210" s="195" t="str">
        <f t="shared" si="111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112"/>
        <v>https://d0f6bd738d7f1b3e5a7ca70fe4ff75f0.us-east-1.aws.found.io/app/kibana#/discover/Steve-Slow-Train-Analysis-(2080s-and-2083s)?_g=(refreshInterval:(display:Off,pause:!f,section:0,value:0),time:(from:'2017-08-20T21:38:17-0600',mode:absolute,to:'2017-08-20T23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97" t="str">
        <f>IF(AA210&lt;VLOOKUP(AG210,Variables!$AC$3:$AD$8,2,FALSE),"Y","N")</f>
        <v>Y</v>
      </c>
      <c r="X210" s="197">
        <f t="shared" si="113"/>
        <v>1</v>
      </c>
      <c r="Y210" s="197">
        <f t="shared" si="114"/>
        <v>5.8681000000000001</v>
      </c>
      <c r="Z210" s="197">
        <f t="shared" si="115"/>
        <v>2.8782000000000001</v>
      </c>
      <c r="AA210" s="197">
        <f t="shared" si="116"/>
        <v>2.9899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 t="shared" si="117"/>
        <v>1902</v>
      </c>
      <c r="AE210" s="77" t="str">
        <f t="shared" si="118"/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AF210" s="74" t="str">
        <f t="shared" si="119"/>
        <v>"C:\Program Files (x86)\AstroGrep\AstroGrep.exe" /e /r /s /spath="%USERPROFILE%\AppData\Local\Temp\OnboardLogs" /stypes="app*4027*20170821*" /stext=" 04:.+((SYSTEM_STATE.+slice.+state.+changed )|(ment ac)|(multiple cpu faults)|(system.+state.+changed )|(\[timeout)|(PRM\|1\|D)|(kpr)|(kdp)|(train st.+moving)|(\|lc)|(penalty))"</v>
      </c>
      <c r="AG210" s="209" t="str">
        <f t="shared" si="120"/>
        <v>Other</v>
      </c>
      <c r="AH210" s="78" t="str">
        <f t="shared" si="121"/>
        <v>"%USERPROFILE%\Documents\GitHub\eaglep3\Utilities\RefineRTDCRunTimes.py" --tripid 1902-20 --locoid 4027 --swversion DE.1.0.9.0 --startMP 300:58681 --initTime 2017-08-20T22:38:17 --startdatetime 2017-08-20T22:40:26 --delay 1 --endMP 300:28782 --enddatetime 2017-08-20T22:53:31 --enforcementcount 0 &gt;&gt;C:\Users\stu\Documents\GitHub\eaglep3-reporting\EC\2017-08-20-refined-times.txt</v>
      </c>
      <c r="AI210" s="96" t="str">
        <f t="shared" si="122"/>
        <v>echo {"issue":{"subject":"","project_id":79,"tracker_id":40,"status_id":1,"priority_id":2,"assigned_to_id":23,"start_date":"2017-08-20","description":"","custom_fields":[{"id":1,"name":"Subdivision","value":"Other"},{"id":4,"name":"Milepost","value":"2.8782"},{"id":17,"name":"Train ID","value":"1902-20"},{"id":16,"name":"Locomotive ID","value":"4027"},{"id":130,"name":"Impact","value":""},{"id":150,"name":"Time of Event (Mountain Time)","value":"22:53:31"},{"id":151,"name":"Denver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23"/>
        <v>start /low /b %USERPROFILE%\Documents\GitHub\eaglep3\Utilities\DownloadLogsFromS3.py --loco 4027 --day 2017-08-20</v>
      </c>
      <c r="AN210" s="151" t="str">
        <f t="shared" si="124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581</v>
      </c>
      <c r="B211" s="7">
        <v>4002</v>
      </c>
      <c r="C211" s="21" t="s">
        <v>198</v>
      </c>
      <c r="D211" s="21" t="s">
        <v>899</v>
      </c>
      <c r="E211" s="13">
        <v>42967.158831018518</v>
      </c>
      <c r="F211" s="13">
        <v>25568.708333333332</v>
      </c>
      <c r="G211" s="7">
        <v>2</v>
      </c>
      <c r="H211" s="21" t="s">
        <v>899</v>
      </c>
      <c r="I211" s="13">
        <v>25568.708333333332</v>
      </c>
      <c r="J211" s="7">
        <v>0</v>
      </c>
      <c r="K211" s="89" t="str">
        <f t="shared" si="107"/>
        <v>4001/4002</v>
      </c>
      <c r="L211" s="21" t="str">
        <f>VLOOKUP(A211,'Trips&amp;Operators'!$C$1:$G$99911,5,FALSE)</f>
        <v>CHANDLER KELVIN</v>
      </c>
      <c r="M211" s="6">
        <f t="shared" si="108"/>
        <v>0</v>
      </c>
      <c r="N211" s="7">
        <f t="shared" si="109"/>
        <v>0</v>
      </c>
      <c r="O211" s="7"/>
      <c r="P211" s="7"/>
      <c r="Q211" s="22"/>
      <c r="R211" s="170"/>
      <c r="S211" s="213">
        <f t="shared" si="110"/>
        <v>0</v>
      </c>
      <c r="T211" s="195" t="str">
        <f t="shared" si="111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112"/>
        <v>https://d0f6bd738d7f1b3e5a7ca70fe4ff75f0.us-east-1.aws.found.io/app/kibana#/discover/Steve-Slow-Train-Analysis-(2080s-and-2083s)?_g=(refreshInterval:(display:Off,pause:!f,section:0,value:0),time:(from:'2017-08-20T02:48:43-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97" t="str">
        <f>IF(AA211&lt;VLOOKUP(AG211,Variables!$AC$3:$AD$8,2,FALSE),"Y","N")</f>
        <v>Y</v>
      </c>
      <c r="X211" s="197">
        <f t="shared" si="113"/>
        <v>-1851</v>
      </c>
      <c r="Y211" s="197">
        <f t="shared" si="114"/>
        <v>0.14899999999999999</v>
      </c>
      <c r="Z211" s="197">
        <f t="shared" si="115"/>
        <v>0.14899999999999999</v>
      </c>
      <c r="AA211" s="197">
        <f t="shared" si="116"/>
        <v>0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 t="shared" si="117"/>
        <v>51</v>
      </c>
      <c r="AE211" s="77" t="str">
        <f t="shared" si="118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1" s="74" t="str">
        <f t="shared" si="119"/>
        <v>"C:\Program Files (x86)\AstroGrep\AstroGrep.exe" /e /r /s /spath="%USERPROFILE%\AppData\Local\Temp\OnboardLogs" /stypes="app*4002*19691231*" /stext=" 23:.+((SYSTEM_STATE.+slice.+state.+changed )|(ment ac)|(multiple cpu faults)|(system.+state.+changed )|(\[timeout)|(PRM\|1\|D)|(kpr)|(kdp)|(train st.+moving)|(\|lc)|(penalty))"</v>
      </c>
      <c r="AG211" s="209" t="str">
        <f t="shared" si="120"/>
        <v>Shuttle/Test</v>
      </c>
      <c r="AH211" s="78" t="str">
        <f t="shared" si="121"/>
        <v>"%USERPROFILE%\Documents\GitHub\eaglep3\Utilities\RefineRTDCRunTimes.py" --tripid 51-20 --locoid 4002 --swversion DE.1.0.9.0 --startMP 204:1490 --initTime 2017-08-20T03:48:43 --startdatetime 1969-12-31T17:00:00 --delay 2 --endMP 204:1490 --enddatetime 1969-12-31T17:00:00 --enforcementcount 0 &gt;&gt;C:\Users\stu\Documents\GitHub\eaglep3-reporting\EC\2017-08-20-refined-times.txt</v>
      </c>
      <c r="AI211" s="96" t="str">
        <f t="shared" si="122"/>
        <v>echo {"issue":{"subject":"","project_id":79,"tracker_id":40,"status_id":1,"priority_id":2,"assigned_to_id":23,"start_date":"1969-12-31","description":"","custom_fields":[{"id":1,"name":"Subdivision","value":"Shuttle/Test"},{"id":4,"name":"Milepost","value":"0.149"},{"id":17,"name":"Train ID","value":"51-20"},{"id":16,"name":"Locomotive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23"/>
        <v>start /low /b %USERPROFILE%\Documents\GitHub\eaglep3\Utilities\DownloadLogsFromS3.py --loco 4002 --day 1969-12-31</v>
      </c>
      <c r="AN211" s="151" t="str">
        <f t="shared" si="12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581</v>
      </c>
      <c r="B212" s="7">
        <v>4002</v>
      </c>
      <c r="C212" s="21" t="s">
        <v>198</v>
      </c>
      <c r="D212" s="21" t="s">
        <v>414</v>
      </c>
      <c r="E212" s="13">
        <v>42967.13177083333</v>
      </c>
      <c r="F212" s="13">
        <v>25568.708333333332</v>
      </c>
      <c r="G212" s="7">
        <v>1</v>
      </c>
      <c r="H212" s="21" t="s">
        <v>900</v>
      </c>
      <c r="I212" s="13">
        <v>25568.708333333332</v>
      </c>
      <c r="J212" s="7">
        <v>0</v>
      </c>
      <c r="K212" s="89" t="str">
        <f t="shared" si="107"/>
        <v>4001/4002</v>
      </c>
      <c r="L212" s="21" t="str">
        <f>VLOOKUP(A212,'Trips&amp;Operators'!$C$1:$G$99911,5,FALSE)</f>
        <v>CHANDLER KELVIN</v>
      </c>
      <c r="M212" s="6">
        <f t="shared" si="108"/>
        <v>0</v>
      </c>
      <c r="N212" s="7">
        <f t="shared" si="109"/>
        <v>0</v>
      </c>
      <c r="O212" s="7"/>
      <c r="P212" s="7"/>
      <c r="Q212" s="22"/>
      <c r="R212" s="170"/>
      <c r="S212" s="213">
        <f t="shared" si="110"/>
        <v>0</v>
      </c>
      <c r="T212" s="195" t="str">
        <f t="shared" si="111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112"/>
        <v>https://d0f6bd738d7f1b3e5a7ca70fe4ff75f0.us-east-1.aws.found.io/app/kibana#/discover/Steve-Slow-Train-Analysis-(2080s-and-2083s)?_g=(refreshInterval:(display:Off,pause:!f,section:0,value:0),time:(from:'2017-08-20T02:09:45-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197" t="str">
        <f>IF(AA212&lt;VLOOKUP(AG212,Variables!$AC$3:$AD$8,2,FALSE),"Y","N")</f>
        <v>Y</v>
      </c>
      <c r="X212" s="197">
        <f t="shared" si="113"/>
        <v>0</v>
      </c>
      <c r="Y212" s="197">
        <f t="shared" si="114"/>
        <v>4.4400000000000002E-2</v>
      </c>
      <c r="Z212" s="197">
        <f t="shared" si="115"/>
        <v>0.3503</v>
      </c>
      <c r="AA212" s="197">
        <f t="shared" si="116"/>
        <v>0.30590000000000001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 t="shared" si="117"/>
        <v>51</v>
      </c>
      <c r="AE212" s="77" t="str">
        <f t="shared" si="118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2" s="74" t="str">
        <f t="shared" si="119"/>
        <v>"C:\Program Files (x86)\AstroGrep\AstroGrep.exe" /e /r /s /spath="%USERPROFILE%\AppData\Local\Temp\OnboardLogs" /stypes="app*4002*19691231*" /stext=" 23:.+((SYSTEM_STATE.+slice.+state.+changed )|(ment ac)|(multiple cpu faults)|(system.+state.+changed )|(\[timeout)|(PRM\|1\|D)|(kpr)|(kdp)|(train st.+moving)|(\|lc)|(penalty))"</v>
      </c>
      <c r="AG212" s="209" t="str">
        <f t="shared" si="120"/>
        <v>Shuttle/Test</v>
      </c>
      <c r="AH212" s="78" t="str">
        <f t="shared" si="121"/>
        <v>"%USERPROFILE%\Documents\GitHub\eaglep3\Utilities\RefineRTDCRunTimes.py" --tripid 51-20 --locoid 4002 --swversion DE.1.0.9.0 --startMP 204:444 --initTime 2017-08-20T03:09:45 --startdatetime 1969-12-31T17:00:00 --delay 1 --endMP 204:3503 --enddatetime 1969-12-31T17:00:00 --enforcementcount 0 &gt;&gt;C:\Users\stu\Documents\GitHub\eaglep3-reporting\EC\2017-08-20-refined-times.txt</v>
      </c>
      <c r="AI212" s="96" t="str">
        <f t="shared" si="122"/>
        <v>echo {"issue":{"subject":"","project_id":79,"tracker_id":40,"status_id":1,"priority_id":2,"assigned_to_id":23,"start_date":"1969-12-31","description":"","custom_fields":[{"id":1,"name":"Subdivision","value":"Shuttle/Test"},{"id":4,"name":"Milepost","value":"0.3503"},{"id":17,"name":"Train ID","value":"51-20"},{"id":16,"name":"Locomotive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23"/>
        <v>start /low /b %USERPROFILE%\Documents\GitHub\eaglep3\Utilities\DownloadLogsFromS3.py --loco 4002 --day 1969-12-31</v>
      </c>
      <c r="AN212" s="151" t="str">
        <f t="shared" si="12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581</v>
      </c>
      <c r="B213" s="7">
        <v>4029</v>
      </c>
      <c r="C213" s="21" t="s">
        <v>198</v>
      </c>
      <c r="D213" s="21" t="s">
        <v>901</v>
      </c>
      <c r="E213" s="13">
        <v>42967.450428240743</v>
      </c>
      <c r="F213" s="13">
        <v>42967.479085648149</v>
      </c>
      <c r="G213" s="7">
        <v>9</v>
      </c>
      <c r="H213" s="21">
        <v>8.5347222222222232</v>
      </c>
      <c r="I213" s="13">
        <v>42967.486458333333</v>
      </c>
      <c r="J213" s="7">
        <v>0</v>
      </c>
      <c r="K213" s="89" t="str">
        <f t="shared" si="107"/>
        <v>4029/4030</v>
      </c>
      <c r="L213" s="21" t="str">
        <f>VLOOKUP(A213,'Trips&amp;Operators'!$C$1:$G$99911,5,FALSE)</f>
        <v>CHANDLER KELVIN</v>
      </c>
      <c r="M213" s="6">
        <f t="shared" si="108"/>
        <v>7.3726851842366159E-3</v>
      </c>
      <c r="N213" s="7">
        <f t="shared" si="109"/>
        <v>10.616666665300727</v>
      </c>
      <c r="O213" s="7"/>
      <c r="P213" s="7"/>
      <c r="Q213" s="22"/>
      <c r="R213" s="170"/>
      <c r="S213" s="213">
        <f t="shared" si="110"/>
        <v>0</v>
      </c>
      <c r="T213" s="195" t="str">
        <f t="shared" si="111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112"/>
        <v>https://d0f6bd738d7f1b3e5a7ca70fe4ff75f0.us-east-1.aws.found.io/app/kibana#/discover/Steve-Slow-Train-Analysis-(2080s-and-2083s)?_g=(refreshInterval:(display:Off,pause:!f,section:0,value:0),time:(from:'2017-08-20T09:48:37-0600',mode:absolute,to:'2017-08-20T12:40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3" s="197" t="str">
        <f>IF(AA213&lt;VLOOKUP(AG213,Variables!$AC$3:$AD$8,2,FALSE),"Y","N")</f>
        <v>N</v>
      </c>
      <c r="X213" s="197">
        <f t="shared" si="113"/>
        <v>0</v>
      </c>
      <c r="Y213" s="197">
        <f t="shared" si="114"/>
        <v>2.3054999999999999</v>
      </c>
      <c r="Z213" s="197">
        <f t="shared" si="115"/>
        <v>47222222.222199999</v>
      </c>
      <c r="AA213" s="197">
        <f t="shared" si="116"/>
        <v>47222219.916699998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 t="shared" si="117"/>
        <v>51</v>
      </c>
      <c r="AE213" s="77" t="str">
        <f t="shared" si="118"/>
        <v>aws s3 cp s3://rtdc.mdm.uploadarchive.raw/RTDC4029/ "%USERPROFILE%\AppData\Local\Temp\OnboardLogs"\RTDC4029\2017-08-20 --exclude "*" --recursive --include "*20170820*" &amp; "%USERPROFILE%\Documents\GitHub\mrs-test-scripts\Headless Mode &amp; Sideloading\WalkAndUnGZ.bat" "%USERPROFILE%\AppData\Local\Temp\OnboardLogs"\RTDC4029\2017-08-20 &amp; aws s3 cp s3://rtdc.mdm.uploadarchive.raw/RTDC4029/ "%USERPROFILE%\AppData\Local\Temp\OnboardLogs"\RTDC4029\2017-08-21 --exclude "*" --recursive --include "*20170821*" &amp; "%USERPROFILE%\Documents\GitHub\mrs-test-scripts\Headless Mode &amp; Sideloading\WalkAndUnGZ.bat" "%USERPROFILE%\AppData\Local\Temp\OnboardLogs"\RTDC4029\2017-08-21</v>
      </c>
      <c r="AF213" s="74" t="str">
        <f t="shared" si="119"/>
        <v>"C:\Program Files (x86)\AstroGrep\AstroGrep.exe" /e /r /s /spath="%USERPROFILE%\AppData\Local\Temp\OnboardLogs" /stypes="app*4029*20170820*" /stext=" 17:.+((SYSTEM_STATE.+slice.+state.+changed )|(ment ac)|(multiple cpu faults)|(system.+state.+changed )|(\[timeout)|(PRM\|1\|D)|(kpr)|(kdp)|(train st.+moving)|(\|lc)|(penalty))"</v>
      </c>
      <c r="AG213" s="209" t="str">
        <f t="shared" si="120"/>
        <v>Shuttle/Test</v>
      </c>
      <c r="AH213" s="78" t="str">
        <f t="shared" si="121"/>
        <v>"%USERPROFILE%\Documents\GitHub\eaglep3\Utilities\RefineRTDCRunTimes.py" --tripid 51-20 --locoid 4029 --swversion DE.1.0.9.0 --startMP 300:23055 --initTime 2017-08-20T10:48:37 --startdatetime 2017-08-20T11:29:53 --delay 9 --endMP 8.53472222222222 --enddatetime 2017-08-20T11:40:30 --enforcementcount 0 &gt;&gt;C:\Users\stu\Documents\GitHub\eaglep3-reporting\EC\2017-08-20-refined-times.txt</v>
      </c>
      <c r="AI213" s="96" t="str">
        <f t="shared" si="122"/>
        <v>echo {"issue":{"subject":"","project_id":79,"tracker_id":40,"status_id":1,"priority_id":2,"assigned_to_id":23,"start_date":"2017-08-20","description":"","custom_fields":[{"id":1,"name":"Subdivision","value":"Shuttle/Test"},{"id":4,"name":"Milepost","value":"47222222.2222"},{"id":17,"name":"Train ID","value":"51-20"},{"id":16,"name":"Locomotive ID","value":"4029"},{"id":130,"name":"Impact","value":""},{"id":150,"name":"Time of Event (Mountain Time)","value":"11:40:30"},{"id":151,"name":"Denver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23"/>
        <v>start /low /b %USERPROFILE%\Documents\GitHub\eaglep3\Utilities\DownloadLogsFromS3.py --loco 4029 --day 2017-08-20</v>
      </c>
      <c r="AN213" s="151" t="str">
        <f t="shared" si="12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581</v>
      </c>
      <c r="B214" s="7">
        <v>4030</v>
      </c>
      <c r="C214" s="21" t="s">
        <v>198</v>
      </c>
      <c r="D214" s="21" t="s">
        <v>902</v>
      </c>
      <c r="E214" s="13">
        <v>42967.476504629631</v>
      </c>
      <c r="F214" s="13">
        <v>42967.479085648149</v>
      </c>
      <c r="G214" s="7">
        <v>2</v>
      </c>
      <c r="H214" s="21" t="s">
        <v>903</v>
      </c>
      <c r="I214" s="13">
        <v>42967.486458333333</v>
      </c>
      <c r="J214" s="7">
        <v>0</v>
      </c>
      <c r="K214" s="89" t="str">
        <f t="shared" si="107"/>
        <v>4029/4030</v>
      </c>
      <c r="L214" s="21" t="str">
        <f>VLOOKUP(A214,'Trips&amp;Operators'!$C$1:$G$99911,5,FALSE)</f>
        <v>CHANDLER KELVIN</v>
      </c>
      <c r="M214" s="6">
        <f t="shared" si="108"/>
        <v>7.3726851842366159E-3</v>
      </c>
      <c r="N214" s="7">
        <f t="shared" si="109"/>
        <v>10.616666665300727</v>
      </c>
      <c r="O214" s="7"/>
      <c r="P214" s="7"/>
      <c r="Q214" s="22"/>
      <c r="R214" s="170"/>
      <c r="S214" s="213">
        <f t="shared" si="110"/>
        <v>1</v>
      </c>
      <c r="T214" s="195" t="str">
        <f t="shared" si="111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112"/>
        <v>https://d0f6bd738d7f1b3e5a7ca70fe4ff75f0.us-east-1.aws.found.io/app/kibana#/discover/Steve-Slow-Train-Analysis-(2080s-and-2083s)?_g=(refreshInterval:(display:Off,pause:!f,section:0,value:0),time:(from:'2017-08-20T10:26:10-0600',mode:absolute,to:'2017-08-20T12:40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197" t="str">
        <f>IF(AA214&lt;VLOOKUP(AG214,Variables!$AC$3:$AD$8,2,FALSE),"Y","N")</f>
        <v>Y</v>
      </c>
      <c r="X214" s="197">
        <f t="shared" si="113"/>
        <v>0</v>
      </c>
      <c r="Y214" s="197">
        <f t="shared" si="114"/>
        <v>3.6999999999999998E-2</v>
      </c>
      <c r="Z214" s="197">
        <f t="shared" si="115"/>
        <v>2.4207999999999998</v>
      </c>
      <c r="AA214" s="197">
        <f t="shared" si="116"/>
        <v>2.3837999999999999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 t="shared" si="117"/>
        <v>51</v>
      </c>
      <c r="AE214" s="77" t="str">
        <f t="shared" si="118"/>
        <v>aws s3 cp s3://rtdc.mdm.uploadarchive.raw/RTDC4030/ "%USERPROFILE%\AppData\Local\Temp\OnboardLogs"\RTDC4030\2017-08-20 --exclude "*" --recursive --include "*20170820*" &amp; "%USERPROFILE%\Documents\GitHub\mrs-test-scripts\Headless Mode &amp; Sideloading\WalkAndUnGZ.bat" "%USERPROFILE%\AppData\Local\Temp\OnboardLogs"\RTDC4030\2017-08-20 &amp; aws s3 cp s3://rtdc.mdm.uploadarchive.raw/RTDC4030/ "%USERPROFILE%\AppData\Local\Temp\OnboardLogs"\RTDC4030\2017-08-21 --exclude "*" --recursive --include "*20170821*" &amp; "%USERPROFILE%\Documents\GitHub\mrs-test-scripts\Headless Mode &amp; Sideloading\WalkAndUnGZ.bat" "%USERPROFILE%\AppData\Local\Temp\OnboardLogs"\RTDC4030\2017-08-21</v>
      </c>
      <c r="AF214" s="74" t="str">
        <f t="shared" si="119"/>
        <v>"C:\Program Files (x86)\AstroGrep\AstroGrep.exe" /e /r /s /spath="%USERPROFILE%\AppData\Local\Temp\OnboardLogs" /stypes="app*4030*20170820*" /stext=" 17:.+((SYSTEM_STATE.+slice.+state.+changed )|(ment ac)|(multiple cpu faults)|(system.+state.+changed )|(\[timeout)|(PRM\|1\|D)|(kpr)|(kdp)|(train st.+moving)|(\|lc)|(penalty))"</v>
      </c>
      <c r="AG214" s="209" t="str">
        <f t="shared" si="120"/>
        <v>Shuttle/Test</v>
      </c>
      <c r="AH214" s="78" t="str">
        <f t="shared" si="121"/>
        <v>"%USERPROFILE%\Documents\GitHub\eaglep3\Utilities\RefineRTDCRunTimes.py" --tripid 51-20 --locoid 4030 --swversion DE.1.0.9.0 --startMP 204:370 --initTime 2017-08-20T11:26:10 --startdatetime 2017-08-20T11:29:53 --delay 2 --endMP 300:24208 --enddatetime 2017-08-20T11:40:30 --enforcementcount 0 &gt;&gt;C:\Users\stu\Documents\GitHub\eaglep3-reporting\EC\2017-08-20-refined-times.txt</v>
      </c>
      <c r="AI214" s="96" t="str">
        <f t="shared" si="122"/>
        <v>echo {"issue":{"subject":"","project_id":79,"tracker_id":40,"status_id":1,"priority_id":2,"assigned_to_id":23,"start_date":"2017-08-20","description":"","custom_fields":[{"id":1,"name":"Subdivision","value":"Shuttle/Test"},{"id":4,"name":"Milepost","value":"2.4208"},{"id":17,"name":"Train ID","value":"51-20"},{"id":16,"name":"Locomotive ID","value":"4030"},{"id":130,"name":"Impact","value":""},{"id":150,"name":"Time of Event (Mountain Time)","value":"11:40:30"},{"id":151,"name":"Denver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23"/>
        <v>start /low /b %USERPROFILE%\Documents\GitHub\eaglep3\Utilities\DownloadLogsFromS3.py --loco 4030 --day 2017-08-20</v>
      </c>
      <c r="AN214" s="151" t="str">
        <f t="shared" si="12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17:40:30"},{"id":29,"name":"Sharepoint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586</v>
      </c>
      <c r="B215" s="7">
        <v>4001</v>
      </c>
      <c r="C215" s="21" t="s">
        <v>198</v>
      </c>
      <c r="D215" s="21" t="s">
        <v>904</v>
      </c>
      <c r="E215" s="13">
        <v>42967.158680555556</v>
      </c>
      <c r="F215" s="13">
        <v>25568.708333333332</v>
      </c>
      <c r="G215" s="7">
        <v>4</v>
      </c>
      <c r="H215" s="21" t="s">
        <v>905</v>
      </c>
      <c r="I215" s="13">
        <v>25568.708333333332</v>
      </c>
      <c r="J215" s="7">
        <v>0</v>
      </c>
      <c r="K215" s="89" t="str">
        <f t="shared" si="107"/>
        <v>4001/4002</v>
      </c>
      <c r="L215" s="21" t="str">
        <f>VLOOKUP(A215,'Trips&amp;Operators'!$C$1:$G$99911,5,FALSE)</f>
        <v>CHANDLER KELVIN</v>
      </c>
      <c r="M215" s="6">
        <f t="shared" si="108"/>
        <v>0</v>
      </c>
      <c r="N215" s="7">
        <f t="shared" si="109"/>
        <v>0</v>
      </c>
      <c r="O215" s="7"/>
      <c r="P215" s="7"/>
      <c r="Q215" s="22"/>
      <c r="R215" s="170"/>
      <c r="S215" s="213">
        <f t="shared" si="110"/>
        <v>0</v>
      </c>
      <c r="T215" s="195" t="str">
        <f t="shared" si="111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112"/>
        <v>https://d0f6bd738d7f1b3e5a7ca70fe4ff75f0.us-east-1.aws.found.io/app/kibana#/discover/Steve-Slow-Train-Analysis-(2080s-and-2083s)?_g=(refreshInterval:(display:Off,pause:!f,section:0,value:0),time:(from:'2017-08-20T02:48:30-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197" t="str">
        <f>IF(AA215&lt;VLOOKUP(AG215,Variables!$AC$3:$AD$8,2,FALSE),"Y","N")</f>
        <v>Y</v>
      </c>
      <c r="X215" s="197">
        <f t="shared" si="113"/>
        <v>1</v>
      </c>
      <c r="Y215" s="197">
        <f t="shared" si="114"/>
        <v>0.1186</v>
      </c>
      <c r="Z215" s="197">
        <f t="shared" si="115"/>
        <v>0.1179</v>
      </c>
      <c r="AA215" s="197">
        <f t="shared" si="116"/>
        <v>6.999999999999923E-4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 t="shared" si="117"/>
        <v>52</v>
      </c>
      <c r="AE215" s="77" t="str">
        <f t="shared" si="118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15" s="74" t="str">
        <f t="shared" si="119"/>
        <v>"C:\Program Files (x86)\AstroGrep\AstroGrep.exe" /e /r /s /spath="%USERPROFILE%\AppData\Local\Temp\OnboardLogs" /stypes="app*4001*19691231*" /stext=" 23:.+((SYSTEM_STATE.+slice.+state.+changed )|(ment ac)|(multiple cpu faults)|(system.+state.+changed )|(\[timeout)|(PRM\|1\|D)|(kpr)|(kdp)|(train st.+moving)|(\|lc)|(penalty))"</v>
      </c>
      <c r="AG215" s="209" t="str">
        <f t="shared" si="120"/>
        <v>Shuttle/Test</v>
      </c>
      <c r="AH215" s="78" t="str">
        <f t="shared" si="121"/>
        <v>"%USERPROFILE%\Documents\GitHub\eaglep3\Utilities\RefineRTDCRunTimes.py" --tripid 52-20 --locoid 4001 --swversion DE.1.0.9.0 --startMP 204:1186 --initTime 2017-08-20T03:48:30 --startdatetime 1969-12-31T17:00:00 --delay 4 --endMP 204:1179 --enddatetime 1969-12-31T17:00:00 --enforcementcount 0 &gt;&gt;C:\Users\stu\Documents\GitHub\eaglep3-reporting\EC\2017-08-20-refined-times.txt</v>
      </c>
      <c r="AI215" s="96" t="str">
        <f t="shared" si="122"/>
        <v>echo {"issue":{"subject":"","project_id":79,"tracker_id":40,"status_id":1,"priority_id":2,"assigned_to_id":23,"start_date":"1969-12-31","description":"","custom_fields":[{"id":1,"name":"Subdivision","value":"Shuttle/Test"},{"id":4,"name":"Milepost","value":"0.1179"},{"id":17,"name":"Train ID","value":"52-20"},{"id":16,"name":"Locomotive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23"/>
        <v>start /low /b %USERPROFILE%\Documents\GitHub\eaglep3\Utilities\DownloadLogsFromS3.py --loco 4001 --day 1969-12-31</v>
      </c>
      <c r="AN215" s="151" t="str">
        <f t="shared" si="12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737</v>
      </c>
      <c r="B216" s="7">
        <v>4065</v>
      </c>
      <c r="C216" s="21" t="s">
        <v>198</v>
      </c>
      <c r="D216" s="21" t="s">
        <v>906</v>
      </c>
      <c r="E216" s="13">
        <v>42967.812118055554</v>
      </c>
      <c r="F216" s="13">
        <v>42967.81689814815</v>
      </c>
      <c r="G216" s="7">
        <v>1</v>
      </c>
      <c r="H216" s="21" t="s">
        <v>907</v>
      </c>
      <c r="I216" s="13">
        <v>42967.817719907405</v>
      </c>
      <c r="J216" s="7">
        <v>0</v>
      </c>
      <c r="K216" s="89" t="str">
        <f t="shared" si="107"/>
        <v>4065/4066</v>
      </c>
      <c r="L216" s="21" t="str">
        <f>VLOOKUP(A216,'Trips&amp;Operators'!$C$1:$G$99911,5,FALSE)</f>
        <v>BIRENBAUM THOMAS</v>
      </c>
      <c r="M216" s="6">
        <f t="shared" si="108"/>
        <v>8.2175925490446389E-4</v>
      </c>
      <c r="N216" s="7">
        <f t="shared" si="109"/>
        <v>1.183333327062428</v>
      </c>
      <c r="O216" s="7"/>
      <c r="P216" s="7"/>
      <c r="Q216" s="22"/>
      <c r="R216" s="170"/>
      <c r="S216" s="213">
        <f t="shared" si="110"/>
        <v>0</v>
      </c>
      <c r="T216" s="195" t="str">
        <f t="shared" si="111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112"/>
        <v>https://d0f6bd738d7f1b3e5a7ca70fe4ff75f0.us-east-1.aws.found.io/app/kibana#/discover/Steve-Slow-Train-Analysis-(2080s-and-2083s)?_g=(refreshInterval:(display:Off,pause:!f,section:0,value:0),time:(from:'2017-08-20T18:29:27-0600',mode:absolute,to:'2017-08-20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6" s="197" t="str">
        <f>IF(AA216&lt;VLOOKUP(AG216,Variables!$AC$3:$AD$8,2,FALSE),"Y","N")</f>
        <v>Y</v>
      </c>
      <c r="X216" s="197">
        <f t="shared" si="113"/>
        <v>21</v>
      </c>
      <c r="Y216" s="197">
        <f t="shared" si="114"/>
        <v>0.4955</v>
      </c>
      <c r="Z216" s="197">
        <f t="shared" si="115"/>
        <v>0.18099999999999999</v>
      </c>
      <c r="AA216" s="197">
        <f t="shared" si="116"/>
        <v>0.3145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 t="shared" si="117"/>
        <v>73</v>
      </c>
      <c r="AE216" s="77" t="str">
        <f t="shared" si="118"/>
        <v>aws s3 cp s3://rtdc.mdm.uploadarchive.raw/RTDC4065/ "%USERPROFILE%\AppData\Local\Temp\OnboardLogs"\RTDC4065\2017-08-20 --exclude "*" --recursive --include "*20170820*" &amp; "%USERPROFILE%\Documents\GitHub\mrs-test-scripts\Headless Mode &amp; Sideloading\WalkAndUnGZ.bat" "%USERPROFILE%\AppData\Local\Temp\OnboardLogs"\RTDC4065\2017-08-20 &amp; aws s3 cp s3://rtdc.mdm.uploadarchive.raw/RTDC4065/ "%USERPROFILE%\AppData\Local\Temp\OnboardLogs"\RTDC4065\2017-08-21 --exclude "*" --recursive --include "*20170821*" &amp; "%USERPROFILE%\Documents\GitHub\mrs-test-scripts\Headless Mode &amp; Sideloading\WalkAndUnGZ.bat" "%USERPROFILE%\AppData\Local\Temp\OnboardLogs"\RTDC4065\2017-08-21</v>
      </c>
      <c r="AF216" s="74" t="str">
        <f t="shared" si="119"/>
        <v>"C:\Program Files (x86)\AstroGrep\AstroGrep.exe" /e /r /s /spath="%USERPROFILE%\AppData\Local\Temp\OnboardLogs" /stypes="app*4065*20170821*" /stext=" 01:.+((SYSTEM_STATE.+slice.+state.+changed )|(ment ac)|(multiple cpu faults)|(system.+state.+changed )|(\[timeout)|(PRM\|1\|D)|(kpr)|(kdp)|(train st.+moving)|(\|lc)|(penalty))"</v>
      </c>
      <c r="AG216" s="209" t="str">
        <f t="shared" si="120"/>
        <v>Shuttle/Test</v>
      </c>
      <c r="AH216" s="78" t="str">
        <f t="shared" si="121"/>
        <v>"%USERPROFILE%\Documents\GitHub\eaglep3\Utilities\RefineRTDCRunTimes.py" --tripid 73-20 --locoid 4065 --swversion DE.1.0.9.0 --startMP 300:4955 --initTime 2017-08-20T19:29:27 --startdatetime 2017-08-20T19:36:20 --delay 1 --endMP 204:1810 --enddatetime 2017-08-20T19:37:31 --enforcementcount 0 &gt;&gt;C:\Users\stu\Documents\GitHub\eaglep3-reporting\EC\2017-08-20-refined-times.txt</v>
      </c>
      <c r="AI216" s="96" t="str">
        <f t="shared" si="122"/>
        <v>echo {"issue":{"subject":"","project_id":79,"tracker_id":40,"status_id":1,"priority_id":2,"assigned_to_id":23,"start_date":"2017-08-20","description":"","custom_fields":[{"id":1,"name":"Subdivision","value":"Shuttle/Test"},{"id":4,"name":"Milepost","value":"0.181"},{"id":17,"name":"Train ID","value":"73-20"},{"id":16,"name":"Locomotive ID","value":"4065"},{"id":130,"name":"Impact","value":""},{"id":150,"name":"Time of Event (Mountain Time)","value":"19:37:31"},{"id":151,"name":"Denver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23"/>
        <v>start /low /b %USERPROFILE%\Documents\GitHub\eaglep3\Utilities\DownloadLogsFromS3.py --loco 4065 --day 2017-08-20</v>
      </c>
      <c r="AN216" s="151" t="str">
        <f t="shared" si="124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737</v>
      </c>
      <c r="B217" s="7">
        <v>4066</v>
      </c>
      <c r="C217" s="21" t="s">
        <v>198</v>
      </c>
      <c r="D217" s="21" t="s">
        <v>908</v>
      </c>
      <c r="E217" s="13">
        <v>42967.8046412037</v>
      </c>
      <c r="F217" s="13">
        <v>42967.81689814815</v>
      </c>
      <c r="G217" s="7">
        <v>1</v>
      </c>
      <c r="H217" s="21" t="s">
        <v>909</v>
      </c>
      <c r="I217" s="13">
        <v>42967.817719907405</v>
      </c>
      <c r="J217" s="7">
        <v>0</v>
      </c>
      <c r="K217" s="89" t="str">
        <f t="shared" si="107"/>
        <v>4065/4066</v>
      </c>
      <c r="L217" s="21" t="str">
        <f>VLOOKUP(A217,'Trips&amp;Operators'!$C$1:$G$99911,5,FALSE)</f>
        <v>BIRENBAUM THOMAS</v>
      </c>
      <c r="M217" s="6">
        <f t="shared" si="108"/>
        <v>8.2175925490446389E-4</v>
      </c>
      <c r="N217" s="7">
        <f t="shared" si="109"/>
        <v>1.183333327062428</v>
      </c>
      <c r="O217" s="7"/>
      <c r="P217" s="7"/>
      <c r="Q217" s="22"/>
      <c r="R217" s="170"/>
      <c r="S217" s="213">
        <f t="shared" si="110"/>
        <v>0</v>
      </c>
      <c r="T217" s="195" t="str">
        <f t="shared" si="111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112"/>
        <v>https://d0f6bd738d7f1b3e5a7ca70fe4ff75f0.us-east-1.aws.found.io/app/kibana#/discover/Steve-Slow-Train-Analysis-(2080s-and-2083s)?_g=(refreshInterval:(display:Off,pause:!f,section:0,value:0),time:(from:'2017-08-20T18:18:41-0600',mode:absolute,to:'2017-08-20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7" s="197" t="str">
        <f>IF(AA217&lt;VLOOKUP(AG217,Variables!$AC$3:$AD$8,2,FALSE),"Y","N")</f>
        <v>Y</v>
      </c>
      <c r="X217" s="197">
        <f t="shared" si="113"/>
        <v>0</v>
      </c>
      <c r="Y217" s="197">
        <f t="shared" si="114"/>
        <v>0.11700000000000001</v>
      </c>
      <c r="Z217" s="197">
        <f t="shared" si="115"/>
        <v>0.52929999999999999</v>
      </c>
      <c r="AA217" s="197">
        <f t="shared" si="116"/>
        <v>0.4123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 t="shared" si="117"/>
        <v>73</v>
      </c>
      <c r="AE217" s="77" t="str">
        <f t="shared" si="118"/>
        <v>aws s3 cp s3://rtdc.mdm.uploadarchive.raw/RTDC4066/ "%USERPROFILE%\AppData\Local\Temp\OnboardLogs"\RTDC4066\2017-08-20 --exclude "*" --recursive --include "*20170820*" &amp; "%USERPROFILE%\Documents\GitHub\mrs-test-scripts\Headless Mode &amp; Sideloading\WalkAndUnGZ.bat" "%USERPROFILE%\AppData\Local\Temp\OnboardLogs"\RTDC4066\2017-08-20 &amp; aws s3 cp s3://rtdc.mdm.uploadarchive.raw/RTDC4066/ "%USERPROFILE%\AppData\Local\Temp\OnboardLogs"\RTDC4066\2017-08-21 --exclude "*" --recursive --include "*20170821*" &amp; "%USERPROFILE%\Documents\GitHub\mrs-test-scripts\Headless Mode &amp; Sideloading\WalkAndUnGZ.bat" "%USERPROFILE%\AppData\Local\Temp\OnboardLogs"\RTDC4066\2017-08-21</v>
      </c>
      <c r="AF217" s="74" t="str">
        <f t="shared" si="119"/>
        <v>"C:\Program Files (x86)\AstroGrep\AstroGrep.exe" /e /r /s /spath="%USERPROFILE%\AppData\Local\Temp\OnboardLogs" /stypes="app*4066*20170821*" /stext=" 01:.+((SYSTEM_STATE.+slice.+state.+changed )|(ment ac)|(multiple cpu faults)|(system.+state.+changed )|(\[timeout)|(PRM\|1\|D)|(kpr)|(kdp)|(train st.+moving)|(\|lc)|(penalty))"</v>
      </c>
      <c r="AG217" s="209" t="str">
        <f t="shared" si="120"/>
        <v>Shuttle/Test</v>
      </c>
      <c r="AH217" s="78" t="str">
        <f t="shared" si="121"/>
        <v>"%USERPROFILE%\Documents\GitHub\eaglep3\Utilities\RefineRTDCRunTimes.py" --tripid 73-20 --locoid 4066 --swversion DE.1.0.9.0 --startMP 204:1170 --initTime 2017-08-20T19:18:41 --startdatetime 2017-08-20T19:36:20 --delay 1 --endMP 300:5293 --enddatetime 2017-08-20T19:37:31 --enforcementcount 0 &gt;&gt;C:\Users\stu\Documents\GitHub\eaglep3-reporting\EC\2017-08-20-refined-times.txt</v>
      </c>
      <c r="AI217" s="96" t="str">
        <f t="shared" si="122"/>
        <v>echo {"issue":{"subject":"","project_id":79,"tracker_id":40,"status_id":1,"priority_id":2,"assigned_to_id":23,"start_date":"2017-08-20","description":"","custom_fields":[{"id":1,"name":"Subdivision","value":"Shuttle/Test"},{"id":4,"name":"Milepost","value":"0.5293"},{"id":17,"name":"Train ID","value":"73-20"},{"id":16,"name":"Locomotive ID","value":"4066"},{"id":130,"name":"Impact","value":""},{"id":150,"name":"Time of Event (Mountain Time)","value":"19:37:31"},{"id":151,"name":"Denver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23"/>
        <v>start /low /b %USERPROFILE%\Documents\GitHub\eaglep3\Utilities\DownloadLogsFromS3.py --loco 4066 --day 2017-08-20</v>
      </c>
      <c r="AN217" s="151" t="str">
        <f t="shared" si="124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556</v>
      </c>
      <c r="B218" s="7">
        <v>4065</v>
      </c>
      <c r="C218" s="21" t="s">
        <v>198</v>
      </c>
      <c r="D218" s="21" t="s">
        <v>910</v>
      </c>
      <c r="E218" s="13">
        <v>42967.74454861111</v>
      </c>
      <c r="F218" s="13">
        <v>42967.747152777774</v>
      </c>
      <c r="G218" s="7">
        <v>3</v>
      </c>
      <c r="H218" s="21" t="s">
        <v>911</v>
      </c>
      <c r="I218" s="13">
        <v>42967.753553240742</v>
      </c>
      <c r="J218" s="7">
        <v>0</v>
      </c>
      <c r="K218" s="89" t="str">
        <f t="shared" si="107"/>
        <v>4065/4066</v>
      </c>
      <c r="L218" s="21" t="str">
        <f>VLOOKUP(A218,'Trips&amp;Operators'!$C$1:$G$99911,5,FALSE)</f>
        <v>HUFFSMITH MONTY</v>
      </c>
      <c r="M218" s="6">
        <f t="shared" si="108"/>
        <v>6.4004629675764591E-3</v>
      </c>
      <c r="N218" s="7">
        <f t="shared" si="109"/>
        <v>9.216666673310101</v>
      </c>
      <c r="O218" s="7"/>
      <c r="P218" s="7"/>
      <c r="Q218" s="22"/>
      <c r="R218" s="170"/>
      <c r="S218" s="213">
        <f t="shared" si="110"/>
        <v>1</v>
      </c>
      <c r="T218" s="195" t="str">
        <f t="shared" si="111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112"/>
        <v>https://d0f6bd738d7f1b3e5a7ca70fe4ff75f0.us-east-1.aws.found.io/app/kibana#/discover/Steve-Slow-Train-Analysis-(2080s-and-2083s)?_g=(refreshInterval:(display:Off,pause:!f,section:0,value:0),time:(from:'2017-08-20T16:52:09-0600',mode:absolute,to:'2017-08-20T19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8" s="197" t="str">
        <f>IF(AA218&lt;VLOOKUP(AG218,Variables!$AC$3:$AD$8,2,FALSE),"Y","N")</f>
        <v>Y</v>
      </c>
      <c r="X218" s="197">
        <f t="shared" si="113"/>
        <v>1</v>
      </c>
      <c r="Y218" s="197">
        <f t="shared" si="114"/>
        <v>2.3025000000000002</v>
      </c>
      <c r="Z218" s="197">
        <f t="shared" si="115"/>
        <v>8.6900000000000005E-2</v>
      </c>
      <c r="AA218" s="197">
        <f t="shared" si="116"/>
        <v>2.2156000000000002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 t="shared" si="117"/>
        <v>74</v>
      </c>
      <c r="AE218" s="77" t="str">
        <f t="shared" si="118"/>
        <v>aws s3 cp s3://rtdc.mdm.uploadarchive.raw/RTDC4065/ "%USERPROFILE%\AppData\Local\Temp\OnboardLogs"\RTDC4065\2017-08-20 --exclude "*" --recursive --include "*20170820*" &amp; "%USERPROFILE%\Documents\GitHub\mrs-test-scripts\Headless Mode &amp; Sideloading\WalkAndUnGZ.bat" "%USERPROFILE%\AppData\Local\Temp\OnboardLogs"\RTDC4065\2017-08-20 &amp; aws s3 cp s3://rtdc.mdm.uploadarchive.raw/RTDC4065/ "%USERPROFILE%\AppData\Local\Temp\OnboardLogs"\RTDC4065\2017-08-21 --exclude "*" --recursive --include "*20170821*" &amp; "%USERPROFILE%\Documents\GitHub\mrs-test-scripts\Headless Mode &amp; Sideloading\WalkAndUnGZ.bat" "%USERPROFILE%\AppData\Local\Temp\OnboardLogs"\RTDC4065\2017-08-21</v>
      </c>
      <c r="AF218" s="74" t="str">
        <f t="shared" si="119"/>
        <v>"C:\Program Files (x86)\AstroGrep\AstroGrep.exe" /e /r /s /spath="%USERPROFILE%\AppData\Local\Temp\OnboardLogs" /stypes="app*4065*20170821*" /stext=" 00:.+((SYSTEM_STATE.+slice.+state.+changed )|(ment ac)|(multiple cpu faults)|(system.+state.+changed )|(\[timeout)|(PRM\|1\|D)|(kpr)|(kdp)|(train st.+moving)|(\|lc)|(penalty))"</v>
      </c>
      <c r="AG218" s="209" t="str">
        <f t="shared" si="120"/>
        <v>Shuttle/Test</v>
      </c>
      <c r="AH218" s="78" t="str">
        <f t="shared" si="121"/>
        <v>"%USERPROFILE%\Documents\GitHub\eaglep3\Utilities\RefineRTDCRunTimes.py" --tripid 74-20 --locoid 4065 --swversion DE.1.0.9.0 --startMP 300:23025 --initTime 2017-08-20T17:52:09 --startdatetime 2017-08-20T17:55:54 --delay 3 --endMP 204:869 --enddatetime 2017-08-20T18:05:07 --enforcementcount 0 &gt;&gt;C:\Users\stu\Documents\GitHub\eaglep3-reporting\EC\2017-08-20-refined-times.txt</v>
      </c>
      <c r="AI218" s="96" t="str">
        <f t="shared" si="122"/>
        <v>echo {"issue":{"subject":"","project_id":79,"tracker_id":40,"status_id":1,"priority_id":2,"assigned_to_id":23,"start_date":"2017-08-20","description":"","custom_fields":[{"id":1,"name":"Subdivision","value":"Shuttle/Test"},{"id":4,"name":"Milepost","value":"0.0869"},{"id":17,"name":"Train ID","value":"74-20"},{"id":16,"name":"Locomotive ID","value":"4065"},{"id":130,"name":"Impact","value":""},{"id":150,"name":"Time of Event (Mountain Time)","value":"18:05:07"},{"id":151,"name":"Denver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23"/>
        <v>start /low /b %USERPROFILE%\Documents\GitHub\eaglep3\Utilities\DownloadLogsFromS3.py --loco 4065 --day 2017-08-20</v>
      </c>
      <c r="AN218" s="151" t="str">
        <f t="shared" si="124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00:05:07"},{"id":29,"name":"Sharepoint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705</v>
      </c>
      <c r="B219" s="7">
        <v>4002</v>
      </c>
      <c r="C219" s="21" t="s">
        <v>198</v>
      </c>
      <c r="D219" s="21" t="s">
        <v>912</v>
      </c>
      <c r="E219" s="13">
        <v>42967.670173611114</v>
      </c>
      <c r="F219" s="13">
        <v>42967.684201388889</v>
      </c>
      <c r="G219" s="7">
        <v>1</v>
      </c>
      <c r="H219" s="21" t="s">
        <v>467</v>
      </c>
      <c r="I219" s="13">
        <v>42967.690497685187</v>
      </c>
      <c r="J219" s="7">
        <v>0</v>
      </c>
      <c r="K219" s="89" t="str">
        <f t="shared" si="107"/>
        <v>4001/4002</v>
      </c>
      <c r="L219" s="21" t="str">
        <f>VLOOKUP(A219,'Trips&amp;Operators'!$C$1:$G$99911,5,FALSE)</f>
        <v>LOPES KIMBERLY</v>
      </c>
      <c r="M219" s="6">
        <f t="shared" si="108"/>
        <v>6.2962962983874604E-3</v>
      </c>
      <c r="N219" s="7">
        <f t="shared" si="109"/>
        <v>9.066666669677943</v>
      </c>
      <c r="O219" s="7"/>
      <c r="P219" s="7"/>
      <c r="Q219" s="22"/>
      <c r="R219" s="170"/>
      <c r="S219" s="213">
        <f t="shared" si="110"/>
        <v>1</v>
      </c>
      <c r="T219" s="195" t="str">
        <f t="shared" si="111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112"/>
        <v>https://d0f6bd738d7f1b3e5a7ca70fe4ff75f0.us-east-1.aws.found.io/app/kibana#/discover/Steve-Slow-Train-Analysis-(2080s-and-2083s)?_g=(refreshInterval:(display:Off,pause:!f,section:0,value:0),time:(from:'2017-08-20T15:05:03-0600',mode:absolute,to:'2017-08-20T17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9" s="197" t="str">
        <f>IF(AA219&lt;VLOOKUP(AG219,Variables!$AC$3:$AD$8,2,FALSE),"Y","N")</f>
        <v>Y</v>
      </c>
      <c r="X219" s="197">
        <f t="shared" si="113"/>
        <v>1</v>
      </c>
      <c r="Y219" s="197">
        <f t="shared" si="114"/>
        <v>0.14960000000000001</v>
      </c>
      <c r="Z219" s="197">
        <f t="shared" si="115"/>
        <v>2.3308</v>
      </c>
      <c r="AA219" s="197">
        <f t="shared" si="116"/>
        <v>2.1812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 t="shared" si="117"/>
        <v>75</v>
      </c>
      <c r="AE219" s="77" t="str">
        <f t="shared" si="118"/>
        <v>aws s3 cp s3://rtdc.mdm.uploadarchive.raw/RTDC4002/ "%USERPROFILE%\AppData\Local\Temp\OnboardLogs"\RTDC4002\2017-08-20 --exclude "*" --recursive --include "*20170820*" &amp; "%USERPROFILE%\Documents\GitHub\mrs-test-scripts\Headless Mode &amp; Sideloading\WalkAndUnGZ.bat" "%USERPROFILE%\AppData\Local\Temp\OnboardLogs"\RTDC4002\2017-08-20 &amp; aws s3 cp s3://rtdc.mdm.uploadarchive.raw/RTDC4002/ "%USERPROFILE%\AppData\Local\Temp\OnboardLogs"\RTDC4002\2017-08-21 --exclude "*" --recursive --include "*20170821*" &amp; "%USERPROFILE%\Documents\GitHub\mrs-test-scripts\Headless Mode &amp; Sideloading\WalkAndUnGZ.bat" "%USERPROFILE%\AppData\Local\Temp\OnboardLogs"\RTDC4002\2017-08-21</v>
      </c>
      <c r="AF219" s="74" t="str">
        <f t="shared" si="119"/>
        <v>"C:\Program Files (x86)\AstroGrep\AstroGrep.exe" /e /r /s /spath="%USERPROFILE%\AppData\Local\Temp\OnboardLogs" /stypes="app*4002*20170820*" /stext=" 22:.+((SYSTEM_STATE.+slice.+state.+changed )|(ment ac)|(multiple cpu faults)|(system.+state.+changed )|(\[timeout)|(PRM\|1\|D)|(kpr)|(kdp)|(train st.+moving)|(\|lc)|(penalty))"</v>
      </c>
      <c r="AG219" s="209" t="str">
        <f t="shared" si="120"/>
        <v>Shuttle/Test</v>
      </c>
      <c r="AH219" s="78" t="str">
        <f t="shared" si="121"/>
        <v>"%USERPROFILE%\Documents\GitHub\eaglep3\Utilities\RefineRTDCRunTimes.py" --tripid 75-20 --locoid 4002 --swversion DE.1.0.9.0 --startMP 204:1496 --initTime 2017-08-20T16:05:03 --startdatetime 2017-08-20T16:25:15 --delay 1 --endMP 300:23308 --enddatetime 2017-08-20T16:34:19 --enforcementcount 0 &gt;&gt;C:\Users\stu\Documents\GitHub\eaglep3-reporting\EC\2017-08-20-refined-times.txt</v>
      </c>
      <c r="AI219" s="96" t="str">
        <f t="shared" si="122"/>
        <v>echo {"issue":{"subject":"","project_id":79,"tracker_id":40,"status_id":1,"priority_id":2,"assigned_to_id":23,"start_date":"2017-08-20","description":"","custom_fields":[{"id":1,"name":"Subdivision","value":"Shuttle/Test"},{"id":4,"name":"Milepost","value":"2.3308"},{"id":17,"name":"Train ID","value":"75-20"},{"id":16,"name":"Locomotive ID","value":"4002"},{"id":130,"name":"Impact","value":""},{"id":150,"name":"Time of Event (Mountain Time)","value":"16:34:19"},{"id":151,"name":"Denver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23"/>
        <v>start /low /b %USERPROFILE%\Documents\GitHub\eaglep3\Utilities\DownloadLogsFromS3.py --loco 4002 --day 2017-08-20</v>
      </c>
      <c r="AN219" s="151" t="str">
        <f t="shared" si="12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22:34:19"},{"id":29,"name":"Sharepoint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4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4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4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4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4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4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4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4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4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</sheetData>
  <autoFilter ref="A12:AG260">
    <sortState ref="A13:AG260">
      <sortCondition ref="AG13:AG219"/>
      <sortCondition ref="AD13:AD219"/>
    </sortState>
  </autoFilter>
  <sortState ref="A13:AN215">
    <sortCondition ref="AG13:AG215"/>
    <sortCondition ref="AD13:AD215"/>
  </sortState>
  <mergeCells count="1">
    <mergeCell ref="A11:P11"/>
  </mergeCells>
  <conditionalFormatting sqref="W11:W12 W266:X1048576 W13:X219">
    <cfRule type="cellIs" dxfId="10" priority="415" operator="equal">
      <formula>"Y"</formula>
    </cfRule>
  </conditionalFormatting>
  <conditionalFormatting sqref="X266:X1048576 X13:X219">
    <cfRule type="cellIs" dxfId="9" priority="398" operator="greaterThan">
      <formula>1</formula>
    </cfRule>
  </conditionalFormatting>
  <conditionalFormatting sqref="X266:X1048576 X12:X219">
    <cfRule type="cellIs" dxfId="8" priority="395" operator="equal">
      <formula>0</formula>
    </cfRule>
  </conditionalFormatting>
  <conditionalFormatting sqref="A13:S219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P57" sqref="P5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COUNTIF($O$7:$O$258,"=Y")</f>
        <v>8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COUNTA($O$7:$O$258)-O2</f>
        <v>44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- 2017-08-20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379</v>
      </c>
      <c r="X6" s="208" t="s">
        <v>372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42967.569363425922</v>
      </c>
      <c r="B7" s="30" t="s">
        <v>352</v>
      </c>
      <c r="C7" s="30" t="s">
        <v>543</v>
      </c>
      <c r="D7" s="30" t="s">
        <v>49</v>
      </c>
      <c r="E7" s="30" t="s">
        <v>187</v>
      </c>
      <c r="F7" s="42">
        <v>50</v>
      </c>
      <c r="G7" s="42">
        <v>114</v>
      </c>
      <c r="H7" s="42">
        <v>33050</v>
      </c>
      <c r="I7" s="42">
        <v>33167</v>
      </c>
      <c r="J7" s="30" t="s">
        <v>188</v>
      </c>
      <c r="K7" s="42">
        <v>33137</v>
      </c>
      <c r="L7" s="131" t="s">
        <v>50</v>
      </c>
      <c r="M7" s="132">
        <f t="shared" ref="M7:M37" si="0">CONVERT((I7-K7)/10000,"mi","ft")*IF(L7="Increasing Mileposts (1)",-1,1)</f>
        <v>-15.84</v>
      </c>
      <c r="N7" s="133" t="str">
        <f>VLOOKUP(C7,'Trips&amp;Operators'!$C$1:$G$99911,5,FALSE)</f>
        <v>BRUDER RICHARD</v>
      </c>
      <c r="O7" s="203" t="s">
        <v>180</v>
      </c>
      <c r="P7" s="134" t="s">
        <v>418</v>
      </c>
      <c r="Q7" s="30"/>
      <c r="R7" s="81" t="str">
        <f>VLOOKUP(C7,'Train Runs'!$A$13:$AE$9919,31,0)</f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S7" s="84" t="str">
        <f>VLOOKUP(C7,'Train Runs'!$A$13:$AE$9919,22,0)</f>
        <v>https://d0f6bd738d7f1b3e5a7ca70fe4ff75f0.us-east-1.aws.found.io/app/kibana#/discover/Steve-Slow-Train-Analysis-(2080s-and-2083s)?_g=(refreshInterval:(display:Off,pause:!f,section:0,value:0),time:(from:'2017-08-20T12:25:02-0600',mode:absolute,to:'2017-08-20T14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7" s="86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/stypes="*4014*201708201*" /stext=" 19:.+((SYSTEM_STATE.+slice.+state.+changed )|(ment ac)|(multiple cpu faults)|(system.+state.+changed )|(\[timeout)|(PRM\|1\|D)|(kpr)|(kdp)|(train st.+moving)|(\|lc)|(penalty))"</v>
      </c>
      <c r="U7" s="9" t="str">
        <f t="shared" ref="U7:U37" si="2">MID(B7,13,4)</f>
        <v>4014</v>
      </c>
      <c r="V7" s="31">
        <f t="shared" ref="V7:V37" si="3">A7-utc_offset/24</f>
        <v>42967.819363425922</v>
      </c>
      <c r="W7" s="45" t="str">
        <f t="shared" ref="W7:W37" si="4">DetSubdiv(C7)</f>
        <v>EC</v>
      </c>
      <c r="X7" s="22">
        <f t="shared" ref="X7:X37" si="5">VALUE(LEFT(C7,LEN(C7)-3))</f>
        <v>179</v>
      </c>
      <c r="Y7" s="96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Arrival","project_id":79,"tracker_id":40,"status_id":1,"priority_id":2,"assigned_to_id":23,"start_date":"2017-08-20","description":"","custom_fields":[{"id":1,"name":"Subdivision","value":"EC"},{"id":4,"name":"Milepost","value":"3.3137"},{"id":17,"name":"Train ID","value":"179-20"},{"id":16,"name":"Locomotive ID","value":"4014"},{"id":130,"name":"Impact","value":""},{"id":150,"name":"Time of Event (Mountain Time)","value":"13:39:53"},{"id":151,"name":"Denver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/c/Users/stu/AppData/Local/Temp/OnboardLogs/RTDC4014 --include="*4014*201708201*"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"%USERPROFILE%\AppData\Local\Temp\OnboardLogs"\RTDC4014\*4014*201708201* &gt;&gt; 2017-08-20-SliceDisagreementCheck.txt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4014 --day 2017-08-20</v>
      </c>
    </row>
    <row r="8" spans="1:32" s="1" customFormat="1" x14ac:dyDescent="0.25">
      <c r="A8" s="31">
        <v>42967.56894675926</v>
      </c>
      <c r="B8" s="30" t="s">
        <v>352</v>
      </c>
      <c r="C8" s="30" t="s">
        <v>543</v>
      </c>
      <c r="D8" s="30" t="s">
        <v>49</v>
      </c>
      <c r="E8" s="30" t="s">
        <v>187</v>
      </c>
      <c r="F8" s="42">
        <v>330</v>
      </c>
      <c r="G8" s="42">
        <v>382</v>
      </c>
      <c r="H8" s="42">
        <v>31989</v>
      </c>
      <c r="I8" s="42">
        <v>32923</v>
      </c>
      <c r="J8" s="30" t="s">
        <v>188</v>
      </c>
      <c r="K8" s="42">
        <v>33137</v>
      </c>
      <c r="L8" s="131" t="s">
        <v>50</v>
      </c>
      <c r="M8" s="132">
        <f t="shared" si="0"/>
        <v>112.992</v>
      </c>
      <c r="N8" s="133" t="str">
        <f>VLOOKUP(C8,'Trips&amp;Operators'!$C$1:$G$99911,5,FALSE)</f>
        <v>BRUDER RICHARD</v>
      </c>
      <c r="O8" s="203" t="s">
        <v>180</v>
      </c>
      <c r="P8" s="134" t="s">
        <v>418</v>
      </c>
      <c r="Q8" s="30"/>
      <c r="R8" s="81" t="str">
        <f>VLOOKUP(C8,'Train Runs'!$A$13:$AE$9919,31,0)</f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S8" s="84" t="str">
        <f>VLOOKUP(C8,'Train Runs'!$A$13:$AE$9919,22,0)</f>
        <v>https://d0f6bd738d7f1b3e5a7ca70fe4ff75f0.us-east-1.aws.found.io/app/kibana#/discover/Steve-Slow-Train-Analysis-(2080s-and-2083s)?_g=(refreshInterval:(display:Off,pause:!f,section:0,value:0),time:(from:'2017-08-20T12:25:02-0600',mode:absolute,to:'2017-08-20T14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8" s="86" t="str">
        <f t="shared" si="1"/>
        <v>"C:\Program Files (x86)\AstroGrep\AstroGrep.exe" /e /r /s /spath="%USERPROFILE%\AppData\Local\Temp\OnboardLogs" /stypes="*4014*201708201*" /stext=" 19:.+((SYSTEM_STATE.+slice.+state.+changed )|(ment ac)|(multiple cpu faults)|(system.+state.+changed )|(\[timeout)|(PRM\|1\|D)|(kpr)|(kdp)|(train st.+moving)|(\|lc)|(penalty))"</v>
      </c>
      <c r="U8" s="9" t="str">
        <f t="shared" si="2"/>
        <v>4014</v>
      </c>
      <c r="V8" s="31">
        <f t="shared" si="3"/>
        <v>42967.81894675926</v>
      </c>
      <c r="W8" s="45" t="str">
        <f t="shared" si="4"/>
        <v>EC</v>
      </c>
      <c r="X8" s="22">
        <f t="shared" si="5"/>
        <v>179</v>
      </c>
      <c r="Y8" s="96" t="str">
        <f t="shared" si="6"/>
        <v>echo {"issue":{"subject":"Early Arrival","project_id":79,"tracker_id":40,"status_id":1,"priority_id":2,"assigned_to_id":23,"start_date":"2017-08-20","description":"","custom_fields":[{"id":1,"name":"Subdivision","value":"EC"},{"id":4,"name":"Milepost","value":"3.3137"},{"id":17,"name":"Train ID","value":"179-20"},{"id":16,"name":"Locomotive ID","value":"4014"},{"id":130,"name":"Impact","value":""},{"id":150,"name":"Time of Event (Mountain Time)","value":"13:39:17"},{"id":151,"name":"Denver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/c/Users/stu/AppData/Local/Temp/OnboardLogs/RTDC4014 --include="*4014*201708201*"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"%USERPROFILE%\AppData\Local\Temp\OnboardLogs"\RTDC4014\*4014*201708201* &gt;&gt; 2017-08-20-SliceDisagreementCheck.txt</v>
      </c>
      <c r="AE8" s="145" t="str">
        <f t="shared" ref="AE8:AE58" si="9">"start /low /b "&amp;dls3logs&amp;" --loco "&amp;U8&amp;" --day "&amp;TEXT(V8,"YYYY-MM-DD")</f>
        <v>start /low /b %USERPROFILE%\Documents\GitHub\eaglep3\Utilities\DownloadLogsFromS3.py --loco 4014 --day 2017-08-20</v>
      </c>
    </row>
    <row r="9" spans="1:32" s="1" customFormat="1" x14ac:dyDescent="0.25">
      <c r="A9" s="31">
        <v>42967.424687500003</v>
      </c>
      <c r="B9" s="30" t="s">
        <v>409</v>
      </c>
      <c r="C9" s="30" t="s">
        <v>533</v>
      </c>
      <c r="D9" s="30" t="s">
        <v>49</v>
      </c>
      <c r="E9" s="30" t="s">
        <v>187</v>
      </c>
      <c r="F9" s="42">
        <v>0</v>
      </c>
      <c r="G9" s="42">
        <v>201</v>
      </c>
      <c r="H9" s="42">
        <v>33339</v>
      </c>
      <c r="I9" s="42">
        <v>33151</v>
      </c>
      <c r="J9" s="30" t="s">
        <v>188</v>
      </c>
      <c r="K9" s="42">
        <v>33257</v>
      </c>
      <c r="L9" s="131" t="s">
        <v>51</v>
      </c>
      <c r="M9" s="132">
        <f t="shared" si="0"/>
        <v>-55.968000000000004</v>
      </c>
      <c r="N9" s="133" t="str">
        <f>VLOOKUP(C9,'Trips&amp;Operators'!$C$1:$G$99911,5,FALSE)</f>
        <v>ALONZO MATTHEW</v>
      </c>
      <c r="O9" s="203" t="s">
        <v>180</v>
      </c>
      <c r="P9" s="134" t="s">
        <v>418</v>
      </c>
      <c r="Q9" s="30"/>
      <c r="R9" s="81" t="str">
        <f>VLOOKUP(C9,'Train Runs'!$A$13:$AE$9919,31,0)</f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S9" s="84" t="str">
        <f>VLOOKUP(C9,'Train Runs'!$A$13:$AE$9919,22,0)</f>
        <v>https://d0f6bd738d7f1b3e5a7ca70fe4ff75f0.us-east-1.aws.found.io/app/kibana#/discover/Steve-Slow-Train-Analysis-(2080s-and-2083s)?_g=(refreshInterval:(display:Off,pause:!f,section:0,value:0),time:(from:'2017-08-20T08:38:44-0600',mode:absolute,to:'2017-08-20T11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9" s="86" t="str">
        <f t="shared" si="1"/>
        <v>"C:\Program Files (x86)\AstroGrep\AstroGrep.exe" /e /r /s /spath="%USERPROFILE%\AppData\Local\Temp\OnboardLogs" /stypes="*4015*201708201*"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4015</v>
      </c>
      <c r="V9" s="31">
        <f t="shared" si="3"/>
        <v>42967.674687500003</v>
      </c>
      <c r="W9" s="45" t="str">
        <f t="shared" si="4"/>
        <v>EC</v>
      </c>
      <c r="X9" s="22">
        <f t="shared" si="5"/>
        <v>142</v>
      </c>
      <c r="Y9" s="96" t="str">
        <f t="shared" si="6"/>
        <v>echo {"issue":{"subject":"Early Arrival","project_id":79,"tracker_id":40,"status_id":1,"priority_id":2,"assigned_to_id":23,"start_date":"2017-08-20","description":"","custom_fields":[{"id":1,"name":"Subdivision","value":"EC"},{"id":4,"name":"Milepost","value":"3.3257"},{"id":17,"name":"Train ID","value":"142-20"},{"id":16,"name":"Locomotive ID","value":"4015"},{"id":130,"name":"Impact","value":""},{"id":150,"name":"Time of Event (Mountain Time)","value":"10:11:33"},{"id":151,"name":"Denver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/c/Users/stu/AppData/Local/Temp/OnboardLogs/RTDC4015 --include="*4015*201708201*"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"%USERPROFILE%\AppData\Local\Temp\OnboardLogs"\RTDC4015\*4015*201708201* &gt;&gt; 2017-08-20-SliceDisagreementCheck.txt</v>
      </c>
      <c r="AE9" s="145" t="str">
        <f t="shared" si="9"/>
        <v>start /low /b %USERPROFILE%\Documents\GitHub\eaglep3\Utilities\DownloadLogsFromS3.py --loco 4015 --day 2017-08-20</v>
      </c>
    </row>
    <row r="10" spans="1:32" s="1" customFormat="1" x14ac:dyDescent="0.25">
      <c r="A10" s="31">
        <v>42967.657453703701</v>
      </c>
      <c r="B10" s="30" t="s">
        <v>536</v>
      </c>
      <c r="C10" s="30" t="s">
        <v>548</v>
      </c>
      <c r="D10" s="30" t="s">
        <v>96</v>
      </c>
      <c r="E10" s="30" t="s">
        <v>187</v>
      </c>
      <c r="F10" s="42">
        <v>0</v>
      </c>
      <c r="G10" s="42">
        <v>347</v>
      </c>
      <c r="H10" s="42">
        <v>33225</v>
      </c>
      <c r="I10" s="42">
        <v>32444</v>
      </c>
      <c r="J10" s="30" t="s">
        <v>188</v>
      </c>
      <c r="K10" s="42">
        <v>33257</v>
      </c>
      <c r="L10" s="131" t="s">
        <v>51</v>
      </c>
      <c r="M10" s="132">
        <f t="shared" si="0"/>
        <v>-429.26400000000001</v>
      </c>
      <c r="N10" s="133" t="str">
        <f>VLOOKUP(C10,'Trips&amp;Operators'!$C$1:$G$99911,5,FALSE)</f>
        <v>ROMERO CHAD</v>
      </c>
      <c r="O10" s="203" t="s">
        <v>180</v>
      </c>
      <c r="P10" s="134" t="s">
        <v>418</v>
      </c>
      <c r="Q10" s="30"/>
      <c r="R10" s="81" t="str">
        <f>VLOOKUP(C10,'Train Runs'!$A$13:$AE$9919,31,0)</f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S10" s="84" t="str">
        <f>VLOOKUP(C10,'Train Runs'!$A$13:$AE$9919,22,0)</f>
        <v>https://d0f6bd738d7f1b3e5a7ca70fe4ff75f0.us-east-1.aws.found.io/app/kibana#/discover/Steve-Slow-Train-Analysis-(2080s-and-2083s)?_g=(refreshInterval:(display:Off,pause:!f,section:0,value:0),time:(from:'2017-08-20T13:53:20-0600',mode:absolute,to:'2017-08-20T16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86" t="str">
        <f t="shared" si="1"/>
        <v>"C:\Program Files (x86)\AstroGrep\AstroGrep.exe" /e /r /s /spath="%USERPROFILE%\AppData\Local\Temp\OnboardLogs" /stypes="*4053*201708202*"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4053</v>
      </c>
      <c r="V10" s="31">
        <f t="shared" si="3"/>
        <v>42967.907453703701</v>
      </c>
      <c r="W10" s="45" t="str">
        <f t="shared" si="4"/>
        <v>EC</v>
      </c>
      <c r="X10" s="22">
        <f t="shared" si="5"/>
        <v>186</v>
      </c>
      <c r="Y10" s="96" t="str">
        <f t="shared" si="6"/>
        <v>echo {"issue":{"subject":"Early Arrival","project_id":79,"tracker_id":40,"status_id":1,"priority_id":2,"assigned_to_id":23,"start_date":"2017-08-20","description":"","custom_fields":[{"id":1,"name":"Subdivision","value":"EC"},{"id":4,"name":"Milepost","value":"3.3257"},{"id":17,"name":"Train ID","value":"186-20"},{"id":16,"name":"Locomotive ID","value":"4053"},{"id":130,"name":"Impact","value":""},{"id":150,"name":"Time of Event (Mountain Time)","value":"15:46:44"},{"id":151,"name":"Denver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/c/Users/stu/AppData/Local/Temp/OnboardLogs/RTDC4053 --include="*4053*201708202*"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"%USERPROFILE%\AppData\Local\Temp\OnboardLogs"\RTDC4053\*4053*201708202* &gt;&gt; 2017-08-20-SliceDisagreementCheck.txt</v>
      </c>
      <c r="AE10" s="145" t="str">
        <f t="shared" si="9"/>
        <v>start /low /b %USERPROFILE%\Documents\GitHub\eaglep3\Utilities\DownloadLogsFromS3.py --loco 4053 --day 2017-08-20</v>
      </c>
    </row>
    <row r="11" spans="1:32" s="1" customFormat="1" x14ac:dyDescent="0.25">
      <c r="A11" s="31">
        <v>42967.666261574072</v>
      </c>
      <c r="B11" s="30" t="s">
        <v>421</v>
      </c>
      <c r="C11" s="30" t="s">
        <v>549</v>
      </c>
      <c r="D11" s="30" t="s">
        <v>49</v>
      </c>
      <c r="E11" s="30" t="s">
        <v>187</v>
      </c>
      <c r="F11" s="42">
        <v>0</v>
      </c>
      <c r="G11" s="42">
        <v>507</v>
      </c>
      <c r="H11" s="42">
        <v>62481</v>
      </c>
      <c r="I11" s="42">
        <v>63824</v>
      </c>
      <c r="J11" s="30" t="s">
        <v>188</v>
      </c>
      <c r="K11" s="42">
        <v>63069</v>
      </c>
      <c r="L11" s="131" t="s">
        <v>50</v>
      </c>
      <c r="M11" s="132">
        <f t="shared" si="0"/>
        <v>-398.64</v>
      </c>
      <c r="N11" s="133" t="str">
        <f>VLOOKUP(C11,'Trips&amp;Operators'!$C$1:$G$99911,5,FALSE)</f>
        <v>BADERTSCHER DIANE</v>
      </c>
      <c r="O11" s="203" t="s">
        <v>180</v>
      </c>
      <c r="P11" s="134" t="s">
        <v>418</v>
      </c>
      <c r="Q11" s="30"/>
      <c r="R11" s="81" t="str">
        <f>VLOOKUP(C11,'Train Runs'!$A$13:$AE$9919,31,0)</f>
        <v>aws s3 cp s3://rtdc.mdm.uploadarchive.raw/RTDC4016/ "%USERPROFILE%\AppData\Local\Temp\OnboardLogs"\RTDC4016\2017-08-20 --exclude "*" --recursive --include "*20170820*" &amp; "%USERPROFILE%\Documents\GitHub\mrs-test-scripts\Headless Mode &amp; Sideloading\WalkAndUnGZ.bat" "%USERPROFILE%\AppData\Local\Temp\OnboardLogs"\RTDC4016\2017-08-20 &amp; aws s3 cp s3://rtdc.mdm.uploadarchive.raw/RTDC4016/ "%USERPROFILE%\AppData\Local\Temp\OnboardLogs"\RTDC4016\2017-08-21 --exclude "*" --recursive --include "*20170821*" &amp; "%USERPROFILE%\Documents\GitHub\mrs-test-scripts\Headless Mode &amp; Sideloading\WalkAndUnGZ.bat" "%USERPROFILE%\AppData\Local\Temp\OnboardLogs"\RTDC4016\2017-08-21</v>
      </c>
      <c r="S11" s="84" t="str">
        <f>VLOOKUP(C11,'Train Runs'!$A$13:$AE$9919,22,0)</f>
        <v>https://d0f6bd738d7f1b3e5a7ca70fe4ff75f0.us-east-1.aws.found.io/app/kibana#/discover/Steve-Slow-Train-Analysis-(2080s-and-2083s)?_g=(refreshInterval:(display:Off,pause:!f,section:0,value:0),time:(from:'2017-08-20T14:44:41-0600',mode:absolute,to:'2017-08-20T17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1" s="86" t="str">
        <f t="shared" si="1"/>
        <v>"C:\Program Files (x86)\AstroGrep\AstroGrep.exe" /e /r /s /spath="%USERPROFILE%\AppData\Local\Temp\OnboardLogs" /stypes="*4016*201708202*"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4016</v>
      </c>
      <c r="V11" s="31">
        <f t="shared" si="3"/>
        <v>42967.916261574072</v>
      </c>
      <c r="W11" s="45" t="str">
        <f t="shared" si="4"/>
        <v>EC</v>
      </c>
      <c r="X11" s="22">
        <f t="shared" si="5"/>
        <v>197</v>
      </c>
      <c r="Y11" s="96" t="str">
        <f t="shared" si="6"/>
        <v>echo {"issue":{"subject":"Early Arrival","project_id":79,"tracker_id":40,"status_id":1,"priority_id":2,"assigned_to_id":23,"start_date":"2017-08-20","description":"","custom_fields":[{"id":1,"name":"Subdivision","value":"EC"},{"id":4,"name":"Milepost","value":"6.3069"},{"id":17,"name":"Train ID","value":"197-20"},{"id":16,"name":"Locomotive ID","value":"4016"},{"id":130,"name":"Impact","value":""},{"id":150,"name":"Time of Event (Mountain Time)","value":"15:59:25"},{"id":151,"name":"Denver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/c/Users/stu/AppData/Local/Temp/OnboardLogs/RTDC4016 --include="*4016*201708202*"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"%USERPROFILE%\AppData\Local\Temp\OnboardLogs"\RTDC4016\*4016*201708202* &gt;&gt; 2017-08-20-SliceDisagreementCheck.txt</v>
      </c>
      <c r="AE11" s="145" t="str">
        <f t="shared" si="9"/>
        <v>start /low /b %USERPROFILE%\Documents\GitHub\eaglep3\Utilities\DownloadLogsFromS3.py --loco 4016 --day 2017-08-20</v>
      </c>
    </row>
    <row r="12" spans="1:32" x14ac:dyDescent="0.25">
      <c r="A12" s="31">
        <v>42967.567291666666</v>
      </c>
      <c r="B12" s="30" t="s">
        <v>409</v>
      </c>
      <c r="C12" s="30" t="s">
        <v>544</v>
      </c>
      <c r="D12" s="30" t="s">
        <v>49</v>
      </c>
      <c r="E12" s="30" t="s">
        <v>187</v>
      </c>
      <c r="F12" s="42">
        <v>100</v>
      </c>
      <c r="G12" s="42">
        <v>161</v>
      </c>
      <c r="H12" s="42">
        <v>63997</v>
      </c>
      <c r="I12" s="42">
        <v>63742</v>
      </c>
      <c r="J12" s="30" t="s">
        <v>188</v>
      </c>
      <c r="K12" s="42">
        <v>63309</v>
      </c>
      <c r="L12" s="131" t="s">
        <v>51</v>
      </c>
      <c r="M12" s="132">
        <f t="shared" si="0"/>
        <v>228.624</v>
      </c>
      <c r="N12" s="133" t="str">
        <f>VLOOKUP(C12,'Trips&amp;Operators'!$C$1:$G$99911,5,FALSE)</f>
        <v>BADERTSCHER DIANE</v>
      </c>
      <c r="O12" s="203" t="s">
        <v>180</v>
      </c>
      <c r="P12" s="134" t="s">
        <v>418</v>
      </c>
      <c r="Q12" s="30"/>
      <c r="R12" s="81" t="str">
        <f>VLOOKUP(C12,'Train Runs'!$A$13:$AE$9919,31,0)</f>
        <v>aws s3 cp s3://rtdc.mdm.uploadarchive.raw/RTDC4015/ "%USERPROFILE%\AppData\Local\Temp\OnboardLogs"\RTDC4015\2017-08-20 --exclude "*" --recursive --include "*20170820*" &amp; "%USERPROFILE%\Documents\GitHub\mrs-test-scripts\Headless Mode &amp; Sideloading\WalkAndUnGZ.bat" "%USERPROFILE%\AppData\Local\Temp\OnboardLogs"\RTDC4015\2017-08-20 &amp; aws s3 cp s3://rtdc.mdm.uploadarchive.raw/RTDC4015/ "%USERPROFILE%\AppData\Local\Temp\OnboardLogs"\RTDC4015\2017-08-21 --exclude "*" --recursive --include "*20170821*" &amp; "%USERPROFILE%\Documents\GitHub\mrs-test-scripts\Headless Mode &amp; Sideloading\WalkAndUnGZ.bat" "%USERPROFILE%\AppData\Local\Temp\OnboardLogs"\RTDC4015\2017-08-21</v>
      </c>
      <c r="S12" s="84" t="str">
        <f>VLOOKUP(C12,'Train Runs'!$A$13:$AE$9919,22,0)</f>
        <v>https://d0f6bd738d7f1b3e5a7ca70fe4ff75f0.us-east-1.aws.found.io/app/kibana#/discover/Steve-Slow-Train-Analysis-(2080s-and-2083s)?_g=(refreshInterval:(display:Off,pause:!f,section:0,value:0),time:(from:'2017-08-20T12:03:53-0600',mode:absolute,to:'2017-08-20T14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86" t="str">
        <f t="shared" si="1"/>
        <v>"C:\Program Files (x86)\AstroGrep\AstroGrep.exe" /e /r /s /spath="%USERPROFILE%\AppData\Local\Temp\OnboardLogs" /stypes="*4015*201708201*"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4015</v>
      </c>
      <c r="V12" s="31">
        <f t="shared" si="3"/>
        <v>42967.817291666666</v>
      </c>
      <c r="W12" s="45" t="str">
        <f t="shared" si="4"/>
        <v>EC</v>
      </c>
      <c r="X12" s="22">
        <f t="shared" si="5"/>
        <v>170</v>
      </c>
      <c r="Y12" s="96" t="str">
        <f t="shared" si="6"/>
        <v>echo {"issue":{"subject":"Early Arrival","project_id":79,"tracker_id":40,"status_id":1,"priority_id":2,"assigned_to_id":23,"start_date":"2017-08-20","description":"","custom_fields":[{"id":1,"name":"Subdivision","value":"EC"},{"id":4,"name":"Milepost","value":"6.3309"},{"id":17,"name":"Train ID","value":"170-20"},{"id":16,"name":"Locomotive ID","value":"4015"},{"id":130,"name":"Impact","value":""},{"id":150,"name":"Time of Event (Mountain Time)","value":"13:36:54"},{"id":151,"name":"Denver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/c/Users/stu/AppData/Local/Temp/OnboardLogs/RTDC4015 --include="*4015*201708201*"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"%USERPROFILE%\AppData\Local\Temp\OnboardLogs"\RTDC4015\*4015*201708201* &gt;&gt; 2017-08-20-SliceDisagreementCheck.txt</v>
      </c>
      <c r="AE12" s="145" t="str">
        <f t="shared" si="9"/>
        <v>start /low /b %USERPROFILE%\Documents\GitHub\eaglep3\Utilities\DownloadLogsFromS3.py --loco 4015 --day 2017-08-20</v>
      </c>
      <c r="AF12" s="1"/>
    </row>
    <row r="13" spans="1:32" x14ac:dyDescent="0.25">
      <c r="A13" s="31">
        <v>42967.543414351851</v>
      </c>
      <c r="B13" s="30" t="s">
        <v>382</v>
      </c>
      <c r="C13" s="30" t="s">
        <v>542</v>
      </c>
      <c r="D13" s="30" t="s">
        <v>49</v>
      </c>
      <c r="E13" s="30" t="s">
        <v>196</v>
      </c>
      <c r="F13" s="42">
        <v>450</v>
      </c>
      <c r="G13" s="42">
        <v>501</v>
      </c>
      <c r="H13" s="42">
        <v>17207</v>
      </c>
      <c r="I13" s="42">
        <v>13951</v>
      </c>
      <c r="J13" s="30" t="s">
        <v>197</v>
      </c>
      <c r="K13" s="42">
        <v>15167</v>
      </c>
      <c r="L13" s="131" t="s">
        <v>51</v>
      </c>
      <c r="M13" s="132">
        <f t="shared" si="0"/>
        <v>-642.048</v>
      </c>
      <c r="N13" s="133" t="str">
        <f>VLOOKUP(C13,'Trips&amp;Operators'!$C$1:$G$99911,5,FALSE)</f>
        <v>THOMPSON LESTER</v>
      </c>
      <c r="O13" s="203" t="s">
        <v>180</v>
      </c>
      <c r="P13" s="134"/>
      <c r="Q13" s="30"/>
      <c r="R13" s="81" t="str">
        <f>VLOOKUP(C13,'Train Runs'!$A$13:$AE$9919,31,0)</f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S13" s="84" t="str">
        <f>VLOOKUP(C13,'Train Runs'!$A$13:$AE$9919,22,0)</f>
        <v>https://d0f6bd738d7f1b3e5a7ca70fe4ff75f0.us-east-1.aws.found.io/app/kibana#/discover/Steve-Slow-Train-Analysis-(2080s-and-2083s)?_g=(refreshInterval:(display:Off,pause:!f,section:0,value:0),time:(from:'2017-08-20T11:24:51-0600',mode:absolute,to:'2017-08-20T14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3" s="86" t="str">
        <f t="shared" si="1"/>
        <v>"C:\Program Files (x86)\AstroGrep\AstroGrep.exe" /e /r /s /spath="%USERPROFILE%\AppData\Local\Temp\OnboardLogs" /stypes="*4017*201708201*"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4017</v>
      </c>
      <c r="V13" s="31">
        <f t="shared" si="3"/>
        <v>42967.793414351851</v>
      </c>
      <c r="W13" s="45" t="str">
        <f t="shared" si="4"/>
        <v>EC</v>
      </c>
      <c r="X13" s="22">
        <f t="shared" si="5"/>
        <v>164</v>
      </c>
      <c r="Y13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{"issue":{"subject":"","project_id":79,"tracker_id":40,"status_id":1,"priority_id":2,"assigned_to_id":23,"start_date":"2017-08-20","description":"","custom_fields":[{"id":1,"name":"Subdivision","value":"EC"},{"id":4,"name":"Milepost","value":"1.5167"},{"id":17,"name":"Train ID","value":"164-20"},{"id":16,"name":"Locomotive ID","value":"4017"},{"id":130,"name":"Impact","value":""},{"id":150,"name":"Time of Event (Mountain Time)","value":"13:02:31"},{"id":151,"name":"Denver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/c/Users/stu/AppData/Local/Temp/OnboardLogs/RTDC4017 --include="*4017*201708201*"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"%USERPROFILE%\AppData\Local\Temp\OnboardLogs"\RTDC4017\*4017*201708201* &gt;&gt; 2017-08-20-SliceDisagreementCheck.txt</v>
      </c>
      <c r="AE13" s="145" t="str">
        <f t="shared" si="9"/>
        <v>start /low /b %USERPROFILE%\Documents\GitHub\eaglep3\Utilities\DownloadLogsFromS3.py --loco 4017 --day 2017-08-20</v>
      </c>
      <c r="AF13" s="1"/>
    </row>
    <row r="14" spans="1:32" x14ac:dyDescent="0.25">
      <c r="A14" s="31">
        <v>42967.659490740742</v>
      </c>
      <c r="B14" s="30" t="s">
        <v>536</v>
      </c>
      <c r="C14" s="30" t="s">
        <v>548</v>
      </c>
      <c r="D14" s="30" t="s">
        <v>49</v>
      </c>
      <c r="E14" s="30" t="s">
        <v>196</v>
      </c>
      <c r="F14" s="42">
        <v>300</v>
      </c>
      <c r="G14" s="42">
        <v>458</v>
      </c>
      <c r="H14" s="42">
        <v>23702</v>
      </c>
      <c r="I14" s="42">
        <v>22407</v>
      </c>
      <c r="J14" s="30" t="s">
        <v>197</v>
      </c>
      <c r="K14" s="42">
        <v>21848</v>
      </c>
      <c r="L14" s="131" t="s">
        <v>51</v>
      </c>
      <c r="M14" s="132">
        <f t="shared" si="0"/>
        <v>295.15199999999999</v>
      </c>
      <c r="N14" s="133" t="str">
        <f>VLOOKUP(C14,'Trips&amp;Operators'!$C$1:$G$99911,5,FALSE)</f>
        <v>ROMERO CHAD</v>
      </c>
      <c r="O14" s="203" t="s">
        <v>180</v>
      </c>
      <c r="P14" s="134"/>
      <c r="Q14" s="30"/>
      <c r="R14" s="81" t="str">
        <f>VLOOKUP(C14,'Train Runs'!$A$13:$AE$9919,31,0)</f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S14" s="84" t="str">
        <f>VLOOKUP(C14,'Train Runs'!$A$13:$AE$9919,22,0)</f>
        <v>https://d0f6bd738d7f1b3e5a7ca70fe4ff75f0.us-east-1.aws.found.io/app/kibana#/discover/Steve-Slow-Train-Analysis-(2080s-and-2083s)?_g=(refreshInterval:(display:Off,pause:!f,section:0,value:0),time:(from:'2017-08-20T13:53:20-0600',mode:absolute,to:'2017-08-20T16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4" s="86" t="str">
        <f t="shared" si="1"/>
        <v>"C:\Program Files (x86)\AstroGrep\AstroGrep.exe" /e /r /s /spath="%USERPROFILE%\AppData\Local\Temp\OnboardLogs" /stypes="*4053*201708202*"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4053</v>
      </c>
      <c r="V14" s="31">
        <f t="shared" si="3"/>
        <v>42967.909490740742</v>
      </c>
      <c r="W14" s="45" t="str">
        <f t="shared" si="4"/>
        <v>EC</v>
      </c>
      <c r="X14" s="22">
        <f t="shared" si="5"/>
        <v>186</v>
      </c>
      <c r="Y14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{"issue":{"subject":"","project_id":79,"tracker_id":40,"status_id":1,"priority_id":2,"assigned_to_id":23,"start_date":"2017-08-20","description":"","custom_fields":[{"id":1,"name":"Subdivision","value":"EC"},{"id":4,"name":"Milepost","value":"2.1848"},{"id":17,"name":"Train ID","value":"186-20"},{"id":16,"name":"Locomotive ID","value":"4053"},{"id":130,"name":"Impact","value":""},{"id":150,"name":"Time of Event (Mountain Time)","value":"15:49:40"},{"id":151,"name":"Denver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/c/Users/stu/AppData/Local/Temp/OnboardLogs/RTDC4053 --include="*4053*201708202*"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"%USERPROFILE%\AppData\Local\Temp\OnboardLogs"\RTDC4053\*4053*201708202* &gt;&gt; 2017-08-20-SliceDisagreementCheck.txt</v>
      </c>
      <c r="AE14" s="145" t="str">
        <f t="shared" si="9"/>
        <v>start /low /b %USERPROFILE%\Documents\GitHub\eaglep3\Utilities\DownloadLogsFromS3.py --loco 4053 --day 2017-08-20</v>
      </c>
      <c r="AF14" s="1"/>
    </row>
    <row r="15" spans="1:32" x14ac:dyDescent="0.25">
      <c r="A15" s="31">
        <v>42967.496747685182</v>
      </c>
      <c r="B15" s="30" t="s">
        <v>536</v>
      </c>
      <c r="C15" s="30" t="s">
        <v>537</v>
      </c>
      <c r="D15" s="30" t="s">
        <v>96</v>
      </c>
      <c r="E15" s="30" t="s">
        <v>196</v>
      </c>
      <c r="F15" s="42">
        <v>700</v>
      </c>
      <c r="G15" s="42">
        <v>750</v>
      </c>
      <c r="H15" s="42">
        <v>167198</v>
      </c>
      <c r="I15" s="42">
        <v>163738</v>
      </c>
      <c r="J15" s="30" t="s">
        <v>197</v>
      </c>
      <c r="K15" s="42">
        <v>183829</v>
      </c>
      <c r="L15" s="131" t="s">
        <v>51</v>
      </c>
      <c r="M15" s="132">
        <f t="shared" si="0"/>
        <v>-10608.048000000001</v>
      </c>
      <c r="N15" s="133" t="str">
        <f>VLOOKUP(C15,'Trips&amp;Operators'!$C$1:$G$99911,5,FALSE)</f>
        <v>ROMERO CHAD</v>
      </c>
      <c r="O15" s="203" t="s">
        <v>180</v>
      </c>
      <c r="P15" s="134"/>
      <c r="Q15" s="30"/>
      <c r="R15" s="81" t="str">
        <f>VLOOKUP(C15,'Train Runs'!$A$13:$AE$9919,31,0)</f>
        <v>aws s3 cp s3://rtdc.mdm.uploadarchive.raw/RTDC4053/ "%USERPROFILE%\AppData\Local\Temp\OnboardLogs"\RTDC4053\2017-08-20 --exclude "*" --recursive --include "*20170820*" &amp; "%USERPROFILE%\Documents\GitHub\mrs-test-scripts\Headless Mode &amp; Sideloading\WalkAndUnGZ.bat" "%USERPROFILE%\AppData\Local\Temp\OnboardLogs"\RTDC4053\2017-08-20 &amp; aws s3 cp s3://rtdc.mdm.uploadarchive.raw/RTDC4053/ "%USERPROFILE%\AppData\Local\Temp\OnboardLogs"\RTDC4053\2017-08-21 --exclude "*" --recursive --include "*20170821*" &amp; "%USERPROFILE%\Documents\GitHub\mrs-test-scripts\Headless Mode &amp; Sideloading\WalkAndUnGZ.bat" "%USERPROFILE%\AppData\Local\Temp\OnboardLogs"\RTDC4053\2017-08-21</v>
      </c>
      <c r="S15" s="84" t="str">
        <f>VLOOKUP(C15,'Train Runs'!$A$13:$AE$9919,22,0)</f>
        <v>https://d0f6bd738d7f1b3e5a7ca70fe4ff75f0.us-east-1.aws.found.io/app/kibana#/discover/Steve-Slow-Train-Analysis-(2080s-and-2083s)?_g=(refreshInterval:(display:Off,pause:!f,section:0,value:0),time:(from:'2017-08-20T10:22:11-0600',mode:absolute,to:'2017-08-20T13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86" t="str">
        <f t="shared" si="1"/>
        <v>"C:\Program Files (x86)\AstroGrep\AstroGrep.exe" /e /r /s /spath="%USERPROFILE%\AppData\Local\Temp\OnboardLogs" /stypes="*4053*201708201*"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4053</v>
      </c>
      <c r="V15" s="31">
        <f t="shared" si="3"/>
        <v>42967.746747685182</v>
      </c>
      <c r="W15" s="45" t="str">
        <f t="shared" si="4"/>
        <v>EC</v>
      </c>
      <c r="X15" s="22">
        <f t="shared" si="5"/>
        <v>158</v>
      </c>
      <c r="Y15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{"issue":{"subject":"","project_id":79,"tracker_id":40,"status_id":1,"priority_id":2,"assigned_to_id":23,"start_date":"2017-08-20","description":"","custom_fields":[{"id":1,"name":"Subdivision","value":"EC"},{"id":4,"name":"Milepost","value":"18.3829"},{"id":17,"name":"Train ID","value":"158-20"},{"id":16,"name":"Locomotive ID","value":"4053"},{"id":130,"name":"Impact","value":""},{"id":150,"name":"Time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/c/Users/stu/AppData/Local/Temp/OnboardLogs/RTDC4053 --include="*4053*201708201*"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"%USERPROFILE%\AppData\Local\Temp\OnboardLogs"\RTDC4053\*4053*201708201* &gt;&gt; 2017-08-20-SliceDisagreementCheck.txt</v>
      </c>
      <c r="AE15" s="145" t="str">
        <f t="shared" si="9"/>
        <v>start /low /b %USERPROFILE%\Documents\GitHub\eaglep3\Utilities\DownloadLogsFromS3.py --loco 4053 --day 2017-08-20</v>
      </c>
      <c r="AF15" s="1"/>
    </row>
    <row r="16" spans="1:32" x14ac:dyDescent="0.25">
      <c r="A16" s="31">
        <v>42967.669525462959</v>
      </c>
      <c r="B16" s="30" t="s">
        <v>382</v>
      </c>
      <c r="C16" s="30" t="s">
        <v>550</v>
      </c>
      <c r="D16" s="30" t="s">
        <v>96</v>
      </c>
      <c r="E16" s="30" t="s">
        <v>196</v>
      </c>
      <c r="F16" s="42">
        <v>600</v>
      </c>
      <c r="G16" s="42">
        <v>653</v>
      </c>
      <c r="H16" s="42">
        <v>184035</v>
      </c>
      <c r="I16" s="42">
        <v>181065</v>
      </c>
      <c r="J16" s="30" t="s">
        <v>197</v>
      </c>
      <c r="K16" s="42">
        <v>191104</v>
      </c>
      <c r="L16" s="131" t="s">
        <v>51</v>
      </c>
      <c r="M16" s="132">
        <f t="shared" si="0"/>
        <v>-5300.5919999999996</v>
      </c>
      <c r="N16" s="133" t="str">
        <f>VLOOKUP(C16,'Trips&amp;Operators'!$C$1:$G$99911,5,FALSE)</f>
        <v>THOMPSON LESTER</v>
      </c>
      <c r="O16" s="203" t="s">
        <v>180</v>
      </c>
      <c r="P16" s="134"/>
      <c r="Q16" s="30"/>
      <c r="R16" s="81" t="str">
        <f>VLOOKUP(C16,'Train Runs'!$A$13:$AE$9919,31,0)</f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S16" s="84" t="str">
        <f>VLOOKUP(C16,'Train Runs'!$A$13:$AE$9919,22,0)</f>
        <v>https://d0f6bd738d7f1b3e5a7ca70fe4ff75f0.us-east-1.aws.found.io/app/kibana#/discover/Steve-Slow-Train-Analysis-(2080s-and-2083s)?_g=(refreshInterval:(display:Off,pause:!f,section:0,value:0),time:(from:'2017-08-20T14:55:18-0600',mode:absolute,to:'2017-08-20T17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86" t="str">
        <f t="shared" si="1"/>
        <v>"C:\Program Files (x86)\AstroGrep\AstroGrep.exe" /e /r /s /spath="%USERPROFILE%\AppData\Local\Temp\OnboardLogs" /stypes="*4017*201708202*" /stext=" 22:.+((SYSTEM_STATE.+slice.+state.+changed )|(ment ac)|(multiple cpu faults)|(system.+state.+changed )|(\[timeout)|(PRM\|1\|D)|(kpr)|(kdp)|(train st.+moving)|(\|lc)|(penalty))"</v>
      </c>
      <c r="U16" s="9" t="str">
        <f t="shared" si="2"/>
        <v>4017</v>
      </c>
      <c r="V16" s="31">
        <f t="shared" si="3"/>
        <v>42967.919525462959</v>
      </c>
      <c r="W16" s="45" t="str">
        <f t="shared" si="4"/>
        <v>EC</v>
      </c>
      <c r="X16" s="22">
        <f t="shared" si="5"/>
        <v>192</v>
      </c>
      <c r="Y16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{"issue":{"subject":"","project_id":79,"tracker_id":40,"status_id":1,"priority_id":2,"assigned_to_id":23,"start_date":"2017-08-20","description":"","custom_fields":[{"id":1,"name":"Subdivision","value":"EC"},{"id":4,"name":"Milepost","value":"19.1104"},{"id":17,"name":"Train ID","value":"192-20"},{"id":16,"name":"Locomotive ID","value":"4017"},{"id":130,"name":"Impact","value":""},{"id":150,"name":"Time of Event (Mountain Time)","value":"16:04:07"},{"id":151,"name":"Denver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/c/Users/stu/AppData/Local/Temp/OnboardLogs/RTDC4017 --include="*4017*201708202*"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"%USERPROFILE%\AppData\Local\Temp\OnboardLogs"\RTDC4017\*4017*201708202* &gt;&gt; 2017-08-20-SliceDisagreementCheck.txt</v>
      </c>
      <c r="AE16" s="145" t="str">
        <f t="shared" si="9"/>
        <v>start /low /b %USERPROFILE%\Documents\GitHub\eaglep3\Utilities\DownloadLogsFromS3.py --loco 4017 --day 2017-08-20</v>
      </c>
      <c r="AF16" s="1"/>
    </row>
    <row r="17" spans="1:32" x14ac:dyDescent="0.25">
      <c r="A17" s="31">
        <v>42967.738726851851</v>
      </c>
      <c r="B17" s="30" t="s">
        <v>382</v>
      </c>
      <c r="C17" s="30" t="s">
        <v>553</v>
      </c>
      <c r="D17" s="30" t="s">
        <v>96</v>
      </c>
      <c r="E17" s="30" t="s">
        <v>196</v>
      </c>
      <c r="F17" s="42">
        <v>350</v>
      </c>
      <c r="G17" s="42">
        <v>402</v>
      </c>
      <c r="H17" s="42">
        <v>229270</v>
      </c>
      <c r="I17" s="42">
        <v>228185</v>
      </c>
      <c r="J17" s="30" t="s">
        <v>197</v>
      </c>
      <c r="K17" s="42">
        <v>232080</v>
      </c>
      <c r="L17" s="131" t="s">
        <v>51</v>
      </c>
      <c r="M17" s="132">
        <f t="shared" si="0"/>
        <v>-2056.56</v>
      </c>
      <c r="N17" s="133" t="str">
        <f>VLOOKUP(C17,'Trips&amp;Operators'!$C$1:$G$99911,5,FALSE)</f>
        <v>THOMPSON LESTER</v>
      </c>
      <c r="O17" s="203" t="s">
        <v>180</v>
      </c>
      <c r="P17" s="134"/>
      <c r="Q17" s="30"/>
      <c r="R17" s="81" t="str">
        <f>VLOOKUP(C17,'Train Runs'!$A$13:$AE$9919,31,0)</f>
        <v>aws s3 cp s3://rtdc.mdm.uploadarchive.raw/RTDC4017/ "%USERPROFILE%\AppData\Local\Temp\OnboardLogs"\RTDC4017\2017-08-20 --exclude "*" --recursive --include "*20170820*" &amp; "%USERPROFILE%\Documents\GitHub\mrs-test-scripts\Headless Mode &amp; Sideloading\WalkAndUnGZ.bat" "%USERPROFILE%\AppData\Local\Temp\OnboardLogs"\RTDC4017\2017-08-20 &amp; aws s3 cp s3://rtdc.mdm.uploadarchive.raw/RTDC4017/ "%USERPROFILE%\AppData\Local\Temp\OnboardLogs"\RTDC4017\2017-08-21 --exclude "*" --recursive --include "*20170821*" &amp; "%USERPROFILE%\Documents\GitHub\mrs-test-scripts\Headless Mode &amp; Sideloading\WalkAndUnGZ.bat" "%USERPROFILE%\AppData\Local\Temp\OnboardLogs"\RTDC4017\2017-08-21</v>
      </c>
      <c r="S17" s="84" t="str">
        <f>VLOOKUP(C17,'Train Runs'!$A$13:$AE$9919,22,0)</f>
        <v>https://d0f6bd738d7f1b3e5a7ca70fe4ff75f0.us-east-1.aws.found.io/app/kibana#/discover/Steve-Slow-Train-Analysis-(2080s-and-2083s)?_g=(refreshInterval:(display:Off,pause:!f,section:0,value:0),time:(from:'2017-08-20T16:38:36-0600',mode:absolute,to:'2017-08-20T19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86" t="str">
        <f t="shared" si="1"/>
        <v>"C:\Program Files (x86)\AstroGrep\AstroGrep.exe" /e /r /s /spath="%USERPROFILE%\AppData\Local\Temp\OnboardLogs" /stypes="*4017*201708202*"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4017</v>
      </c>
      <c r="V17" s="31">
        <f t="shared" si="3"/>
        <v>42967.988726851851</v>
      </c>
      <c r="W17" s="45" t="str">
        <f t="shared" si="4"/>
        <v>EC</v>
      </c>
      <c r="X17" s="22">
        <f t="shared" si="5"/>
        <v>206</v>
      </c>
      <c r="Y17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{"issue":{"subject":"","project_id":79,"tracker_id":40,"status_id":1,"priority_id":2,"assigned_to_id":23,"start_date":"2017-08-20","description":"","custom_fields":[{"id":1,"name":"Subdivision","value":"EC"},{"id":4,"name":"Milepost","value":"23.208"},{"id":17,"name":"Train ID","value":"206-20"},{"id":16,"name":"Locomotive ID","value":"4017"},{"id":130,"name":"Impact","value":""},{"id":150,"name":"Time of Event (Mountain Time)","value":"17:43:46"},{"id":151,"name":"Denver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/c/Users/stu/AppData/Local/Temp/OnboardLogs/RTDC4017 --include="*4017*201708202*"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"%USERPROFILE%\AppData\Local\Temp\OnboardLogs"\RTDC4017\*4017*201708202* &gt;&gt; 2017-08-20-SliceDisagreementCheck.txt</v>
      </c>
      <c r="AE17" s="145" t="str">
        <f t="shared" si="9"/>
        <v>start /low /b %USERPROFILE%\Documents\GitHub\eaglep3\Utilities\DownloadLogsFromS3.py --loco 4017 --day 2017-08-20</v>
      </c>
      <c r="AF17" s="1"/>
    </row>
    <row r="18" spans="1:32" x14ac:dyDescent="0.25">
      <c r="A18" s="31">
        <v>42967.160578703704</v>
      </c>
      <c r="B18" s="30" t="s">
        <v>526</v>
      </c>
      <c r="C18" s="30" t="s">
        <v>527</v>
      </c>
      <c r="D18" s="30" t="s">
        <v>49</v>
      </c>
      <c r="E18" s="30" t="s">
        <v>391</v>
      </c>
      <c r="F18" s="42">
        <v>0</v>
      </c>
      <c r="G18" s="42">
        <v>167</v>
      </c>
      <c r="H18" s="42">
        <v>20525</v>
      </c>
      <c r="I18" s="42">
        <v>20731</v>
      </c>
      <c r="J18" s="30" t="s">
        <v>392</v>
      </c>
      <c r="K18" s="42">
        <v>20617</v>
      </c>
      <c r="L18" s="131" t="s">
        <v>50</v>
      </c>
      <c r="M18" s="132">
        <f t="shared" si="0"/>
        <v>-60.192</v>
      </c>
      <c r="N18" s="133" t="str">
        <f>VLOOKUP(C18,'Trips&amp;Operators'!$C$1:$G$99911,5,FALSE)</f>
        <v>WILLIAMS DONTE</v>
      </c>
      <c r="O18" s="203" t="s">
        <v>396</v>
      </c>
      <c r="P18" s="134" t="s">
        <v>933</v>
      </c>
      <c r="Q18" s="30"/>
      <c r="R18" s="81" t="str">
        <f>VLOOKUP(C18,'Train Runs'!$A$13:$AE$9919,31,0)</f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S18" s="84" t="str">
        <f>VLOOKUP(C18,'Train Runs'!$A$13:$AE$9919,22,0)</f>
        <v>https://d0f6bd738d7f1b3e5a7ca70fe4ff75f0.us-east-1.aws.found.io/app/kibana#/discover/Steve-Slow-Train-Analysis-(2080s-and-2083s)?_g=(refreshInterval:(display:Off,pause:!f,section:0,value:0),time:(from:'2017-08-20T03:00:42-0600',mode:absolute,to:'2017-08-20T05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8" s="86" t="str">
        <f t="shared" si="1"/>
        <v>"C:\Program Files (x86)\AstroGrep\AstroGrep.exe" /e /r /s /spath="%USERPROFILE%\AppData\Local\Temp\OnboardLogs" /stypes="*4054*201708200*" /stext=" 09:.+((SYSTEM_STATE.+slice.+state.+changed )|(ment ac)|(multiple cpu faults)|(system.+state.+changed )|(\[timeout)|(PRM\|1\|D)|(kpr)|(kdp)|(train st.+moving)|(\|lc)|(penalty))"</v>
      </c>
      <c r="U18" s="9" t="str">
        <f t="shared" si="2"/>
        <v>4054</v>
      </c>
      <c r="V18" s="31">
        <f t="shared" si="3"/>
        <v>42967.410578703704</v>
      </c>
      <c r="W18" s="45" t="str">
        <f t="shared" si="4"/>
        <v>EC</v>
      </c>
      <c r="X18" s="22">
        <f t="shared" si="5"/>
        <v>103</v>
      </c>
      <c r="Y18" s="96" t="str">
        <f t="shared" si="6"/>
        <v>echo {"issue":{"subject":"Wi-MAX data drop","project_id":79,"tracker_id":40,"status_id":1,"priority_id":2,"assigned_to_id":23,"start_date":"2017-08-20","description":"","custom_fields":[{"id":1,"name":"Subdivision","value":"EC"},{"id":4,"name":"Milepost","value":"2.0617"},{"id":17,"name":"Train ID","value":"103-20"},{"id":16,"name":"Locomotive ID","value":"4054"},{"id":130,"name":"Impact","value":""},{"id":150,"name":"Time of Event (Mountain Time)","value":"03:51:14"},{"id":151,"name":"Denver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/c/Users/stu/AppData/Local/Temp/OnboardLogs/RTDC4054 --include="*4054*201708200*"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"%USERPROFILE%\AppData\Local\Temp\OnboardLogs"\RTDC4054\*4054*201708200* &gt;&gt; 2017-08-20-SliceDisagreementCheck.txt</v>
      </c>
      <c r="AE18" s="145" t="str">
        <f t="shared" si="9"/>
        <v>start /low /b %USERPROFILE%\Documents\GitHub\eaglep3\Utilities\DownloadLogsFromS3.py --loco 4054 --day 2017-08-20</v>
      </c>
      <c r="AF18" s="1"/>
    </row>
    <row r="19" spans="1:32" x14ac:dyDescent="0.25">
      <c r="A19" s="31">
        <v>42967.570335648146</v>
      </c>
      <c r="B19" s="30" t="s">
        <v>352</v>
      </c>
      <c r="C19" s="30" t="s">
        <v>543</v>
      </c>
      <c r="D19" s="30" t="s">
        <v>49</v>
      </c>
      <c r="E19" s="30" t="s">
        <v>391</v>
      </c>
      <c r="F19" s="42">
        <v>0</v>
      </c>
      <c r="G19" s="42">
        <v>295</v>
      </c>
      <c r="H19" s="42">
        <v>36484</v>
      </c>
      <c r="I19" s="42">
        <v>36945</v>
      </c>
      <c r="J19" s="30" t="s">
        <v>392</v>
      </c>
      <c r="K19" s="42">
        <v>36645</v>
      </c>
      <c r="L19" s="131" t="s">
        <v>50</v>
      </c>
      <c r="M19" s="132">
        <f t="shared" si="0"/>
        <v>-158.4</v>
      </c>
      <c r="N19" s="133" t="str">
        <f>VLOOKUP(C19,'Trips&amp;Operators'!$C$1:$G$99911,5,FALSE)</f>
        <v>BRUDER RICHARD</v>
      </c>
      <c r="O19" s="203" t="s">
        <v>396</v>
      </c>
      <c r="P19" s="134" t="s">
        <v>933</v>
      </c>
      <c r="Q19" s="30"/>
      <c r="R19" s="81" t="str">
        <f>VLOOKUP(C19,'Train Runs'!$A$13:$AE$9919,31,0)</f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S19" s="84" t="str">
        <f>VLOOKUP(C19,'Train Runs'!$A$13:$AE$9919,22,0)</f>
        <v>https://d0f6bd738d7f1b3e5a7ca70fe4ff75f0.us-east-1.aws.found.io/app/kibana#/discover/Steve-Slow-Train-Analysis-(2080s-and-2083s)?_g=(refreshInterval:(display:Off,pause:!f,section:0,value:0),time:(from:'2017-08-20T12:25:02-0600',mode:absolute,to:'2017-08-20T14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86" t="str">
        <f t="shared" si="1"/>
        <v>"C:\Program Files (x86)\AstroGrep\AstroGrep.exe" /e /r /s /spath="%USERPROFILE%\AppData\Local\Temp\OnboardLogs" /stypes="*4014*201708201*" /stext=" 19:.+((SYSTEM_STATE.+slice.+state.+changed )|(ment ac)|(multiple cpu faults)|(system.+state.+changed )|(\[timeout)|(PRM\|1\|D)|(kpr)|(kdp)|(train st.+moving)|(\|lc)|(penalty))"</v>
      </c>
      <c r="U19" s="9" t="str">
        <f t="shared" si="2"/>
        <v>4014</v>
      </c>
      <c r="V19" s="31">
        <f t="shared" si="3"/>
        <v>42967.820335648146</v>
      </c>
      <c r="W19" s="45" t="str">
        <f t="shared" si="4"/>
        <v>EC</v>
      </c>
      <c r="X19" s="22">
        <f t="shared" si="5"/>
        <v>179</v>
      </c>
      <c r="Y19" s="96" t="str">
        <f t="shared" si="6"/>
        <v>echo {"issue":{"subject":"Wi-MAX data drop","project_id":79,"tracker_id":40,"status_id":1,"priority_id":2,"assigned_to_id":23,"start_date":"2017-08-20","description":"","custom_fields":[{"id":1,"name":"Subdivision","value":"EC"},{"id":4,"name":"Milepost","value":"3.6645"},{"id":17,"name":"Train ID","value":"179-20"},{"id":16,"name":"Locomotive ID","value":"4014"},{"id":130,"name":"Impact","value":""},{"id":150,"name":"Time of Event (Mountain Time)","value":"13:41:17"},{"id":151,"name":"Denver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/c/Users/stu/AppData/Local/Temp/OnboardLogs/RTDC4014 --include="*4014*201708201*"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"%USERPROFILE%\AppData\Local\Temp\OnboardLogs"\RTDC4014\*4014*201708201* &gt;&gt; 2017-08-20-SliceDisagreementCheck.txt</v>
      </c>
      <c r="AE19" s="145" t="str">
        <f t="shared" si="9"/>
        <v>start /low /b %USERPROFILE%\Documents\GitHub\eaglep3\Utilities\DownloadLogsFromS3.py --loco 4014 --day 2017-08-20</v>
      </c>
      <c r="AF19" s="1"/>
    </row>
    <row r="20" spans="1:32" x14ac:dyDescent="0.25">
      <c r="A20" s="31">
        <v>42967.580393518518</v>
      </c>
      <c r="B20" s="30" t="s">
        <v>352</v>
      </c>
      <c r="C20" s="30" t="s">
        <v>543</v>
      </c>
      <c r="D20" s="30" t="s">
        <v>49</v>
      </c>
      <c r="E20" s="30" t="s">
        <v>391</v>
      </c>
      <c r="F20" s="42">
        <v>0</v>
      </c>
      <c r="G20" s="42">
        <v>98</v>
      </c>
      <c r="H20" s="42">
        <v>86380</v>
      </c>
      <c r="I20" s="42">
        <v>86643</v>
      </c>
      <c r="J20" s="30" t="s">
        <v>392</v>
      </c>
      <c r="K20" s="42">
        <v>87889</v>
      </c>
      <c r="L20" s="131" t="s">
        <v>50</v>
      </c>
      <c r="M20" s="132">
        <f t="shared" si="0"/>
        <v>657.88800000000003</v>
      </c>
      <c r="N20" s="133" t="str">
        <f>VLOOKUP(C20,'Trips&amp;Operators'!$C$1:$G$99911,5,FALSE)</f>
        <v>BRUDER RICHARD</v>
      </c>
      <c r="O20" s="203" t="s">
        <v>396</v>
      </c>
      <c r="P20" s="134" t="s">
        <v>933</v>
      </c>
      <c r="Q20" s="30"/>
      <c r="R20" s="81" t="str">
        <f>VLOOKUP(C20,'Train Runs'!$A$13:$AE$9919,31,0)</f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S20" s="84" t="str">
        <f>VLOOKUP(C20,'Train Runs'!$A$13:$AE$9919,22,0)</f>
        <v>https://d0f6bd738d7f1b3e5a7ca70fe4ff75f0.us-east-1.aws.found.io/app/kibana#/discover/Steve-Slow-Train-Analysis-(2080s-and-2083s)?_g=(refreshInterval:(display:Off,pause:!f,section:0,value:0),time:(from:'2017-08-20T12:25:02-0600',mode:absolute,to:'2017-08-20T14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0" s="86" t="str">
        <f t="shared" si="1"/>
        <v>"C:\Program Files (x86)\AstroGrep\AstroGrep.exe" /e /r /s /spath="%USERPROFILE%\AppData\Local\Temp\OnboardLogs" /stypes="*4014*201708201*"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4014</v>
      </c>
      <c r="V20" s="31">
        <f t="shared" si="3"/>
        <v>42967.830393518518</v>
      </c>
      <c r="W20" s="45" t="str">
        <f t="shared" si="4"/>
        <v>EC</v>
      </c>
      <c r="X20" s="22">
        <f t="shared" si="5"/>
        <v>179</v>
      </c>
      <c r="Y20" s="96" t="str">
        <f t="shared" si="6"/>
        <v>echo {"issue":{"subject":"Wi-MAX data drop","project_id":79,"tracker_id":40,"status_id":1,"priority_id":2,"assigned_to_id":23,"start_date":"2017-08-20","description":"","custom_fields":[{"id":1,"name":"Subdivision","value":"EC"},{"id":4,"name":"Milepost","value":"8.7889"},{"id":17,"name":"Train ID","value":"179-20"},{"id":16,"name":"Locomotive ID","value":"4014"},{"id":130,"name":"Impact","value":""},{"id":150,"name":"Time of Event (Mountain Time)","value":"13:55:46"},{"id":151,"name":"Denver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/c/Users/stu/AppData/Local/Temp/OnboardLogs/RTDC4014 --include="*4014*201708201*"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"%USERPROFILE%\AppData\Local\Temp\OnboardLogs"\RTDC4014\*4014*201708201* &gt;&gt; 2017-08-20-SliceDisagreementCheck.txt</v>
      </c>
      <c r="AE20" s="145" t="str">
        <f t="shared" si="9"/>
        <v>start /low /b %USERPROFILE%\Documents\GitHub\eaglep3\Utilities\DownloadLogsFromS3.py --loco 4014 --day 2017-08-20</v>
      </c>
      <c r="AF20" s="1"/>
    </row>
    <row r="21" spans="1:32" x14ac:dyDescent="0.25">
      <c r="A21" s="31">
        <v>42967.564085648148</v>
      </c>
      <c r="B21" s="30" t="s">
        <v>352</v>
      </c>
      <c r="C21" s="30" t="s">
        <v>543</v>
      </c>
      <c r="D21" s="30" t="s">
        <v>96</v>
      </c>
      <c r="E21" s="30" t="s">
        <v>407</v>
      </c>
      <c r="F21" s="42">
        <v>0</v>
      </c>
      <c r="G21" s="42">
        <v>167</v>
      </c>
      <c r="H21" s="42">
        <v>3551</v>
      </c>
      <c r="I21" s="42">
        <v>3855</v>
      </c>
      <c r="J21" s="30" t="s">
        <v>408</v>
      </c>
      <c r="K21" s="42">
        <v>2789</v>
      </c>
      <c r="L21" s="131" t="s">
        <v>50</v>
      </c>
      <c r="M21" s="132">
        <f t="shared" si="0"/>
        <v>-562.84799999999996</v>
      </c>
      <c r="N21" s="133" t="str">
        <f>VLOOKUP(C21,'Trips&amp;Operators'!$C$1:$G$99911,5,FALSE)</f>
        <v>BRUDER RICHARD</v>
      </c>
      <c r="O21" s="203" t="s">
        <v>396</v>
      </c>
      <c r="P21" s="134" t="s">
        <v>933</v>
      </c>
      <c r="Q21" s="30"/>
      <c r="R21" s="81" t="str">
        <f>VLOOKUP(C21,'Train Runs'!$A$13:$AE$9919,31,0)</f>
        <v>aws s3 cp s3://rtdc.mdm.uploadarchive.raw/RTDC4014/ "%USERPROFILE%\AppData\Local\Temp\OnboardLogs"\RTDC4014\2017-08-20 --exclude "*" --recursive --include "*20170820*" &amp; "%USERPROFILE%\Documents\GitHub\mrs-test-scripts\Headless Mode &amp; Sideloading\WalkAndUnGZ.bat" "%USERPROFILE%\AppData\Local\Temp\OnboardLogs"\RTDC4014\2017-08-20 &amp; aws s3 cp s3://rtdc.mdm.uploadarchive.raw/RTDC4014/ "%USERPROFILE%\AppData\Local\Temp\OnboardLogs"\RTDC4014\2017-08-21 --exclude "*" --recursive --include "*20170821*" &amp; "%USERPROFILE%\Documents\GitHub\mrs-test-scripts\Headless Mode &amp; Sideloading\WalkAndUnGZ.bat" "%USERPROFILE%\AppData\Local\Temp\OnboardLogs"\RTDC4014\2017-08-21</v>
      </c>
      <c r="S21" s="84" t="str">
        <f>VLOOKUP(C21,'Train Runs'!$A$13:$AE$9919,22,0)</f>
        <v>https://d0f6bd738d7f1b3e5a7ca70fe4ff75f0.us-east-1.aws.found.io/app/kibana#/discover/Steve-Slow-Train-Analysis-(2080s-and-2083s)?_g=(refreshInterval:(display:Off,pause:!f,section:0,value:0),time:(from:'2017-08-20T12:25:02-0600',mode:absolute,to:'2017-08-20T14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1" s="86" t="str">
        <f t="shared" si="1"/>
        <v>"C:\Program Files (x86)\AstroGrep\AstroGrep.exe" /e /r /s /spath="%USERPROFILE%\AppData\Local\Temp\OnboardLogs" /stypes="*4014*201708201*"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4014</v>
      </c>
      <c r="V21" s="31">
        <f t="shared" si="3"/>
        <v>42967.814085648148</v>
      </c>
      <c r="W21" s="45" t="str">
        <f t="shared" si="4"/>
        <v>EC</v>
      </c>
      <c r="X21" s="22">
        <f t="shared" si="5"/>
        <v>179</v>
      </c>
      <c r="Y21" s="96" t="str">
        <f t="shared" si="6"/>
        <v>echo {"issue":{"subject":"Wi-MAX data drop","project_id":79,"tracker_id":40,"status_id":1,"priority_id":2,"assigned_to_id":23,"start_date":"2017-08-20","description":"","custom_fields":[{"id":1,"name":"Subdivision","value":"EC"},{"id":4,"name":"Milepost","value":"0.2789"},{"id":17,"name":"Train ID","value":"179-20"},{"id":16,"name":"Locomotive ID","value":"4014"},{"id":130,"name":"Impact","value":""},{"id":150,"name":"Time of Event (Mountain Time)","value":"13:32:17"},{"id":151,"name":"Denver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/c/Users/stu/AppData/Local/Temp/OnboardLogs/RTDC4014 --include="*4014*201708201*"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"%USERPROFILE%\AppData\Local\Temp\OnboardLogs"\RTDC4014\*4014*201708201* &gt;&gt; 2017-08-20-SliceDisagreementCheck.txt</v>
      </c>
      <c r="AE21" s="145" t="str">
        <f t="shared" si="9"/>
        <v>start /low /b %USERPROFILE%\Documents\GitHub\eaglep3\Utilities\DownloadLogsFromS3.py --loco 4014 --day 2017-08-20</v>
      </c>
      <c r="AF21" s="1"/>
    </row>
    <row r="22" spans="1:32" x14ac:dyDescent="0.25">
      <c r="A22" s="31">
        <v>42967.30537037037</v>
      </c>
      <c r="B22" s="30" t="s">
        <v>410</v>
      </c>
      <c r="C22" s="30" t="s">
        <v>531</v>
      </c>
      <c r="D22" s="30" t="s">
        <v>49</v>
      </c>
      <c r="E22" s="30" t="s">
        <v>181</v>
      </c>
      <c r="F22" s="42">
        <v>0</v>
      </c>
      <c r="G22" s="42">
        <v>143</v>
      </c>
      <c r="H22" s="42">
        <v>551</v>
      </c>
      <c r="I22" s="42">
        <v>356</v>
      </c>
      <c r="J22" s="30" t="s">
        <v>182</v>
      </c>
      <c r="K22" s="42">
        <v>1</v>
      </c>
      <c r="L22" s="131" t="s">
        <v>51</v>
      </c>
      <c r="M22" s="132">
        <f t="shared" si="0"/>
        <v>187.44</v>
      </c>
      <c r="N22" s="133" t="str">
        <f>VLOOKUP(C22,'Trips&amp;Operators'!$C$1:$G$99911,5,FALSE)</f>
        <v>MACDONALD THOMAS</v>
      </c>
      <c r="O22" s="203" t="s">
        <v>180</v>
      </c>
      <c r="P22" s="134"/>
      <c r="Q22" s="30"/>
      <c r="R22" s="81" t="str">
        <f>VLOOKUP(C22,'Train Runs'!$A$13:$AE$9919,31,0)</f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S22" s="84" t="str">
        <f>VLOOKUP(C22,'Train Runs'!$A$13:$AE$9919,22,0)</f>
        <v>https://d0f6bd738d7f1b3e5a7ca70fe4ff75f0.us-east-1.aws.found.io/app/kibana#/discover/Steve-Slow-Train-Analysis-(2080s-and-2083s)?_g=(refreshInterval:(display:Off,pause:!f,section:0,value:0),time:(from:'2017-08-20T05:40:03-0600',mode:absolute,to:'2017-08-20T08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2" s="86" t="str">
        <f t="shared" si="1"/>
        <v>"C:\Program Files (x86)\AstroGrep\AstroGrep.exe" /e /r /s /spath="%USERPROFILE%\AppData\Local\Temp\OnboardLogs" /stypes="*4011*201708201*"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4011</v>
      </c>
      <c r="V22" s="31">
        <f t="shared" si="3"/>
        <v>42967.55537037037</v>
      </c>
      <c r="W22" s="45" t="str">
        <f t="shared" si="4"/>
        <v>EC</v>
      </c>
      <c r="X22" s="22">
        <f t="shared" si="5"/>
        <v>118</v>
      </c>
      <c r="Y22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{"issue":{"subject":"","project_id":79,"tracker_id":40,"status_id":1,"priority_id":2,"assigned_to_id":23,"start_date":"2017-08-20","description":"","custom_fields":[{"id":1,"name":"Subdivision","value":"EC"},{"id":4,"name":"Milepost","value":"0.0001"},{"id":17,"name":"Train ID","value":"118-20"},{"id":16,"name":"Locomotive ID","value":"4011"},{"id":130,"name":"Impact","value":""},{"id":150,"name":"Time of Event (Mountain Time)","value":"07:19:44"},{"id":151,"name":"Denver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/c/Users/stu/AppData/Local/Temp/OnboardLogs/RTDC4011 --include="*4011*201708201*"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"%USERPROFILE%\AppData\Local\Temp\OnboardLogs"\RTDC4011\*4011*201708201* &gt;&gt; 2017-08-20-SliceDisagreementCheck.txt</v>
      </c>
      <c r="AE22" s="145" t="str">
        <f t="shared" si="9"/>
        <v>start /low /b %USERPROFILE%\Documents\GitHub\eaglep3\Utilities\DownloadLogsFromS3.py --loco 4011 --day 2017-08-20</v>
      </c>
      <c r="AF22" s="1"/>
    </row>
    <row r="23" spans="1:32" x14ac:dyDescent="0.25">
      <c r="A23" s="31">
        <v>42967.305798611109</v>
      </c>
      <c r="B23" s="30" t="s">
        <v>410</v>
      </c>
      <c r="C23" s="30" t="s">
        <v>531</v>
      </c>
      <c r="D23" s="30" t="s">
        <v>49</v>
      </c>
      <c r="E23" s="30" t="s">
        <v>181</v>
      </c>
      <c r="F23" s="42">
        <v>0</v>
      </c>
      <c r="G23" s="42">
        <v>68</v>
      </c>
      <c r="H23" s="42">
        <v>225</v>
      </c>
      <c r="I23" s="42">
        <v>183</v>
      </c>
      <c r="J23" s="30" t="s">
        <v>182</v>
      </c>
      <c r="K23" s="42">
        <v>1</v>
      </c>
      <c r="L23" s="131" t="s">
        <v>51</v>
      </c>
      <c r="M23" s="132">
        <f t="shared" si="0"/>
        <v>96.096000000000004</v>
      </c>
      <c r="N23" s="133" t="str">
        <f>VLOOKUP(C23,'Trips&amp;Operators'!$C$1:$G$99911,5,FALSE)</f>
        <v>MACDONALD THOMAS</v>
      </c>
      <c r="O23" s="203" t="s">
        <v>180</v>
      </c>
      <c r="P23" s="134"/>
      <c r="Q23" s="30"/>
      <c r="R23" s="81" t="str">
        <f>VLOOKUP(C23,'Train Runs'!$A$13:$AE$9919,31,0)</f>
        <v>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 &amp; 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</v>
      </c>
      <c r="S23" s="84" t="str">
        <f>VLOOKUP(C23,'Train Runs'!$A$13:$AE$9919,22,0)</f>
        <v>https://d0f6bd738d7f1b3e5a7ca70fe4ff75f0.us-east-1.aws.found.io/app/kibana#/discover/Steve-Slow-Train-Analysis-(2080s-and-2083s)?_g=(refreshInterval:(display:Off,pause:!f,section:0,value:0),time:(from:'2017-08-20T05:40:03-0600',mode:absolute,to:'2017-08-20T08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3" s="86" t="str">
        <f t="shared" si="1"/>
        <v>"C:\Program Files (x86)\AstroGrep\AstroGrep.exe" /e /r /s /spath="%USERPROFILE%\AppData\Local\Temp\OnboardLogs" /stypes="*4011*201708201*" /stext=" 13:.+((SYSTEM_STATE.+slice.+state.+changed )|(ment ac)|(multiple cpu faults)|(system.+state.+changed )|(\[timeout)|(PRM\|1\|D)|(kpr)|(kdp)|(train st.+moving)|(\|lc)|(penalty))"</v>
      </c>
      <c r="U23" s="9" t="str">
        <f t="shared" si="2"/>
        <v>4011</v>
      </c>
      <c r="V23" s="31">
        <f t="shared" si="3"/>
        <v>42967.555798611109</v>
      </c>
      <c r="W23" s="45" t="str">
        <f t="shared" si="4"/>
        <v>EC</v>
      </c>
      <c r="X23" s="22">
        <f t="shared" si="5"/>
        <v>118</v>
      </c>
      <c r="Y23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{"issue":{"subject":"","project_id":79,"tracker_id":40,"status_id":1,"priority_id":2,"assigned_to_id":23,"start_date":"2017-08-20","description":"","custom_fields":[{"id":1,"name":"Subdivision","value":"EC"},{"id":4,"name":"Milepost","value":"0.0001"},{"id":17,"name":"Train ID","value":"118-20"},{"id":16,"name":"Locomotive ID","value":"4011"},{"id":130,"name":"Impact","value":""},{"id":150,"name":"Time of Event (Mountain Time)","value":"07:20:21"},{"id":151,"name":"Denver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/c/Users/stu/AppData/Local/Temp/OnboardLogs/RTDC4011 --include="*4011*201708201*"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"%USERPROFILE%\AppData\Local\Temp\OnboardLogs"\RTDC4011\*4011*201708201* &gt;&gt; 2017-08-20-SliceDisagreementCheck.txt</v>
      </c>
      <c r="AE23" s="145" t="str">
        <f t="shared" si="9"/>
        <v>start /low /b %USERPROFILE%\Documents\GitHub\eaglep3\Utilities\DownloadLogsFromS3.py --loco 4011 --day 2017-08-20</v>
      </c>
      <c r="AF23" s="1"/>
    </row>
    <row r="24" spans="1:32" x14ac:dyDescent="0.25">
      <c r="A24" s="31">
        <v>42967.537465277775</v>
      </c>
      <c r="B24" s="30" t="s">
        <v>540</v>
      </c>
      <c r="C24" s="30" t="s">
        <v>541</v>
      </c>
      <c r="D24" s="30" t="s">
        <v>49</v>
      </c>
      <c r="E24" s="30" t="s">
        <v>181</v>
      </c>
      <c r="F24" s="42">
        <v>0</v>
      </c>
      <c r="G24" s="42">
        <v>54</v>
      </c>
      <c r="H24" s="42">
        <v>194</v>
      </c>
      <c r="I24" s="42">
        <v>139</v>
      </c>
      <c r="J24" s="30" t="s">
        <v>182</v>
      </c>
      <c r="K24" s="42">
        <v>1</v>
      </c>
      <c r="L24" s="131" t="s">
        <v>51</v>
      </c>
      <c r="M24" s="132">
        <f t="shared" si="0"/>
        <v>72.864000000000004</v>
      </c>
      <c r="N24" s="133" t="str">
        <f>VLOOKUP(C24,'Trips&amp;Operators'!$C$1:$G$99911,5,FALSE)</f>
        <v>DAVIS MICHAEL</v>
      </c>
      <c r="O24" s="203" t="s">
        <v>180</v>
      </c>
      <c r="P24" s="134"/>
      <c r="Q24" s="30"/>
      <c r="R24" s="81" t="str">
        <f>VLOOKUP(C24,'Train Runs'!$A$13:$AE$9919,31,0)</f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S24" s="84" t="str">
        <f>VLOOKUP(C24,'Train Runs'!$A$13:$AE$9919,22,0)</f>
        <v>https://d0f6bd738d7f1b3e5a7ca70fe4ff75f0.us-east-1.aws.found.io/app/kibana#/discover/Steve-Slow-Train-Analysis-(2080s-and-2083s)?_g=(refreshInterval:(display:Off,pause:!f,section:0,value:0),time:(from:'2017-08-20T11:10:16-0600',mode:absolute,to:'2017-08-20T13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4" s="86" t="str">
        <f t="shared" si="1"/>
        <v>"C:\Program Files (x86)\AstroGrep\AstroGrep.exe" /e /r /s /spath="%USERPROFILE%\AppData\Local\Temp\OnboardLogs" /stypes="*4057*201708201*" /stext=" 18:.+((SYSTEM_STATE.+slice.+state.+changed )|(ment ac)|(multiple cpu faults)|(system.+state.+changed )|(\[timeout)|(PRM\|1\|D)|(kpr)|(kdp)|(train st.+moving)|(\|lc)|(penalty))"</v>
      </c>
      <c r="U24" s="9" t="str">
        <f t="shared" si="2"/>
        <v>4057</v>
      </c>
      <c r="V24" s="31">
        <f t="shared" si="3"/>
        <v>42967.787465277775</v>
      </c>
      <c r="W24" s="45" t="str">
        <f t="shared" si="4"/>
        <v>EC</v>
      </c>
      <c r="X24" s="22">
        <f t="shared" si="5"/>
        <v>162</v>
      </c>
      <c r="Y24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{"issue":{"subject":"","project_id":79,"tracker_id":40,"status_id":1,"priority_id":2,"assigned_to_id":23,"start_date":"2017-08-20","description":"","custom_fields":[{"id":1,"name":"Subdivision","value":"EC"},{"id":4,"name":"Milepost","value":"0.0001"},{"id":17,"name":"Train ID","value":"162-20"},{"id":16,"name":"Locomotive ID","value":"4057"},{"id":130,"name":"Impact","value":""},{"id":150,"name":"Time of Event (Mountain Time)","value":"12:53:57"},{"id":151,"name":"Denver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/c/Users/stu/AppData/Local/Temp/OnboardLogs/RTDC4057 --include="*4057*201708201*"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"%USERPROFILE%\AppData\Local\Temp\OnboardLogs"\RTDC4057\*4057*201708201* &gt;&gt; 2017-08-20-SliceDisagreementCheck.txt</v>
      </c>
      <c r="AE24" s="145" t="str">
        <f t="shared" si="9"/>
        <v>start /low /b %USERPROFILE%\Documents\GitHub\eaglep3\Utilities\DownloadLogsFromS3.py --loco 4057 --day 2017-08-20</v>
      </c>
      <c r="AF24" s="1"/>
    </row>
    <row r="25" spans="1:32" x14ac:dyDescent="0.25">
      <c r="A25" s="31">
        <v>42967.756192129629</v>
      </c>
      <c r="B25" s="30" t="s">
        <v>540</v>
      </c>
      <c r="C25" s="30" t="s">
        <v>557</v>
      </c>
      <c r="D25" s="30" t="s">
        <v>49</v>
      </c>
      <c r="E25" s="30" t="s">
        <v>181</v>
      </c>
      <c r="F25" s="42">
        <v>0</v>
      </c>
      <c r="G25" s="42">
        <v>45</v>
      </c>
      <c r="H25" s="42">
        <v>181</v>
      </c>
      <c r="I25" s="42">
        <v>141</v>
      </c>
      <c r="J25" s="30" t="s">
        <v>182</v>
      </c>
      <c r="K25" s="42">
        <v>1</v>
      </c>
      <c r="L25" s="131" t="s">
        <v>51</v>
      </c>
      <c r="M25" s="132">
        <f t="shared" si="0"/>
        <v>73.92</v>
      </c>
      <c r="N25" s="133" t="str">
        <f>VLOOKUP(C25,'Trips&amp;Operators'!$C$1:$G$99911,5,FALSE)</f>
        <v>DAVIS MICHAEL</v>
      </c>
      <c r="O25" s="203" t="s">
        <v>180</v>
      </c>
      <c r="P25" s="134"/>
      <c r="Q25" s="30"/>
      <c r="R25" s="81" t="str">
        <f>VLOOKUP(C25,'Train Runs'!$A$13:$AE$9919,31,0)</f>
        <v>aws s3 cp s3://rtdc.mdm.uploadarchive.raw/RTDC4057/ "%USERPROFILE%\AppData\Local\Temp\OnboardLogs"\RTDC4057\2017-08-20 --exclude "*" --recursive --include "*20170820*" &amp; "%USERPROFILE%\Documents\GitHub\mrs-test-scripts\Headless Mode &amp; Sideloading\WalkAndUnGZ.bat" "%USERPROFILE%\AppData\Local\Temp\OnboardLogs"\RTDC4057\2017-08-20 &amp; aws s3 cp s3://rtdc.mdm.uploadarchive.raw/RTDC4057/ "%USERPROFILE%\AppData\Local\Temp\OnboardLogs"\RTDC4057\2017-08-21 --exclude "*" --recursive --include "*20170821*" &amp; "%USERPROFILE%\Documents\GitHub\mrs-test-scripts\Headless Mode &amp; Sideloading\WalkAndUnGZ.bat" "%USERPROFILE%\AppData\Local\Temp\OnboardLogs"\RTDC4057\2017-08-21</v>
      </c>
      <c r="S25" s="84" t="str">
        <f>VLOOKUP(C25,'Train Runs'!$A$13:$AE$9919,22,0)</f>
        <v>https://d0f6bd738d7f1b3e5a7ca70fe4ff75f0.us-east-1.aws.found.io/app/kibana#/discover/Steve-Slow-Train-Analysis-(2080s-and-2083s)?_g=(refreshInterval:(display:Off,pause:!f,section:0,value:0),time:(from:'2017-08-20T16:25:03-0600',mode:absolute,to:'2017-08-20T19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5" s="86" t="str">
        <f t="shared" si="1"/>
        <v>"C:\Program Files (x86)\AstroGrep\AstroGrep.exe" /e /r /s /spath="%USERPROFILE%\AppData\Local\Temp\OnboardLogs" /stypes="*4057*201708210*" /stext=" 00:.+((SYSTEM_STATE.+slice.+state.+changed )|(ment ac)|(multiple cpu faults)|(system.+state.+changed )|(\[timeout)|(PRM\|1\|D)|(kpr)|(kdp)|(train st.+moving)|(\|lc)|(penalty))"</v>
      </c>
      <c r="U25" s="9" t="str">
        <f t="shared" si="2"/>
        <v>4057</v>
      </c>
      <c r="V25" s="31">
        <f t="shared" si="3"/>
        <v>42968.006192129629</v>
      </c>
      <c r="W25" s="45" t="str">
        <f t="shared" si="4"/>
        <v>EC</v>
      </c>
      <c r="X25" s="22">
        <f t="shared" si="5"/>
        <v>204</v>
      </c>
      <c r="Y25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{"issue":{"subject":"","project_id":79,"tracker_id":40,"status_id":1,"priority_id":2,"assigned_to_id":23,"start_date":"2017-08-20","description":"","custom_fields":[{"id":1,"name":"Subdivision","value":"EC"},{"id":4,"name":"Milepost","value":"0.0001"},{"id":17,"name":"Train ID","value":"204-20"},{"id":16,"name":"Locomotive ID","value":"4057"},{"id":130,"name":"Impact","value":""},{"id":150,"name":"Time of Event (Mountain Time)","value":"18:08:55"},{"id":151,"name":"Denver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/c/Users/stu/AppData/Local/Temp/OnboardLogs/RTDC4057 --include="*4057*201708210*"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"%USERPROFILE%\AppData\Local\Temp\OnboardLogs"\RTDC4057\*4057*201708210* &gt;&gt; 2017-08-20-SliceDisagreementCheck.txt</v>
      </c>
      <c r="AE25" s="145" t="str">
        <f t="shared" si="9"/>
        <v>start /low /b %USERPROFILE%\Documents\GitHub\eaglep3\Utilities\DownloadLogsFromS3.py --loco 4057 --day 2017-08-21</v>
      </c>
      <c r="AF25" s="1"/>
    </row>
    <row r="26" spans="1:32" x14ac:dyDescent="0.25">
      <c r="A26" s="31">
        <v>42967.775416666664</v>
      </c>
      <c r="B26" s="30" t="s">
        <v>351</v>
      </c>
      <c r="C26" s="30" t="s">
        <v>559</v>
      </c>
      <c r="D26" s="30" t="s">
        <v>49</v>
      </c>
      <c r="E26" s="30" t="s">
        <v>181</v>
      </c>
      <c r="F26" s="42">
        <v>0</v>
      </c>
      <c r="G26" s="42">
        <v>16</v>
      </c>
      <c r="H26" s="42">
        <v>43</v>
      </c>
      <c r="I26" s="42">
        <v>37</v>
      </c>
      <c r="J26" s="30" t="s">
        <v>182</v>
      </c>
      <c r="K26" s="42">
        <v>1</v>
      </c>
      <c r="L26" s="131" t="s">
        <v>51</v>
      </c>
      <c r="M26" s="132">
        <f t="shared" si="0"/>
        <v>19.007999999999999</v>
      </c>
      <c r="N26" s="133" t="str">
        <f>VLOOKUP(C26,'Trips&amp;Operators'!$C$1:$G$99911,5,FALSE)</f>
        <v>BRUDER RICHARD</v>
      </c>
      <c r="O26" s="203" t="s">
        <v>180</v>
      </c>
      <c r="P26" s="134"/>
      <c r="Q26" s="30"/>
      <c r="R26" s="81" t="str">
        <f>VLOOKUP(C26,'Train Runs'!$A$13:$AE$9919,31,0)</f>
        <v>aws s3 cp s3://rtdc.mdm.uploadarchive.raw/RTDC4013/ "%USERPROFILE%\AppData\Local\Temp\OnboardLogs"\RTDC4013\2017-08-20 --exclude "*" --recursive --include "*20170820*" &amp; "%USERPROFILE%\Documents\GitHub\mrs-test-scripts\Headless Mode &amp; Sideloading\WalkAndUnGZ.bat" "%USERPROFILE%\AppData\Local\Temp\OnboardLogs"\RTDC4013\2017-08-20 &amp; aws s3 cp s3://rtdc.mdm.uploadarchive.raw/RTDC4013/ "%USERPROFILE%\AppData\Local\Temp\OnboardLogs"\RTDC4013\2017-08-21 --exclude "*" --recursive --include "*20170821*" &amp; "%USERPROFILE%\Documents\GitHub\mrs-test-scripts\Headless Mode &amp; Sideloading\WalkAndUnGZ.bat" "%USERPROFILE%\AppData\Local\Temp\OnboardLogs"\RTDC4013\2017-08-21</v>
      </c>
      <c r="S26" s="84" t="str">
        <f>VLOOKUP(C26,'Train Runs'!$A$13:$AE$9919,22,0)</f>
        <v>https://d0f6bd738d7f1b3e5a7ca70fe4ff75f0.us-east-1.aws.found.io/app/kibana#/discover/Steve-Slow-Train-Analysis-(2080s-and-2083s)?_g=(refreshInterval:(display:Off,pause:!f,section:0,value:0),time:(from:'2017-08-20T16:54:03-0600',mode:absolute,to:'2017-08-20T19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6" s="86" t="str">
        <f t="shared" si="1"/>
        <v>"C:\Program Files (x86)\AstroGrep\AstroGrep.exe" /e /r /s /spath="%USERPROFILE%\AppData\Local\Temp\OnboardLogs" /stypes="*4013*201708210*"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4013</v>
      </c>
      <c r="V26" s="31">
        <f t="shared" si="3"/>
        <v>42968.025416666664</v>
      </c>
      <c r="W26" s="45" t="str">
        <f t="shared" si="4"/>
        <v>EC</v>
      </c>
      <c r="X26" s="22">
        <f t="shared" si="5"/>
        <v>208</v>
      </c>
      <c r="Y26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{"issue":{"subject":"","project_id":79,"tracker_id":40,"status_id":1,"priority_id":2,"assigned_to_id":23,"start_date":"2017-08-20","description":"","custom_fields":[{"id":1,"name":"Subdivision","value":"EC"},{"id":4,"name":"Milepost","value":"0.0001"},{"id":17,"name":"Train ID","value":"208-20"},{"id":16,"name":"Locomotive ID","value":"4013"},{"id":130,"name":"Impact","value":""},{"id":150,"name":"Time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/c/Users/stu/AppData/Local/Temp/OnboardLogs/RTDC4013 --include="*4013*201708210*"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"%USERPROFILE%\AppData\Local\Temp\OnboardLogs"\RTDC4013\*4013*201708210* &gt;&gt; 2017-08-20-SliceDisagreementCheck.txt</v>
      </c>
      <c r="AE26" s="145" t="str">
        <f t="shared" si="9"/>
        <v>start /low /b %USERPROFILE%\Documents\GitHub\eaglep3\Utilities\DownloadLogsFromS3.py --loco 4013 --day 2017-08-21</v>
      </c>
      <c r="AF26" s="1"/>
    </row>
    <row r="27" spans="1:32" x14ac:dyDescent="0.25">
      <c r="A27" s="31">
        <v>42967.941388888888</v>
      </c>
      <c r="B27" s="30" t="s">
        <v>567</v>
      </c>
      <c r="C27" s="30" t="s">
        <v>568</v>
      </c>
      <c r="D27" s="30" t="s">
        <v>49</v>
      </c>
      <c r="E27" s="30" t="s">
        <v>181</v>
      </c>
      <c r="F27" s="42">
        <v>0</v>
      </c>
      <c r="G27" s="42">
        <v>44</v>
      </c>
      <c r="H27" s="42">
        <v>147</v>
      </c>
      <c r="I27" s="42">
        <v>121</v>
      </c>
      <c r="J27" s="30" t="s">
        <v>182</v>
      </c>
      <c r="K27" s="42">
        <v>1</v>
      </c>
      <c r="L27" s="131" t="s">
        <v>51</v>
      </c>
      <c r="M27" s="132">
        <f t="shared" si="0"/>
        <v>63.36</v>
      </c>
      <c r="N27" s="133" t="str">
        <f>VLOOKUP(C27,'Trips&amp;Operators'!$C$1:$G$99911,5,FALSE)</f>
        <v>DUNCAN SHEILA</v>
      </c>
      <c r="O27" s="203" t="s">
        <v>180</v>
      </c>
      <c r="P27" s="134"/>
      <c r="Q27" s="30"/>
      <c r="R27" s="81" t="str">
        <f>VLOOKUP(C27,'Train Runs'!$A$13:$AE$9919,31,0)</f>
        <v>aws s3 cp s3://rtdc.mdm.uploadarchive.raw/RTDC4005/ "%USERPROFILE%\AppData\Local\Temp\OnboardLogs"\RTDC4005\2017-08-20 --exclude "*" --recursive --include "*20170820*" &amp; "%USERPROFILE%\Documents\GitHub\mrs-test-scripts\Headless Mode &amp; Sideloading\WalkAndUnGZ.bat" "%USERPROFILE%\AppData\Local\Temp\OnboardLogs"\RTDC4005\2017-08-20 &amp; aws s3 cp s3://rtdc.mdm.uploadarchive.raw/RTDC4005/ "%USERPROFILE%\AppData\Local\Temp\OnboardLogs"\RTDC4005\2017-08-21 --exclude "*" --recursive --include "*20170821*" &amp; "%USERPROFILE%\Documents\GitHub\mrs-test-scripts\Headless Mode &amp; Sideloading\WalkAndUnGZ.bat" "%USERPROFILE%\AppData\Local\Temp\OnboardLogs"\RTDC4005\2017-08-21</v>
      </c>
      <c r="S27" s="84" t="str">
        <f>VLOOKUP(C27,'Train Runs'!$A$13:$AE$9919,22,0)</f>
        <v>https://d0f6bd738d7f1b3e5a7ca70fe4ff75f0.us-east-1.aws.found.io/app/kibana#/discover/Steve-Slow-Train-Analysis-(2080s-and-2083s)?_g=(refreshInterval:(display:Off,pause:!f,section:0,value:0),time:(from:'2017-08-20T20:50:59-0600',mode:absolute,to:'2017-08-20T23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6" t="str">
        <f t="shared" si="1"/>
        <v>"C:\Program Files (x86)\AstroGrep\AstroGrep.exe" /e /r /s /spath="%USERPROFILE%\AppData\Local\Temp\OnboardLogs" /stypes="*4005*201708210*" /stext=" 04:.+((SYSTEM_STATE.+slice.+state.+changed )|(ment ac)|(multiple cpu faults)|(system.+state.+changed )|(\[timeout)|(PRM\|1\|D)|(kpr)|(kdp)|(train st.+moving)|(\|lc)|(penalty))"</v>
      </c>
      <c r="U27" s="9" t="str">
        <f t="shared" si="2"/>
        <v>4005</v>
      </c>
      <c r="V27" s="31">
        <f t="shared" si="3"/>
        <v>42968.191388888888</v>
      </c>
      <c r="W27" s="45" t="str">
        <f t="shared" si="4"/>
        <v>EC</v>
      </c>
      <c r="X27" s="22">
        <f t="shared" si="5"/>
        <v>230</v>
      </c>
      <c r="Y27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{"issue":{"subject":"","project_id":79,"tracker_id":40,"status_id":1,"priority_id":2,"assigned_to_id":23,"start_date":"2017-08-20","description":"","custom_fields":[{"id":1,"name":"Subdivision","value":"EC"},{"id":4,"name":"Milepost","value":"0.0001"},{"id":17,"name":"Train ID","value":"230-20"},{"id":16,"name":"Locomotive ID","value":"4005"},{"id":130,"name":"Impact","value":""},{"id":150,"name":"Time of Event (Mountain Time)","value":"22:35:36"},{"id":151,"name":"Denver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/c/Users/stu/AppData/Local/Temp/OnboardLogs/RTDC4005 --include="*4005*201708210*"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"%USERPROFILE%\AppData\Local\Temp\OnboardLogs"\RTDC4005\*4005*201708210* &gt;&gt; 2017-08-20-SliceDisagreementCheck.txt</v>
      </c>
      <c r="AE27" s="145" t="str">
        <f t="shared" si="9"/>
        <v>start /low /b %USERPROFILE%\Documents\GitHub\eaglep3\Utilities\DownloadLogsFromS3.py --loco 4005 --day 2017-08-21</v>
      </c>
      <c r="AF27" s="1"/>
    </row>
    <row r="28" spans="1:32" x14ac:dyDescent="0.25">
      <c r="A28" s="31">
        <v>42967.18949074074</v>
      </c>
      <c r="B28" s="30" t="s">
        <v>526</v>
      </c>
      <c r="C28" s="30" t="s">
        <v>527</v>
      </c>
      <c r="D28" s="30" t="s">
        <v>49</v>
      </c>
      <c r="E28" s="30" t="s">
        <v>181</v>
      </c>
      <c r="F28" s="42">
        <v>0</v>
      </c>
      <c r="G28" s="42">
        <v>41</v>
      </c>
      <c r="H28" s="42">
        <v>233266</v>
      </c>
      <c r="I28" s="42">
        <v>233285</v>
      </c>
      <c r="J28" s="30" t="s">
        <v>182</v>
      </c>
      <c r="K28" s="42">
        <v>233491</v>
      </c>
      <c r="L28" s="131" t="s">
        <v>50</v>
      </c>
      <c r="M28" s="132">
        <f t="shared" si="0"/>
        <v>108.768</v>
      </c>
      <c r="N28" s="133" t="str">
        <f>VLOOKUP(C28,'Trips&amp;Operators'!$C$1:$G$99911,5,FALSE)</f>
        <v>WILLIAMS DONTE</v>
      </c>
      <c r="O28" s="203" t="s">
        <v>180</v>
      </c>
      <c r="P28" s="134"/>
      <c r="Q28" s="30"/>
      <c r="R28" s="81" t="str">
        <f>VLOOKUP(C28,'Train Runs'!$A$13:$AE$9919,31,0)</f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S28" s="84" t="str">
        <f>VLOOKUP(C28,'Train Runs'!$A$13:$AE$9919,22,0)</f>
        <v>https://d0f6bd738d7f1b3e5a7ca70fe4ff75f0.us-east-1.aws.found.io/app/kibana#/discover/Steve-Slow-Train-Analysis-(2080s-and-2083s)?_g=(refreshInterval:(display:Off,pause:!f,section:0,value:0),time:(from:'2017-08-20T03:00:42-0600',mode:absolute,to:'2017-08-20T05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86" t="str">
        <f t="shared" si="1"/>
        <v>"C:\Program Files (x86)\AstroGrep\AstroGrep.exe" /e /r /s /spath="%USERPROFILE%\AppData\Local\Temp\OnboardLogs" /stypes="*4054*201708201*" /stext=" 10:.+((SYSTEM_STATE.+slice.+state.+changed )|(ment ac)|(multiple cpu faults)|(system.+state.+changed )|(\[timeout)|(PRM\|1\|D)|(kpr)|(kdp)|(train st.+moving)|(\|lc)|(penalty))"</v>
      </c>
      <c r="U28" s="9" t="str">
        <f t="shared" si="2"/>
        <v>4054</v>
      </c>
      <c r="V28" s="31">
        <f t="shared" si="3"/>
        <v>42967.43949074074</v>
      </c>
      <c r="W28" s="45" t="str">
        <f t="shared" si="4"/>
        <v>EC</v>
      </c>
      <c r="X28" s="22">
        <f t="shared" si="5"/>
        <v>103</v>
      </c>
      <c r="Y28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{"issue":{"subject":"","project_id":79,"tracker_id":40,"status_id":1,"priority_id":2,"assigned_to_id":23,"start_date":"2017-08-20","description":"","custom_fields":[{"id":1,"name":"Subdivision","value":"EC"},{"id":4,"name":"Milepost","value":"23.3491"},{"id":17,"name":"Train ID","value":"103-20"},{"id":16,"name":"Locomotive ID","value":"4054"},{"id":130,"name":"Impact","value":""},{"id":150,"name":"Time of Event (Mountain Time)","value":"04:32:52"},{"id":151,"name":"Denver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/c/Users/stu/AppData/Local/Temp/OnboardLogs/RTDC4054 --include="*4054*201708201*"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"%USERPROFILE%\AppData\Local\Temp\OnboardLogs"\RTDC4054\*4054*201708201* &gt;&gt; 2017-08-20-SliceDisagreementCheck.txt</v>
      </c>
      <c r="AE28" s="145" t="str">
        <f t="shared" si="9"/>
        <v>start /low /b %USERPROFILE%\Documents\GitHub\eaglep3\Utilities\DownloadLogsFromS3.py --loco 4054 --day 2017-08-20</v>
      </c>
      <c r="AF28" s="1"/>
    </row>
    <row r="29" spans="1:32" x14ac:dyDescent="0.25">
      <c r="A29" s="31">
        <v>42967.306134259263</v>
      </c>
      <c r="B29" s="30" t="s">
        <v>476</v>
      </c>
      <c r="C29" s="30" t="s">
        <v>532</v>
      </c>
      <c r="D29" s="30" t="s">
        <v>49</v>
      </c>
      <c r="E29" s="30" t="s">
        <v>181</v>
      </c>
      <c r="F29" s="42">
        <v>0</v>
      </c>
      <c r="G29" s="42">
        <v>41</v>
      </c>
      <c r="H29" s="42">
        <v>233326</v>
      </c>
      <c r="I29" s="42">
        <v>233360</v>
      </c>
      <c r="J29" s="30" t="s">
        <v>182</v>
      </c>
      <c r="K29" s="42">
        <v>233491</v>
      </c>
      <c r="L29" s="131" t="s">
        <v>50</v>
      </c>
      <c r="M29" s="132">
        <f t="shared" si="0"/>
        <v>69.168000000000006</v>
      </c>
      <c r="N29" s="133" t="str">
        <f>VLOOKUP(C29,'Trips&amp;Operators'!$C$1:$G$99911,5,FALSE)</f>
        <v>MAELZER KURT</v>
      </c>
      <c r="O29" s="203" t="s">
        <v>180</v>
      </c>
      <c r="P29" s="134"/>
      <c r="Q29" s="30"/>
      <c r="R29" s="81" t="str">
        <f>VLOOKUP(C29,'Train Runs'!$A$13:$AE$9919,31,0)</f>
        <v>aws s3 cp s3://rtdc.mdm.uploadarchive.raw/RTDC4006/ "%USERPROFILE%\AppData\Local\Temp\OnboardLogs"\RTDC4006\2017-08-20 --exclude "*" --recursive --include "*20170820*" &amp; "%USERPROFILE%\Documents\GitHub\mrs-test-scripts\Headless Mode &amp; Sideloading\WalkAndUnGZ.bat" "%USERPROFILE%\AppData\Local\Temp\OnboardLogs"\RTDC4006\2017-08-20 &amp; aws s3 cp s3://rtdc.mdm.uploadarchive.raw/RTDC4006/ "%USERPROFILE%\AppData\Local\Temp\OnboardLogs"\RTDC4006\2017-08-21 --exclude "*" --recursive --include "*20170821*" &amp; "%USERPROFILE%\Documents\GitHub\mrs-test-scripts\Headless Mode &amp; Sideloading\WalkAndUnGZ.bat" "%USERPROFILE%\AppData\Local\Temp\OnboardLogs"\RTDC4006\2017-08-21</v>
      </c>
      <c r="S29" s="84" t="str">
        <f>VLOOKUP(C29,'Train Runs'!$A$13:$AE$9919,22,0)</f>
        <v>https://d0f6bd738d7f1b3e5a7ca70fe4ff75f0.us-east-1.aws.found.io/app/kibana#/discover/Steve-Slow-Train-Analysis-(2080s-and-2083s)?_g=(refreshInterval:(display:Off,pause:!f,section:0,value:0),time:(from:'2017-08-20T05:41:35-0600',mode:absolute,to:'2017-08-20T08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9" s="86" t="str">
        <f t="shared" si="1"/>
        <v>"C:\Program Files (x86)\AstroGrep\AstroGrep.exe" /e /r /s /spath="%USERPROFILE%\AppData\Local\Temp\OnboardLogs" /stypes="*4006*201708201*"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4006</v>
      </c>
      <c r="V29" s="31">
        <f t="shared" si="3"/>
        <v>42967.556134259263</v>
      </c>
      <c r="W29" s="45" t="str">
        <f t="shared" si="4"/>
        <v>EC</v>
      </c>
      <c r="X29" s="22">
        <f t="shared" si="5"/>
        <v>125</v>
      </c>
      <c r="Y29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{"issue":{"subject":"","project_id":79,"tracker_id":40,"status_id":1,"priority_id":2,"assigned_to_id":23,"start_date":"2017-08-20","description":"","custom_fields":[{"id":1,"name":"Subdivision","value":"EC"},{"id":4,"name":"Milepost","value":"23.3491"},{"id":17,"name":"Train ID","value":"125-20"},{"id":16,"name":"Locomotive ID","value":"4006"},{"id":130,"name":"Impact","value":""},{"id":150,"name":"Time of Event (Mountain Time)","value":"07:20:50"},{"id":151,"name":"Denver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/c/Users/stu/AppData/Local/Temp/OnboardLogs/RTDC4006 --include="*4006*201708201*"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"%USERPROFILE%\AppData\Local\Temp\OnboardLogs"\RTDC4006\*4006*201708201* &gt;&gt; 2017-08-20-SliceDisagreementCheck.txt</v>
      </c>
      <c r="AE29" s="145" t="str">
        <f t="shared" si="9"/>
        <v>start /low /b %USERPROFILE%\Documents\GitHub\eaglep3\Utilities\DownloadLogsFromS3.py --loco 4006 --day 2017-08-20</v>
      </c>
      <c r="AF29" s="1"/>
    </row>
    <row r="30" spans="1:32" x14ac:dyDescent="0.25">
      <c r="A30" s="31">
        <v>42967.506249999999</v>
      </c>
      <c r="B30" s="30" t="s">
        <v>380</v>
      </c>
      <c r="C30" s="30" t="s">
        <v>538</v>
      </c>
      <c r="D30" s="30" t="s">
        <v>49</v>
      </c>
      <c r="E30" s="30" t="s">
        <v>181</v>
      </c>
      <c r="F30" s="42">
        <v>0</v>
      </c>
      <c r="G30" s="42">
        <v>101</v>
      </c>
      <c r="H30" s="42">
        <v>233111</v>
      </c>
      <c r="I30" s="42">
        <v>233206</v>
      </c>
      <c r="J30" s="30" t="s">
        <v>182</v>
      </c>
      <c r="K30" s="42">
        <v>233491</v>
      </c>
      <c r="L30" s="131" t="s">
        <v>50</v>
      </c>
      <c r="M30" s="132">
        <f t="shared" si="0"/>
        <v>150.47999999999999</v>
      </c>
      <c r="N30" s="133" t="str">
        <f>VLOOKUP(C30,'Trips&amp;Operators'!$C$1:$G$99911,5,FALSE)</f>
        <v>THOMPSON LESTER</v>
      </c>
      <c r="O30" s="203" t="s">
        <v>180</v>
      </c>
      <c r="P30" s="134"/>
      <c r="Q30" s="30"/>
      <c r="R30" s="81" t="str">
        <f>VLOOKUP(C30,'Train Runs'!$A$13:$AE$9919,31,0)</f>
        <v>aws s3 cp s3://rtdc.mdm.uploadarchive.raw/RTDC4018/ "%USERPROFILE%\AppData\Local\Temp\OnboardLogs"\RTDC4018\2017-08-20 --exclude "*" --recursive --include "*20170820*" &amp; "%USERPROFILE%\Documents\GitHub\mrs-test-scripts\Headless Mode &amp; Sideloading\WalkAndUnGZ.bat" "%USERPROFILE%\AppData\Local\Temp\OnboardLogs"\RTDC4018\2017-08-20 &amp; 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</v>
      </c>
      <c r="S30" s="84" t="str">
        <f>VLOOKUP(C30,'Train Runs'!$A$13:$AE$9919,22,0)</f>
        <v>https://d0f6bd738d7f1b3e5a7ca70fe4ff75f0.us-east-1.aws.found.io/app/kibana#/discover/Steve-Slow-Train-Analysis-(2080s-and-2083s)?_g=(refreshInterval:(display:Off,pause:!f,section:0,value:0),time:(from:'2017-08-20T10:22:58-0600',mode:absolute,to:'2017-08-20T13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86" t="str">
        <f t="shared" si="1"/>
        <v>"C:\Program Files (x86)\AstroGrep\AstroGrep.exe" /e /r /s /spath="%USERPROFILE%\AppData\Local\Temp\OnboardLogs" /stypes="*4018*201708201*"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4018</v>
      </c>
      <c r="V30" s="31">
        <f t="shared" si="3"/>
        <v>42967.756249999999</v>
      </c>
      <c r="W30" s="45" t="str">
        <f t="shared" si="4"/>
        <v>EC</v>
      </c>
      <c r="X30" s="22">
        <f t="shared" si="5"/>
        <v>163</v>
      </c>
      <c r="Y30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{"issue":{"subject":"","project_id":79,"tracker_id":40,"status_id":1,"priority_id":2,"assigned_to_id":23,"start_date":"2017-08-20","description":"","custom_fields":[{"id":1,"name":"Subdivision","value":"EC"},{"id":4,"name":"Milepost","value":"23.3491"},{"id":17,"name":"Train ID","value":"163-20"},{"id":16,"name":"Locomotive ID","value":"4018"},{"id":130,"name":"Impact","value":""},{"id":150,"name":"Time of Event (Mountain Time)","value":"12:09:00"},{"id":151,"name":"Denver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/c/Users/stu/AppData/Local/Temp/OnboardLogs/RTDC4018 --include="*4018*201708201*"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"%USERPROFILE%\AppData\Local\Temp\OnboardLogs"\RTDC4018\*4018*201708201* &gt;&gt; 2017-08-20-SliceDisagreementCheck.txt</v>
      </c>
      <c r="AE30" s="145" t="str">
        <f t="shared" si="9"/>
        <v>start /low /b %USERPROFILE%\Documents\GitHub\eaglep3\Utilities\DownloadLogsFromS3.py --loco 4018 --day 2017-08-20</v>
      </c>
      <c r="AF30" s="1"/>
    </row>
    <row r="31" spans="1:32" x14ac:dyDescent="0.25">
      <c r="A31" s="31">
        <v>42967.695868055554</v>
      </c>
      <c r="B31" s="30" t="s">
        <v>526</v>
      </c>
      <c r="C31" s="30" t="s">
        <v>551</v>
      </c>
      <c r="D31" s="30" t="s">
        <v>49</v>
      </c>
      <c r="E31" s="30" t="s">
        <v>181</v>
      </c>
      <c r="F31" s="42">
        <v>0</v>
      </c>
      <c r="G31" s="42">
        <v>53</v>
      </c>
      <c r="H31" s="42">
        <v>233298</v>
      </c>
      <c r="I31" s="42">
        <v>233319</v>
      </c>
      <c r="J31" s="30" t="s">
        <v>182</v>
      </c>
      <c r="K31" s="42">
        <v>233491</v>
      </c>
      <c r="L31" s="131" t="s">
        <v>50</v>
      </c>
      <c r="M31" s="132">
        <f t="shared" si="0"/>
        <v>90.816000000000003</v>
      </c>
      <c r="N31" s="133" t="str">
        <f>VLOOKUP(C31,'Trips&amp;Operators'!$C$1:$G$99911,5,FALSE)</f>
        <v>ROMERO CHAD</v>
      </c>
      <c r="O31" s="203" t="s">
        <v>180</v>
      </c>
      <c r="P31" s="134"/>
      <c r="Q31" s="30"/>
      <c r="R31" s="81" t="str">
        <f>VLOOKUP(C31,'Train Runs'!$A$13:$AE$9919,31,0)</f>
        <v>aws s3 cp s3://rtdc.mdm.uploadarchive.raw/RTDC4054/ "%USERPROFILE%\AppData\Local\Temp\OnboardLogs"\RTDC4054\2017-08-20 --exclude "*" --recursive --include "*20170820*" &amp; "%USERPROFILE%\Documents\GitHub\mrs-test-scripts\Headless Mode &amp; Sideloading\WalkAndUnGZ.bat" "%USERPROFILE%\AppData\Local\Temp\OnboardLogs"\RTDC4054\2017-08-20 &amp; aws s3 cp s3://rtdc.mdm.uploadarchive.raw/RTDC4054/ "%USERPROFILE%\AppData\Local\Temp\OnboardLogs"\RTDC4054\2017-08-21 --exclude "*" --recursive --include "*20170821*" &amp; "%USERPROFILE%\Documents\GitHub\mrs-test-scripts\Headless Mode &amp; Sideloading\WalkAndUnGZ.bat" "%USERPROFILE%\AppData\Local\Temp\OnboardLogs"\RTDC4054\2017-08-21</v>
      </c>
      <c r="S31" s="84" t="str">
        <f>VLOOKUP(C31,'Train Runs'!$A$13:$AE$9919,22,0)</f>
        <v>https://d0f6bd738d7f1b3e5a7ca70fe4ff75f0.us-east-1.aws.found.io/app/kibana#/discover/Steve-Slow-Train-Analysis-(2080s-and-2083s)?_g=(refreshInterval:(display:Off,pause:!f,section:0,value:0),time:(from:'2017-08-20T15:00:37-0600',mode:absolute,to:'2017-08-20T17:42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1" s="86" t="str">
        <f t="shared" si="1"/>
        <v>"C:\Program Files (x86)\AstroGrep\AstroGrep.exe" /e /r /s /spath="%USERPROFILE%\AppData\Local\Temp\OnboardLogs" /stypes="*4054*201708202*"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4054</v>
      </c>
      <c r="V31" s="31">
        <f t="shared" si="3"/>
        <v>42967.945868055554</v>
      </c>
      <c r="W31" s="45" t="str">
        <f t="shared" si="4"/>
        <v>EC</v>
      </c>
      <c r="X31" s="22">
        <f t="shared" si="5"/>
        <v>199</v>
      </c>
      <c r="Y31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{"issue":{"subject":"","project_id":79,"tracker_id":40,"status_id":1,"priority_id":2,"assigned_to_id":23,"start_date":"2017-08-20","description":"","custom_fields":[{"id":1,"name":"Subdivision","value":"EC"},{"id":4,"name":"Milepost","value":"23.3491"},{"id":17,"name":"Train ID","value":"199-20"},{"id":16,"name":"Locomotive ID","value":"4054"},{"id":130,"name":"Impact","value":""},{"id":150,"name":"Time of Event (Mountain Time)","value":"16:42:03"},{"id":151,"name":"Denver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/c/Users/stu/AppData/Local/Temp/OnboardLogs/RTDC4054 --include="*4054*201708202*"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"%USERPROFILE%\AppData\Local\Temp\OnboardLogs"\RTDC4054\*4054*201708202* &gt;&gt; 2017-08-20-SliceDisagreementCheck.txt</v>
      </c>
      <c r="AE31" s="145" t="str">
        <f t="shared" si="9"/>
        <v>start /low /b %USERPROFILE%\Documents\GitHub\eaglep3\Utilities\DownloadLogsFromS3.py --loco 4054 --day 2017-08-20</v>
      </c>
      <c r="AF31" s="1"/>
    </row>
    <row r="32" spans="1:32" x14ac:dyDescent="0.25">
      <c r="A32" s="31">
        <v>42967.786030092589</v>
      </c>
      <c r="B32" s="30" t="s">
        <v>560</v>
      </c>
      <c r="C32" s="30" t="s">
        <v>561</v>
      </c>
      <c r="D32" s="30" t="s">
        <v>49</v>
      </c>
      <c r="E32" s="30" t="s">
        <v>181</v>
      </c>
      <c r="F32" s="42">
        <v>0</v>
      </c>
      <c r="G32" s="42">
        <v>57</v>
      </c>
      <c r="H32" s="42">
        <v>233357</v>
      </c>
      <c r="I32" s="42">
        <v>233416</v>
      </c>
      <c r="J32" s="30" t="s">
        <v>182</v>
      </c>
      <c r="K32" s="42">
        <v>233491</v>
      </c>
      <c r="L32" s="131" t="s">
        <v>50</v>
      </c>
      <c r="M32" s="132">
        <f t="shared" si="0"/>
        <v>39.6</v>
      </c>
      <c r="N32" s="133" t="str">
        <f>VLOOKUP(C32,'Trips&amp;Operators'!$C$1:$G$99911,5,FALSE)</f>
        <v>PERKINS DARREN</v>
      </c>
      <c r="O32" s="203" t="s">
        <v>180</v>
      </c>
      <c r="P32" s="134"/>
      <c r="Q32" s="30"/>
      <c r="R32" s="81" t="str">
        <f>VLOOKUP(C32,'Train Runs'!$A$13:$AE$9919,31,0)</f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S32" s="84" t="str">
        <f>VLOOKUP(C32,'Train Runs'!$A$13:$AE$9919,22,0)</f>
        <v>https://d0f6bd738d7f1b3e5a7ca70fe4ff75f0.us-east-1.aws.found.io/app/kibana#/discover/Steve-Slow-Train-Analysis-(2080s-and-2083s)?_g=(refreshInterval:(display:Off,pause:!f,section:0,value:0),time:(from:'2017-08-20T17:11:24-0600',mode:absolute,to:'2017-08-20T19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2" s="86" t="str">
        <f t="shared" si="1"/>
        <v>"C:\Program Files (x86)\AstroGrep\AstroGrep.exe" /e /r /s /spath="%USERPROFILE%\AppData\Local\Temp\OnboardLogs" /stypes="*4058*201708210*"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4058</v>
      </c>
      <c r="V32" s="31">
        <f t="shared" si="3"/>
        <v>42968.036030092589</v>
      </c>
      <c r="W32" s="45" t="str">
        <f t="shared" si="4"/>
        <v>EC</v>
      </c>
      <c r="X32" s="22">
        <f t="shared" si="5"/>
        <v>217</v>
      </c>
      <c r="Y32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{"issue":{"subject":"","project_id":79,"tracker_id":40,"status_id":1,"priority_id":2,"assigned_to_id":23,"start_date":"2017-08-20","description":"","custom_fields":[{"id":1,"name":"Subdivision","value":"EC"},{"id":4,"name":"Milepost","value":"23.3491"},{"id":17,"name":"Train ID","value":"217-20"},{"id":16,"name":"Locomotive ID","value":"4058"},{"id":130,"name":"Impact","value":""},{"id":150,"name":"Time of Event (Mountain Time)","value":"18:51:53"},{"id":151,"name":"Denver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/c/Users/stu/AppData/Local/Temp/OnboardLogs/RTDC4058 --include="*4058*201708210*"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"%USERPROFILE%\AppData\Local\Temp\OnboardLogs"\RTDC4058\*4058*201708210* &gt;&gt; 2017-08-20-SliceDisagreementCheck.txt</v>
      </c>
      <c r="AE32" s="145" t="str">
        <f t="shared" si="9"/>
        <v>start /low /b %USERPROFILE%\Documents\GitHub\eaglep3\Utilities\DownloadLogsFromS3.py --loco 4058 --day 2017-08-21</v>
      </c>
      <c r="AF32" s="1"/>
    </row>
    <row r="33" spans="1:32" x14ac:dyDescent="0.25">
      <c r="A33" s="31">
        <v>42967.858749999999</v>
      </c>
      <c r="B33" s="30" t="s">
        <v>560</v>
      </c>
      <c r="C33" s="30" t="s">
        <v>563</v>
      </c>
      <c r="D33" s="30" t="s">
        <v>49</v>
      </c>
      <c r="E33" s="30" t="s">
        <v>181</v>
      </c>
      <c r="F33" s="42">
        <v>0</v>
      </c>
      <c r="G33" s="42">
        <v>38</v>
      </c>
      <c r="H33" s="42">
        <v>233410</v>
      </c>
      <c r="I33" s="42">
        <v>233429</v>
      </c>
      <c r="J33" s="30" t="s">
        <v>182</v>
      </c>
      <c r="K33" s="42">
        <v>233491</v>
      </c>
      <c r="L33" s="131" t="s">
        <v>50</v>
      </c>
      <c r="M33" s="132">
        <f t="shared" si="0"/>
        <v>32.735999999999997</v>
      </c>
      <c r="N33" s="133" t="str">
        <f>VLOOKUP(C33,'Trips&amp;Operators'!$C$1:$G$99911,5,FALSE)</f>
        <v>PERKINS DARREN</v>
      </c>
      <c r="O33" s="203" t="s">
        <v>180</v>
      </c>
      <c r="P33" s="134"/>
      <c r="Q33" s="30"/>
      <c r="R33" s="81" t="str">
        <f>VLOOKUP(C33,'Train Runs'!$A$13:$AE$9919,31,0)</f>
        <v>aws s3 cp s3://rtdc.mdm.uploadarchive.raw/RTDC4058/ "%USERPROFILE%\AppData\Local\Temp\OnboardLogs"\RTDC4058\2017-08-20 --exclude "*" --recursive --include "*20170820*" &amp; "%USERPROFILE%\Documents\GitHub\mrs-test-scripts\Headless Mode &amp; Sideloading\WalkAndUnGZ.bat" "%USERPROFILE%\AppData\Local\Temp\OnboardLogs"\RTDC4058\2017-08-20 &amp; 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</v>
      </c>
      <c r="S33" s="84" t="str">
        <f>VLOOKUP(C33,'Train Runs'!$A$13:$AE$9919,22,0)</f>
        <v>https://d0f6bd738d7f1b3e5a7ca70fe4ff75f0.us-east-1.aws.found.io/app/kibana#/discover/Steve-Slow-Train-Analysis-(2080s-and-2083s)?_g=(refreshInterval:(display:Off,pause:!f,section:0,value:0),time:(from:'2017-08-20T18:52:32-0600',mode:absolute,to:'2017-08-20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3" s="86" t="str">
        <f t="shared" si="1"/>
        <v>"C:\Program Files (x86)\AstroGrep\AstroGrep.exe" /e /r /s /spath="%USERPROFILE%\AppData\Local\Temp\OnboardLogs" /stypes="*4058*201708210*" /stext=" 02:.+((SYSTEM_STATE.+slice.+state.+changed )|(ment ac)|(multiple cpu faults)|(system.+state.+changed )|(\[timeout)|(PRM\|1\|D)|(kpr)|(kdp)|(train st.+moving)|(\|lc)|(penalty))"</v>
      </c>
      <c r="U33" s="9" t="str">
        <f t="shared" si="2"/>
        <v>4058</v>
      </c>
      <c r="V33" s="31">
        <f t="shared" si="3"/>
        <v>42968.108749999999</v>
      </c>
      <c r="W33" s="45" t="str">
        <f t="shared" si="4"/>
        <v>EC</v>
      </c>
      <c r="X33" s="22">
        <f t="shared" si="5"/>
        <v>225</v>
      </c>
      <c r="Y33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{"issue":{"subject":"","project_id":79,"tracker_id":40,"status_id":1,"priority_id":2,"assigned_to_id":23,"start_date":"2017-08-20","description":"","custom_fields":[{"id":1,"name":"Subdivision","value":"EC"},{"id":4,"name":"Milepost","value":"23.3491"},{"id":17,"name":"Train ID","value":"225-20"},{"id":16,"name":"Locomotive ID","value":"4058"},{"id":130,"name":"Impact","value":""},{"id":150,"name":"Time of Event (Mountain Time)","value":"20:36:36"},{"id":151,"name":"Denver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/c/Users/stu/AppData/Local/Temp/OnboardLogs/RTDC4058 --include="*4058*201708210*"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"%USERPROFILE%\AppData\Local\Temp\OnboardLogs"\RTDC4058\*4058*201708210* &gt;&gt; 2017-08-20-SliceDisagreementCheck.txt</v>
      </c>
      <c r="AE33" s="145" t="str">
        <f t="shared" si="9"/>
        <v>start /low /b %USERPROFILE%\Documents\GitHub\eaglep3\Utilities\DownloadLogsFromS3.py --loco 4058 --day 2017-08-21</v>
      </c>
      <c r="AF33" s="1"/>
    </row>
    <row r="34" spans="1:32" x14ac:dyDescent="0.25">
      <c r="A34" s="31">
        <v>42968.024918981479</v>
      </c>
      <c r="B34" s="30" t="s">
        <v>560</v>
      </c>
      <c r="C34" s="30" t="s">
        <v>570</v>
      </c>
      <c r="D34" s="30" t="s">
        <v>49</v>
      </c>
      <c r="E34" s="30" t="s">
        <v>181</v>
      </c>
      <c r="F34" s="42">
        <v>0</v>
      </c>
      <c r="G34" s="42">
        <v>50</v>
      </c>
      <c r="H34" s="42">
        <v>233380</v>
      </c>
      <c r="I34" s="42">
        <v>233437</v>
      </c>
      <c r="J34" s="30" t="s">
        <v>182</v>
      </c>
      <c r="K34" s="42">
        <v>233491</v>
      </c>
      <c r="L34" s="131" t="s">
        <v>50</v>
      </c>
      <c r="M34" s="132">
        <f t="shared" si="0"/>
        <v>28.512</v>
      </c>
      <c r="N34" s="133" t="str">
        <f>VLOOKUP(C34,'Trips&amp;Operators'!$C$1:$G$99911,5,FALSE)</f>
        <v>PERKINS DARREN</v>
      </c>
      <c r="O34" s="203" t="s">
        <v>180</v>
      </c>
      <c r="P34" s="134"/>
      <c r="Q34" s="30"/>
      <c r="R34" s="81" t="str">
        <f>VLOOKUP(C34,'Train Runs'!$A$13:$AE$9919,31,0)</f>
        <v>aws s3 cp s3://rtdc.mdm.uploadarchive.raw/RTDC4058/ "%USERPROFILE%\AppData\Local\Temp\OnboardLogs"\RTDC4058\2017-08-21 --exclude "*" --recursive --include "*20170821*" &amp; "%USERPROFILE%\Documents\GitHub\mrs-test-scripts\Headless Mode &amp; Sideloading\WalkAndUnGZ.bat" "%USERPROFILE%\AppData\Local\Temp\OnboardLogs"\RTDC4058\2017-08-21 &amp; 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</v>
      </c>
      <c r="S34" s="84" t="str">
        <f>VLOOKUP(C34,'Train Runs'!$A$13:$AE$9919,22,0)</f>
        <v>https://d0f6bd738d7f1b3e5a7ca70fe4ff75f0.us-east-1.aws.found.io/app/kibana#/discover/Steve-Slow-Train-Analysis-(2080s-and-2083s)?_g=(refreshInterval:(display:Off,pause:!f,section:0,value:0),time:(from:'2017-08-20T22:38:14-0600',mode:absolute,to:'2017-08-21T01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4" s="86" t="str">
        <f t="shared" si="1"/>
        <v>"C:\Program Files (x86)\AstroGrep\AstroGrep.exe" /e /r /s /spath="%USERPROFILE%\AppData\Local\Temp\OnboardLogs" /stypes="*4058*201708210*" /stext=" 06:.+((SYSTEM_STATE.+slice.+state.+changed )|(ment ac)|(multiple cpu faults)|(system.+state.+changed )|(\[timeout)|(PRM\|1\|D)|(kpr)|(kdp)|(train st.+moving)|(\|lc)|(penalty))"</v>
      </c>
      <c r="U34" s="9" t="str">
        <f t="shared" si="2"/>
        <v>4058</v>
      </c>
      <c r="V34" s="31">
        <f t="shared" si="3"/>
        <v>42968.274918981479</v>
      </c>
      <c r="W34" s="45" t="str">
        <f t="shared" si="4"/>
        <v>EC</v>
      </c>
      <c r="X34" s="22">
        <f t="shared" si="5"/>
        <v>241</v>
      </c>
      <c r="Y34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{"issue":{"subject":"","project_id":79,"tracker_id":40,"status_id":1,"priority_id":2,"assigned_to_id":23,"start_date":"2017-08-21","description":"","custom_fields":[{"id":1,"name":"Subdivision","value":"EC"},{"id":4,"name":"Milepost","value":"23.3491"},{"id":17,"name":"Train ID","value":"241-20"},{"id":16,"name":"Locomotive ID","value":"4058"},{"id":130,"name":"Impact","value":""},{"id":150,"name":"Time of Event (Mountain Time)","value":"00:35:53"},{"id":151,"name":"Denver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/c/Users/stu/AppData/Local/Temp/OnboardLogs/RTDC4058 --include="*4058*201708210*"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"%USERPROFILE%\AppData\Local\Temp\OnboardLogs"\RTDC4058\*4058*201708210* &gt;&gt; 2017-08-20-SliceDisagreementCheck.txt</v>
      </c>
      <c r="AE34" s="145" t="str">
        <f t="shared" si="9"/>
        <v>start /low /b %USERPROFILE%\Documents\GitHub\eaglep3\Utilities\DownloadLogsFromS3.py --loco 4058 --day 2017-08-21</v>
      </c>
      <c r="AF34" s="1"/>
    </row>
    <row r="35" spans="1:32" x14ac:dyDescent="0.25">
      <c r="A35" s="31">
        <v>42967.600474537037</v>
      </c>
      <c r="B35" s="30" t="s">
        <v>473</v>
      </c>
      <c r="C35" s="30" t="s">
        <v>545</v>
      </c>
      <c r="D35" s="30" t="s">
        <v>49</v>
      </c>
      <c r="E35" s="30" t="s">
        <v>187</v>
      </c>
      <c r="F35" s="42">
        <v>300</v>
      </c>
      <c r="G35" s="42">
        <v>358</v>
      </c>
      <c r="H35" s="42">
        <v>10576</v>
      </c>
      <c r="I35" s="42">
        <v>11524</v>
      </c>
      <c r="J35" s="30" t="s">
        <v>188</v>
      </c>
      <c r="K35" s="42">
        <v>10714</v>
      </c>
      <c r="L35" s="131" t="s">
        <v>50</v>
      </c>
      <c r="M35" s="132">
        <f t="shared" si="0"/>
        <v>-427.68</v>
      </c>
      <c r="N35" s="133" t="str">
        <f>VLOOKUP(C35,'Trips&amp;Operators'!$C$1:$G$99911,5,FALSE)</f>
        <v>HOLCOMB KAMDEN</v>
      </c>
      <c r="O35" s="203" t="s">
        <v>180</v>
      </c>
      <c r="P35" s="134" t="s">
        <v>418</v>
      </c>
      <c r="Q35" s="30"/>
      <c r="R35" s="81" t="str">
        <f>VLOOKUP(C35,'Train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35" s="84" t="str">
        <f>VLOOKUP(C35,'Train Runs'!$A$13:$AE$9919,22,0)</f>
        <v>https://d0f6bd738d7f1b3e5a7ca70fe4ff75f0.us-east-1.aws.found.io/app/kibana#/discover/Steve-Slow-Train-Analysis-(2080s-and-2083s)?_g=(refreshInterval:(display:Off,pause:!f,section:0,value:0),time:(from:'2017-08-20T12:59:03-0600',mode:absolute,to:'2017-08-20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5" s="86" t="str">
        <f t="shared" si="1"/>
        <v>"C:\Program Files (x86)\AstroGrep\AstroGrep.exe" /e /r /s /spath="%USERPROFILE%\AppData\Local\Temp\OnboardLogs" /stypes="*4028*201708202*"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4028</v>
      </c>
      <c r="V35" s="31">
        <f t="shared" si="3"/>
        <v>42967.850474537037</v>
      </c>
      <c r="W35" s="45" t="str">
        <f t="shared" si="4"/>
        <v>NW</v>
      </c>
      <c r="X35" s="22">
        <f t="shared" si="5"/>
        <v>1817</v>
      </c>
      <c r="Y35" s="96" t="str">
        <f t="shared" si="6"/>
        <v>echo {"issue":{"subject":"Early Arrival","project_id":79,"tracker_id":40,"status_id":1,"priority_id":2,"assigned_to_id":23,"start_date":"2017-08-20","description":"","custom_fields":[{"id":1,"name":"Subdivision","value":"NW"},{"id":4,"name":"Milepost","value":"1.0714"},{"id":17,"name":"Train ID","value":"1817-20"},{"id":16,"name":"Locomotive ID","value":"4028"},{"id":130,"name":"Impact","value":""},{"id":150,"name":"Time of Event (Mountain Time)","value":"14:24:41"},{"id":151,"name":"Denver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/c/Users/stu/AppData/Local/Temp/OnboardLogs/RTDC4028 --include="*4028*201708202*"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"%USERPROFILE%\AppData\Local\Temp\OnboardLogs"\RTDC4028\*4028*201708202* &gt;&gt; 2017-08-20-SliceDisagreementCheck.txt</v>
      </c>
      <c r="AE35" s="145" t="str">
        <f t="shared" si="9"/>
        <v>start /low /b %USERPROFILE%\Documents\GitHub\eaglep3\Utilities\DownloadLogsFromS3.py --loco 4028 --day 2017-08-20</v>
      </c>
      <c r="AF35" s="1"/>
    </row>
    <row r="36" spans="1:32" x14ac:dyDescent="0.25">
      <c r="A36" s="31">
        <v>42967.618379629632</v>
      </c>
      <c r="B36" s="30" t="s">
        <v>472</v>
      </c>
      <c r="C36" s="30" t="s">
        <v>546</v>
      </c>
      <c r="D36" s="30" t="s">
        <v>96</v>
      </c>
      <c r="E36" s="30" t="s">
        <v>196</v>
      </c>
      <c r="F36" s="42">
        <v>300</v>
      </c>
      <c r="G36" s="42">
        <v>351</v>
      </c>
      <c r="H36" s="42">
        <v>21091</v>
      </c>
      <c r="I36" s="42">
        <v>20193</v>
      </c>
      <c r="J36" s="30" t="s">
        <v>197</v>
      </c>
      <c r="K36" s="42">
        <v>23561</v>
      </c>
      <c r="L36" s="131" t="s">
        <v>51</v>
      </c>
      <c r="M36" s="132">
        <f t="shared" si="0"/>
        <v>-1778.3040000000001</v>
      </c>
      <c r="N36" s="133" t="str">
        <f>VLOOKUP(C36,'Trips&amp;Operators'!$C$1:$G$99911,5,FALSE)</f>
        <v>HOLCOMB KAMDEN</v>
      </c>
      <c r="O36" s="203" t="s">
        <v>180</v>
      </c>
      <c r="P36" s="134"/>
      <c r="Q36" s="30"/>
      <c r="R36" s="81" t="str">
        <f>VLOOKUP(C36,'Train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36" s="84" t="str">
        <f>VLOOKUP(C36,'Train Runs'!$A$13:$AE$9919,22,0)</f>
        <v>https://d0f6bd738d7f1b3e5a7ca70fe4ff75f0.us-east-1.aws.found.io/app/kibana#/discover/Steve-Slow-Train-Analysis-(2080s-and-2083s)?_g=(refreshInterval:(display:Off,pause:!f,section:0,value:0),time:(from:'2017-08-20T13:37:02-0600',mode:absolute,to:'2017-08-20T15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86" t="str">
        <f t="shared" si="1"/>
        <v>"C:\Program Files (x86)\AstroGrep\AstroGrep.exe" /e /r /s /spath="%USERPROFILE%\AppData\Local\Temp\OnboardLogs" /stypes="*4027*201708202*"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4027</v>
      </c>
      <c r="V36" s="31">
        <f t="shared" si="3"/>
        <v>42967.868379629632</v>
      </c>
      <c r="W36" s="45" t="str">
        <f t="shared" si="4"/>
        <v>NW</v>
      </c>
      <c r="X36" s="22">
        <f t="shared" si="5"/>
        <v>1818</v>
      </c>
      <c r="Y36" s="96" t="str">
        <f t="shared" si="6"/>
        <v>echo {"issue":{"subject":"","project_id":79,"tracker_id":40,"status_id":1,"priority_id":2,"assigned_to_id":23,"start_date":"2017-08-20","description":"","custom_fields":[{"id":1,"name":"Subdivision","value":"NW"},{"id":4,"name":"Milepost","value":"2.3561"},{"id":17,"name":"Train ID","value":"1818-20"},{"id":16,"name":"Locomotive ID","value":"4027"},{"id":130,"name":"Impact","value":""},{"id":150,"name":"Time of Event (Mountain Time)","value":"14:50:28"},{"id":151,"name":"Denver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/c/Users/stu/AppData/Local/Temp/OnboardLogs/RTDC4027 --include="*4027*201708202*"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"%USERPROFILE%\AppData\Local\Temp\OnboardLogs"\RTDC4027\*4027*201708202* &gt;&gt; 2017-08-20-SliceDisagreementCheck.txt</v>
      </c>
      <c r="AE36" s="145" t="str">
        <f t="shared" si="9"/>
        <v>start /low /b %USERPROFILE%\Documents\GitHub\eaglep3\Utilities\DownloadLogsFromS3.py --loco 4027 --day 2017-08-20</v>
      </c>
      <c r="AF36" s="1"/>
    </row>
    <row r="37" spans="1:32" x14ac:dyDescent="0.25">
      <c r="A37" s="31">
        <v>42967.742002314815</v>
      </c>
      <c r="B37" s="30" t="s">
        <v>472</v>
      </c>
      <c r="C37" s="30" t="s">
        <v>554</v>
      </c>
      <c r="D37" s="30" t="s">
        <v>49</v>
      </c>
      <c r="E37" s="30" t="s">
        <v>196</v>
      </c>
      <c r="F37" s="42">
        <v>300</v>
      </c>
      <c r="G37" s="42">
        <v>406</v>
      </c>
      <c r="H37" s="42">
        <v>24555</v>
      </c>
      <c r="I37" s="42">
        <v>23434</v>
      </c>
      <c r="J37" s="30" t="s">
        <v>197</v>
      </c>
      <c r="K37" s="42">
        <v>23561</v>
      </c>
      <c r="L37" s="131" t="s">
        <v>51</v>
      </c>
      <c r="M37" s="132">
        <f t="shared" si="0"/>
        <v>-67.055999999999997</v>
      </c>
      <c r="N37" s="133" t="str">
        <f>VLOOKUP(C37,'Trips&amp;Operators'!$C$1:$G$99911,5,FALSE)</f>
        <v>HOLCOMB KAMDEN</v>
      </c>
      <c r="O37" s="203" t="s">
        <v>180</v>
      </c>
      <c r="P37" s="134"/>
      <c r="Q37" s="30"/>
      <c r="R37" s="81" t="str">
        <f>VLOOKUP(C37,'Train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37" s="84" t="str">
        <f>VLOOKUP(C37,'Train Runs'!$A$13:$AE$9919,22,0)</f>
        <v>https://d0f6bd738d7f1b3e5a7ca70fe4ff75f0.us-east-1.aws.found.io/app/kibana#/discover/Steve-Slow-Train-Analysis-(2080s-and-2083s)?_g=(refreshInterval:(display:Off,pause:!f,section:0,value:0),time:(from:'2017-08-20T16:38:27-0600',mode:absolute,to:'2017-08-20T18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7" s="86" t="str">
        <f t="shared" si="1"/>
        <v>"C:\Program Files (x86)\AstroGrep\AstroGrep.exe" /e /r /s /spath="%USERPROFILE%\AppData\Local\Temp\OnboardLogs" /stypes="*4027*201708202*"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4027</v>
      </c>
      <c r="V37" s="31">
        <f t="shared" si="3"/>
        <v>42967.992002314815</v>
      </c>
      <c r="W37" s="45" t="str">
        <f t="shared" si="4"/>
        <v>NW</v>
      </c>
      <c r="X37" s="22">
        <f t="shared" si="5"/>
        <v>1824</v>
      </c>
      <c r="Y37" s="96" t="str">
        <f t="shared" si="6"/>
        <v>echo {"issue":{"subject":"","project_id":79,"tracker_id":40,"status_id":1,"priority_id":2,"assigned_to_id":23,"start_date":"2017-08-20","description":"","custom_fields":[{"id":1,"name":"Subdivision","value":"NW"},{"id":4,"name":"Milepost","value":"2.3561"},{"id":17,"name":"Train ID","value":"1824-20"},{"id":16,"name":"Locomotive ID","value":"4027"},{"id":130,"name":"Impact","value":""},{"id":150,"name":"Time of Event (Mountain Time)","value":"17:48:29"},{"id":151,"name":"Denver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/c/Users/stu/AppData/Local/Temp/OnboardLogs/RTDC4027 --include="*4027*201708202*"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"%USERPROFILE%\AppData\Local\Temp\OnboardLogs"\RTDC4027\*4027*201708202* &gt;&gt; 2017-08-20-SliceDisagreementCheck.txt</v>
      </c>
      <c r="AE37" s="145" t="str">
        <f t="shared" si="9"/>
        <v>start /low /b %USERPROFILE%\Documents\GitHub\eaglep3\Utilities\DownloadLogsFromS3.py --loco 4027 --day 2017-08-20</v>
      </c>
      <c r="AF37" s="1"/>
    </row>
    <row r="38" spans="1:32" x14ac:dyDescent="0.25">
      <c r="A38" s="31">
        <v>42967.826284722221</v>
      </c>
      <c r="B38" s="30" t="s">
        <v>472</v>
      </c>
      <c r="C38" s="30" t="s">
        <v>562</v>
      </c>
      <c r="D38" s="30" t="s">
        <v>49</v>
      </c>
      <c r="E38" s="30" t="s">
        <v>196</v>
      </c>
      <c r="F38" s="42">
        <v>300</v>
      </c>
      <c r="G38" s="42">
        <v>359</v>
      </c>
      <c r="H38" s="42">
        <v>24262</v>
      </c>
      <c r="I38" s="42">
        <v>23161</v>
      </c>
      <c r="J38" s="30" t="s">
        <v>197</v>
      </c>
      <c r="K38" s="42">
        <v>23561</v>
      </c>
      <c r="L38" s="131" t="s">
        <v>51</v>
      </c>
      <c r="M38" s="132">
        <f t="shared" ref="M38:M58" si="10">CONVERT((I38-K38)/10000,"mi","ft")*IF(L38="Increasing Mileposts (1)",-1,1)</f>
        <v>-211.2</v>
      </c>
      <c r="N38" s="133" t="str">
        <f>VLOOKUP(C38,'Trips&amp;Operators'!$C$1:$G$99911,5,FALSE)</f>
        <v>HOLCOMB KAMDEN</v>
      </c>
      <c r="O38" s="203" t="s">
        <v>180</v>
      </c>
      <c r="P38" s="134"/>
      <c r="Q38" s="30"/>
      <c r="R38" s="81" t="str">
        <f>VLOOKUP(C38,'Train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38" s="84" t="str">
        <f>VLOOKUP(C38,'Train Runs'!$A$13:$AE$9919,22,0)</f>
        <v>https://d0f6bd738d7f1b3e5a7ca70fe4ff75f0.us-east-1.aws.found.io/app/kibana#/discover/Steve-Slow-Train-Analysis-(2080s-and-2083s)?_g=(refreshInterval:(display:Off,pause:!f,section:0,value:0),time:(from:'2017-08-20T18:37:12-0600',mode:absolute,to:'2017-08-20T20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86" t="str">
        <f t="shared" ref="T38:T58" si="11"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/stypes="*4027*201708210*" /stext=" 01:.+((SYSTEM_STATE.+slice.+state.+changed )|(ment ac)|(multiple cpu faults)|(system.+state.+changed )|(\[timeout)|(PRM\|1\|D)|(kpr)|(kdp)|(train st.+moving)|(\|lc)|(penalty))"</v>
      </c>
      <c r="U38" s="9" t="str">
        <f t="shared" ref="U38:U58" si="12">MID(B38,13,4)</f>
        <v>4027</v>
      </c>
      <c r="V38" s="31">
        <f t="shared" ref="V38:V58" si="13">A38-utc_offset/24</f>
        <v>42968.076284722221</v>
      </c>
      <c r="W38" s="45" t="str">
        <f t="shared" ref="W38:W58" si="14">DetSubdiv(C38)</f>
        <v>NW</v>
      </c>
      <c r="X38" s="22">
        <f t="shared" ref="X38:X58" si="15">VALUE(LEFT(C38,LEN(C38)-3))</f>
        <v>1828</v>
      </c>
      <c r="Y38" s="96" t="str">
        <f t="shared" ref="Y38:Y58" si="16"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{"issue":{"subject":"","project_id":79,"tracker_id":40,"status_id":1,"priority_id":2,"assigned_to_id":23,"start_date":"2017-08-20","description":"","custom_fields":[{"id":1,"name":"Subdivision","value":"NW"},{"id":4,"name":"Milepost","value":"2.3561"},{"id":17,"name":"Train ID","value":"1828-20"},{"id":16,"name":"Locomotive ID","value":"4027"},{"id":130,"name":"Impact","value":""},{"id":150,"name":"Time of Event (Mountain Time)","value":"19:49:51"},{"id":151,"name":"Denver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ref="AC38:AC58" si="17"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/c/Users/stu/AppData/Local/Temp/OnboardLogs/RTDC4027 --include="*4027*201708210*"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"%USERPROFILE%\AppData\Local\Temp\OnboardLogs"\RTDC4027\*4027*201708210* &gt;&gt; 2017-08-20-SliceDisagreementCheck.txt</v>
      </c>
      <c r="AE38" s="145" t="str">
        <f t="shared" si="9"/>
        <v>start /low /b %USERPROFILE%\Documents\GitHub\eaglep3\Utilities\DownloadLogsFromS3.py --loco 4027 --day 2017-08-21</v>
      </c>
      <c r="AF38" s="1"/>
    </row>
    <row r="39" spans="1:32" x14ac:dyDescent="0.25">
      <c r="A39" s="31">
        <v>42967.616932870369</v>
      </c>
      <c r="B39" s="30" t="s">
        <v>472</v>
      </c>
      <c r="C39" s="30" t="s">
        <v>546</v>
      </c>
      <c r="D39" s="30" t="s">
        <v>96</v>
      </c>
      <c r="E39" s="30" t="s">
        <v>196</v>
      </c>
      <c r="F39" s="42">
        <v>600</v>
      </c>
      <c r="G39" s="42">
        <v>656</v>
      </c>
      <c r="H39" s="42">
        <v>30911</v>
      </c>
      <c r="I39" s="42">
        <v>28100</v>
      </c>
      <c r="J39" s="30" t="s">
        <v>197</v>
      </c>
      <c r="K39" s="42">
        <v>36535</v>
      </c>
      <c r="L39" s="131" t="s">
        <v>51</v>
      </c>
      <c r="M39" s="132">
        <f t="shared" si="10"/>
        <v>-4453.68</v>
      </c>
      <c r="N39" s="133" t="str">
        <f>VLOOKUP(C39,'Trips&amp;Operators'!$C$1:$G$99911,5,FALSE)</f>
        <v>HOLCOMB KAMDEN</v>
      </c>
      <c r="O39" s="203" t="s">
        <v>180</v>
      </c>
      <c r="P39" s="134"/>
      <c r="Q39" s="30"/>
      <c r="R39" s="81" t="str">
        <f>VLOOKUP(C39,'Train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39" s="84" t="str">
        <f>VLOOKUP(C39,'Train Runs'!$A$13:$AE$9919,22,0)</f>
        <v>https://d0f6bd738d7f1b3e5a7ca70fe4ff75f0.us-east-1.aws.found.io/app/kibana#/discover/Steve-Slow-Train-Analysis-(2080s-and-2083s)?_g=(refreshInterval:(display:Off,pause:!f,section:0,value:0),time:(from:'2017-08-20T13:37:02-0600',mode:absolute,to:'2017-08-20T15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86" t="str">
        <f t="shared" si="11"/>
        <v>"C:\Program Files (x86)\AstroGrep\AstroGrep.exe" /e /r /s /spath="%USERPROFILE%\AppData\Local\Temp\OnboardLogs" /stypes="*4027*201708202*" /stext=" 20:.+((SYSTEM_STATE.+slice.+state.+changed )|(ment ac)|(multiple cpu faults)|(system.+state.+changed )|(\[timeout)|(PRM\|1\|D)|(kpr)|(kdp)|(train st.+moving)|(\|lc)|(penalty))"</v>
      </c>
      <c r="U39" s="9" t="str">
        <f t="shared" si="12"/>
        <v>4027</v>
      </c>
      <c r="V39" s="31">
        <f t="shared" si="13"/>
        <v>42967.866932870369</v>
      </c>
      <c r="W39" s="45" t="str">
        <f t="shared" si="14"/>
        <v>NW</v>
      </c>
      <c r="X39" s="22">
        <f t="shared" si="15"/>
        <v>1818</v>
      </c>
      <c r="Y39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{"issue":{"subject":"","project_id":79,"tracker_id":40,"status_id":1,"priority_id":2,"assigned_to_id":23,"start_date":"2017-08-20","description":"","custom_fields":[{"id":1,"name":"Subdivision","value":"NW"},{"id":4,"name":"Milepost","value":"3.6535"},{"id":17,"name":"Train ID","value":"1818-20"},{"id":16,"name":"Locomotive ID","value":"4027"},{"id":130,"name":"Impact","value":""},{"id":150,"name":"Time of Event (Mountain Time)","value":"14:48:23"},{"id":151,"name":"Denver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17"/>
        <v>grep -hrE -A400 "Enforcement Action" /c/Users/stu/AppData/Local/Temp/OnboardLogs/RTDC4027 --include="*4027*201708202*"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"%USERPROFILE%\AppData\Local\Temp\OnboardLogs"\RTDC4027\*4027*201708202* &gt;&gt; 2017-08-20-SliceDisagreementCheck.txt</v>
      </c>
      <c r="AE39" s="145" t="str">
        <f t="shared" si="9"/>
        <v>start /low /b %USERPROFILE%\Documents\GitHub\eaglep3\Utilities\DownloadLogsFromS3.py --loco 4027 --day 2017-08-20</v>
      </c>
      <c r="AF39" s="1"/>
    </row>
    <row r="40" spans="1:32" x14ac:dyDescent="0.25">
      <c r="A40" s="31">
        <v>42967.937083333331</v>
      </c>
      <c r="B40" s="30" t="s">
        <v>473</v>
      </c>
      <c r="C40" s="30" t="s">
        <v>566</v>
      </c>
      <c r="D40" s="30" t="s">
        <v>96</v>
      </c>
      <c r="E40" s="30" t="s">
        <v>196</v>
      </c>
      <c r="F40" s="42">
        <v>300</v>
      </c>
      <c r="G40" s="42">
        <v>350</v>
      </c>
      <c r="H40" s="42">
        <v>42129</v>
      </c>
      <c r="I40" s="42">
        <v>43195</v>
      </c>
      <c r="J40" s="30" t="s">
        <v>197</v>
      </c>
      <c r="K40" s="42">
        <v>39716</v>
      </c>
      <c r="L40" s="131" t="s">
        <v>50</v>
      </c>
      <c r="M40" s="132">
        <f t="shared" si="10"/>
        <v>-1836.912</v>
      </c>
      <c r="N40" s="133" t="str">
        <f>VLOOKUP(C40,'Trips&amp;Operators'!$C$1:$G$99911,5,FALSE)</f>
        <v>HOLCOMB KAMDEN</v>
      </c>
      <c r="O40" s="203" t="s">
        <v>180</v>
      </c>
      <c r="P40" s="134"/>
      <c r="Q40" s="30"/>
      <c r="R40" s="81" t="str">
        <f>VLOOKUP(C40,'Train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40" s="84" t="str">
        <f>VLOOKUP(C40,'Train Runs'!$A$13:$AE$9919,22,0)</f>
        <v>https://d0f6bd738d7f1b3e5a7ca70fe4ff75f0.us-east-1.aws.found.io/app/kibana#/discover/Steve-Slow-Train-Analysis-(2080s-and-2083s)?_g=(refreshInterval:(display:Off,pause:!f,section:0,value:0),time:(from:'2017-08-20T21:18:45-0600',mode:absolute,to:'2017-08-20T23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0" s="86" t="str">
        <f t="shared" si="11"/>
        <v>"C:\Program Files (x86)\AstroGrep\AstroGrep.exe" /e /r /s /spath="%USERPROFILE%\AppData\Local\Temp\OnboardLogs" /stypes="*4028*201708210*" /stext=" 04:.+((SYSTEM_STATE.+slice.+state.+changed )|(ment ac)|(multiple cpu faults)|(system.+state.+changed )|(\[timeout)|(PRM\|1\|D)|(kpr)|(kdp)|(train st.+moving)|(\|lc)|(penalty))"</v>
      </c>
      <c r="U40" s="9" t="str">
        <f t="shared" si="12"/>
        <v>4028</v>
      </c>
      <c r="V40" s="31">
        <f t="shared" si="13"/>
        <v>42968.187083333331</v>
      </c>
      <c r="W40" s="45" t="str">
        <f t="shared" si="14"/>
        <v>NW</v>
      </c>
      <c r="X40" s="22">
        <f t="shared" si="15"/>
        <v>1833</v>
      </c>
      <c r="Y40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{"issue":{"subject":"","project_id":79,"tracker_id":40,"status_id":1,"priority_id":2,"assigned_to_id":23,"start_date":"2017-08-20","description":"","custom_fields":[{"id":1,"name":"Subdivision","value":"NW"},{"id":4,"name":"Milepost","value":"3.9716"},{"id":17,"name":"Train ID","value":"1833-20"},{"id":16,"name":"Locomotive ID","value":"4028"},{"id":130,"name":"Impact","value":""},{"id":150,"name":"Time of Event (Mountain Time)","value":"22:29:24"},{"id":151,"name":"Denver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/c/Users/stu/AppData/Local/Temp/OnboardLogs/RTDC4028 --include="*4028*201708210*"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"%USERPROFILE%\AppData\Local\Temp\OnboardLogs"\RTDC4028\*4028*201708210* &gt;&gt; 2017-08-20-SliceDisagreementCheck.txt</v>
      </c>
      <c r="AE40" s="145" t="str">
        <f t="shared" si="9"/>
        <v>start /low /b %USERPROFILE%\Documents\GitHub\eaglep3\Utilities\DownloadLogsFromS3.py --loco 4028 --day 2017-08-21</v>
      </c>
      <c r="AF40" s="1"/>
    </row>
    <row r="41" spans="1:32" x14ac:dyDescent="0.25">
      <c r="A41" s="31">
        <v>42967.646909722222</v>
      </c>
      <c r="B41" s="30" t="s">
        <v>473</v>
      </c>
      <c r="C41" s="30" t="s">
        <v>547</v>
      </c>
      <c r="D41" s="30" t="s">
        <v>49</v>
      </c>
      <c r="E41" s="30" t="s">
        <v>196</v>
      </c>
      <c r="F41" s="42">
        <v>150</v>
      </c>
      <c r="G41" s="42">
        <v>338</v>
      </c>
      <c r="H41" s="42">
        <v>55180</v>
      </c>
      <c r="I41" s="42">
        <v>55928</v>
      </c>
      <c r="J41" s="30" t="s">
        <v>197</v>
      </c>
      <c r="K41" s="42">
        <v>57008</v>
      </c>
      <c r="L41" s="131" t="s">
        <v>50</v>
      </c>
      <c r="M41" s="132">
        <f t="shared" si="10"/>
        <v>570.24</v>
      </c>
      <c r="N41" s="133" t="str">
        <f>VLOOKUP(C41,'Trips&amp;Operators'!$C$1:$G$99911,5,FALSE)</f>
        <v>HOLCOMB KAMDEN</v>
      </c>
      <c r="O41" s="203" t="s">
        <v>180</v>
      </c>
      <c r="P41" s="134"/>
      <c r="Q41" s="30"/>
      <c r="R41" s="81" t="str">
        <f>VLOOKUP(C41,'Train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41" s="84" t="str">
        <f>VLOOKUP(C41,'Train Runs'!$A$13:$AE$9919,22,0)</f>
        <v>https://d0f6bd738d7f1b3e5a7ca70fe4ff75f0.us-east-1.aws.found.io/app/kibana#/discover/Steve-Slow-Train-Analysis-(2080s-and-2083s)?_g=(refreshInterval:(display:Off,pause:!f,section:0,value:0),time:(from:'2017-08-20T14:15:55-0600',mode:absolute,to:'2017-08-20T16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1" s="86" t="str">
        <f t="shared" si="11"/>
        <v>"C:\Program Files (x86)\AstroGrep\AstroGrep.exe" /e /r /s /spath="%USERPROFILE%\AppData\Local\Temp\OnboardLogs" /stypes="*4028*201708202*" /stext=" 21:.+((SYSTEM_STATE.+slice.+state.+changed )|(ment ac)|(multiple cpu faults)|(system.+state.+changed )|(\[timeout)|(PRM\|1\|D)|(kpr)|(kdp)|(train st.+moving)|(\|lc)|(penalty))"</v>
      </c>
      <c r="U41" s="9" t="str">
        <f t="shared" si="12"/>
        <v>4028</v>
      </c>
      <c r="V41" s="31">
        <f t="shared" si="13"/>
        <v>42967.896909722222</v>
      </c>
      <c r="W41" s="45" t="str">
        <f t="shared" si="14"/>
        <v>NW</v>
      </c>
      <c r="X41" s="22">
        <f t="shared" si="15"/>
        <v>1819</v>
      </c>
      <c r="Y41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{"issue":{"subject":"","project_id":79,"tracker_id":40,"status_id":1,"priority_id":2,"assigned_to_id":23,"start_date":"2017-08-20","description":"","custom_fields":[{"id":1,"name":"Subdivision","value":"NW"},{"id":4,"name":"Milepost","value":"5.7008"},{"id":17,"name":"Train ID","value":"1819-20"},{"id":16,"name":"Locomotive ID","value":"4028"},{"id":130,"name":"Impact","value":""},{"id":150,"name":"Time of Event (Mountain Time)","value":"15:31:33"},{"id":151,"name":"Denver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/c/Users/stu/AppData/Local/Temp/OnboardLogs/RTDC4028 --include="*4028*201708202*"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"%USERPROFILE%\AppData\Local\Temp\OnboardLogs"\RTDC4028\*4028*201708202* &gt;&gt; 2017-08-20-SliceDisagreementCheck.txt</v>
      </c>
      <c r="AE41" s="145" t="str">
        <f t="shared" si="9"/>
        <v>start /low /b %USERPROFILE%\Documents\GitHub\eaglep3\Utilities\DownloadLogsFromS3.py --loco 4028 --day 2017-08-20</v>
      </c>
      <c r="AF41" s="1"/>
    </row>
    <row r="42" spans="1:32" x14ac:dyDescent="0.25">
      <c r="A42" s="31">
        <v>42967.897141203706</v>
      </c>
      <c r="B42" s="30" t="s">
        <v>473</v>
      </c>
      <c r="C42" s="30" t="s">
        <v>564</v>
      </c>
      <c r="D42" s="30" t="s">
        <v>49</v>
      </c>
      <c r="E42" s="30" t="s">
        <v>196</v>
      </c>
      <c r="F42" s="42">
        <v>150</v>
      </c>
      <c r="G42" s="42">
        <v>331</v>
      </c>
      <c r="H42" s="42">
        <v>55438</v>
      </c>
      <c r="I42" s="42">
        <v>56099</v>
      </c>
      <c r="J42" s="30" t="s">
        <v>197</v>
      </c>
      <c r="K42" s="42">
        <v>57008</v>
      </c>
      <c r="L42" s="131" t="s">
        <v>50</v>
      </c>
      <c r="M42" s="132">
        <f t="shared" si="10"/>
        <v>479.952</v>
      </c>
      <c r="N42" s="133" t="str">
        <f>VLOOKUP(C42,'Trips&amp;Operators'!$C$1:$G$99911,5,FALSE)</f>
        <v>HOLCOMB KAMDEN</v>
      </c>
      <c r="O42" s="203" t="s">
        <v>180</v>
      </c>
      <c r="P42" s="134"/>
      <c r="Q42" s="30"/>
      <c r="R42" s="81" t="str">
        <f>VLOOKUP(C42,'Train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42" s="84" t="str">
        <f>VLOOKUP(C42,'Train Runs'!$A$13:$AE$9919,22,0)</f>
        <v>https://d0f6bd738d7f1b3e5a7ca70fe4ff75f0.us-east-1.aws.found.io/app/kibana#/discover/Steve-Slow-Train-Analysis-(2080s-and-2083s)?_g=(refreshInterval:(display:Off,pause:!f,section:0,value:0),time:(from:'2017-08-20T20:15:08-0600',mode:absolute,to:'2017-08-20T22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2" s="86" t="str">
        <f t="shared" si="11"/>
        <v>"C:\Program Files (x86)\AstroGrep\AstroGrep.exe" /e /r /s /spath="%USERPROFILE%\AppData\Local\Temp\OnboardLogs" /stypes="*4028*201708210*" /stext=" 03:.+((SYSTEM_STATE.+slice.+state.+changed )|(ment ac)|(multiple cpu faults)|(system.+state.+changed )|(\[timeout)|(PRM\|1\|D)|(kpr)|(kdp)|(train st.+moving)|(\|lc)|(penalty))"</v>
      </c>
      <c r="U42" s="9" t="str">
        <f t="shared" si="12"/>
        <v>4028</v>
      </c>
      <c r="V42" s="31">
        <f t="shared" si="13"/>
        <v>42968.147141203706</v>
      </c>
      <c r="W42" s="45" t="str">
        <f t="shared" si="14"/>
        <v>NW</v>
      </c>
      <c r="X42" s="22">
        <f t="shared" si="15"/>
        <v>1831</v>
      </c>
      <c r="Y42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{"issue":{"subject":"","project_id":79,"tracker_id":40,"status_id":1,"priority_id":2,"assigned_to_id":23,"start_date":"2017-08-20","description":"","custom_fields":[{"id":1,"name":"Subdivision","value":"NW"},{"id":4,"name":"Milepost","value":"5.7008"},{"id":17,"name":"Train ID","value":"1831-20"},{"id":16,"name":"Locomotive ID","value":"4028"},{"id":130,"name":"Impact","value":""},{"id":150,"name":"Time of Event (Mountain Time)","value":"21:31:53"},{"id":151,"name":"Denver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/c/Users/stu/AppData/Local/Temp/OnboardLogs/RTDC4028 --include="*4028*201708210*"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"%USERPROFILE%\AppData\Local\Temp\OnboardLogs"\RTDC4028\*4028*201708210* &gt;&gt; 2017-08-20-SliceDisagreementCheck.txt</v>
      </c>
      <c r="AE42" s="145" t="str">
        <f t="shared" si="9"/>
        <v>start /low /b %USERPROFILE%\Documents\GitHub\eaglep3\Utilities\DownloadLogsFromS3.py --loco 4028 --day 2017-08-21</v>
      </c>
      <c r="AF42" s="1"/>
    </row>
    <row r="43" spans="1:32" x14ac:dyDescent="0.25">
      <c r="A43" s="31">
        <v>42967.277280092596</v>
      </c>
      <c r="B43" s="30" t="s">
        <v>472</v>
      </c>
      <c r="C43" s="30" t="s">
        <v>530</v>
      </c>
      <c r="D43" s="30" t="s">
        <v>96</v>
      </c>
      <c r="E43" s="30" t="s">
        <v>391</v>
      </c>
      <c r="F43" s="42">
        <v>0</v>
      </c>
      <c r="G43" s="42">
        <v>82</v>
      </c>
      <c r="H43" s="42">
        <v>58311</v>
      </c>
      <c r="I43" s="42">
        <v>58265</v>
      </c>
      <c r="J43" s="30" t="s">
        <v>392</v>
      </c>
      <c r="K43" s="42">
        <v>58472</v>
      </c>
      <c r="L43" s="131" t="s">
        <v>51</v>
      </c>
      <c r="M43" s="132">
        <f t="shared" si="10"/>
        <v>-109.29600000000001</v>
      </c>
      <c r="N43" s="133" t="str">
        <f>VLOOKUP(C43,'Trips&amp;Operators'!$C$1:$G$99911,5,FALSE)</f>
        <v>ROBINSON KADDIBA</v>
      </c>
      <c r="O43" s="203" t="s">
        <v>396</v>
      </c>
      <c r="P43" s="134" t="s">
        <v>936</v>
      </c>
      <c r="Q43" s="30"/>
      <c r="R43" s="81" t="str">
        <f>VLOOKUP(C43,'Train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43" s="84" t="str">
        <f>VLOOKUP(C43,'Train Runs'!$A$13:$AE$9919,22,0)</f>
        <v>https://d0f6bd738d7f1b3e5a7ca70fe4ff75f0.us-east-1.aws.found.io/app/kibana#/discover/Steve-Slow-Train-Analysis-(2080s-and-2083s)?_g=(refreshInterval:(display:Off,pause:!f,section:0,value:0),time:(from:'2017-08-20T05:41:02-0600',mode:absolute,to:'2017-08-20T07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3" s="86" t="str">
        <f t="shared" si="11"/>
        <v>"C:\Program Files (x86)\AstroGrep\AstroGrep.exe" /e /r /s /spath="%USERPROFILE%\AppData\Local\Temp\OnboardLogs" /stypes="*4027*201708201*" /stext=" 12:.+((SYSTEM_STATE.+slice.+state.+changed )|(ment ac)|(multiple cpu faults)|(system.+state.+changed )|(\[timeout)|(PRM\|1\|D)|(kpr)|(kdp)|(train st.+moving)|(\|lc)|(penalty))"</v>
      </c>
      <c r="U43" s="9" t="str">
        <f t="shared" si="12"/>
        <v>4027</v>
      </c>
      <c r="V43" s="31">
        <f t="shared" si="13"/>
        <v>42967.527280092596</v>
      </c>
      <c r="W43" s="45" t="str">
        <f t="shared" si="14"/>
        <v>NW</v>
      </c>
      <c r="X43" s="22">
        <f t="shared" si="15"/>
        <v>1802</v>
      </c>
      <c r="Y43" s="96" t="str">
        <f t="shared" si="16"/>
        <v>echo {"issue":{"subject":"Went active past Westminster 2S","project_id":79,"tracker_id":40,"status_id":1,"priority_id":2,"assigned_to_id":23,"start_date":"2017-08-20","description":"","custom_fields":[{"id":1,"name":"Subdivision","value":"NW"},{"id":4,"name":"Milepost","value":"5.8472"},{"id":17,"name":"Train ID","value":"1802-20"},{"id":16,"name":"Locomotive ID","value":"4027"},{"id":130,"name":"Impact","value":""},{"id":150,"name":"Time of Event (Mountain Time)","value":"06:39:17"},{"id":151,"name":"Denver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/c/Users/stu/AppData/Local/Temp/OnboardLogs/RTDC4027 --include="*4027*201708201*"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"%USERPROFILE%\AppData\Local\Temp\OnboardLogs"\RTDC4027\*4027*201708201* &gt;&gt; 2017-08-20-SliceDisagreementCheck.txt</v>
      </c>
      <c r="AE43" s="145" t="str">
        <f t="shared" si="9"/>
        <v>start /low /b %USERPROFILE%\Documents\GitHub\eaglep3\Utilities\DownloadLogsFromS3.py --loco 4027 --day 2017-08-20</v>
      </c>
      <c r="AF43" s="1"/>
    </row>
    <row r="44" spans="1:32" x14ac:dyDescent="0.25">
      <c r="A44" s="31">
        <v>42967.493518518517</v>
      </c>
      <c r="B44" s="30" t="s">
        <v>472</v>
      </c>
      <c r="C44" s="30" t="s">
        <v>535</v>
      </c>
      <c r="D44" s="30" t="s">
        <v>49</v>
      </c>
      <c r="E44" s="30" t="s">
        <v>407</v>
      </c>
      <c r="F44" s="42">
        <v>0</v>
      </c>
      <c r="G44" s="42">
        <v>470</v>
      </c>
      <c r="H44" s="42">
        <v>17396</v>
      </c>
      <c r="I44" s="42">
        <v>15733</v>
      </c>
      <c r="J44" s="30" t="s">
        <v>408</v>
      </c>
      <c r="K44" s="42">
        <v>14177</v>
      </c>
      <c r="L44" s="131" t="s">
        <v>51</v>
      </c>
      <c r="M44" s="132">
        <f t="shared" si="10"/>
        <v>821.56799999999998</v>
      </c>
      <c r="N44" s="133" t="str">
        <f>VLOOKUP(C44,'Trips&amp;Operators'!$C$1:$G$99911,5,FALSE)</f>
        <v>ROBINSON KADDIBA</v>
      </c>
      <c r="O44" s="203" t="s">
        <v>396</v>
      </c>
      <c r="P44" s="134" t="s">
        <v>933</v>
      </c>
      <c r="Q44" s="30"/>
      <c r="R44" s="81" t="str">
        <f>VLOOKUP(C44,'Train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44" s="84" t="str">
        <f>VLOOKUP(C44,'Train Runs'!$A$13:$AE$9919,22,0)</f>
        <v>https://d0f6bd738d7f1b3e5a7ca70fe4ff75f0.us-east-1.aws.found.io/app/kibana#/discover/Steve-Slow-Train-Analysis-(2080s-and-2083s)?_g=(refreshInterval:(display:Off,pause:!f,section:0,value:0),time:(from:'2017-08-20T10:36:25-0600',mode:absolute,to:'2017-08-20T12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4" s="86" t="str">
        <f t="shared" si="11"/>
        <v>"C:\Program Files (x86)\AstroGrep\AstroGrep.exe" /e /r /s /spath="%USERPROFILE%\AppData\Local\Temp\OnboardLogs" /stypes="*4027*201708201*" /stext=" 17:.+((SYSTEM_STATE.+slice.+state.+changed )|(ment ac)|(multiple cpu faults)|(system.+state.+changed )|(\[timeout)|(PRM\|1\|D)|(kpr)|(kdp)|(train st.+moving)|(\|lc)|(penalty))"</v>
      </c>
      <c r="U44" s="9" t="str">
        <f t="shared" si="12"/>
        <v>4027</v>
      </c>
      <c r="V44" s="31">
        <f t="shared" si="13"/>
        <v>42967.743518518517</v>
      </c>
      <c r="W44" s="45" t="str">
        <f t="shared" si="14"/>
        <v>NW</v>
      </c>
      <c r="X44" s="22">
        <f t="shared" si="15"/>
        <v>1812</v>
      </c>
      <c r="Y44" s="96" t="str">
        <f t="shared" si="16"/>
        <v>echo {"issue":{"subject":"Wi-MAX data drop","project_id":79,"tracker_id":40,"status_id":1,"priority_id":2,"assigned_to_id":23,"start_date":"2017-08-20","description":"","custom_fields":[{"id":1,"name":"Subdivision","value":"NW"},{"id":4,"name":"Milepost","value":"1.4177"},{"id":17,"name":"Train ID","value":"1812-20"},{"id":16,"name":"Locomotive ID","value":"4027"},{"id":130,"name":"Impact","value":""},{"id":150,"name":"Time of Event (Mountain Time)","value":"11:50:40"},{"id":151,"name":"Denver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/c/Users/stu/AppData/Local/Temp/OnboardLogs/RTDC4027 --include="*4027*201708201*"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"%USERPROFILE%\AppData\Local\Temp\OnboardLogs"\RTDC4027\*4027*201708201* &gt;&gt; 2017-08-20-SliceDisagreementCheck.txt</v>
      </c>
      <c r="AE44" s="145" t="str">
        <f t="shared" si="9"/>
        <v>start /low /b %USERPROFILE%\Documents\GitHub\eaglep3\Utilities\DownloadLogsFromS3.py --loco 4027 --day 2017-08-20</v>
      </c>
      <c r="AF44" s="1"/>
    </row>
    <row r="45" spans="1:32" x14ac:dyDescent="0.25">
      <c r="A45" s="31">
        <v>42967.492222222223</v>
      </c>
      <c r="B45" s="30" t="s">
        <v>472</v>
      </c>
      <c r="C45" s="30" t="s">
        <v>535</v>
      </c>
      <c r="D45" s="30" t="s">
        <v>96</v>
      </c>
      <c r="E45" s="30" t="s">
        <v>407</v>
      </c>
      <c r="F45" s="42">
        <v>0</v>
      </c>
      <c r="G45" s="42">
        <v>311</v>
      </c>
      <c r="H45" s="42">
        <v>22499</v>
      </c>
      <c r="I45" s="42">
        <v>21719</v>
      </c>
      <c r="J45" s="30" t="s">
        <v>408</v>
      </c>
      <c r="K45" s="42">
        <v>24235</v>
      </c>
      <c r="L45" s="131" t="s">
        <v>51</v>
      </c>
      <c r="M45" s="132">
        <f t="shared" si="10"/>
        <v>-1328.4480000000001</v>
      </c>
      <c r="N45" s="133" t="str">
        <f>VLOOKUP(C45,'Trips&amp;Operators'!$C$1:$G$99911,5,FALSE)</f>
        <v>ROBINSON KADDIBA</v>
      </c>
      <c r="O45" s="203" t="s">
        <v>396</v>
      </c>
      <c r="P45" s="134" t="s">
        <v>933</v>
      </c>
      <c r="Q45" s="30"/>
      <c r="R45" s="81" t="str">
        <f>VLOOKUP(C45,'Train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45" s="84" t="str">
        <f>VLOOKUP(C45,'Train Runs'!$A$13:$AE$9919,22,0)</f>
        <v>https://d0f6bd738d7f1b3e5a7ca70fe4ff75f0.us-east-1.aws.found.io/app/kibana#/discover/Steve-Slow-Train-Analysis-(2080s-and-2083s)?_g=(refreshInterval:(display:Off,pause:!f,section:0,value:0),time:(from:'2017-08-20T10:36:25-0600',mode:absolute,to:'2017-08-20T12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5" s="86" t="str">
        <f t="shared" si="11"/>
        <v>"C:\Program Files (x86)\AstroGrep\AstroGrep.exe" /e /r /s /spath="%USERPROFILE%\AppData\Local\Temp\OnboardLogs" /stypes="*4027*201708201*" /stext=" 17:.+((SYSTEM_STATE.+slice.+state.+changed )|(ment ac)|(multiple cpu faults)|(system.+state.+changed )|(\[timeout)|(PRM\|1\|D)|(kpr)|(kdp)|(train st.+moving)|(\|lc)|(penalty))"</v>
      </c>
      <c r="U45" s="9" t="str">
        <f t="shared" si="12"/>
        <v>4027</v>
      </c>
      <c r="V45" s="31">
        <f t="shared" si="13"/>
        <v>42967.742222222223</v>
      </c>
      <c r="W45" s="45" t="str">
        <f t="shared" si="14"/>
        <v>NW</v>
      </c>
      <c r="X45" s="22">
        <f t="shared" si="15"/>
        <v>1812</v>
      </c>
      <c r="Y45" s="96" t="str">
        <f t="shared" si="16"/>
        <v>echo {"issue":{"subject":"Wi-MAX data drop","project_id":79,"tracker_id":40,"status_id":1,"priority_id":2,"assigned_to_id":23,"start_date":"2017-08-20","description":"","custom_fields":[{"id":1,"name":"Subdivision","value":"NW"},{"id":4,"name":"Milepost","value":"2.4235"},{"id":17,"name":"Train ID","value":"1812-20"},{"id":16,"name":"Locomotive ID","value":"4027"},{"id":130,"name":"Impact","value":""},{"id":150,"name":"Time of Event (Mountain Time)","value":"11:48:48"},{"id":151,"name":"Denver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/c/Users/stu/AppData/Local/Temp/OnboardLogs/RTDC4027 --include="*4027*201708201*"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"%USERPROFILE%\AppData\Local\Temp\OnboardLogs"\RTDC4027\*4027*201708201* &gt;&gt; 2017-08-20-SliceDisagreementCheck.txt</v>
      </c>
      <c r="AE45" s="145" t="str">
        <f t="shared" si="9"/>
        <v>start /low /b %USERPROFILE%\Documents\GitHub\eaglep3\Utilities\DownloadLogsFromS3.py --loco 4027 --day 2017-08-20</v>
      </c>
      <c r="AF45" s="1"/>
    </row>
    <row r="46" spans="1:32" x14ac:dyDescent="0.25">
      <c r="A46" s="31">
        <v>42967.622407407405</v>
      </c>
      <c r="B46" s="30" t="s">
        <v>472</v>
      </c>
      <c r="C46" s="30" t="s">
        <v>546</v>
      </c>
      <c r="D46" s="30" t="s">
        <v>49</v>
      </c>
      <c r="E46" s="30" t="s">
        <v>181</v>
      </c>
      <c r="F46" s="42">
        <v>0</v>
      </c>
      <c r="G46" s="42">
        <v>151</v>
      </c>
      <c r="H46" s="42">
        <v>1205</v>
      </c>
      <c r="I46" s="42">
        <v>1006</v>
      </c>
      <c r="J46" s="30" t="s">
        <v>182</v>
      </c>
      <c r="K46" s="42">
        <v>575</v>
      </c>
      <c r="L46" s="131" t="s">
        <v>51</v>
      </c>
      <c r="M46" s="132">
        <f t="shared" si="10"/>
        <v>227.56800000000001</v>
      </c>
      <c r="N46" s="133" t="str">
        <f>VLOOKUP(C46,'Trips&amp;Operators'!$C$1:$G$99911,5,FALSE)</f>
        <v>HOLCOMB KAMDEN</v>
      </c>
      <c r="O46" s="203" t="s">
        <v>180</v>
      </c>
      <c r="P46" s="134"/>
      <c r="Q46" s="30"/>
      <c r="R46" s="81" t="str">
        <f>VLOOKUP(C46,'Train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46" s="84" t="str">
        <f>VLOOKUP(C46,'Train Runs'!$A$13:$AE$9919,22,0)</f>
        <v>https://d0f6bd738d7f1b3e5a7ca70fe4ff75f0.us-east-1.aws.found.io/app/kibana#/discover/Steve-Slow-Train-Analysis-(2080s-and-2083s)?_g=(refreshInterval:(display:Off,pause:!f,section:0,value:0),time:(from:'2017-08-20T13:37:02-0600',mode:absolute,to:'2017-08-20T15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6" s="86" t="str">
        <f t="shared" si="11"/>
        <v>"C:\Program Files (x86)\AstroGrep\AstroGrep.exe" /e /r /s /spath="%USERPROFILE%\AppData\Local\Temp\OnboardLogs" /stypes="*4027*201708202*" /stext=" 20:.+((SYSTEM_STATE.+slice.+state.+changed )|(ment ac)|(multiple cpu faults)|(system.+state.+changed )|(\[timeout)|(PRM\|1\|D)|(kpr)|(kdp)|(train st.+moving)|(\|lc)|(penalty))"</v>
      </c>
      <c r="U46" s="9" t="str">
        <f t="shared" si="12"/>
        <v>4027</v>
      </c>
      <c r="V46" s="31">
        <f t="shared" si="13"/>
        <v>42967.872407407405</v>
      </c>
      <c r="W46" s="45" t="str">
        <f t="shared" si="14"/>
        <v>NW</v>
      </c>
      <c r="X46" s="22">
        <f t="shared" si="15"/>
        <v>1818</v>
      </c>
      <c r="Y46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{"issue":{"subject":"","project_id":79,"tracker_id":40,"status_id":1,"priority_id":2,"assigned_to_id":23,"start_date":"2017-08-20","description":"","custom_fields":[{"id":1,"name":"Subdivision","value":"NW"},{"id":4,"name":"Milepost","value":"0.0575"},{"id":17,"name":"Train ID","value":"1818-20"},{"id":16,"name":"Locomotive ID","value":"4027"},{"id":130,"name":"Impact","value":""},{"id":150,"name":"Time of Event (Mountain Time)","value":"14:56:16"},{"id":151,"name":"Denver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/c/Users/stu/AppData/Local/Temp/OnboardLogs/RTDC4027 --include="*4027*201708202*"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"%USERPROFILE%\AppData\Local\Temp\OnboardLogs"\RTDC4027\*4027*201708202* &gt;&gt; 2017-08-20-SliceDisagreementCheck.txt</v>
      </c>
      <c r="AE46" s="145" t="str">
        <f t="shared" si="9"/>
        <v>start /low /b %USERPROFILE%\Documents\GitHub\eaglep3\Utilities\DownloadLogsFromS3.py --loco 4027 --day 2017-08-20</v>
      </c>
      <c r="AF46" s="1"/>
    </row>
    <row r="47" spans="1:32" x14ac:dyDescent="0.25">
      <c r="A47" s="31">
        <v>42967.62296296296</v>
      </c>
      <c r="B47" s="30" t="s">
        <v>472</v>
      </c>
      <c r="C47" s="30" t="s">
        <v>546</v>
      </c>
      <c r="D47" s="30" t="s">
        <v>49</v>
      </c>
      <c r="E47" s="30" t="s">
        <v>181</v>
      </c>
      <c r="F47" s="42">
        <v>0</v>
      </c>
      <c r="G47" s="42">
        <v>52</v>
      </c>
      <c r="H47" s="42">
        <v>773</v>
      </c>
      <c r="I47" s="42">
        <v>724</v>
      </c>
      <c r="J47" s="30" t="s">
        <v>182</v>
      </c>
      <c r="K47" s="42">
        <v>575</v>
      </c>
      <c r="L47" s="131" t="s">
        <v>51</v>
      </c>
      <c r="M47" s="132">
        <f t="shared" si="10"/>
        <v>78.671999999999997</v>
      </c>
      <c r="N47" s="133" t="str">
        <f>VLOOKUP(C47,'Trips&amp;Operators'!$C$1:$G$99911,5,FALSE)</f>
        <v>HOLCOMB KAMDEN</v>
      </c>
      <c r="O47" s="203" t="s">
        <v>180</v>
      </c>
      <c r="P47" s="134"/>
      <c r="Q47" s="30"/>
      <c r="R47" s="81" t="str">
        <f>VLOOKUP(C47,'Train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47" s="84" t="str">
        <f>VLOOKUP(C47,'Train Runs'!$A$13:$AE$9919,22,0)</f>
        <v>https://d0f6bd738d7f1b3e5a7ca70fe4ff75f0.us-east-1.aws.found.io/app/kibana#/discover/Steve-Slow-Train-Analysis-(2080s-and-2083s)?_g=(refreshInterval:(display:Off,pause:!f,section:0,value:0),time:(from:'2017-08-20T13:37:02-0600',mode:absolute,to:'2017-08-20T15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7" s="86" t="str">
        <f t="shared" si="11"/>
        <v>"C:\Program Files (x86)\AstroGrep\AstroGrep.exe" /e /r /s /spath="%USERPROFILE%\AppData\Local\Temp\OnboardLogs" /stypes="*4027*201708202*" /stext=" 20:.+((SYSTEM_STATE.+slice.+state.+changed )|(ment ac)|(multiple cpu faults)|(system.+state.+changed )|(\[timeout)|(PRM\|1\|D)|(kpr)|(kdp)|(train st.+moving)|(\|lc)|(penalty))"</v>
      </c>
      <c r="U47" s="9" t="str">
        <f t="shared" si="12"/>
        <v>4027</v>
      </c>
      <c r="V47" s="31">
        <f t="shared" si="13"/>
        <v>42967.87296296296</v>
      </c>
      <c r="W47" s="45" t="str">
        <f t="shared" si="14"/>
        <v>NW</v>
      </c>
      <c r="X47" s="22">
        <f t="shared" si="15"/>
        <v>1818</v>
      </c>
      <c r="Y47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{"issue":{"subject":"","project_id":79,"tracker_id":40,"status_id":1,"priority_id":2,"assigned_to_id":23,"start_date":"2017-08-20","description":"","custom_fields":[{"id":1,"name":"Subdivision","value":"NW"},{"id":4,"name":"Milepost","value":"0.0575"},{"id":17,"name":"Train ID","value":"1818-20"},{"id":16,"name":"Locomotive ID","value":"4027"},{"id":130,"name":"Impact","value":""},{"id":150,"name":"Time of Event (Mountain Time)","value":"14:57:04"},{"id":151,"name":"Denver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/c/Users/stu/AppData/Local/Temp/OnboardLogs/RTDC4027 --include="*4027*201708202*"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"%USERPROFILE%\AppData\Local\Temp\OnboardLogs"\RTDC4027\*4027*201708202* &gt;&gt; 2017-08-20-SliceDisagreementCheck.txt</v>
      </c>
      <c r="AE47" s="145" t="str">
        <f t="shared" si="9"/>
        <v>start /low /b %USERPROFILE%\Documents\GitHub\eaglep3\Utilities\DownloadLogsFromS3.py --loco 4027 --day 2017-08-20</v>
      </c>
      <c r="AF47" s="1"/>
    </row>
    <row r="48" spans="1:32" x14ac:dyDescent="0.25">
      <c r="A48" s="31">
        <v>42967.704548611109</v>
      </c>
      <c r="B48" s="30" t="s">
        <v>472</v>
      </c>
      <c r="C48" s="30" t="s">
        <v>552</v>
      </c>
      <c r="D48" s="30" t="s">
        <v>49</v>
      </c>
      <c r="E48" s="30" t="s">
        <v>181</v>
      </c>
      <c r="F48" s="42">
        <v>0</v>
      </c>
      <c r="G48" s="42">
        <v>40</v>
      </c>
      <c r="H48" s="42">
        <v>703</v>
      </c>
      <c r="I48" s="42">
        <v>673</v>
      </c>
      <c r="J48" s="30" t="s">
        <v>182</v>
      </c>
      <c r="K48" s="42">
        <v>575</v>
      </c>
      <c r="L48" s="131" t="s">
        <v>51</v>
      </c>
      <c r="M48" s="132">
        <f t="shared" si="10"/>
        <v>51.744</v>
      </c>
      <c r="N48" s="133" t="str">
        <f>VLOOKUP(C48,'Trips&amp;Operators'!$C$1:$G$99911,5,FALSE)</f>
        <v>HOLCOMB KAMDEN</v>
      </c>
      <c r="O48" s="203" t="s">
        <v>180</v>
      </c>
      <c r="P48" s="134"/>
      <c r="Q48" s="30"/>
      <c r="R48" s="81" t="str">
        <f>VLOOKUP(C48,'Train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48" s="84" t="str">
        <f>VLOOKUP(C48,'Train Runs'!$A$13:$AE$9919,22,0)</f>
        <v>https://d0f6bd738d7f1b3e5a7ca70fe4ff75f0.us-east-1.aws.found.io/app/kibana#/discover/Steve-Slow-Train-Analysis-(2080s-and-2083s)?_g=(refreshInterval:(display:Off,pause:!f,section:0,value:0),time:(from:'2017-08-20T15:36:00-0600',mode:absolute,to:'2017-08-20T17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8" s="86" t="str">
        <f t="shared" si="11"/>
        <v>"C:\Program Files (x86)\AstroGrep\AstroGrep.exe" /e /r /s /spath="%USERPROFILE%\AppData\Local\Temp\OnboardLogs" /stypes="*4027*201708202*" /stext=" 22:.+((SYSTEM_STATE.+slice.+state.+changed )|(ment ac)|(multiple cpu faults)|(system.+state.+changed )|(\[timeout)|(PRM\|1\|D)|(kpr)|(kdp)|(train st.+moving)|(\|lc)|(penalty))"</v>
      </c>
      <c r="U48" s="9" t="str">
        <f t="shared" si="12"/>
        <v>4027</v>
      </c>
      <c r="V48" s="31">
        <f t="shared" si="13"/>
        <v>42967.954548611109</v>
      </c>
      <c r="W48" s="45" t="str">
        <f t="shared" si="14"/>
        <v>NW</v>
      </c>
      <c r="X48" s="22">
        <f t="shared" si="15"/>
        <v>1822</v>
      </c>
      <c r="Y48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{"issue":{"subject":"","project_id":79,"tracker_id":40,"status_id":1,"priority_id":2,"assigned_to_id":23,"start_date":"2017-08-20","description":"","custom_fields":[{"id":1,"name":"Subdivision","value":"NW"},{"id":4,"name":"Milepost","value":"0.0575"},{"id":17,"name":"Train ID","value":"1822-20"},{"id":16,"name":"Locomotive ID","value":"4027"},{"id":130,"name":"Impact","value":""},{"id":150,"name":"Time of Event (Mountain Time)","value":"16:54:33"},{"id":151,"name":"Denver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/c/Users/stu/AppData/Local/Temp/OnboardLogs/RTDC4027 --include="*4027*201708202*"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"%USERPROFILE%\AppData\Local\Temp\OnboardLogs"\RTDC4027\*4027*201708202* &gt;&gt; 2017-08-20-SliceDisagreementCheck.txt</v>
      </c>
      <c r="AE48" s="145" t="str">
        <f t="shared" si="9"/>
        <v>start /low /b %USERPROFILE%\Documents\GitHub\eaglep3\Utilities\DownloadLogsFromS3.py --loco 4027 --day 2017-08-20</v>
      </c>
      <c r="AF48" s="1"/>
    </row>
    <row r="49" spans="1:32" x14ac:dyDescent="0.25">
      <c r="A49" s="31">
        <v>42967.913206018522</v>
      </c>
      <c r="B49" s="30" t="s">
        <v>472</v>
      </c>
      <c r="C49" s="30" t="s">
        <v>565</v>
      </c>
      <c r="D49" s="30" t="s">
        <v>49</v>
      </c>
      <c r="E49" s="30" t="s">
        <v>181</v>
      </c>
      <c r="F49" s="42">
        <v>0</v>
      </c>
      <c r="G49" s="42">
        <v>45</v>
      </c>
      <c r="H49" s="42">
        <v>692</v>
      </c>
      <c r="I49" s="42">
        <v>673</v>
      </c>
      <c r="J49" s="30" t="s">
        <v>182</v>
      </c>
      <c r="K49" s="42">
        <v>575</v>
      </c>
      <c r="L49" s="131" t="s">
        <v>51</v>
      </c>
      <c r="M49" s="132">
        <f t="shared" si="10"/>
        <v>51.744</v>
      </c>
      <c r="N49" s="133" t="str">
        <f>VLOOKUP(C49,'Trips&amp;Operators'!$C$1:$G$99911,5,FALSE)</f>
        <v>HOLCOMB KAMDEN</v>
      </c>
      <c r="O49" s="203" t="s">
        <v>180</v>
      </c>
      <c r="P49" s="134"/>
      <c r="Q49" s="30"/>
      <c r="R49" s="81" t="str">
        <f>VLOOKUP(C49,'Train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49" s="84" t="str">
        <f>VLOOKUP(C49,'Train Runs'!$A$13:$AE$9919,22,0)</f>
        <v>https://d0f6bd738d7f1b3e5a7ca70fe4ff75f0.us-east-1.aws.found.io/app/kibana#/discover/Steve-Slow-Train-Analysis-(2080s-and-2083s)?_g=(refreshInterval:(display:Off,pause:!f,section:0,value:0),time:(from:'2017-08-20T20:36:50-0600',mode:absolute,to:'2017-08-20T22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9" s="86" t="str">
        <f t="shared" si="11"/>
        <v>"C:\Program Files (x86)\AstroGrep\AstroGrep.exe" /e /r /s /spath="%USERPROFILE%\AppData\Local\Temp\OnboardLogs" /stypes="*4027*201708210*" /stext=" 03:.+((SYSTEM_STATE.+slice.+state.+changed )|(ment ac)|(multiple cpu faults)|(system.+state.+changed )|(\[timeout)|(PRM\|1\|D)|(kpr)|(kdp)|(train st.+moving)|(\|lc)|(penalty))"</v>
      </c>
      <c r="U49" s="9" t="str">
        <f t="shared" si="12"/>
        <v>4027</v>
      </c>
      <c r="V49" s="31">
        <f t="shared" si="13"/>
        <v>42968.163206018522</v>
      </c>
      <c r="W49" s="45" t="str">
        <f t="shared" si="14"/>
        <v>NW</v>
      </c>
      <c r="X49" s="22">
        <f t="shared" si="15"/>
        <v>1832</v>
      </c>
      <c r="Y49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{"issue":{"subject":"","project_id":79,"tracker_id":40,"status_id":1,"priority_id":2,"assigned_to_id":23,"start_date":"2017-08-20","description":"","custom_fields":[{"id":1,"name":"Subdivision","value":"NW"},{"id":4,"name":"Milepost","value":"0.0575"},{"id":17,"name":"Train ID","value":"1832-20"},{"id":16,"name":"Locomotive ID","value":"4027"},{"id":130,"name":"Impact","value":""},{"id":150,"name":"Time of Event (Mountain Time)","value":"21:55:01"},{"id":151,"name":"Denver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/c/Users/stu/AppData/Local/Temp/OnboardLogs/RTDC4027 --include="*4027*201708210*"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"%USERPROFILE%\AppData\Local\Temp\OnboardLogs"\RTDC4027\*4027*201708210* &gt;&gt; 2017-08-20-SliceDisagreementCheck.txt</v>
      </c>
      <c r="AE49" s="145" t="str">
        <f t="shared" si="9"/>
        <v>start /low /b %USERPROFILE%\Documents\GitHub\eaglep3\Utilities\DownloadLogsFromS3.py --loco 4027 --day 2017-08-21</v>
      </c>
      <c r="AF49" s="1"/>
    </row>
    <row r="50" spans="1:32" x14ac:dyDescent="0.25">
      <c r="A50" s="31">
        <v>42967.44021990741</v>
      </c>
      <c r="B50" s="30" t="s">
        <v>473</v>
      </c>
      <c r="C50" s="30" t="s">
        <v>534</v>
      </c>
      <c r="D50" s="30" t="s">
        <v>49</v>
      </c>
      <c r="E50" s="30" t="s">
        <v>181</v>
      </c>
      <c r="F50" s="42">
        <v>0</v>
      </c>
      <c r="G50" s="42">
        <v>156</v>
      </c>
      <c r="H50" s="42">
        <v>58093</v>
      </c>
      <c r="I50" s="42">
        <v>58293</v>
      </c>
      <c r="J50" s="30" t="s">
        <v>182</v>
      </c>
      <c r="K50" s="42">
        <v>59048</v>
      </c>
      <c r="L50" s="131" t="s">
        <v>50</v>
      </c>
      <c r="M50" s="132">
        <f t="shared" si="10"/>
        <v>398.64</v>
      </c>
      <c r="N50" s="133" t="str">
        <f>VLOOKUP(C50,'Trips&amp;Operators'!$C$1:$G$99911,5,FALSE)</f>
        <v>ROBINSON KADDIBA</v>
      </c>
      <c r="O50" s="203" t="s">
        <v>180</v>
      </c>
      <c r="P50" s="134"/>
      <c r="Q50" s="30"/>
      <c r="R50" s="81" t="str">
        <f>VLOOKUP(C50,'Train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50" s="84" t="str">
        <f>VLOOKUP(C50,'Train Runs'!$A$13:$AE$9919,22,0)</f>
        <v>https://d0f6bd738d7f1b3e5a7ca70fe4ff75f0.us-east-1.aws.found.io/app/kibana#/discover/Steve-Slow-Train-Analysis-(2080s-and-2083s)?_g=(refreshInterval:(display:Off,pause:!f,section:0,value:0),time:(from:'2017-08-20T08:57:31-0600',mode:absolute,to:'2017-08-20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0" s="86" t="str">
        <f t="shared" si="11"/>
        <v>"C:\Program Files (x86)\AstroGrep\AstroGrep.exe" /e /r /s /spath="%USERPROFILE%\AppData\Local\Temp\OnboardLogs" /stypes="*4028*201708201*" /stext=" 16:.+((SYSTEM_STATE.+slice.+state.+changed )|(ment ac)|(multiple cpu faults)|(system.+state.+changed )|(\[timeout)|(PRM\|1\|D)|(kpr)|(kdp)|(train st.+moving)|(\|lc)|(penalty))"</v>
      </c>
      <c r="U50" s="9" t="str">
        <f t="shared" si="12"/>
        <v>4028</v>
      </c>
      <c r="V50" s="31">
        <f t="shared" si="13"/>
        <v>42967.69021990741</v>
      </c>
      <c r="W50" s="45" t="str">
        <f t="shared" si="14"/>
        <v>NW</v>
      </c>
      <c r="X50" s="22">
        <f t="shared" si="15"/>
        <v>1809</v>
      </c>
      <c r="Y50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{"issue":{"subject":"","project_id":79,"tracker_id":40,"status_id":1,"priority_id":2,"assigned_to_id":23,"start_date":"2017-08-20","description":"","custom_fields":[{"id":1,"name":"Subdivision","value":"NW"},{"id":4,"name":"Milepost","value":"5.9048"},{"id":17,"name":"Train ID","value":"1809-20"},{"id":16,"name":"Locomotive ID","value":"4028"},{"id":130,"name":"Impact","value":""},{"id":150,"name":"Time of Event (Mountain Time)","value":"10:33:55"},{"id":151,"name":"Denver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/c/Users/stu/AppData/Local/Temp/OnboardLogs/RTDC4028 --include="*4028*201708201*"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"%USERPROFILE%\AppData\Local\Temp\OnboardLogs"\RTDC4028\*4028*201708201* &gt;&gt; 2017-08-20-SliceDisagreementCheck.txt</v>
      </c>
      <c r="AE50" s="145" t="str">
        <f t="shared" si="9"/>
        <v>start /low /b %USERPROFILE%\Documents\GitHub\eaglep3\Utilities\DownloadLogsFromS3.py --loco 4028 --day 2017-08-20</v>
      </c>
      <c r="AF50" s="1"/>
    </row>
    <row r="51" spans="1:32" x14ac:dyDescent="0.25">
      <c r="A51" s="31">
        <v>42967.523530092592</v>
      </c>
      <c r="B51" s="30" t="s">
        <v>473</v>
      </c>
      <c r="C51" s="30" t="s">
        <v>539</v>
      </c>
      <c r="D51" s="30" t="s">
        <v>49</v>
      </c>
      <c r="E51" s="30" t="s">
        <v>181</v>
      </c>
      <c r="F51" s="42">
        <v>0</v>
      </c>
      <c r="G51" s="42">
        <v>155</v>
      </c>
      <c r="H51" s="42">
        <v>58062</v>
      </c>
      <c r="I51" s="42">
        <v>58274</v>
      </c>
      <c r="J51" s="30" t="s">
        <v>182</v>
      </c>
      <c r="K51" s="42">
        <v>59048</v>
      </c>
      <c r="L51" s="131" t="s">
        <v>50</v>
      </c>
      <c r="M51" s="132">
        <f t="shared" si="10"/>
        <v>408.67200000000003</v>
      </c>
      <c r="N51" s="133" t="str">
        <f>VLOOKUP(C51,'Trips&amp;Operators'!$C$1:$G$99911,5,FALSE)</f>
        <v>ROBINSON KADDIBA</v>
      </c>
      <c r="O51" s="203" t="s">
        <v>180</v>
      </c>
      <c r="P51" s="134"/>
      <c r="Q51" s="30"/>
      <c r="R51" s="81" t="str">
        <f>VLOOKUP(C51,'Train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51" s="84" t="str">
        <f>VLOOKUP(C51,'Train Runs'!$A$13:$AE$9919,22,0)</f>
        <v>https://d0f6bd738d7f1b3e5a7ca70fe4ff75f0.us-east-1.aws.found.io/app/kibana#/discover/Steve-Slow-Train-Analysis-(2080s-and-2083s)?_g=(refreshInterval:(display:Off,pause:!f,section:0,value:0),time:(from:'2017-08-20T11:01:21-0600',mode:absolute,to:'2017-08-20T13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1" s="86" t="str">
        <f t="shared" si="11"/>
        <v>"C:\Program Files (x86)\AstroGrep\AstroGrep.exe" /e /r /s /spath="%USERPROFILE%\AppData\Local\Temp\OnboardLogs" /stypes="*4028*201708201*" /stext=" 18:.+((SYSTEM_STATE.+slice.+state.+changed )|(ment ac)|(multiple cpu faults)|(system.+state.+changed )|(\[timeout)|(PRM\|1\|D)|(kpr)|(kdp)|(train st.+moving)|(\|lc)|(penalty))"</v>
      </c>
      <c r="U51" s="9" t="str">
        <f t="shared" si="12"/>
        <v>4028</v>
      </c>
      <c r="V51" s="31">
        <f t="shared" si="13"/>
        <v>42967.773530092592</v>
      </c>
      <c r="W51" s="45" t="str">
        <f t="shared" si="14"/>
        <v>NW</v>
      </c>
      <c r="X51" s="22">
        <f t="shared" si="15"/>
        <v>1813</v>
      </c>
      <c r="Y51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{"issue":{"subject":"","project_id":79,"tracker_id":40,"status_id":1,"priority_id":2,"assigned_to_id":23,"start_date":"2017-08-20","description":"","custom_fields":[{"id":1,"name":"Subdivision","value":"NW"},{"id":4,"name":"Milepost","value":"5.9048"},{"id":17,"name":"Train ID","value":"1813-20"},{"id":16,"name":"Locomotive ID","value":"4028"},{"id":130,"name":"Impact","value":""},{"id":150,"name":"Time of Event (Mountain Time)","value":"12:33:53"},{"id":151,"name":"Denver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/c/Users/stu/AppData/Local/Temp/OnboardLogs/RTDC4028 --include="*4028*201708201*"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"%USERPROFILE%\AppData\Local\Temp\OnboardLogs"\RTDC4028\*4028*201708201* &gt;&gt; 2017-08-20-SliceDisagreementCheck.txt</v>
      </c>
      <c r="AE51" s="145" t="str">
        <f t="shared" si="9"/>
        <v>start /low /b %USERPROFILE%\Documents\GitHub\eaglep3\Utilities\DownloadLogsFromS3.py --loco 4028 --day 2017-08-20</v>
      </c>
      <c r="AF51" s="1"/>
    </row>
    <row r="52" spans="1:32" x14ac:dyDescent="0.25">
      <c r="A52" s="31">
        <v>42967.524826388886</v>
      </c>
      <c r="B52" s="30" t="s">
        <v>473</v>
      </c>
      <c r="C52" s="30" t="s">
        <v>539</v>
      </c>
      <c r="D52" s="30" t="s">
        <v>49</v>
      </c>
      <c r="E52" s="30" t="s">
        <v>181</v>
      </c>
      <c r="F52" s="42">
        <v>0</v>
      </c>
      <c r="G52" s="42">
        <v>17</v>
      </c>
      <c r="H52" s="42">
        <v>59033</v>
      </c>
      <c r="I52" s="42">
        <v>59037</v>
      </c>
      <c r="J52" s="30" t="s">
        <v>182</v>
      </c>
      <c r="K52" s="42">
        <v>59048</v>
      </c>
      <c r="L52" s="131" t="s">
        <v>50</v>
      </c>
      <c r="M52" s="132">
        <f t="shared" si="10"/>
        <v>5.8079999999999998</v>
      </c>
      <c r="N52" s="133" t="str">
        <f>VLOOKUP(C52,'Trips&amp;Operators'!$C$1:$G$99911,5,FALSE)</f>
        <v>ROBINSON KADDIBA</v>
      </c>
      <c r="O52" s="203" t="s">
        <v>180</v>
      </c>
      <c r="P52" s="134"/>
      <c r="Q52" s="30"/>
      <c r="R52" s="81" t="str">
        <f>VLOOKUP(C52,'Train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52" s="84" t="str">
        <f>VLOOKUP(C52,'Train Runs'!$A$13:$AE$9919,22,0)</f>
        <v>https://d0f6bd738d7f1b3e5a7ca70fe4ff75f0.us-east-1.aws.found.io/app/kibana#/discover/Steve-Slow-Train-Analysis-(2080s-and-2083s)?_g=(refreshInterval:(display:Off,pause:!f,section:0,value:0),time:(from:'2017-08-20T11:01:21-0600',mode:absolute,to:'2017-08-20T13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2" s="86" t="str">
        <f t="shared" si="11"/>
        <v>"C:\Program Files (x86)\AstroGrep\AstroGrep.exe" /e /r /s /spath="%USERPROFILE%\AppData\Local\Temp\OnboardLogs" /stypes="*4028*201708201*" /stext=" 18:.+((SYSTEM_STATE.+slice.+state.+changed )|(ment ac)|(multiple cpu faults)|(system.+state.+changed )|(\[timeout)|(PRM\|1\|D)|(kpr)|(kdp)|(train st.+moving)|(\|lc)|(penalty))"</v>
      </c>
      <c r="U52" s="9" t="str">
        <f t="shared" si="12"/>
        <v>4028</v>
      </c>
      <c r="V52" s="31">
        <f t="shared" si="13"/>
        <v>42967.774826388886</v>
      </c>
      <c r="W52" s="45" t="str">
        <f t="shared" si="14"/>
        <v>NW</v>
      </c>
      <c r="X52" s="22">
        <f t="shared" si="15"/>
        <v>1813</v>
      </c>
      <c r="Y52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{"issue":{"subject":"","project_id":79,"tracker_id":40,"status_id":1,"priority_id":2,"assigned_to_id":23,"start_date":"2017-08-20","description":"","custom_fields":[{"id":1,"name":"Subdivision","value":"NW"},{"id":4,"name":"Milepost","value":"5.9048"},{"id":17,"name":"Train ID","value":"1813-20"},{"id":16,"name":"Locomotive ID","value":"4028"},{"id":130,"name":"Impact","value":""},{"id":150,"name":"Time of Event (Mountain Time)","value":"12:35:45"},{"id":151,"name":"Denver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/c/Users/stu/AppData/Local/Temp/OnboardLogs/RTDC4028 --include="*4028*201708201*"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"%USERPROFILE%\AppData\Local\Temp\OnboardLogs"\RTDC4028\*4028*201708201* &gt;&gt; 2017-08-20-SliceDisagreementCheck.txt</v>
      </c>
      <c r="AE52" s="145" t="str">
        <f t="shared" si="9"/>
        <v>start /low /b %USERPROFILE%\Documents\GitHub\eaglep3\Utilities\DownloadLogsFromS3.py --loco 4028 --day 2017-08-20</v>
      </c>
      <c r="AF52" s="1"/>
    </row>
    <row r="53" spans="1:32" x14ac:dyDescent="0.25">
      <c r="A53" s="31">
        <v>42967.648981481485</v>
      </c>
      <c r="B53" s="30" t="s">
        <v>473</v>
      </c>
      <c r="C53" s="30" t="s">
        <v>547</v>
      </c>
      <c r="D53" s="30" t="s">
        <v>49</v>
      </c>
      <c r="E53" s="30" t="s">
        <v>181</v>
      </c>
      <c r="F53" s="42">
        <v>0</v>
      </c>
      <c r="G53" s="42">
        <v>110</v>
      </c>
      <c r="H53" s="42">
        <v>58608</v>
      </c>
      <c r="I53" s="42">
        <v>58781</v>
      </c>
      <c r="J53" s="30" t="s">
        <v>182</v>
      </c>
      <c r="K53" s="42">
        <v>59048</v>
      </c>
      <c r="L53" s="131" t="s">
        <v>50</v>
      </c>
      <c r="M53" s="132">
        <f t="shared" si="10"/>
        <v>140.976</v>
      </c>
      <c r="N53" s="133" t="str">
        <f>VLOOKUP(C53,'Trips&amp;Operators'!$C$1:$G$99911,5,FALSE)</f>
        <v>HOLCOMB KAMDEN</v>
      </c>
      <c r="O53" s="203" t="s">
        <v>180</v>
      </c>
      <c r="P53" s="134"/>
      <c r="Q53" s="30"/>
      <c r="R53" s="81" t="str">
        <f>VLOOKUP(C53,'Train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53" s="84" t="str">
        <f>VLOOKUP(C53,'Train Runs'!$A$13:$AE$9919,22,0)</f>
        <v>https://d0f6bd738d7f1b3e5a7ca70fe4ff75f0.us-east-1.aws.found.io/app/kibana#/discover/Steve-Slow-Train-Analysis-(2080s-and-2083s)?_g=(refreshInterval:(display:Off,pause:!f,section:0,value:0),time:(from:'2017-08-20T14:15:55-0600',mode:absolute,to:'2017-08-20T16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3" s="86" t="str">
        <f t="shared" si="11"/>
        <v>"C:\Program Files (x86)\AstroGrep\AstroGrep.exe" /e /r /s /spath="%USERPROFILE%\AppData\Local\Temp\OnboardLogs" /stypes="*4028*201708202*" /stext=" 21:.+((SYSTEM_STATE.+slice.+state.+changed )|(ment ac)|(multiple cpu faults)|(system.+state.+changed )|(\[timeout)|(PRM\|1\|D)|(kpr)|(kdp)|(train st.+moving)|(\|lc)|(penalty))"</v>
      </c>
      <c r="U53" s="9" t="str">
        <f t="shared" si="12"/>
        <v>4028</v>
      </c>
      <c r="V53" s="31">
        <f t="shared" si="13"/>
        <v>42967.898981481485</v>
      </c>
      <c r="W53" s="45" t="str">
        <f t="shared" si="14"/>
        <v>NW</v>
      </c>
      <c r="X53" s="22">
        <f t="shared" si="15"/>
        <v>1819</v>
      </c>
      <c r="Y53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{"issue":{"subject":"","project_id":79,"tracker_id":40,"status_id":1,"priority_id":2,"assigned_to_id":23,"start_date":"2017-08-20","description":"","custom_fields":[{"id":1,"name":"Subdivision","value":"NW"},{"id":4,"name":"Milepost","value":"5.9048"},{"id":17,"name":"Train ID","value":"1819-20"},{"id":16,"name":"Locomotive ID","value":"4028"},{"id":130,"name":"Impact","value":""},{"id":150,"name":"Time of Event (Mountain Time)","value":"15:34:32"},{"id":151,"name":"Denver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/c/Users/stu/AppData/Local/Temp/OnboardLogs/RTDC4028 --include="*4028*201708202*"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"%USERPROFILE%\AppData\Local\Temp\OnboardLogs"\RTDC4028\*4028*201708202* &gt;&gt; 2017-08-20-SliceDisagreementCheck.txt</v>
      </c>
      <c r="AE53" s="145" t="str">
        <f t="shared" si="9"/>
        <v>start /low /b %USERPROFILE%\Documents\GitHub\eaglep3\Utilities\DownloadLogsFromS3.py --loco 4028 --day 2017-08-20</v>
      </c>
      <c r="AF53" s="1"/>
    </row>
    <row r="54" spans="1:32" x14ac:dyDescent="0.25">
      <c r="A54" s="31">
        <v>42967.774456018517</v>
      </c>
      <c r="B54" s="30" t="s">
        <v>473</v>
      </c>
      <c r="C54" s="30" t="s">
        <v>558</v>
      </c>
      <c r="D54" s="30" t="s">
        <v>49</v>
      </c>
      <c r="E54" s="30" t="s">
        <v>181</v>
      </c>
      <c r="F54" s="42">
        <v>0</v>
      </c>
      <c r="G54" s="42">
        <v>26</v>
      </c>
      <c r="H54" s="42">
        <v>58956</v>
      </c>
      <c r="I54" s="42">
        <v>59022</v>
      </c>
      <c r="J54" s="30" t="s">
        <v>182</v>
      </c>
      <c r="K54" s="42">
        <v>59048</v>
      </c>
      <c r="L54" s="131" t="s">
        <v>50</v>
      </c>
      <c r="M54" s="132">
        <f t="shared" si="10"/>
        <v>13.728</v>
      </c>
      <c r="N54" s="133" t="str">
        <f>VLOOKUP(C54,'Trips&amp;Operators'!$C$1:$G$99911,5,FALSE)</f>
        <v>HOLCOMB KAMDEN</v>
      </c>
      <c r="O54" s="203" t="s">
        <v>180</v>
      </c>
      <c r="P54" s="134"/>
      <c r="Q54" s="30"/>
      <c r="R54" s="81" t="str">
        <f>VLOOKUP(C54,'Train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54" s="84" t="str">
        <f>VLOOKUP(C54,'Train Runs'!$A$13:$AE$9919,22,0)</f>
        <v>https://d0f6bd738d7f1b3e5a7ca70fe4ff75f0.us-east-1.aws.found.io/app/kibana#/discover/Steve-Slow-Train-Analysis-(2080s-and-2083s)?_g=(refreshInterval:(display:Off,pause:!f,section:0,value:0),time:(from:'2017-08-20T17:18:56-0600',mode:absolute,to:'2017-08-20T19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4" s="86" t="str">
        <f t="shared" si="11"/>
        <v>"C:\Program Files (x86)\AstroGrep\AstroGrep.exe" /e /r /s /spath="%USERPROFILE%\AppData\Local\Temp\OnboardLogs" /stypes="*4028*201708210*" /stext=" 00:.+((SYSTEM_STATE.+slice.+state.+changed )|(ment ac)|(multiple cpu faults)|(system.+state.+changed )|(\[timeout)|(PRM\|1\|D)|(kpr)|(kdp)|(train st.+moving)|(\|lc)|(penalty))"</v>
      </c>
      <c r="U54" s="9" t="str">
        <f t="shared" si="12"/>
        <v>4028</v>
      </c>
      <c r="V54" s="31">
        <f t="shared" si="13"/>
        <v>42968.024456018517</v>
      </c>
      <c r="W54" s="45" t="str">
        <f t="shared" si="14"/>
        <v>NW</v>
      </c>
      <c r="X54" s="22">
        <f t="shared" si="15"/>
        <v>1825</v>
      </c>
      <c r="Y54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{"issue":{"subject":"","project_id":79,"tracker_id":40,"status_id":1,"priority_id":2,"assigned_to_id":23,"start_date":"2017-08-20","description":"","custom_fields":[{"id":1,"name":"Subdivision","value":"NW"},{"id":4,"name":"Milepost","value":"5.9048"},{"id":17,"name":"Train ID","value":"1825-20"},{"id":16,"name":"Locomotive ID","value":"4028"},{"id":130,"name":"Impact","value":""},{"id":150,"name":"Time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/c/Users/stu/AppData/Local/Temp/OnboardLogs/RTDC4028 --include="*4028*201708210*"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"%USERPROFILE%\AppData\Local\Temp\OnboardLogs"\RTDC4028\*4028*201708210* &gt;&gt; 2017-08-20-SliceDisagreementCheck.txt</v>
      </c>
      <c r="AE54" s="145" t="str">
        <f t="shared" si="9"/>
        <v>start /low /b %USERPROFILE%\Documents\GitHub\eaglep3\Utilities\DownloadLogsFromS3.py --loco 4028 --day 2017-08-21</v>
      </c>
      <c r="AF54" s="1"/>
    </row>
    <row r="55" spans="1:32" x14ac:dyDescent="0.25">
      <c r="A55" s="31">
        <v>42967.899594907409</v>
      </c>
      <c r="B55" s="30" t="s">
        <v>473</v>
      </c>
      <c r="C55" s="30" t="s">
        <v>564</v>
      </c>
      <c r="D55" s="30" t="s">
        <v>49</v>
      </c>
      <c r="E55" s="30" t="s">
        <v>181</v>
      </c>
      <c r="F55" s="42">
        <v>0</v>
      </c>
      <c r="G55" s="42">
        <v>17</v>
      </c>
      <c r="H55" s="42">
        <v>59016</v>
      </c>
      <c r="I55" s="42">
        <v>59031</v>
      </c>
      <c r="J55" s="30" t="s">
        <v>182</v>
      </c>
      <c r="K55" s="42">
        <v>59048</v>
      </c>
      <c r="L55" s="131" t="s">
        <v>50</v>
      </c>
      <c r="M55" s="132">
        <f t="shared" si="10"/>
        <v>8.9760000000000009</v>
      </c>
      <c r="N55" s="133" t="str">
        <f>VLOOKUP(C55,'Trips&amp;Operators'!$C$1:$G$99911,5,FALSE)</f>
        <v>HOLCOMB KAMDEN</v>
      </c>
      <c r="O55" s="203" t="s">
        <v>180</v>
      </c>
      <c r="P55" s="134"/>
      <c r="Q55" s="30"/>
      <c r="R55" s="81" t="str">
        <f>VLOOKUP(C55,'Train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55" s="84" t="str">
        <f>VLOOKUP(C55,'Train Runs'!$A$13:$AE$9919,22,0)</f>
        <v>https://d0f6bd738d7f1b3e5a7ca70fe4ff75f0.us-east-1.aws.found.io/app/kibana#/discover/Steve-Slow-Train-Analysis-(2080s-and-2083s)?_g=(refreshInterval:(display:Off,pause:!f,section:0,value:0),time:(from:'2017-08-20T20:15:08-0600',mode:absolute,to:'2017-08-20T22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5" s="86" t="str">
        <f t="shared" si="11"/>
        <v>"C:\Program Files (x86)\AstroGrep\AstroGrep.exe" /e /r /s /spath="%USERPROFILE%\AppData\Local\Temp\OnboardLogs" /stypes="*4028*201708210*" /stext=" 03:.+((SYSTEM_STATE.+slice.+state.+changed )|(ment ac)|(multiple cpu faults)|(system.+state.+changed )|(\[timeout)|(PRM\|1\|D)|(kpr)|(kdp)|(train st.+moving)|(\|lc)|(penalty))"</v>
      </c>
      <c r="U55" s="9" t="str">
        <f t="shared" si="12"/>
        <v>4028</v>
      </c>
      <c r="V55" s="31">
        <f t="shared" si="13"/>
        <v>42968.149594907409</v>
      </c>
      <c r="W55" s="45" t="str">
        <f t="shared" si="14"/>
        <v>NW</v>
      </c>
      <c r="X55" s="22">
        <f t="shared" si="15"/>
        <v>1831</v>
      </c>
      <c r="Y55" s="96" t="str">
        <f t="shared" si="16"/>
        <v>echo {"issue":{"subject":"","project_id":79,"tracker_id":40,"status_id":1,"priority_id":2,"assigned_to_id":23,"start_date":"2017-08-20","description":"","custom_fields":[{"id":1,"name":"Subdivision","value":"NW"},{"id":4,"name":"Milepost","value":"5.9048"},{"id":17,"name":"Train ID","value":"1831-20"},{"id":16,"name":"Locomotive ID","value":"4028"},{"id":130,"name":"Impact","value":""},{"id":150,"name":"Time of Event (Mountain Time)","value":"21:35:25"},{"id":151,"name":"Denver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/c/Users/stu/AppData/Local/Temp/OnboardLogs/RTDC4028 --include="*4028*201708210*"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"%USERPROFILE%\AppData\Local\Temp\OnboardLogs"\RTDC4028\*4028*201708210* &gt;&gt; 2017-08-20-SliceDisagreementCheck.txt</v>
      </c>
      <c r="AE55" s="145" t="str">
        <f t="shared" si="9"/>
        <v>start /low /b %USERPROFILE%\Documents\GitHub\eaglep3\Utilities\DownloadLogsFromS3.py --loco 4028 --day 2017-08-21</v>
      </c>
      <c r="AF55" s="1"/>
    </row>
    <row r="56" spans="1:32" x14ac:dyDescent="0.25">
      <c r="A56" s="31">
        <v>42967.948449074072</v>
      </c>
      <c r="B56" s="30" t="s">
        <v>472</v>
      </c>
      <c r="C56" s="30" t="s">
        <v>569</v>
      </c>
      <c r="D56" s="30" t="s">
        <v>49</v>
      </c>
      <c r="E56" s="30" t="s">
        <v>391</v>
      </c>
      <c r="F56" s="42">
        <v>0</v>
      </c>
      <c r="G56" s="42">
        <v>305</v>
      </c>
      <c r="H56" s="42">
        <v>35100</v>
      </c>
      <c r="I56" s="42">
        <v>34301</v>
      </c>
      <c r="J56" s="30" t="s">
        <v>392</v>
      </c>
      <c r="K56" s="42">
        <v>33261</v>
      </c>
      <c r="L56" s="131" t="s">
        <v>51</v>
      </c>
      <c r="M56" s="132">
        <f t="shared" si="10"/>
        <v>549.12</v>
      </c>
      <c r="N56" s="133" t="str">
        <f>VLOOKUP(C56,'Trips&amp;Operators'!$C$1:$G$99911,5,FALSE)</f>
        <v>HOLCOMB KAMDEN</v>
      </c>
      <c r="O56" s="203" t="s">
        <v>396</v>
      </c>
      <c r="P56" s="134"/>
      <c r="Q56" s="30"/>
      <c r="R56" s="81" t="str">
        <f>VLOOKUP(C56,'Train Runs'!$A$13:$AE$9919,31,0)</f>
        <v>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 &amp; 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</v>
      </c>
      <c r="S56" s="84" t="str">
        <f>VLOOKUP(C56,'Train Runs'!$A$13:$AE$9919,22,0)</f>
        <v>https://d0f6bd738d7f1b3e5a7ca70fe4ff75f0.us-east-1.aws.found.io/app/kibana#/discover/Steve-Slow-Train-Analysis-(2080s-and-2083s)?_g=(refreshInterval:(display:Off,pause:!f,section:0,value:0),time:(from:'2017-08-20T21:38:17-0600',mode:absolute,to:'2017-08-20T23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56" s="86" t="str">
        <f t="shared" si="11"/>
        <v>"C:\Program Files (x86)\AstroGrep\AstroGrep.exe" /e /r /s /spath="%USERPROFILE%\AppData\Local\Temp\OnboardLogs" /stypes="*4027*201708210*" /stext=" 04:.+((SYSTEM_STATE.+slice.+state.+changed )|(ment ac)|(multiple cpu faults)|(system.+state.+changed )|(\[timeout)|(PRM\|1\|D)|(kpr)|(kdp)|(train st.+moving)|(\|lc)|(penalty))"</v>
      </c>
      <c r="U56" s="9" t="str">
        <f t="shared" si="12"/>
        <v>4027</v>
      </c>
      <c r="V56" s="31">
        <f t="shared" si="13"/>
        <v>42968.198449074072</v>
      </c>
      <c r="W56" s="45" t="str">
        <f t="shared" si="14"/>
        <v>Other</v>
      </c>
      <c r="X56" s="22">
        <f t="shared" si="15"/>
        <v>1902</v>
      </c>
      <c r="Y56" s="96" t="str">
        <f t="shared" si="16"/>
        <v>echo {"issue":{"subject":"","project_id":79,"tracker_id":40,"status_id":1,"priority_id":2,"assigned_to_id":23,"start_date":"2017-08-20","description":"","custom_fields":[{"id":1,"name":"Subdivision","value":"Other"},{"id":4,"name":"Milepost","value":"3.3261"},{"id":17,"name":"Train ID","value":"1902-20"},{"id":16,"name":"Locomotive ID","value":"4027"},{"id":130,"name":"Impact","value":""},{"id":150,"name":"Time of Event (Mountain Time)","value":"22:45:46"},{"id":151,"name":"Denver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/c/Users/stu/AppData/Local/Temp/OnboardLogs/RTDC4027 --include="*4027*201708210*"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"%USERPROFILE%\AppData\Local\Temp\OnboardLogs"\RTDC4027\*4027*201708210* &gt;&gt; 2017-08-20-SliceDisagreementCheck.txt</v>
      </c>
      <c r="AE56" s="145" t="str">
        <f t="shared" si="9"/>
        <v>start /low /b %USERPROFILE%\Documents\GitHub\eaglep3\Utilities\DownloadLogsFromS3.py --loco 4027 --day 2017-08-21</v>
      </c>
      <c r="AF56" s="1"/>
    </row>
    <row r="57" spans="1:32" x14ac:dyDescent="0.25">
      <c r="A57" s="31">
        <v>42967.225543981483</v>
      </c>
      <c r="B57" s="30" t="s">
        <v>473</v>
      </c>
      <c r="C57" s="30" t="s">
        <v>528</v>
      </c>
      <c r="D57" s="30" t="s">
        <v>96</v>
      </c>
      <c r="E57" s="30" t="s">
        <v>529</v>
      </c>
      <c r="F57" s="42">
        <v>0</v>
      </c>
      <c r="G57" s="42">
        <v>110</v>
      </c>
      <c r="H57" s="42">
        <v>29650</v>
      </c>
      <c r="I57" s="42">
        <v>29750</v>
      </c>
      <c r="J57" s="30" t="s">
        <v>408</v>
      </c>
      <c r="K57" s="42">
        <v>28990</v>
      </c>
      <c r="L57" s="131" t="s">
        <v>50</v>
      </c>
      <c r="M57" s="132">
        <f t="shared" si="10"/>
        <v>-401.28</v>
      </c>
      <c r="N57" s="133" t="str">
        <f>VLOOKUP(C57,'Trips&amp;Operators'!$C$1:$G$99911,5,FALSE)</f>
        <v>ROBINSON KADDIBA</v>
      </c>
      <c r="O57" s="203" t="s">
        <v>180</v>
      </c>
      <c r="P57" s="134" t="s">
        <v>937</v>
      </c>
      <c r="Q57" s="30"/>
      <c r="R57" s="81" t="str">
        <f>VLOOKUP(C57,'Train Runs'!$A$13:$AE$9919,31,0)</f>
        <v>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 &amp; 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</v>
      </c>
      <c r="S57" s="84" t="str">
        <f>VLOOKUP(C57,'Train Runs'!$A$13:$AE$9919,22,0)</f>
        <v>https://d0f6bd738d7f1b3e5a7ca70fe4ff75f0.us-east-1.aws.found.io/app/kibana#/discover/Steve-Slow-Train-Analysis-(2080s-and-2083s)?_g=(refreshInterval:(display:Off,pause:!f,section:0,value:0),time:(from:'2017-08-20T04:19:37-0600',mode:absolute,to:'2017-08-20T06:27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7" s="86" t="str">
        <f t="shared" si="11"/>
        <v>"C:\Program Files (x86)\AstroGrep\AstroGrep.exe" /e /r /s /spath="%USERPROFILE%\AppData\Local\Temp\OnboardLogs" /stypes="*4028*201708201*" /stext=" 11:.+((SYSTEM_STATE.+slice.+state.+changed )|(ment ac)|(multiple cpu faults)|(system.+state.+changed )|(\[timeout)|(PRM\|1\|D)|(kpr)|(kdp)|(train st.+moving)|(\|lc)|(penalty))"</v>
      </c>
      <c r="U57" s="9" t="str">
        <f t="shared" si="12"/>
        <v>4028</v>
      </c>
      <c r="V57" s="31">
        <f t="shared" si="13"/>
        <v>42967.475543981483</v>
      </c>
      <c r="W57" s="45" t="str">
        <f t="shared" si="14"/>
        <v>Other</v>
      </c>
      <c r="X57" s="22">
        <f t="shared" si="15"/>
        <v>1901</v>
      </c>
      <c r="Y57" s="96" t="str">
        <f t="shared" si="16"/>
        <v>echo {"issue":{"subject":"Went active too close to signal","project_id":79,"tracker_id":40,"status_id":1,"priority_id":2,"assigned_to_id":23,"start_date":"2017-08-20","description":"","custom_fields":[{"id":1,"name":"Subdivision","value":"Other"},{"id":4,"name":"Milepost","value":"2.899"},{"id":17,"name":"Train ID","value":"1901-20"},{"id":16,"name":"Locomotive ID","value":"4028"},{"id":130,"name":"Impact","value":""},{"id":150,"name":"Time of Event (Mountain Time)","value":"05:24:47"},{"id":151,"name":"Denver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/c/Users/stu/AppData/Local/Temp/OnboardLogs/RTDC4028 --include="*4028*201708201*"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"%USERPROFILE%\AppData\Local\Temp\OnboardLogs"\RTDC4028\*4028*201708201* &gt;&gt; 2017-08-20-SliceDisagreementCheck.txt</v>
      </c>
      <c r="AE57" s="145" t="str">
        <f t="shared" si="9"/>
        <v>start /low /b %USERPROFILE%\Documents\GitHub\eaglep3\Utilities\DownloadLogsFromS3.py --loco 4028 --day 2017-08-20</v>
      </c>
      <c r="AF57" s="1"/>
    </row>
    <row r="58" spans="1:32" x14ac:dyDescent="0.25">
      <c r="A58" s="31">
        <v>42967.753645833334</v>
      </c>
      <c r="B58" s="30" t="s">
        <v>555</v>
      </c>
      <c r="C58" s="30" t="s">
        <v>556</v>
      </c>
      <c r="D58" s="30" t="s">
        <v>96</v>
      </c>
      <c r="E58" s="30" t="s">
        <v>181</v>
      </c>
      <c r="F58" s="42">
        <v>0</v>
      </c>
      <c r="G58" s="42">
        <v>7</v>
      </c>
      <c r="H58" s="42">
        <v>826</v>
      </c>
      <c r="I58" s="42">
        <v>0</v>
      </c>
      <c r="J58" s="30" t="s">
        <v>182</v>
      </c>
      <c r="K58" s="42">
        <v>826</v>
      </c>
      <c r="L58" s="131" t="s">
        <v>51</v>
      </c>
      <c r="M58" s="132">
        <f t="shared" si="10"/>
        <v>-436.12799999999999</v>
      </c>
      <c r="N58" s="133" t="str">
        <f>VLOOKUP(C58,'Trips&amp;Operators'!$C$1:$G$99911,5,FALSE)</f>
        <v>HUFFSMITH MONTY</v>
      </c>
      <c r="O58" s="203" t="s">
        <v>180</v>
      </c>
      <c r="P58" s="134"/>
      <c r="Q58" s="30"/>
      <c r="R58" s="81" t="str">
        <f>VLOOKUP(C58,'Train Runs'!$A$13:$AE$9919,31,0)</f>
        <v>aws s3 cp s3://rtdc.mdm.uploadarchive.raw/RTDC4065/ "%USERPROFILE%\AppData\Local\Temp\OnboardLogs"\RTDC4065\2017-08-20 --exclude "*" --recursive --include "*20170820*" &amp; "%USERPROFILE%\Documents\GitHub\mrs-test-scripts\Headless Mode &amp; Sideloading\WalkAndUnGZ.bat" "%USERPROFILE%\AppData\Local\Temp\OnboardLogs"\RTDC4065\2017-08-20 &amp; aws s3 cp s3://rtdc.mdm.uploadarchive.raw/RTDC4065/ "%USERPROFILE%\AppData\Local\Temp\OnboardLogs"\RTDC4065\2017-08-21 --exclude "*" --recursive --include "*20170821*" &amp; "%USERPROFILE%\Documents\GitHub\mrs-test-scripts\Headless Mode &amp; Sideloading\WalkAndUnGZ.bat" "%USERPROFILE%\AppData\Local\Temp\OnboardLogs"\RTDC4065\2017-08-21</v>
      </c>
      <c r="S58" s="84" t="str">
        <f>VLOOKUP(C58,'Train Runs'!$A$13:$AE$9919,22,0)</f>
        <v>https://d0f6bd738d7f1b3e5a7ca70fe4ff75f0.us-east-1.aws.found.io/app/kibana#/discover/Steve-Slow-Train-Analysis-(2080s-and-2083s)?_g=(refreshInterval:(display:Off,pause:!f,section:0,value:0),time:(from:'2017-08-20T16:52:09-0600',mode:absolute,to:'2017-08-20T19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58" s="86" t="str">
        <f t="shared" si="11"/>
        <v>"C:\Program Files (x86)\AstroGrep\AstroGrep.exe" /e /r /s /spath="%USERPROFILE%\AppData\Local\Temp\OnboardLogs" /stypes="*4065*201708210*" /stext=" 00:.+((SYSTEM_STATE.+slice.+state.+changed )|(ment ac)|(multiple cpu faults)|(system.+state.+changed )|(\[timeout)|(PRM\|1\|D)|(kpr)|(kdp)|(train st.+moving)|(\|lc)|(penalty))"</v>
      </c>
      <c r="U58" s="9" t="str">
        <f t="shared" si="12"/>
        <v>4065</v>
      </c>
      <c r="V58" s="31">
        <f t="shared" si="13"/>
        <v>42968.003645833334</v>
      </c>
      <c r="W58" s="45" t="str">
        <f t="shared" si="14"/>
        <v>Shuttle/Test</v>
      </c>
      <c r="X58" s="22">
        <f t="shared" si="15"/>
        <v>74</v>
      </c>
      <c r="Y58" s="96" t="str">
        <f t="shared" si="16"/>
        <v>echo {"issue":{"subject":"","project_id":79,"tracker_id":40,"status_id":1,"priority_id":2,"assigned_to_id":23,"start_date":"2017-08-20","description":"","custom_fields":[{"id":1,"name":"Subdivision","value":"Shuttle/Test"},{"id":4,"name":"Milepost","value":"0.0826"},{"id":17,"name":"Train ID","value":"74-20"},{"id":16,"name":"Locomotive ID","value":"4065"},{"id":130,"name":"Impact","value":""},{"id":150,"name":"Time of Event (Mountain Time)","value":"18:05:15"},{"id":151,"name":"Denver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/c/Users/stu/AppData/Local/Temp/OnboardLogs/RTDC4065 --include="*4065*201708210*"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"%USERPROFILE%\AppData\Local\Temp\OnboardLogs"\RTDC4065\*4065*201708210* &gt;&gt; 2017-08-20-SliceDisagreementCheck.txt</v>
      </c>
      <c r="AE58" s="145" t="str">
        <f t="shared" si="9"/>
        <v>start /low /b %USERPROFILE%\Documents\GitHub\eaglep3\Utilities\DownloadLogsFromS3.py --loco 4065 --day 2017-08-21</v>
      </c>
      <c r="AF58" s="1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8">
      <sortCondition ref="W7:W58"/>
      <sortCondition ref="E7:E58"/>
      <sortCondition ref="K7:K58"/>
      <sortCondition ref="F7:F58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5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AA7:AA58</xm:sqref>
        </x14:dataValidation>
        <x14:dataValidation type="list" allowBlank="1" showInputMessage="1" showErrorMessage="1">
          <x14:formula1>
            <xm:f>'Redmine List Values'!$C$2:$C$15</xm:f>
          </x14:formula1>
          <xm:sqref>AB7:AB58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2017-08-20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-20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Runs'!$A$13:$A$99916,1,FALSE)</f>
        <v>#N/A</v>
      </c>
    </row>
    <row r="4" spans="1:10" x14ac:dyDescent="0.25">
      <c r="A4" s="195"/>
      <c r="B4" s="42" t="str">
        <f>A4&amp;"-"&amp;IF(DAY(Variables!$A$2)&lt;10,0,"")&amp;DAY(Variables!$A$2)</f>
        <v>-20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Runs'!$A$13:$A$99916,1,FALSE)</f>
        <v>#N/A</v>
      </c>
    </row>
    <row r="5" spans="1:10" x14ac:dyDescent="0.25">
      <c r="A5" s="195"/>
      <c r="B5" s="42" t="str">
        <f>A5&amp;"-"&amp;IF(DAY(Variables!$A$2)&lt;10,0,"")&amp;DAY(Variables!$A$2)</f>
        <v>-20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Runs'!$A$13:$A$99916,1,FALSE)</f>
        <v>#N/A</v>
      </c>
    </row>
    <row r="6" spans="1:10" x14ac:dyDescent="0.25">
      <c r="A6" s="195"/>
      <c r="B6" s="42" t="str">
        <f>A6&amp;"-"&amp;IF(DAY(Variables!$A$2)&lt;10,0,"")&amp;DAY(Variables!$A$2)</f>
        <v>-20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Runs'!$A$13:$A$99916,1,FALSE)</f>
        <v>#N/A</v>
      </c>
    </row>
    <row r="7" spans="1:10" x14ac:dyDescent="0.25">
      <c r="A7" s="195"/>
      <c r="B7" s="42" t="str">
        <f>A7&amp;"-"&amp;IF(DAY(Variables!$A$2)&lt;10,0,"")&amp;DAY(Variables!$A$2)</f>
        <v>-20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ref="I7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Runs'!$A$13:$A$99916,1,FALSE)</f>
        <v>#N/A</v>
      </c>
    </row>
    <row r="8" spans="1:10" x14ac:dyDescent="0.25">
      <c r="A8" s="195"/>
      <c r="B8" s="42" t="str">
        <f>A8&amp;"-"&amp;IF(DAY(Variables!$A$2)&lt;10,0,"")&amp;DAY(Variables!$A$2)</f>
        <v>-20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Runs'!$A$13:$A$99916,1,FALSE)</f>
        <v>#N/A</v>
      </c>
    </row>
    <row r="9" spans="1:10" x14ac:dyDescent="0.25">
      <c r="A9" s="195"/>
      <c r="B9" s="42" t="str">
        <f>A9&amp;"-"&amp;IF(DAY(Variables!$A$2)&lt;10,0,"")&amp;DAY(Variables!$A$2)</f>
        <v>-20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Runs'!$A$13:$A$99916,1,FALSE)</f>
        <v>#N/A</v>
      </c>
    </row>
    <row r="10" spans="1:10" x14ac:dyDescent="0.25">
      <c r="A10" s="195"/>
      <c r="B10" s="42" t="str">
        <f>A10&amp;"-"&amp;IF(DAY(Variables!$A$2)&lt;10,0,"")&amp;DAY(Variables!$A$2)</f>
        <v>-20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Runs'!$A$13:$A$99916,1,FALSE)</f>
        <v>#N/A</v>
      </c>
    </row>
    <row r="11" spans="1:10" x14ac:dyDescent="0.25">
      <c r="A11" s="195"/>
      <c r="B11" s="42" t="str">
        <f>A11&amp;"-"&amp;IF(DAY(Variables!$A$2)&lt;10,0,"")&amp;DAY(Variables!$A$2)</f>
        <v>-20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Runs'!$A$13:$A$99916,1,FALSE)</f>
        <v>#N/A</v>
      </c>
    </row>
    <row r="12" spans="1:10" x14ac:dyDescent="0.25">
      <c r="A12" s="195"/>
      <c r="B12" s="42" t="str">
        <f>A12&amp;"-"&amp;IF(DAY(Variables!$A$2)&lt;10,0,"")&amp;DAY(Variables!$A$2)</f>
        <v>-20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Runs'!$A$13:$A$99916,1,FALSE)</f>
        <v>#N/A</v>
      </c>
    </row>
    <row r="13" spans="1:10" x14ac:dyDescent="0.25">
      <c r="A13" s="195"/>
      <c r="B13" s="42" t="str">
        <f>A13&amp;"-"&amp;IF(DAY(Variables!$A$2)&lt;10,0,"")&amp;DAY(Variables!$A$2)</f>
        <v>-20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Runs'!$A$13:$A$99916,1,FALSE)</f>
        <v>#N/A</v>
      </c>
    </row>
    <row r="14" spans="1:10" x14ac:dyDescent="0.25">
      <c r="A14" s="195"/>
      <c r="B14" s="42" t="str">
        <f>A14&amp;"-"&amp;IF(DAY(Variables!$A$2)&lt;10,0,"")&amp;DAY(Variables!$A$2)</f>
        <v>-20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Runs'!$A$13:$A$99916,1,FALSE)</f>
        <v>#N/A</v>
      </c>
    </row>
    <row r="15" spans="1:10" x14ac:dyDescent="0.25">
      <c r="A15" s="195"/>
      <c r="B15" s="42" t="str">
        <f>A15&amp;"-"&amp;IF(DAY(Variables!$A$2)&lt;10,0,"")&amp;DAY(Variables!$A$2)</f>
        <v>-20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Runs'!$A$13:$A$99916,1,FALSE)</f>
        <v>#N/A</v>
      </c>
    </row>
    <row r="16" spans="1:10" x14ac:dyDescent="0.25">
      <c r="A16" s="195"/>
      <c r="B16" s="42" t="str">
        <f>A16&amp;"-"&amp;IF(DAY(Variables!$A$2)&lt;10,0,"")&amp;DAY(Variables!$A$2)</f>
        <v>-20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Runs'!$A$13:$A$99916,1,FALSE)</f>
        <v>#N/A</v>
      </c>
    </row>
    <row r="17" spans="1:10" x14ac:dyDescent="0.25">
      <c r="A17" s="195"/>
      <c r="B17" s="42" t="str">
        <f>A17&amp;"-"&amp;IF(DAY(Variables!$A$2)&lt;10,0,"")&amp;DAY(Variables!$A$2)</f>
        <v>-20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Runs'!$A$13:$A$99916,1,FALSE)</f>
        <v>#N/A</v>
      </c>
    </row>
    <row r="18" spans="1:10" x14ac:dyDescent="0.25">
      <c r="A18" s="195"/>
      <c r="B18" s="42" t="str">
        <f>A18&amp;"-"&amp;IF(DAY(Variables!$A$2)&lt;10,0,"")&amp;DAY(Variables!$A$2)</f>
        <v>-20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Runs'!$A$13:$A$99916,1,FALSE)</f>
        <v>#N/A</v>
      </c>
    </row>
    <row r="19" spans="1:10" x14ac:dyDescent="0.25">
      <c r="A19" s="195"/>
      <c r="B19" s="42" t="str">
        <f>A19&amp;"-"&amp;IF(DAY(Variables!$A$2)&lt;10,0,"")&amp;DAY(Variables!$A$2)</f>
        <v>-20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Runs'!$A$13:$A$99916,1,FALSE)</f>
        <v>#N/A</v>
      </c>
    </row>
    <row r="20" spans="1:10" x14ac:dyDescent="0.25">
      <c r="A20" s="195"/>
      <c r="B20" s="42" t="str">
        <f>A20&amp;"-"&amp;IF(DAY(Variables!$A$2)&lt;10,0,"")&amp;DAY(Variables!$A$2)</f>
        <v>-20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Runs'!$A$13:$A$99916,1,FALSE)</f>
        <v>#N/A</v>
      </c>
    </row>
    <row r="21" spans="1:10" x14ac:dyDescent="0.25">
      <c r="A21" s="195"/>
      <c r="B21" s="42" t="str">
        <f>A21&amp;"-"&amp;IF(DAY(Variables!$A$2)&lt;10,0,"")&amp;DAY(Variables!$A$2)</f>
        <v>-20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Runs'!$A$13:$A$99916,1,FALSE)</f>
        <v>#N/A</v>
      </c>
    </row>
    <row r="22" spans="1:10" x14ac:dyDescent="0.25">
      <c r="A22" s="195"/>
      <c r="B22" s="42" t="str">
        <f>A22&amp;"-"&amp;IF(DAY(Variables!$A$2)&lt;10,0,"")&amp;DAY(Variables!$A$2)</f>
        <v>-20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Runs'!$A$13:$A$99916,1,FALSE)</f>
        <v>#N/A</v>
      </c>
    </row>
    <row r="23" spans="1:10" x14ac:dyDescent="0.25">
      <c r="A23" s="195"/>
      <c r="B23" s="42" t="str">
        <f>A23&amp;"-"&amp;IF(DAY(Variables!$A$2)&lt;10,0,"")&amp;DAY(Variables!$A$2)</f>
        <v>-20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Runs'!$A$13:$A$99916,1,FALSE)</f>
        <v>#N/A</v>
      </c>
    </row>
    <row r="24" spans="1:10" x14ac:dyDescent="0.25">
      <c r="A24" s="195"/>
      <c r="B24" s="42" t="str">
        <f>A24&amp;"-"&amp;IF(DAY(Variables!$A$2)&lt;10,0,"")&amp;DAY(Variables!$A$2)</f>
        <v>-20</v>
      </c>
      <c r="C24" s="135"/>
      <c r="D24" s="153"/>
      <c r="E24" s="30"/>
      <c r="F24" s="21" t="e">
        <f>VLOOKUP(B24,'Trips&amp;Operators'!$C$2:$E$9912,3,FALSE)</f>
        <v>#N/A</v>
      </c>
      <c r="G24" s="21" t="e">
        <f>VLOOKUP(B24,'Trips&amp;Operators'!$C$1:$F$9912,4,FALSE)</f>
        <v>#N/A</v>
      </c>
      <c r="H24" s="29" t="e">
        <f>VLOOKUP(B24,'Trips&amp;Operators'!$C$1:$H$9912,5,FALSE)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Runs'!$A$13:$A$99916,1,FALSE)</f>
        <v>#N/A</v>
      </c>
    </row>
    <row r="25" spans="1:10" x14ac:dyDescent="0.25">
      <c r="A25" s="195"/>
      <c r="B25" s="42" t="str">
        <f>A25&amp;"-"&amp;IF(DAY(Variables!$A$2)&lt;10,0,"")&amp;DAY(Variables!$A$2)</f>
        <v>-20</v>
      </c>
      <c r="C25" s="135"/>
      <c r="D25" s="153"/>
      <c r="E25" s="30"/>
      <c r="F25" s="21" t="e">
        <f>VLOOKUP(B25,'Trips&amp;Operators'!$C$2:$E$9912,3,FALSE)</f>
        <v>#N/A</v>
      </c>
      <c r="G25" s="21" t="e">
        <f>VLOOKUP(B25,'Trips&amp;Operators'!$C$1:$F$9912,4,FALSE)</f>
        <v>#N/A</v>
      </c>
      <c r="H25" s="29" t="e">
        <f>VLOOKUP(B25,'Trips&amp;Operators'!$C$1:$H$9912,5,FALSE)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Runs'!$A$13:$A$99916,1,FALSE)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2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42967.034467592595</v>
      </c>
      <c r="B2" s="20" t="s">
        <v>384</v>
      </c>
      <c r="C2" s="20" t="s">
        <v>571</v>
      </c>
      <c r="D2" s="138">
        <v>3220000</v>
      </c>
      <c r="E2" s="20" t="s">
        <v>454</v>
      </c>
      <c r="F2" s="20" t="s">
        <v>455</v>
      </c>
      <c r="G2" s="8" t="str">
        <f>E2&amp;" "&amp;F2</f>
        <v>RESPASS AARON</v>
      </c>
    </row>
    <row r="3" spans="1:7" x14ac:dyDescent="0.25">
      <c r="A3" s="8">
        <v>42967.036111111112</v>
      </c>
      <c r="B3" s="20" t="s">
        <v>471</v>
      </c>
      <c r="C3" s="20" t="s">
        <v>572</v>
      </c>
      <c r="D3" s="138">
        <v>2620000</v>
      </c>
      <c r="E3" s="20" t="s">
        <v>479</v>
      </c>
      <c r="F3" s="20" t="s">
        <v>480</v>
      </c>
      <c r="G3" s="8" t="str">
        <f t="shared" ref="G3:G66" si="0">E3&amp;" "&amp;F3</f>
        <v>PERKINS DARREN</v>
      </c>
    </row>
    <row r="4" spans="1:7" x14ac:dyDescent="0.25">
      <c r="A4" s="8">
        <v>42967.048356481479</v>
      </c>
      <c r="B4" s="20" t="s">
        <v>393</v>
      </c>
      <c r="C4" s="20" t="s">
        <v>573</v>
      </c>
      <c r="D4" s="138">
        <v>2730000</v>
      </c>
      <c r="E4" s="20" t="s">
        <v>574</v>
      </c>
      <c r="F4" s="20" t="s">
        <v>575</v>
      </c>
      <c r="G4" s="8" t="str">
        <f t="shared" si="0"/>
        <v>YANG JAN</v>
      </c>
    </row>
    <row r="5" spans="1:7" x14ac:dyDescent="0.25">
      <c r="A5" s="8">
        <v>42967.052037037036</v>
      </c>
      <c r="B5" s="20" t="s">
        <v>383</v>
      </c>
      <c r="C5" s="20" t="s">
        <v>576</v>
      </c>
      <c r="D5" s="138">
        <v>3130000</v>
      </c>
      <c r="E5" s="20" t="s">
        <v>358</v>
      </c>
      <c r="F5" s="20" t="s">
        <v>359</v>
      </c>
      <c r="G5" s="8" t="str">
        <f t="shared" si="0"/>
        <v>ZEWDU DEREJE</v>
      </c>
    </row>
    <row r="6" spans="1:7" x14ac:dyDescent="0.25">
      <c r="A6" s="8">
        <v>42967.068877314814</v>
      </c>
      <c r="B6" s="20" t="s">
        <v>438</v>
      </c>
      <c r="C6" s="20" t="s">
        <v>577</v>
      </c>
      <c r="D6" s="138">
        <v>2620000</v>
      </c>
      <c r="E6" s="20" t="s">
        <v>479</v>
      </c>
      <c r="F6" s="20" t="s">
        <v>480</v>
      </c>
      <c r="G6" s="8" t="str">
        <f t="shared" si="0"/>
        <v>PERKINS DARREN</v>
      </c>
    </row>
    <row r="7" spans="1:7" x14ac:dyDescent="0.25">
      <c r="A7" s="8">
        <v>42967.077372685184</v>
      </c>
      <c r="B7" s="20" t="s">
        <v>385</v>
      </c>
      <c r="C7" s="20" t="s">
        <v>578</v>
      </c>
      <c r="D7" s="138">
        <v>3220000</v>
      </c>
      <c r="E7" s="20" t="s">
        <v>454</v>
      </c>
      <c r="F7" s="20" t="s">
        <v>455</v>
      </c>
      <c r="G7" s="8" t="str">
        <f t="shared" si="0"/>
        <v>RESPASS AARON</v>
      </c>
    </row>
    <row r="8" spans="1:7" x14ac:dyDescent="0.25">
      <c r="A8" s="8">
        <v>42967.089131944442</v>
      </c>
      <c r="B8" s="20" t="s">
        <v>362</v>
      </c>
      <c r="C8" s="20" t="s">
        <v>579</v>
      </c>
      <c r="D8" s="138">
        <v>3130000</v>
      </c>
      <c r="E8" s="20" t="s">
        <v>358</v>
      </c>
      <c r="F8" s="20" t="s">
        <v>359</v>
      </c>
      <c r="G8" s="8" t="str">
        <f t="shared" si="0"/>
        <v>ZEWDU DEREJE</v>
      </c>
    </row>
    <row r="9" spans="1:7" ht="15.75" thickBot="1" x14ac:dyDescent="0.3">
      <c r="A9" s="24">
        <v>42967.111250000002</v>
      </c>
      <c r="B9" s="20" t="s">
        <v>384</v>
      </c>
      <c r="C9" s="20" t="s">
        <v>580</v>
      </c>
      <c r="D9" s="138">
        <v>3220000</v>
      </c>
      <c r="E9" s="20" t="s">
        <v>454</v>
      </c>
      <c r="F9" s="20" t="s">
        <v>455</v>
      </c>
      <c r="G9" s="8" t="str">
        <f t="shared" si="0"/>
        <v>RESPASS AARON</v>
      </c>
    </row>
    <row r="10" spans="1:7" x14ac:dyDescent="0.25">
      <c r="A10" s="8">
        <v>42967.132152777776</v>
      </c>
      <c r="B10" s="20" t="s">
        <v>367</v>
      </c>
      <c r="C10" s="20" t="s">
        <v>581</v>
      </c>
      <c r="D10" s="138">
        <v>1800000</v>
      </c>
      <c r="E10" s="20" t="s">
        <v>582</v>
      </c>
      <c r="F10" s="20" t="s">
        <v>583</v>
      </c>
      <c r="G10" s="8" t="str">
        <f t="shared" si="0"/>
        <v>CHANDLER KELVIN</v>
      </c>
    </row>
    <row r="11" spans="1:7" x14ac:dyDescent="0.25">
      <c r="A11" s="8">
        <v>42967.135787037034</v>
      </c>
      <c r="B11" s="20" t="s">
        <v>536</v>
      </c>
      <c r="C11" s="20" t="s">
        <v>584</v>
      </c>
      <c r="D11" s="138">
        <v>3040000</v>
      </c>
      <c r="E11" s="20" t="s">
        <v>356</v>
      </c>
      <c r="F11" s="20" t="s">
        <v>357</v>
      </c>
      <c r="G11" s="8" t="str">
        <f t="shared" si="0"/>
        <v>WILLIAMS DONTE</v>
      </c>
    </row>
    <row r="12" spans="1:7" x14ac:dyDescent="0.25">
      <c r="A12" s="8">
        <v>42967.153229166666</v>
      </c>
      <c r="B12" s="20" t="s">
        <v>526</v>
      </c>
      <c r="C12" s="20" t="s">
        <v>527</v>
      </c>
      <c r="D12" s="138">
        <v>3040000</v>
      </c>
      <c r="E12" s="20" t="s">
        <v>356</v>
      </c>
      <c r="F12" s="20" t="s">
        <v>357</v>
      </c>
      <c r="G12" s="8" t="str">
        <f t="shared" si="0"/>
        <v>WILLIAMS DONTE</v>
      </c>
    </row>
    <row r="13" spans="1:7" x14ac:dyDescent="0.25">
      <c r="A13" s="8">
        <v>42967.159479166665</v>
      </c>
      <c r="B13" s="20" t="s">
        <v>540</v>
      </c>
      <c r="C13" s="20" t="s">
        <v>585</v>
      </c>
      <c r="D13" s="138">
        <v>1990000</v>
      </c>
      <c r="E13" s="20" t="s">
        <v>363</v>
      </c>
      <c r="F13" s="20" t="s">
        <v>451</v>
      </c>
      <c r="G13" s="8" t="str">
        <f t="shared" si="0"/>
        <v>DAVIS WENDY</v>
      </c>
    </row>
    <row r="14" spans="1:7" x14ac:dyDescent="0.25">
      <c r="A14" s="8">
        <v>42967.160046296296</v>
      </c>
      <c r="B14" s="20" t="s">
        <v>367</v>
      </c>
      <c r="C14" s="20" t="s">
        <v>581</v>
      </c>
      <c r="D14" s="138">
        <v>1800000</v>
      </c>
      <c r="E14" s="20" t="s">
        <v>582</v>
      </c>
      <c r="F14" s="20" t="s">
        <v>583</v>
      </c>
      <c r="G14" s="8" t="str">
        <f t="shared" si="0"/>
        <v>CHANDLER KELVIN</v>
      </c>
    </row>
    <row r="15" spans="1:7" x14ac:dyDescent="0.25">
      <c r="A15" s="8">
        <v>42967.161550925928</v>
      </c>
      <c r="B15" s="20" t="s">
        <v>366</v>
      </c>
      <c r="C15" s="20" t="s">
        <v>586</v>
      </c>
      <c r="D15" s="138">
        <v>1800000</v>
      </c>
      <c r="E15" s="20" t="s">
        <v>582</v>
      </c>
      <c r="F15" s="20" t="s">
        <v>583</v>
      </c>
      <c r="G15" s="8" t="str">
        <f t="shared" si="0"/>
        <v>CHANDLER KELVIN</v>
      </c>
    </row>
    <row r="16" spans="1:7" x14ac:dyDescent="0.25">
      <c r="A16" s="8">
        <v>42967.161898148152</v>
      </c>
      <c r="B16" s="20" t="s">
        <v>540</v>
      </c>
      <c r="C16" s="20" t="s">
        <v>585</v>
      </c>
      <c r="D16" s="138">
        <v>1990000</v>
      </c>
      <c r="E16" s="20" t="s">
        <v>363</v>
      </c>
      <c r="F16" s="20" t="s">
        <v>451</v>
      </c>
      <c r="G16" s="8" t="str">
        <f t="shared" si="0"/>
        <v>DAVIS WENDY</v>
      </c>
    </row>
    <row r="17" spans="1:7" x14ac:dyDescent="0.25">
      <c r="A17" s="8">
        <v>42967.16605324074</v>
      </c>
      <c r="B17" s="20" t="s">
        <v>382</v>
      </c>
      <c r="C17" s="20" t="s">
        <v>587</v>
      </c>
      <c r="D17" s="138">
        <v>2530000</v>
      </c>
      <c r="E17" s="20" t="s">
        <v>588</v>
      </c>
      <c r="F17" s="20" t="s">
        <v>589</v>
      </c>
      <c r="G17" s="8" t="str">
        <f t="shared" si="0"/>
        <v>LALONDE GREGORY</v>
      </c>
    </row>
    <row r="18" spans="1:7" x14ac:dyDescent="0.25">
      <c r="A18" s="8">
        <v>42967.166620370372</v>
      </c>
      <c r="B18" s="20" t="s">
        <v>526</v>
      </c>
      <c r="C18" s="20" t="s">
        <v>527</v>
      </c>
      <c r="D18" s="138">
        <v>3040000</v>
      </c>
      <c r="E18" s="20" t="s">
        <v>356</v>
      </c>
      <c r="F18" s="20" t="s">
        <v>357</v>
      </c>
      <c r="G18" s="8" t="str">
        <f t="shared" si="0"/>
        <v>WILLIAMS DONTE</v>
      </c>
    </row>
    <row r="19" spans="1:7" x14ac:dyDescent="0.25">
      <c r="A19" s="8">
        <v>42967.167453703703</v>
      </c>
      <c r="B19" s="20" t="s">
        <v>526</v>
      </c>
      <c r="C19" s="20" t="s">
        <v>527</v>
      </c>
      <c r="D19" s="138">
        <v>3040000</v>
      </c>
      <c r="E19" s="20" t="s">
        <v>356</v>
      </c>
      <c r="F19" s="20" t="s">
        <v>357</v>
      </c>
      <c r="G19" s="8" t="str">
        <f t="shared" si="0"/>
        <v>WILLIAMS DONTE</v>
      </c>
    </row>
    <row r="20" spans="1:7" x14ac:dyDescent="0.25">
      <c r="A20" s="8">
        <v>42967.170729166668</v>
      </c>
      <c r="B20" s="20" t="s">
        <v>567</v>
      </c>
      <c r="C20" s="20" t="s">
        <v>590</v>
      </c>
      <c r="D20" s="138">
        <v>2010000</v>
      </c>
      <c r="E20" s="20" t="s">
        <v>591</v>
      </c>
      <c r="F20" s="20" t="s">
        <v>592</v>
      </c>
      <c r="G20" s="8" t="str">
        <f t="shared" si="0"/>
        <v>MAELZER KURT</v>
      </c>
    </row>
    <row r="21" spans="1:7" x14ac:dyDescent="0.25">
      <c r="A21" s="8">
        <v>42967.171273148146</v>
      </c>
      <c r="B21" s="20" t="s">
        <v>560</v>
      </c>
      <c r="C21" s="20" t="s">
        <v>593</v>
      </c>
      <c r="D21" s="138">
        <v>1990000</v>
      </c>
      <c r="E21" s="20" t="s">
        <v>363</v>
      </c>
      <c r="F21" s="20" t="s">
        <v>451</v>
      </c>
      <c r="G21" s="8" t="str">
        <f t="shared" si="0"/>
        <v>DAVIS WENDY</v>
      </c>
    </row>
    <row r="22" spans="1:7" x14ac:dyDescent="0.25">
      <c r="A22" s="26">
        <v>42967.178842592592</v>
      </c>
      <c r="B22" s="20" t="s">
        <v>351</v>
      </c>
      <c r="C22" s="20" t="s">
        <v>594</v>
      </c>
      <c r="D22" s="138">
        <v>2040000</v>
      </c>
      <c r="E22" s="20" t="s">
        <v>412</v>
      </c>
      <c r="F22" s="20" t="s">
        <v>413</v>
      </c>
      <c r="G22" s="8" t="str">
        <f t="shared" si="0"/>
        <v>MOSES BRADLEY</v>
      </c>
    </row>
    <row r="23" spans="1:7" x14ac:dyDescent="0.25">
      <c r="A23" s="8">
        <v>42967.18005787037</v>
      </c>
      <c r="B23" s="20" t="s">
        <v>380</v>
      </c>
      <c r="C23" s="20" t="s">
        <v>595</v>
      </c>
      <c r="D23" s="138">
        <v>1810000</v>
      </c>
      <c r="E23" s="20" t="s">
        <v>596</v>
      </c>
      <c r="F23" s="20" t="s">
        <v>189</v>
      </c>
      <c r="G23" s="8" t="str">
        <f t="shared" si="0"/>
        <v>NEWELL JAMES</v>
      </c>
    </row>
    <row r="24" spans="1:7" x14ac:dyDescent="0.25">
      <c r="A24" s="8">
        <v>42967.193020833336</v>
      </c>
      <c r="B24" s="20" t="s">
        <v>352</v>
      </c>
      <c r="C24" s="20" t="s">
        <v>597</v>
      </c>
      <c r="D24" s="138">
        <v>2040000</v>
      </c>
      <c r="E24" s="20" t="s">
        <v>412</v>
      </c>
      <c r="F24" s="20" t="s">
        <v>413</v>
      </c>
      <c r="G24" s="8" t="str">
        <f t="shared" si="0"/>
        <v>MOSES BRADLEY</v>
      </c>
    </row>
    <row r="25" spans="1:7" x14ac:dyDescent="0.25">
      <c r="A25" s="8">
        <v>42967.193854166668</v>
      </c>
      <c r="B25" s="20" t="s">
        <v>536</v>
      </c>
      <c r="C25" s="20" t="s">
        <v>598</v>
      </c>
      <c r="D25" s="138">
        <v>3040000</v>
      </c>
      <c r="E25" s="20" t="s">
        <v>356</v>
      </c>
      <c r="F25" s="20" t="s">
        <v>357</v>
      </c>
      <c r="G25" s="8" t="str">
        <f t="shared" si="0"/>
        <v>WILLIAMS DONTE</v>
      </c>
    </row>
    <row r="26" spans="1:7" x14ac:dyDescent="0.25">
      <c r="A26" s="8">
        <v>42967.200428240743</v>
      </c>
      <c r="B26" s="20" t="s">
        <v>409</v>
      </c>
      <c r="C26" s="20" t="s">
        <v>599</v>
      </c>
      <c r="D26" s="138">
        <v>2970000</v>
      </c>
      <c r="E26" s="20" t="s">
        <v>353</v>
      </c>
      <c r="F26" s="20" t="s">
        <v>354</v>
      </c>
      <c r="G26" s="8" t="str">
        <f t="shared" si="0"/>
        <v>GUZMAN DANNY</v>
      </c>
    </row>
    <row r="27" spans="1:7" x14ac:dyDescent="0.25">
      <c r="A27" s="8">
        <v>42967.205335648148</v>
      </c>
      <c r="B27" s="20" t="s">
        <v>476</v>
      </c>
      <c r="C27" s="20" t="s">
        <v>600</v>
      </c>
      <c r="D27" s="138">
        <v>2010000</v>
      </c>
      <c r="E27" s="20" t="s">
        <v>591</v>
      </c>
      <c r="F27" s="20" t="s">
        <v>592</v>
      </c>
      <c r="G27" s="8" t="str">
        <f t="shared" si="0"/>
        <v>MAELZER KURT</v>
      </c>
    </row>
    <row r="28" spans="1:7" x14ac:dyDescent="0.25">
      <c r="A28" s="8">
        <v>42967.214189814818</v>
      </c>
      <c r="B28" s="20" t="s">
        <v>421</v>
      </c>
      <c r="C28" s="20" t="s">
        <v>601</v>
      </c>
      <c r="D28" s="138">
        <v>2970000</v>
      </c>
      <c r="E28" s="20" t="s">
        <v>353</v>
      </c>
      <c r="F28" s="20" t="s">
        <v>354</v>
      </c>
      <c r="G28" s="8" t="str">
        <f t="shared" si="0"/>
        <v>GUZMAN DANNY</v>
      </c>
    </row>
    <row r="29" spans="1:7" x14ac:dyDescent="0.25">
      <c r="A29" s="8">
        <v>42967.214247685188</v>
      </c>
      <c r="B29" s="20" t="s">
        <v>382</v>
      </c>
      <c r="C29" s="20" t="s">
        <v>602</v>
      </c>
      <c r="D29" s="138">
        <v>1810000</v>
      </c>
      <c r="E29" s="20" t="s">
        <v>596</v>
      </c>
      <c r="F29" s="20" t="s">
        <v>189</v>
      </c>
      <c r="G29" s="8" t="str">
        <f t="shared" si="0"/>
        <v>NEWELL JAMES</v>
      </c>
    </row>
    <row r="30" spans="1:7" x14ac:dyDescent="0.25">
      <c r="A30" s="8">
        <v>42967.214756944442</v>
      </c>
      <c r="B30" s="20" t="s">
        <v>540</v>
      </c>
      <c r="C30" s="20" t="s">
        <v>603</v>
      </c>
      <c r="D30" s="138">
        <v>1990000</v>
      </c>
      <c r="E30" s="20" t="s">
        <v>363</v>
      </c>
      <c r="F30" s="20" t="s">
        <v>451</v>
      </c>
      <c r="G30" s="8" t="str">
        <f t="shared" si="0"/>
        <v>DAVIS WENDY</v>
      </c>
    </row>
    <row r="31" spans="1:7" x14ac:dyDescent="0.25">
      <c r="A31" s="8">
        <v>42967.222534722219</v>
      </c>
      <c r="B31" s="20" t="s">
        <v>473</v>
      </c>
      <c r="C31" s="20" t="s">
        <v>528</v>
      </c>
      <c r="D31" s="138">
        <v>2140000</v>
      </c>
      <c r="E31" s="20" t="s">
        <v>474</v>
      </c>
      <c r="F31" s="20" t="s">
        <v>475</v>
      </c>
      <c r="G31" s="8" t="str">
        <f t="shared" si="0"/>
        <v>ROBINSON KADDIBA</v>
      </c>
    </row>
    <row r="32" spans="1:7" x14ac:dyDescent="0.25">
      <c r="A32" s="8">
        <v>42967.223761574074</v>
      </c>
      <c r="B32" s="20" t="s">
        <v>410</v>
      </c>
      <c r="C32" s="20" t="s">
        <v>604</v>
      </c>
      <c r="D32" s="138">
        <v>2560000</v>
      </c>
      <c r="E32" s="20" t="s">
        <v>605</v>
      </c>
      <c r="F32" s="20" t="s">
        <v>350</v>
      </c>
      <c r="G32" s="8" t="str">
        <f t="shared" si="0"/>
        <v>MACDONALD THOMAS</v>
      </c>
    </row>
    <row r="33" spans="1:7" x14ac:dyDescent="0.25">
      <c r="A33" s="8">
        <v>42967.226284722223</v>
      </c>
      <c r="B33" s="20" t="s">
        <v>526</v>
      </c>
      <c r="C33" s="20" t="s">
        <v>606</v>
      </c>
      <c r="D33" s="138">
        <v>3040000</v>
      </c>
      <c r="E33" s="20" t="s">
        <v>356</v>
      </c>
      <c r="F33" s="20" t="s">
        <v>357</v>
      </c>
      <c r="G33" s="8" t="str">
        <f t="shared" si="0"/>
        <v>WILLIAMS DONTE</v>
      </c>
    </row>
    <row r="34" spans="1:7" x14ac:dyDescent="0.25">
      <c r="A34" s="8">
        <v>42967.234664351854</v>
      </c>
      <c r="B34" s="20" t="s">
        <v>351</v>
      </c>
      <c r="C34" s="20" t="s">
        <v>607</v>
      </c>
      <c r="D34" s="138">
        <v>2040000</v>
      </c>
      <c r="E34" s="20" t="s">
        <v>412</v>
      </c>
      <c r="F34" s="20" t="s">
        <v>413</v>
      </c>
      <c r="G34" s="8" t="str">
        <f t="shared" si="0"/>
        <v>MOSES BRADLEY</v>
      </c>
    </row>
    <row r="35" spans="1:7" x14ac:dyDescent="0.25">
      <c r="A35" s="8">
        <v>42967.235462962963</v>
      </c>
      <c r="B35" s="20" t="s">
        <v>472</v>
      </c>
      <c r="C35" s="20" t="s">
        <v>608</v>
      </c>
      <c r="D35" s="138">
        <v>2140000</v>
      </c>
      <c r="E35" s="20" t="s">
        <v>474</v>
      </c>
      <c r="F35" s="20" t="s">
        <v>475</v>
      </c>
      <c r="G35" s="8" t="str">
        <f t="shared" si="0"/>
        <v>ROBINSON KADDIBA</v>
      </c>
    </row>
    <row r="36" spans="1:7" x14ac:dyDescent="0.25">
      <c r="A36" s="8">
        <v>42967.235601851855</v>
      </c>
      <c r="B36" s="20" t="s">
        <v>406</v>
      </c>
      <c r="C36" s="20" t="s">
        <v>609</v>
      </c>
      <c r="D36" s="138">
        <v>2560000</v>
      </c>
      <c r="E36" s="20" t="s">
        <v>605</v>
      </c>
      <c r="F36" s="20" t="s">
        <v>350</v>
      </c>
      <c r="G36" s="8" t="str">
        <f t="shared" si="0"/>
        <v>MACDONALD THOMAS</v>
      </c>
    </row>
    <row r="37" spans="1:7" x14ac:dyDescent="0.25">
      <c r="A37" s="8">
        <v>42967.242407407408</v>
      </c>
      <c r="B37" s="20" t="s">
        <v>567</v>
      </c>
      <c r="C37" s="20" t="s">
        <v>610</v>
      </c>
      <c r="D37" s="138">
        <v>2010000</v>
      </c>
      <c r="E37" s="20" t="s">
        <v>591</v>
      </c>
      <c r="F37" s="20" t="s">
        <v>592</v>
      </c>
      <c r="G37" s="8" t="str">
        <f t="shared" si="0"/>
        <v>MAELZER KURT</v>
      </c>
    </row>
    <row r="38" spans="1:7" x14ac:dyDescent="0.25">
      <c r="A38" s="8">
        <v>42967.245983796296</v>
      </c>
      <c r="B38" s="20" t="s">
        <v>409</v>
      </c>
      <c r="C38" s="20" t="s">
        <v>611</v>
      </c>
      <c r="D38" s="138">
        <v>2970000</v>
      </c>
      <c r="E38" s="20" t="s">
        <v>353</v>
      </c>
      <c r="F38" s="20" t="s">
        <v>354</v>
      </c>
      <c r="G38" s="8" t="str">
        <f t="shared" si="0"/>
        <v>GUZMAN DANNY</v>
      </c>
    </row>
    <row r="39" spans="1:7" x14ac:dyDescent="0.25">
      <c r="A39" s="8">
        <v>42967.246053240742</v>
      </c>
      <c r="B39" s="20" t="s">
        <v>560</v>
      </c>
      <c r="C39" s="20" t="s">
        <v>612</v>
      </c>
      <c r="D39" s="138">
        <v>1990000</v>
      </c>
      <c r="E39" s="20" t="s">
        <v>363</v>
      </c>
      <c r="F39" s="20" t="s">
        <v>451</v>
      </c>
      <c r="G39" s="8" t="str">
        <f t="shared" si="0"/>
        <v>DAVIS WENDY</v>
      </c>
    </row>
    <row r="40" spans="1:7" x14ac:dyDescent="0.25">
      <c r="A40" s="8">
        <v>42967.249583333331</v>
      </c>
      <c r="B40" s="25" t="s">
        <v>473</v>
      </c>
      <c r="C40" s="20" t="s">
        <v>613</v>
      </c>
      <c r="D40" s="138">
        <v>2140000</v>
      </c>
      <c r="E40" s="20" t="s">
        <v>474</v>
      </c>
      <c r="F40" s="20" t="s">
        <v>475</v>
      </c>
      <c r="G40" s="8" t="str">
        <f t="shared" si="0"/>
        <v>ROBINSON KADDIBA</v>
      </c>
    </row>
    <row r="41" spans="1:7" x14ac:dyDescent="0.25">
      <c r="A41" s="8">
        <v>42967.258043981485</v>
      </c>
      <c r="B41" s="20" t="s">
        <v>380</v>
      </c>
      <c r="C41" s="20" t="s">
        <v>614</v>
      </c>
      <c r="D41" s="138">
        <v>2530000</v>
      </c>
      <c r="E41" s="20" t="s">
        <v>588</v>
      </c>
      <c r="F41" s="20" t="s">
        <v>589</v>
      </c>
      <c r="G41" s="8" t="str">
        <f t="shared" si="0"/>
        <v>LALONDE GREGORY</v>
      </c>
    </row>
    <row r="42" spans="1:7" x14ac:dyDescent="0.25">
      <c r="A42" s="8">
        <v>42967.267002314817</v>
      </c>
      <c r="B42" s="20" t="s">
        <v>536</v>
      </c>
      <c r="C42" s="20" t="s">
        <v>615</v>
      </c>
      <c r="D42" s="138">
        <v>3040000</v>
      </c>
      <c r="E42" s="20" t="s">
        <v>356</v>
      </c>
      <c r="F42" s="20" t="s">
        <v>357</v>
      </c>
      <c r="G42" s="8" t="str">
        <f t="shared" si="0"/>
        <v>WILLIAMS DONTE</v>
      </c>
    </row>
    <row r="43" spans="1:7" x14ac:dyDescent="0.25">
      <c r="A43" s="8">
        <v>42967.270729166667</v>
      </c>
      <c r="B43" s="20" t="s">
        <v>352</v>
      </c>
      <c r="C43" s="20" t="s">
        <v>616</v>
      </c>
      <c r="D43" s="138">
        <v>2040000</v>
      </c>
      <c r="E43" s="20" t="s">
        <v>412</v>
      </c>
      <c r="F43" s="20" t="s">
        <v>413</v>
      </c>
      <c r="G43" s="8" t="str">
        <f t="shared" si="0"/>
        <v>MOSES BRADLEY</v>
      </c>
    </row>
    <row r="44" spans="1:7" x14ac:dyDescent="0.25">
      <c r="A44" s="8">
        <v>42967.276180555556</v>
      </c>
      <c r="B44" s="20" t="s">
        <v>472</v>
      </c>
      <c r="C44" s="20" t="s">
        <v>530</v>
      </c>
      <c r="D44" s="138">
        <v>2140000</v>
      </c>
      <c r="E44" s="20" t="s">
        <v>474</v>
      </c>
      <c r="F44" s="20" t="s">
        <v>475</v>
      </c>
      <c r="G44" s="8" t="str">
        <f t="shared" si="0"/>
        <v>ROBINSON KADDIBA</v>
      </c>
    </row>
    <row r="45" spans="1:7" x14ac:dyDescent="0.25">
      <c r="A45" s="8">
        <v>42967.278298611112</v>
      </c>
      <c r="B45" s="20" t="s">
        <v>410</v>
      </c>
      <c r="C45" s="20" t="s">
        <v>531</v>
      </c>
      <c r="D45" s="138">
        <v>2560000</v>
      </c>
      <c r="E45" s="20" t="s">
        <v>605</v>
      </c>
      <c r="F45" s="20" t="s">
        <v>350</v>
      </c>
      <c r="G45" s="8" t="str">
        <f t="shared" si="0"/>
        <v>MACDONALD THOMAS</v>
      </c>
    </row>
    <row r="46" spans="1:7" x14ac:dyDescent="0.25">
      <c r="A46" s="8">
        <v>42967.278703703705</v>
      </c>
      <c r="B46" s="20" t="s">
        <v>472</v>
      </c>
      <c r="C46" s="20" t="s">
        <v>530</v>
      </c>
      <c r="D46" s="138">
        <v>2140000</v>
      </c>
      <c r="E46" s="20" t="s">
        <v>474</v>
      </c>
      <c r="F46" s="20" t="s">
        <v>475</v>
      </c>
      <c r="G46" s="8" t="str">
        <f t="shared" si="0"/>
        <v>ROBINSON KADDIBA</v>
      </c>
    </row>
    <row r="47" spans="1:7" x14ac:dyDescent="0.25">
      <c r="A47" s="8">
        <v>42967.27915509259</v>
      </c>
      <c r="B47" s="20" t="s">
        <v>476</v>
      </c>
      <c r="C47" s="20" t="s">
        <v>532</v>
      </c>
      <c r="D47" s="138">
        <v>2010000</v>
      </c>
      <c r="E47" s="20" t="s">
        <v>591</v>
      </c>
      <c r="F47" s="20" t="s">
        <v>592</v>
      </c>
      <c r="G47" s="8" t="str">
        <f t="shared" si="0"/>
        <v>MAELZER KURT</v>
      </c>
    </row>
    <row r="48" spans="1:7" x14ac:dyDescent="0.25">
      <c r="A48" s="8">
        <v>42967.286597222221</v>
      </c>
      <c r="B48" s="20" t="s">
        <v>382</v>
      </c>
      <c r="C48" s="20" t="s">
        <v>617</v>
      </c>
      <c r="D48" s="138">
        <v>2530000</v>
      </c>
      <c r="E48" s="20" t="s">
        <v>588</v>
      </c>
      <c r="F48" s="20" t="s">
        <v>589</v>
      </c>
      <c r="G48" s="8" t="str">
        <f t="shared" si="0"/>
        <v>LALONDE GREGORY</v>
      </c>
    </row>
    <row r="49" spans="1:7" x14ac:dyDescent="0.25">
      <c r="A49" s="8">
        <v>42967.286909722221</v>
      </c>
      <c r="B49" s="20" t="s">
        <v>540</v>
      </c>
      <c r="C49" s="20" t="s">
        <v>618</v>
      </c>
      <c r="D49" s="138">
        <v>1990000</v>
      </c>
      <c r="E49" s="20" t="s">
        <v>363</v>
      </c>
      <c r="F49" s="20" t="s">
        <v>451</v>
      </c>
      <c r="G49" s="8" t="str">
        <f t="shared" si="0"/>
        <v>DAVIS WENDY</v>
      </c>
    </row>
    <row r="50" spans="1:7" x14ac:dyDescent="0.25">
      <c r="A50" s="8">
        <v>42967.287303240744</v>
      </c>
      <c r="B50" s="20" t="s">
        <v>421</v>
      </c>
      <c r="C50" s="20" t="s">
        <v>619</v>
      </c>
      <c r="D50" s="138">
        <v>2970000</v>
      </c>
      <c r="E50" s="20" t="s">
        <v>353</v>
      </c>
      <c r="F50" s="20" t="s">
        <v>354</v>
      </c>
      <c r="G50" s="8" t="str">
        <f t="shared" si="0"/>
        <v>GUZMAN DANNY</v>
      </c>
    </row>
    <row r="51" spans="1:7" x14ac:dyDescent="0.25">
      <c r="A51" s="8">
        <v>42967.291377314818</v>
      </c>
      <c r="B51" s="20" t="s">
        <v>473</v>
      </c>
      <c r="C51" s="20" t="s">
        <v>620</v>
      </c>
      <c r="D51" s="138">
        <v>2140000</v>
      </c>
      <c r="E51" s="20" t="s">
        <v>474</v>
      </c>
      <c r="F51" s="20" t="s">
        <v>475</v>
      </c>
      <c r="G51" s="8" t="str">
        <f t="shared" si="0"/>
        <v>ROBINSON KADDIBA</v>
      </c>
    </row>
    <row r="52" spans="1:7" x14ac:dyDescent="0.25">
      <c r="A52" s="8">
        <v>42967.299039351848</v>
      </c>
      <c r="B52" s="20" t="s">
        <v>526</v>
      </c>
      <c r="C52" s="20" t="s">
        <v>621</v>
      </c>
      <c r="D52" s="138">
        <v>3040000</v>
      </c>
      <c r="E52" s="20" t="s">
        <v>356</v>
      </c>
      <c r="F52" s="20" t="s">
        <v>357</v>
      </c>
      <c r="G52" s="8" t="str">
        <f t="shared" si="0"/>
        <v>WILLIAMS DONTE</v>
      </c>
    </row>
    <row r="53" spans="1:7" x14ac:dyDescent="0.25">
      <c r="A53" s="8">
        <v>42967.306134259263</v>
      </c>
      <c r="B53" s="20" t="s">
        <v>351</v>
      </c>
      <c r="C53" s="20" t="s">
        <v>622</v>
      </c>
      <c r="D53" s="138">
        <v>2040000</v>
      </c>
      <c r="E53" s="20" t="s">
        <v>412</v>
      </c>
      <c r="F53" s="20" t="s">
        <v>413</v>
      </c>
      <c r="G53" s="8" t="str">
        <f t="shared" si="0"/>
        <v>MOSES BRADLEY</v>
      </c>
    </row>
    <row r="54" spans="1:7" x14ac:dyDescent="0.25">
      <c r="A54" s="8">
        <v>42967.307638888888</v>
      </c>
      <c r="B54" s="20" t="s">
        <v>406</v>
      </c>
      <c r="C54" s="20" t="s">
        <v>623</v>
      </c>
      <c r="D54" s="138">
        <v>2560000</v>
      </c>
      <c r="E54" s="20" t="s">
        <v>605</v>
      </c>
      <c r="F54" s="20" t="s">
        <v>350</v>
      </c>
      <c r="G54" s="8" t="str">
        <f t="shared" si="0"/>
        <v>MACDONALD THOMAS</v>
      </c>
    </row>
    <row r="55" spans="1:7" x14ac:dyDescent="0.25">
      <c r="A55" s="8">
        <v>42967.311053240737</v>
      </c>
      <c r="B55" s="20" t="s">
        <v>567</v>
      </c>
      <c r="C55" s="20" t="s">
        <v>624</v>
      </c>
      <c r="D55" s="138">
        <v>2010000</v>
      </c>
      <c r="E55" s="20" t="s">
        <v>591</v>
      </c>
      <c r="F55" s="20" t="s">
        <v>592</v>
      </c>
      <c r="G55" s="8" t="str">
        <f t="shared" si="0"/>
        <v>MAELZER KURT</v>
      </c>
    </row>
    <row r="56" spans="1:7" x14ac:dyDescent="0.25">
      <c r="A56" s="8">
        <v>42967.317685185182</v>
      </c>
      <c r="B56" s="20" t="s">
        <v>472</v>
      </c>
      <c r="C56" s="20" t="s">
        <v>625</v>
      </c>
      <c r="D56" s="138">
        <v>2140000</v>
      </c>
      <c r="E56" s="20" t="s">
        <v>474</v>
      </c>
      <c r="F56" s="20" t="s">
        <v>475</v>
      </c>
      <c r="G56" s="8" t="str">
        <f t="shared" si="0"/>
        <v>ROBINSON KADDIBA</v>
      </c>
    </row>
    <row r="57" spans="1:7" x14ac:dyDescent="0.25">
      <c r="A57" s="8">
        <v>42967.319803240738</v>
      </c>
      <c r="B57" s="20" t="s">
        <v>560</v>
      </c>
      <c r="C57" s="20" t="s">
        <v>626</v>
      </c>
      <c r="D57" s="138">
        <v>1990000</v>
      </c>
      <c r="E57" s="20" t="s">
        <v>363</v>
      </c>
      <c r="F57" s="20" t="s">
        <v>451</v>
      </c>
      <c r="G57" s="8" t="str">
        <f t="shared" si="0"/>
        <v>DAVIS WENDY</v>
      </c>
    </row>
    <row r="58" spans="1:7" x14ac:dyDescent="0.25">
      <c r="A58" s="8">
        <v>42967.320891203701</v>
      </c>
      <c r="B58" s="20" t="s">
        <v>409</v>
      </c>
      <c r="C58" s="20" t="s">
        <v>627</v>
      </c>
      <c r="D58" s="138">
        <v>2970000</v>
      </c>
      <c r="E58" s="20" t="s">
        <v>353</v>
      </c>
      <c r="F58" s="20" t="s">
        <v>354</v>
      </c>
      <c r="G58" s="8" t="str">
        <f t="shared" si="0"/>
        <v>GUZMAN DANNY</v>
      </c>
    </row>
    <row r="59" spans="1:7" x14ac:dyDescent="0.25">
      <c r="A59" s="8">
        <v>42967.327824074076</v>
      </c>
      <c r="B59" s="20" t="s">
        <v>380</v>
      </c>
      <c r="C59" s="20" t="s">
        <v>628</v>
      </c>
      <c r="D59" s="138">
        <v>2530000</v>
      </c>
      <c r="E59" s="20" t="s">
        <v>588</v>
      </c>
      <c r="F59" s="20" t="s">
        <v>589</v>
      </c>
      <c r="G59" s="8" t="str">
        <f t="shared" si="0"/>
        <v>LALONDE GREGORY</v>
      </c>
    </row>
    <row r="60" spans="1:7" x14ac:dyDescent="0.25">
      <c r="A60" s="8">
        <v>42967.331944444442</v>
      </c>
      <c r="B60" s="20" t="s">
        <v>473</v>
      </c>
      <c r="C60" s="20" t="s">
        <v>629</v>
      </c>
      <c r="D60" s="138">
        <v>2140000</v>
      </c>
      <c r="E60" s="20" t="s">
        <v>474</v>
      </c>
      <c r="F60" s="20" t="s">
        <v>475</v>
      </c>
      <c r="G60" s="8" t="str">
        <f t="shared" si="0"/>
        <v>ROBINSON KADDIBA</v>
      </c>
    </row>
    <row r="61" spans="1:7" x14ac:dyDescent="0.25">
      <c r="A61" s="8">
        <v>42967.338912037034</v>
      </c>
      <c r="B61" s="20" t="s">
        <v>352</v>
      </c>
      <c r="C61" s="20" t="s">
        <v>630</v>
      </c>
      <c r="D61" s="138">
        <v>2040000</v>
      </c>
      <c r="E61" s="20" t="s">
        <v>412</v>
      </c>
      <c r="F61" s="20" t="s">
        <v>413</v>
      </c>
      <c r="G61" s="8" t="str">
        <f t="shared" si="0"/>
        <v>MOSES BRADLEY</v>
      </c>
    </row>
    <row r="62" spans="1:7" x14ac:dyDescent="0.25">
      <c r="A62" s="8">
        <v>42967.339386574073</v>
      </c>
      <c r="B62" s="20" t="s">
        <v>536</v>
      </c>
      <c r="C62" s="20" t="s">
        <v>631</v>
      </c>
      <c r="D62" s="138">
        <v>3040000</v>
      </c>
      <c r="E62" s="20" t="s">
        <v>356</v>
      </c>
      <c r="F62" s="20" t="s">
        <v>357</v>
      </c>
      <c r="G62" s="8" t="str">
        <f t="shared" si="0"/>
        <v>WILLIAMS DONTE</v>
      </c>
    </row>
    <row r="63" spans="1:7" x14ac:dyDescent="0.25">
      <c r="A63" s="8">
        <v>42967.349710648145</v>
      </c>
      <c r="B63" s="20" t="s">
        <v>410</v>
      </c>
      <c r="C63" s="20" t="s">
        <v>632</v>
      </c>
      <c r="D63" s="138">
        <v>2560000</v>
      </c>
      <c r="E63" s="20" t="s">
        <v>605</v>
      </c>
      <c r="F63" s="20" t="s">
        <v>350</v>
      </c>
      <c r="G63" s="8" t="str">
        <f t="shared" si="0"/>
        <v>MACDONALD THOMAS</v>
      </c>
    </row>
    <row r="64" spans="1:7" x14ac:dyDescent="0.25">
      <c r="A64" s="26">
        <v>42967.352118055554</v>
      </c>
      <c r="B64" s="20" t="s">
        <v>476</v>
      </c>
      <c r="C64" s="20" t="s">
        <v>633</v>
      </c>
      <c r="D64" s="138">
        <v>2010000</v>
      </c>
      <c r="E64" s="20" t="s">
        <v>591</v>
      </c>
      <c r="F64" s="20" t="s">
        <v>592</v>
      </c>
      <c r="G64" s="8" t="str">
        <f t="shared" si="0"/>
        <v>MAELZER KURT</v>
      </c>
    </row>
    <row r="65" spans="1:7" x14ac:dyDescent="0.25">
      <c r="A65" s="8">
        <v>42967.35974537037</v>
      </c>
      <c r="B65" s="20" t="s">
        <v>472</v>
      </c>
      <c r="C65" s="20" t="s">
        <v>634</v>
      </c>
      <c r="D65" s="138">
        <v>2140000</v>
      </c>
      <c r="E65" s="20" t="s">
        <v>474</v>
      </c>
      <c r="F65" s="20" t="s">
        <v>475</v>
      </c>
      <c r="G65" s="8" t="str">
        <f t="shared" si="0"/>
        <v>ROBINSON KADDIBA</v>
      </c>
    </row>
    <row r="66" spans="1:7" x14ac:dyDescent="0.25">
      <c r="A66" s="8">
        <v>42967.359756944446</v>
      </c>
      <c r="B66" s="20" t="s">
        <v>540</v>
      </c>
      <c r="C66" s="20" t="s">
        <v>635</v>
      </c>
      <c r="D66" s="138">
        <v>1990000</v>
      </c>
      <c r="E66" s="20" t="s">
        <v>363</v>
      </c>
      <c r="F66" s="20" t="s">
        <v>451</v>
      </c>
      <c r="G66" s="8" t="str">
        <f t="shared" si="0"/>
        <v>DAVIS WENDY</v>
      </c>
    </row>
    <row r="67" spans="1:7" x14ac:dyDescent="0.25">
      <c r="A67" s="8">
        <v>42967.360486111109</v>
      </c>
      <c r="B67" s="20" t="s">
        <v>382</v>
      </c>
      <c r="C67" s="20" t="s">
        <v>636</v>
      </c>
      <c r="D67" s="138">
        <v>2530000</v>
      </c>
      <c r="E67" s="20" t="s">
        <v>588</v>
      </c>
      <c r="F67" s="20" t="s">
        <v>589</v>
      </c>
      <c r="G67" s="8" t="str">
        <f t="shared" ref="G67:G130" si="1">E67&amp;" "&amp;F67</f>
        <v>LALONDE GREGORY</v>
      </c>
    </row>
    <row r="68" spans="1:7" x14ac:dyDescent="0.25">
      <c r="A68" s="8">
        <v>42967.36173611111</v>
      </c>
      <c r="B68" s="20" t="s">
        <v>421</v>
      </c>
      <c r="C68" s="20" t="s">
        <v>637</v>
      </c>
      <c r="D68" s="138">
        <v>2970000</v>
      </c>
      <c r="E68" s="20" t="s">
        <v>353</v>
      </c>
      <c r="F68" s="20" t="s">
        <v>354</v>
      </c>
      <c r="G68" s="8" t="str">
        <f t="shared" si="1"/>
        <v>GUZMAN DANNY</v>
      </c>
    </row>
    <row r="69" spans="1:7" x14ac:dyDescent="0.25">
      <c r="A69" s="8">
        <v>42967.372430555559</v>
      </c>
      <c r="B69" s="20" t="s">
        <v>526</v>
      </c>
      <c r="C69" s="20" t="s">
        <v>638</v>
      </c>
      <c r="D69" s="138">
        <v>3040000</v>
      </c>
      <c r="E69" s="20" t="s">
        <v>356</v>
      </c>
      <c r="F69" s="20" t="s">
        <v>357</v>
      </c>
      <c r="G69" s="8" t="str">
        <f t="shared" si="1"/>
        <v>WILLIAMS DONTE</v>
      </c>
    </row>
    <row r="70" spans="1:7" x14ac:dyDescent="0.25">
      <c r="A70" s="8">
        <v>42967.374374999999</v>
      </c>
      <c r="B70" s="20" t="s">
        <v>473</v>
      </c>
      <c r="C70" s="20" t="s">
        <v>639</v>
      </c>
      <c r="D70" s="138">
        <v>2140000</v>
      </c>
      <c r="E70" s="20" t="s">
        <v>474</v>
      </c>
      <c r="F70" s="20" t="s">
        <v>475</v>
      </c>
      <c r="G70" s="8" t="str">
        <f t="shared" si="1"/>
        <v>ROBINSON KADDIBA</v>
      </c>
    </row>
    <row r="71" spans="1:7" x14ac:dyDescent="0.25">
      <c r="A71" s="8">
        <v>42967.380706018521</v>
      </c>
      <c r="B71" s="20" t="s">
        <v>351</v>
      </c>
      <c r="C71" s="20" t="s">
        <v>640</v>
      </c>
      <c r="D71" s="138">
        <v>2040000</v>
      </c>
      <c r="E71" s="20" t="s">
        <v>412</v>
      </c>
      <c r="F71" s="20" t="s">
        <v>413</v>
      </c>
      <c r="G71" s="8" t="str">
        <f t="shared" si="1"/>
        <v>MOSES BRADLEY</v>
      </c>
    </row>
    <row r="72" spans="1:7" x14ac:dyDescent="0.25">
      <c r="A72" s="8">
        <v>42967.38208333333</v>
      </c>
      <c r="B72" s="20" t="s">
        <v>567</v>
      </c>
      <c r="C72" s="20" t="s">
        <v>641</v>
      </c>
      <c r="D72" s="138">
        <v>2010000</v>
      </c>
      <c r="E72" s="20" t="s">
        <v>591</v>
      </c>
      <c r="F72" s="20" t="s">
        <v>592</v>
      </c>
      <c r="G72" s="8" t="str">
        <f t="shared" si="1"/>
        <v>MAELZER KURT</v>
      </c>
    </row>
    <row r="73" spans="1:7" x14ac:dyDescent="0.25">
      <c r="A73" s="8">
        <v>42967.383645833332</v>
      </c>
      <c r="B73" s="20" t="s">
        <v>406</v>
      </c>
      <c r="C73" s="20" t="s">
        <v>642</v>
      </c>
      <c r="D73" s="138">
        <v>2560000</v>
      </c>
      <c r="E73" s="20" t="s">
        <v>605</v>
      </c>
      <c r="F73" s="20" t="s">
        <v>350</v>
      </c>
      <c r="G73" s="8" t="str">
        <f t="shared" si="1"/>
        <v>MACDONALD THOMAS</v>
      </c>
    </row>
    <row r="74" spans="1:7" x14ac:dyDescent="0.25">
      <c r="A74" s="8">
        <v>42967.391701388886</v>
      </c>
      <c r="B74" s="20" t="s">
        <v>560</v>
      </c>
      <c r="C74" s="20" t="s">
        <v>643</v>
      </c>
      <c r="D74" s="138">
        <v>1990000</v>
      </c>
      <c r="E74" s="20" t="s">
        <v>363</v>
      </c>
      <c r="F74" s="20" t="s">
        <v>451</v>
      </c>
      <c r="G74" s="8" t="str">
        <f t="shared" si="1"/>
        <v>DAVIS WENDY</v>
      </c>
    </row>
    <row r="75" spans="1:7" x14ac:dyDescent="0.25">
      <c r="A75" s="8">
        <v>42967.400659722225</v>
      </c>
      <c r="B75" s="20" t="s">
        <v>380</v>
      </c>
      <c r="C75" s="20" t="s">
        <v>644</v>
      </c>
      <c r="D75" s="138">
        <v>2530000</v>
      </c>
      <c r="E75" s="20" t="s">
        <v>588</v>
      </c>
      <c r="F75" s="20" t="s">
        <v>589</v>
      </c>
      <c r="G75" s="8" t="str">
        <f t="shared" si="1"/>
        <v>LALONDE GREGORY</v>
      </c>
    </row>
    <row r="76" spans="1:7" x14ac:dyDescent="0.25">
      <c r="A76" s="8">
        <v>42967.400706018518</v>
      </c>
      <c r="B76" s="20" t="s">
        <v>472</v>
      </c>
      <c r="C76" s="20" t="s">
        <v>645</v>
      </c>
      <c r="D76" s="138">
        <v>2140000</v>
      </c>
      <c r="E76" s="20" t="s">
        <v>474</v>
      </c>
      <c r="F76" s="20" t="s">
        <v>475</v>
      </c>
      <c r="G76" s="8" t="str">
        <f t="shared" si="1"/>
        <v>ROBINSON KADDIBA</v>
      </c>
    </row>
    <row r="77" spans="1:7" x14ac:dyDescent="0.25">
      <c r="A77" s="8">
        <v>42967.402592592596</v>
      </c>
      <c r="B77" s="20" t="s">
        <v>409</v>
      </c>
      <c r="C77" s="20" t="s">
        <v>533</v>
      </c>
      <c r="D77" s="138">
        <v>740000</v>
      </c>
      <c r="E77" s="20" t="s">
        <v>646</v>
      </c>
      <c r="F77" s="20" t="s">
        <v>647</v>
      </c>
      <c r="G77" s="8" t="str">
        <f t="shared" si="1"/>
        <v>ALONZO MATTHEW</v>
      </c>
    </row>
    <row r="78" spans="1:7" x14ac:dyDescent="0.25">
      <c r="A78" s="8">
        <v>42967.411990740744</v>
      </c>
      <c r="B78" s="20" t="s">
        <v>536</v>
      </c>
      <c r="C78" s="20" t="s">
        <v>648</v>
      </c>
      <c r="D78" s="138">
        <v>3040000</v>
      </c>
      <c r="E78" s="20" t="s">
        <v>356</v>
      </c>
      <c r="F78" s="20" t="s">
        <v>357</v>
      </c>
      <c r="G78" s="8" t="str">
        <f t="shared" si="1"/>
        <v>WILLIAMS DONTE</v>
      </c>
    </row>
    <row r="79" spans="1:7" x14ac:dyDescent="0.25">
      <c r="A79" s="8">
        <v>42967.413032407407</v>
      </c>
      <c r="B79" s="20" t="s">
        <v>352</v>
      </c>
      <c r="C79" s="20" t="s">
        <v>649</v>
      </c>
      <c r="D79" s="138">
        <v>2040000</v>
      </c>
      <c r="E79" s="20" t="s">
        <v>412</v>
      </c>
      <c r="F79" s="20" t="s">
        <v>413</v>
      </c>
      <c r="G79" s="8" t="str">
        <f t="shared" si="1"/>
        <v>MOSES BRADLEY</v>
      </c>
    </row>
    <row r="80" spans="1:7" x14ac:dyDescent="0.25">
      <c r="A80" s="8">
        <v>42967.415266203701</v>
      </c>
      <c r="B80" s="20" t="s">
        <v>473</v>
      </c>
      <c r="C80" s="20" t="s">
        <v>534</v>
      </c>
      <c r="D80" s="138">
        <v>2140000</v>
      </c>
      <c r="E80" s="20" t="s">
        <v>474</v>
      </c>
      <c r="F80" s="20" t="s">
        <v>475</v>
      </c>
      <c r="G80" s="8" t="str">
        <f t="shared" si="1"/>
        <v>ROBINSON KADDIBA</v>
      </c>
    </row>
    <row r="81" spans="1:7" x14ac:dyDescent="0.25">
      <c r="A81" s="8">
        <v>42967.422488425924</v>
      </c>
      <c r="B81" s="20" t="s">
        <v>476</v>
      </c>
      <c r="C81" s="20" t="s">
        <v>650</v>
      </c>
      <c r="D81" s="138">
        <v>3010000</v>
      </c>
      <c r="E81" s="20" t="s">
        <v>651</v>
      </c>
      <c r="F81" s="20" t="s">
        <v>419</v>
      </c>
      <c r="G81" s="8" t="str">
        <f t="shared" si="1"/>
        <v>SULLIVAN BRANDON</v>
      </c>
    </row>
    <row r="82" spans="1:7" x14ac:dyDescent="0.25">
      <c r="A82" s="8">
        <v>42967.423703703702</v>
      </c>
      <c r="B82" s="20" t="s">
        <v>410</v>
      </c>
      <c r="C82" s="20" t="s">
        <v>652</v>
      </c>
      <c r="D82" s="138">
        <v>2560000</v>
      </c>
      <c r="E82" s="20" t="s">
        <v>605</v>
      </c>
      <c r="F82" s="20" t="s">
        <v>350</v>
      </c>
      <c r="G82" s="8" t="str">
        <f t="shared" si="1"/>
        <v>MACDONALD THOMAS</v>
      </c>
    </row>
    <row r="83" spans="1:7" x14ac:dyDescent="0.25">
      <c r="A83" s="8">
        <v>42967.432928240742</v>
      </c>
      <c r="B83" s="20" t="s">
        <v>540</v>
      </c>
      <c r="C83" s="20" t="s">
        <v>653</v>
      </c>
      <c r="D83" s="138">
        <v>1990000</v>
      </c>
      <c r="E83" s="20" t="s">
        <v>363</v>
      </c>
      <c r="F83" s="20" t="s">
        <v>451</v>
      </c>
      <c r="G83" s="8" t="str">
        <f t="shared" si="1"/>
        <v>DAVIS WENDY</v>
      </c>
    </row>
    <row r="84" spans="1:7" x14ac:dyDescent="0.25">
      <c r="A84" s="8">
        <v>42967.433553240742</v>
      </c>
      <c r="B84" s="20" t="s">
        <v>382</v>
      </c>
      <c r="C84" s="20" t="s">
        <v>654</v>
      </c>
      <c r="D84" s="138">
        <v>2530000</v>
      </c>
      <c r="E84" s="20" t="s">
        <v>588</v>
      </c>
      <c r="F84" s="20" t="s">
        <v>589</v>
      </c>
      <c r="G84" s="8" t="str">
        <f t="shared" si="1"/>
        <v>LALONDE GREGORY</v>
      </c>
    </row>
    <row r="85" spans="1:7" x14ac:dyDescent="0.25">
      <c r="A85" s="8">
        <v>42967.435416666667</v>
      </c>
      <c r="B85" s="20" t="s">
        <v>421</v>
      </c>
      <c r="C85" s="20" t="s">
        <v>655</v>
      </c>
      <c r="D85" s="138">
        <v>740000</v>
      </c>
      <c r="E85" s="20" t="s">
        <v>646</v>
      </c>
      <c r="F85" s="20" t="s">
        <v>647</v>
      </c>
      <c r="G85" s="8" t="str">
        <f t="shared" si="1"/>
        <v>ALONZO MATTHEW</v>
      </c>
    </row>
    <row r="86" spans="1:7" x14ac:dyDescent="0.25">
      <c r="A86" s="8">
        <v>42967.442349537036</v>
      </c>
      <c r="B86" s="20" t="s">
        <v>472</v>
      </c>
      <c r="C86" s="20" t="s">
        <v>656</v>
      </c>
      <c r="D86" s="138">
        <v>2140000</v>
      </c>
      <c r="E86" s="20" t="s">
        <v>474</v>
      </c>
      <c r="F86" s="20" t="s">
        <v>475</v>
      </c>
      <c r="G86" s="8" t="str">
        <f t="shared" si="1"/>
        <v>ROBINSON KADDIBA</v>
      </c>
    </row>
    <row r="87" spans="1:7" x14ac:dyDescent="0.25">
      <c r="A87" s="8">
        <v>42967.445208333331</v>
      </c>
      <c r="B87" s="20" t="s">
        <v>526</v>
      </c>
      <c r="C87" s="20" t="s">
        <v>657</v>
      </c>
      <c r="D87" s="138">
        <v>2470000</v>
      </c>
      <c r="E87" s="20" t="s">
        <v>658</v>
      </c>
      <c r="F87" s="20" t="s">
        <v>659</v>
      </c>
      <c r="G87" s="8" t="str">
        <f t="shared" si="1"/>
        <v>ROMERO CHAD</v>
      </c>
    </row>
    <row r="88" spans="1:7" x14ac:dyDescent="0.25">
      <c r="A88" s="8">
        <v>42967.449837962966</v>
      </c>
      <c r="B88" s="20" t="s">
        <v>351</v>
      </c>
      <c r="C88" s="20" t="s">
        <v>660</v>
      </c>
      <c r="D88" s="138">
        <v>2040000</v>
      </c>
      <c r="E88" s="20" t="s">
        <v>412</v>
      </c>
      <c r="F88" s="20" t="s">
        <v>413</v>
      </c>
      <c r="G88" s="8" t="str">
        <f t="shared" si="1"/>
        <v>MOSES BRADLEY</v>
      </c>
    </row>
    <row r="89" spans="1:7" x14ac:dyDescent="0.25">
      <c r="A89" s="8">
        <v>42967.453101851854</v>
      </c>
      <c r="B89" s="20" t="s">
        <v>411</v>
      </c>
      <c r="C89" s="20" t="s">
        <v>581</v>
      </c>
      <c r="D89" s="138">
        <v>920000</v>
      </c>
      <c r="E89" s="20" t="s">
        <v>363</v>
      </c>
      <c r="F89" s="20" t="s">
        <v>192</v>
      </c>
      <c r="G89" s="8" t="str">
        <f t="shared" si="1"/>
        <v>DAVIS MICHAEL</v>
      </c>
    </row>
    <row r="90" spans="1:7" x14ac:dyDescent="0.25">
      <c r="A90" s="8">
        <v>42967.45590277778</v>
      </c>
      <c r="B90" s="20" t="s">
        <v>406</v>
      </c>
      <c r="C90" s="20" t="s">
        <v>661</v>
      </c>
      <c r="D90" s="138">
        <v>2560000</v>
      </c>
      <c r="E90" s="20" t="s">
        <v>605</v>
      </c>
      <c r="F90" s="20" t="s">
        <v>350</v>
      </c>
      <c r="G90" s="8" t="str">
        <f t="shared" si="1"/>
        <v>MACDONALD THOMAS</v>
      </c>
    </row>
    <row r="91" spans="1:7" x14ac:dyDescent="0.25">
      <c r="A91" s="8">
        <v>42967.457650462966</v>
      </c>
      <c r="B91" s="20" t="s">
        <v>473</v>
      </c>
      <c r="C91" s="20" t="s">
        <v>662</v>
      </c>
      <c r="D91" s="138">
        <v>2140000</v>
      </c>
      <c r="E91" s="20" t="s">
        <v>474</v>
      </c>
      <c r="F91" s="20" t="s">
        <v>475</v>
      </c>
      <c r="G91" s="8" t="str">
        <f t="shared" si="1"/>
        <v>ROBINSON KADDIBA</v>
      </c>
    </row>
    <row r="92" spans="1:7" x14ac:dyDescent="0.25">
      <c r="A92" s="8">
        <v>42967.460925925923</v>
      </c>
      <c r="B92" s="20" t="s">
        <v>567</v>
      </c>
      <c r="C92" s="20" t="s">
        <v>663</v>
      </c>
      <c r="D92" s="138">
        <v>3010000</v>
      </c>
      <c r="E92" s="20" t="s">
        <v>651</v>
      </c>
      <c r="F92" s="20" t="s">
        <v>419</v>
      </c>
      <c r="G92" s="8" t="str">
        <f t="shared" si="1"/>
        <v>SULLIVAN BRANDON</v>
      </c>
    </row>
    <row r="93" spans="1:7" x14ac:dyDescent="0.25">
      <c r="A93" s="8">
        <v>42967.467604166668</v>
      </c>
      <c r="B93" s="20" t="s">
        <v>409</v>
      </c>
      <c r="C93" s="20" t="s">
        <v>664</v>
      </c>
      <c r="D93" s="138">
        <v>2970000</v>
      </c>
      <c r="E93" s="20" t="s">
        <v>353</v>
      </c>
      <c r="F93" s="20" t="s">
        <v>354</v>
      </c>
      <c r="G93" s="8" t="str">
        <f t="shared" si="1"/>
        <v>GUZMAN DANNY</v>
      </c>
    </row>
    <row r="94" spans="1:7" x14ac:dyDescent="0.25">
      <c r="A94" s="8">
        <v>42967.469976851855</v>
      </c>
      <c r="B94" s="20" t="s">
        <v>560</v>
      </c>
      <c r="C94" s="20" t="s">
        <v>665</v>
      </c>
      <c r="D94" s="138">
        <v>920000</v>
      </c>
      <c r="E94" s="20" t="s">
        <v>363</v>
      </c>
      <c r="F94" s="20" t="s">
        <v>192</v>
      </c>
      <c r="G94" s="8" t="str">
        <f t="shared" si="1"/>
        <v>DAVIS MICHAEL</v>
      </c>
    </row>
    <row r="95" spans="1:7" x14ac:dyDescent="0.25">
      <c r="A95" s="8">
        <v>42967.474340277775</v>
      </c>
      <c r="B95" s="20" t="s">
        <v>536</v>
      </c>
      <c r="C95" s="20" t="s">
        <v>537</v>
      </c>
      <c r="D95" s="138">
        <v>2470000</v>
      </c>
      <c r="E95" s="20" t="s">
        <v>658</v>
      </c>
      <c r="F95" s="20" t="s">
        <v>659</v>
      </c>
      <c r="G95" s="8" t="str">
        <f t="shared" si="1"/>
        <v>ROMERO CHAD</v>
      </c>
    </row>
    <row r="96" spans="1:7" x14ac:dyDescent="0.25">
      <c r="A96" s="8">
        <v>42967.475057870368</v>
      </c>
      <c r="B96" s="20" t="s">
        <v>380</v>
      </c>
      <c r="C96" s="20" t="s">
        <v>538</v>
      </c>
      <c r="D96" s="138">
        <v>3120000</v>
      </c>
      <c r="E96" s="20" t="s">
        <v>666</v>
      </c>
      <c r="F96" s="20" t="s">
        <v>667</v>
      </c>
      <c r="G96" s="8" t="str">
        <f t="shared" si="1"/>
        <v>THOMPSON LESTER</v>
      </c>
    </row>
    <row r="97" spans="1:7" x14ac:dyDescent="0.25">
      <c r="A97" s="8">
        <v>42967.478090277778</v>
      </c>
      <c r="B97" s="20" t="s">
        <v>395</v>
      </c>
      <c r="C97" s="20" t="s">
        <v>581</v>
      </c>
      <c r="D97" s="138">
        <v>1990000</v>
      </c>
      <c r="E97" s="20" t="s">
        <v>363</v>
      </c>
      <c r="F97" s="20" t="s">
        <v>451</v>
      </c>
      <c r="G97" s="8" t="str">
        <f t="shared" si="1"/>
        <v>DAVIS WENDY</v>
      </c>
    </row>
    <row r="98" spans="1:7" x14ac:dyDescent="0.25">
      <c r="A98" s="8">
        <v>42967.484212962961</v>
      </c>
      <c r="B98" s="20" t="s">
        <v>472</v>
      </c>
      <c r="C98" s="20" t="s">
        <v>535</v>
      </c>
      <c r="D98" s="138">
        <v>2140000</v>
      </c>
      <c r="E98" s="20" t="s">
        <v>474</v>
      </c>
      <c r="F98" s="20" t="s">
        <v>475</v>
      </c>
      <c r="G98" s="8" t="str">
        <f t="shared" si="1"/>
        <v>ROBINSON KADDIBA</v>
      </c>
    </row>
    <row r="99" spans="1:7" x14ac:dyDescent="0.25">
      <c r="A99" s="8">
        <v>42967.487071759257</v>
      </c>
      <c r="B99" s="20" t="s">
        <v>352</v>
      </c>
      <c r="C99" s="20" t="s">
        <v>668</v>
      </c>
      <c r="D99" s="138">
        <v>1770000</v>
      </c>
      <c r="E99" s="20" t="s">
        <v>669</v>
      </c>
      <c r="F99" s="20" t="s">
        <v>670</v>
      </c>
      <c r="G99" s="8" t="str">
        <f t="shared" si="1"/>
        <v>BRUDER RICHARD</v>
      </c>
    </row>
    <row r="100" spans="1:7" x14ac:dyDescent="0.25">
      <c r="A100" s="8">
        <v>42967.495057870372</v>
      </c>
      <c r="B100" s="20" t="s">
        <v>476</v>
      </c>
      <c r="C100" s="20" t="s">
        <v>671</v>
      </c>
      <c r="D100" s="138">
        <v>3010000</v>
      </c>
      <c r="E100" s="20" t="s">
        <v>651</v>
      </c>
      <c r="F100" s="20" t="s">
        <v>419</v>
      </c>
      <c r="G100" s="8" t="str">
        <f t="shared" si="1"/>
        <v>SULLIVAN BRANDON</v>
      </c>
    </row>
    <row r="101" spans="1:7" x14ac:dyDescent="0.25">
      <c r="A101" s="8">
        <v>42967.496620370373</v>
      </c>
      <c r="B101" s="20" t="s">
        <v>410</v>
      </c>
      <c r="C101" s="20" t="s">
        <v>672</v>
      </c>
      <c r="D101" s="138">
        <v>2560000</v>
      </c>
      <c r="E101" s="20" t="s">
        <v>605</v>
      </c>
      <c r="F101" s="20" t="s">
        <v>350</v>
      </c>
      <c r="G101" s="8" t="str">
        <f t="shared" si="1"/>
        <v>MACDONALD THOMAS</v>
      </c>
    </row>
    <row r="102" spans="1:7" x14ac:dyDescent="0.25">
      <c r="A102" s="8">
        <v>42967.501898148148</v>
      </c>
      <c r="B102" s="20" t="s">
        <v>473</v>
      </c>
      <c r="C102" s="20" t="s">
        <v>539</v>
      </c>
      <c r="D102" s="138">
        <v>2140000</v>
      </c>
      <c r="E102" s="20" t="s">
        <v>474</v>
      </c>
      <c r="F102" s="20" t="s">
        <v>475</v>
      </c>
      <c r="G102" s="8" t="str">
        <f t="shared" si="1"/>
        <v>ROBINSON KADDIBA</v>
      </c>
    </row>
    <row r="103" spans="1:7" x14ac:dyDescent="0.25">
      <c r="A103" s="8">
        <v>42967.507777777777</v>
      </c>
      <c r="B103" s="20" t="s">
        <v>540</v>
      </c>
      <c r="C103" s="20" t="s">
        <v>541</v>
      </c>
      <c r="D103" s="138">
        <v>920000</v>
      </c>
      <c r="E103" s="20" t="s">
        <v>363</v>
      </c>
      <c r="F103" s="20" t="s">
        <v>192</v>
      </c>
      <c r="G103" s="8" t="str">
        <f t="shared" si="1"/>
        <v>DAVIS MICHAEL</v>
      </c>
    </row>
    <row r="104" spans="1:7" x14ac:dyDescent="0.25">
      <c r="A104" s="8">
        <v>42967.508634259262</v>
      </c>
      <c r="B104" s="20" t="s">
        <v>421</v>
      </c>
      <c r="C104" s="20" t="s">
        <v>673</v>
      </c>
      <c r="D104" s="138">
        <v>2550000</v>
      </c>
      <c r="E104" s="20" t="s">
        <v>674</v>
      </c>
      <c r="F104" s="20" t="s">
        <v>675</v>
      </c>
      <c r="G104" s="8" t="str">
        <f t="shared" si="1"/>
        <v>BADERTSCHER DIANE</v>
      </c>
    </row>
    <row r="105" spans="1:7" x14ac:dyDescent="0.25">
      <c r="A105" s="8">
        <v>42967.518136574072</v>
      </c>
      <c r="B105" s="20" t="s">
        <v>382</v>
      </c>
      <c r="C105" s="20" t="s">
        <v>542</v>
      </c>
      <c r="D105" s="138">
        <v>3120000</v>
      </c>
      <c r="E105" s="20" t="s">
        <v>666</v>
      </c>
      <c r="F105" s="20" t="s">
        <v>667</v>
      </c>
      <c r="G105" s="8" t="str">
        <f t="shared" si="1"/>
        <v>THOMPSON LESTER</v>
      </c>
    </row>
    <row r="106" spans="1:7" x14ac:dyDescent="0.25">
      <c r="A106" s="8">
        <v>42967.518368055556</v>
      </c>
      <c r="B106" s="20" t="s">
        <v>526</v>
      </c>
      <c r="C106" s="20" t="s">
        <v>676</v>
      </c>
      <c r="D106" s="138">
        <v>2470000</v>
      </c>
      <c r="E106" s="20" t="s">
        <v>658</v>
      </c>
      <c r="F106" s="20" t="s">
        <v>659</v>
      </c>
      <c r="G106" s="8" t="str">
        <f t="shared" si="1"/>
        <v>ROMERO CHAD</v>
      </c>
    </row>
    <row r="107" spans="1:7" x14ac:dyDescent="0.25">
      <c r="A107" s="8">
        <v>42967.52621527778</v>
      </c>
      <c r="B107" s="20" t="s">
        <v>472</v>
      </c>
      <c r="C107" s="20" t="s">
        <v>677</v>
      </c>
      <c r="D107" s="138">
        <v>2140000</v>
      </c>
      <c r="E107" s="20" t="s">
        <v>474</v>
      </c>
      <c r="F107" s="20" t="s">
        <v>475</v>
      </c>
      <c r="G107" s="8" t="str">
        <f t="shared" si="1"/>
        <v>ROBINSON KADDIBA</v>
      </c>
    </row>
    <row r="108" spans="1:7" x14ac:dyDescent="0.25">
      <c r="A108" s="8">
        <v>42967.527395833335</v>
      </c>
      <c r="B108" s="20" t="s">
        <v>351</v>
      </c>
      <c r="C108" s="20" t="s">
        <v>678</v>
      </c>
      <c r="D108" s="138">
        <v>1770000</v>
      </c>
      <c r="E108" s="20" t="s">
        <v>669</v>
      </c>
      <c r="F108" s="20" t="s">
        <v>670</v>
      </c>
      <c r="G108" s="8" t="str">
        <f t="shared" si="1"/>
        <v>BRUDER RICHARD</v>
      </c>
    </row>
    <row r="109" spans="1:7" x14ac:dyDescent="0.25">
      <c r="A109" s="8">
        <v>42967.528969907406</v>
      </c>
      <c r="B109" s="20" t="s">
        <v>406</v>
      </c>
      <c r="C109" s="20" t="s">
        <v>679</v>
      </c>
      <c r="D109" s="138">
        <v>2540000</v>
      </c>
      <c r="E109" s="20" t="s">
        <v>680</v>
      </c>
      <c r="F109" s="20" t="s">
        <v>681</v>
      </c>
      <c r="G109" s="8" t="str">
        <f t="shared" si="1"/>
        <v>MCREYNOLDS KYLE</v>
      </c>
    </row>
    <row r="110" spans="1:7" x14ac:dyDescent="0.25">
      <c r="A110" s="8">
        <v>42967.534768518519</v>
      </c>
      <c r="B110" s="20" t="s">
        <v>567</v>
      </c>
      <c r="C110" s="20" t="s">
        <v>682</v>
      </c>
      <c r="D110" s="138">
        <v>3010000</v>
      </c>
      <c r="E110" s="20" t="s">
        <v>651</v>
      </c>
      <c r="F110" s="20" t="s">
        <v>419</v>
      </c>
      <c r="G110" s="8" t="str">
        <f t="shared" si="1"/>
        <v>SULLIVAN BRANDON</v>
      </c>
    </row>
    <row r="111" spans="1:7" x14ac:dyDescent="0.25">
      <c r="A111" s="8">
        <v>42967.539629629631</v>
      </c>
      <c r="B111" s="20" t="s">
        <v>560</v>
      </c>
      <c r="C111" s="20" t="s">
        <v>683</v>
      </c>
      <c r="D111" s="138">
        <v>920000</v>
      </c>
      <c r="E111" s="20" t="s">
        <v>363</v>
      </c>
      <c r="F111" s="20" t="s">
        <v>192</v>
      </c>
      <c r="G111" s="8" t="str">
        <f t="shared" si="1"/>
        <v>DAVIS MICHAEL</v>
      </c>
    </row>
    <row r="112" spans="1:7" x14ac:dyDescent="0.25">
      <c r="A112" s="8">
        <v>42967.540879629632</v>
      </c>
      <c r="B112" s="20" t="s">
        <v>473</v>
      </c>
      <c r="C112" s="20" t="s">
        <v>684</v>
      </c>
      <c r="D112" s="138">
        <v>2140000</v>
      </c>
      <c r="E112" s="20" t="s">
        <v>474</v>
      </c>
      <c r="F112" s="20" t="s">
        <v>475</v>
      </c>
      <c r="G112" s="8" t="str">
        <f t="shared" si="1"/>
        <v>ROBINSON KADDIBA</v>
      </c>
    </row>
    <row r="113" spans="1:7" x14ac:dyDescent="0.25">
      <c r="A113" s="8">
        <v>42967.545069444444</v>
      </c>
      <c r="B113" s="20" t="s">
        <v>409</v>
      </c>
      <c r="C113" s="20" t="s">
        <v>544</v>
      </c>
      <c r="D113" s="138">
        <v>2550000</v>
      </c>
      <c r="E113" s="20" t="s">
        <v>674</v>
      </c>
      <c r="F113" s="20" t="s">
        <v>675</v>
      </c>
      <c r="G113" s="8" t="str">
        <f t="shared" si="1"/>
        <v>BADERTSCHER DIANE</v>
      </c>
    </row>
    <row r="114" spans="1:7" x14ac:dyDescent="0.25">
      <c r="A114" s="8">
        <v>42967.54755787037</v>
      </c>
      <c r="B114" s="20" t="s">
        <v>536</v>
      </c>
      <c r="C114" s="20" t="s">
        <v>685</v>
      </c>
      <c r="D114" s="138">
        <v>2470000</v>
      </c>
      <c r="E114" s="20" t="s">
        <v>658</v>
      </c>
      <c r="F114" s="20" t="s">
        <v>659</v>
      </c>
      <c r="G114" s="8" t="str">
        <f t="shared" si="1"/>
        <v>ROMERO CHAD</v>
      </c>
    </row>
    <row r="115" spans="1:7" x14ac:dyDescent="0.25">
      <c r="A115" s="8">
        <v>42967.551192129627</v>
      </c>
      <c r="B115" s="20" t="s">
        <v>380</v>
      </c>
      <c r="C115" s="20" t="s">
        <v>686</v>
      </c>
      <c r="D115" s="138">
        <v>3120000</v>
      </c>
      <c r="E115" s="20" t="s">
        <v>666</v>
      </c>
      <c r="F115" s="20" t="s">
        <v>667</v>
      </c>
      <c r="G115" s="8" t="str">
        <f t="shared" si="1"/>
        <v>THOMPSON LESTER</v>
      </c>
    </row>
    <row r="116" spans="1:7" x14ac:dyDescent="0.25">
      <c r="A116" s="8">
        <v>42967.558344907404</v>
      </c>
      <c r="B116" s="20" t="s">
        <v>410</v>
      </c>
      <c r="C116" s="20" t="s">
        <v>687</v>
      </c>
      <c r="D116" s="138">
        <v>2540000</v>
      </c>
      <c r="E116" s="20" t="s">
        <v>680</v>
      </c>
      <c r="F116" s="20" t="s">
        <v>681</v>
      </c>
      <c r="G116" s="8" t="str">
        <f t="shared" si="1"/>
        <v>MCREYNOLDS KYLE</v>
      </c>
    </row>
    <row r="117" spans="1:7" x14ac:dyDescent="0.25">
      <c r="A117" s="8">
        <v>42967.559432870374</v>
      </c>
      <c r="B117" s="20" t="s">
        <v>352</v>
      </c>
      <c r="C117" s="20" t="s">
        <v>543</v>
      </c>
      <c r="D117" s="138">
        <v>1770000</v>
      </c>
      <c r="E117" s="20" t="s">
        <v>669</v>
      </c>
      <c r="F117" s="20" t="s">
        <v>670</v>
      </c>
      <c r="G117" s="8" t="str">
        <f t="shared" si="1"/>
        <v>BRUDER RICHARD</v>
      </c>
    </row>
    <row r="118" spans="1:7" x14ac:dyDescent="0.25">
      <c r="A118" s="8">
        <v>42967.56758101852</v>
      </c>
      <c r="B118" s="20" t="s">
        <v>472</v>
      </c>
      <c r="C118" s="20" t="s">
        <v>688</v>
      </c>
      <c r="D118" s="138">
        <v>2140000</v>
      </c>
      <c r="E118" s="20" t="s">
        <v>474</v>
      </c>
      <c r="F118" s="20" t="s">
        <v>475</v>
      </c>
      <c r="G118" s="8" t="str">
        <f t="shared" si="1"/>
        <v>ROBINSON KADDIBA</v>
      </c>
    </row>
    <row r="119" spans="1:7" x14ac:dyDescent="0.25">
      <c r="A119" s="8">
        <v>42967.568599537037</v>
      </c>
      <c r="B119" s="20" t="s">
        <v>476</v>
      </c>
      <c r="C119" s="20" t="s">
        <v>689</v>
      </c>
      <c r="D119" s="138">
        <v>3010000</v>
      </c>
      <c r="E119" s="20" t="s">
        <v>651</v>
      </c>
      <c r="F119" s="20" t="s">
        <v>419</v>
      </c>
      <c r="G119" s="8" t="str">
        <f t="shared" si="1"/>
        <v>SULLIVAN BRANDON</v>
      </c>
    </row>
    <row r="120" spans="1:7" x14ac:dyDescent="0.25">
      <c r="A120" s="8">
        <v>42967.576215277775</v>
      </c>
      <c r="B120" s="20" t="s">
        <v>352</v>
      </c>
      <c r="C120" s="20" t="s">
        <v>543</v>
      </c>
      <c r="D120" s="138">
        <v>1770000</v>
      </c>
      <c r="E120" s="20" t="s">
        <v>669</v>
      </c>
      <c r="F120" s="20" t="s">
        <v>670</v>
      </c>
      <c r="G120" s="8" t="str">
        <f t="shared" si="1"/>
        <v>BRUDER RICHARD</v>
      </c>
    </row>
    <row r="121" spans="1:7" x14ac:dyDescent="0.25">
      <c r="A121" s="8">
        <v>42967.580127314817</v>
      </c>
      <c r="B121" s="20" t="s">
        <v>540</v>
      </c>
      <c r="C121" s="20" t="s">
        <v>690</v>
      </c>
      <c r="D121" s="138">
        <v>920000</v>
      </c>
      <c r="E121" s="20" t="s">
        <v>363</v>
      </c>
      <c r="F121" s="20" t="s">
        <v>192</v>
      </c>
      <c r="G121" s="8" t="str">
        <f t="shared" si="1"/>
        <v>DAVIS MICHAEL</v>
      </c>
    </row>
    <row r="122" spans="1:7" x14ac:dyDescent="0.25">
      <c r="A122" s="8">
        <v>42967.581875000003</v>
      </c>
      <c r="B122" s="25" t="s">
        <v>421</v>
      </c>
      <c r="C122" s="20" t="s">
        <v>691</v>
      </c>
      <c r="D122" s="138">
        <v>2550000</v>
      </c>
      <c r="E122" s="20" t="s">
        <v>674</v>
      </c>
      <c r="F122" s="20" t="s">
        <v>675</v>
      </c>
      <c r="G122" s="8" t="str">
        <f t="shared" si="1"/>
        <v>BADERTSCHER DIANE</v>
      </c>
    </row>
    <row r="123" spans="1:7" x14ac:dyDescent="0.25">
      <c r="A123" s="8">
        <v>42967.583680555559</v>
      </c>
      <c r="B123" s="20" t="s">
        <v>473</v>
      </c>
      <c r="C123" s="20" t="s">
        <v>545</v>
      </c>
      <c r="D123" s="138">
        <v>2420000</v>
      </c>
      <c r="E123" s="20" t="s">
        <v>477</v>
      </c>
      <c r="F123" s="20" t="s">
        <v>478</v>
      </c>
      <c r="G123" s="8" t="str">
        <f t="shared" si="1"/>
        <v>HOLCOMB KAMDEN</v>
      </c>
    </row>
    <row r="124" spans="1:7" x14ac:dyDescent="0.25">
      <c r="A124" s="8">
        <v>42967.590011574073</v>
      </c>
      <c r="B124" s="20" t="s">
        <v>526</v>
      </c>
      <c r="C124" s="20" t="s">
        <v>692</v>
      </c>
      <c r="D124" s="138">
        <v>2470000</v>
      </c>
      <c r="E124" s="20" t="s">
        <v>658</v>
      </c>
      <c r="F124" s="20" t="s">
        <v>659</v>
      </c>
      <c r="G124" s="8" t="str">
        <f t="shared" si="1"/>
        <v>ROMERO CHAD</v>
      </c>
    </row>
    <row r="125" spans="1:7" x14ac:dyDescent="0.25">
      <c r="A125" s="8">
        <v>42967.590462962966</v>
      </c>
      <c r="B125" s="20" t="s">
        <v>382</v>
      </c>
      <c r="C125" s="20" t="s">
        <v>693</v>
      </c>
      <c r="D125" s="138">
        <v>3120000</v>
      </c>
      <c r="E125" s="20" t="s">
        <v>666</v>
      </c>
      <c r="F125" s="20" t="s">
        <v>667</v>
      </c>
      <c r="G125" s="8" t="str">
        <f t="shared" si="1"/>
        <v>THOMPSON LESTER</v>
      </c>
    </row>
    <row r="126" spans="1:7" x14ac:dyDescent="0.25">
      <c r="A126" s="8">
        <v>42967.601782407408</v>
      </c>
      <c r="B126" s="20" t="s">
        <v>351</v>
      </c>
      <c r="C126" s="20" t="s">
        <v>694</v>
      </c>
      <c r="D126" s="138">
        <v>1770000</v>
      </c>
      <c r="E126" s="20" t="s">
        <v>669</v>
      </c>
      <c r="F126" s="20" t="s">
        <v>670</v>
      </c>
      <c r="G126" s="8" t="str">
        <f t="shared" si="1"/>
        <v>BRUDER RICHARD</v>
      </c>
    </row>
    <row r="127" spans="1:7" x14ac:dyDescent="0.25">
      <c r="A127" s="8">
        <v>42967.602638888886</v>
      </c>
      <c r="B127" s="20" t="s">
        <v>406</v>
      </c>
      <c r="C127" s="20" t="s">
        <v>695</v>
      </c>
      <c r="D127" s="138">
        <v>2540000</v>
      </c>
      <c r="E127" s="20" t="s">
        <v>680</v>
      </c>
      <c r="F127" s="20" t="s">
        <v>681</v>
      </c>
      <c r="G127" s="8" t="str">
        <f t="shared" si="1"/>
        <v>MCREYNOLDS KYLE</v>
      </c>
    </row>
    <row r="128" spans="1:7" x14ac:dyDescent="0.25">
      <c r="A128" s="8">
        <v>42967.607291666667</v>
      </c>
      <c r="B128" s="20" t="s">
        <v>567</v>
      </c>
      <c r="C128" s="20" t="s">
        <v>696</v>
      </c>
      <c r="D128" s="138">
        <v>3010000</v>
      </c>
      <c r="E128" s="20" t="s">
        <v>651</v>
      </c>
      <c r="F128" s="20" t="s">
        <v>419</v>
      </c>
      <c r="G128" s="8" t="str">
        <f t="shared" si="1"/>
        <v>SULLIVAN BRANDON</v>
      </c>
    </row>
    <row r="129" spans="1:7" x14ac:dyDescent="0.25">
      <c r="A129" s="8">
        <v>42967.609502314815</v>
      </c>
      <c r="B129" s="20" t="s">
        <v>472</v>
      </c>
      <c r="C129" s="20" t="s">
        <v>546</v>
      </c>
      <c r="D129" s="138">
        <v>2420000</v>
      </c>
      <c r="E129" s="20" t="s">
        <v>477</v>
      </c>
      <c r="F129" s="20" t="s">
        <v>478</v>
      </c>
      <c r="G129" s="8" t="str">
        <f t="shared" si="1"/>
        <v>HOLCOMB KAMDEN</v>
      </c>
    </row>
    <row r="130" spans="1:7" x14ac:dyDescent="0.25">
      <c r="A130" s="8">
        <v>42967.614583333336</v>
      </c>
      <c r="B130" s="20" t="s">
        <v>409</v>
      </c>
      <c r="C130" s="20" t="s">
        <v>697</v>
      </c>
      <c r="D130" s="138">
        <v>2550000</v>
      </c>
      <c r="E130" s="20" t="s">
        <v>674</v>
      </c>
      <c r="F130" s="20" t="s">
        <v>675</v>
      </c>
      <c r="G130" s="8" t="str">
        <f t="shared" si="1"/>
        <v>BADERTSCHER DIANE</v>
      </c>
    </row>
    <row r="131" spans="1:7" x14ac:dyDescent="0.25">
      <c r="A131" s="8">
        <v>42967.615706018521</v>
      </c>
      <c r="B131" s="20" t="s">
        <v>560</v>
      </c>
      <c r="C131" s="20" t="s">
        <v>698</v>
      </c>
      <c r="D131" s="138">
        <v>920000</v>
      </c>
      <c r="E131" s="20" t="s">
        <v>363</v>
      </c>
      <c r="F131" s="20" t="s">
        <v>192</v>
      </c>
      <c r="G131" s="8" t="str">
        <f t="shared" ref="G131:G194" si="2">E131&amp;" "&amp;F131</f>
        <v>DAVIS MICHAEL</v>
      </c>
    </row>
    <row r="132" spans="1:7" x14ac:dyDescent="0.25">
      <c r="A132" s="8">
        <v>42967.620763888888</v>
      </c>
      <c r="B132" s="20" t="s">
        <v>536</v>
      </c>
      <c r="C132" s="20" t="s">
        <v>548</v>
      </c>
      <c r="D132" s="138">
        <v>2470000</v>
      </c>
      <c r="E132" s="20" t="s">
        <v>658</v>
      </c>
      <c r="F132" s="20" t="s">
        <v>659</v>
      </c>
      <c r="G132" s="8" t="str">
        <f t="shared" si="2"/>
        <v>ROMERO CHAD</v>
      </c>
    </row>
    <row r="133" spans="1:7" x14ac:dyDescent="0.25">
      <c r="A133" s="8">
        <v>42967.623993055553</v>
      </c>
      <c r="B133" s="20" t="s">
        <v>380</v>
      </c>
      <c r="C133" s="20" t="s">
        <v>699</v>
      </c>
      <c r="D133" s="138">
        <v>3120000</v>
      </c>
      <c r="E133" s="20" t="s">
        <v>666</v>
      </c>
      <c r="F133" s="20" t="s">
        <v>667</v>
      </c>
      <c r="G133" s="8" t="str">
        <f t="shared" si="2"/>
        <v>THOMPSON LESTER</v>
      </c>
    </row>
    <row r="134" spans="1:7" x14ac:dyDescent="0.25">
      <c r="A134" s="8">
        <v>42967.630879629629</v>
      </c>
      <c r="B134" s="20" t="s">
        <v>410</v>
      </c>
      <c r="C134" s="20" t="s">
        <v>700</v>
      </c>
      <c r="D134" s="138">
        <v>2540000</v>
      </c>
      <c r="E134" s="20" t="s">
        <v>680</v>
      </c>
      <c r="F134" s="20" t="s">
        <v>681</v>
      </c>
      <c r="G134" s="8" t="str">
        <f t="shared" si="2"/>
        <v>MCREYNOLDS KYLE</v>
      </c>
    </row>
    <row r="135" spans="1:7" x14ac:dyDescent="0.25">
      <c r="A135" s="8">
        <v>42967.632974537039</v>
      </c>
      <c r="B135" s="20" t="s">
        <v>352</v>
      </c>
      <c r="C135" s="20" t="s">
        <v>701</v>
      </c>
      <c r="D135" s="138">
        <v>1770000</v>
      </c>
      <c r="E135" s="20" t="s">
        <v>669</v>
      </c>
      <c r="F135" s="20" t="s">
        <v>670</v>
      </c>
      <c r="G135" s="8" t="str">
        <f t="shared" si="2"/>
        <v>BRUDER RICHARD</v>
      </c>
    </row>
    <row r="136" spans="1:7" x14ac:dyDescent="0.25">
      <c r="A136" s="8">
        <v>42967.636342592596</v>
      </c>
      <c r="B136" s="20" t="s">
        <v>473</v>
      </c>
      <c r="C136" s="20" t="s">
        <v>547</v>
      </c>
      <c r="D136" s="138">
        <v>2420000</v>
      </c>
      <c r="E136" s="20" t="s">
        <v>477</v>
      </c>
      <c r="F136" s="20" t="s">
        <v>478</v>
      </c>
      <c r="G136" s="8" t="str">
        <f t="shared" si="2"/>
        <v>HOLCOMB KAMDEN</v>
      </c>
    </row>
    <row r="137" spans="1:7" x14ac:dyDescent="0.25">
      <c r="A137" s="8">
        <v>42967.641469907408</v>
      </c>
      <c r="B137" s="20" t="s">
        <v>476</v>
      </c>
      <c r="C137" s="20" t="s">
        <v>702</v>
      </c>
      <c r="D137" s="138">
        <v>3010000</v>
      </c>
      <c r="E137" s="20" t="s">
        <v>651</v>
      </c>
      <c r="F137" s="20" t="s">
        <v>419</v>
      </c>
      <c r="G137" s="8" t="str">
        <f t="shared" si="2"/>
        <v>SULLIVAN BRANDON</v>
      </c>
    </row>
    <row r="138" spans="1:7" x14ac:dyDescent="0.25">
      <c r="A138" s="8">
        <v>42967.651087962964</v>
      </c>
      <c r="B138" s="20" t="s">
        <v>472</v>
      </c>
      <c r="C138" s="20" t="s">
        <v>703</v>
      </c>
      <c r="D138" s="138">
        <v>2420000</v>
      </c>
      <c r="E138" s="20" t="s">
        <v>477</v>
      </c>
      <c r="F138" s="20" t="s">
        <v>478</v>
      </c>
      <c r="G138" s="8" t="str">
        <f t="shared" si="2"/>
        <v>HOLCOMB KAMDEN</v>
      </c>
    </row>
    <row r="139" spans="1:7" x14ac:dyDescent="0.25">
      <c r="A139" s="8">
        <v>42967.653449074074</v>
      </c>
      <c r="B139" s="20" t="s">
        <v>540</v>
      </c>
      <c r="C139" s="20" t="s">
        <v>704</v>
      </c>
      <c r="D139" s="138">
        <v>920000</v>
      </c>
      <c r="E139" s="20" t="s">
        <v>363</v>
      </c>
      <c r="F139" s="20" t="s">
        <v>192</v>
      </c>
      <c r="G139" s="8" t="str">
        <f t="shared" si="2"/>
        <v>DAVIS MICHAEL</v>
      </c>
    </row>
    <row r="140" spans="1:7" x14ac:dyDescent="0.25">
      <c r="A140" s="8">
        <v>42967.656377314815</v>
      </c>
      <c r="B140" s="20" t="s">
        <v>421</v>
      </c>
      <c r="C140" s="20" t="s">
        <v>549</v>
      </c>
      <c r="D140" s="138">
        <v>2550000</v>
      </c>
      <c r="E140" s="20" t="s">
        <v>674</v>
      </c>
      <c r="F140" s="20" t="s">
        <v>675</v>
      </c>
      <c r="G140" s="8" t="str">
        <f t="shared" si="2"/>
        <v>BADERTSCHER DIANE</v>
      </c>
    </row>
    <row r="141" spans="1:7" x14ac:dyDescent="0.25">
      <c r="A141" s="8">
        <v>42967.663738425923</v>
      </c>
      <c r="B141" s="20" t="s">
        <v>382</v>
      </c>
      <c r="C141" s="20" t="s">
        <v>550</v>
      </c>
      <c r="D141" s="138">
        <v>3120000</v>
      </c>
      <c r="E141" s="20" t="s">
        <v>666</v>
      </c>
      <c r="F141" s="20" t="s">
        <v>667</v>
      </c>
      <c r="G141" s="8" t="str">
        <f t="shared" si="2"/>
        <v>THOMPSON LESTER</v>
      </c>
    </row>
    <row r="142" spans="1:7" x14ac:dyDescent="0.25">
      <c r="A142" s="8">
        <v>42967.667627314811</v>
      </c>
      <c r="B142" s="20" t="s">
        <v>526</v>
      </c>
      <c r="C142" s="20" t="s">
        <v>551</v>
      </c>
      <c r="D142" s="138">
        <v>2470000</v>
      </c>
      <c r="E142" s="20" t="s">
        <v>658</v>
      </c>
      <c r="F142" s="20" t="s">
        <v>659</v>
      </c>
      <c r="G142" s="8" t="str">
        <f t="shared" si="2"/>
        <v>ROMERO CHAD</v>
      </c>
    </row>
    <row r="143" spans="1:7" x14ac:dyDescent="0.25">
      <c r="A143" s="8">
        <v>42967.670659722222</v>
      </c>
      <c r="B143" s="20" t="s">
        <v>367</v>
      </c>
      <c r="C143" s="20" t="s">
        <v>705</v>
      </c>
      <c r="D143" s="138">
        <v>2440000</v>
      </c>
      <c r="E143" s="20" t="s">
        <v>706</v>
      </c>
      <c r="F143" s="20" t="s">
        <v>707</v>
      </c>
      <c r="G143" s="8" t="str">
        <f t="shared" si="2"/>
        <v>LOPES KIMBERLY</v>
      </c>
    </row>
    <row r="144" spans="1:7" x14ac:dyDescent="0.25">
      <c r="A144" s="8">
        <v>42967.673425925925</v>
      </c>
      <c r="B144" s="20" t="s">
        <v>351</v>
      </c>
      <c r="C144" s="20" t="s">
        <v>708</v>
      </c>
      <c r="D144" s="138">
        <v>1770000</v>
      </c>
      <c r="E144" s="20" t="s">
        <v>669</v>
      </c>
      <c r="F144" s="20" t="s">
        <v>670</v>
      </c>
      <c r="G144" s="8" t="str">
        <f t="shared" si="2"/>
        <v>BRUDER RICHARD</v>
      </c>
    </row>
    <row r="145" spans="1:7" x14ac:dyDescent="0.25">
      <c r="A145" s="8">
        <v>42967.674895833334</v>
      </c>
      <c r="B145" s="20" t="s">
        <v>406</v>
      </c>
      <c r="C145" s="20" t="s">
        <v>709</v>
      </c>
      <c r="D145" s="138">
        <v>2540000</v>
      </c>
      <c r="E145" s="20" t="s">
        <v>680</v>
      </c>
      <c r="F145" s="20" t="s">
        <v>681</v>
      </c>
      <c r="G145" s="8" t="str">
        <f t="shared" si="2"/>
        <v>MCREYNOLDS KYLE</v>
      </c>
    </row>
    <row r="146" spans="1:7" x14ac:dyDescent="0.25">
      <c r="A146" s="8">
        <v>42967.679479166669</v>
      </c>
      <c r="B146" s="20" t="s">
        <v>473</v>
      </c>
      <c r="C146" s="20" t="s">
        <v>710</v>
      </c>
      <c r="D146" s="138">
        <v>2420000</v>
      </c>
      <c r="E146" s="20" t="s">
        <v>477</v>
      </c>
      <c r="F146" s="20" t="s">
        <v>478</v>
      </c>
      <c r="G146" s="8" t="str">
        <f t="shared" si="2"/>
        <v>HOLCOMB KAMDEN</v>
      </c>
    </row>
    <row r="147" spans="1:7" x14ac:dyDescent="0.25">
      <c r="A147" s="8">
        <v>42967.679780092592</v>
      </c>
      <c r="B147" s="20" t="s">
        <v>567</v>
      </c>
      <c r="C147" s="20" t="s">
        <v>711</v>
      </c>
      <c r="D147" s="138">
        <v>3010000</v>
      </c>
      <c r="E147" s="20" t="s">
        <v>651</v>
      </c>
      <c r="F147" s="20" t="s">
        <v>419</v>
      </c>
      <c r="G147" s="8" t="str">
        <f t="shared" si="2"/>
        <v>SULLIVAN BRANDON</v>
      </c>
    </row>
    <row r="148" spans="1:7" x14ac:dyDescent="0.25">
      <c r="A148" s="8">
        <v>42967.687037037038</v>
      </c>
      <c r="B148" s="20" t="s">
        <v>560</v>
      </c>
      <c r="C148" s="20" t="s">
        <v>712</v>
      </c>
      <c r="D148" s="138">
        <v>920000</v>
      </c>
      <c r="E148" s="20" t="s">
        <v>363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42967.687280092592</v>
      </c>
      <c r="B149" s="20" t="s">
        <v>409</v>
      </c>
      <c r="C149" s="20" t="s">
        <v>713</v>
      </c>
      <c r="D149" s="138">
        <v>2550000</v>
      </c>
      <c r="E149" s="20" t="s">
        <v>674</v>
      </c>
      <c r="F149" s="20" t="s">
        <v>675</v>
      </c>
      <c r="G149" s="8" t="str">
        <f t="shared" si="2"/>
        <v>BADERTSCHER DIANE</v>
      </c>
    </row>
    <row r="150" spans="1:7" x14ac:dyDescent="0.25">
      <c r="A150" s="8">
        <v>42967.690347222226</v>
      </c>
      <c r="B150" s="20" t="s">
        <v>560</v>
      </c>
      <c r="C150" s="20" t="s">
        <v>712</v>
      </c>
      <c r="D150" s="138">
        <v>920000</v>
      </c>
      <c r="E150" s="20" t="s">
        <v>363</v>
      </c>
      <c r="F150" s="20" t="s">
        <v>192</v>
      </c>
      <c r="G150" s="8" t="str">
        <f t="shared" si="2"/>
        <v>DAVIS MICHAEL</v>
      </c>
    </row>
    <row r="151" spans="1:7" x14ac:dyDescent="0.25">
      <c r="A151" s="8">
        <v>42967.691932870373</v>
      </c>
      <c r="B151" s="20" t="s">
        <v>472</v>
      </c>
      <c r="C151" s="20" t="s">
        <v>552</v>
      </c>
      <c r="D151" s="138">
        <v>2420000</v>
      </c>
      <c r="E151" s="20" t="s">
        <v>477</v>
      </c>
      <c r="F151" s="20" t="s">
        <v>478</v>
      </c>
      <c r="G151" s="8" t="str">
        <f t="shared" si="2"/>
        <v>HOLCOMB KAMDEN</v>
      </c>
    </row>
    <row r="152" spans="1:7" x14ac:dyDescent="0.25">
      <c r="A152" s="8">
        <v>42967.698020833333</v>
      </c>
      <c r="B152" s="20" t="s">
        <v>536</v>
      </c>
      <c r="C152" s="20" t="s">
        <v>714</v>
      </c>
      <c r="D152" s="138">
        <v>2470000</v>
      </c>
      <c r="E152" s="20" t="s">
        <v>658</v>
      </c>
      <c r="F152" s="20" t="s">
        <v>659</v>
      </c>
      <c r="G152" s="8" t="str">
        <f t="shared" si="2"/>
        <v>ROMERO CHAD</v>
      </c>
    </row>
    <row r="153" spans="1:7" x14ac:dyDescent="0.25">
      <c r="A153" s="8">
        <v>42967.699490740742</v>
      </c>
      <c r="B153" s="20" t="s">
        <v>380</v>
      </c>
      <c r="C153" s="20" t="s">
        <v>715</v>
      </c>
      <c r="D153" s="138">
        <v>3120000</v>
      </c>
      <c r="E153" s="20" t="s">
        <v>666</v>
      </c>
      <c r="F153" s="20" t="s">
        <v>667</v>
      </c>
      <c r="G153" s="8" t="str">
        <f t="shared" si="2"/>
        <v>THOMPSON LESTER</v>
      </c>
    </row>
    <row r="154" spans="1:7" x14ac:dyDescent="0.25">
      <c r="A154" s="8">
        <v>42967.706307870372</v>
      </c>
      <c r="B154" s="20" t="s">
        <v>352</v>
      </c>
      <c r="C154" s="20" t="s">
        <v>716</v>
      </c>
      <c r="D154" s="138">
        <v>1770000</v>
      </c>
      <c r="E154" s="20" t="s">
        <v>669</v>
      </c>
      <c r="F154" s="20" t="s">
        <v>670</v>
      </c>
      <c r="G154" s="8" t="str">
        <f t="shared" si="2"/>
        <v>BRUDER RICHARD</v>
      </c>
    </row>
    <row r="155" spans="1:7" x14ac:dyDescent="0.25">
      <c r="A155" s="8">
        <v>42967.711875000001</v>
      </c>
      <c r="B155" s="20" t="s">
        <v>410</v>
      </c>
      <c r="C155" s="20" t="s">
        <v>717</v>
      </c>
      <c r="D155" s="138">
        <v>2540000</v>
      </c>
      <c r="E155" s="20" t="s">
        <v>680</v>
      </c>
      <c r="F155" s="20" t="s">
        <v>681</v>
      </c>
      <c r="G155" s="8" t="str">
        <f t="shared" si="2"/>
        <v>MCREYNOLDS KYLE</v>
      </c>
    </row>
    <row r="156" spans="1:7" x14ac:dyDescent="0.25">
      <c r="A156" s="8">
        <v>42967.718576388892</v>
      </c>
      <c r="B156" s="20" t="s">
        <v>410</v>
      </c>
      <c r="C156" s="20" t="s">
        <v>717</v>
      </c>
      <c r="D156" s="138">
        <v>2540000</v>
      </c>
      <c r="E156" s="20" t="s">
        <v>680</v>
      </c>
      <c r="F156" s="20" t="s">
        <v>681</v>
      </c>
      <c r="G156" s="8" t="str">
        <f t="shared" si="2"/>
        <v>MCREYNOLDS KYLE</v>
      </c>
    </row>
    <row r="157" spans="1:7" x14ac:dyDescent="0.25">
      <c r="A157" s="8">
        <v>42967.7187962963</v>
      </c>
      <c r="B157" s="20" t="s">
        <v>473</v>
      </c>
      <c r="C157" s="20" t="s">
        <v>718</v>
      </c>
      <c r="D157" s="138">
        <v>2420000</v>
      </c>
      <c r="E157" s="20" t="s">
        <v>477</v>
      </c>
      <c r="F157" s="20" t="s">
        <v>478</v>
      </c>
      <c r="G157" s="8" t="str">
        <f t="shared" si="2"/>
        <v>HOLCOMB KAMDEN</v>
      </c>
    </row>
    <row r="158" spans="1:7" x14ac:dyDescent="0.25">
      <c r="A158" s="8">
        <v>42967.719618055555</v>
      </c>
      <c r="B158" s="20" t="s">
        <v>476</v>
      </c>
      <c r="C158" s="20" t="s">
        <v>719</v>
      </c>
      <c r="D158" s="138">
        <v>2680000</v>
      </c>
      <c r="E158" s="20" t="s">
        <v>426</v>
      </c>
      <c r="F158" s="20" t="s">
        <v>427</v>
      </c>
      <c r="G158" s="8" t="str">
        <f t="shared" si="2"/>
        <v>DUNCAN SHEILA</v>
      </c>
    </row>
    <row r="159" spans="1:7" x14ac:dyDescent="0.25">
      <c r="A159" s="8">
        <v>42967.72693287037</v>
      </c>
      <c r="B159" s="20" t="s">
        <v>540</v>
      </c>
      <c r="C159" s="20" t="s">
        <v>557</v>
      </c>
      <c r="D159" s="138">
        <v>920000</v>
      </c>
      <c r="E159" s="20" t="s">
        <v>363</v>
      </c>
      <c r="F159" s="20" t="s">
        <v>192</v>
      </c>
      <c r="G159" s="8" t="str">
        <f t="shared" si="2"/>
        <v>DAVIS MICHAEL</v>
      </c>
    </row>
    <row r="160" spans="1:7" x14ac:dyDescent="0.25">
      <c r="A160" s="8">
        <v>42967.730393518519</v>
      </c>
      <c r="B160" s="20" t="s">
        <v>421</v>
      </c>
      <c r="C160" s="20" t="s">
        <v>720</v>
      </c>
      <c r="D160" s="138">
        <v>2550000</v>
      </c>
      <c r="E160" s="20" t="s">
        <v>674</v>
      </c>
      <c r="F160" s="20" t="s">
        <v>675</v>
      </c>
      <c r="G160" s="8" t="str">
        <f t="shared" si="2"/>
        <v>BADERTSCHER DIANE</v>
      </c>
    </row>
    <row r="161" spans="1:7" x14ac:dyDescent="0.25">
      <c r="A161" s="8">
        <v>42967.733981481484</v>
      </c>
      <c r="B161" s="20" t="s">
        <v>472</v>
      </c>
      <c r="C161" s="20" t="s">
        <v>718</v>
      </c>
      <c r="D161" s="138">
        <v>2420000</v>
      </c>
      <c r="E161" s="20" t="s">
        <v>477</v>
      </c>
      <c r="F161" s="20" t="s">
        <v>478</v>
      </c>
      <c r="G161" s="8" t="str">
        <f t="shared" si="2"/>
        <v>HOLCOMB KAMDEN</v>
      </c>
    </row>
    <row r="162" spans="1:7" x14ac:dyDescent="0.25">
      <c r="A162" s="8">
        <v>42967.735381944447</v>
      </c>
      <c r="B162" s="20" t="s">
        <v>526</v>
      </c>
      <c r="C162" s="20" t="s">
        <v>721</v>
      </c>
      <c r="D162" s="138">
        <v>2230000</v>
      </c>
      <c r="E162" s="20" t="s">
        <v>335</v>
      </c>
      <c r="F162" s="20" t="s">
        <v>192</v>
      </c>
      <c r="G162" s="8" t="str">
        <f t="shared" si="2"/>
        <v>SMITH MICHAEL</v>
      </c>
    </row>
    <row r="163" spans="1:7" x14ac:dyDescent="0.25">
      <c r="A163" s="8">
        <v>42967.735486111109</v>
      </c>
      <c r="B163" s="20" t="s">
        <v>472</v>
      </c>
      <c r="C163" s="20" t="s">
        <v>554</v>
      </c>
      <c r="D163" s="138">
        <v>2420000</v>
      </c>
      <c r="E163" s="20" t="s">
        <v>477</v>
      </c>
      <c r="F163" s="20" t="s">
        <v>478</v>
      </c>
      <c r="G163" s="8" t="str">
        <f t="shared" si="2"/>
        <v>HOLCOMB KAMDEN</v>
      </c>
    </row>
    <row r="164" spans="1:7" x14ac:dyDescent="0.25">
      <c r="A164" s="8">
        <v>42967.735497685186</v>
      </c>
      <c r="B164" s="20" t="s">
        <v>382</v>
      </c>
      <c r="C164" s="20" t="s">
        <v>553</v>
      </c>
      <c r="D164" s="138">
        <v>3120000</v>
      </c>
      <c r="E164" s="20" t="s">
        <v>666</v>
      </c>
      <c r="F164" s="20" t="s">
        <v>667</v>
      </c>
      <c r="G164" s="8" t="str">
        <f t="shared" si="2"/>
        <v>THOMPSON LESTER</v>
      </c>
    </row>
    <row r="165" spans="1:7" x14ac:dyDescent="0.25">
      <c r="A165" s="8">
        <v>42967.741666666669</v>
      </c>
      <c r="B165" s="20" t="s">
        <v>555</v>
      </c>
      <c r="C165" s="20" t="s">
        <v>556</v>
      </c>
      <c r="D165" s="138">
        <v>3180000</v>
      </c>
      <c r="E165" s="20" t="s">
        <v>452</v>
      </c>
      <c r="F165" s="20" t="s">
        <v>453</v>
      </c>
      <c r="G165" s="8" t="str">
        <f t="shared" si="2"/>
        <v>HUFFSMITH MONTY</v>
      </c>
    </row>
    <row r="166" spans="1:7" x14ac:dyDescent="0.25">
      <c r="A166" s="8">
        <v>42967.742442129631</v>
      </c>
      <c r="B166" s="20" t="s">
        <v>555</v>
      </c>
      <c r="C166" s="20" t="s">
        <v>556</v>
      </c>
      <c r="D166" s="138">
        <v>3180000</v>
      </c>
      <c r="E166" s="20" t="s">
        <v>452</v>
      </c>
      <c r="F166" s="20" t="s">
        <v>453</v>
      </c>
      <c r="G166" s="8" t="str">
        <f t="shared" si="2"/>
        <v>HUFFSMITH MONTY</v>
      </c>
    </row>
    <row r="167" spans="1:7" x14ac:dyDescent="0.25">
      <c r="A167" s="8">
        <v>42967.744814814818</v>
      </c>
      <c r="B167" s="20" t="s">
        <v>555</v>
      </c>
      <c r="C167" s="20" t="s">
        <v>556</v>
      </c>
      <c r="D167" s="138">
        <v>3180000</v>
      </c>
      <c r="E167" s="20" t="s">
        <v>452</v>
      </c>
      <c r="F167" s="20" t="s">
        <v>453</v>
      </c>
      <c r="G167" s="8" t="str">
        <f t="shared" si="2"/>
        <v>HUFFSMITH MONTY</v>
      </c>
    </row>
    <row r="168" spans="1:7" x14ac:dyDescent="0.25">
      <c r="A168" s="8">
        <v>42967.746967592589</v>
      </c>
      <c r="B168" s="20" t="s">
        <v>351</v>
      </c>
      <c r="C168" s="20" t="s">
        <v>559</v>
      </c>
      <c r="D168" s="138">
        <v>1770000</v>
      </c>
      <c r="E168" s="20" t="s">
        <v>669</v>
      </c>
      <c r="F168" s="20" t="s">
        <v>670</v>
      </c>
      <c r="G168" s="8" t="str">
        <f t="shared" si="2"/>
        <v>BRUDER RICHARD</v>
      </c>
    </row>
    <row r="169" spans="1:7" x14ac:dyDescent="0.25">
      <c r="A169" s="8">
        <v>42967.749247685184</v>
      </c>
      <c r="B169" s="20" t="s">
        <v>406</v>
      </c>
      <c r="C169" s="20" t="s">
        <v>722</v>
      </c>
      <c r="D169" s="138">
        <v>2540000</v>
      </c>
      <c r="E169" s="20" t="s">
        <v>680</v>
      </c>
      <c r="F169" s="20" t="s">
        <v>681</v>
      </c>
      <c r="G169" s="8" t="str">
        <f t="shared" si="2"/>
        <v>MCREYNOLDS KYLE</v>
      </c>
    </row>
    <row r="170" spans="1:7" x14ac:dyDescent="0.25">
      <c r="A170" s="8">
        <v>42967.754224537035</v>
      </c>
      <c r="B170" s="20" t="s">
        <v>567</v>
      </c>
      <c r="C170" s="20" t="s">
        <v>723</v>
      </c>
      <c r="D170" s="138">
        <v>2680000</v>
      </c>
      <c r="E170" s="20" t="s">
        <v>426</v>
      </c>
      <c r="F170" s="20" t="s">
        <v>427</v>
      </c>
      <c r="G170" s="8" t="str">
        <f t="shared" si="2"/>
        <v>DUNCAN SHEILA</v>
      </c>
    </row>
    <row r="171" spans="1:7" x14ac:dyDescent="0.25">
      <c r="A171" s="8">
        <v>42967.758402777778</v>
      </c>
      <c r="B171" s="20" t="s">
        <v>560</v>
      </c>
      <c r="C171" s="20" t="s">
        <v>561</v>
      </c>
      <c r="D171" s="138">
        <v>2620000</v>
      </c>
      <c r="E171" s="20" t="s">
        <v>479</v>
      </c>
      <c r="F171" s="20" t="s">
        <v>480</v>
      </c>
      <c r="G171" s="8" t="str">
        <f t="shared" si="2"/>
        <v>PERKINS DARREN</v>
      </c>
    </row>
    <row r="172" spans="1:7" x14ac:dyDescent="0.25">
      <c r="A172" s="8">
        <v>42967.762395833335</v>
      </c>
      <c r="B172" s="20" t="s">
        <v>409</v>
      </c>
      <c r="C172" s="20" t="s">
        <v>724</v>
      </c>
      <c r="D172" s="138">
        <v>2550000</v>
      </c>
      <c r="E172" s="20" t="s">
        <v>674</v>
      </c>
      <c r="F172" s="20" t="s">
        <v>675</v>
      </c>
      <c r="G172" s="8" t="str">
        <f t="shared" si="2"/>
        <v>BADERTSCHER DIANE</v>
      </c>
    </row>
    <row r="173" spans="1:7" x14ac:dyDescent="0.25">
      <c r="A173" s="8">
        <v>42967.763437499998</v>
      </c>
      <c r="B173" s="20" t="s">
        <v>473</v>
      </c>
      <c r="C173" s="20" t="s">
        <v>558</v>
      </c>
      <c r="D173" s="138">
        <v>2420000</v>
      </c>
      <c r="E173" s="20" t="s">
        <v>477</v>
      </c>
      <c r="F173" s="20" t="s">
        <v>478</v>
      </c>
      <c r="G173" s="8" t="str">
        <f t="shared" si="2"/>
        <v>HOLCOMB KAMDEN</v>
      </c>
    </row>
    <row r="174" spans="1:7" x14ac:dyDescent="0.25">
      <c r="A174" s="8">
        <v>42967.771412037036</v>
      </c>
      <c r="B174" s="20" t="s">
        <v>536</v>
      </c>
      <c r="C174" s="20" t="s">
        <v>725</v>
      </c>
      <c r="D174" s="138">
        <v>2230000</v>
      </c>
      <c r="E174" s="20" t="s">
        <v>335</v>
      </c>
      <c r="F174" s="20" t="s">
        <v>192</v>
      </c>
      <c r="G174" s="8" t="str">
        <f t="shared" si="2"/>
        <v>SMITH MICHAEL</v>
      </c>
    </row>
    <row r="175" spans="1:7" x14ac:dyDescent="0.25">
      <c r="A175" s="8">
        <v>42967.771863425929</v>
      </c>
      <c r="B175" s="20" t="s">
        <v>380</v>
      </c>
      <c r="C175" s="20" t="s">
        <v>726</v>
      </c>
      <c r="D175" s="138">
        <v>3180000</v>
      </c>
      <c r="E175" s="20" t="s">
        <v>452</v>
      </c>
      <c r="F175" s="20" t="s">
        <v>453</v>
      </c>
      <c r="G175" s="8" t="str">
        <f t="shared" si="2"/>
        <v>HUFFSMITH MONTY</v>
      </c>
    </row>
    <row r="176" spans="1:7" x14ac:dyDescent="0.25">
      <c r="A176" s="8">
        <v>42967.773506944446</v>
      </c>
      <c r="B176" s="20" t="s">
        <v>727</v>
      </c>
      <c r="C176" s="20" t="s">
        <v>728</v>
      </c>
      <c r="D176" s="138">
        <v>3130000</v>
      </c>
      <c r="E176" s="20" t="s">
        <v>358</v>
      </c>
      <c r="F176" s="20" t="s">
        <v>359</v>
      </c>
      <c r="G176" s="8" t="str">
        <f t="shared" si="2"/>
        <v>ZEWDU DEREJE</v>
      </c>
    </row>
    <row r="177" spans="1:7" x14ac:dyDescent="0.25">
      <c r="A177" s="8">
        <v>42967.775868055556</v>
      </c>
      <c r="B177" s="20" t="s">
        <v>472</v>
      </c>
      <c r="C177" s="20" t="s">
        <v>729</v>
      </c>
      <c r="D177" s="138">
        <v>2420000</v>
      </c>
      <c r="E177" s="20" t="s">
        <v>477</v>
      </c>
      <c r="F177" s="20" t="s">
        <v>478</v>
      </c>
      <c r="G177" s="8" t="str">
        <f t="shared" si="2"/>
        <v>HOLCOMB KAMDEN</v>
      </c>
    </row>
    <row r="178" spans="1:7" x14ac:dyDescent="0.25">
      <c r="A178" s="8">
        <v>42967.77752314815</v>
      </c>
      <c r="B178" s="20" t="s">
        <v>352</v>
      </c>
      <c r="C178" s="20" t="s">
        <v>730</v>
      </c>
      <c r="D178" s="138">
        <v>1770000</v>
      </c>
      <c r="E178" s="20" t="s">
        <v>669</v>
      </c>
      <c r="F178" s="20" t="s">
        <v>670</v>
      </c>
      <c r="G178" s="8" t="str">
        <f t="shared" si="2"/>
        <v>BRUDER RICHARD</v>
      </c>
    </row>
    <row r="179" spans="1:7" x14ac:dyDescent="0.25">
      <c r="A179" s="8">
        <v>42967.782476851855</v>
      </c>
      <c r="B179" s="20" t="s">
        <v>410</v>
      </c>
      <c r="C179" s="20" t="s">
        <v>731</v>
      </c>
      <c r="D179" s="138">
        <v>2540000</v>
      </c>
      <c r="E179" s="20" t="s">
        <v>680</v>
      </c>
      <c r="F179" s="20" t="s">
        <v>681</v>
      </c>
      <c r="G179" s="8" t="str">
        <f t="shared" si="2"/>
        <v>MCREYNOLDS KYLE</v>
      </c>
    </row>
    <row r="180" spans="1:7" x14ac:dyDescent="0.25">
      <c r="A180" s="8">
        <v>42967.786793981482</v>
      </c>
      <c r="B180" s="20" t="s">
        <v>476</v>
      </c>
      <c r="C180" s="20" t="s">
        <v>732</v>
      </c>
      <c r="D180" s="138">
        <v>2680000</v>
      </c>
      <c r="E180" s="20" t="s">
        <v>426</v>
      </c>
      <c r="F180" s="20" t="s">
        <v>427</v>
      </c>
      <c r="G180" s="8" t="str">
        <f t="shared" si="2"/>
        <v>DUNCAN SHEILA</v>
      </c>
    </row>
    <row r="181" spans="1:7" x14ac:dyDescent="0.25">
      <c r="A181" s="8">
        <v>42967.794224537036</v>
      </c>
      <c r="B181" s="20" t="s">
        <v>540</v>
      </c>
      <c r="C181" s="20" t="s">
        <v>733</v>
      </c>
      <c r="D181" s="138">
        <v>2620000</v>
      </c>
      <c r="E181" s="20" t="s">
        <v>479</v>
      </c>
      <c r="F181" s="20" t="s">
        <v>480</v>
      </c>
      <c r="G181" s="8" t="str">
        <f t="shared" si="2"/>
        <v>PERKINS DARREN</v>
      </c>
    </row>
    <row r="182" spans="1:7" x14ac:dyDescent="0.25">
      <c r="A182" s="8">
        <v>42967.798506944448</v>
      </c>
      <c r="B182" s="20" t="s">
        <v>421</v>
      </c>
      <c r="C182" s="20" t="s">
        <v>734</v>
      </c>
      <c r="D182" s="138">
        <v>2550000</v>
      </c>
      <c r="E182" s="20" t="s">
        <v>674</v>
      </c>
      <c r="F182" s="20" t="s">
        <v>675</v>
      </c>
      <c r="G182" s="8" t="str">
        <f t="shared" si="2"/>
        <v>BADERTSCHER DIANE</v>
      </c>
    </row>
    <row r="183" spans="1:7" x14ac:dyDescent="0.25">
      <c r="A183" s="8">
        <v>42967.803761574076</v>
      </c>
      <c r="B183" s="20" t="s">
        <v>473</v>
      </c>
      <c r="C183" s="20" t="s">
        <v>735</v>
      </c>
      <c r="D183" s="138">
        <v>2420000</v>
      </c>
      <c r="E183" s="20" t="s">
        <v>477</v>
      </c>
      <c r="F183" s="20" t="s">
        <v>478</v>
      </c>
      <c r="G183" s="8" t="str">
        <f t="shared" si="2"/>
        <v>HOLCOMB KAMDEN</v>
      </c>
    </row>
    <row r="184" spans="1:7" x14ac:dyDescent="0.25">
      <c r="A184" s="8">
        <v>42967.805023148147</v>
      </c>
      <c r="B184" s="20" t="s">
        <v>736</v>
      </c>
      <c r="C184" s="20" t="s">
        <v>737</v>
      </c>
      <c r="D184" s="138">
        <v>3030000</v>
      </c>
      <c r="E184" s="20" t="s">
        <v>355</v>
      </c>
      <c r="F184" s="20" t="s">
        <v>350</v>
      </c>
      <c r="G184" s="8" t="str">
        <f t="shared" si="2"/>
        <v>BIRENBAUM THOMAS</v>
      </c>
    </row>
    <row r="185" spans="1:7" x14ac:dyDescent="0.25">
      <c r="A185" s="8">
        <v>42967.805567129632</v>
      </c>
      <c r="B185" s="20" t="s">
        <v>382</v>
      </c>
      <c r="C185" s="20" t="s">
        <v>738</v>
      </c>
      <c r="D185" s="138">
        <v>3180000</v>
      </c>
      <c r="E185" s="20" t="s">
        <v>452</v>
      </c>
      <c r="F185" s="20" t="s">
        <v>453</v>
      </c>
      <c r="G185" s="8" t="str">
        <f t="shared" si="2"/>
        <v>HUFFSMITH MONTY</v>
      </c>
    </row>
    <row r="186" spans="1:7" x14ac:dyDescent="0.25">
      <c r="A186" s="8">
        <v>42967.809687499997</v>
      </c>
      <c r="B186" s="20" t="s">
        <v>526</v>
      </c>
      <c r="C186" s="20" t="s">
        <v>739</v>
      </c>
      <c r="D186" s="138">
        <v>2230000</v>
      </c>
      <c r="E186" s="20" t="s">
        <v>335</v>
      </c>
      <c r="F186" s="20" t="s">
        <v>192</v>
      </c>
      <c r="G186" s="8" t="str">
        <f t="shared" si="2"/>
        <v>SMITH MICHAEL</v>
      </c>
    </row>
    <row r="187" spans="1:7" x14ac:dyDescent="0.25">
      <c r="A187" s="8">
        <v>42967.811053240737</v>
      </c>
      <c r="B187" s="20" t="s">
        <v>555</v>
      </c>
      <c r="C187" s="20" t="s">
        <v>737</v>
      </c>
      <c r="D187" s="138">
        <v>3030000</v>
      </c>
      <c r="E187" s="20" t="s">
        <v>355</v>
      </c>
      <c r="F187" s="20" t="s">
        <v>350</v>
      </c>
      <c r="G187" s="8" t="str">
        <f t="shared" si="2"/>
        <v>BIRENBAUM THOMAS</v>
      </c>
    </row>
    <row r="188" spans="1:7" x14ac:dyDescent="0.25">
      <c r="A188" s="8">
        <v>42967.812407407408</v>
      </c>
      <c r="B188" s="20" t="s">
        <v>555</v>
      </c>
      <c r="C188" s="20" t="s">
        <v>737</v>
      </c>
      <c r="D188" s="138">
        <v>3030000</v>
      </c>
      <c r="E188" s="20" t="s">
        <v>355</v>
      </c>
      <c r="F188" s="20" t="s">
        <v>350</v>
      </c>
      <c r="G188" s="8" t="str">
        <f t="shared" si="2"/>
        <v>BIRENBAUM THOMAS</v>
      </c>
    </row>
    <row r="189" spans="1:7" x14ac:dyDescent="0.25">
      <c r="A189" s="8">
        <v>42967.817847222221</v>
      </c>
      <c r="B189" s="20" t="s">
        <v>472</v>
      </c>
      <c r="C189" s="20" t="s">
        <v>562</v>
      </c>
      <c r="D189" s="138">
        <v>2420000</v>
      </c>
      <c r="E189" s="20" t="s">
        <v>477</v>
      </c>
      <c r="F189" s="20" t="s">
        <v>478</v>
      </c>
      <c r="G189" s="8" t="str">
        <f t="shared" si="2"/>
        <v>HOLCOMB KAMDEN</v>
      </c>
    </row>
    <row r="190" spans="1:7" x14ac:dyDescent="0.25">
      <c r="A190" s="8">
        <v>42967.819560185184</v>
      </c>
      <c r="B190" s="20" t="s">
        <v>406</v>
      </c>
      <c r="C190" s="20" t="s">
        <v>740</v>
      </c>
      <c r="D190" s="138">
        <v>2540000</v>
      </c>
      <c r="E190" s="20" t="s">
        <v>680</v>
      </c>
      <c r="F190" s="20" t="s">
        <v>681</v>
      </c>
      <c r="G190" s="8" t="str">
        <f t="shared" si="2"/>
        <v>MCREYNOLDS KYLE</v>
      </c>
    </row>
    <row r="191" spans="1:7" x14ac:dyDescent="0.25">
      <c r="A191" s="8">
        <v>42967.828541666669</v>
      </c>
      <c r="B191" s="20" t="s">
        <v>560</v>
      </c>
      <c r="C191" s="20" t="s">
        <v>563</v>
      </c>
      <c r="D191" s="138">
        <v>2620000</v>
      </c>
      <c r="E191" s="20" t="s">
        <v>479</v>
      </c>
      <c r="F191" s="20" t="s">
        <v>480</v>
      </c>
      <c r="G191" s="8" t="str">
        <f t="shared" si="2"/>
        <v>PERKINS DARREN</v>
      </c>
    </row>
    <row r="192" spans="1:7" x14ac:dyDescent="0.25">
      <c r="A192" s="8">
        <v>42967.828773148147</v>
      </c>
      <c r="B192" s="20" t="s">
        <v>567</v>
      </c>
      <c r="C192" s="20" t="s">
        <v>741</v>
      </c>
      <c r="D192" s="138">
        <v>2680000</v>
      </c>
      <c r="E192" s="20" t="s">
        <v>426</v>
      </c>
      <c r="F192" s="20" t="s">
        <v>427</v>
      </c>
      <c r="G192" s="8" t="str">
        <f t="shared" si="2"/>
        <v>DUNCAN SHEILA</v>
      </c>
    </row>
    <row r="193" spans="1:7" x14ac:dyDescent="0.25">
      <c r="A193" s="8">
        <v>42967.842916666668</v>
      </c>
      <c r="B193" s="20" t="s">
        <v>473</v>
      </c>
      <c r="C193" s="20" t="s">
        <v>742</v>
      </c>
      <c r="D193" s="138">
        <v>2420000</v>
      </c>
      <c r="E193" s="20" t="s">
        <v>477</v>
      </c>
      <c r="F193" s="20" t="s">
        <v>478</v>
      </c>
      <c r="G193" s="8" t="str">
        <f t="shared" si="2"/>
        <v>HOLCOMB KAMDEN</v>
      </c>
    </row>
    <row r="194" spans="1:7" x14ac:dyDescent="0.25">
      <c r="A194" s="8">
        <v>42967.845543981479</v>
      </c>
      <c r="B194" s="20" t="s">
        <v>536</v>
      </c>
      <c r="C194" s="20" t="s">
        <v>743</v>
      </c>
      <c r="D194" s="138">
        <v>2230000</v>
      </c>
      <c r="E194" s="20" t="s">
        <v>335</v>
      </c>
      <c r="F194" s="20" t="s">
        <v>192</v>
      </c>
      <c r="G194" s="8" t="str">
        <f t="shared" si="2"/>
        <v>SMITH MICHAEL</v>
      </c>
    </row>
    <row r="195" spans="1:7" x14ac:dyDescent="0.25">
      <c r="A195" s="8">
        <v>42967.851689814815</v>
      </c>
      <c r="B195" s="20" t="s">
        <v>380</v>
      </c>
      <c r="C195" s="20" t="s">
        <v>744</v>
      </c>
      <c r="D195" s="138">
        <v>3030000</v>
      </c>
      <c r="E195" s="20" t="s">
        <v>355</v>
      </c>
      <c r="F195" s="20" t="s">
        <v>350</v>
      </c>
      <c r="G195" s="8" t="str">
        <f t="shared" ref="G195:G223" si="3">E195&amp;" "&amp;F195</f>
        <v>BIRENBAUM THOMAS</v>
      </c>
    </row>
    <row r="196" spans="1:7" x14ac:dyDescent="0.25">
      <c r="A196" s="8">
        <v>42967.858993055554</v>
      </c>
      <c r="B196" s="20" t="s">
        <v>472</v>
      </c>
      <c r="C196" s="20" t="s">
        <v>745</v>
      </c>
      <c r="D196" s="138">
        <v>2420000</v>
      </c>
      <c r="E196" s="20" t="s">
        <v>477</v>
      </c>
      <c r="F196" s="20" t="s">
        <v>478</v>
      </c>
      <c r="G196" s="8" t="str">
        <f t="shared" si="3"/>
        <v>HOLCOMB KAMDEN</v>
      </c>
    </row>
    <row r="197" spans="1:7" x14ac:dyDescent="0.25">
      <c r="A197" s="8">
        <v>42967.86146990741</v>
      </c>
      <c r="B197" s="20" t="s">
        <v>540</v>
      </c>
      <c r="C197" s="20" t="s">
        <v>746</v>
      </c>
      <c r="D197" s="138">
        <v>2620000</v>
      </c>
      <c r="E197" s="20" t="s">
        <v>479</v>
      </c>
      <c r="F197" s="20" t="s">
        <v>480</v>
      </c>
      <c r="G197" s="8" t="str">
        <f t="shared" si="3"/>
        <v>PERKINS DARREN</v>
      </c>
    </row>
    <row r="198" spans="1:7" x14ac:dyDescent="0.25">
      <c r="A198" s="8">
        <v>42967.862800925926</v>
      </c>
      <c r="B198" s="20" t="s">
        <v>476</v>
      </c>
      <c r="C198" s="20" t="s">
        <v>747</v>
      </c>
      <c r="D198" s="138">
        <v>2680000</v>
      </c>
      <c r="E198" s="20" t="s">
        <v>426</v>
      </c>
      <c r="F198" s="20" t="s">
        <v>427</v>
      </c>
      <c r="G198" s="8" t="str">
        <f t="shared" si="3"/>
        <v>DUNCAN SHEILA</v>
      </c>
    </row>
    <row r="199" spans="1:7" x14ac:dyDescent="0.25">
      <c r="A199" s="8">
        <v>42967.886018518519</v>
      </c>
      <c r="B199" s="20" t="s">
        <v>473</v>
      </c>
      <c r="C199" s="20" t="s">
        <v>564</v>
      </c>
      <c r="D199" s="138">
        <v>2420000</v>
      </c>
      <c r="E199" s="20" t="s">
        <v>477</v>
      </c>
      <c r="F199" s="20" t="s">
        <v>478</v>
      </c>
      <c r="G199" s="8" t="str">
        <f t="shared" si="3"/>
        <v>HOLCOMB KAMDEN</v>
      </c>
    </row>
    <row r="200" spans="1:7" x14ac:dyDescent="0.25">
      <c r="A200" s="8">
        <v>42967.888449074075</v>
      </c>
      <c r="B200" s="20" t="s">
        <v>526</v>
      </c>
      <c r="C200" s="20" t="s">
        <v>748</v>
      </c>
      <c r="D200" s="138">
        <v>2230000</v>
      </c>
      <c r="E200" s="20" t="s">
        <v>335</v>
      </c>
      <c r="F200" s="20" t="s">
        <v>192</v>
      </c>
      <c r="G200" s="8" t="str">
        <f t="shared" si="3"/>
        <v>SMITH MICHAEL</v>
      </c>
    </row>
    <row r="201" spans="1:7" x14ac:dyDescent="0.25">
      <c r="A201" s="8">
        <v>42967.89130787037</v>
      </c>
      <c r="B201" s="20" t="s">
        <v>382</v>
      </c>
      <c r="C201" s="20" t="s">
        <v>749</v>
      </c>
      <c r="D201" s="138">
        <v>3030000</v>
      </c>
      <c r="E201" s="20" t="s">
        <v>355</v>
      </c>
      <c r="F201" s="20" t="s">
        <v>350</v>
      </c>
      <c r="G201" s="8" t="str">
        <f t="shared" si="3"/>
        <v>BIRENBAUM THOMAS</v>
      </c>
    </row>
    <row r="202" spans="1:7" x14ac:dyDescent="0.25">
      <c r="A202" s="26">
        <v>42967.901087962964</v>
      </c>
      <c r="B202" s="20" t="s">
        <v>472</v>
      </c>
      <c r="C202" s="20" t="s">
        <v>565</v>
      </c>
      <c r="D202" s="138">
        <v>2420000</v>
      </c>
      <c r="E202" s="20" t="s">
        <v>477</v>
      </c>
      <c r="F202" s="20" t="s">
        <v>478</v>
      </c>
      <c r="G202" s="8" t="str">
        <f t="shared" si="3"/>
        <v>HOLCOMB KAMDEN</v>
      </c>
    </row>
    <row r="203" spans="1:7" x14ac:dyDescent="0.25">
      <c r="A203" s="8">
        <v>42967.904780092591</v>
      </c>
      <c r="B203" s="20" t="s">
        <v>560</v>
      </c>
      <c r="C203" s="20" t="s">
        <v>750</v>
      </c>
      <c r="D203" s="138">
        <v>2620000</v>
      </c>
      <c r="E203" s="20" t="s">
        <v>479</v>
      </c>
      <c r="F203" s="20" t="s">
        <v>480</v>
      </c>
      <c r="G203" s="8" t="str">
        <f t="shared" si="3"/>
        <v>PERKINS DARREN</v>
      </c>
    </row>
    <row r="204" spans="1:7" x14ac:dyDescent="0.25">
      <c r="A204" s="8">
        <v>42967.910729166666</v>
      </c>
      <c r="B204" s="20" t="s">
        <v>567</v>
      </c>
      <c r="C204" s="20" t="s">
        <v>568</v>
      </c>
      <c r="D204" s="138">
        <v>2680000</v>
      </c>
      <c r="E204" s="20" t="s">
        <v>426</v>
      </c>
      <c r="F204" s="20" t="s">
        <v>427</v>
      </c>
      <c r="G204" s="8" t="str">
        <f t="shared" si="3"/>
        <v>DUNCAN SHEILA</v>
      </c>
    </row>
    <row r="205" spans="1:7" x14ac:dyDescent="0.25">
      <c r="A205" s="8">
        <v>42967.927754629629</v>
      </c>
      <c r="B205" s="20" t="s">
        <v>380</v>
      </c>
      <c r="C205" s="20" t="s">
        <v>751</v>
      </c>
      <c r="D205" s="138">
        <v>3130000</v>
      </c>
      <c r="E205" s="20" t="s">
        <v>358</v>
      </c>
      <c r="F205" s="20" t="s">
        <v>359</v>
      </c>
      <c r="G205" s="8" t="str">
        <f t="shared" si="3"/>
        <v>ZEWDU DEREJE</v>
      </c>
    </row>
    <row r="206" spans="1:7" x14ac:dyDescent="0.25">
      <c r="A206" s="8">
        <v>42967.930046296293</v>
      </c>
      <c r="B206" s="20" t="s">
        <v>473</v>
      </c>
      <c r="C206" s="20" t="s">
        <v>566</v>
      </c>
      <c r="D206" s="138">
        <v>2420000</v>
      </c>
      <c r="E206" s="20" t="s">
        <v>477</v>
      </c>
      <c r="F206" s="20" t="s">
        <v>478</v>
      </c>
      <c r="G206" s="8" t="str">
        <f t="shared" si="3"/>
        <v>HOLCOMB KAMDEN</v>
      </c>
    </row>
    <row r="207" spans="1:7" x14ac:dyDescent="0.25">
      <c r="A207" s="8">
        <v>42967.933032407411</v>
      </c>
      <c r="B207" s="20" t="s">
        <v>536</v>
      </c>
      <c r="C207" s="20" t="s">
        <v>752</v>
      </c>
      <c r="D207" s="138">
        <v>2230000</v>
      </c>
      <c r="E207" s="20" t="s">
        <v>335</v>
      </c>
      <c r="F207" s="20" t="s">
        <v>192</v>
      </c>
      <c r="G207" s="8" t="str">
        <f t="shared" si="3"/>
        <v>SMITH MICHAEL</v>
      </c>
    </row>
    <row r="208" spans="1:7" x14ac:dyDescent="0.25">
      <c r="A208" s="8">
        <v>42967.943240740744</v>
      </c>
      <c r="B208" s="20" t="s">
        <v>476</v>
      </c>
      <c r="C208" s="20" t="s">
        <v>753</v>
      </c>
      <c r="D208" s="138">
        <v>2680000</v>
      </c>
      <c r="E208" s="20" t="s">
        <v>426</v>
      </c>
      <c r="F208" s="20" t="s">
        <v>427</v>
      </c>
      <c r="G208" s="8" t="str">
        <f t="shared" si="3"/>
        <v>DUNCAN SHEILA</v>
      </c>
    </row>
    <row r="209" spans="1:7" x14ac:dyDescent="0.25">
      <c r="A209" s="8">
        <v>42967.943645833337</v>
      </c>
      <c r="B209" s="20" t="s">
        <v>472</v>
      </c>
      <c r="C209" s="20" t="s">
        <v>569</v>
      </c>
      <c r="D209" s="138">
        <v>2420000</v>
      </c>
      <c r="E209" s="20" t="s">
        <v>477</v>
      </c>
      <c r="F209" s="20" t="s">
        <v>478</v>
      </c>
      <c r="G209" s="8" t="str">
        <f t="shared" si="3"/>
        <v>HOLCOMB KAMDEN</v>
      </c>
    </row>
    <row r="210" spans="1:7" x14ac:dyDescent="0.25">
      <c r="A210" s="8">
        <v>42967.943854166668</v>
      </c>
      <c r="B210" s="20" t="s">
        <v>540</v>
      </c>
      <c r="C210" s="20" t="s">
        <v>754</v>
      </c>
      <c r="D210" s="138">
        <v>2620000</v>
      </c>
      <c r="E210" s="20" t="s">
        <v>479</v>
      </c>
      <c r="F210" s="20" t="s">
        <v>480</v>
      </c>
      <c r="G210" s="8" t="str">
        <f t="shared" si="3"/>
        <v>PERKINS DARREN</v>
      </c>
    </row>
    <row r="211" spans="1:7" x14ac:dyDescent="0.25">
      <c r="A211" s="8">
        <v>42967.971875000003</v>
      </c>
      <c r="B211" s="20" t="s">
        <v>382</v>
      </c>
      <c r="C211" s="20" t="s">
        <v>755</v>
      </c>
      <c r="D211" s="138">
        <v>3130000</v>
      </c>
      <c r="E211" s="20" t="s">
        <v>358</v>
      </c>
      <c r="F211" s="20" t="s">
        <v>359</v>
      </c>
      <c r="G211" s="8" t="str">
        <f t="shared" si="3"/>
        <v>ZEWDU DEREJE</v>
      </c>
    </row>
    <row r="212" spans="1:7" x14ac:dyDescent="0.25">
      <c r="A212" s="8">
        <v>42967.972407407404</v>
      </c>
      <c r="B212" s="20" t="s">
        <v>526</v>
      </c>
      <c r="C212" s="20" t="s">
        <v>756</v>
      </c>
      <c r="D212" s="138">
        <v>2230000</v>
      </c>
      <c r="E212" s="20" t="s">
        <v>335</v>
      </c>
      <c r="F212" s="20" t="s">
        <v>192</v>
      </c>
      <c r="G212" s="8" t="str">
        <f t="shared" si="3"/>
        <v>SMITH MICHAEL</v>
      </c>
    </row>
    <row r="213" spans="1:7" x14ac:dyDescent="0.25">
      <c r="A213" s="8">
        <v>42967.985011574077</v>
      </c>
      <c r="B213" s="20" t="s">
        <v>567</v>
      </c>
      <c r="C213" s="20" t="s">
        <v>757</v>
      </c>
      <c r="D213" s="138">
        <v>2680000</v>
      </c>
      <c r="E213" s="20" t="s">
        <v>426</v>
      </c>
      <c r="F213" s="20" t="s">
        <v>427</v>
      </c>
      <c r="G213" s="8" t="str">
        <f t="shared" si="3"/>
        <v>DUNCAN SHEILA</v>
      </c>
    </row>
    <row r="214" spans="1:7" x14ac:dyDescent="0.25">
      <c r="A214" s="8">
        <v>42967.985289351855</v>
      </c>
      <c r="B214" s="20" t="s">
        <v>560</v>
      </c>
      <c r="C214" s="20" t="s">
        <v>570</v>
      </c>
      <c r="D214" s="138">
        <v>2620000</v>
      </c>
      <c r="E214" s="20" t="s">
        <v>479</v>
      </c>
      <c r="F214" s="20" t="s">
        <v>480</v>
      </c>
      <c r="G214" s="8" t="str">
        <f t="shared" si="3"/>
        <v>PERKINS DARREN</v>
      </c>
    </row>
    <row r="215" spans="1:7" x14ac:dyDescent="0.25">
      <c r="A215" s="8">
        <v>42968.015902777777</v>
      </c>
      <c r="B215" s="20" t="s">
        <v>536</v>
      </c>
      <c r="C215" s="20" t="s">
        <v>758</v>
      </c>
      <c r="D215" s="138">
        <v>2230000</v>
      </c>
      <c r="E215" s="20" t="s">
        <v>335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42968.018009259256</v>
      </c>
      <c r="B216" s="20" t="s">
        <v>380</v>
      </c>
      <c r="C216" s="20" t="s">
        <v>759</v>
      </c>
      <c r="D216" s="138">
        <v>3030000</v>
      </c>
      <c r="E216" s="20" t="s">
        <v>355</v>
      </c>
      <c r="F216" s="20" t="s">
        <v>350</v>
      </c>
      <c r="G216" s="8" t="str">
        <f t="shared" si="3"/>
        <v>BIRENBAUM THOMAS</v>
      </c>
    </row>
    <row r="217" spans="1:7" x14ac:dyDescent="0.25">
      <c r="A217" s="8">
        <v>42968.027754629627</v>
      </c>
      <c r="B217" s="20" t="s">
        <v>476</v>
      </c>
      <c r="C217" s="20" t="s">
        <v>760</v>
      </c>
      <c r="D217" s="138">
        <v>2680000</v>
      </c>
      <c r="E217" s="20" t="s">
        <v>426</v>
      </c>
      <c r="F217" s="20" t="s">
        <v>427</v>
      </c>
      <c r="G217" s="8" t="str">
        <f t="shared" si="3"/>
        <v>DUNCAN SHEILA</v>
      </c>
    </row>
    <row r="218" spans="1:7" x14ac:dyDescent="0.25">
      <c r="A218" s="8">
        <v>42968.032488425924</v>
      </c>
      <c r="B218" s="20" t="s">
        <v>540</v>
      </c>
      <c r="C218" s="20" t="s">
        <v>761</v>
      </c>
      <c r="D218" s="138">
        <v>2620000</v>
      </c>
      <c r="E218" s="20" t="s">
        <v>479</v>
      </c>
      <c r="F218" s="20" t="s">
        <v>480</v>
      </c>
      <c r="G218" s="8" t="str">
        <f t="shared" si="3"/>
        <v>PERKINS DARREN</v>
      </c>
    </row>
    <row r="219" spans="1:7" x14ac:dyDescent="0.25">
      <c r="A219" s="8">
        <v>42968.048483796294</v>
      </c>
      <c r="B219" s="20" t="s">
        <v>526</v>
      </c>
      <c r="C219" s="20" t="s">
        <v>762</v>
      </c>
      <c r="D219" s="138">
        <v>2230000</v>
      </c>
      <c r="E219" s="20" t="s">
        <v>335</v>
      </c>
      <c r="F219" s="20" t="s">
        <v>192</v>
      </c>
      <c r="G219" s="8" t="str">
        <f t="shared" si="3"/>
        <v>SMITH MICHAEL</v>
      </c>
    </row>
    <row r="220" spans="1:7" x14ac:dyDescent="0.25">
      <c r="A220" s="8">
        <v>42968.057997685188</v>
      </c>
      <c r="B220" s="20" t="s">
        <v>382</v>
      </c>
      <c r="C220" s="20" t="s">
        <v>763</v>
      </c>
      <c r="D220" s="138">
        <v>3030000</v>
      </c>
      <c r="E220" s="20" t="s">
        <v>355</v>
      </c>
      <c r="F220" s="20" t="s">
        <v>350</v>
      </c>
      <c r="G220" s="8" t="str">
        <f t="shared" si="3"/>
        <v>BIRENBAUM THOMAS</v>
      </c>
    </row>
    <row r="221" spans="1:7" x14ac:dyDescent="0.25">
      <c r="A221" s="8">
        <v>42968.069606481484</v>
      </c>
      <c r="B221" s="20" t="s">
        <v>560</v>
      </c>
      <c r="C221" s="20" t="s">
        <v>764</v>
      </c>
      <c r="D221" s="138">
        <v>2620000</v>
      </c>
      <c r="E221" s="20" t="s">
        <v>479</v>
      </c>
      <c r="F221" s="20" t="s">
        <v>480</v>
      </c>
      <c r="G221" s="8" t="str">
        <f t="shared" si="3"/>
        <v>PERKINS DARREN</v>
      </c>
    </row>
    <row r="222" spans="1:7" x14ac:dyDescent="0.25">
      <c r="A222" s="8">
        <v>42968.088043981479</v>
      </c>
      <c r="B222" s="20" t="s">
        <v>380</v>
      </c>
      <c r="C222" s="20" t="s">
        <v>765</v>
      </c>
      <c r="D222" s="138">
        <v>3030000</v>
      </c>
      <c r="E222" s="20" t="s">
        <v>355</v>
      </c>
      <c r="F222" s="20" t="s">
        <v>350</v>
      </c>
      <c r="G222" s="8" t="str">
        <f t="shared" si="3"/>
        <v>BIRENBAUM THOMAS</v>
      </c>
    </row>
    <row r="223" spans="1:7" x14ac:dyDescent="0.25">
      <c r="A223" s="8">
        <v>42968.113171296296</v>
      </c>
      <c r="B223" s="20" t="s">
        <v>450</v>
      </c>
      <c r="C223" s="20" t="s">
        <v>766</v>
      </c>
      <c r="D223" s="138">
        <v>2010000</v>
      </c>
      <c r="E223" s="20" t="s">
        <v>591</v>
      </c>
      <c r="F223" s="20" t="s">
        <v>592</v>
      </c>
      <c r="G223" s="8" t="str">
        <f t="shared" si="3"/>
        <v>MAELZER KURT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369</v>
      </c>
      <c r="O1" s="171" t="s">
        <v>156</v>
      </c>
      <c r="P1" s="171" t="s">
        <v>163</v>
      </c>
      <c r="Q1" s="171" t="s">
        <v>370</v>
      </c>
      <c r="R1" s="171" t="s">
        <v>160</v>
      </c>
      <c r="S1"/>
    </row>
    <row r="2" spans="1:19" x14ac:dyDescent="0.25">
      <c r="A2" s="172">
        <v>71.180000000000007</v>
      </c>
      <c r="B2" s="172">
        <v>0.05</v>
      </c>
      <c r="C2" s="172">
        <v>41.94</v>
      </c>
      <c r="D2" s="8">
        <v>42967</v>
      </c>
      <c r="E2" s="172">
        <v>0.35</v>
      </c>
      <c r="F2" s="172" t="s">
        <v>405</v>
      </c>
      <c r="G2" s="172">
        <v>295.37</v>
      </c>
      <c r="H2" s="172">
        <v>0</v>
      </c>
      <c r="I2" s="172">
        <v>0</v>
      </c>
      <c r="J2" s="172">
        <v>1010.3</v>
      </c>
      <c r="K2" s="172" t="s">
        <v>404</v>
      </c>
      <c r="L2" s="172">
        <v>71.180000000000007</v>
      </c>
      <c r="M2" s="172">
        <v>1503208800</v>
      </c>
      <c r="N2" s="172">
        <v>0</v>
      </c>
      <c r="O2" s="172">
        <v>3.72</v>
      </c>
      <c r="P2" s="172">
        <v>223</v>
      </c>
      <c r="Q2" s="172">
        <v>4.6399999999999997</v>
      </c>
      <c r="R2" s="172">
        <v>1.93</v>
      </c>
      <c r="S2"/>
    </row>
    <row r="3" spans="1:19" x14ac:dyDescent="0.25">
      <c r="A3" s="172">
        <v>67.930000000000007</v>
      </c>
      <c r="B3" s="172">
        <v>0.04</v>
      </c>
      <c r="C3" s="172">
        <v>42.63</v>
      </c>
      <c r="D3" s="8">
        <v>42967.041666666664</v>
      </c>
      <c r="E3" s="172">
        <v>0.4</v>
      </c>
      <c r="F3" s="172" t="s">
        <v>405</v>
      </c>
      <c r="G3" s="172">
        <v>294.70999999999998</v>
      </c>
      <c r="H3" s="172">
        <v>0</v>
      </c>
      <c r="I3" s="172">
        <v>0</v>
      </c>
      <c r="J3" s="172">
        <v>1011</v>
      </c>
      <c r="K3" s="172" t="s">
        <v>404</v>
      </c>
      <c r="L3" s="172">
        <v>67.930000000000007</v>
      </c>
      <c r="M3" s="172">
        <v>1503212400</v>
      </c>
      <c r="N3" s="172">
        <v>0</v>
      </c>
      <c r="O3" s="172">
        <v>2.8</v>
      </c>
      <c r="P3" s="172">
        <v>217</v>
      </c>
      <c r="Q3" s="172">
        <v>4.3899999999999997</v>
      </c>
      <c r="R3" s="172">
        <v>1.58</v>
      </c>
      <c r="S3"/>
    </row>
    <row r="4" spans="1:19" x14ac:dyDescent="0.25">
      <c r="A4" s="172">
        <v>65.739999999999995</v>
      </c>
      <c r="B4" s="172">
        <v>0.03</v>
      </c>
      <c r="C4" s="172">
        <v>42.04</v>
      </c>
      <c r="D4" s="8">
        <v>42967.083333333336</v>
      </c>
      <c r="E4" s="172">
        <v>0.42</v>
      </c>
      <c r="F4" s="172" t="s">
        <v>405</v>
      </c>
      <c r="G4" s="172">
        <v>294.26</v>
      </c>
      <c r="H4" s="172">
        <v>0</v>
      </c>
      <c r="I4" s="172">
        <v>0</v>
      </c>
      <c r="J4" s="172">
        <v>1010.24</v>
      </c>
      <c r="K4" s="172" t="s">
        <v>404</v>
      </c>
      <c r="L4" s="172">
        <v>65.739999999999995</v>
      </c>
      <c r="M4" s="172">
        <v>1503216000</v>
      </c>
      <c r="N4" s="172">
        <v>0</v>
      </c>
      <c r="O4" s="172">
        <v>2.74</v>
      </c>
      <c r="P4" s="172">
        <v>197</v>
      </c>
      <c r="Q4" s="172">
        <v>4.8</v>
      </c>
      <c r="R4" s="172">
        <v>1.94</v>
      </c>
      <c r="S4"/>
    </row>
    <row r="5" spans="1:19" x14ac:dyDescent="0.25">
      <c r="A5" s="172">
        <v>64.92</v>
      </c>
      <c r="B5" s="172">
        <v>0.02</v>
      </c>
      <c r="C5" s="172">
        <v>42.3</v>
      </c>
      <c r="D5" s="8">
        <v>42967.125</v>
      </c>
      <c r="E5" s="172">
        <v>0.44</v>
      </c>
      <c r="F5" s="172" t="s">
        <v>405</v>
      </c>
      <c r="G5" s="172">
        <v>293.93</v>
      </c>
      <c r="H5" s="172">
        <v>0</v>
      </c>
      <c r="I5" s="172">
        <v>0</v>
      </c>
      <c r="J5" s="172">
        <v>1010.91</v>
      </c>
      <c r="K5" s="172" t="s">
        <v>404</v>
      </c>
      <c r="L5" s="172">
        <v>64.92</v>
      </c>
      <c r="M5" s="172">
        <v>1503219600</v>
      </c>
      <c r="N5" s="172">
        <v>0</v>
      </c>
      <c r="O5" s="172">
        <v>3.18</v>
      </c>
      <c r="P5" s="172">
        <v>201</v>
      </c>
      <c r="Q5" s="172">
        <v>4.3499999999999996</v>
      </c>
      <c r="R5" s="172">
        <v>1.5</v>
      </c>
      <c r="S5"/>
    </row>
    <row r="6" spans="1:19" x14ac:dyDescent="0.25">
      <c r="A6" s="172">
        <v>64.16</v>
      </c>
      <c r="B6" s="172">
        <v>0.03</v>
      </c>
      <c r="C6" s="172">
        <v>42.44</v>
      </c>
      <c r="D6" s="8">
        <v>42967.166666666664</v>
      </c>
      <c r="E6" s="172">
        <v>0.45</v>
      </c>
      <c r="F6" s="172" t="s">
        <v>405</v>
      </c>
      <c r="G6" s="172">
        <v>293.81</v>
      </c>
      <c r="H6" s="172">
        <v>0</v>
      </c>
      <c r="I6" s="172">
        <v>0</v>
      </c>
      <c r="J6" s="172">
        <v>1010.06</v>
      </c>
      <c r="K6" s="172" t="s">
        <v>404</v>
      </c>
      <c r="L6" s="172">
        <v>64.16</v>
      </c>
      <c r="M6" s="172">
        <v>1503223200</v>
      </c>
      <c r="N6" s="172">
        <v>0</v>
      </c>
      <c r="O6" s="172">
        <v>2.15</v>
      </c>
      <c r="P6" s="172">
        <v>211</v>
      </c>
      <c r="Q6" s="172">
        <v>3.56</v>
      </c>
      <c r="R6" s="172">
        <v>1.37</v>
      </c>
      <c r="S6"/>
    </row>
    <row r="7" spans="1:19" x14ac:dyDescent="0.25">
      <c r="A7" s="172">
        <v>62.25</v>
      </c>
      <c r="B7" s="172">
        <v>0.01</v>
      </c>
      <c r="C7" s="172">
        <v>42.58</v>
      </c>
      <c r="D7" s="8">
        <v>42967.208333333336</v>
      </c>
      <c r="E7" s="172">
        <v>0.48</v>
      </c>
      <c r="F7" s="172" t="s">
        <v>405</v>
      </c>
      <c r="G7" s="172">
        <v>293.92</v>
      </c>
      <c r="H7" s="172">
        <v>0</v>
      </c>
      <c r="I7" s="172">
        <v>0</v>
      </c>
      <c r="J7" s="172">
        <v>1011.35</v>
      </c>
      <c r="K7" s="172" t="s">
        <v>404</v>
      </c>
      <c r="L7" s="172">
        <v>62.25</v>
      </c>
      <c r="M7" s="172">
        <v>1503226800</v>
      </c>
      <c r="N7" s="172">
        <v>0</v>
      </c>
      <c r="O7" s="172">
        <v>3.25</v>
      </c>
      <c r="P7" s="172">
        <v>199</v>
      </c>
      <c r="Q7" s="172">
        <v>4.3</v>
      </c>
      <c r="R7" s="172">
        <v>1.8</v>
      </c>
      <c r="S7"/>
    </row>
    <row r="8" spans="1:19" x14ac:dyDescent="0.25">
      <c r="A8" s="172">
        <v>61.11</v>
      </c>
      <c r="B8" s="172">
        <v>0.03</v>
      </c>
      <c r="C8" s="172">
        <v>42.51</v>
      </c>
      <c r="D8" s="8">
        <v>42967.25</v>
      </c>
      <c r="E8" s="172">
        <v>0.5</v>
      </c>
      <c r="F8" s="172" t="s">
        <v>405</v>
      </c>
      <c r="G8" s="172">
        <v>295.70999999999998</v>
      </c>
      <c r="H8" s="172">
        <v>0</v>
      </c>
      <c r="I8" s="172">
        <v>0</v>
      </c>
      <c r="J8" s="172">
        <v>1010.46</v>
      </c>
      <c r="K8" s="172" t="s">
        <v>404</v>
      </c>
      <c r="L8" s="172">
        <v>61.11</v>
      </c>
      <c r="M8" s="172">
        <v>1503230400</v>
      </c>
      <c r="N8" s="172">
        <v>0</v>
      </c>
      <c r="O8" s="172">
        <v>3.45</v>
      </c>
      <c r="P8" s="172">
        <v>209</v>
      </c>
      <c r="Q8" s="172">
        <v>4.29</v>
      </c>
      <c r="R8" s="172">
        <v>1.91</v>
      </c>
      <c r="S8"/>
    </row>
    <row r="9" spans="1:19" x14ac:dyDescent="0.25">
      <c r="A9" s="172">
        <v>61.73</v>
      </c>
      <c r="B9" s="172">
        <v>0.05</v>
      </c>
      <c r="C9" s="172">
        <v>42.85</v>
      </c>
      <c r="D9" s="8">
        <v>42967.291666666664</v>
      </c>
      <c r="E9" s="172">
        <v>0.5</v>
      </c>
      <c r="F9" s="172" t="s">
        <v>403</v>
      </c>
      <c r="G9" s="172">
        <v>295.7</v>
      </c>
      <c r="H9" s="172">
        <v>0</v>
      </c>
      <c r="I9" s="172">
        <v>0</v>
      </c>
      <c r="J9" s="172">
        <v>1011.21</v>
      </c>
      <c r="K9" s="172" t="s">
        <v>404</v>
      </c>
      <c r="L9" s="172">
        <v>61.73</v>
      </c>
      <c r="M9" s="172">
        <v>1503234000</v>
      </c>
      <c r="N9" s="172">
        <v>0</v>
      </c>
      <c r="O9" s="172">
        <v>3.52</v>
      </c>
      <c r="P9" s="172">
        <v>195</v>
      </c>
      <c r="Q9" s="172">
        <v>4.07</v>
      </c>
      <c r="R9" s="172">
        <v>1.55</v>
      </c>
      <c r="S9"/>
    </row>
    <row r="10" spans="1:19" x14ac:dyDescent="0.25">
      <c r="A10" s="172">
        <v>66.52</v>
      </c>
      <c r="B10" s="172">
        <v>0.14000000000000001</v>
      </c>
      <c r="C10" s="172">
        <v>44.9</v>
      </c>
      <c r="D10" s="8">
        <v>42967.333333333336</v>
      </c>
      <c r="E10" s="172">
        <v>0.46</v>
      </c>
      <c r="F10" s="172" t="s">
        <v>403</v>
      </c>
      <c r="G10" s="172">
        <v>295.36</v>
      </c>
      <c r="H10" s="172">
        <v>0</v>
      </c>
      <c r="I10" s="172">
        <v>0</v>
      </c>
      <c r="J10" s="172">
        <v>1011.59</v>
      </c>
      <c r="K10" s="172" t="s">
        <v>404</v>
      </c>
      <c r="L10" s="172">
        <v>66.52</v>
      </c>
      <c r="M10" s="172">
        <v>1503237600</v>
      </c>
      <c r="N10" s="172">
        <v>1</v>
      </c>
      <c r="O10" s="172">
        <v>4.2</v>
      </c>
      <c r="P10" s="172">
        <v>192</v>
      </c>
      <c r="Q10" s="172">
        <v>4.4000000000000004</v>
      </c>
      <c r="R10" s="172">
        <v>0.99</v>
      </c>
      <c r="S10"/>
    </row>
    <row r="11" spans="1:19" x14ac:dyDescent="0.25">
      <c r="A11" s="172">
        <v>71.63</v>
      </c>
      <c r="B11" s="172">
        <v>0.1</v>
      </c>
      <c r="C11" s="172">
        <v>46.78</v>
      </c>
      <c r="D11" s="8">
        <v>42967.375</v>
      </c>
      <c r="E11" s="172">
        <v>0.41</v>
      </c>
      <c r="F11" s="172" t="s">
        <v>403</v>
      </c>
      <c r="G11" s="172">
        <v>295.02</v>
      </c>
      <c r="H11" s="172">
        <v>0</v>
      </c>
      <c r="I11" s="172">
        <v>0</v>
      </c>
      <c r="J11" s="172">
        <v>1011.59</v>
      </c>
      <c r="K11" s="172" t="s">
        <v>404</v>
      </c>
      <c r="L11" s="172">
        <v>71.63</v>
      </c>
      <c r="M11" s="172">
        <v>1503241200</v>
      </c>
      <c r="N11" s="172">
        <v>2</v>
      </c>
      <c r="O11" s="172">
        <v>3.77</v>
      </c>
      <c r="P11" s="172">
        <v>212</v>
      </c>
      <c r="Q11" s="172">
        <v>3.9</v>
      </c>
      <c r="R11" s="172">
        <v>1</v>
      </c>
      <c r="S11"/>
    </row>
    <row r="12" spans="1:19" x14ac:dyDescent="0.25">
      <c r="A12" s="172">
        <v>79.19</v>
      </c>
      <c r="B12" s="172">
        <v>0.08</v>
      </c>
      <c r="C12" s="172">
        <v>44.56</v>
      </c>
      <c r="D12" s="8">
        <v>42967.416666666664</v>
      </c>
      <c r="E12" s="172">
        <v>0.28999999999999998</v>
      </c>
      <c r="F12" s="172" t="s">
        <v>403</v>
      </c>
      <c r="G12" s="172">
        <v>294.69</v>
      </c>
      <c r="H12" s="172">
        <v>0</v>
      </c>
      <c r="I12" s="172">
        <v>0</v>
      </c>
      <c r="J12" s="172">
        <v>1011.76</v>
      </c>
      <c r="K12" s="172" t="s">
        <v>404</v>
      </c>
      <c r="L12" s="172">
        <v>79.19</v>
      </c>
      <c r="M12" s="172">
        <v>1503244800</v>
      </c>
      <c r="N12" s="172">
        <v>4</v>
      </c>
      <c r="O12" s="172">
        <v>10</v>
      </c>
      <c r="P12" s="172">
        <v>63</v>
      </c>
      <c r="Q12" s="172">
        <v>7.54</v>
      </c>
      <c r="R12" s="172">
        <v>0.25</v>
      </c>
      <c r="S12"/>
    </row>
    <row r="13" spans="1:19" x14ac:dyDescent="0.25">
      <c r="A13" s="172">
        <v>83.71</v>
      </c>
      <c r="B13" s="172">
        <v>0.04</v>
      </c>
      <c r="C13" s="172">
        <v>41.84</v>
      </c>
      <c r="D13" s="8">
        <v>42967.458333333336</v>
      </c>
      <c r="E13" s="172">
        <v>0.23</v>
      </c>
      <c r="F13" s="172" t="s">
        <v>403</v>
      </c>
      <c r="G13" s="172">
        <v>294.35000000000002</v>
      </c>
      <c r="H13" s="172">
        <v>0</v>
      </c>
      <c r="I13" s="172">
        <v>0</v>
      </c>
      <c r="J13" s="172">
        <v>1011.92</v>
      </c>
      <c r="K13" s="172" t="s">
        <v>404</v>
      </c>
      <c r="L13" s="172">
        <v>83.71</v>
      </c>
      <c r="M13" s="172">
        <v>1503248400</v>
      </c>
      <c r="N13" s="172">
        <v>6</v>
      </c>
      <c r="O13" s="172">
        <v>4.0999999999999996</v>
      </c>
      <c r="P13" s="172">
        <v>42</v>
      </c>
      <c r="Q13" s="172">
        <v>7.09</v>
      </c>
      <c r="R13" s="172">
        <v>2.17</v>
      </c>
      <c r="S13"/>
    </row>
    <row r="14" spans="1:19" x14ac:dyDescent="0.25">
      <c r="A14" s="172">
        <v>84.9</v>
      </c>
      <c r="B14" s="172">
        <v>0.05</v>
      </c>
      <c r="C14" s="172">
        <v>37.729999999999997</v>
      </c>
      <c r="D14" s="8">
        <v>42967.5</v>
      </c>
      <c r="E14" s="172">
        <v>0.19</v>
      </c>
      <c r="F14" s="172" t="s">
        <v>403</v>
      </c>
      <c r="G14" s="172">
        <v>296.14</v>
      </c>
      <c r="H14" s="172">
        <v>0</v>
      </c>
      <c r="I14" s="172">
        <v>0</v>
      </c>
      <c r="J14" s="172">
        <v>1011.97</v>
      </c>
      <c r="K14" s="172" t="s">
        <v>404</v>
      </c>
      <c r="L14" s="172">
        <v>84.9</v>
      </c>
      <c r="M14" s="172">
        <v>1503252000</v>
      </c>
      <c r="N14" s="172">
        <v>9</v>
      </c>
      <c r="O14" s="172">
        <v>3.96</v>
      </c>
      <c r="P14" s="172">
        <v>56</v>
      </c>
      <c r="Q14" s="172">
        <v>10.9</v>
      </c>
      <c r="R14" s="172">
        <v>4.18</v>
      </c>
      <c r="S14"/>
    </row>
    <row r="15" spans="1:19" x14ac:dyDescent="0.25">
      <c r="A15" s="172">
        <v>85.56</v>
      </c>
      <c r="B15" s="172">
        <v>0.05</v>
      </c>
      <c r="C15" s="172">
        <v>38.090000000000003</v>
      </c>
      <c r="D15" s="8">
        <v>42967.541666666664</v>
      </c>
      <c r="E15" s="172">
        <v>0.19</v>
      </c>
      <c r="F15" s="172" t="s">
        <v>403</v>
      </c>
      <c r="G15" s="172">
        <v>295.37</v>
      </c>
      <c r="H15" s="172">
        <v>0</v>
      </c>
      <c r="I15" s="172">
        <v>0</v>
      </c>
      <c r="J15" s="172">
        <v>1011.6</v>
      </c>
      <c r="K15" s="172" t="s">
        <v>404</v>
      </c>
      <c r="L15" s="172">
        <v>85.56</v>
      </c>
      <c r="M15" s="172">
        <v>1503255600</v>
      </c>
      <c r="N15" s="172">
        <v>10</v>
      </c>
      <c r="O15" s="172">
        <v>4.1900000000000004</v>
      </c>
      <c r="P15" s="172">
        <v>58</v>
      </c>
      <c r="Q15" s="172">
        <v>10.19</v>
      </c>
      <c r="R15" s="172">
        <v>4</v>
      </c>
      <c r="S15"/>
    </row>
    <row r="16" spans="1:19" x14ac:dyDescent="0.25">
      <c r="A16" s="172">
        <v>85.9</v>
      </c>
      <c r="B16" s="172">
        <v>0.06</v>
      </c>
      <c r="C16" s="172">
        <v>37.729999999999997</v>
      </c>
      <c r="D16" s="8">
        <v>42967.583333333336</v>
      </c>
      <c r="E16" s="172">
        <v>0.18</v>
      </c>
      <c r="F16" s="172" t="s">
        <v>403</v>
      </c>
      <c r="G16" s="172">
        <v>294.04000000000002</v>
      </c>
      <c r="H16" s="172">
        <v>0</v>
      </c>
      <c r="I16" s="172">
        <v>0</v>
      </c>
      <c r="J16" s="172">
        <v>1011.59</v>
      </c>
      <c r="K16" s="172" t="s">
        <v>404</v>
      </c>
      <c r="L16" s="172">
        <v>85.9</v>
      </c>
      <c r="M16" s="172">
        <v>1503259200</v>
      </c>
      <c r="N16" s="172">
        <v>9</v>
      </c>
      <c r="O16" s="172">
        <v>3.93</v>
      </c>
      <c r="P16" s="172">
        <v>50</v>
      </c>
      <c r="Q16" s="172">
        <v>8.33</v>
      </c>
      <c r="R16" s="172">
        <v>3.21</v>
      </c>
      <c r="S16"/>
    </row>
    <row r="17" spans="1:19" x14ac:dyDescent="0.25">
      <c r="A17" s="172">
        <v>87.46</v>
      </c>
      <c r="B17" s="172">
        <v>0.06</v>
      </c>
      <c r="C17" s="172">
        <v>37.29</v>
      </c>
      <c r="D17" s="8">
        <v>42967.625</v>
      </c>
      <c r="E17" s="172">
        <v>0.17</v>
      </c>
      <c r="F17" s="172" t="s">
        <v>403</v>
      </c>
      <c r="G17" s="172">
        <v>292.81</v>
      </c>
      <c r="H17" s="172">
        <v>0</v>
      </c>
      <c r="I17" s="172">
        <v>0</v>
      </c>
      <c r="J17" s="172">
        <v>1010.7</v>
      </c>
      <c r="K17" s="172" t="s">
        <v>404</v>
      </c>
      <c r="L17" s="172">
        <v>87.46</v>
      </c>
      <c r="M17" s="172">
        <v>1503262800</v>
      </c>
      <c r="N17" s="172">
        <v>7</v>
      </c>
      <c r="O17" s="172">
        <v>3.57</v>
      </c>
      <c r="P17" s="172">
        <v>39</v>
      </c>
      <c r="Q17" s="172">
        <v>7.55</v>
      </c>
      <c r="R17" s="172">
        <v>2.72</v>
      </c>
      <c r="S17"/>
    </row>
    <row r="18" spans="1:19" x14ac:dyDescent="0.25">
      <c r="A18" s="172">
        <v>87.56</v>
      </c>
      <c r="B18" s="172">
        <v>0.03</v>
      </c>
      <c r="C18" s="172">
        <v>36.92</v>
      </c>
      <c r="D18" s="8">
        <v>42967.666666666664</v>
      </c>
      <c r="E18" s="172">
        <v>0.17</v>
      </c>
      <c r="F18" s="172" t="s">
        <v>403</v>
      </c>
      <c r="G18" s="172">
        <v>291.77999999999997</v>
      </c>
      <c r="H18" s="172">
        <v>0</v>
      </c>
      <c r="I18" s="172">
        <v>0</v>
      </c>
      <c r="J18" s="172">
        <v>1010.4</v>
      </c>
      <c r="K18" s="172" t="s">
        <v>404</v>
      </c>
      <c r="L18" s="172">
        <v>87.56</v>
      </c>
      <c r="M18" s="172">
        <v>1503266400</v>
      </c>
      <c r="N18" s="172">
        <v>4</v>
      </c>
      <c r="O18" s="172">
        <v>3.63</v>
      </c>
      <c r="P18" s="172">
        <v>33</v>
      </c>
      <c r="Q18" s="172">
        <v>6.73</v>
      </c>
      <c r="R18" s="172">
        <v>1.88</v>
      </c>
      <c r="S18"/>
    </row>
    <row r="19" spans="1:19" x14ac:dyDescent="0.25">
      <c r="A19" s="172">
        <v>86.94</v>
      </c>
      <c r="B19" s="172">
        <v>0.04</v>
      </c>
      <c r="C19" s="172">
        <v>36.93</v>
      </c>
      <c r="D19" s="8">
        <v>42967.708333333336</v>
      </c>
      <c r="E19" s="172">
        <v>0.17</v>
      </c>
      <c r="F19" s="172" t="s">
        <v>403</v>
      </c>
      <c r="G19" s="172">
        <v>290.87</v>
      </c>
      <c r="H19" s="172">
        <v>0</v>
      </c>
      <c r="I19" s="172">
        <v>0</v>
      </c>
      <c r="J19" s="172">
        <v>1010.27</v>
      </c>
      <c r="K19" s="172" t="s">
        <v>404</v>
      </c>
      <c r="L19" s="172">
        <v>86.94</v>
      </c>
      <c r="M19" s="172">
        <v>1503270000</v>
      </c>
      <c r="N19" s="172">
        <v>2</v>
      </c>
      <c r="O19" s="172">
        <v>4.0999999999999996</v>
      </c>
      <c r="P19" s="172">
        <v>22</v>
      </c>
      <c r="Q19" s="172">
        <v>6.4</v>
      </c>
      <c r="R19" s="172">
        <v>1.1599999999999999</v>
      </c>
      <c r="S19"/>
    </row>
    <row r="20" spans="1:19" x14ac:dyDescent="0.25">
      <c r="A20" s="172">
        <v>84.84</v>
      </c>
      <c r="B20" s="172">
        <v>0.04</v>
      </c>
      <c r="C20" s="172">
        <v>38.93</v>
      </c>
      <c r="D20" s="8">
        <v>42967.75</v>
      </c>
      <c r="E20" s="172">
        <v>0.2</v>
      </c>
      <c r="F20" s="172" t="s">
        <v>403</v>
      </c>
      <c r="G20" s="172">
        <v>292.33</v>
      </c>
      <c r="H20" s="172">
        <v>0</v>
      </c>
      <c r="I20" s="172">
        <v>0</v>
      </c>
      <c r="J20" s="172">
        <v>1010.15</v>
      </c>
      <c r="K20" s="172" t="s">
        <v>404</v>
      </c>
      <c r="L20" s="172">
        <v>84.84</v>
      </c>
      <c r="M20" s="172">
        <v>1503273600</v>
      </c>
      <c r="N20" s="172">
        <v>1</v>
      </c>
      <c r="O20" s="172">
        <v>3.94</v>
      </c>
      <c r="P20" s="172">
        <v>1</v>
      </c>
      <c r="Q20" s="172">
        <v>4.67</v>
      </c>
      <c r="R20" s="172">
        <v>1.41</v>
      </c>
      <c r="S20"/>
    </row>
    <row r="21" spans="1:19" x14ac:dyDescent="0.25">
      <c r="A21" s="172">
        <v>82.06</v>
      </c>
      <c r="B21" s="172">
        <v>0.1</v>
      </c>
      <c r="C21" s="172">
        <v>40.24</v>
      </c>
      <c r="D21" s="8">
        <v>42967.791666666664</v>
      </c>
      <c r="E21" s="172">
        <v>0.23</v>
      </c>
      <c r="F21" s="172" t="s">
        <v>403</v>
      </c>
      <c r="G21" s="172">
        <v>291.88</v>
      </c>
      <c r="H21" s="172">
        <v>0</v>
      </c>
      <c r="I21" s="172">
        <v>0</v>
      </c>
      <c r="J21" s="172">
        <v>1010.78</v>
      </c>
      <c r="K21" s="172" t="s">
        <v>404</v>
      </c>
      <c r="L21" s="172">
        <v>82.06</v>
      </c>
      <c r="M21" s="172">
        <v>1503277200</v>
      </c>
      <c r="N21" s="172">
        <v>0</v>
      </c>
      <c r="O21" s="172">
        <v>3.92</v>
      </c>
      <c r="P21" s="172">
        <v>294</v>
      </c>
      <c r="Q21" s="172">
        <v>6.14</v>
      </c>
      <c r="R21" s="172">
        <v>1.18</v>
      </c>
      <c r="S21"/>
    </row>
    <row r="22" spans="1:19" x14ac:dyDescent="0.25">
      <c r="A22" s="172">
        <v>78.61</v>
      </c>
      <c r="B22" s="172">
        <v>7.0000000000000007E-2</v>
      </c>
      <c r="C22" s="172">
        <v>41.85</v>
      </c>
      <c r="D22" s="8">
        <v>42967.833333333336</v>
      </c>
      <c r="E22" s="172">
        <v>0.27</v>
      </c>
      <c r="F22" s="172" t="s">
        <v>405</v>
      </c>
      <c r="G22" s="172">
        <v>291.54000000000002</v>
      </c>
      <c r="H22" s="172">
        <v>0</v>
      </c>
      <c r="I22" s="172">
        <v>0</v>
      </c>
      <c r="J22" s="172">
        <v>1011.26</v>
      </c>
      <c r="K22" s="172" t="s">
        <v>404</v>
      </c>
      <c r="L22" s="172">
        <v>78.61</v>
      </c>
      <c r="M22" s="172">
        <v>1503280800</v>
      </c>
      <c r="N22" s="172">
        <v>0</v>
      </c>
      <c r="O22" s="172">
        <v>4.3600000000000003</v>
      </c>
      <c r="P22" s="172">
        <v>251</v>
      </c>
      <c r="Q22" s="172">
        <v>7.31</v>
      </c>
      <c r="R22" s="172">
        <v>2.57</v>
      </c>
      <c r="S22"/>
    </row>
    <row r="23" spans="1:19" x14ac:dyDescent="0.25">
      <c r="A23" s="172">
        <v>75.599999999999994</v>
      </c>
      <c r="B23" s="172">
        <v>0.06</v>
      </c>
      <c r="C23" s="172">
        <v>43.04</v>
      </c>
      <c r="D23" s="8">
        <v>42967.875</v>
      </c>
      <c r="E23" s="172">
        <v>0.31</v>
      </c>
      <c r="F23" s="172" t="s">
        <v>405</v>
      </c>
      <c r="G23" s="172">
        <v>291.08</v>
      </c>
      <c r="H23" s="172">
        <v>0</v>
      </c>
      <c r="I23" s="172">
        <v>0</v>
      </c>
      <c r="J23" s="172">
        <v>1012.2</v>
      </c>
      <c r="K23" s="172" t="s">
        <v>404</v>
      </c>
      <c r="L23" s="172">
        <v>75.599999999999994</v>
      </c>
      <c r="M23" s="172">
        <v>1503284400</v>
      </c>
      <c r="N23" s="172">
        <v>0</v>
      </c>
      <c r="O23" s="172">
        <v>3.92</v>
      </c>
      <c r="P23" s="172">
        <v>266</v>
      </c>
      <c r="Q23" s="172">
        <v>5.33</v>
      </c>
      <c r="R23" s="172">
        <v>2.0499999999999998</v>
      </c>
      <c r="S23"/>
    </row>
    <row r="24" spans="1:19" x14ac:dyDescent="0.25">
      <c r="A24" s="172">
        <v>73.11</v>
      </c>
      <c r="B24" s="172">
        <v>7.0000000000000007E-2</v>
      </c>
      <c r="C24" s="172">
        <v>43.96</v>
      </c>
      <c r="D24" s="8">
        <v>42967.916666666664</v>
      </c>
      <c r="E24" s="172">
        <v>0.35</v>
      </c>
      <c r="F24" s="172" t="s">
        <v>405</v>
      </c>
      <c r="G24" s="172">
        <v>290.85000000000002</v>
      </c>
      <c r="H24" s="172">
        <v>0</v>
      </c>
      <c r="I24" s="172">
        <v>0</v>
      </c>
      <c r="J24" s="172">
        <v>1012</v>
      </c>
      <c r="K24" s="172" t="s">
        <v>404</v>
      </c>
      <c r="L24" s="172">
        <v>73.11</v>
      </c>
      <c r="M24" s="172">
        <v>1503288000</v>
      </c>
      <c r="N24" s="172">
        <v>0</v>
      </c>
      <c r="O24" s="172">
        <v>3.6</v>
      </c>
      <c r="P24" s="172">
        <v>237</v>
      </c>
      <c r="Q24" s="172">
        <v>3.89</v>
      </c>
      <c r="R24" s="172">
        <v>1.2</v>
      </c>
      <c r="S24"/>
    </row>
    <row r="25" spans="1:19" x14ac:dyDescent="0.25">
      <c r="A25" s="172">
        <v>71.09</v>
      </c>
      <c r="B25" s="172">
        <v>0.06</v>
      </c>
      <c r="C25" s="172">
        <v>44.85</v>
      </c>
      <c r="D25" s="8">
        <v>42967.958333333336</v>
      </c>
      <c r="E25" s="172">
        <v>0.39</v>
      </c>
      <c r="F25" s="172" t="s">
        <v>405</v>
      </c>
      <c r="G25" s="172">
        <v>290.51</v>
      </c>
      <c r="H25" s="172">
        <v>0</v>
      </c>
      <c r="I25" s="172">
        <v>0</v>
      </c>
      <c r="J25" s="172">
        <v>1012.28</v>
      </c>
      <c r="K25" s="172" t="s">
        <v>404</v>
      </c>
      <c r="L25" s="172">
        <v>71.09</v>
      </c>
      <c r="M25" s="172">
        <v>1503291600</v>
      </c>
      <c r="N25" s="172">
        <v>0</v>
      </c>
      <c r="O25" s="172">
        <v>3.27</v>
      </c>
      <c r="P25" s="172">
        <v>216</v>
      </c>
      <c r="Q25" s="172">
        <v>3.48</v>
      </c>
      <c r="R25" s="172">
        <v>1.24</v>
      </c>
      <c r="S25"/>
    </row>
    <row r="26" spans="1:19" x14ac:dyDescent="0.25">
      <c r="A26" s="172">
        <v>69.430000000000007</v>
      </c>
      <c r="B26" s="172">
        <v>0.03</v>
      </c>
      <c r="C26" s="172">
        <v>45.17</v>
      </c>
      <c r="D26" s="8">
        <v>42968</v>
      </c>
      <c r="E26" s="172">
        <v>0.42</v>
      </c>
      <c r="F26" s="172" t="s">
        <v>405</v>
      </c>
      <c r="G26" s="172">
        <v>290.18</v>
      </c>
      <c r="H26" s="172">
        <v>0</v>
      </c>
      <c r="I26" s="172">
        <v>0</v>
      </c>
      <c r="J26" s="172">
        <v>1012.1</v>
      </c>
      <c r="K26" s="172" t="s">
        <v>404</v>
      </c>
      <c r="L26" s="172">
        <v>69.430000000000007</v>
      </c>
      <c r="M26" s="172">
        <v>1503295200</v>
      </c>
      <c r="N26" s="172">
        <v>0</v>
      </c>
      <c r="O26" s="172">
        <v>3.33</v>
      </c>
      <c r="P26" s="172">
        <v>220</v>
      </c>
      <c r="Q26" s="172">
        <v>3.44</v>
      </c>
      <c r="R26" s="172">
        <v>1.22</v>
      </c>
      <c r="S26"/>
    </row>
    <row r="27" spans="1:19" x14ac:dyDescent="0.25">
      <c r="A27" s="172">
        <v>68.209999999999994</v>
      </c>
      <c r="B27" s="172">
        <v>0.03</v>
      </c>
      <c r="C27" s="172">
        <v>45.22</v>
      </c>
      <c r="D27" s="8">
        <v>42968.041666666664</v>
      </c>
      <c r="E27" s="172">
        <v>0.44</v>
      </c>
      <c r="F27" s="172" t="s">
        <v>405</v>
      </c>
      <c r="G27" s="172">
        <v>289.95</v>
      </c>
      <c r="H27" s="172">
        <v>0</v>
      </c>
      <c r="I27" s="172">
        <v>0</v>
      </c>
      <c r="J27" s="172">
        <v>1012.05</v>
      </c>
      <c r="K27" s="172" t="s">
        <v>404</v>
      </c>
      <c r="L27" s="172">
        <v>68.209999999999994</v>
      </c>
      <c r="M27" s="172">
        <v>1503298800</v>
      </c>
      <c r="N27" s="172">
        <v>0</v>
      </c>
      <c r="O27" s="172">
        <v>3.27</v>
      </c>
      <c r="P27" s="172">
        <v>204</v>
      </c>
      <c r="Q27" s="172">
        <v>3.71</v>
      </c>
      <c r="R27" s="172">
        <v>1.47</v>
      </c>
      <c r="S27"/>
    </row>
    <row r="28" spans="1:19" x14ac:dyDescent="0.25">
      <c r="A28" s="172">
        <v>66.900000000000006</v>
      </c>
      <c r="B28" s="172">
        <v>0.06</v>
      </c>
      <c r="C28" s="172">
        <v>45.38</v>
      </c>
      <c r="D28" s="8">
        <v>42968.083333333336</v>
      </c>
      <c r="E28" s="172">
        <v>0.46</v>
      </c>
      <c r="F28" s="172" t="s">
        <v>405</v>
      </c>
      <c r="G28" s="172">
        <v>289.61</v>
      </c>
      <c r="H28" s="172">
        <v>0</v>
      </c>
      <c r="I28" s="172">
        <v>0</v>
      </c>
      <c r="J28" s="172">
        <v>1011.63</v>
      </c>
      <c r="K28" s="172" t="s">
        <v>404</v>
      </c>
      <c r="L28" s="172">
        <v>66.900000000000006</v>
      </c>
      <c r="M28" s="172">
        <v>1503302400</v>
      </c>
      <c r="N28" s="172">
        <v>0</v>
      </c>
      <c r="O28" s="172">
        <v>3.12</v>
      </c>
      <c r="P28" s="172">
        <v>217</v>
      </c>
      <c r="Q28" s="172">
        <v>3.17</v>
      </c>
      <c r="R28" s="172">
        <v>1.24</v>
      </c>
      <c r="S28"/>
    </row>
    <row r="29" spans="1:19" x14ac:dyDescent="0.25">
      <c r="A29" s="172">
        <v>65.680000000000007</v>
      </c>
      <c r="B29" s="172">
        <v>0.04</v>
      </c>
      <c r="C29" s="172">
        <v>45.32</v>
      </c>
      <c r="D29" s="8">
        <v>42968.125</v>
      </c>
      <c r="E29" s="172">
        <v>0.48</v>
      </c>
      <c r="F29" s="172" t="s">
        <v>405</v>
      </c>
      <c r="G29" s="172">
        <v>289.5</v>
      </c>
      <c r="H29" s="172">
        <v>0</v>
      </c>
      <c r="I29" s="172">
        <v>0</v>
      </c>
      <c r="J29" s="172">
        <v>1011.3</v>
      </c>
      <c r="K29" s="172" t="s">
        <v>404</v>
      </c>
      <c r="L29" s="172">
        <v>65.680000000000007</v>
      </c>
      <c r="M29" s="172">
        <v>1503306000</v>
      </c>
      <c r="N29" s="172">
        <v>0</v>
      </c>
      <c r="O29" s="172">
        <v>2.91</v>
      </c>
      <c r="P29" s="172">
        <v>213</v>
      </c>
      <c r="Q29" s="172">
        <v>3.25</v>
      </c>
      <c r="R29" s="172">
        <v>0.95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topLeftCell="A16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42967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373</v>
      </c>
      <c r="AE2" s="56" t="s">
        <v>376</v>
      </c>
      <c r="AF2" s="56" t="s">
        <v>377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374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364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375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365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378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913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914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915</v>
      </c>
      <c r="J20" s="140" t="s">
        <v>87</v>
      </c>
      <c r="M20" s="154" t="s">
        <v>349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916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917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918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919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920</v>
      </c>
      <c r="J25" s="140" t="s">
        <v>146</v>
      </c>
      <c r="M25" s="154" t="b">
        <v>1</v>
      </c>
    </row>
    <row r="26" spans="3:24" x14ac:dyDescent="0.25">
      <c r="C26" t="s">
        <v>921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C:\Users\stu\Documents\GitHub\eaglep3-reporting\EC\2017-08-20-refined-times.txt</v>
      </c>
    </row>
    <row r="27" spans="3:24" x14ac:dyDescent="0.25">
      <c r="C27" t="s">
        <v>922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C:\Users\stu\Documents\GitHub\eaglep3-reporting\EC\2017-08-20-Enforcements.txt</v>
      </c>
    </row>
    <row r="28" spans="3:24" x14ac:dyDescent="0.25">
      <c r="C28" t="s">
        <v>923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C:\Users\stu\Documents\GitHub\eaglep3-reporting\EC\2017-08-20-Runs-refined.txt</v>
      </c>
    </row>
    <row r="29" spans="3:24" x14ac:dyDescent="0.25">
      <c r="C29" t="s">
        <v>924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C:\Users\stu\Documents\GitHub\eaglep3-reporting\EC\2017-08-20-Trips.txt</v>
      </c>
    </row>
    <row r="30" spans="3:24" x14ac:dyDescent="0.25">
      <c r="C30" t="s">
        <v>925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C:\Users\stu\Documents\GitHub\eaglep3-reporting\EC\2017-08-20-Weather.txt</v>
      </c>
    </row>
    <row r="31" spans="3:24" x14ac:dyDescent="0.25">
      <c r="C31" t="s">
        <v>926</v>
      </c>
      <c r="J31" s="140" t="s">
        <v>194</v>
      </c>
      <c r="M31" s="154" t="s">
        <v>195</v>
      </c>
    </row>
    <row r="32" spans="3:24" x14ac:dyDescent="0.25">
      <c r="C32" t="s">
        <v>927</v>
      </c>
    </row>
    <row r="33" spans="3:3" x14ac:dyDescent="0.25">
      <c r="C33" t="s">
        <v>928</v>
      </c>
    </row>
    <row r="34" spans="3:3" x14ac:dyDescent="0.25">
      <c r="C34" t="s">
        <v>929</v>
      </c>
    </row>
    <row r="35" spans="3:3" x14ac:dyDescent="0.25">
      <c r="C35" t="s">
        <v>930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337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338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2017-08-21T17:31:57Z</dcterms:modified>
</cp:coreProperties>
</file>